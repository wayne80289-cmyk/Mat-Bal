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.Akkaravit\Customer\TSGP\Forecast from Vendors\CPK\"/>
    </mc:Choice>
  </mc:AlternateContent>
  <xr:revisionPtr revIDLastSave="0" documentId="13_ncr:1_{9FD85028-D10D-4245-8492-2E85EB6FA0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T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aug08" localSheetId="0">#REF!</definedName>
    <definedName name="_aug08">#REF!</definedName>
    <definedName name="_kat1" localSheetId="0">#REF!</definedName>
    <definedName name="_kat1">#REF!</definedName>
    <definedName name="_oct1" localSheetId="0">#REF!</definedName>
    <definedName name="_oct1">#REF!</definedName>
    <definedName name="a" localSheetId="0">#REF!</definedName>
    <definedName name="a">#REF!</definedName>
    <definedName name="AA">[1]Sheet3!$A:$IV</definedName>
    <definedName name="aaa" localSheetId="0">#REF!</definedName>
    <definedName name="aaa">#REF!</definedName>
    <definedName name="aaaa" localSheetId="0">#REF!</definedName>
    <definedName name="aaaa">#REF!</definedName>
    <definedName name="AAAAA" localSheetId="0">#REF!</definedName>
    <definedName name="AAAAA">#REF!</definedName>
    <definedName name="AAAAAA" localSheetId="0">#REF!</definedName>
    <definedName name="AAAAAA">#REF!</definedName>
    <definedName name="actual" localSheetId="0">#REF!</definedName>
    <definedName name="actual">#REF!</definedName>
    <definedName name="AD" localSheetId="0">#REF!</definedName>
    <definedName name="AD">#REF!</definedName>
    <definedName name="AHMAD" localSheetId="0">#REF!</definedName>
    <definedName name="AHMAD">#REF!</definedName>
    <definedName name="ALL">'[2]all location'!$A:$IV</definedName>
    <definedName name="AM">'[3]ม้วนกลับ check จริง '!$A:$IV</definedName>
    <definedName name="b" localSheetId="0">#REF!</definedName>
    <definedName name="b">#REF!</definedName>
    <definedName name="BASE" localSheetId="0">#REF!</definedName>
    <definedName name="BASE">#REF!</definedName>
    <definedName name="baseprice" localSheetId="0">#REF!</definedName>
    <definedName name="baseprice">#REF!</definedName>
    <definedName name="bb" localSheetId="0">#REF!</definedName>
    <definedName name="bb">#REF!</definedName>
    <definedName name="BBB" localSheetId="0">#REF!</definedName>
    <definedName name="BBB">#REF!</definedName>
    <definedName name="BLANK">[4]BLANK!$A:$IV</definedName>
    <definedName name="blankjuly" localSheetId="0">#REF!</definedName>
    <definedName name="blankjuly">#REF!</definedName>
    <definedName name="cc" localSheetId="0">#REF!</definedName>
    <definedName name="cc">#REF!</definedName>
    <definedName name="ccc" localSheetId="0">#REF!</definedName>
    <definedName name="ccc">#REF!</definedName>
    <definedName name="ChackDate" localSheetId="0">#REF!</definedName>
    <definedName name="ChackDate">#REF!</definedName>
    <definedName name="cimlot" localSheetId="0">#REF!</definedName>
    <definedName name="cimlot">#REF!</definedName>
    <definedName name="COIL" localSheetId="0">#REF!</definedName>
    <definedName name="COIL">#REF!</definedName>
    <definedName name="CUS" localSheetId="0">#REF!</definedName>
    <definedName name="CUS">#REF!</definedName>
    <definedName name="D" localSheetId="0">#REF!</definedName>
    <definedName name="D">#REF!</definedName>
    <definedName name="data" localSheetId="0">#REF!</definedName>
    <definedName name="data">#REF!</definedName>
    <definedName name="DATAFORAPR" localSheetId="0">#REF!</definedName>
    <definedName name="DATAFORAPR">#REF!</definedName>
    <definedName name="DATE" localSheetId="0">#REF!</definedName>
    <definedName name="DATE">#REF!</definedName>
    <definedName name="DateC" localSheetId="0">#REF!</definedName>
    <definedName name="DateC">#REF!</definedName>
    <definedName name="DD" localSheetId="0">#REF!</definedName>
    <definedName name="DD">#REF!</definedName>
    <definedName name="ddd" localSheetId="0">#REF!</definedName>
    <definedName name="ddd">#REF!</definedName>
    <definedName name="DEFECT" localSheetId="0">#REF!</definedName>
    <definedName name="DEFECT">#REF!</definedName>
    <definedName name="DEN" localSheetId="0">#REF!</definedName>
    <definedName name="DEN">#REF!</definedName>
    <definedName name="DIE" localSheetId="0">#REF!</definedName>
    <definedName name="DIE">#REF!</definedName>
    <definedName name="E" localSheetId="0">#REF!</definedName>
    <definedName name="E">#REF!</definedName>
    <definedName name="eee" localSheetId="0">#REF!</definedName>
    <definedName name="eee">#REF!</definedName>
    <definedName name="F" localSheetId="0">#REF!</definedName>
    <definedName name="F">#REF!</definedName>
    <definedName name="FBACK">[4]BACK!$A$5:$B$89</definedName>
    <definedName name="ff" localSheetId="0">#REF!</definedName>
    <definedName name="ff">#REF!</definedName>
    <definedName name="fff" localSheetId="0">#REF!</definedName>
    <definedName name="fff">#REF!</definedName>
    <definedName name="FG" localSheetId="0">#REF!</definedName>
    <definedName name="FG">#REF!</definedName>
    <definedName name="FGBLANK" localSheetId="0">#REF!</definedName>
    <definedName name="FGBLANK">#REF!</definedName>
    <definedName name="FGFORM" localSheetId="0">#REF!</definedName>
    <definedName name="FGFORM">#REF!</definedName>
    <definedName name="first" localSheetId="0">[5]Sheet2!#REF!</definedName>
    <definedName name="first">[5]Sheet2!#REF!</definedName>
    <definedName name="forcastaug" localSheetId="0">#REF!</definedName>
    <definedName name="forcastaug">#REF!</definedName>
    <definedName name="fore" localSheetId="0">#REF!</definedName>
    <definedName name="fore">#REF!</definedName>
    <definedName name="forecast" localSheetId="0">#REF!</definedName>
    <definedName name="forecast">#REF!</definedName>
    <definedName name="forecastjuli" localSheetId="0">#REF!</definedName>
    <definedName name="forecastjuli">#REF!</definedName>
    <definedName name="forecastold" localSheetId="0">#REF!</definedName>
    <definedName name="forecastold">#REF!</definedName>
    <definedName name="FORESEP" localSheetId="0">#REF!</definedName>
    <definedName name="FORESEP">#REF!</definedName>
    <definedName name="FORM">[4]FORM!$A:$IV</definedName>
    <definedName name="forme" localSheetId="0">#REF!</definedName>
    <definedName name="forme">#REF!</definedName>
    <definedName name="formjuly" localSheetId="0">#REF!</definedName>
    <definedName name="formjuly">#REF!</definedName>
    <definedName name="G" localSheetId="0">#REF!</definedName>
    <definedName name="G">#REF!</definedName>
    <definedName name="ggg" localSheetId="0">#REF!</definedName>
    <definedName name="ggg">#REF!</definedName>
    <definedName name="H" localSheetId="0">#REF!</definedName>
    <definedName name="H">#REF!</definedName>
    <definedName name="ITEM" localSheetId="0">#REF!</definedName>
    <definedName name="ITEM">#REF!</definedName>
    <definedName name="jjj" localSheetId="0">#REF!</definedName>
    <definedName name="jjj">#REF!</definedName>
    <definedName name="JPI" localSheetId="0">#REF!</definedName>
    <definedName name="JPI">#REF!</definedName>
    <definedName name="july1" localSheetId="0">#REF!</definedName>
    <definedName name="july1">#REF!</definedName>
    <definedName name="KAN" localSheetId="0">#REF!</definedName>
    <definedName name="KAN">#REF!</definedName>
    <definedName name="KAT" localSheetId="0">#REF!</definedName>
    <definedName name="KAT">#REF!</definedName>
    <definedName name="key" localSheetId="0">#REF!</definedName>
    <definedName name="key">#REF!</definedName>
    <definedName name="kkk" localSheetId="0">#REF!</definedName>
    <definedName name="kkk">#REF!</definedName>
    <definedName name="KUR" localSheetId="0">#REF!</definedName>
    <definedName name="KUR">#REF!</definedName>
    <definedName name="list" localSheetId="0">#REF!</definedName>
    <definedName name="list">#REF!</definedName>
    <definedName name="list1" localSheetId="0">#REF!</definedName>
    <definedName name="list1">#REF!</definedName>
    <definedName name="LIST2" localSheetId="0">#REF!</definedName>
    <definedName name="LIST2">#REF!</definedName>
    <definedName name="LIST2009" localSheetId="0">#REF!</definedName>
    <definedName name="LIST2009">#REF!</definedName>
    <definedName name="LIST3" localSheetId="0">#REF!</definedName>
    <definedName name="LIST3">#REF!</definedName>
    <definedName name="LISTT" localSheetId="0">#REF!</definedName>
    <definedName name="LISTT">#REF!</definedName>
    <definedName name="LISTTT" localSheetId="0">#REF!</definedName>
    <definedName name="LISTTT">#REF!</definedName>
    <definedName name="LISTUPDATE" localSheetId="0">#REF!</definedName>
    <definedName name="LISTUPDATE">#REF!</definedName>
    <definedName name="lll" localSheetId="0">#REF!</definedName>
    <definedName name="lll">#REF!</definedName>
    <definedName name="LOT" localSheetId="0">#REF!</definedName>
    <definedName name="LOT">#REF!</definedName>
    <definedName name="MACHINE" localSheetId="0">#REF!</definedName>
    <definedName name="MACHINE">#REF!</definedName>
    <definedName name="mai" localSheetId="0">#REF!</definedName>
    <definedName name="mai">#REF!</definedName>
    <definedName name="MAIL" localSheetId="0">#REF!</definedName>
    <definedName name="MAIL">#REF!</definedName>
    <definedName name="MATERIAL" localSheetId="0">#REF!</definedName>
    <definedName name="MATERIAL">#REF!</definedName>
    <definedName name="matpsp" localSheetId="0">#REF!</definedName>
    <definedName name="matpsp">#REF!</definedName>
    <definedName name="MFGPRO">[6]MASTER!$B$1:$C$65536</definedName>
    <definedName name="mmd" localSheetId="0">#REF!</definedName>
    <definedName name="mmd">#REF!</definedName>
    <definedName name="MMMM" localSheetId="0">#REF!</definedName>
    <definedName name="MMMM">#REF!</definedName>
    <definedName name="NEW" localSheetId="0">#REF!</definedName>
    <definedName name="NEW">#REF!</definedName>
    <definedName name="nnn" localSheetId="0">#REF!</definedName>
    <definedName name="nnn">#REF!</definedName>
    <definedName name="NOV" localSheetId="0">#REF!</definedName>
    <definedName name="NOV">#REF!</definedName>
    <definedName name="NOVEMBER" localSheetId="0">#REF!</definedName>
    <definedName name="NOVEMBER">#REF!</definedName>
    <definedName name="oct" localSheetId="0">#REF!</definedName>
    <definedName name="oct">#REF!</definedName>
    <definedName name="old" localSheetId="0">#REF!</definedName>
    <definedName name="old">#REF!</definedName>
    <definedName name="ONE" localSheetId="0">#REF!</definedName>
    <definedName name="ONE">#REF!</definedName>
    <definedName name="oo" localSheetId="0">[7]Sheet1!#REF!</definedName>
    <definedName name="oo">[7]Sheet1!#REF!</definedName>
    <definedName name="ooo" localSheetId="0">#REF!</definedName>
    <definedName name="ooo">#REF!</definedName>
    <definedName name="ORDER" localSheetId="0">#REF!</definedName>
    <definedName name="ORDER">#REF!</definedName>
    <definedName name="orderjuly" localSheetId="0">#REF!</definedName>
    <definedName name="orderjuly">#REF!</definedName>
    <definedName name="orderjune" localSheetId="0">#REF!</definedName>
    <definedName name="orderjune">#REF!</definedName>
    <definedName name="Part_Number" localSheetId="0">#REF!</definedName>
    <definedName name="Part_Number">#REF!</definedName>
    <definedName name="POD" localSheetId="0">#REF!</definedName>
    <definedName name="POD">#REF!</definedName>
    <definedName name="PP" localSheetId="0">#REF!</definedName>
    <definedName name="PP">#REF!</definedName>
    <definedName name="PPP" localSheetId="0">#REF!</definedName>
    <definedName name="PPP">#REF!</definedName>
    <definedName name="PRE" localSheetId="0">#REF!</definedName>
    <definedName name="PRE">#REF!</definedName>
    <definedName name="PREPEAI" localSheetId="0">#REF!</definedName>
    <definedName name="PREPEAI">#REF!</definedName>
    <definedName name="priceq4" localSheetId="0">#REF!</definedName>
    <definedName name="priceq4">#REF!</definedName>
    <definedName name="_xlnm.Print_Titles" localSheetId="0">PTT!$1:$10</definedName>
    <definedName name="PRIVOTE10" localSheetId="0">#REF!</definedName>
    <definedName name="PRIVOTE10">#REF!</definedName>
    <definedName name="PRIVOTE11" localSheetId="0">#REF!</definedName>
    <definedName name="PRIVOTE11">#REF!</definedName>
    <definedName name="privote12" localSheetId="0">#REF!</definedName>
    <definedName name="privote12">#REF!</definedName>
    <definedName name="PROCESS" localSheetId="0">#REF!</definedName>
    <definedName name="PROCESS">#REF!</definedName>
    <definedName name="PROCESS1" localSheetId="0">#REF!</definedName>
    <definedName name="PROCESS1">#REF!</definedName>
    <definedName name="PROCESS2" localSheetId="0">#REF!</definedName>
    <definedName name="PROCESS2">#REF!</definedName>
    <definedName name="Q12551A" localSheetId="0">#REF!</definedName>
    <definedName name="Q12551A">#REF!</definedName>
    <definedName name="QA" localSheetId="0">#REF!</definedName>
    <definedName name="QA">#REF!</definedName>
    <definedName name="QQQ" localSheetId="0">#REF!</definedName>
    <definedName name="QQQ">#REF!</definedName>
    <definedName name="RATIO" localSheetId="0">#REF!</definedName>
    <definedName name="RATIO">#REF!</definedName>
    <definedName name="RD">'[8] 2 TS R&amp;D '!$A:$IV</definedName>
    <definedName name="RECHECK1" localSheetId="0">#REF!</definedName>
    <definedName name="RECHECK1">#REF!</definedName>
    <definedName name="recoil" localSheetId="0">#REF!</definedName>
    <definedName name="recoil">#REF!</definedName>
    <definedName name="ree" localSheetId="0">#REF!</definedName>
    <definedName name="ree">#REF!</definedName>
    <definedName name="Remain" localSheetId="0">#REF!</definedName>
    <definedName name="Remain">#REF!</definedName>
    <definedName name="rivote" localSheetId="0">#REF!</definedName>
    <definedName name="rivote">#REF!</definedName>
    <definedName name="RM" localSheetId="0">#REF!</definedName>
    <definedName name="RM">#REF!</definedName>
    <definedName name="RMFORM" localSheetId="0">#REF!</definedName>
    <definedName name="RMFORM">#REF!</definedName>
    <definedName name="RMFORM1" localSheetId="0">#REF!</definedName>
    <definedName name="RMFORM1">#REF!</definedName>
    <definedName name="s" localSheetId="0">#REF!</definedName>
    <definedName name="s">#REF!</definedName>
    <definedName name="SALE" localSheetId="0">#REF!</definedName>
    <definedName name="SALE">#REF!</definedName>
    <definedName name="sale0209" localSheetId="0">#REF!</definedName>
    <definedName name="sale0209">#REF!</definedName>
    <definedName name="sale0309" localSheetId="0">#REF!</definedName>
    <definedName name="sale0309">#REF!</definedName>
    <definedName name="sale0409" localSheetId="0">#REF!</definedName>
    <definedName name="sale0409">#REF!</definedName>
    <definedName name="salejune" localSheetId="0">#REF!</definedName>
    <definedName name="salejune">#REF!</definedName>
    <definedName name="seconce" localSheetId="0">#REF!</definedName>
    <definedName name="seconce">#REF!</definedName>
    <definedName name="seconce1" localSheetId="0">#REF!</definedName>
    <definedName name="seconce1">#REF!</definedName>
    <definedName name="SEP" localSheetId="0">#REF!</definedName>
    <definedName name="SEP">#REF!</definedName>
    <definedName name="SERIAL" localSheetId="0">#REF!</definedName>
    <definedName name="SERIAL">#REF!</definedName>
    <definedName name="sheet" localSheetId="0">#REF!</definedName>
    <definedName name="sheet">#REF!</definedName>
    <definedName name="sheetjuly" localSheetId="0">#REF!</definedName>
    <definedName name="sheetjuly">#REF!</definedName>
    <definedName name="ship9" localSheetId="0">#REF!</definedName>
    <definedName name="ship9">#REF!</definedName>
    <definedName name="shipment" localSheetId="0">#REF!</definedName>
    <definedName name="shipment">#REF!</definedName>
    <definedName name="SLIT" localSheetId="0">#REF!</definedName>
    <definedName name="SLIT">#REF!</definedName>
    <definedName name="spec" localSheetId="0">#REF!</definedName>
    <definedName name="spec">#REF!</definedName>
    <definedName name="SSN" localSheetId="0">#REF!</definedName>
    <definedName name="SSN">#REF!</definedName>
    <definedName name="sss" localSheetId="0">#REF!</definedName>
    <definedName name="sss">#REF!</definedName>
    <definedName name="STOCK" localSheetId="0">#REF!</definedName>
    <definedName name="STOCK">#REF!</definedName>
    <definedName name="stockb0509" localSheetId="0">#REF!</definedName>
    <definedName name="stockb0509">#REF!</definedName>
    <definedName name="stockf0509" localSheetId="0">#REF!</definedName>
    <definedName name="stockf0509">#REF!</definedName>
    <definedName name="stockrmf0509" localSheetId="0">#REF!</definedName>
    <definedName name="stockrmf0509">#REF!</definedName>
    <definedName name="SUW" localSheetId="0">#REF!</definedName>
    <definedName name="SUW">#REF!</definedName>
    <definedName name="TEST">'[4]TOTOL MOVE DIE'!$A:$IV</definedName>
    <definedName name="test1" localSheetId="0">#REF!</definedName>
    <definedName name="test1">#REF!</definedName>
    <definedName name="THAI" localSheetId="0">#REF!</definedName>
    <definedName name="THAI">#REF!</definedName>
    <definedName name="TOTAL">'[2]TOTAL 28'!$A:$IV</definedName>
    <definedName name="trip">'[4]PIVOT STRIP'!$A:$IV</definedName>
    <definedName name="ts" localSheetId="0">#REF!</definedName>
    <definedName name="ts">#REF!</definedName>
    <definedName name="ttt" localSheetId="0">#REF!</definedName>
    <definedName name="ttt">#REF!</definedName>
    <definedName name="UPDATE">'[8]3 TS R&amp;D UPDATE '!$A:$IV</definedName>
    <definedName name="uuu" localSheetId="0">#REF!</definedName>
    <definedName name="uuu">#REF!</definedName>
    <definedName name="VLOOK" localSheetId="0">#REF!</definedName>
    <definedName name="VLOOK">#REF!</definedName>
    <definedName name="vvv" localSheetId="0">#REF!</definedName>
    <definedName name="vvv">#REF!</definedName>
    <definedName name="VVVV" localSheetId="0">#REF!</definedName>
    <definedName name="VVVV">#REF!</definedName>
    <definedName name="weight" localSheetId="0">#REF!</definedName>
    <definedName name="weight">#REF!</definedName>
    <definedName name="wip" localSheetId="0">#REF!</definedName>
    <definedName name="wip">#REF!</definedName>
    <definedName name="www" localSheetId="0">#REF!</definedName>
    <definedName name="www">#REF!</definedName>
    <definedName name="XOIL" localSheetId="0">[7]Sheet1!#REF!</definedName>
    <definedName name="XOIL">[7]Sheet1!#REF!</definedName>
    <definedName name="xxx" localSheetId="0">#REF!</definedName>
    <definedName name="xxx">#REF!</definedName>
    <definedName name="yyy" localSheetId="0">#REF!</definedName>
    <definedName name="yyy">#REF!</definedName>
    <definedName name="ZZ" localSheetId="0">#REF!</definedName>
    <definedName name="ZZ">#REF!</definedName>
    <definedName name="zzz" localSheetId="0">#REF!</definedName>
    <definedName name="zzz">#REF!</definedName>
    <definedName name="เลือกขายเพิ่ม" localSheetId="0">#REF!</definedName>
    <definedName name="เลือกขายเพิ่ม">#REF!</definedName>
    <definedName name="กังชิน" localSheetId="0">#REF!</definedName>
    <definedName name="กังชิน">#REF!</definedName>
    <definedName name="ขายแล้ว" localSheetId="0">#REF!</definedName>
    <definedName name="ขายแล้ว">#REF!</definedName>
    <definedName name="ด้" localSheetId="0">#REF!</definedName>
    <definedName name="ด้">#REF!</definedName>
    <definedName name="ที่เหลือ" localSheetId="0">#REF!</definedName>
    <definedName name="ที่เหลือ">#REF!</definedName>
    <definedName name="ปปป" localSheetId="0">#REF!</definedName>
    <definedName name="ปปป">#REF!</definedName>
    <definedName name="ยอดขาย02" localSheetId="0">#REF!</definedName>
    <definedName name="ยอดขาย02">#REF!</definedName>
    <definedName name="ราคาเก่า" localSheetId="0">#REF!</definedName>
    <definedName name="ราคาเก่า">#REF!</definedName>
    <definedName name="ราคาไหม่" localSheetId="0">[9]TSA!#REF!</definedName>
    <definedName name="ราคาไหม่">[9]TSA!#REF!</definedName>
    <definedName name="อออ" localSheetId="0">#REF!</definedName>
    <definedName name="อออ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5" i="1" l="1"/>
  <c r="Q245" i="1"/>
  <c r="P245" i="1"/>
  <c r="O245" i="1"/>
  <c r="N245" i="1"/>
  <c r="M245" i="1"/>
  <c r="L245" i="1"/>
  <c r="K245" i="1"/>
  <c r="J245" i="1"/>
  <c r="I245" i="1"/>
  <c r="H245" i="1"/>
  <c r="F245" i="1"/>
  <c r="D245" i="1"/>
  <c r="R244" i="1"/>
  <c r="Q244" i="1"/>
  <c r="P244" i="1"/>
  <c r="O244" i="1"/>
  <c r="N244" i="1"/>
  <c r="M244" i="1"/>
  <c r="L244" i="1"/>
  <c r="K244" i="1"/>
  <c r="J244" i="1"/>
  <c r="I244" i="1"/>
  <c r="H244" i="1"/>
  <c r="F244" i="1"/>
  <c r="D244" i="1"/>
  <c r="R243" i="1"/>
  <c r="Q243" i="1"/>
  <c r="P243" i="1"/>
  <c r="O243" i="1"/>
  <c r="N243" i="1"/>
  <c r="M243" i="1"/>
  <c r="L243" i="1"/>
  <c r="K243" i="1"/>
  <c r="J243" i="1"/>
  <c r="I243" i="1"/>
  <c r="H243" i="1"/>
  <c r="F243" i="1"/>
  <c r="D243" i="1"/>
  <c r="R242" i="1"/>
  <c r="Q242" i="1"/>
  <c r="P242" i="1"/>
  <c r="O242" i="1"/>
  <c r="N242" i="1"/>
  <c r="M242" i="1"/>
  <c r="L242" i="1"/>
  <c r="K242" i="1"/>
  <c r="J242" i="1"/>
  <c r="I242" i="1"/>
  <c r="H242" i="1"/>
  <c r="F242" i="1"/>
  <c r="D242" i="1"/>
  <c r="R241" i="1"/>
  <c r="Q241" i="1"/>
  <c r="P241" i="1"/>
  <c r="O241" i="1"/>
  <c r="N241" i="1"/>
  <c r="M241" i="1"/>
  <c r="L241" i="1"/>
  <c r="K241" i="1"/>
  <c r="J241" i="1"/>
  <c r="I241" i="1"/>
  <c r="H241" i="1"/>
  <c r="F241" i="1"/>
  <c r="D241" i="1"/>
  <c r="R240" i="1"/>
  <c r="Q240" i="1"/>
  <c r="P240" i="1"/>
  <c r="O240" i="1"/>
  <c r="N240" i="1"/>
  <c r="M240" i="1"/>
  <c r="L240" i="1"/>
  <c r="K240" i="1"/>
  <c r="J240" i="1"/>
  <c r="I240" i="1"/>
  <c r="H240" i="1"/>
  <c r="F240" i="1"/>
  <c r="D240" i="1"/>
  <c r="R239" i="1"/>
  <c r="Q239" i="1"/>
  <c r="P239" i="1"/>
  <c r="O239" i="1"/>
  <c r="N239" i="1"/>
  <c r="M239" i="1"/>
  <c r="L239" i="1"/>
  <c r="K239" i="1"/>
  <c r="J239" i="1"/>
  <c r="I239" i="1"/>
  <c r="H239" i="1"/>
  <c r="F239" i="1"/>
  <c r="D239" i="1"/>
  <c r="R238" i="1"/>
  <c r="Q238" i="1"/>
  <c r="P238" i="1"/>
  <c r="O238" i="1"/>
  <c r="N238" i="1"/>
  <c r="M238" i="1"/>
  <c r="L238" i="1"/>
  <c r="K238" i="1"/>
  <c r="J238" i="1"/>
  <c r="I238" i="1"/>
  <c r="H238" i="1"/>
  <c r="F238" i="1"/>
  <c r="D238" i="1"/>
  <c r="R237" i="1"/>
  <c r="Q237" i="1"/>
  <c r="P237" i="1"/>
  <c r="O237" i="1"/>
  <c r="N237" i="1"/>
  <c r="M237" i="1"/>
  <c r="L237" i="1"/>
  <c r="K237" i="1"/>
  <c r="J237" i="1"/>
  <c r="I237" i="1"/>
  <c r="H237" i="1"/>
  <c r="F237" i="1"/>
  <c r="D237" i="1"/>
  <c r="R236" i="1"/>
  <c r="Q236" i="1"/>
  <c r="P236" i="1"/>
  <c r="O236" i="1"/>
  <c r="N236" i="1"/>
  <c r="M236" i="1"/>
  <c r="L236" i="1"/>
  <c r="K236" i="1"/>
  <c r="J236" i="1"/>
  <c r="I236" i="1"/>
  <c r="H236" i="1"/>
  <c r="F236" i="1"/>
  <c r="D236" i="1"/>
  <c r="R235" i="1"/>
  <c r="Q235" i="1"/>
  <c r="P235" i="1"/>
  <c r="O235" i="1"/>
  <c r="N235" i="1"/>
  <c r="M235" i="1"/>
  <c r="L235" i="1"/>
  <c r="K235" i="1"/>
  <c r="J235" i="1"/>
  <c r="I235" i="1"/>
  <c r="H235" i="1"/>
  <c r="F235" i="1"/>
  <c r="D235" i="1"/>
  <c r="R234" i="1"/>
  <c r="Q234" i="1"/>
  <c r="P234" i="1"/>
  <c r="O234" i="1"/>
  <c r="N234" i="1"/>
  <c r="M234" i="1"/>
  <c r="L234" i="1"/>
  <c r="K234" i="1"/>
  <c r="J234" i="1"/>
  <c r="I234" i="1"/>
  <c r="H234" i="1"/>
  <c r="F234" i="1"/>
  <c r="D234" i="1"/>
  <c r="R233" i="1"/>
  <c r="Q233" i="1"/>
  <c r="P233" i="1"/>
  <c r="O233" i="1"/>
  <c r="N233" i="1"/>
  <c r="M233" i="1"/>
  <c r="L233" i="1"/>
  <c r="K233" i="1"/>
  <c r="J233" i="1"/>
  <c r="I233" i="1"/>
  <c r="H233" i="1"/>
  <c r="F233" i="1"/>
  <c r="D233" i="1"/>
  <c r="R232" i="1"/>
  <c r="Q232" i="1"/>
  <c r="P232" i="1"/>
  <c r="O232" i="1"/>
  <c r="N232" i="1"/>
  <c r="M232" i="1"/>
  <c r="L232" i="1"/>
  <c r="K232" i="1"/>
  <c r="J232" i="1"/>
  <c r="I232" i="1"/>
  <c r="H232" i="1"/>
  <c r="F232" i="1"/>
  <c r="D232" i="1"/>
  <c r="R231" i="1"/>
  <c r="Q231" i="1"/>
  <c r="P231" i="1"/>
  <c r="O231" i="1"/>
  <c r="N231" i="1"/>
  <c r="M231" i="1"/>
  <c r="L231" i="1"/>
  <c r="K231" i="1"/>
  <c r="J231" i="1"/>
  <c r="I231" i="1"/>
  <c r="H231" i="1"/>
  <c r="F231" i="1"/>
  <c r="D231" i="1"/>
  <c r="R230" i="1"/>
  <c r="Q230" i="1"/>
  <c r="P230" i="1"/>
  <c r="O230" i="1"/>
  <c r="N230" i="1"/>
  <c r="M230" i="1"/>
  <c r="L230" i="1"/>
  <c r="K230" i="1"/>
  <c r="J230" i="1"/>
  <c r="I230" i="1"/>
  <c r="H230" i="1"/>
  <c r="F230" i="1"/>
  <c r="D230" i="1"/>
  <c r="R229" i="1"/>
  <c r="Q229" i="1"/>
  <c r="P229" i="1"/>
  <c r="O229" i="1"/>
  <c r="N229" i="1"/>
  <c r="M229" i="1"/>
  <c r="L229" i="1"/>
  <c r="K229" i="1"/>
  <c r="J229" i="1"/>
  <c r="I229" i="1"/>
  <c r="H229" i="1"/>
  <c r="F229" i="1"/>
  <c r="D229" i="1"/>
  <c r="R228" i="1"/>
  <c r="Q228" i="1"/>
  <c r="P228" i="1"/>
  <c r="O228" i="1"/>
  <c r="N228" i="1"/>
  <c r="M228" i="1"/>
  <c r="L228" i="1"/>
  <c r="K228" i="1"/>
  <c r="J228" i="1"/>
  <c r="I228" i="1"/>
  <c r="H228" i="1"/>
  <c r="F228" i="1"/>
  <c r="D228" i="1"/>
  <c r="R227" i="1"/>
  <c r="Q227" i="1"/>
  <c r="P227" i="1"/>
  <c r="O227" i="1"/>
  <c r="N227" i="1"/>
  <c r="M227" i="1"/>
  <c r="L227" i="1"/>
  <c r="K227" i="1"/>
  <c r="J227" i="1"/>
  <c r="I227" i="1"/>
  <c r="H227" i="1"/>
  <c r="F227" i="1"/>
  <c r="D227" i="1"/>
  <c r="R226" i="1"/>
  <c r="Q226" i="1"/>
  <c r="P226" i="1"/>
  <c r="O226" i="1"/>
  <c r="N226" i="1"/>
  <c r="M226" i="1"/>
  <c r="L226" i="1"/>
  <c r="K226" i="1"/>
  <c r="J226" i="1"/>
  <c r="I226" i="1"/>
  <c r="H226" i="1"/>
  <c r="F226" i="1"/>
  <c r="D226" i="1"/>
  <c r="R225" i="1"/>
  <c r="Q225" i="1"/>
  <c r="P225" i="1"/>
  <c r="O225" i="1"/>
  <c r="N225" i="1"/>
  <c r="M225" i="1"/>
  <c r="L225" i="1"/>
  <c r="K225" i="1"/>
  <c r="J225" i="1"/>
  <c r="I225" i="1"/>
  <c r="H225" i="1"/>
  <c r="F225" i="1"/>
  <c r="D225" i="1"/>
  <c r="R224" i="1"/>
  <c r="Q224" i="1"/>
  <c r="P224" i="1"/>
  <c r="O224" i="1"/>
  <c r="N224" i="1"/>
  <c r="M224" i="1"/>
  <c r="L224" i="1"/>
  <c r="K224" i="1"/>
  <c r="J224" i="1"/>
  <c r="I224" i="1"/>
  <c r="H224" i="1"/>
  <c r="F224" i="1"/>
  <c r="D224" i="1"/>
  <c r="R223" i="1"/>
  <c r="Q223" i="1"/>
  <c r="P223" i="1"/>
  <c r="O223" i="1"/>
  <c r="N223" i="1"/>
  <c r="M223" i="1"/>
  <c r="L223" i="1"/>
  <c r="K223" i="1"/>
  <c r="J223" i="1"/>
  <c r="I223" i="1"/>
  <c r="H223" i="1"/>
  <c r="F223" i="1"/>
  <c r="D223" i="1"/>
  <c r="R222" i="1"/>
  <c r="Q222" i="1"/>
  <c r="P222" i="1"/>
  <c r="O222" i="1"/>
  <c r="N222" i="1"/>
  <c r="M222" i="1"/>
  <c r="L222" i="1"/>
  <c r="K222" i="1"/>
  <c r="J222" i="1"/>
  <c r="I222" i="1"/>
  <c r="H222" i="1"/>
  <c r="F222" i="1"/>
  <c r="D222" i="1"/>
  <c r="R221" i="1"/>
  <c r="Q221" i="1"/>
  <c r="P221" i="1"/>
  <c r="O221" i="1"/>
  <c r="N221" i="1"/>
  <c r="M221" i="1"/>
  <c r="L221" i="1"/>
  <c r="K221" i="1"/>
  <c r="J221" i="1"/>
  <c r="I221" i="1"/>
  <c r="H221" i="1"/>
  <c r="F221" i="1"/>
  <c r="D221" i="1"/>
  <c r="R220" i="1"/>
  <c r="Q220" i="1"/>
  <c r="P220" i="1"/>
  <c r="O220" i="1"/>
  <c r="N220" i="1"/>
  <c r="M220" i="1"/>
  <c r="L220" i="1"/>
  <c r="K220" i="1"/>
  <c r="J220" i="1"/>
  <c r="I220" i="1"/>
  <c r="H220" i="1"/>
  <c r="F220" i="1"/>
  <c r="D220" i="1"/>
  <c r="R219" i="1"/>
  <c r="Q219" i="1"/>
  <c r="P219" i="1"/>
  <c r="O219" i="1"/>
  <c r="N219" i="1"/>
  <c r="M219" i="1"/>
  <c r="L219" i="1"/>
  <c r="K219" i="1"/>
  <c r="J219" i="1"/>
  <c r="I219" i="1"/>
  <c r="H219" i="1"/>
  <c r="F219" i="1"/>
  <c r="D219" i="1"/>
  <c r="R218" i="1"/>
  <c r="Q218" i="1"/>
  <c r="P218" i="1"/>
  <c r="O218" i="1"/>
  <c r="N218" i="1"/>
  <c r="M218" i="1"/>
  <c r="L218" i="1"/>
  <c r="K218" i="1"/>
  <c r="J218" i="1"/>
  <c r="I218" i="1"/>
  <c r="H218" i="1"/>
  <c r="F218" i="1"/>
  <c r="D218" i="1"/>
  <c r="R217" i="1"/>
  <c r="Q217" i="1"/>
  <c r="P217" i="1"/>
  <c r="O217" i="1"/>
  <c r="N217" i="1"/>
  <c r="M217" i="1"/>
  <c r="L217" i="1"/>
  <c r="K217" i="1"/>
  <c r="J217" i="1"/>
  <c r="I217" i="1"/>
  <c r="H217" i="1"/>
  <c r="F217" i="1"/>
  <c r="D217" i="1"/>
  <c r="R216" i="1"/>
  <c r="Q216" i="1"/>
  <c r="P216" i="1"/>
  <c r="O216" i="1"/>
  <c r="N216" i="1"/>
  <c r="M216" i="1"/>
  <c r="L216" i="1"/>
  <c r="K216" i="1"/>
  <c r="J216" i="1"/>
  <c r="I216" i="1"/>
  <c r="H216" i="1"/>
  <c r="F216" i="1"/>
  <c r="D216" i="1"/>
  <c r="R215" i="1"/>
  <c r="Q215" i="1"/>
  <c r="P215" i="1"/>
  <c r="O215" i="1"/>
  <c r="N215" i="1"/>
  <c r="M215" i="1"/>
  <c r="L215" i="1"/>
  <c r="K215" i="1"/>
  <c r="J215" i="1"/>
  <c r="I215" i="1"/>
  <c r="H215" i="1"/>
  <c r="F215" i="1"/>
  <c r="D215" i="1"/>
  <c r="R214" i="1"/>
  <c r="Q214" i="1"/>
  <c r="P214" i="1"/>
  <c r="O214" i="1"/>
  <c r="N214" i="1"/>
  <c r="M214" i="1"/>
  <c r="L214" i="1"/>
  <c r="K214" i="1"/>
  <c r="J214" i="1"/>
  <c r="I214" i="1"/>
  <c r="H214" i="1"/>
  <c r="F214" i="1"/>
  <c r="D214" i="1"/>
  <c r="R213" i="1"/>
  <c r="Q213" i="1"/>
  <c r="P213" i="1"/>
  <c r="O213" i="1"/>
  <c r="N213" i="1"/>
  <c r="M213" i="1"/>
  <c r="L213" i="1"/>
  <c r="K213" i="1"/>
  <c r="J213" i="1"/>
  <c r="I213" i="1"/>
  <c r="H213" i="1"/>
  <c r="F213" i="1"/>
  <c r="D213" i="1"/>
  <c r="R212" i="1"/>
  <c r="Q212" i="1"/>
  <c r="P212" i="1"/>
  <c r="O212" i="1"/>
  <c r="N212" i="1"/>
  <c r="M212" i="1"/>
  <c r="L212" i="1"/>
  <c r="K212" i="1"/>
  <c r="J212" i="1"/>
  <c r="I212" i="1"/>
  <c r="H212" i="1"/>
  <c r="F212" i="1"/>
  <c r="D212" i="1"/>
  <c r="R211" i="1"/>
  <c r="Q211" i="1"/>
  <c r="P211" i="1"/>
  <c r="O211" i="1"/>
  <c r="N211" i="1"/>
  <c r="M211" i="1"/>
  <c r="L211" i="1"/>
  <c r="K211" i="1"/>
  <c r="J211" i="1"/>
  <c r="I211" i="1"/>
  <c r="H211" i="1"/>
  <c r="F211" i="1"/>
  <c r="D211" i="1"/>
  <c r="R210" i="1"/>
  <c r="Q210" i="1"/>
  <c r="P210" i="1"/>
  <c r="O210" i="1"/>
  <c r="N210" i="1"/>
  <c r="M210" i="1"/>
  <c r="L210" i="1"/>
  <c r="K210" i="1"/>
  <c r="J210" i="1"/>
  <c r="I210" i="1"/>
  <c r="H210" i="1"/>
  <c r="F210" i="1"/>
  <c r="D210" i="1"/>
  <c r="R209" i="1"/>
  <c r="Q209" i="1"/>
  <c r="P209" i="1"/>
  <c r="O209" i="1"/>
  <c r="N209" i="1"/>
  <c r="M209" i="1"/>
  <c r="L209" i="1"/>
  <c r="K209" i="1"/>
  <c r="J209" i="1"/>
  <c r="I209" i="1"/>
  <c r="H209" i="1"/>
  <c r="F209" i="1"/>
  <c r="D209" i="1"/>
  <c r="R208" i="1"/>
  <c r="Q208" i="1"/>
  <c r="P208" i="1"/>
  <c r="O208" i="1"/>
  <c r="N208" i="1"/>
  <c r="M208" i="1"/>
  <c r="L208" i="1"/>
  <c r="K208" i="1"/>
  <c r="J208" i="1"/>
  <c r="I208" i="1"/>
  <c r="H208" i="1"/>
  <c r="F208" i="1"/>
  <c r="D208" i="1"/>
  <c r="R207" i="1"/>
  <c r="Q207" i="1"/>
  <c r="P207" i="1"/>
  <c r="O207" i="1"/>
  <c r="N207" i="1"/>
  <c r="M207" i="1"/>
  <c r="L207" i="1"/>
  <c r="K207" i="1"/>
  <c r="J207" i="1"/>
  <c r="I207" i="1"/>
  <c r="H207" i="1"/>
  <c r="F207" i="1"/>
  <c r="D207" i="1"/>
  <c r="R206" i="1"/>
  <c r="Q206" i="1"/>
  <c r="P206" i="1"/>
  <c r="O206" i="1"/>
  <c r="N206" i="1"/>
  <c r="M206" i="1"/>
  <c r="L206" i="1"/>
  <c r="K206" i="1"/>
  <c r="J206" i="1"/>
  <c r="I206" i="1"/>
  <c r="H206" i="1"/>
  <c r="F206" i="1"/>
  <c r="D206" i="1"/>
  <c r="R205" i="1"/>
  <c r="Q205" i="1"/>
  <c r="P205" i="1"/>
  <c r="O205" i="1"/>
  <c r="N205" i="1"/>
  <c r="M205" i="1"/>
  <c r="L205" i="1"/>
  <c r="K205" i="1"/>
  <c r="J205" i="1"/>
  <c r="I205" i="1"/>
  <c r="H205" i="1"/>
  <c r="F205" i="1"/>
  <c r="D205" i="1"/>
  <c r="R204" i="1"/>
  <c r="Q204" i="1"/>
  <c r="P204" i="1"/>
  <c r="O204" i="1"/>
  <c r="N204" i="1"/>
  <c r="M204" i="1"/>
  <c r="L204" i="1"/>
  <c r="K204" i="1"/>
  <c r="J204" i="1"/>
  <c r="I204" i="1"/>
  <c r="H204" i="1"/>
  <c r="F204" i="1"/>
  <c r="D204" i="1"/>
  <c r="R203" i="1"/>
  <c r="Q203" i="1"/>
  <c r="P203" i="1"/>
  <c r="O203" i="1"/>
  <c r="N203" i="1"/>
  <c r="M203" i="1"/>
  <c r="L203" i="1"/>
  <c r="K203" i="1"/>
  <c r="J203" i="1"/>
  <c r="I203" i="1"/>
  <c r="H203" i="1"/>
  <c r="F203" i="1"/>
  <c r="D203" i="1"/>
  <c r="R202" i="1"/>
  <c r="Q202" i="1"/>
  <c r="P202" i="1"/>
  <c r="O202" i="1"/>
  <c r="N202" i="1"/>
  <c r="M202" i="1"/>
  <c r="L202" i="1"/>
  <c r="K202" i="1"/>
  <c r="J202" i="1"/>
  <c r="I202" i="1"/>
  <c r="H202" i="1"/>
  <c r="F202" i="1"/>
  <c r="D202" i="1"/>
  <c r="R201" i="1"/>
  <c r="Q201" i="1"/>
  <c r="P201" i="1"/>
  <c r="O201" i="1"/>
  <c r="N201" i="1"/>
  <c r="M201" i="1"/>
  <c r="L201" i="1"/>
  <c r="K201" i="1"/>
  <c r="J201" i="1"/>
  <c r="I201" i="1"/>
  <c r="H201" i="1"/>
  <c r="F201" i="1"/>
  <c r="D201" i="1"/>
  <c r="R200" i="1"/>
  <c r="Q200" i="1"/>
  <c r="P200" i="1"/>
  <c r="O200" i="1"/>
  <c r="N200" i="1"/>
  <c r="M200" i="1"/>
  <c r="L200" i="1"/>
  <c r="K200" i="1"/>
  <c r="J200" i="1"/>
  <c r="I200" i="1"/>
  <c r="H200" i="1"/>
  <c r="F200" i="1"/>
  <c r="D200" i="1"/>
  <c r="R199" i="1"/>
  <c r="Q199" i="1"/>
  <c r="P199" i="1"/>
  <c r="O199" i="1"/>
  <c r="N199" i="1"/>
  <c r="M199" i="1"/>
  <c r="L199" i="1"/>
  <c r="K199" i="1"/>
  <c r="J199" i="1"/>
  <c r="I199" i="1"/>
  <c r="H199" i="1"/>
  <c r="F199" i="1"/>
  <c r="D199" i="1"/>
  <c r="R198" i="1"/>
  <c r="Q198" i="1"/>
  <c r="P198" i="1"/>
  <c r="O198" i="1"/>
  <c r="N198" i="1"/>
  <c r="M198" i="1"/>
  <c r="L198" i="1"/>
  <c r="K198" i="1"/>
  <c r="J198" i="1"/>
  <c r="I198" i="1"/>
  <c r="H198" i="1"/>
  <c r="F198" i="1"/>
  <c r="D198" i="1"/>
  <c r="R197" i="1"/>
  <c r="Q197" i="1"/>
  <c r="P197" i="1"/>
  <c r="O197" i="1"/>
  <c r="N197" i="1"/>
  <c r="M197" i="1"/>
  <c r="L197" i="1"/>
  <c r="K197" i="1"/>
  <c r="J197" i="1"/>
  <c r="I197" i="1"/>
  <c r="H197" i="1"/>
  <c r="F197" i="1"/>
  <c r="D197" i="1"/>
  <c r="R196" i="1"/>
  <c r="Q196" i="1"/>
  <c r="P196" i="1"/>
  <c r="O196" i="1"/>
  <c r="N196" i="1"/>
  <c r="M196" i="1"/>
  <c r="L196" i="1"/>
  <c r="K196" i="1"/>
  <c r="J196" i="1"/>
  <c r="I196" i="1"/>
  <c r="H196" i="1"/>
  <c r="F196" i="1"/>
  <c r="D196" i="1"/>
  <c r="R195" i="1"/>
  <c r="Q195" i="1"/>
  <c r="P195" i="1"/>
  <c r="O195" i="1"/>
  <c r="N195" i="1"/>
  <c r="M195" i="1"/>
  <c r="L195" i="1"/>
  <c r="K195" i="1"/>
  <c r="J195" i="1"/>
  <c r="I195" i="1"/>
  <c r="H195" i="1"/>
  <c r="F195" i="1"/>
  <c r="D195" i="1"/>
  <c r="R194" i="1"/>
  <c r="Q194" i="1"/>
  <c r="P194" i="1"/>
  <c r="O194" i="1"/>
  <c r="N194" i="1"/>
  <c r="M194" i="1"/>
  <c r="L194" i="1"/>
  <c r="K194" i="1"/>
  <c r="J194" i="1"/>
  <c r="I194" i="1"/>
  <c r="H194" i="1"/>
  <c r="F194" i="1"/>
  <c r="D194" i="1"/>
  <c r="R193" i="1"/>
  <c r="Q193" i="1"/>
  <c r="P193" i="1"/>
  <c r="O193" i="1"/>
  <c r="N193" i="1"/>
  <c r="M193" i="1"/>
  <c r="L193" i="1"/>
  <c r="K193" i="1"/>
  <c r="J193" i="1"/>
  <c r="I193" i="1"/>
  <c r="H193" i="1"/>
  <c r="F193" i="1"/>
  <c r="D193" i="1"/>
  <c r="R192" i="1"/>
  <c r="Q192" i="1"/>
  <c r="P192" i="1"/>
  <c r="O192" i="1"/>
  <c r="N192" i="1"/>
  <c r="M192" i="1"/>
  <c r="L192" i="1"/>
  <c r="K192" i="1"/>
  <c r="J192" i="1"/>
  <c r="I192" i="1"/>
  <c r="H192" i="1"/>
  <c r="F192" i="1"/>
  <c r="D192" i="1"/>
  <c r="R191" i="1"/>
  <c r="Q191" i="1"/>
  <c r="P191" i="1"/>
  <c r="O191" i="1"/>
  <c r="N191" i="1"/>
  <c r="M191" i="1"/>
  <c r="L191" i="1"/>
  <c r="K191" i="1"/>
  <c r="J191" i="1"/>
  <c r="I191" i="1"/>
  <c r="H191" i="1"/>
  <c r="F191" i="1"/>
  <c r="D191" i="1"/>
  <c r="R190" i="1"/>
  <c r="Q190" i="1"/>
  <c r="P190" i="1"/>
  <c r="O190" i="1"/>
  <c r="N190" i="1"/>
  <c r="M190" i="1"/>
  <c r="L190" i="1"/>
  <c r="K190" i="1"/>
  <c r="J190" i="1"/>
  <c r="I190" i="1"/>
  <c r="H190" i="1"/>
  <c r="F190" i="1"/>
  <c r="D190" i="1"/>
  <c r="R189" i="1"/>
  <c r="Q189" i="1"/>
  <c r="P189" i="1"/>
  <c r="O189" i="1"/>
  <c r="N189" i="1"/>
  <c r="M189" i="1"/>
  <c r="L189" i="1"/>
  <c r="K189" i="1"/>
  <c r="J189" i="1"/>
  <c r="I189" i="1"/>
  <c r="H189" i="1"/>
  <c r="F189" i="1"/>
  <c r="D189" i="1"/>
  <c r="R188" i="1"/>
  <c r="Q188" i="1"/>
  <c r="P188" i="1"/>
  <c r="O188" i="1"/>
  <c r="N188" i="1"/>
  <c r="M188" i="1"/>
  <c r="L188" i="1"/>
  <c r="K188" i="1"/>
  <c r="J188" i="1"/>
  <c r="I188" i="1"/>
  <c r="H188" i="1"/>
  <c r="F188" i="1"/>
  <c r="D188" i="1"/>
  <c r="R187" i="1"/>
  <c r="Q187" i="1"/>
  <c r="P187" i="1"/>
  <c r="O187" i="1"/>
  <c r="N187" i="1"/>
  <c r="M187" i="1"/>
  <c r="L187" i="1"/>
  <c r="K187" i="1"/>
  <c r="J187" i="1"/>
  <c r="I187" i="1"/>
  <c r="H187" i="1"/>
  <c r="F187" i="1"/>
  <c r="D187" i="1"/>
  <c r="R186" i="1"/>
  <c r="Q186" i="1"/>
  <c r="P186" i="1"/>
  <c r="O186" i="1"/>
  <c r="N186" i="1"/>
  <c r="M186" i="1"/>
  <c r="L186" i="1"/>
  <c r="K186" i="1"/>
  <c r="J186" i="1"/>
  <c r="I186" i="1"/>
  <c r="H186" i="1"/>
  <c r="F186" i="1"/>
  <c r="D186" i="1"/>
  <c r="R185" i="1"/>
  <c r="Q185" i="1"/>
  <c r="P185" i="1"/>
  <c r="O185" i="1"/>
  <c r="N185" i="1"/>
  <c r="M185" i="1"/>
  <c r="L185" i="1"/>
  <c r="K185" i="1"/>
  <c r="J185" i="1"/>
  <c r="I185" i="1"/>
  <c r="H185" i="1"/>
  <c r="F185" i="1"/>
  <c r="D185" i="1"/>
  <c r="R184" i="1"/>
  <c r="Q184" i="1"/>
  <c r="P184" i="1"/>
  <c r="O184" i="1"/>
  <c r="N184" i="1"/>
  <c r="M184" i="1"/>
  <c r="L184" i="1"/>
  <c r="K184" i="1"/>
  <c r="J184" i="1"/>
  <c r="I184" i="1"/>
  <c r="H184" i="1"/>
  <c r="F184" i="1"/>
  <c r="D184" i="1"/>
  <c r="R183" i="1"/>
  <c r="Q183" i="1"/>
  <c r="P183" i="1"/>
  <c r="O183" i="1"/>
  <c r="N183" i="1"/>
  <c r="M183" i="1"/>
  <c r="L183" i="1"/>
  <c r="K183" i="1"/>
  <c r="J183" i="1"/>
  <c r="I183" i="1"/>
  <c r="H183" i="1"/>
  <c r="F183" i="1"/>
  <c r="D183" i="1"/>
  <c r="R182" i="1"/>
  <c r="Q182" i="1"/>
  <c r="P182" i="1"/>
  <c r="O182" i="1"/>
  <c r="N182" i="1"/>
  <c r="M182" i="1"/>
  <c r="L182" i="1"/>
  <c r="K182" i="1"/>
  <c r="J182" i="1"/>
  <c r="I182" i="1"/>
  <c r="H182" i="1"/>
  <c r="F182" i="1"/>
  <c r="D182" i="1"/>
  <c r="R181" i="1"/>
  <c r="Q181" i="1"/>
  <c r="P181" i="1"/>
  <c r="O181" i="1"/>
  <c r="N181" i="1"/>
  <c r="M181" i="1"/>
  <c r="L181" i="1"/>
  <c r="K181" i="1"/>
  <c r="J181" i="1"/>
  <c r="I181" i="1"/>
  <c r="H181" i="1"/>
  <c r="F181" i="1"/>
  <c r="D181" i="1"/>
  <c r="R180" i="1"/>
  <c r="Q180" i="1"/>
  <c r="P180" i="1"/>
  <c r="O180" i="1"/>
  <c r="N180" i="1"/>
  <c r="M180" i="1"/>
  <c r="L180" i="1"/>
  <c r="K180" i="1"/>
  <c r="J180" i="1"/>
  <c r="I180" i="1"/>
  <c r="H180" i="1"/>
  <c r="F180" i="1"/>
  <c r="D180" i="1"/>
  <c r="R179" i="1"/>
  <c r="Q179" i="1"/>
  <c r="P179" i="1"/>
  <c r="O179" i="1"/>
  <c r="N179" i="1"/>
  <c r="M179" i="1"/>
  <c r="L179" i="1"/>
  <c r="K179" i="1"/>
  <c r="J179" i="1"/>
  <c r="I179" i="1"/>
  <c r="H179" i="1"/>
  <c r="F179" i="1"/>
  <c r="D179" i="1"/>
  <c r="R178" i="1"/>
  <c r="Q178" i="1"/>
  <c r="P178" i="1"/>
  <c r="O178" i="1"/>
  <c r="N178" i="1"/>
  <c r="M178" i="1"/>
  <c r="L178" i="1"/>
  <c r="K178" i="1"/>
  <c r="J178" i="1"/>
  <c r="I178" i="1"/>
  <c r="H178" i="1"/>
  <c r="F178" i="1"/>
  <c r="D178" i="1"/>
  <c r="R177" i="1"/>
  <c r="Q177" i="1"/>
  <c r="P177" i="1"/>
  <c r="O177" i="1"/>
  <c r="N177" i="1"/>
  <c r="M177" i="1"/>
  <c r="L177" i="1"/>
  <c r="K177" i="1"/>
  <c r="J177" i="1"/>
  <c r="I177" i="1"/>
  <c r="H177" i="1"/>
  <c r="F177" i="1"/>
  <c r="D177" i="1"/>
  <c r="R176" i="1"/>
  <c r="Q176" i="1"/>
  <c r="P176" i="1"/>
  <c r="O176" i="1"/>
  <c r="N176" i="1"/>
  <c r="M176" i="1"/>
  <c r="L176" i="1"/>
  <c r="K176" i="1"/>
  <c r="J176" i="1"/>
  <c r="I176" i="1"/>
  <c r="H176" i="1"/>
  <c r="F176" i="1"/>
  <c r="D176" i="1"/>
  <c r="R175" i="1"/>
  <c r="Q175" i="1"/>
  <c r="P175" i="1"/>
  <c r="O175" i="1"/>
  <c r="N175" i="1"/>
  <c r="M175" i="1"/>
  <c r="L175" i="1"/>
  <c r="K175" i="1"/>
  <c r="J175" i="1"/>
  <c r="I175" i="1"/>
  <c r="H175" i="1"/>
  <c r="F175" i="1"/>
  <c r="D175" i="1"/>
  <c r="R174" i="1"/>
  <c r="Q174" i="1"/>
  <c r="P174" i="1"/>
  <c r="O174" i="1"/>
  <c r="N174" i="1"/>
  <c r="M174" i="1"/>
  <c r="L174" i="1"/>
  <c r="K174" i="1"/>
  <c r="J174" i="1"/>
  <c r="I174" i="1"/>
  <c r="H174" i="1"/>
  <c r="F174" i="1"/>
  <c r="D174" i="1"/>
  <c r="R173" i="1"/>
  <c r="Q173" i="1"/>
  <c r="P173" i="1"/>
  <c r="O173" i="1"/>
  <c r="N173" i="1"/>
  <c r="M173" i="1"/>
  <c r="L173" i="1"/>
  <c r="K173" i="1"/>
  <c r="J173" i="1"/>
  <c r="I173" i="1"/>
  <c r="H173" i="1"/>
  <c r="F173" i="1"/>
  <c r="D173" i="1"/>
  <c r="R172" i="1"/>
  <c r="Q172" i="1"/>
  <c r="P172" i="1"/>
  <c r="O172" i="1"/>
  <c r="N172" i="1"/>
  <c r="M172" i="1"/>
  <c r="L172" i="1"/>
  <c r="K172" i="1"/>
  <c r="J172" i="1"/>
  <c r="I172" i="1"/>
  <c r="H172" i="1"/>
  <c r="F172" i="1"/>
  <c r="D172" i="1"/>
  <c r="R171" i="1"/>
  <c r="Q171" i="1"/>
  <c r="P171" i="1"/>
  <c r="O171" i="1"/>
  <c r="N171" i="1"/>
  <c r="M171" i="1"/>
  <c r="L171" i="1"/>
  <c r="K171" i="1"/>
  <c r="J171" i="1"/>
  <c r="I171" i="1"/>
  <c r="H171" i="1"/>
  <c r="F171" i="1"/>
  <c r="D171" i="1"/>
  <c r="R170" i="1"/>
  <c r="Q170" i="1"/>
  <c r="P170" i="1"/>
  <c r="O170" i="1"/>
  <c r="N170" i="1"/>
  <c r="M170" i="1"/>
  <c r="L170" i="1"/>
  <c r="K170" i="1"/>
  <c r="J170" i="1"/>
  <c r="I170" i="1"/>
  <c r="H170" i="1"/>
  <c r="F170" i="1"/>
  <c r="D170" i="1"/>
  <c r="R169" i="1"/>
  <c r="Q169" i="1"/>
  <c r="P169" i="1"/>
  <c r="O169" i="1"/>
  <c r="N169" i="1"/>
  <c r="M169" i="1"/>
  <c r="L169" i="1"/>
  <c r="K169" i="1"/>
  <c r="J169" i="1"/>
  <c r="I169" i="1"/>
  <c r="H169" i="1"/>
  <c r="F169" i="1"/>
  <c r="D169" i="1"/>
  <c r="R168" i="1"/>
  <c r="Q168" i="1"/>
  <c r="P168" i="1"/>
  <c r="O168" i="1"/>
  <c r="N168" i="1"/>
  <c r="M168" i="1"/>
  <c r="L168" i="1"/>
  <c r="K168" i="1"/>
  <c r="J168" i="1"/>
  <c r="I168" i="1"/>
  <c r="H168" i="1"/>
  <c r="F168" i="1"/>
  <c r="D168" i="1"/>
  <c r="R167" i="1"/>
  <c r="Q167" i="1"/>
  <c r="P167" i="1"/>
  <c r="O167" i="1"/>
  <c r="N167" i="1"/>
  <c r="M167" i="1"/>
  <c r="L167" i="1"/>
  <c r="K167" i="1"/>
  <c r="J167" i="1"/>
  <c r="I167" i="1"/>
  <c r="H167" i="1"/>
  <c r="F167" i="1"/>
  <c r="D167" i="1"/>
  <c r="R166" i="1"/>
  <c r="Q166" i="1"/>
  <c r="P166" i="1"/>
  <c r="O166" i="1"/>
  <c r="N166" i="1"/>
  <c r="M166" i="1"/>
  <c r="L166" i="1"/>
  <c r="K166" i="1"/>
  <c r="J166" i="1"/>
  <c r="I166" i="1"/>
  <c r="H166" i="1"/>
  <c r="F166" i="1"/>
  <c r="D166" i="1"/>
  <c r="R165" i="1"/>
  <c r="Q165" i="1"/>
  <c r="P165" i="1"/>
  <c r="O165" i="1"/>
  <c r="N165" i="1"/>
  <c r="M165" i="1"/>
  <c r="L165" i="1"/>
  <c r="K165" i="1"/>
  <c r="J165" i="1"/>
  <c r="I165" i="1"/>
  <c r="H165" i="1"/>
  <c r="F165" i="1"/>
  <c r="D165" i="1"/>
  <c r="R164" i="1"/>
  <c r="Q164" i="1"/>
  <c r="P164" i="1"/>
  <c r="O164" i="1"/>
  <c r="N164" i="1"/>
  <c r="M164" i="1"/>
  <c r="L164" i="1"/>
  <c r="K164" i="1"/>
  <c r="J164" i="1"/>
  <c r="I164" i="1"/>
  <c r="H164" i="1"/>
  <c r="F164" i="1"/>
  <c r="D164" i="1"/>
  <c r="R163" i="1"/>
  <c r="Q163" i="1"/>
  <c r="P163" i="1"/>
  <c r="O163" i="1"/>
  <c r="N163" i="1"/>
  <c r="M163" i="1"/>
  <c r="L163" i="1"/>
  <c r="K163" i="1"/>
  <c r="J163" i="1"/>
  <c r="I163" i="1"/>
  <c r="H163" i="1"/>
  <c r="F163" i="1"/>
  <c r="D163" i="1"/>
  <c r="R162" i="1"/>
  <c r="Q162" i="1"/>
  <c r="P162" i="1"/>
  <c r="O162" i="1"/>
  <c r="N162" i="1"/>
  <c r="M162" i="1"/>
  <c r="L162" i="1"/>
  <c r="K162" i="1"/>
  <c r="J162" i="1"/>
  <c r="I162" i="1"/>
  <c r="H162" i="1"/>
  <c r="F162" i="1"/>
  <c r="D162" i="1"/>
  <c r="R161" i="1"/>
  <c r="Q161" i="1"/>
  <c r="P161" i="1"/>
  <c r="O161" i="1"/>
  <c r="N161" i="1"/>
  <c r="M161" i="1"/>
  <c r="L161" i="1"/>
  <c r="K161" i="1"/>
  <c r="J161" i="1"/>
  <c r="I161" i="1"/>
  <c r="H161" i="1"/>
  <c r="F161" i="1"/>
  <c r="D161" i="1"/>
  <c r="R160" i="1"/>
  <c r="Q160" i="1"/>
  <c r="P160" i="1"/>
  <c r="O160" i="1"/>
  <c r="N160" i="1"/>
  <c r="M160" i="1"/>
  <c r="L160" i="1"/>
  <c r="K160" i="1"/>
  <c r="J160" i="1"/>
  <c r="I160" i="1"/>
  <c r="H160" i="1"/>
  <c r="F160" i="1"/>
  <c r="D160" i="1"/>
  <c r="R159" i="1"/>
  <c r="Q159" i="1"/>
  <c r="P159" i="1"/>
  <c r="O159" i="1"/>
  <c r="N159" i="1"/>
  <c r="M159" i="1"/>
  <c r="L159" i="1"/>
  <c r="K159" i="1"/>
  <c r="J159" i="1"/>
  <c r="I159" i="1"/>
  <c r="H159" i="1"/>
  <c r="F159" i="1"/>
  <c r="D159" i="1"/>
  <c r="R158" i="1"/>
  <c r="Q158" i="1"/>
  <c r="P158" i="1"/>
  <c r="O158" i="1"/>
  <c r="N158" i="1"/>
  <c r="M158" i="1"/>
  <c r="L158" i="1"/>
  <c r="K158" i="1"/>
  <c r="J158" i="1"/>
  <c r="I158" i="1"/>
  <c r="H158" i="1"/>
  <c r="F158" i="1"/>
  <c r="D158" i="1"/>
  <c r="R157" i="1"/>
  <c r="Q157" i="1"/>
  <c r="P157" i="1"/>
  <c r="O157" i="1"/>
  <c r="N157" i="1"/>
  <c r="M157" i="1"/>
  <c r="L157" i="1"/>
  <c r="K157" i="1"/>
  <c r="J157" i="1"/>
  <c r="I157" i="1"/>
  <c r="H157" i="1"/>
  <c r="F157" i="1"/>
  <c r="D157" i="1"/>
  <c r="R156" i="1"/>
  <c r="Q156" i="1"/>
  <c r="P156" i="1"/>
  <c r="O156" i="1"/>
  <c r="N156" i="1"/>
  <c r="M156" i="1"/>
  <c r="L156" i="1"/>
  <c r="K156" i="1"/>
  <c r="J156" i="1"/>
  <c r="I156" i="1"/>
  <c r="H156" i="1"/>
  <c r="F156" i="1"/>
  <c r="D156" i="1"/>
  <c r="R155" i="1"/>
  <c r="Q155" i="1"/>
  <c r="P155" i="1"/>
  <c r="O155" i="1"/>
  <c r="N155" i="1"/>
  <c r="M155" i="1"/>
  <c r="L155" i="1"/>
  <c r="K155" i="1"/>
  <c r="J155" i="1"/>
  <c r="I155" i="1"/>
  <c r="H155" i="1"/>
  <c r="F155" i="1"/>
  <c r="D155" i="1"/>
  <c r="R154" i="1"/>
  <c r="Q154" i="1"/>
  <c r="P154" i="1"/>
  <c r="O154" i="1"/>
  <c r="N154" i="1"/>
  <c r="M154" i="1"/>
  <c r="L154" i="1"/>
  <c r="K154" i="1"/>
  <c r="J154" i="1"/>
  <c r="I154" i="1"/>
  <c r="H154" i="1"/>
  <c r="F154" i="1"/>
  <c r="D154" i="1"/>
  <c r="R153" i="1"/>
  <c r="Q153" i="1"/>
  <c r="P153" i="1"/>
  <c r="O153" i="1"/>
  <c r="N153" i="1"/>
  <c r="M153" i="1"/>
  <c r="L153" i="1"/>
  <c r="K153" i="1"/>
  <c r="J153" i="1"/>
  <c r="I153" i="1"/>
  <c r="H153" i="1"/>
  <c r="F153" i="1"/>
  <c r="D153" i="1"/>
  <c r="R152" i="1"/>
  <c r="Q152" i="1"/>
  <c r="P152" i="1"/>
  <c r="O152" i="1"/>
  <c r="N152" i="1"/>
  <c r="M152" i="1"/>
  <c r="L152" i="1"/>
  <c r="K152" i="1"/>
  <c r="J152" i="1"/>
  <c r="I152" i="1"/>
  <c r="H152" i="1"/>
  <c r="F152" i="1"/>
  <c r="D152" i="1"/>
  <c r="R151" i="1"/>
  <c r="Q151" i="1"/>
  <c r="P151" i="1"/>
  <c r="O151" i="1"/>
  <c r="N151" i="1"/>
  <c r="M151" i="1"/>
  <c r="L151" i="1"/>
  <c r="K151" i="1"/>
  <c r="J151" i="1"/>
  <c r="I151" i="1"/>
  <c r="H151" i="1"/>
  <c r="F151" i="1"/>
  <c r="D151" i="1"/>
  <c r="R150" i="1"/>
  <c r="Q150" i="1"/>
  <c r="P150" i="1"/>
  <c r="O150" i="1"/>
  <c r="N150" i="1"/>
  <c r="M150" i="1"/>
  <c r="L150" i="1"/>
  <c r="K150" i="1"/>
  <c r="J150" i="1"/>
  <c r="I150" i="1"/>
  <c r="H150" i="1"/>
  <c r="F150" i="1"/>
  <c r="D150" i="1"/>
  <c r="R149" i="1"/>
  <c r="Q149" i="1"/>
  <c r="P149" i="1"/>
  <c r="O149" i="1"/>
  <c r="N149" i="1"/>
  <c r="M149" i="1"/>
  <c r="L149" i="1"/>
  <c r="K149" i="1"/>
  <c r="J149" i="1"/>
  <c r="I149" i="1"/>
  <c r="H149" i="1"/>
  <c r="F149" i="1"/>
  <c r="D149" i="1"/>
  <c r="R148" i="1"/>
  <c r="Q148" i="1"/>
  <c r="P148" i="1"/>
  <c r="O148" i="1"/>
  <c r="N148" i="1"/>
  <c r="M148" i="1"/>
  <c r="L148" i="1"/>
  <c r="K148" i="1"/>
  <c r="J148" i="1"/>
  <c r="I148" i="1"/>
  <c r="H148" i="1"/>
  <c r="F148" i="1"/>
  <c r="D148" i="1"/>
  <c r="R147" i="1"/>
  <c r="Q147" i="1"/>
  <c r="P147" i="1"/>
  <c r="O147" i="1"/>
  <c r="N147" i="1"/>
  <c r="M147" i="1"/>
  <c r="L147" i="1"/>
  <c r="K147" i="1"/>
  <c r="J147" i="1"/>
  <c r="I147" i="1"/>
  <c r="H147" i="1"/>
  <c r="F147" i="1"/>
  <c r="D147" i="1"/>
  <c r="R146" i="1"/>
  <c r="Q146" i="1"/>
  <c r="P146" i="1"/>
  <c r="O146" i="1"/>
  <c r="N146" i="1"/>
  <c r="M146" i="1"/>
  <c r="L146" i="1"/>
  <c r="K146" i="1"/>
  <c r="J146" i="1"/>
  <c r="I146" i="1"/>
  <c r="H146" i="1"/>
  <c r="F146" i="1"/>
  <c r="D146" i="1"/>
  <c r="R145" i="1"/>
  <c r="Q145" i="1"/>
  <c r="P145" i="1"/>
  <c r="O145" i="1"/>
  <c r="N145" i="1"/>
  <c r="M145" i="1"/>
  <c r="L145" i="1"/>
  <c r="K145" i="1"/>
  <c r="J145" i="1"/>
  <c r="I145" i="1"/>
  <c r="H145" i="1"/>
  <c r="F145" i="1"/>
  <c r="D145" i="1"/>
  <c r="R144" i="1"/>
  <c r="Q144" i="1"/>
  <c r="P144" i="1"/>
  <c r="O144" i="1"/>
  <c r="N144" i="1"/>
  <c r="M144" i="1"/>
  <c r="L144" i="1"/>
  <c r="K144" i="1"/>
  <c r="J144" i="1"/>
  <c r="I144" i="1"/>
  <c r="H144" i="1"/>
  <c r="F144" i="1"/>
  <c r="D144" i="1"/>
  <c r="R143" i="1"/>
  <c r="Q143" i="1"/>
  <c r="P143" i="1"/>
  <c r="O143" i="1"/>
  <c r="N143" i="1"/>
  <c r="M143" i="1"/>
  <c r="L143" i="1"/>
  <c r="K143" i="1"/>
  <c r="J143" i="1"/>
  <c r="I143" i="1"/>
  <c r="H143" i="1"/>
  <c r="F143" i="1"/>
  <c r="D143" i="1"/>
  <c r="R142" i="1"/>
  <c r="Q142" i="1"/>
  <c r="P142" i="1"/>
  <c r="O142" i="1"/>
  <c r="N142" i="1"/>
  <c r="M142" i="1"/>
  <c r="L142" i="1"/>
  <c r="K142" i="1"/>
  <c r="J142" i="1"/>
  <c r="I142" i="1"/>
  <c r="H142" i="1"/>
  <c r="F142" i="1"/>
  <c r="D142" i="1"/>
  <c r="R141" i="1"/>
  <c r="Q141" i="1"/>
  <c r="P141" i="1"/>
  <c r="O141" i="1"/>
  <c r="N141" i="1"/>
  <c r="M141" i="1"/>
  <c r="L141" i="1"/>
  <c r="K141" i="1"/>
  <c r="J141" i="1"/>
  <c r="I141" i="1"/>
  <c r="H141" i="1"/>
  <c r="F141" i="1"/>
  <c r="D141" i="1"/>
  <c r="R140" i="1"/>
  <c r="Q140" i="1"/>
  <c r="P140" i="1"/>
  <c r="O140" i="1"/>
  <c r="N140" i="1"/>
  <c r="M140" i="1"/>
  <c r="L140" i="1"/>
  <c r="K140" i="1"/>
  <c r="J140" i="1"/>
  <c r="I140" i="1"/>
  <c r="H140" i="1"/>
  <c r="F140" i="1"/>
  <c r="D140" i="1"/>
  <c r="R139" i="1"/>
  <c r="Q139" i="1"/>
  <c r="P139" i="1"/>
  <c r="O139" i="1"/>
  <c r="N139" i="1"/>
  <c r="M139" i="1"/>
  <c r="L139" i="1"/>
  <c r="K139" i="1"/>
  <c r="J139" i="1"/>
  <c r="I139" i="1"/>
  <c r="H139" i="1"/>
  <c r="F139" i="1"/>
  <c r="D139" i="1"/>
  <c r="R138" i="1"/>
  <c r="Q138" i="1"/>
  <c r="P138" i="1"/>
  <c r="O138" i="1"/>
  <c r="N138" i="1"/>
  <c r="M138" i="1"/>
  <c r="L138" i="1"/>
  <c r="K138" i="1"/>
  <c r="J138" i="1"/>
  <c r="I138" i="1"/>
  <c r="H138" i="1"/>
  <c r="F138" i="1"/>
  <c r="D138" i="1"/>
  <c r="R137" i="1"/>
  <c r="Q137" i="1"/>
  <c r="P137" i="1"/>
  <c r="O137" i="1"/>
  <c r="N137" i="1"/>
  <c r="M137" i="1"/>
  <c r="L137" i="1"/>
  <c r="K137" i="1"/>
  <c r="J137" i="1"/>
  <c r="I137" i="1"/>
  <c r="H137" i="1"/>
  <c r="F137" i="1"/>
  <c r="D137" i="1"/>
  <c r="R136" i="1"/>
  <c r="Q136" i="1"/>
  <c r="P136" i="1"/>
  <c r="O136" i="1"/>
  <c r="N136" i="1"/>
  <c r="M136" i="1"/>
  <c r="L136" i="1"/>
  <c r="K136" i="1"/>
  <c r="J136" i="1"/>
  <c r="I136" i="1"/>
  <c r="H136" i="1"/>
  <c r="F136" i="1"/>
  <c r="D136" i="1"/>
  <c r="R135" i="1"/>
  <c r="Q135" i="1"/>
  <c r="P135" i="1"/>
  <c r="O135" i="1"/>
  <c r="N135" i="1"/>
  <c r="M135" i="1"/>
  <c r="L135" i="1"/>
  <c r="K135" i="1"/>
  <c r="J135" i="1"/>
  <c r="I135" i="1"/>
  <c r="H135" i="1"/>
  <c r="F135" i="1"/>
  <c r="D135" i="1"/>
  <c r="R134" i="1"/>
  <c r="Q134" i="1"/>
  <c r="P134" i="1"/>
  <c r="O134" i="1"/>
  <c r="N134" i="1"/>
  <c r="M134" i="1"/>
  <c r="L134" i="1"/>
  <c r="K134" i="1"/>
  <c r="J134" i="1"/>
  <c r="I134" i="1"/>
  <c r="H134" i="1"/>
  <c r="F134" i="1"/>
  <c r="D134" i="1"/>
  <c r="R133" i="1"/>
  <c r="Q133" i="1"/>
  <c r="P133" i="1"/>
  <c r="O133" i="1"/>
  <c r="N133" i="1"/>
  <c r="M133" i="1"/>
  <c r="L133" i="1"/>
  <c r="K133" i="1"/>
  <c r="J133" i="1"/>
  <c r="I133" i="1"/>
  <c r="H133" i="1"/>
  <c r="F133" i="1"/>
  <c r="D133" i="1"/>
  <c r="R132" i="1"/>
  <c r="Q132" i="1"/>
  <c r="P132" i="1"/>
  <c r="O132" i="1"/>
  <c r="N132" i="1"/>
  <c r="M132" i="1"/>
  <c r="L132" i="1"/>
  <c r="K132" i="1"/>
  <c r="J132" i="1"/>
  <c r="I132" i="1"/>
  <c r="H132" i="1"/>
  <c r="F132" i="1"/>
  <c r="D132" i="1"/>
  <c r="R131" i="1"/>
  <c r="Q131" i="1"/>
  <c r="P131" i="1"/>
  <c r="O131" i="1"/>
  <c r="N131" i="1"/>
  <c r="M131" i="1"/>
  <c r="L131" i="1"/>
  <c r="K131" i="1"/>
  <c r="J131" i="1"/>
  <c r="I131" i="1"/>
  <c r="H131" i="1"/>
  <c r="F131" i="1"/>
  <c r="D131" i="1"/>
  <c r="R130" i="1"/>
  <c r="Q130" i="1"/>
  <c r="P130" i="1"/>
  <c r="O130" i="1"/>
  <c r="N130" i="1"/>
  <c r="M130" i="1"/>
  <c r="L130" i="1"/>
  <c r="K130" i="1"/>
  <c r="J130" i="1"/>
  <c r="I130" i="1"/>
  <c r="H130" i="1"/>
  <c r="F130" i="1"/>
  <c r="D130" i="1"/>
  <c r="R129" i="1"/>
  <c r="Q129" i="1"/>
  <c r="P129" i="1"/>
  <c r="O129" i="1"/>
  <c r="N129" i="1"/>
  <c r="M129" i="1"/>
  <c r="L129" i="1"/>
  <c r="K129" i="1"/>
  <c r="J129" i="1"/>
  <c r="I129" i="1"/>
  <c r="H129" i="1"/>
  <c r="F129" i="1"/>
  <c r="D129" i="1"/>
  <c r="R128" i="1"/>
  <c r="Q128" i="1"/>
  <c r="P128" i="1"/>
  <c r="O128" i="1"/>
  <c r="N128" i="1"/>
  <c r="M128" i="1"/>
  <c r="L128" i="1"/>
  <c r="K128" i="1"/>
  <c r="J128" i="1"/>
  <c r="I128" i="1"/>
  <c r="H128" i="1"/>
  <c r="F128" i="1"/>
  <c r="D128" i="1"/>
  <c r="R127" i="1"/>
  <c r="Q127" i="1"/>
  <c r="P127" i="1"/>
  <c r="O127" i="1"/>
  <c r="N127" i="1"/>
  <c r="M127" i="1"/>
  <c r="L127" i="1"/>
  <c r="K127" i="1"/>
  <c r="J127" i="1"/>
  <c r="I127" i="1"/>
  <c r="H127" i="1"/>
  <c r="F127" i="1"/>
  <c r="D127" i="1"/>
  <c r="R126" i="1"/>
  <c r="Q126" i="1"/>
  <c r="P126" i="1"/>
  <c r="O126" i="1"/>
  <c r="N126" i="1"/>
  <c r="M126" i="1"/>
  <c r="L126" i="1"/>
  <c r="K126" i="1"/>
  <c r="J126" i="1"/>
  <c r="I126" i="1"/>
  <c r="H126" i="1"/>
  <c r="F126" i="1"/>
  <c r="D126" i="1"/>
  <c r="R125" i="1"/>
  <c r="Q125" i="1"/>
  <c r="P125" i="1"/>
  <c r="O125" i="1"/>
  <c r="N125" i="1"/>
  <c r="M125" i="1"/>
  <c r="L125" i="1"/>
  <c r="K125" i="1"/>
  <c r="J125" i="1"/>
  <c r="I125" i="1"/>
  <c r="H125" i="1"/>
  <c r="F125" i="1"/>
  <c r="D125" i="1"/>
  <c r="R124" i="1"/>
  <c r="Q124" i="1"/>
  <c r="P124" i="1"/>
  <c r="O124" i="1"/>
  <c r="N124" i="1"/>
  <c r="M124" i="1"/>
  <c r="L124" i="1"/>
  <c r="K124" i="1"/>
  <c r="J124" i="1"/>
  <c r="I124" i="1"/>
  <c r="H124" i="1"/>
  <c r="F124" i="1"/>
  <c r="D124" i="1"/>
  <c r="R123" i="1"/>
  <c r="Q123" i="1"/>
  <c r="P123" i="1"/>
  <c r="O123" i="1"/>
  <c r="N123" i="1"/>
  <c r="M123" i="1"/>
  <c r="L123" i="1"/>
  <c r="K123" i="1"/>
  <c r="J123" i="1"/>
  <c r="I123" i="1"/>
  <c r="H123" i="1"/>
  <c r="F123" i="1"/>
  <c r="D123" i="1"/>
  <c r="R122" i="1"/>
  <c r="Q122" i="1"/>
  <c r="P122" i="1"/>
  <c r="O122" i="1"/>
  <c r="N122" i="1"/>
  <c r="M122" i="1"/>
  <c r="L122" i="1"/>
  <c r="K122" i="1"/>
  <c r="J122" i="1"/>
  <c r="I122" i="1"/>
  <c r="H122" i="1"/>
  <c r="F122" i="1"/>
  <c r="D122" i="1"/>
  <c r="R121" i="1"/>
  <c r="Q121" i="1"/>
  <c r="P121" i="1"/>
  <c r="O121" i="1"/>
  <c r="N121" i="1"/>
  <c r="M121" i="1"/>
  <c r="L121" i="1"/>
  <c r="K121" i="1"/>
  <c r="J121" i="1"/>
  <c r="I121" i="1"/>
  <c r="H121" i="1"/>
  <c r="F121" i="1"/>
  <c r="D121" i="1"/>
  <c r="R120" i="1"/>
  <c r="Q120" i="1"/>
  <c r="P120" i="1"/>
  <c r="O120" i="1"/>
  <c r="N120" i="1"/>
  <c r="M120" i="1"/>
  <c r="L120" i="1"/>
  <c r="K120" i="1"/>
  <c r="J120" i="1"/>
  <c r="I120" i="1"/>
  <c r="H120" i="1"/>
  <c r="F120" i="1"/>
  <c r="D120" i="1"/>
  <c r="R119" i="1"/>
  <c r="Q119" i="1"/>
  <c r="P119" i="1"/>
  <c r="O119" i="1"/>
  <c r="N119" i="1"/>
  <c r="M119" i="1"/>
  <c r="L119" i="1"/>
  <c r="K119" i="1"/>
  <c r="J119" i="1"/>
  <c r="I119" i="1"/>
  <c r="H119" i="1"/>
  <c r="F119" i="1"/>
  <c r="D119" i="1"/>
  <c r="R118" i="1"/>
  <c r="Q118" i="1"/>
  <c r="P118" i="1"/>
  <c r="O118" i="1"/>
  <c r="N118" i="1"/>
  <c r="M118" i="1"/>
  <c r="L118" i="1"/>
  <c r="K118" i="1"/>
  <c r="J118" i="1"/>
  <c r="I118" i="1"/>
  <c r="H118" i="1"/>
  <c r="F118" i="1"/>
  <c r="D118" i="1"/>
  <c r="R117" i="1"/>
  <c r="Q117" i="1"/>
  <c r="P117" i="1"/>
  <c r="O117" i="1"/>
  <c r="N117" i="1"/>
  <c r="M117" i="1"/>
  <c r="L117" i="1"/>
  <c r="K117" i="1"/>
  <c r="J117" i="1"/>
  <c r="I117" i="1"/>
  <c r="H117" i="1"/>
  <c r="F117" i="1"/>
  <c r="D117" i="1"/>
  <c r="R116" i="1"/>
  <c r="Q116" i="1"/>
  <c r="P116" i="1"/>
  <c r="O116" i="1"/>
  <c r="N116" i="1"/>
  <c r="M116" i="1"/>
  <c r="L116" i="1"/>
  <c r="K116" i="1"/>
  <c r="J116" i="1"/>
  <c r="I116" i="1"/>
  <c r="H116" i="1"/>
  <c r="F116" i="1"/>
  <c r="D116" i="1"/>
  <c r="R115" i="1"/>
  <c r="Q115" i="1"/>
  <c r="P115" i="1"/>
  <c r="O115" i="1"/>
  <c r="N115" i="1"/>
  <c r="M115" i="1"/>
  <c r="L115" i="1"/>
  <c r="K115" i="1"/>
  <c r="J115" i="1"/>
  <c r="I115" i="1"/>
  <c r="H115" i="1"/>
  <c r="F115" i="1"/>
  <c r="D115" i="1"/>
  <c r="R114" i="1"/>
  <c r="Q114" i="1"/>
  <c r="P114" i="1"/>
  <c r="O114" i="1"/>
  <c r="N114" i="1"/>
  <c r="M114" i="1"/>
  <c r="L114" i="1"/>
  <c r="K114" i="1"/>
  <c r="J114" i="1"/>
  <c r="I114" i="1"/>
  <c r="H114" i="1"/>
  <c r="F114" i="1"/>
  <c r="D114" i="1"/>
  <c r="R113" i="1"/>
  <c r="Q113" i="1"/>
  <c r="P113" i="1"/>
  <c r="O113" i="1"/>
  <c r="N113" i="1"/>
  <c r="M113" i="1"/>
  <c r="L113" i="1"/>
  <c r="K113" i="1"/>
  <c r="J113" i="1"/>
  <c r="I113" i="1"/>
  <c r="H113" i="1"/>
  <c r="F113" i="1"/>
  <c r="D113" i="1"/>
  <c r="R112" i="1"/>
  <c r="Q112" i="1"/>
  <c r="P112" i="1"/>
  <c r="O112" i="1"/>
  <c r="N112" i="1"/>
  <c r="M112" i="1"/>
  <c r="L112" i="1"/>
  <c r="K112" i="1"/>
  <c r="J112" i="1"/>
  <c r="I112" i="1"/>
  <c r="H112" i="1"/>
  <c r="F112" i="1"/>
  <c r="D112" i="1"/>
  <c r="R111" i="1"/>
  <c r="Q111" i="1"/>
  <c r="P111" i="1"/>
  <c r="O111" i="1"/>
  <c r="N111" i="1"/>
  <c r="M111" i="1"/>
  <c r="L111" i="1"/>
  <c r="K111" i="1"/>
  <c r="J111" i="1"/>
  <c r="I111" i="1"/>
  <c r="H111" i="1"/>
  <c r="F111" i="1"/>
  <c r="D111" i="1"/>
  <c r="R110" i="1"/>
  <c r="Q110" i="1"/>
  <c r="P110" i="1"/>
  <c r="O110" i="1"/>
  <c r="N110" i="1"/>
  <c r="M110" i="1"/>
  <c r="L110" i="1"/>
  <c r="K110" i="1"/>
  <c r="J110" i="1"/>
  <c r="I110" i="1"/>
  <c r="H110" i="1"/>
  <c r="F110" i="1"/>
  <c r="D110" i="1"/>
  <c r="R109" i="1"/>
  <c r="Q109" i="1"/>
  <c r="P109" i="1"/>
  <c r="O109" i="1"/>
  <c r="N109" i="1"/>
  <c r="M109" i="1"/>
  <c r="L109" i="1"/>
  <c r="K109" i="1"/>
  <c r="J109" i="1"/>
  <c r="I109" i="1"/>
  <c r="H109" i="1"/>
  <c r="F109" i="1"/>
  <c r="D109" i="1"/>
  <c r="R108" i="1"/>
  <c r="Q108" i="1"/>
  <c r="P108" i="1"/>
  <c r="O108" i="1"/>
  <c r="N108" i="1"/>
  <c r="M108" i="1"/>
  <c r="L108" i="1"/>
  <c r="K108" i="1"/>
  <c r="J108" i="1"/>
  <c r="I108" i="1"/>
  <c r="H108" i="1"/>
  <c r="F108" i="1"/>
  <c r="D108" i="1"/>
  <c r="R107" i="1"/>
  <c r="Q107" i="1"/>
  <c r="P107" i="1"/>
  <c r="O107" i="1"/>
  <c r="N107" i="1"/>
  <c r="M107" i="1"/>
  <c r="L107" i="1"/>
  <c r="K107" i="1"/>
  <c r="J107" i="1"/>
  <c r="I107" i="1"/>
  <c r="H107" i="1"/>
  <c r="F107" i="1"/>
  <c r="D107" i="1"/>
  <c r="R106" i="1"/>
  <c r="Q106" i="1"/>
  <c r="P106" i="1"/>
  <c r="O106" i="1"/>
  <c r="N106" i="1"/>
  <c r="M106" i="1"/>
  <c r="L106" i="1"/>
  <c r="K106" i="1"/>
  <c r="J106" i="1"/>
  <c r="I106" i="1"/>
  <c r="H106" i="1"/>
  <c r="F106" i="1"/>
  <c r="D106" i="1"/>
  <c r="R105" i="1"/>
  <c r="Q105" i="1"/>
  <c r="P105" i="1"/>
  <c r="O105" i="1"/>
  <c r="N105" i="1"/>
  <c r="M105" i="1"/>
  <c r="L105" i="1"/>
  <c r="K105" i="1"/>
  <c r="J105" i="1"/>
  <c r="I105" i="1"/>
  <c r="H105" i="1"/>
  <c r="F105" i="1"/>
  <c r="D105" i="1"/>
  <c r="R104" i="1"/>
  <c r="Q104" i="1"/>
  <c r="P104" i="1"/>
  <c r="O104" i="1"/>
  <c r="N104" i="1"/>
  <c r="M104" i="1"/>
  <c r="L104" i="1"/>
  <c r="K104" i="1"/>
  <c r="J104" i="1"/>
  <c r="I104" i="1"/>
  <c r="H104" i="1"/>
  <c r="F104" i="1"/>
  <c r="D104" i="1"/>
  <c r="R103" i="1"/>
  <c r="Q103" i="1"/>
  <c r="P103" i="1"/>
  <c r="O103" i="1"/>
  <c r="N103" i="1"/>
  <c r="M103" i="1"/>
  <c r="L103" i="1"/>
  <c r="K103" i="1"/>
  <c r="J103" i="1"/>
  <c r="I103" i="1"/>
  <c r="H103" i="1"/>
  <c r="F103" i="1"/>
  <c r="D103" i="1"/>
  <c r="R102" i="1"/>
  <c r="Q102" i="1"/>
  <c r="P102" i="1"/>
  <c r="O102" i="1"/>
  <c r="N102" i="1"/>
  <c r="M102" i="1"/>
  <c r="L102" i="1"/>
  <c r="K102" i="1"/>
  <c r="J102" i="1"/>
  <c r="I102" i="1"/>
  <c r="H102" i="1"/>
  <c r="F102" i="1"/>
  <c r="D102" i="1"/>
  <c r="R101" i="1"/>
  <c r="Q101" i="1"/>
  <c r="P101" i="1"/>
  <c r="O101" i="1"/>
  <c r="N101" i="1"/>
  <c r="M101" i="1"/>
  <c r="L101" i="1"/>
  <c r="K101" i="1"/>
  <c r="J101" i="1"/>
  <c r="I101" i="1"/>
  <c r="H101" i="1"/>
  <c r="F101" i="1"/>
  <c r="D101" i="1"/>
  <c r="R100" i="1"/>
  <c r="Q100" i="1"/>
  <c r="P100" i="1"/>
  <c r="O100" i="1"/>
  <c r="N100" i="1"/>
  <c r="M100" i="1"/>
  <c r="L100" i="1"/>
  <c r="K100" i="1"/>
  <c r="J100" i="1"/>
  <c r="I100" i="1"/>
  <c r="H100" i="1"/>
  <c r="F100" i="1"/>
  <c r="D100" i="1"/>
  <c r="R99" i="1"/>
  <c r="Q99" i="1"/>
  <c r="P99" i="1"/>
  <c r="O99" i="1"/>
  <c r="N99" i="1"/>
  <c r="M99" i="1"/>
  <c r="L99" i="1"/>
  <c r="K99" i="1"/>
  <c r="J99" i="1"/>
  <c r="I99" i="1"/>
  <c r="H99" i="1"/>
  <c r="F99" i="1"/>
  <c r="D99" i="1"/>
  <c r="R98" i="1"/>
  <c r="Q98" i="1"/>
  <c r="P98" i="1"/>
  <c r="O98" i="1"/>
  <c r="N98" i="1"/>
  <c r="M98" i="1"/>
  <c r="L98" i="1"/>
  <c r="K98" i="1"/>
  <c r="J98" i="1"/>
  <c r="I98" i="1"/>
  <c r="H98" i="1"/>
  <c r="F98" i="1"/>
  <c r="D98" i="1"/>
  <c r="R97" i="1"/>
  <c r="Q97" i="1"/>
  <c r="P97" i="1"/>
  <c r="O97" i="1"/>
  <c r="N97" i="1"/>
  <c r="M97" i="1"/>
  <c r="L97" i="1"/>
  <c r="K97" i="1"/>
  <c r="J97" i="1"/>
  <c r="I97" i="1"/>
  <c r="H97" i="1"/>
  <c r="F97" i="1"/>
  <c r="D97" i="1"/>
  <c r="R96" i="1"/>
  <c r="Q96" i="1"/>
  <c r="P96" i="1"/>
  <c r="O96" i="1"/>
  <c r="N96" i="1"/>
  <c r="M96" i="1"/>
  <c r="L96" i="1"/>
  <c r="K96" i="1"/>
  <c r="J96" i="1"/>
  <c r="I96" i="1"/>
  <c r="H96" i="1"/>
  <c r="F96" i="1"/>
  <c r="D96" i="1"/>
  <c r="R95" i="1"/>
  <c r="Q95" i="1"/>
  <c r="P95" i="1"/>
  <c r="O95" i="1"/>
  <c r="N95" i="1"/>
  <c r="M95" i="1"/>
  <c r="L95" i="1"/>
  <c r="K95" i="1"/>
  <c r="J95" i="1"/>
  <c r="I95" i="1"/>
  <c r="H95" i="1"/>
  <c r="F95" i="1"/>
  <c r="D95" i="1"/>
  <c r="R94" i="1"/>
  <c r="Q94" i="1"/>
  <c r="P94" i="1"/>
  <c r="O94" i="1"/>
  <c r="N94" i="1"/>
  <c r="M94" i="1"/>
  <c r="L94" i="1"/>
  <c r="K94" i="1"/>
  <c r="J94" i="1"/>
  <c r="I94" i="1"/>
  <c r="H94" i="1"/>
  <c r="F94" i="1"/>
  <c r="D94" i="1"/>
  <c r="R93" i="1"/>
  <c r="Q93" i="1"/>
  <c r="P93" i="1"/>
  <c r="O93" i="1"/>
  <c r="N93" i="1"/>
  <c r="M93" i="1"/>
  <c r="L93" i="1"/>
  <c r="K93" i="1"/>
  <c r="J93" i="1"/>
  <c r="I93" i="1"/>
  <c r="H93" i="1"/>
  <c r="F93" i="1"/>
  <c r="D93" i="1"/>
  <c r="R92" i="1"/>
  <c r="Q92" i="1"/>
  <c r="P92" i="1"/>
  <c r="O92" i="1"/>
  <c r="N92" i="1"/>
  <c r="M92" i="1"/>
  <c r="L92" i="1"/>
  <c r="K92" i="1"/>
  <c r="J92" i="1"/>
  <c r="I92" i="1"/>
  <c r="H92" i="1"/>
  <c r="F92" i="1"/>
  <c r="D92" i="1"/>
  <c r="R91" i="1"/>
  <c r="Q91" i="1"/>
  <c r="P91" i="1"/>
  <c r="O91" i="1"/>
  <c r="N91" i="1"/>
  <c r="M91" i="1"/>
  <c r="L91" i="1"/>
  <c r="K91" i="1"/>
  <c r="J91" i="1"/>
  <c r="I91" i="1"/>
  <c r="H91" i="1"/>
  <c r="F91" i="1"/>
  <c r="D91" i="1"/>
  <c r="R90" i="1"/>
  <c r="Q90" i="1"/>
  <c r="P90" i="1"/>
  <c r="O90" i="1"/>
  <c r="N90" i="1"/>
  <c r="M90" i="1"/>
  <c r="L90" i="1"/>
  <c r="K90" i="1"/>
  <c r="J90" i="1"/>
  <c r="I90" i="1"/>
  <c r="H90" i="1"/>
  <c r="F90" i="1"/>
  <c r="D90" i="1"/>
  <c r="R89" i="1"/>
  <c r="Q89" i="1"/>
  <c r="P89" i="1"/>
  <c r="O89" i="1"/>
  <c r="N89" i="1"/>
  <c r="M89" i="1"/>
  <c r="L89" i="1"/>
  <c r="K89" i="1"/>
  <c r="J89" i="1"/>
  <c r="I89" i="1"/>
  <c r="H89" i="1"/>
  <c r="F89" i="1"/>
  <c r="D89" i="1"/>
  <c r="R88" i="1"/>
  <c r="Q88" i="1"/>
  <c r="P88" i="1"/>
  <c r="O88" i="1"/>
  <c r="N88" i="1"/>
  <c r="M88" i="1"/>
  <c r="L88" i="1"/>
  <c r="K88" i="1"/>
  <c r="J88" i="1"/>
  <c r="I88" i="1"/>
  <c r="H88" i="1"/>
  <c r="F88" i="1"/>
  <c r="D88" i="1"/>
  <c r="R87" i="1"/>
  <c r="Q87" i="1"/>
  <c r="P87" i="1"/>
  <c r="O87" i="1"/>
  <c r="N87" i="1"/>
  <c r="M87" i="1"/>
  <c r="L87" i="1"/>
  <c r="K87" i="1"/>
  <c r="J87" i="1"/>
  <c r="I87" i="1"/>
  <c r="H87" i="1"/>
  <c r="F87" i="1"/>
  <c r="D87" i="1"/>
  <c r="R86" i="1"/>
  <c r="Q86" i="1"/>
  <c r="P86" i="1"/>
  <c r="O86" i="1"/>
  <c r="N86" i="1"/>
  <c r="M86" i="1"/>
  <c r="L86" i="1"/>
  <c r="K86" i="1"/>
  <c r="J86" i="1"/>
  <c r="I86" i="1"/>
  <c r="H86" i="1"/>
  <c r="F86" i="1"/>
  <c r="D86" i="1"/>
  <c r="R85" i="1"/>
  <c r="Q85" i="1"/>
  <c r="P85" i="1"/>
  <c r="O85" i="1"/>
  <c r="N85" i="1"/>
  <c r="M85" i="1"/>
  <c r="L85" i="1"/>
  <c r="K85" i="1"/>
  <c r="J85" i="1"/>
  <c r="I85" i="1"/>
  <c r="H85" i="1"/>
  <c r="F85" i="1"/>
  <c r="D85" i="1"/>
  <c r="R84" i="1"/>
  <c r="Q84" i="1"/>
  <c r="P84" i="1"/>
  <c r="O84" i="1"/>
  <c r="N84" i="1"/>
  <c r="M84" i="1"/>
  <c r="L84" i="1"/>
  <c r="K84" i="1"/>
  <c r="J84" i="1"/>
  <c r="I84" i="1"/>
  <c r="H84" i="1"/>
  <c r="F84" i="1"/>
  <c r="D84" i="1"/>
  <c r="R83" i="1"/>
  <c r="Q83" i="1"/>
  <c r="P83" i="1"/>
  <c r="O83" i="1"/>
  <c r="N83" i="1"/>
  <c r="M83" i="1"/>
  <c r="L83" i="1"/>
  <c r="K83" i="1"/>
  <c r="J83" i="1"/>
  <c r="I83" i="1"/>
  <c r="H83" i="1"/>
  <c r="F83" i="1"/>
  <c r="D83" i="1"/>
  <c r="R82" i="1"/>
  <c r="Q82" i="1"/>
  <c r="P82" i="1"/>
  <c r="O82" i="1"/>
  <c r="N82" i="1"/>
  <c r="M82" i="1"/>
  <c r="L82" i="1"/>
  <c r="K82" i="1"/>
  <c r="J82" i="1"/>
  <c r="I82" i="1"/>
  <c r="H82" i="1"/>
  <c r="F82" i="1"/>
  <c r="D82" i="1"/>
  <c r="R81" i="1"/>
  <c r="Q81" i="1"/>
  <c r="P81" i="1"/>
  <c r="O81" i="1"/>
  <c r="N81" i="1"/>
  <c r="M81" i="1"/>
  <c r="L81" i="1"/>
  <c r="K81" i="1"/>
  <c r="J81" i="1"/>
  <c r="I81" i="1"/>
  <c r="H81" i="1"/>
  <c r="F81" i="1"/>
  <c r="D81" i="1"/>
  <c r="R80" i="1"/>
  <c r="Q80" i="1"/>
  <c r="P80" i="1"/>
  <c r="O80" i="1"/>
  <c r="N80" i="1"/>
  <c r="M80" i="1"/>
  <c r="L80" i="1"/>
  <c r="K80" i="1"/>
  <c r="J80" i="1"/>
  <c r="I80" i="1"/>
  <c r="H80" i="1"/>
  <c r="F80" i="1"/>
  <c r="D80" i="1"/>
  <c r="R79" i="1"/>
  <c r="Q79" i="1"/>
  <c r="P79" i="1"/>
  <c r="O79" i="1"/>
  <c r="N79" i="1"/>
  <c r="M79" i="1"/>
  <c r="L79" i="1"/>
  <c r="K79" i="1"/>
  <c r="J79" i="1"/>
  <c r="I79" i="1"/>
  <c r="H79" i="1"/>
  <c r="F79" i="1"/>
  <c r="D79" i="1"/>
  <c r="R78" i="1"/>
  <c r="Q78" i="1"/>
  <c r="P78" i="1"/>
  <c r="O78" i="1"/>
  <c r="N78" i="1"/>
  <c r="M78" i="1"/>
  <c r="L78" i="1"/>
  <c r="K78" i="1"/>
  <c r="J78" i="1"/>
  <c r="I78" i="1"/>
  <c r="H78" i="1"/>
  <c r="F78" i="1"/>
  <c r="D78" i="1"/>
  <c r="R77" i="1"/>
  <c r="Q77" i="1"/>
  <c r="P77" i="1"/>
  <c r="O77" i="1"/>
  <c r="N77" i="1"/>
  <c r="M77" i="1"/>
  <c r="L77" i="1"/>
  <c r="K77" i="1"/>
  <c r="J77" i="1"/>
  <c r="I77" i="1"/>
  <c r="H77" i="1"/>
  <c r="F77" i="1"/>
  <c r="D77" i="1"/>
  <c r="R76" i="1"/>
  <c r="Q76" i="1"/>
  <c r="P76" i="1"/>
  <c r="O76" i="1"/>
  <c r="N76" i="1"/>
  <c r="M76" i="1"/>
  <c r="L76" i="1"/>
  <c r="K76" i="1"/>
  <c r="J76" i="1"/>
  <c r="I76" i="1"/>
  <c r="H76" i="1"/>
  <c r="F76" i="1"/>
  <c r="D76" i="1"/>
  <c r="R75" i="1"/>
  <c r="Q75" i="1"/>
  <c r="P75" i="1"/>
  <c r="O75" i="1"/>
  <c r="N75" i="1"/>
  <c r="M75" i="1"/>
  <c r="L75" i="1"/>
  <c r="K75" i="1"/>
  <c r="J75" i="1"/>
  <c r="I75" i="1"/>
  <c r="H75" i="1"/>
  <c r="F75" i="1"/>
  <c r="D75" i="1"/>
  <c r="R74" i="1"/>
  <c r="Q74" i="1"/>
  <c r="P74" i="1"/>
  <c r="O74" i="1"/>
  <c r="N74" i="1"/>
  <c r="M74" i="1"/>
  <c r="L74" i="1"/>
  <c r="K74" i="1"/>
  <c r="J74" i="1"/>
  <c r="I74" i="1"/>
  <c r="H74" i="1"/>
  <c r="F74" i="1"/>
  <c r="D74" i="1"/>
  <c r="R73" i="1"/>
  <c r="Q73" i="1"/>
  <c r="P73" i="1"/>
  <c r="O73" i="1"/>
  <c r="N73" i="1"/>
  <c r="M73" i="1"/>
  <c r="L73" i="1"/>
  <c r="K73" i="1"/>
  <c r="J73" i="1"/>
  <c r="I73" i="1"/>
  <c r="H73" i="1"/>
  <c r="F73" i="1"/>
  <c r="D73" i="1"/>
  <c r="R72" i="1"/>
  <c r="Q72" i="1"/>
  <c r="P72" i="1"/>
  <c r="O72" i="1"/>
  <c r="N72" i="1"/>
  <c r="M72" i="1"/>
  <c r="L72" i="1"/>
  <c r="K72" i="1"/>
  <c r="J72" i="1"/>
  <c r="I72" i="1"/>
  <c r="H72" i="1"/>
  <c r="F72" i="1"/>
  <c r="D72" i="1"/>
  <c r="R71" i="1"/>
  <c r="Q71" i="1"/>
  <c r="P71" i="1"/>
  <c r="O71" i="1"/>
  <c r="N71" i="1"/>
  <c r="M71" i="1"/>
  <c r="L71" i="1"/>
  <c r="K71" i="1"/>
  <c r="J71" i="1"/>
  <c r="I71" i="1"/>
  <c r="H71" i="1"/>
  <c r="F71" i="1"/>
  <c r="D71" i="1"/>
  <c r="R70" i="1"/>
  <c r="Q70" i="1"/>
  <c r="P70" i="1"/>
  <c r="O70" i="1"/>
  <c r="N70" i="1"/>
  <c r="M70" i="1"/>
  <c r="L70" i="1"/>
  <c r="K70" i="1"/>
  <c r="J70" i="1"/>
  <c r="I70" i="1"/>
  <c r="H70" i="1"/>
  <c r="F70" i="1"/>
  <c r="D70" i="1"/>
  <c r="R69" i="1"/>
  <c r="Q69" i="1"/>
  <c r="P69" i="1"/>
  <c r="O69" i="1"/>
  <c r="N69" i="1"/>
  <c r="M69" i="1"/>
  <c r="L69" i="1"/>
  <c r="K69" i="1"/>
  <c r="J69" i="1"/>
  <c r="I69" i="1"/>
  <c r="H69" i="1"/>
  <c r="F69" i="1"/>
  <c r="D69" i="1"/>
  <c r="R68" i="1"/>
  <c r="Q68" i="1"/>
  <c r="P68" i="1"/>
  <c r="O68" i="1"/>
  <c r="N68" i="1"/>
  <c r="M68" i="1"/>
  <c r="L68" i="1"/>
  <c r="K68" i="1"/>
  <c r="J68" i="1"/>
  <c r="I68" i="1"/>
  <c r="H68" i="1"/>
  <c r="F68" i="1"/>
  <c r="D68" i="1"/>
  <c r="R67" i="1"/>
  <c r="Q67" i="1"/>
  <c r="P67" i="1"/>
  <c r="O67" i="1"/>
  <c r="N67" i="1"/>
  <c r="M67" i="1"/>
  <c r="L67" i="1"/>
  <c r="K67" i="1"/>
  <c r="J67" i="1"/>
  <c r="I67" i="1"/>
  <c r="H67" i="1"/>
  <c r="F67" i="1"/>
  <c r="D67" i="1"/>
  <c r="R66" i="1"/>
  <c r="Q66" i="1"/>
  <c r="P66" i="1"/>
  <c r="O66" i="1"/>
  <c r="N66" i="1"/>
  <c r="M66" i="1"/>
  <c r="L66" i="1"/>
  <c r="K66" i="1"/>
  <c r="J66" i="1"/>
  <c r="I66" i="1"/>
  <c r="H66" i="1"/>
  <c r="F66" i="1"/>
  <c r="D66" i="1"/>
  <c r="R65" i="1"/>
  <c r="Q65" i="1"/>
  <c r="P65" i="1"/>
  <c r="O65" i="1"/>
  <c r="N65" i="1"/>
  <c r="M65" i="1"/>
  <c r="L65" i="1"/>
  <c r="K65" i="1"/>
  <c r="J65" i="1"/>
  <c r="I65" i="1"/>
  <c r="H65" i="1"/>
  <c r="F65" i="1"/>
  <c r="D65" i="1"/>
  <c r="R64" i="1"/>
  <c r="Q64" i="1"/>
  <c r="P64" i="1"/>
  <c r="O64" i="1"/>
  <c r="N64" i="1"/>
  <c r="M64" i="1"/>
  <c r="L64" i="1"/>
  <c r="K64" i="1"/>
  <c r="J64" i="1"/>
  <c r="I64" i="1"/>
  <c r="H64" i="1"/>
  <c r="F64" i="1"/>
  <c r="D64" i="1"/>
  <c r="R63" i="1"/>
  <c r="Q63" i="1"/>
  <c r="P63" i="1"/>
  <c r="O63" i="1"/>
  <c r="N63" i="1"/>
  <c r="M63" i="1"/>
  <c r="L63" i="1"/>
  <c r="K63" i="1"/>
  <c r="J63" i="1"/>
  <c r="I63" i="1"/>
  <c r="H63" i="1"/>
  <c r="F63" i="1"/>
  <c r="D63" i="1"/>
  <c r="R62" i="1"/>
  <c r="Q62" i="1"/>
  <c r="P62" i="1"/>
  <c r="O62" i="1"/>
  <c r="N62" i="1"/>
  <c r="M62" i="1"/>
  <c r="L62" i="1"/>
  <c r="K62" i="1"/>
  <c r="J62" i="1"/>
  <c r="I62" i="1"/>
  <c r="H62" i="1"/>
  <c r="F62" i="1"/>
  <c r="D62" i="1"/>
  <c r="R61" i="1"/>
  <c r="Q61" i="1"/>
  <c r="P61" i="1"/>
  <c r="O61" i="1"/>
  <c r="N61" i="1"/>
  <c r="M61" i="1"/>
  <c r="L61" i="1"/>
  <c r="K61" i="1"/>
  <c r="J61" i="1"/>
  <c r="I61" i="1"/>
  <c r="H61" i="1"/>
  <c r="F61" i="1"/>
  <c r="D61" i="1"/>
  <c r="R60" i="1"/>
  <c r="Q60" i="1"/>
  <c r="P60" i="1"/>
  <c r="O60" i="1"/>
  <c r="N60" i="1"/>
  <c r="M60" i="1"/>
  <c r="L60" i="1"/>
  <c r="K60" i="1"/>
  <c r="J60" i="1"/>
  <c r="I60" i="1"/>
  <c r="H60" i="1"/>
  <c r="F60" i="1"/>
  <c r="D60" i="1"/>
  <c r="R59" i="1"/>
  <c r="Q59" i="1"/>
  <c r="P59" i="1"/>
  <c r="O59" i="1"/>
  <c r="N59" i="1"/>
  <c r="M59" i="1"/>
  <c r="L59" i="1"/>
  <c r="K59" i="1"/>
  <c r="J59" i="1"/>
  <c r="I59" i="1"/>
  <c r="H59" i="1"/>
  <c r="F59" i="1"/>
  <c r="D59" i="1"/>
  <c r="R58" i="1"/>
  <c r="Q58" i="1"/>
  <c r="P58" i="1"/>
  <c r="O58" i="1"/>
  <c r="N58" i="1"/>
  <c r="M58" i="1"/>
  <c r="L58" i="1"/>
  <c r="K58" i="1"/>
  <c r="J58" i="1"/>
  <c r="I58" i="1"/>
  <c r="H58" i="1"/>
  <c r="F58" i="1"/>
  <c r="D58" i="1"/>
  <c r="R57" i="1"/>
  <c r="Q57" i="1"/>
  <c r="P57" i="1"/>
  <c r="O57" i="1"/>
  <c r="N57" i="1"/>
  <c r="M57" i="1"/>
  <c r="L57" i="1"/>
  <c r="K57" i="1"/>
  <c r="J57" i="1"/>
  <c r="I57" i="1"/>
  <c r="H57" i="1"/>
  <c r="F57" i="1"/>
  <c r="D57" i="1"/>
  <c r="R56" i="1"/>
  <c r="Q56" i="1"/>
  <c r="P56" i="1"/>
  <c r="O56" i="1"/>
  <c r="N56" i="1"/>
  <c r="M56" i="1"/>
  <c r="L56" i="1"/>
  <c r="K56" i="1"/>
  <c r="J56" i="1"/>
  <c r="I56" i="1"/>
  <c r="H56" i="1"/>
  <c r="F56" i="1"/>
  <c r="D56" i="1"/>
  <c r="R55" i="1"/>
  <c r="Q55" i="1"/>
  <c r="P55" i="1"/>
  <c r="O55" i="1"/>
  <c r="N55" i="1"/>
  <c r="M55" i="1"/>
  <c r="L55" i="1"/>
  <c r="K55" i="1"/>
  <c r="J55" i="1"/>
  <c r="I55" i="1"/>
  <c r="H55" i="1"/>
  <c r="F55" i="1"/>
  <c r="D55" i="1"/>
  <c r="R54" i="1"/>
  <c r="Q54" i="1"/>
  <c r="P54" i="1"/>
  <c r="O54" i="1"/>
  <c r="N54" i="1"/>
  <c r="M54" i="1"/>
  <c r="L54" i="1"/>
  <c r="K54" i="1"/>
  <c r="J54" i="1"/>
  <c r="I54" i="1"/>
  <c r="H54" i="1"/>
  <c r="F54" i="1"/>
  <c r="D54" i="1"/>
  <c r="R53" i="1"/>
  <c r="Q53" i="1"/>
  <c r="P53" i="1"/>
  <c r="O53" i="1"/>
  <c r="N53" i="1"/>
  <c r="M53" i="1"/>
  <c r="L53" i="1"/>
  <c r="K53" i="1"/>
  <c r="J53" i="1"/>
  <c r="I53" i="1"/>
  <c r="H53" i="1"/>
  <c r="F53" i="1"/>
  <c r="D53" i="1"/>
  <c r="R52" i="1"/>
  <c r="Q52" i="1"/>
  <c r="P52" i="1"/>
  <c r="O52" i="1"/>
  <c r="N52" i="1"/>
  <c r="M52" i="1"/>
  <c r="L52" i="1"/>
  <c r="K52" i="1"/>
  <c r="J52" i="1"/>
  <c r="I52" i="1"/>
  <c r="H52" i="1"/>
  <c r="F52" i="1"/>
  <c r="D52" i="1"/>
  <c r="R51" i="1"/>
  <c r="Q51" i="1"/>
  <c r="P51" i="1"/>
  <c r="O51" i="1"/>
  <c r="N51" i="1"/>
  <c r="M51" i="1"/>
  <c r="L51" i="1"/>
  <c r="K51" i="1"/>
  <c r="J51" i="1"/>
  <c r="I51" i="1"/>
  <c r="H51" i="1"/>
  <c r="F51" i="1"/>
  <c r="D51" i="1"/>
  <c r="R50" i="1"/>
  <c r="Q50" i="1"/>
  <c r="P50" i="1"/>
  <c r="O50" i="1"/>
  <c r="N50" i="1"/>
  <c r="M50" i="1"/>
  <c r="L50" i="1"/>
  <c r="K50" i="1"/>
  <c r="J50" i="1"/>
  <c r="I50" i="1"/>
  <c r="H50" i="1"/>
  <c r="F50" i="1"/>
  <c r="D50" i="1"/>
  <c r="R49" i="1"/>
  <c r="Q49" i="1"/>
  <c r="P49" i="1"/>
  <c r="O49" i="1"/>
  <c r="N49" i="1"/>
  <c r="M49" i="1"/>
  <c r="L49" i="1"/>
  <c r="K49" i="1"/>
  <c r="J49" i="1"/>
  <c r="I49" i="1"/>
  <c r="H49" i="1"/>
  <c r="F49" i="1"/>
  <c r="D49" i="1"/>
  <c r="R48" i="1"/>
  <c r="Q48" i="1"/>
  <c r="P48" i="1"/>
  <c r="O48" i="1"/>
  <c r="N48" i="1"/>
  <c r="M48" i="1"/>
  <c r="L48" i="1"/>
  <c r="K48" i="1"/>
  <c r="J48" i="1"/>
  <c r="I48" i="1"/>
  <c r="H48" i="1"/>
  <c r="F48" i="1"/>
  <c r="D48" i="1"/>
  <c r="R47" i="1"/>
  <c r="Q47" i="1"/>
  <c r="P47" i="1"/>
  <c r="O47" i="1"/>
  <c r="N47" i="1"/>
  <c r="M47" i="1"/>
  <c r="L47" i="1"/>
  <c r="K47" i="1"/>
  <c r="J47" i="1"/>
  <c r="I47" i="1"/>
  <c r="H47" i="1"/>
  <c r="F47" i="1"/>
  <c r="D47" i="1"/>
  <c r="R46" i="1"/>
  <c r="Q46" i="1"/>
  <c r="P46" i="1"/>
  <c r="O46" i="1"/>
  <c r="N46" i="1"/>
  <c r="M46" i="1"/>
  <c r="L46" i="1"/>
  <c r="K46" i="1"/>
  <c r="J46" i="1"/>
  <c r="I46" i="1"/>
  <c r="H46" i="1"/>
  <c r="F46" i="1"/>
  <c r="D46" i="1"/>
  <c r="R45" i="1"/>
  <c r="Q45" i="1"/>
  <c r="P45" i="1"/>
  <c r="O45" i="1"/>
  <c r="N45" i="1"/>
  <c r="M45" i="1"/>
  <c r="L45" i="1"/>
  <c r="K45" i="1"/>
  <c r="J45" i="1"/>
  <c r="I45" i="1"/>
  <c r="H45" i="1"/>
  <c r="F45" i="1"/>
  <c r="D45" i="1"/>
  <c r="R44" i="1"/>
  <c r="Q44" i="1"/>
  <c r="P44" i="1"/>
  <c r="O44" i="1"/>
  <c r="N44" i="1"/>
  <c r="M44" i="1"/>
  <c r="L44" i="1"/>
  <c r="K44" i="1"/>
  <c r="J44" i="1"/>
  <c r="I44" i="1"/>
  <c r="H44" i="1"/>
  <c r="F44" i="1"/>
  <c r="D44" i="1"/>
  <c r="R43" i="1"/>
  <c r="Q43" i="1"/>
  <c r="P43" i="1"/>
  <c r="O43" i="1"/>
  <c r="N43" i="1"/>
  <c r="M43" i="1"/>
  <c r="L43" i="1"/>
  <c r="K43" i="1"/>
  <c r="J43" i="1"/>
  <c r="I43" i="1"/>
  <c r="H43" i="1"/>
  <c r="F43" i="1"/>
  <c r="D43" i="1"/>
  <c r="R42" i="1"/>
  <c r="Q42" i="1"/>
  <c r="P42" i="1"/>
  <c r="O42" i="1"/>
  <c r="N42" i="1"/>
  <c r="M42" i="1"/>
  <c r="L42" i="1"/>
  <c r="K42" i="1"/>
  <c r="J42" i="1"/>
  <c r="I42" i="1"/>
  <c r="H42" i="1"/>
  <c r="F42" i="1"/>
  <c r="D42" i="1"/>
  <c r="R41" i="1"/>
  <c r="Q41" i="1"/>
  <c r="P41" i="1"/>
  <c r="O41" i="1"/>
  <c r="N41" i="1"/>
  <c r="M41" i="1"/>
  <c r="L41" i="1"/>
  <c r="K41" i="1"/>
  <c r="J41" i="1"/>
  <c r="I41" i="1"/>
  <c r="H41" i="1"/>
  <c r="F41" i="1"/>
  <c r="D41" i="1"/>
  <c r="R40" i="1"/>
  <c r="Q40" i="1"/>
  <c r="P40" i="1"/>
  <c r="O40" i="1"/>
  <c r="N40" i="1"/>
  <c r="M40" i="1"/>
  <c r="L40" i="1"/>
  <c r="K40" i="1"/>
  <c r="J40" i="1"/>
  <c r="I40" i="1"/>
  <c r="H40" i="1"/>
  <c r="F40" i="1"/>
  <c r="D40" i="1"/>
  <c r="R39" i="1"/>
  <c r="Q39" i="1"/>
  <c r="P39" i="1"/>
  <c r="O39" i="1"/>
  <c r="N39" i="1"/>
  <c r="M39" i="1"/>
  <c r="L39" i="1"/>
  <c r="K39" i="1"/>
  <c r="J39" i="1"/>
  <c r="I39" i="1"/>
  <c r="H39" i="1"/>
  <c r="F39" i="1"/>
  <c r="D39" i="1"/>
  <c r="R38" i="1"/>
  <c r="Q38" i="1"/>
  <c r="P38" i="1"/>
  <c r="O38" i="1"/>
  <c r="N38" i="1"/>
  <c r="M38" i="1"/>
  <c r="L38" i="1"/>
  <c r="K38" i="1"/>
  <c r="J38" i="1"/>
  <c r="I38" i="1"/>
  <c r="H38" i="1"/>
  <c r="F38" i="1"/>
  <c r="D38" i="1"/>
  <c r="R37" i="1"/>
  <c r="Q37" i="1"/>
  <c r="P37" i="1"/>
  <c r="O37" i="1"/>
  <c r="N37" i="1"/>
  <c r="M37" i="1"/>
  <c r="L37" i="1"/>
  <c r="K37" i="1"/>
  <c r="J37" i="1"/>
  <c r="I37" i="1"/>
  <c r="H37" i="1"/>
  <c r="F37" i="1"/>
  <c r="D37" i="1"/>
  <c r="R36" i="1"/>
  <c r="Q36" i="1"/>
  <c r="P36" i="1"/>
  <c r="O36" i="1"/>
  <c r="N36" i="1"/>
  <c r="M36" i="1"/>
  <c r="L36" i="1"/>
  <c r="K36" i="1"/>
  <c r="J36" i="1"/>
  <c r="I36" i="1"/>
  <c r="H36" i="1"/>
  <c r="F36" i="1"/>
  <c r="D36" i="1"/>
  <c r="R35" i="1"/>
  <c r="Q35" i="1"/>
  <c r="P35" i="1"/>
  <c r="O35" i="1"/>
  <c r="N35" i="1"/>
  <c r="M35" i="1"/>
  <c r="L35" i="1"/>
  <c r="K35" i="1"/>
  <c r="J35" i="1"/>
  <c r="I35" i="1"/>
  <c r="H35" i="1"/>
  <c r="F35" i="1"/>
  <c r="D35" i="1"/>
  <c r="R34" i="1"/>
  <c r="Q34" i="1"/>
  <c r="P34" i="1"/>
  <c r="O34" i="1"/>
  <c r="N34" i="1"/>
  <c r="M34" i="1"/>
  <c r="L34" i="1"/>
  <c r="K34" i="1"/>
  <c r="J34" i="1"/>
  <c r="I34" i="1"/>
  <c r="H34" i="1"/>
  <c r="F34" i="1"/>
  <c r="D34" i="1"/>
  <c r="R33" i="1"/>
  <c r="Q33" i="1"/>
  <c r="P33" i="1"/>
  <c r="O33" i="1"/>
  <c r="N33" i="1"/>
  <c r="M33" i="1"/>
  <c r="L33" i="1"/>
  <c r="K33" i="1"/>
  <c r="J33" i="1"/>
  <c r="I33" i="1"/>
  <c r="H33" i="1"/>
  <c r="F33" i="1"/>
  <c r="D33" i="1"/>
  <c r="R32" i="1"/>
  <c r="Q32" i="1"/>
  <c r="P32" i="1"/>
  <c r="O32" i="1"/>
  <c r="N32" i="1"/>
  <c r="M32" i="1"/>
  <c r="L32" i="1"/>
  <c r="K32" i="1"/>
  <c r="J32" i="1"/>
  <c r="I32" i="1"/>
  <c r="H32" i="1"/>
  <c r="F32" i="1"/>
  <c r="D32" i="1"/>
  <c r="R31" i="1"/>
  <c r="Q31" i="1"/>
  <c r="P31" i="1"/>
  <c r="O31" i="1"/>
  <c r="N31" i="1"/>
  <c r="M31" i="1"/>
  <c r="L31" i="1"/>
  <c r="K31" i="1"/>
  <c r="J31" i="1"/>
  <c r="I31" i="1"/>
  <c r="H31" i="1"/>
  <c r="F31" i="1"/>
  <c r="D31" i="1"/>
  <c r="R30" i="1"/>
  <c r="Q30" i="1"/>
  <c r="P30" i="1"/>
  <c r="O30" i="1"/>
  <c r="N30" i="1"/>
  <c r="M30" i="1"/>
  <c r="L30" i="1"/>
  <c r="K30" i="1"/>
  <c r="J30" i="1"/>
  <c r="I30" i="1"/>
  <c r="H30" i="1"/>
  <c r="F30" i="1"/>
  <c r="D30" i="1"/>
  <c r="R29" i="1"/>
  <c r="Q29" i="1"/>
  <c r="P29" i="1"/>
  <c r="O29" i="1"/>
  <c r="N29" i="1"/>
  <c r="M29" i="1"/>
  <c r="L29" i="1"/>
  <c r="K29" i="1"/>
  <c r="J29" i="1"/>
  <c r="I29" i="1"/>
  <c r="H29" i="1"/>
  <c r="F29" i="1"/>
  <c r="D29" i="1"/>
  <c r="R28" i="1"/>
  <c r="Q28" i="1"/>
  <c r="P28" i="1"/>
  <c r="O28" i="1"/>
  <c r="N28" i="1"/>
  <c r="M28" i="1"/>
  <c r="L28" i="1"/>
  <c r="K28" i="1"/>
  <c r="J28" i="1"/>
  <c r="I28" i="1"/>
  <c r="H28" i="1"/>
  <c r="F28" i="1"/>
  <c r="D28" i="1"/>
  <c r="R27" i="1"/>
  <c r="Q27" i="1"/>
  <c r="P27" i="1"/>
  <c r="O27" i="1"/>
  <c r="N27" i="1"/>
  <c r="M27" i="1"/>
  <c r="L27" i="1"/>
  <c r="K27" i="1"/>
  <c r="J27" i="1"/>
  <c r="I27" i="1"/>
  <c r="H27" i="1"/>
  <c r="F27" i="1"/>
  <c r="D27" i="1"/>
  <c r="R26" i="1"/>
  <c r="Q26" i="1"/>
  <c r="P26" i="1"/>
  <c r="O26" i="1"/>
  <c r="N26" i="1"/>
  <c r="M26" i="1"/>
  <c r="L26" i="1"/>
  <c r="K26" i="1"/>
  <c r="J26" i="1"/>
  <c r="I26" i="1"/>
  <c r="H26" i="1"/>
  <c r="F26" i="1"/>
  <c r="D26" i="1"/>
  <c r="R25" i="1"/>
  <c r="Q25" i="1"/>
  <c r="P25" i="1"/>
  <c r="O25" i="1"/>
  <c r="N25" i="1"/>
  <c r="M25" i="1"/>
  <c r="L25" i="1"/>
  <c r="K25" i="1"/>
  <c r="J25" i="1"/>
  <c r="I25" i="1"/>
  <c r="H25" i="1"/>
  <c r="F25" i="1"/>
  <c r="D25" i="1"/>
  <c r="R24" i="1"/>
  <c r="Q24" i="1"/>
  <c r="P24" i="1"/>
  <c r="O24" i="1"/>
  <c r="N24" i="1"/>
  <c r="M24" i="1"/>
  <c r="L24" i="1"/>
  <c r="K24" i="1"/>
  <c r="J24" i="1"/>
  <c r="I24" i="1"/>
  <c r="H24" i="1"/>
  <c r="F24" i="1"/>
  <c r="D24" i="1"/>
  <c r="R23" i="1"/>
  <c r="Q23" i="1"/>
  <c r="P23" i="1"/>
  <c r="O23" i="1"/>
  <c r="N23" i="1"/>
  <c r="M23" i="1"/>
  <c r="L23" i="1"/>
  <c r="K23" i="1"/>
  <c r="J23" i="1"/>
  <c r="I23" i="1"/>
  <c r="H23" i="1"/>
  <c r="F23" i="1"/>
  <c r="D23" i="1"/>
  <c r="R22" i="1"/>
  <c r="Q22" i="1"/>
  <c r="P22" i="1"/>
  <c r="O22" i="1"/>
  <c r="N22" i="1"/>
  <c r="M22" i="1"/>
  <c r="L22" i="1"/>
  <c r="K22" i="1"/>
  <c r="J22" i="1"/>
  <c r="I22" i="1"/>
  <c r="H22" i="1"/>
  <c r="F22" i="1"/>
  <c r="D22" i="1"/>
  <c r="R21" i="1"/>
  <c r="Q21" i="1"/>
  <c r="P21" i="1"/>
  <c r="O21" i="1"/>
  <c r="N21" i="1"/>
  <c r="M21" i="1"/>
  <c r="L21" i="1"/>
  <c r="K21" i="1"/>
  <c r="J21" i="1"/>
  <c r="I21" i="1"/>
  <c r="H21" i="1"/>
  <c r="F21" i="1"/>
  <c r="D21" i="1"/>
  <c r="R20" i="1"/>
  <c r="Q20" i="1"/>
  <c r="P20" i="1"/>
  <c r="O20" i="1"/>
  <c r="N20" i="1"/>
  <c r="M20" i="1"/>
  <c r="L20" i="1"/>
  <c r="K20" i="1"/>
  <c r="J20" i="1"/>
  <c r="I20" i="1"/>
  <c r="H20" i="1"/>
  <c r="F20" i="1"/>
  <c r="D20" i="1"/>
  <c r="R19" i="1"/>
  <c r="Q19" i="1"/>
  <c r="P19" i="1"/>
  <c r="O19" i="1"/>
  <c r="N19" i="1"/>
  <c r="M19" i="1"/>
  <c r="L19" i="1"/>
  <c r="K19" i="1"/>
  <c r="J19" i="1"/>
  <c r="I19" i="1"/>
  <c r="H19" i="1"/>
  <c r="F19" i="1"/>
  <c r="D19" i="1"/>
  <c r="R18" i="1"/>
  <c r="Q18" i="1"/>
  <c r="P18" i="1"/>
  <c r="O18" i="1"/>
  <c r="N18" i="1"/>
  <c r="M18" i="1"/>
  <c r="L18" i="1"/>
  <c r="K18" i="1"/>
  <c r="J18" i="1"/>
  <c r="I18" i="1"/>
  <c r="H18" i="1"/>
  <c r="F18" i="1"/>
  <c r="D18" i="1"/>
  <c r="R17" i="1"/>
  <c r="Q17" i="1"/>
  <c r="P17" i="1"/>
  <c r="O17" i="1"/>
  <c r="N17" i="1"/>
  <c r="M17" i="1"/>
  <c r="L17" i="1"/>
  <c r="K17" i="1"/>
  <c r="J17" i="1"/>
  <c r="I17" i="1"/>
  <c r="H17" i="1"/>
  <c r="F17" i="1"/>
  <c r="D17" i="1"/>
  <c r="R16" i="1"/>
  <c r="Q16" i="1"/>
  <c r="P16" i="1"/>
  <c r="O16" i="1"/>
  <c r="N16" i="1"/>
  <c r="M16" i="1"/>
  <c r="L16" i="1"/>
  <c r="K16" i="1"/>
  <c r="J16" i="1"/>
  <c r="I16" i="1"/>
  <c r="H16" i="1"/>
  <c r="F16" i="1"/>
  <c r="D16" i="1"/>
  <c r="R15" i="1"/>
  <c r="Q15" i="1"/>
  <c r="P15" i="1"/>
  <c r="O15" i="1"/>
  <c r="N15" i="1"/>
  <c r="M15" i="1"/>
  <c r="L15" i="1"/>
  <c r="K15" i="1"/>
  <c r="J15" i="1"/>
  <c r="I15" i="1"/>
  <c r="H15" i="1"/>
  <c r="F15" i="1"/>
  <c r="D15" i="1"/>
  <c r="R14" i="1"/>
  <c r="Q14" i="1"/>
  <c r="P14" i="1"/>
  <c r="O14" i="1"/>
  <c r="N14" i="1"/>
  <c r="M14" i="1"/>
  <c r="L14" i="1"/>
  <c r="K14" i="1"/>
  <c r="J14" i="1"/>
  <c r="I14" i="1"/>
  <c r="H14" i="1"/>
  <c r="F14" i="1"/>
  <c r="D14" i="1"/>
  <c r="R13" i="1"/>
  <c r="Q13" i="1"/>
  <c r="P13" i="1"/>
  <c r="O13" i="1"/>
  <c r="N13" i="1"/>
  <c r="M13" i="1"/>
  <c r="L13" i="1"/>
  <c r="K13" i="1"/>
  <c r="J13" i="1"/>
  <c r="I13" i="1"/>
  <c r="H13" i="1"/>
  <c r="F13" i="1"/>
  <c r="D13" i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R12" i="1"/>
  <c r="Q12" i="1"/>
  <c r="P12" i="1"/>
  <c r="O12" i="1"/>
  <c r="N12" i="1"/>
  <c r="M12" i="1"/>
  <c r="L12" i="1"/>
  <c r="K12" i="1"/>
  <c r="J12" i="1"/>
  <c r="I12" i="1"/>
  <c r="H12" i="1"/>
  <c r="F12" i="1"/>
  <c r="D12" i="1"/>
  <c r="R11" i="1"/>
  <c r="Q11" i="1"/>
  <c r="P11" i="1"/>
  <c r="O11" i="1"/>
  <c r="N11" i="1"/>
  <c r="M11" i="1"/>
  <c r="L11" i="1"/>
  <c r="K11" i="1"/>
  <c r="J11" i="1"/>
  <c r="I11" i="1"/>
  <c r="H11" i="1"/>
  <c r="F11" i="1"/>
  <c r="D11" i="1"/>
  <c r="B172" i="1" l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170" i="1"/>
  <c r="B171" i="1" s="1"/>
</calcChain>
</file>

<file path=xl/sharedStrings.xml><?xml version="1.0" encoding="utf-8"?>
<sst xmlns="http://schemas.openxmlformats.org/spreadsheetml/2006/main" count="783" uniqueCount="75">
  <si>
    <t>บริษัท ซี.พี.เค อินดัสทรี จำกัด</t>
  </si>
  <si>
    <t>ผู้จัดทำ</t>
  </si>
  <si>
    <t>ผู้อนุมัติ</t>
  </si>
  <si>
    <t>34/4 ม. 3 ถ. เทพารักษ์  ต. บางปลา อ. บางพลี จ. สมุทรปราการ 10540</t>
  </si>
  <si>
    <t>Tel. 02-174-6079 Fax. 02-1746079</t>
  </si>
  <si>
    <t xml:space="preserve">เรียน : </t>
  </si>
  <si>
    <t>คุณปัทมา, คุณทวีวัฒน์/คุณกุ้ง, คุณนิว, คุณทอย</t>
  </si>
  <si>
    <t xml:space="preserve">บริษัท : </t>
  </si>
  <si>
    <t xml:space="preserve">บริษัท ไทยซัมมิท โกลด์เพรส จำกัด / บริษัท เพนต้า ทิก อินดัสทรีส์ (ไทยแลนด์) จำกัด </t>
  </si>
  <si>
    <t>ที่อยู่ :</t>
  </si>
  <si>
    <t>4/3, 4/29 หมู่ 1 ถ. บางนา-ตราด กม. 16 ต. บางโฉลง อ. บางพลี จ. สมุทรปราการ 10540</t>
  </si>
  <si>
    <t xml:space="preserve">เรื่อง : </t>
  </si>
  <si>
    <t>ประมาณการ</t>
  </si>
  <si>
    <t>CPS-HONDA</t>
  </si>
  <si>
    <t>วันที่ 27 เม.ย  2569</t>
  </si>
  <si>
    <t>ITEM</t>
  </si>
  <si>
    <t>Mat'l No.</t>
  </si>
  <si>
    <t>DESCRIPTION</t>
  </si>
  <si>
    <t>SPEC.</t>
  </si>
  <si>
    <t>PART  NAME</t>
  </si>
  <si>
    <t>PART  NO.</t>
  </si>
  <si>
    <t>MODEL</t>
  </si>
  <si>
    <t>REMARK</t>
  </si>
  <si>
    <t>30041805-2</t>
  </si>
  <si>
    <t>x</t>
  </si>
  <si>
    <t>PCS.</t>
  </si>
  <si>
    <t>73018928-1</t>
  </si>
  <si>
    <t>73018928-6</t>
  </si>
  <si>
    <t>30044948-1</t>
  </si>
  <si>
    <t>30044948-2</t>
  </si>
  <si>
    <t>30044948-3</t>
  </si>
  <si>
    <t>30041291-1</t>
  </si>
  <si>
    <t>30041291-2</t>
  </si>
  <si>
    <t>30041720-1</t>
  </si>
  <si>
    <t>30048198-4</t>
  </si>
  <si>
    <t>30051556-2</t>
  </si>
  <si>
    <t>30041194-10</t>
  </si>
  <si>
    <t>30041201-1</t>
  </si>
  <si>
    <t>30041807-1</t>
  </si>
  <si>
    <t>30041808-1</t>
  </si>
  <si>
    <t>30041811-1</t>
  </si>
  <si>
    <t>30041811-2</t>
  </si>
  <si>
    <t>30045050-1</t>
  </si>
  <si>
    <t>30046853-1</t>
  </si>
  <si>
    <t>30036276-1</t>
  </si>
  <si>
    <t>30041189-1</t>
  </si>
  <si>
    <t>30041189-2</t>
  </si>
  <si>
    <t>30041189-3</t>
  </si>
  <si>
    <t>30041190-3</t>
  </si>
  <si>
    <t>30041194-2</t>
  </si>
  <si>
    <t>30041194-4</t>
  </si>
  <si>
    <t>30041194-6</t>
  </si>
  <si>
    <t>30041194-7</t>
  </si>
  <si>
    <t>30041961-1</t>
  </si>
  <si>
    <t>30041962-1</t>
  </si>
  <si>
    <t>30041963-1</t>
  </si>
  <si>
    <t>30041964-1</t>
  </si>
  <si>
    <t>30041964-3</t>
  </si>
  <si>
    <t>30041965-1</t>
  </si>
  <si>
    <t>30045039-1</t>
  </si>
  <si>
    <t>30050143-1</t>
  </si>
  <si>
    <t>30050144-1</t>
  </si>
  <si>
    <t>30048198-3</t>
  </si>
  <si>
    <t>KG</t>
  </si>
  <si>
    <t>30051567-3</t>
  </si>
  <si>
    <t>30051567-4</t>
  </si>
  <si>
    <t>30048216-2</t>
  </si>
  <si>
    <t>30048216-3</t>
  </si>
  <si>
    <t>30048217-2</t>
  </si>
  <si>
    <t>30048217-3</t>
  </si>
  <si>
    <t>30048217-4</t>
  </si>
  <si>
    <t>30041579-1</t>
  </si>
  <si>
    <t>30042553-2</t>
  </si>
  <si>
    <t>KG.</t>
  </si>
  <si>
    <t>หมายเหตุ : รายการข้างต้นเป็นเพียงประมาณการความต้องการใช้งาน อาจมีการเปลี่ยนแปลง +/-20 %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</si>
</sst>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[$-107041E]d\ mmmm\ yyyy;@"/>
    <numFmt numFmtId="166" formatCode="_(* #,##0.0_);_(* \(#,##0.0\);_(* &quot;-&quot;??_);_(@_)"/>
    <numFmt numFmtId="167" formatCode="_(* #,##0_);_(* \(#,##0\);_(* &quot;-&quot;??_);_(@_)"/>
    <numFmt numFmtId="168" formatCode="0.0"/>
    <numFmt numFmtId="169" formatCode="_ * #,##0_ ;_ * \-#,##0_ ;_ * &quot;-&quot;_ ;_ @_ "/>
    <numFmt numFmtId="170" formatCode="_ * #,##0.00_ ;_ * \-#,##0.00_ ;_ * &quot;-&quot;??_ ;_ @_ "/>
    <numFmt numFmtId="171" formatCode="_ &quot;\&quot;* #,##0_ ;_ &quot;\&quot;* \-#,##0_ ;_ &quot;\&quot;* &quot;-&quot;_ ;_ @_ "/>
    <numFmt numFmtId="172" formatCode="_ &quot;\&quot;* #,##0.00_ ;_ &quot;\&quot;* \-#,##0.00_ ;_ &quot;\&quot;* &quot;-&quot;??_ ;_ @_ "/>
  </numFmts>
  <fonts count="3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0"/>
      <name val="Tahoma"/>
      <family val="2"/>
    </font>
    <font>
      <sz val="10"/>
      <name val="Arial"/>
      <family val="2"/>
    </font>
    <font>
      <sz val="10"/>
      <color theme="1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sz val="11"/>
      <color indexed="8"/>
      <name val="Tahoma"/>
      <family val="2"/>
      <charset val="222"/>
    </font>
    <font>
      <sz val="10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u/>
      <sz val="11"/>
      <color theme="10"/>
      <name val="Calibri"/>
      <family val="2"/>
      <charset val="222"/>
      <scheme val="minor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sz val="11"/>
      <color theme="1"/>
      <name val="Leelawadee UI Semilight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2"/>
      <name val="바탕체"/>
      <family val="1"/>
      <charset val="129"/>
    </font>
    <font>
      <sz val="10"/>
      <name val="굴림체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95">
    <xf numFmtId="0" fontId="0" fillId="0" borderId="0"/>
    <xf numFmtId="43" fontId="4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164" fontId="8" fillId="0" borderId="0" applyFont="0" applyFill="0" applyBorder="0" applyAlignment="0" applyProtection="0"/>
    <xf numFmtId="0" fontId="2" fillId="0" borderId="0"/>
    <xf numFmtId="0" fontId="8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20" borderId="0" applyNumberFormat="0" applyBorder="0" applyAlignment="0" applyProtection="0"/>
    <xf numFmtId="0" fontId="11" fillId="4" borderId="0" applyNumberFormat="0" applyBorder="0" applyAlignment="0" applyProtection="0"/>
    <xf numFmtId="0" fontId="12" fillId="21" borderId="25" applyNumberFormat="0" applyAlignment="0" applyProtection="0"/>
    <xf numFmtId="0" fontId="13" fillId="22" borderId="26" applyNumberFormat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0" borderId="27" applyNumberFormat="0" applyFill="0" applyAlignment="0" applyProtection="0"/>
    <xf numFmtId="0" fontId="17" fillId="0" borderId="28" applyNumberFormat="0" applyFill="0" applyAlignment="0" applyProtection="0"/>
    <xf numFmtId="0" fontId="18" fillId="0" borderId="29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8" borderId="25" applyNumberFormat="0" applyAlignment="0" applyProtection="0"/>
    <xf numFmtId="0" fontId="21" fillId="0" borderId="30" applyNumberFormat="0" applyFill="0" applyAlignment="0" applyProtection="0"/>
    <xf numFmtId="0" fontId="22" fillId="23" borderId="0" applyNumberFormat="0" applyBorder="0" applyAlignment="0" applyProtection="0"/>
    <xf numFmtId="0" fontId="23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25" fillId="0" borderId="0">
      <alignment vertical="center"/>
    </xf>
    <xf numFmtId="0" fontId="8" fillId="24" borderId="31" applyNumberFormat="0" applyFont="0" applyAlignment="0" applyProtection="0"/>
    <xf numFmtId="0" fontId="26" fillId="21" borderId="32" applyNumberFormat="0" applyAlignment="0" applyProtection="0"/>
    <xf numFmtId="9" fontId="2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33" applyNumberFormat="0" applyFill="0" applyAlignment="0" applyProtection="0"/>
    <xf numFmtId="0" fontId="29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8" fillId="0" borderId="0" applyFont="0" applyFill="0" applyBorder="0" applyAlignment="0" applyProtection="0"/>
    <xf numFmtId="169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172" fontId="30" fillId="0" borderId="0" applyFont="0" applyFill="0" applyBorder="0" applyAlignment="0" applyProtection="0"/>
    <xf numFmtId="0" fontId="31" fillId="0" borderId="0"/>
  </cellStyleXfs>
  <cellXfs count="79">
    <xf numFmtId="0" fontId="0" fillId="0" borderId="0" xfId="0"/>
    <xf numFmtId="0" fontId="3" fillId="0" borderId="0" xfId="2" applyFont="1" applyAlignment="1">
      <alignment vertical="center"/>
    </xf>
    <xf numFmtId="0" fontId="3" fillId="0" borderId="0" xfId="3" applyFont="1" applyAlignment="1">
      <alignment horizontal="center" vertical="center"/>
    </xf>
    <xf numFmtId="1" fontId="3" fillId="0" borderId="0" xfId="3" applyNumberFormat="1" applyFont="1" applyAlignment="1">
      <alignment horizontal="center" vertical="center"/>
    </xf>
    <xf numFmtId="0" fontId="5" fillId="0" borderId="0" xfId="2" applyFont="1" applyAlignment="1">
      <alignment vertical="center"/>
    </xf>
    <xf numFmtId="0" fontId="3" fillId="0" borderId="1" xfId="2" applyFont="1" applyBorder="1" applyAlignment="1">
      <alignment vertical="center"/>
    </xf>
    <xf numFmtId="0" fontId="3" fillId="0" borderId="2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3" fillId="0" borderId="5" xfId="2" applyFont="1" applyBorder="1" applyAlignment="1">
      <alignment vertical="center"/>
    </xf>
    <xf numFmtId="0" fontId="3" fillId="0" borderId="6" xfId="2" applyFont="1" applyBorder="1" applyAlignment="1">
      <alignment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vertical="center"/>
    </xf>
    <xf numFmtId="0" fontId="3" fillId="0" borderId="9" xfId="2" applyFont="1" applyBorder="1" applyAlignment="1">
      <alignment vertical="center"/>
    </xf>
    <xf numFmtId="14" fontId="3" fillId="0" borderId="10" xfId="2" applyNumberFormat="1" applyFont="1" applyBorder="1" applyAlignment="1">
      <alignment vertical="center" shrinkToFit="1"/>
    </xf>
    <xf numFmtId="0" fontId="3" fillId="0" borderId="11" xfId="2" applyFont="1" applyBorder="1" applyAlignment="1">
      <alignment vertical="center"/>
    </xf>
    <xf numFmtId="0" fontId="5" fillId="0" borderId="11" xfId="2" applyFont="1" applyBorder="1" applyAlignment="1">
      <alignment vertical="center"/>
    </xf>
    <xf numFmtId="0" fontId="3" fillId="0" borderId="12" xfId="2" applyFont="1" applyBorder="1" applyAlignment="1">
      <alignment vertical="center"/>
    </xf>
    <xf numFmtId="0" fontId="6" fillId="0" borderId="13" xfId="2" applyFont="1" applyBorder="1" applyAlignment="1">
      <alignment horizontal="left" vertical="center"/>
    </xf>
    <xf numFmtId="0" fontId="6" fillId="0" borderId="13" xfId="4" applyFont="1" applyBorder="1" applyAlignment="1">
      <alignment vertical="center"/>
    </xf>
    <xf numFmtId="1" fontId="6" fillId="0" borderId="13" xfId="4" applyNumberFormat="1" applyFont="1" applyBorder="1" applyAlignment="1">
      <alignment vertical="center"/>
    </xf>
    <xf numFmtId="0" fontId="5" fillId="0" borderId="13" xfId="2" applyFont="1" applyBorder="1" applyAlignment="1">
      <alignment vertical="center"/>
    </xf>
    <xf numFmtId="0" fontId="3" fillId="0" borderId="13" xfId="2" applyFont="1" applyBorder="1" applyAlignment="1">
      <alignment vertical="center"/>
    </xf>
    <xf numFmtId="0" fontId="3" fillId="0" borderId="14" xfId="2" applyFont="1" applyBorder="1" applyAlignment="1">
      <alignment vertical="center"/>
    </xf>
    <xf numFmtId="0" fontId="3" fillId="0" borderId="15" xfId="2" applyFont="1" applyBorder="1" applyAlignment="1">
      <alignment vertical="center"/>
    </xf>
    <xf numFmtId="0" fontId="6" fillId="0" borderId="0" xfId="2" applyFont="1" applyAlignment="1">
      <alignment horizontal="left" vertical="center"/>
    </xf>
    <xf numFmtId="1" fontId="3" fillId="0" borderId="0" xfId="2" applyNumberFormat="1" applyFont="1" applyAlignment="1">
      <alignment vertical="center"/>
    </xf>
    <xf numFmtId="0" fontId="6" fillId="0" borderId="0" xfId="2" applyFont="1" applyAlignment="1">
      <alignment horizontal="right" vertical="center"/>
    </xf>
    <xf numFmtId="0" fontId="3" fillId="0" borderId="16" xfId="2" applyFont="1" applyBorder="1" applyAlignment="1">
      <alignment vertical="center"/>
    </xf>
    <xf numFmtId="0" fontId="7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horizontal="right" vertical="center"/>
    </xf>
    <xf numFmtId="165" fontId="6" fillId="0" borderId="11" xfId="2" applyNumberFormat="1" applyFont="1" applyBorder="1" applyAlignment="1">
      <alignment vertical="center"/>
    </xf>
    <xf numFmtId="1" fontId="3" fillId="0" borderId="13" xfId="2" applyNumberFormat="1" applyFont="1" applyBorder="1" applyAlignment="1">
      <alignment vertical="center"/>
    </xf>
    <xf numFmtId="0" fontId="3" fillId="0" borderId="15" xfId="2" applyFont="1" applyBorder="1" applyAlignment="1">
      <alignment vertical="center" shrinkToFit="1"/>
    </xf>
    <xf numFmtId="0" fontId="6" fillId="0" borderId="17" xfId="2" applyFont="1" applyBorder="1" applyAlignment="1">
      <alignment horizontal="center" vertical="center" shrinkToFit="1"/>
    </xf>
    <xf numFmtId="0" fontId="6" fillId="0" borderId="18" xfId="2" applyFont="1" applyBorder="1" applyAlignment="1">
      <alignment horizontal="center" vertical="center" shrinkToFit="1"/>
    </xf>
    <xf numFmtId="0" fontId="7" fillId="0" borderId="21" xfId="2" applyFont="1" applyBorder="1" applyAlignment="1">
      <alignment horizontal="center" vertical="center" shrinkToFit="1"/>
    </xf>
    <xf numFmtId="0" fontId="6" fillId="0" borderId="21" xfId="2" applyFont="1" applyBorder="1" applyAlignment="1">
      <alignment horizontal="center" vertical="center" shrinkToFit="1"/>
    </xf>
    <xf numFmtId="17" fontId="6" fillId="0" borderId="19" xfId="2" applyNumberFormat="1" applyFont="1" applyBorder="1" applyAlignment="1">
      <alignment horizontal="center" vertical="center" shrinkToFit="1"/>
    </xf>
    <xf numFmtId="0" fontId="6" fillId="0" borderId="22" xfId="2" applyFont="1" applyBorder="1" applyAlignment="1">
      <alignment horizontal="center" vertical="center" shrinkToFit="1"/>
    </xf>
    <xf numFmtId="0" fontId="3" fillId="0" borderId="16" xfId="2" applyFont="1" applyBorder="1" applyAlignment="1">
      <alignment vertical="center" shrinkToFit="1"/>
    </xf>
    <xf numFmtId="0" fontId="3" fillId="0" borderId="0" xfId="2" applyFont="1" applyAlignment="1">
      <alignment vertical="center" shrinkToFit="1"/>
    </xf>
    <xf numFmtId="0" fontId="3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3" fillId="0" borderId="1" xfId="1" applyNumberFormat="1" applyFont="1" applyBorder="1" applyAlignment="1">
      <alignment horizontal="left" vertical="center" shrinkToFit="1"/>
    </xf>
    <xf numFmtId="0" fontId="3" fillId="0" borderId="2" xfId="4" applyFont="1" applyBorder="1" applyAlignment="1">
      <alignment horizontal="center" vertical="center"/>
    </xf>
    <xf numFmtId="0" fontId="3" fillId="0" borderId="3" xfId="4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shrinkToFit="1"/>
    </xf>
    <xf numFmtId="0" fontId="3" fillId="0" borderId="23" xfId="0" applyFont="1" applyBorder="1" applyAlignment="1">
      <alignment horizontal="left" vertical="center" shrinkToFit="1"/>
    </xf>
    <xf numFmtId="167" fontId="3" fillId="0" borderId="23" xfId="1" applyNumberFormat="1" applyFont="1" applyBorder="1" applyAlignment="1">
      <alignment vertical="center" shrinkToFit="1"/>
    </xf>
    <xf numFmtId="0" fontId="3" fillId="0" borderId="23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0" xfId="0" applyFont="1" applyAlignment="1">
      <alignment vertical="center"/>
    </xf>
    <xf numFmtId="1" fontId="9" fillId="0" borderId="24" xfId="5" applyNumberFormat="1" applyFont="1" applyFill="1" applyBorder="1" applyAlignment="1">
      <alignment horizontal="center"/>
    </xf>
    <xf numFmtId="166" fontId="3" fillId="0" borderId="2" xfId="4" applyNumberFormat="1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15" xfId="2" applyFont="1" applyFill="1" applyBorder="1" applyAlignment="1">
      <alignment vertical="center" shrinkToFit="1"/>
    </xf>
    <xf numFmtId="0" fontId="3" fillId="2" borderId="1" xfId="0" applyFont="1" applyFill="1" applyBorder="1" applyAlignment="1">
      <alignment horizontal="center" vertical="center"/>
    </xf>
    <xf numFmtId="166" fontId="3" fillId="2" borderId="2" xfId="4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2" borderId="2" xfId="4" applyFont="1" applyFill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8" fontId="3" fillId="0" borderId="1" xfId="4" applyNumberFormat="1" applyFont="1" applyBorder="1" applyAlignment="1">
      <alignment horizontal="center" vertical="center"/>
    </xf>
    <xf numFmtId="1" fontId="3" fillId="0" borderId="2" xfId="4" applyNumberFormat="1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3" xfId="3" applyFont="1" applyBorder="1" applyAlignment="1">
      <alignment horizontal="center" vertical="center"/>
    </xf>
    <xf numFmtId="0" fontId="3" fillId="0" borderId="0" xfId="7" applyFont="1" applyAlignment="1">
      <alignment horizontal="center" vertical="center"/>
    </xf>
    <xf numFmtId="1" fontId="3" fillId="0" borderId="0" xfId="7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165" fontId="6" fillId="0" borderId="11" xfId="2" applyNumberFormat="1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 shrinkToFit="1"/>
    </xf>
    <xf numFmtId="0" fontId="6" fillId="0" borderId="18" xfId="2" applyFont="1" applyBorder="1" applyAlignment="1">
      <alignment horizontal="center" vertical="center" shrinkToFit="1"/>
    </xf>
    <xf numFmtId="0" fontId="6" fillId="0" borderId="20" xfId="2" applyFont="1" applyBorder="1" applyAlignment="1">
      <alignment horizontal="center" vertical="center" shrinkToFit="1"/>
    </xf>
  </cellXfs>
  <cellStyles count="95">
    <cellStyle name="20% - Accent1" xfId="8" xr:uid="{00000000-0005-0000-0000-000000000000}"/>
    <cellStyle name="20% - Accent2" xfId="9" xr:uid="{00000000-0005-0000-0000-000001000000}"/>
    <cellStyle name="20% - Accent3" xfId="10" xr:uid="{00000000-0005-0000-0000-000002000000}"/>
    <cellStyle name="20% - Accent4" xfId="11" xr:uid="{00000000-0005-0000-0000-000003000000}"/>
    <cellStyle name="20% - Accent5" xfId="12" xr:uid="{00000000-0005-0000-0000-000004000000}"/>
    <cellStyle name="20% - Accent6" xfId="13" xr:uid="{00000000-0005-0000-0000-000005000000}"/>
    <cellStyle name="40% - Accent1" xfId="14" xr:uid="{00000000-0005-0000-0000-000006000000}"/>
    <cellStyle name="40% - Accent2" xfId="15" xr:uid="{00000000-0005-0000-0000-000007000000}"/>
    <cellStyle name="40% - Accent3" xfId="16" xr:uid="{00000000-0005-0000-0000-000008000000}"/>
    <cellStyle name="40% - Accent4" xfId="17" xr:uid="{00000000-0005-0000-0000-000009000000}"/>
    <cellStyle name="40% - Accent5" xfId="18" xr:uid="{00000000-0005-0000-0000-00000A000000}"/>
    <cellStyle name="40% - Accent6" xfId="19" xr:uid="{00000000-0005-0000-0000-00000B000000}"/>
    <cellStyle name="60% - Accent1" xfId="20" xr:uid="{00000000-0005-0000-0000-00000C000000}"/>
    <cellStyle name="60% - Accent2" xfId="21" xr:uid="{00000000-0005-0000-0000-00000D000000}"/>
    <cellStyle name="60% - Accent3" xfId="22" xr:uid="{00000000-0005-0000-0000-00000E000000}"/>
    <cellStyle name="60% - Accent4" xfId="23" xr:uid="{00000000-0005-0000-0000-00000F000000}"/>
    <cellStyle name="60% - Accent5" xfId="24" xr:uid="{00000000-0005-0000-0000-000010000000}"/>
    <cellStyle name="60% - Accent6" xfId="25" xr:uid="{00000000-0005-0000-0000-000011000000}"/>
    <cellStyle name="Accent1" xfId="26" xr:uid="{00000000-0005-0000-0000-000012000000}"/>
    <cellStyle name="Accent2" xfId="27" xr:uid="{00000000-0005-0000-0000-000013000000}"/>
    <cellStyle name="Accent3" xfId="28" xr:uid="{00000000-0005-0000-0000-000014000000}"/>
    <cellStyle name="Accent4" xfId="29" xr:uid="{00000000-0005-0000-0000-000015000000}"/>
    <cellStyle name="Accent5" xfId="30" xr:uid="{00000000-0005-0000-0000-000016000000}"/>
    <cellStyle name="Accent6" xfId="31" xr:uid="{00000000-0005-0000-0000-000017000000}"/>
    <cellStyle name="Bad" xfId="32" xr:uid="{00000000-0005-0000-0000-000018000000}"/>
    <cellStyle name="Calculation" xfId="33" xr:uid="{00000000-0005-0000-0000-000019000000}"/>
    <cellStyle name="Check Cell" xfId="34" xr:uid="{00000000-0005-0000-0000-00001A000000}"/>
    <cellStyle name="Comma" xfId="1" builtinId="3"/>
    <cellStyle name="Comma 2" xfId="35" xr:uid="{00000000-0005-0000-0000-00001C000000}"/>
    <cellStyle name="Comma 2 2" xfId="36" xr:uid="{00000000-0005-0000-0000-00001D000000}"/>
    <cellStyle name="Comma 3" xfId="37" xr:uid="{00000000-0005-0000-0000-00001E000000}"/>
    <cellStyle name="Comma 3 2" xfId="5" xr:uid="{00000000-0005-0000-0000-00001F000000}"/>
    <cellStyle name="Comma 4" xfId="38" xr:uid="{00000000-0005-0000-0000-000020000000}"/>
    <cellStyle name="Comma 5" xfId="39" xr:uid="{00000000-0005-0000-0000-000021000000}"/>
    <cellStyle name="Explanatory Text" xfId="40" xr:uid="{00000000-0005-0000-0000-000022000000}"/>
    <cellStyle name="Good" xfId="41" xr:uid="{00000000-0005-0000-0000-000023000000}"/>
    <cellStyle name="Heading 1" xfId="42" xr:uid="{00000000-0005-0000-0000-000024000000}"/>
    <cellStyle name="Heading 2" xfId="43" xr:uid="{00000000-0005-0000-0000-000025000000}"/>
    <cellStyle name="Heading 3" xfId="44" xr:uid="{00000000-0005-0000-0000-000026000000}"/>
    <cellStyle name="Heading 4" xfId="45" xr:uid="{00000000-0005-0000-0000-000027000000}"/>
    <cellStyle name="Hyperlink 2" xfId="46" xr:uid="{00000000-0005-0000-0000-000028000000}"/>
    <cellStyle name="Input" xfId="47" xr:uid="{00000000-0005-0000-0000-000029000000}"/>
    <cellStyle name="Linked Cell" xfId="48" xr:uid="{00000000-0005-0000-0000-00002A000000}"/>
    <cellStyle name="Neutral" xfId="49" xr:uid="{00000000-0005-0000-0000-00002B000000}"/>
    <cellStyle name="Normal" xfId="0" builtinId="0"/>
    <cellStyle name="Normal 10" xfId="50" xr:uid="{00000000-0005-0000-0000-00002D000000}"/>
    <cellStyle name="Normal 2" xfId="51" xr:uid="{00000000-0005-0000-0000-00002E000000}"/>
    <cellStyle name="Normal 2 2" xfId="52" xr:uid="{00000000-0005-0000-0000-00002F000000}"/>
    <cellStyle name="Normal 3" xfId="2" xr:uid="{00000000-0005-0000-0000-000030000000}"/>
    <cellStyle name="Normal 3 2" xfId="53" xr:uid="{00000000-0005-0000-0000-000031000000}"/>
    <cellStyle name="Normal 3 2 2" xfId="54" xr:uid="{00000000-0005-0000-0000-000032000000}"/>
    <cellStyle name="Normal 3 2 2 2" xfId="55" xr:uid="{00000000-0005-0000-0000-000033000000}"/>
    <cellStyle name="Normal 3 2_CSP 12-54---" xfId="56" xr:uid="{00000000-0005-0000-0000-000034000000}"/>
    <cellStyle name="Normal 3 3" xfId="57" xr:uid="{00000000-0005-0000-0000-000035000000}"/>
    <cellStyle name="Normal 3 3 2" xfId="58" xr:uid="{00000000-0005-0000-0000-000036000000}"/>
    <cellStyle name="Normal 3 3_พีเอส สตีลฯ 01-56" xfId="59" xr:uid="{00000000-0005-0000-0000-000037000000}"/>
    <cellStyle name="Normal 3 4" xfId="60" xr:uid="{00000000-0005-0000-0000-000038000000}"/>
    <cellStyle name="Normal 3_CSP 1-55" xfId="61" xr:uid="{00000000-0005-0000-0000-000039000000}"/>
    <cellStyle name="Normal 4" xfId="62" xr:uid="{00000000-0005-0000-0000-00003A000000}"/>
    <cellStyle name="Normal 5" xfId="63" xr:uid="{00000000-0005-0000-0000-00003B000000}"/>
    <cellStyle name="Normal 6" xfId="64" xr:uid="{00000000-0005-0000-0000-00003C000000}"/>
    <cellStyle name="Normal 7" xfId="65" xr:uid="{00000000-0005-0000-0000-00003D000000}"/>
    <cellStyle name="Normal 8" xfId="66" xr:uid="{00000000-0005-0000-0000-00003E000000}"/>
    <cellStyle name="Normal 9" xfId="67" xr:uid="{00000000-0005-0000-0000-00003F000000}"/>
    <cellStyle name="Normal_forecast purchase part 10 2009(REV.12.10.09)(END)" xfId="7" xr:uid="{00000000-0005-0000-0000-000040000000}"/>
    <cellStyle name="Note" xfId="68" xr:uid="{00000000-0005-0000-0000-000041000000}"/>
    <cellStyle name="Output" xfId="69" xr:uid="{00000000-0005-0000-0000-000042000000}"/>
    <cellStyle name="Percent 2" xfId="70" xr:uid="{00000000-0005-0000-0000-000043000000}"/>
    <cellStyle name="Title" xfId="71" xr:uid="{00000000-0005-0000-0000-000044000000}"/>
    <cellStyle name="Total" xfId="72" xr:uid="{00000000-0005-0000-0000-000045000000}"/>
    <cellStyle name="Warning Text" xfId="73" xr:uid="{00000000-0005-0000-0000-000046000000}"/>
    <cellStyle name="เครื่องหมายจุลภาค 2" xfId="74" xr:uid="{00000000-0005-0000-0000-000047000000}"/>
    <cellStyle name="เครื่องหมายจุลภาค 2 2" xfId="75" xr:uid="{00000000-0005-0000-0000-000048000000}"/>
    <cellStyle name="เครื่องหมายจุลภาค 2 3" xfId="76" xr:uid="{00000000-0005-0000-0000-000049000000}"/>
    <cellStyle name="เครื่องหมายจุลภาค 3" xfId="77" xr:uid="{00000000-0005-0000-0000-00004A000000}"/>
    <cellStyle name="เครื่องหมายจุลภาค 3 2" xfId="78" xr:uid="{00000000-0005-0000-0000-00004B000000}"/>
    <cellStyle name="เครื่องหมายจุลภาค 4" xfId="79" xr:uid="{00000000-0005-0000-0000-00004C000000}"/>
    <cellStyle name="เครื่องหมายจุลภาค 5" xfId="80" xr:uid="{00000000-0005-0000-0000-00004D000000}"/>
    <cellStyle name="เปอร์เซ็นต์ 2" xfId="89" xr:uid="{00000000-0005-0000-0000-000059000000}"/>
    <cellStyle name="จุลภาค 2" xfId="81" xr:uid="{00000000-0005-0000-0000-00004E000000}"/>
    <cellStyle name="ปกติ 2" xfId="82" xr:uid="{00000000-0005-0000-0000-00004F000000}"/>
    <cellStyle name="ปกติ 2 2" xfId="3" xr:uid="{00000000-0005-0000-0000-000050000000}"/>
    <cellStyle name="ปกติ 2_Copy of CSP 8-55" xfId="83" xr:uid="{00000000-0005-0000-0000-000051000000}"/>
    <cellStyle name="ปกติ 3" xfId="84" xr:uid="{00000000-0005-0000-0000-000052000000}"/>
    <cellStyle name="ปกติ 4" xfId="85" xr:uid="{00000000-0005-0000-0000-000053000000}"/>
    <cellStyle name="ปกติ 5" xfId="86" xr:uid="{00000000-0005-0000-0000-000054000000}"/>
    <cellStyle name="ปกติ 6" xfId="87" xr:uid="{00000000-0005-0000-0000-000055000000}"/>
    <cellStyle name="ปกติ 7" xfId="88" xr:uid="{00000000-0005-0000-0000-000056000000}"/>
    <cellStyle name="ปกติ_CENTERALIZED" xfId="6" xr:uid="{00000000-0005-0000-0000-000057000000}"/>
    <cellStyle name="ปกติ_FORECAST PSP-CPS 2" xfId="4" xr:uid="{00000000-0005-0000-0000-000058000000}"/>
    <cellStyle name="콤마 [0]_SP 물동및 외주 " xfId="90" xr:uid="{00000000-0005-0000-0000-00005A000000}"/>
    <cellStyle name="콤마_SP 물동및 외주 " xfId="91" xr:uid="{00000000-0005-0000-0000-00005B000000}"/>
    <cellStyle name="통화 [0]_SP 물동및 외주 " xfId="92" xr:uid="{00000000-0005-0000-0000-00005C000000}"/>
    <cellStyle name="통화_SP 물동및 외주 " xfId="93" xr:uid="{00000000-0005-0000-0000-00005D000000}"/>
    <cellStyle name="표준_12월 " xfId="94" xr:uid="{00000000-0005-0000-0000-00005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285751</xdr:colOff>
      <xdr:row>0</xdr:row>
      <xdr:rowOff>85725</xdr:rowOff>
    </xdr:from>
    <xdr:to>
      <xdr:col>10</xdr:col>
      <xdr:colOff>923925</xdr:colOff>
      <xdr:row>1</xdr:row>
      <xdr:rowOff>276225</xdr:rowOff>
    </xdr:to>
    <xdr:sp macro="" textlink="">
      <xdr:nvSpPr>
        <xdr:cNvPr id="2" name="Text 1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5200651" y="85725"/>
          <a:ext cx="2628899" cy="533400"/>
        </a:xfrm>
        <a:prstGeom prst="rect">
          <a:avLst/>
        </a:prstGeom>
        <a:solidFill>
          <a:srgbClr val="FFFFFF"/>
        </a:solidFill>
        <a:ln w="57150" cmpd="thickThin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45720" tIns="59436" rIns="45720" bIns="59436" anchor="ctr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Comic Sans MS"/>
            </a:rPr>
            <a:t>FORECAST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&#3648;&#3629;&#3585;&#3626;&#3634;&#3619;&#3611;&#3637;%2069/PU%20OLD/PU-8-4-67/FORECAST&#3648;&#3627;&#3621;&#3655;&#3585;/FORECAST%20&#3648;&#3614;&#3609;&#3605;&#3657;&#3634;&#3651;&#3594;&#3657;&#3629;&#3633;&#3609;&#3609;&#3637;&#3657;%20&#3611;&#3637;69/FORECAST%209-65/Documents%20and%20Settings/suw/Local%20Settings/Temporary%20Internet%20Files/Content.IE5/WDSDU3C7/New%20Folder%20(2)/CHR%203010.xls?48F82E14" TargetMode="External"/><Relationship Id="rId1" Type="http://schemas.openxmlformats.org/officeDocument/2006/relationships/externalLinkPath" Target="file:///\\48F82E14\CHR%203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.201.101.6\sale2\STOCK%20ON%20HAND\PROJECT%20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.201.101.6\sale2\report%20present%20md\Revise\month%209%20(Revise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3648;&#3629;&#3585;&#3626;&#3634;&#3619;&#3611;&#3637;%2069/PU%20OLD/PU-8-4-67/FORECAST&#3648;&#3627;&#3621;&#3655;&#3585;/FORECAST%20&#3648;&#3614;&#3609;&#3605;&#3657;&#3634;&#3651;&#3594;&#3657;&#3629;&#3633;&#3609;&#3609;&#3637;&#3657;%20&#3611;&#3637;69/FORECAST%209-65/kat/PROJECT%20PRESS%20PART/&#3585;&#3634;&#3619;&#3618;&#3657;&#3634;&#3618;&#3649;&#3617;&#3656;&#3614;&#3636;&#3617;&#3614;&#3660;&#3607;&#3633;&#3657;&#3591;&#3627;&#3617;&#3604;/&#3649;&#3612;&#3609;&#3591;&#3634;&#3609;&#3585;&#3634;&#3619;&#3618;&#3657;&#3634;&#3618;%20Die%201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&#3648;&#3629;&#3585;&#3626;&#3634;&#3619;&#3611;&#3637;%2069/PU%20OLD/PU-8-4-67/FORECAST&#3648;&#3627;&#3621;&#3655;&#3585;/FORECAST%20&#3648;&#3614;&#3609;&#3605;&#3657;&#3634;&#3651;&#3594;&#3657;&#3629;&#3633;&#3609;&#3609;&#3637;&#3657;%20&#3611;&#3637;69/FORECAST%209-65/Documents%20and%20Settings/User/Desktop/1.MAI/1.MASTER%20PLAN%20MOVE%20DIE%20TSA%20%2003-10-09%20(TEAM)%20&#3616;&#3634;&#3614;&#3619;&#3623;&#3617;.xls?E25B1D72" TargetMode="External"/><Relationship Id="rId1" Type="http://schemas.openxmlformats.org/officeDocument/2006/relationships/externalLinkPath" Target="file:///\\E25B1D72\1.MASTER%20PLAN%20MOVE%20DIE%20TSA%20%2003-10-09%20(TEAM)%20&#3616;&#3634;&#3614;&#3619;&#3623;&#361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2674CA8\press%20part%20&#3585;&#35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27B8FAF\order%20&#3648;&#3611;&#3619;&#3637;&#3618;&#3610;&#3648;&#3607;&#3637;&#3618;&#3610;%20Forecast%20%20press%20part%2006-05-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UPDATE%20DATA%20MANUAL%20SYSTEM\New%20Stock%20Update%2028%2011%20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.201.201.1\sale2\Documents%20and%20Settings\suw\My%20Documents\PRESS%20PART%202551\&#3619;&#3634;&#3588;&#3634;\&#3651;&#3610;&#3648;&#3626;&#3609;&#3629;&#3619;&#3634;&#3588;&#3634;\2.%20&#3651;&#3610;&#3648;&#3626;&#3609;&#3629;&#3619;&#3634;&#3588;&#3634;%20Q3%202551\2.Q3%20(final)\No.Materil%20&#3648;&#3611;&#3619;&#3637;&#3618;&#3591;&#3648;&#3607;&#3637;&#3618;&#3610;%20&#3619;&#3634;&#3588;&#3634;%20Q3%20200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&#3648;&#3629;&#3585;&#3626;&#3634;&#3619;&#3611;&#3637;%2069/&#3607;&#3635;%20FORECAST%20&#3648;&#3627;&#3621;&#3655;&#3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R 3010"/>
      <sheetName val="Sheet2"/>
      <sheetName val="Sheet3"/>
      <sheetName val="Sheet1"/>
    </sheetNames>
    <sheetDataSet>
      <sheetData sheetId="0"/>
      <sheetData sheetId="1"/>
      <sheetData sheetId="2">
        <row r="1">
          <cell r="A1" t="str">
            <v>STOCK OF 30 OCT. 09</v>
          </cell>
        </row>
        <row r="2">
          <cell r="A2" t="str">
            <v>Item Number</v>
          </cell>
          <cell r="B2" t="str">
            <v>Description</v>
          </cell>
          <cell r="C2" t="str">
            <v>Location</v>
          </cell>
          <cell r="N2" t="str">
            <v>Grand Total</v>
          </cell>
        </row>
        <row r="3">
          <cell r="C3" t="str">
            <v>AAA</v>
          </cell>
          <cell r="D3" t="str">
            <v>BFA001</v>
          </cell>
          <cell r="E3" t="str">
            <v>CH DIE</v>
          </cell>
          <cell r="F3" t="str">
            <v>LOUIS</v>
          </cell>
          <cell r="G3" t="str">
            <v>NC01/2</v>
          </cell>
          <cell r="H3" t="str">
            <v>NG-PP</v>
          </cell>
          <cell r="I3" t="str">
            <v>NIPPON</v>
          </cell>
          <cell r="J3" t="str">
            <v>PRESS</v>
          </cell>
          <cell r="K3" t="str">
            <v>PSM</v>
          </cell>
          <cell r="L3" t="str">
            <v>TSA</v>
          </cell>
          <cell r="M3" t="str">
            <v>WIP PP</v>
          </cell>
        </row>
        <row r="4">
          <cell r="A4" t="str">
            <v>F11333-KGH-9000</v>
          </cell>
          <cell r="B4" t="str">
            <v>PLATE R COVER</v>
          </cell>
          <cell r="D4">
            <v>556</v>
          </cell>
          <cell r="N4">
            <v>556</v>
          </cell>
        </row>
        <row r="5">
          <cell r="A5" t="str">
            <v>F1P7-E4718-00-02</v>
          </cell>
          <cell r="B5" t="str">
            <v>BRKT 2</v>
          </cell>
          <cell r="D5">
            <v>96</v>
          </cell>
          <cell r="N5">
            <v>96</v>
          </cell>
        </row>
        <row r="6">
          <cell r="A6" t="str">
            <v>F1P7-E4718-00-2</v>
          </cell>
          <cell r="B6" t="str">
            <v>BRKT 1</v>
          </cell>
          <cell r="D6">
            <v>147</v>
          </cell>
          <cell r="N6">
            <v>147</v>
          </cell>
        </row>
        <row r="7">
          <cell r="A7" t="str">
            <v>F1P7-E471K-00</v>
          </cell>
          <cell r="B7" t="str">
            <v>BRKT 1-1</v>
          </cell>
          <cell r="D7">
            <v>516</v>
          </cell>
          <cell r="N7">
            <v>516</v>
          </cell>
        </row>
        <row r="8">
          <cell r="A8" t="str">
            <v>F1P7-F1158-00</v>
          </cell>
          <cell r="B8" t="str">
            <v>BRKT</v>
          </cell>
          <cell r="D8">
            <v>1958</v>
          </cell>
          <cell r="N8">
            <v>1958</v>
          </cell>
        </row>
        <row r="9">
          <cell r="A9" t="str">
            <v>F1P7-F115K-00</v>
          </cell>
          <cell r="B9" t="str">
            <v>BRKT 1</v>
          </cell>
          <cell r="D9">
            <v>134</v>
          </cell>
          <cell r="N9">
            <v>134</v>
          </cell>
        </row>
        <row r="10">
          <cell r="A10" t="str">
            <v>F1P7-F116J-00</v>
          </cell>
          <cell r="B10" t="str">
            <v>BRKT 7</v>
          </cell>
          <cell r="D10">
            <v>881</v>
          </cell>
          <cell r="N10">
            <v>881</v>
          </cell>
        </row>
        <row r="11">
          <cell r="A11" t="str">
            <v>F1P7-F1249-00</v>
          </cell>
          <cell r="B11" t="str">
            <v>BRKT</v>
          </cell>
          <cell r="D11">
            <v>2075</v>
          </cell>
          <cell r="N11">
            <v>2075</v>
          </cell>
        </row>
        <row r="12">
          <cell r="A12" t="str">
            <v>F1P7-F131L-00</v>
          </cell>
          <cell r="B12" t="str">
            <v>BRKT 12</v>
          </cell>
          <cell r="D12">
            <v>513</v>
          </cell>
          <cell r="N12">
            <v>513</v>
          </cell>
        </row>
        <row r="13">
          <cell r="A13" t="str">
            <v>F1P7-F134M-00</v>
          </cell>
          <cell r="B13" t="str">
            <v>BRKT 1</v>
          </cell>
          <cell r="D13">
            <v>109</v>
          </cell>
          <cell r="N13">
            <v>109</v>
          </cell>
        </row>
        <row r="14">
          <cell r="A14" t="str">
            <v>F1P7-F1369-00</v>
          </cell>
          <cell r="B14" t="str">
            <v>BRKT LEG SHILED</v>
          </cell>
          <cell r="D14">
            <v>1863</v>
          </cell>
          <cell r="N14">
            <v>1863</v>
          </cell>
        </row>
        <row r="15">
          <cell r="A15" t="str">
            <v>F1P7-F139F-00</v>
          </cell>
          <cell r="B15" t="str">
            <v>BRKT 4</v>
          </cell>
          <cell r="D15">
            <v>1229</v>
          </cell>
          <cell r="N15">
            <v>1229</v>
          </cell>
        </row>
        <row r="16">
          <cell r="A16" t="str">
            <v>F1P7-F139N-00-01</v>
          </cell>
          <cell r="B16" t="str">
            <v>BRKT 11</v>
          </cell>
          <cell r="D16">
            <v>70</v>
          </cell>
          <cell r="N16">
            <v>70</v>
          </cell>
        </row>
        <row r="17">
          <cell r="A17" t="str">
            <v>F1P7-F1447-00</v>
          </cell>
          <cell r="B17" t="str">
            <v>BRKT FOOTREST</v>
          </cell>
          <cell r="D17">
            <v>290</v>
          </cell>
          <cell r="N17">
            <v>290</v>
          </cell>
        </row>
        <row r="18">
          <cell r="A18" t="str">
            <v>F1P7-F149T-00</v>
          </cell>
          <cell r="B18" t="str">
            <v>BRKT 6</v>
          </cell>
          <cell r="D18">
            <v>915</v>
          </cell>
          <cell r="N18">
            <v>915</v>
          </cell>
        </row>
        <row r="19">
          <cell r="A19" t="str">
            <v>F1P7-F7314-00-001B</v>
          </cell>
          <cell r="B19" t="str">
            <v>STOPPER</v>
          </cell>
          <cell r="D19">
            <v>1867</v>
          </cell>
          <cell r="N19">
            <v>1867</v>
          </cell>
        </row>
        <row r="20">
          <cell r="A20" t="str">
            <v>F2303430-03</v>
          </cell>
          <cell r="B20" t="str">
            <v>CABLE CLIP</v>
          </cell>
          <cell r="D20">
            <v>211</v>
          </cell>
          <cell r="N20">
            <v>211</v>
          </cell>
        </row>
        <row r="21">
          <cell r="A21" t="str">
            <v>F24701-KPP-900</v>
          </cell>
          <cell r="B21" t="str">
            <v>ARM TIE ROD</v>
          </cell>
          <cell r="D21">
            <v>828</v>
          </cell>
          <cell r="N21">
            <v>828</v>
          </cell>
        </row>
        <row r="22">
          <cell r="A22" t="str">
            <v>F24701-KPP-9000</v>
          </cell>
          <cell r="B22" t="str">
            <v>ARM</v>
          </cell>
          <cell r="D22">
            <v>1392</v>
          </cell>
          <cell r="N22">
            <v>1392</v>
          </cell>
        </row>
        <row r="23">
          <cell r="A23" t="str">
            <v>F2470B-KPH-9700</v>
          </cell>
          <cell r="B23" t="str">
            <v>ARM</v>
          </cell>
          <cell r="D23">
            <v>386</v>
          </cell>
          <cell r="N23">
            <v>386</v>
          </cell>
        </row>
        <row r="24">
          <cell r="A24" t="str">
            <v>F2JH-F2134-00</v>
          </cell>
          <cell r="B24" t="str">
            <v>STAY 3</v>
          </cell>
          <cell r="D24">
            <v>1534</v>
          </cell>
          <cell r="N24">
            <v>1534</v>
          </cell>
        </row>
        <row r="25">
          <cell r="A25" t="str">
            <v>F41211-KPPA-9010</v>
          </cell>
          <cell r="B25" t="str">
            <v>PLATE SPRKT SIDE</v>
          </cell>
          <cell r="D25">
            <v>30</v>
          </cell>
          <cell r="H25">
            <v>675</v>
          </cell>
          <cell r="N25">
            <v>705</v>
          </cell>
        </row>
        <row r="26">
          <cell r="A26" t="str">
            <v>F46500-KGHA-900001</v>
          </cell>
          <cell r="B26" t="str">
            <v>PEDAL BRAKE</v>
          </cell>
          <cell r="D26">
            <v>2435</v>
          </cell>
          <cell r="N26">
            <v>2435</v>
          </cell>
        </row>
        <row r="27">
          <cell r="A27" t="str">
            <v>F4NR-F2353-00</v>
          </cell>
          <cell r="B27" t="str">
            <v>REINF 3</v>
          </cell>
          <cell r="D27">
            <v>1690</v>
          </cell>
          <cell r="N27">
            <v>1690</v>
          </cell>
        </row>
        <row r="28">
          <cell r="A28" t="str">
            <v>F4YS-F2150-00</v>
          </cell>
          <cell r="B28" t="str">
            <v>BRKT CHAIN GUARD 2</v>
          </cell>
          <cell r="D28">
            <v>4465</v>
          </cell>
          <cell r="N28">
            <v>4465</v>
          </cell>
        </row>
        <row r="29">
          <cell r="A29" t="str">
            <v>F50100-KPK-9000AHA</v>
          </cell>
          <cell r="B29" t="str">
            <v>PLATE A, R</v>
          </cell>
          <cell r="D29">
            <v>162</v>
          </cell>
          <cell r="N29">
            <v>162</v>
          </cell>
        </row>
        <row r="30">
          <cell r="A30" t="str">
            <v>F50100-KPK-9000AHB</v>
          </cell>
          <cell r="B30" t="str">
            <v>PLATE B, R</v>
          </cell>
          <cell r="D30">
            <v>476</v>
          </cell>
          <cell r="N30">
            <v>476</v>
          </cell>
        </row>
        <row r="31">
          <cell r="A31" t="str">
            <v>F50101-KPHJ-940002</v>
          </cell>
          <cell r="B31" t="str">
            <v>STOPPER HANDLE LOCK</v>
          </cell>
          <cell r="D31">
            <v>29</v>
          </cell>
          <cell r="N31">
            <v>29</v>
          </cell>
        </row>
        <row r="32">
          <cell r="A32" t="str">
            <v>F50112-KPK-9000H1A</v>
          </cell>
          <cell r="B32" t="str">
            <v>PLATE A, L</v>
          </cell>
          <cell r="D32">
            <v>119</v>
          </cell>
          <cell r="N32">
            <v>119</v>
          </cell>
        </row>
        <row r="33">
          <cell r="A33" t="str">
            <v>F50112-KPK-9000H1B</v>
          </cell>
          <cell r="B33" t="str">
            <v>PLATE B, L</v>
          </cell>
          <cell r="D33">
            <v>228</v>
          </cell>
          <cell r="N33">
            <v>228</v>
          </cell>
        </row>
        <row r="34">
          <cell r="A34" t="str">
            <v>F50124-GEZ-3100</v>
          </cell>
          <cell r="B34" t="str">
            <v>BRKT L</v>
          </cell>
          <cell r="D34">
            <v>42</v>
          </cell>
          <cell r="N34">
            <v>42</v>
          </cell>
        </row>
        <row r="35">
          <cell r="A35" t="str">
            <v>F50127-GEZ-3002</v>
          </cell>
          <cell r="B35" t="str">
            <v>PLATE 2 HOLE</v>
          </cell>
          <cell r="D35">
            <v>296</v>
          </cell>
          <cell r="G35">
            <v>2160</v>
          </cell>
          <cell r="N35">
            <v>2456</v>
          </cell>
        </row>
        <row r="36">
          <cell r="A36" t="str">
            <v>F50127-GEZ-6400</v>
          </cell>
          <cell r="B36" t="str">
            <v>PLATE 3 HOLE</v>
          </cell>
          <cell r="D36">
            <v>606</v>
          </cell>
          <cell r="N36">
            <v>606</v>
          </cell>
        </row>
        <row r="37">
          <cell r="A37" t="str">
            <v>F50132-GEZ-3000</v>
          </cell>
          <cell r="B37" t="str">
            <v>STAY</v>
          </cell>
          <cell r="D37">
            <v>1057</v>
          </cell>
          <cell r="N37">
            <v>1057</v>
          </cell>
        </row>
        <row r="38">
          <cell r="A38" t="str">
            <v>F50133-KPH7000H101</v>
          </cell>
          <cell r="B38" t="str">
            <v>STAY</v>
          </cell>
          <cell r="D38">
            <v>968</v>
          </cell>
          <cell r="N38">
            <v>968</v>
          </cell>
        </row>
        <row r="39">
          <cell r="A39" t="str">
            <v>F50134-GEZ-3100</v>
          </cell>
          <cell r="B39" t="str">
            <v>BRKT R</v>
          </cell>
          <cell r="D39">
            <v>30</v>
          </cell>
          <cell r="N39">
            <v>30</v>
          </cell>
        </row>
        <row r="40">
          <cell r="A40" t="str">
            <v>F50136-GEZ-3001</v>
          </cell>
          <cell r="B40" t="str">
            <v>STAY</v>
          </cell>
          <cell r="D40">
            <v>2774</v>
          </cell>
          <cell r="N40">
            <v>2774</v>
          </cell>
        </row>
        <row r="41">
          <cell r="A41" t="str">
            <v>F50138-KPPA-900001</v>
          </cell>
          <cell r="B41" t="str">
            <v>STAY CDI.</v>
          </cell>
          <cell r="D41">
            <v>890</v>
          </cell>
          <cell r="N41">
            <v>890</v>
          </cell>
        </row>
        <row r="42">
          <cell r="A42" t="str">
            <v>F50146-GEZ-3001</v>
          </cell>
          <cell r="B42" t="str">
            <v>STIFFINER L PIVOT</v>
          </cell>
          <cell r="D42">
            <v>3330</v>
          </cell>
          <cell r="G42">
            <v>800</v>
          </cell>
          <cell r="N42">
            <v>4130</v>
          </cell>
        </row>
        <row r="43">
          <cell r="A43" t="str">
            <v>F50149-KPHV-651010</v>
          </cell>
          <cell r="B43" t="str">
            <v>STAY</v>
          </cell>
          <cell r="D43">
            <v>30</v>
          </cell>
          <cell r="N43">
            <v>30</v>
          </cell>
        </row>
        <row r="44">
          <cell r="A44" t="str">
            <v>F50150-GEZG-670120</v>
          </cell>
          <cell r="B44" t="str">
            <v>STAY TAIL LIGHT</v>
          </cell>
          <cell r="D44">
            <v>868</v>
          </cell>
          <cell r="N44">
            <v>868</v>
          </cell>
        </row>
        <row r="45">
          <cell r="A45" t="str">
            <v>F50157-KPWA-9000</v>
          </cell>
          <cell r="B45" t="str">
            <v>GUSSET PIVOT B L AAT</v>
          </cell>
          <cell r="D45">
            <v>22</v>
          </cell>
          <cell r="N45">
            <v>22</v>
          </cell>
        </row>
        <row r="46">
          <cell r="A46" t="str">
            <v>F50162KPPA9000-H1</v>
          </cell>
          <cell r="B46" t="str">
            <v>STAY</v>
          </cell>
          <cell r="D46">
            <v>1181</v>
          </cell>
          <cell r="N46">
            <v>1181</v>
          </cell>
        </row>
        <row r="47">
          <cell r="A47" t="str">
            <v>F50162KPPF8600-H1</v>
          </cell>
          <cell r="B47" t="str">
            <v>STAY</v>
          </cell>
          <cell r="D47">
            <v>1045</v>
          </cell>
          <cell r="N47">
            <v>1045</v>
          </cell>
        </row>
        <row r="48">
          <cell r="A48" t="str">
            <v>F50202-GEZ-3001</v>
          </cell>
          <cell r="B48" t="str">
            <v>BRKT R SEAT RAIL</v>
          </cell>
          <cell r="D48">
            <v>670</v>
          </cell>
          <cell r="G48">
            <v>100</v>
          </cell>
          <cell r="N48">
            <v>770</v>
          </cell>
        </row>
        <row r="49">
          <cell r="A49" t="str">
            <v>F50203-GEZ-3001</v>
          </cell>
          <cell r="B49" t="str">
            <v>BRKT L SEAT RAIL</v>
          </cell>
          <cell r="D49">
            <v>121</v>
          </cell>
          <cell r="N49">
            <v>121</v>
          </cell>
        </row>
        <row r="50">
          <cell r="A50" t="str">
            <v>F50206-GEZ-3002</v>
          </cell>
          <cell r="B50" t="str">
            <v>STAY HELMET HOLDER</v>
          </cell>
          <cell r="D50">
            <v>2806</v>
          </cell>
          <cell r="G50">
            <v>300</v>
          </cell>
          <cell r="H50">
            <v>2</v>
          </cell>
          <cell r="N50">
            <v>3108</v>
          </cell>
        </row>
        <row r="51">
          <cell r="A51" t="str">
            <v>F50500-KGHA-900006</v>
          </cell>
          <cell r="B51" t="str">
            <v>PLATE R STAND TREAD</v>
          </cell>
          <cell r="D51">
            <v>1798</v>
          </cell>
          <cell r="N51">
            <v>1798</v>
          </cell>
        </row>
        <row r="52">
          <cell r="A52" t="str">
            <v>F50500-KGHA-900007</v>
          </cell>
          <cell r="B52" t="str">
            <v>PLATE L STAND TREAD</v>
          </cell>
          <cell r="D52">
            <v>920</v>
          </cell>
          <cell r="N52">
            <v>920</v>
          </cell>
        </row>
        <row r="53">
          <cell r="A53" t="str">
            <v>F53100-KEVA-900003</v>
          </cell>
          <cell r="B53" t="str">
            <v>STAY R HANDLE COVER</v>
          </cell>
          <cell r="D53">
            <v>1149</v>
          </cell>
          <cell r="N53">
            <v>1149</v>
          </cell>
        </row>
        <row r="54">
          <cell r="A54" t="str">
            <v>F53100-KEVA-900004</v>
          </cell>
          <cell r="B54" t="str">
            <v>STAY L HANDLE COVER</v>
          </cell>
          <cell r="D54">
            <v>953</v>
          </cell>
          <cell r="N54">
            <v>953</v>
          </cell>
        </row>
        <row r="55">
          <cell r="A55" t="str">
            <v>F53100-KRSH-690102</v>
          </cell>
          <cell r="B55" t="str">
            <v>BRKT HANDLE</v>
          </cell>
          <cell r="D55">
            <v>69</v>
          </cell>
          <cell r="N55">
            <v>69</v>
          </cell>
        </row>
        <row r="56">
          <cell r="A56" t="str">
            <v>F53103-KEVA-9000H1</v>
          </cell>
          <cell r="B56" t="str">
            <v>BRKT MIRROR</v>
          </cell>
          <cell r="D56">
            <v>1147</v>
          </cell>
          <cell r="N56">
            <v>1147</v>
          </cell>
        </row>
        <row r="57">
          <cell r="A57" t="str">
            <v>F53109-KRS-7800-01</v>
          </cell>
          <cell r="B57" t="str">
            <v>BRKT L</v>
          </cell>
          <cell r="D57">
            <v>256</v>
          </cell>
          <cell r="N57">
            <v>256</v>
          </cell>
        </row>
        <row r="58">
          <cell r="A58" t="str">
            <v>F5MY-F113R-00</v>
          </cell>
          <cell r="B58" t="str">
            <v>BRKT OUTER 2</v>
          </cell>
          <cell r="D58">
            <v>615</v>
          </cell>
          <cell r="N58">
            <v>615</v>
          </cell>
        </row>
        <row r="59">
          <cell r="A59" t="str">
            <v>F5MY-F113U-00</v>
          </cell>
          <cell r="B59" t="str">
            <v>BRKT INNER 2</v>
          </cell>
          <cell r="D59">
            <v>595</v>
          </cell>
          <cell r="N59">
            <v>595</v>
          </cell>
        </row>
        <row r="60">
          <cell r="A60" t="str">
            <v>F5MY-F116K-00</v>
          </cell>
          <cell r="B60" t="str">
            <v>BRKT 8</v>
          </cell>
          <cell r="D60">
            <v>469</v>
          </cell>
          <cell r="N60">
            <v>469</v>
          </cell>
        </row>
        <row r="61">
          <cell r="A61" t="str">
            <v>F5MY-F1256-00</v>
          </cell>
          <cell r="B61" t="str">
            <v>PATCH RH</v>
          </cell>
          <cell r="D61">
            <v>559</v>
          </cell>
          <cell r="N61">
            <v>559</v>
          </cell>
        </row>
        <row r="62">
          <cell r="A62" t="str">
            <v>F5MY-F1257-00</v>
          </cell>
          <cell r="B62" t="str">
            <v>PATCH LH</v>
          </cell>
          <cell r="D62">
            <v>638</v>
          </cell>
          <cell r="N62">
            <v>638</v>
          </cell>
        </row>
        <row r="63">
          <cell r="A63" t="str">
            <v>F5MY-F134N-00</v>
          </cell>
          <cell r="B63" t="str">
            <v>BRKT 3</v>
          </cell>
          <cell r="D63">
            <v>515</v>
          </cell>
          <cell r="N63">
            <v>515</v>
          </cell>
        </row>
        <row r="64">
          <cell r="A64" t="str">
            <v>F5MY-F1381-00</v>
          </cell>
          <cell r="B64" t="str">
            <v>BRKT RR CUSHION 2 RH</v>
          </cell>
          <cell r="D64">
            <v>2552</v>
          </cell>
          <cell r="N64">
            <v>2552</v>
          </cell>
        </row>
        <row r="65">
          <cell r="A65" t="str">
            <v>F5MY-F1382-00</v>
          </cell>
          <cell r="B65" t="str">
            <v>BRKT RR CUSHION 2 LH</v>
          </cell>
          <cell r="D65">
            <v>30</v>
          </cell>
          <cell r="N65">
            <v>30</v>
          </cell>
        </row>
        <row r="66">
          <cell r="A66" t="str">
            <v>F5MY-F139G-00</v>
          </cell>
          <cell r="B66" t="str">
            <v>BRKT 5</v>
          </cell>
          <cell r="D66">
            <v>1100</v>
          </cell>
          <cell r="N66">
            <v>1100</v>
          </cell>
        </row>
        <row r="67">
          <cell r="A67" t="str">
            <v>F5MY-F139H-00</v>
          </cell>
          <cell r="B67" t="str">
            <v>BRKT 6</v>
          </cell>
          <cell r="D67">
            <v>956</v>
          </cell>
          <cell r="N67">
            <v>956</v>
          </cell>
        </row>
        <row r="68">
          <cell r="A68" t="str">
            <v>F5MY-F139J-00</v>
          </cell>
          <cell r="B68" t="str">
            <v>BRKT 7</v>
          </cell>
          <cell r="D68">
            <v>791</v>
          </cell>
          <cell r="N68">
            <v>791</v>
          </cell>
        </row>
        <row r="69">
          <cell r="A69" t="str">
            <v>F5MY-F139K-00</v>
          </cell>
          <cell r="B69" t="str">
            <v>BRKT 8</v>
          </cell>
          <cell r="D69">
            <v>523</v>
          </cell>
          <cell r="N69">
            <v>523</v>
          </cell>
        </row>
        <row r="70">
          <cell r="A70" t="str">
            <v>F5MY-F139V-00</v>
          </cell>
          <cell r="B70" t="str">
            <v>HOOK</v>
          </cell>
          <cell r="D70">
            <v>1113</v>
          </cell>
          <cell r="N70">
            <v>1113</v>
          </cell>
        </row>
        <row r="71">
          <cell r="A71" t="str">
            <v>F5MY-F145B-00</v>
          </cell>
          <cell r="B71" t="str">
            <v>PLATE ENGINE MOUNT</v>
          </cell>
          <cell r="D71">
            <v>166</v>
          </cell>
          <cell r="N71">
            <v>166</v>
          </cell>
        </row>
        <row r="72">
          <cell r="A72" t="str">
            <v>F5MY-F146R</v>
          </cell>
          <cell r="B72" t="str">
            <v>REINF1</v>
          </cell>
          <cell r="D72">
            <v>816</v>
          </cell>
          <cell r="N72">
            <v>816</v>
          </cell>
        </row>
        <row r="73">
          <cell r="A73" t="str">
            <v>F5MY-F189A-00</v>
          </cell>
          <cell r="B73" t="str">
            <v>BRKT STARTER SWITCH</v>
          </cell>
          <cell r="D73">
            <v>1039</v>
          </cell>
          <cell r="N73">
            <v>1039</v>
          </cell>
        </row>
        <row r="74">
          <cell r="A74" t="str">
            <v>F5MY-F6393-00</v>
          </cell>
          <cell r="B74" t="str">
            <v>HOLDER</v>
          </cell>
          <cell r="D74">
            <v>109</v>
          </cell>
          <cell r="G74">
            <v>1200</v>
          </cell>
          <cell r="H74">
            <v>110</v>
          </cell>
          <cell r="N74">
            <v>1419</v>
          </cell>
        </row>
        <row r="75">
          <cell r="A75" t="str">
            <v>F5TN-E471K-00</v>
          </cell>
          <cell r="B75" t="str">
            <v>BRKT 1-1</v>
          </cell>
          <cell r="D75">
            <v>76</v>
          </cell>
          <cell r="N75">
            <v>76</v>
          </cell>
        </row>
        <row r="76">
          <cell r="A76" t="str">
            <v>F5TN-E471R-00</v>
          </cell>
          <cell r="B76" t="str">
            <v>PARTITION 1-1</v>
          </cell>
          <cell r="D76">
            <v>1</v>
          </cell>
          <cell r="N76">
            <v>1</v>
          </cell>
        </row>
        <row r="77">
          <cell r="A77" t="str">
            <v>F5TN-E472K-00</v>
          </cell>
          <cell r="B77" t="str">
            <v>BRKT 2-1</v>
          </cell>
          <cell r="D77">
            <v>400</v>
          </cell>
          <cell r="N77">
            <v>400</v>
          </cell>
        </row>
        <row r="78">
          <cell r="A78" t="str">
            <v>F5TN-E476A-00</v>
          </cell>
          <cell r="B78" t="str">
            <v>REINF 1</v>
          </cell>
          <cell r="D78">
            <v>1686</v>
          </cell>
          <cell r="H78">
            <v>700</v>
          </cell>
          <cell r="N78">
            <v>2386</v>
          </cell>
        </row>
        <row r="79">
          <cell r="A79" t="str">
            <v>F5TN-E4771-00</v>
          </cell>
          <cell r="B79" t="str">
            <v>STAY MUFF 1-1</v>
          </cell>
          <cell r="D79">
            <v>1141</v>
          </cell>
          <cell r="N79">
            <v>1141</v>
          </cell>
        </row>
        <row r="80">
          <cell r="A80" t="str">
            <v>F5TN-E4772-00</v>
          </cell>
          <cell r="B80" t="str">
            <v>STAY MUFF 1-2</v>
          </cell>
          <cell r="D80">
            <v>1780</v>
          </cell>
          <cell r="N80">
            <v>1780</v>
          </cell>
        </row>
        <row r="81">
          <cell r="A81" t="str">
            <v>F5TN-F1113-00</v>
          </cell>
          <cell r="B81" t="str">
            <v>GUSSET</v>
          </cell>
          <cell r="D81">
            <v>1359</v>
          </cell>
          <cell r="H81">
            <v>89</v>
          </cell>
          <cell r="N81">
            <v>1448</v>
          </cell>
        </row>
        <row r="82">
          <cell r="A82" t="str">
            <v>F5TN-F1136-00</v>
          </cell>
          <cell r="B82" t="str">
            <v>GUSSET</v>
          </cell>
          <cell r="D82">
            <v>74</v>
          </cell>
          <cell r="N82">
            <v>74</v>
          </cell>
        </row>
        <row r="83">
          <cell r="A83" t="str">
            <v>F5TN-F1177-00</v>
          </cell>
          <cell r="B83" t="str">
            <v>BRKT FLASHER RH</v>
          </cell>
          <cell r="D83">
            <v>1268</v>
          </cell>
          <cell r="N83">
            <v>1268</v>
          </cell>
        </row>
        <row r="84">
          <cell r="A84" t="str">
            <v>F5TN-F117K</v>
          </cell>
          <cell r="B84" t="str">
            <v>STAY LOCK</v>
          </cell>
          <cell r="D84">
            <v>1042</v>
          </cell>
          <cell r="N84">
            <v>1042</v>
          </cell>
        </row>
        <row r="85">
          <cell r="A85" t="str">
            <v>F5TN-F1359-00</v>
          </cell>
          <cell r="B85" t="str">
            <v>BRKT COIL</v>
          </cell>
          <cell r="D85">
            <v>1335</v>
          </cell>
          <cell r="N85">
            <v>1335</v>
          </cell>
        </row>
        <row r="86">
          <cell r="A86" t="str">
            <v>F5TN-F139H-00</v>
          </cell>
          <cell r="B86" t="str">
            <v>BRKT 6</v>
          </cell>
          <cell r="D86">
            <v>2203</v>
          </cell>
          <cell r="N86">
            <v>2203</v>
          </cell>
        </row>
        <row r="87">
          <cell r="A87" t="str">
            <v>F5TN-F139N-00</v>
          </cell>
          <cell r="B87" t="str">
            <v>BRKT 11</v>
          </cell>
          <cell r="D87">
            <v>584</v>
          </cell>
          <cell r="N87">
            <v>584</v>
          </cell>
        </row>
        <row r="88">
          <cell r="A88" t="str">
            <v>F5TN-F141E-00</v>
          </cell>
          <cell r="B88" t="str">
            <v>BRKT 2</v>
          </cell>
          <cell r="D88">
            <v>432</v>
          </cell>
          <cell r="N88">
            <v>432</v>
          </cell>
        </row>
        <row r="89">
          <cell r="A89" t="str">
            <v>F5TN-F1429-00</v>
          </cell>
          <cell r="B89" t="str">
            <v>BRKT ENGINE 3</v>
          </cell>
          <cell r="D89">
            <v>1469</v>
          </cell>
          <cell r="N89">
            <v>1469</v>
          </cell>
        </row>
        <row r="90">
          <cell r="A90" t="str">
            <v>F5TN-F142G-00</v>
          </cell>
          <cell r="B90" t="str">
            <v>STAY 1</v>
          </cell>
          <cell r="D90">
            <v>1526</v>
          </cell>
          <cell r="N90">
            <v>1526</v>
          </cell>
        </row>
        <row r="91">
          <cell r="A91" t="str">
            <v>F5TN-F1446-00</v>
          </cell>
          <cell r="B91" t="str">
            <v>STAY MUFF 2</v>
          </cell>
          <cell r="D91">
            <v>159</v>
          </cell>
          <cell r="N91">
            <v>159</v>
          </cell>
        </row>
        <row r="92">
          <cell r="A92" t="str">
            <v>F5TN-F1465-00</v>
          </cell>
          <cell r="B92" t="str">
            <v>REINF ENG. BRKT RR UPR 1</v>
          </cell>
          <cell r="D92">
            <v>41</v>
          </cell>
          <cell r="N92">
            <v>41</v>
          </cell>
        </row>
        <row r="93">
          <cell r="A93" t="str">
            <v>F5TN-F1587-00</v>
          </cell>
          <cell r="B93" t="str">
            <v>STAY 1</v>
          </cell>
          <cell r="D93">
            <v>130</v>
          </cell>
          <cell r="N93">
            <v>130</v>
          </cell>
        </row>
        <row r="94">
          <cell r="A94" t="str">
            <v>F5TN-F2171-00</v>
          </cell>
          <cell r="B94" t="str">
            <v>ARM RR1</v>
          </cell>
          <cell r="D94">
            <v>1138</v>
          </cell>
          <cell r="N94">
            <v>1138</v>
          </cell>
        </row>
        <row r="95">
          <cell r="A95" t="str">
            <v>F5TN-F2172-00</v>
          </cell>
          <cell r="B95" t="str">
            <v>ARM RR2</v>
          </cell>
          <cell r="D95">
            <v>130</v>
          </cell>
          <cell r="N95">
            <v>130</v>
          </cell>
        </row>
        <row r="96">
          <cell r="A96" t="str">
            <v>F5TN-F538G-00</v>
          </cell>
          <cell r="B96" t="str">
            <v>PULLER CHAIN 2</v>
          </cell>
          <cell r="D96">
            <v>543</v>
          </cell>
          <cell r="N96">
            <v>543</v>
          </cell>
        </row>
        <row r="97">
          <cell r="A97" t="str">
            <v>F5TN-F539F-00-1</v>
          </cell>
          <cell r="B97" t="str">
            <v>PLATE 1</v>
          </cell>
          <cell r="D97">
            <v>1016</v>
          </cell>
          <cell r="N97">
            <v>1016</v>
          </cell>
        </row>
        <row r="98">
          <cell r="A98" t="str">
            <v>F5TN-F539F-00-2</v>
          </cell>
          <cell r="B98" t="str">
            <v>PLATE 2</v>
          </cell>
          <cell r="D98">
            <v>1664</v>
          </cell>
          <cell r="N98">
            <v>1664</v>
          </cell>
        </row>
        <row r="99">
          <cell r="A99" t="str">
            <v>F5TN-F7314-00</v>
          </cell>
          <cell r="B99" t="str">
            <v>STOPPER</v>
          </cell>
          <cell r="D99">
            <v>376</v>
          </cell>
          <cell r="N99">
            <v>376</v>
          </cell>
        </row>
        <row r="100">
          <cell r="A100" t="str">
            <v>F5VV-E4718-00-3</v>
          </cell>
          <cell r="B100" t="str">
            <v>BRKT 2</v>
          </cell>
          <cell r="D100">
            <v>50</v>
          </cell>
          <cell r="N100">
            <v>50</v>
          </cell>
        </row>
        <row r="101">
          <cell r="A101" t="str">
            <v>F5VV-F1117-00</v>
          </cell>
          <cell r="B101" t="str">
            <v>SLEEVE</v>
          </cell>
          <cell r="D101">
            <v>2033</v>
          </cell>
          <cell r="N101">
            <v>2033</v>
          </cell>
        </row>
        <row r="102">
          <cell r="A102" t="str">
            <v>F5VV-F111A</v>
          </cell>
          <cell r="B102" t="str">
            <v>CAP MAIN PIPE</v>
          </cell>
          <cell r="D102">
            <v>1587</v>
          </cell>
          <cell r="N102">
            <v>1587</v>
          </cell>
        </row>
        <row r="103">
          <cell r="A103" t="str">
            <v>F5VV-F111H-00</v>
          </cell>
          <cell r="B103" t="str">
            <v>PANEL OUTER 1</v>
          </cell>
          <cell r="D103">
            <v>45</v>
          </cell>
          <cell r="N103">
            <v>45</v>
          </cell>
        </row>
        <row r="104">
          <cell r="A104" t="str">
            <v>F5VV-F116E-00</v>
          </cell>
          <cell r="B104" t="str">
            <v>STAY 2</v>
          </cell>
          <cell r="D104">
            <v>2570</v>
          </cell>
          <cell r="N104">
            <v>2570</v>
          </cell>
        </row>
        <row r="105">
          <cell r="A105" t="str">
            <v>F5VV-F1287-00</v>
          </cell>
          <cell r="B105" t="str">
            <v>BRKT REGULATOR</v>
          </cell>
          <cell r="D105">
            <v>482</v>
          </cell>
          <cell r="N105">
            <v>482</v>
          </cell>
        </row>
        <row r="106">
          <cell r="A106" t="str">
            <v>F5VV-F1369-00</v>
          </cell>
          <cell r="B106" t="str">
            <v>BRKT LEG SHIELD</v>
          </cell>
          <cell r="D106">
            <v>940</v>
          </cell>
          <cell r="N106">
            <v>940</v>
          </cell>
        </row>
        <row r="107">
          <cell r="A107" t="str">
            <v>F5VV-F1458-00</v>
          </cell>
          <cell r="B107" t="str">
            <v>PLATE ENGINE MOUNT</v>
          </cell>
          <cell r="D107">
            <v>1068</v>
          </cell>
          <cell r="N107">
            <v>1068</v>
          </cell>
        </row>
        <row r="108">
          <cell r="A108" t="str">
            <v>F5VV-F148U-00</v>
          </cell>
          <cell r="B108" t="str">
            <v>BRKT 1</v>
          </cell>
          <cell r="D108">
            <v>57</v>
          </cell>
          <cell r="N108">
            <v>57</v>
          </cell>
        </row>
        <row r="109">
          <cell r="A109" t="str">
            <v>F5VV-F148V-00</v>
          </cell>
          <cell r="B109" t="str">
            <v>BRKT 2</v>
          </cell>
          <cell r="D109">
            <v>563</v>
          </cell>
          <cell r="N109">
            <v>563</v>
          </cell>
        </row>
        <row r="110">
          <cell r="A110" t="str">
            <v>F5VV-F149E-00</v>
          </cell>
          <cell r="B110" t="str">
            <v>STAY STOPPER</v>
          </cell>
          <cell r="D110">
            <v>35</v>
          </cell>
          <cell r="N110">
            <v>35</v>
          </cell>
        </row>
        <row r="111">
          <cell r="A111" t="str">
            <v>F5YP-F1134-00</v>
          </cell>
          <cell r="B111" t="str">
            <v>GUSSET</v>
          </cell>
          <cell r="D111">
            <v>98</v>
          </cell>
          <cell r="N111">
            <v>98</v>
          </cell>
        </row>
        <row r="112">
          <cell r="A112" t="str">
            <v>F5YP-F1147-00</v>
          </cell>
          <cell r="B112" t="str">
            <v>BRKT AIR CLEANER 1</v>
          </cell>
          <cell r="D112">
            <v>13</v>
          </cell>
          <cell r="N112">
            <v>13</v>
          </cell>
        </row>
        <row r="113">
          <cell r="A113" t="str">
            <v>F5YP-F1148-00</v>
          </cell>
          <cell r="B113" t="str">
            <v>BRKT AIR CLEANER 2</v>
          </cell>
          <cell r="D113">
            <v>1603</v>
          </cell>
          <cell r="N113">
            <v>1603</v>
          </cell>
        </row>
        <row r="114">
          <cell r="A114" t="str">
            <v>F5YP-F115K-00</v>
          </cell>
          <cell r="B114" t="str">
            <v>BRKT 1</v>
          </cell>
          <cell r="D114">
            <v>95</v>
          </cell>
          <cell r="N114">
            <v>95</v>
          </cell>
        </row>
        <row r="115">
          <cell r="A115" t="str">
            <v>F5YP-F116B-00</v>
          </cell>
          <cell r="B115" t="str">
            <v>BRKT</v>
          </cell>
          <cell r="D115">
            <v>1095</v>
          </cell>
          <cell r="N115">
            <v>1095</v>
          </cell>
        </row>
        <row r="116">
          <cell r="A116" t="str">
            <v>F5YP-F116E-00</v>
          </cell>
          <cell r="B116" t="str">
            <v>STAY 2</v>
          </cell>
          <cell r="D116">
            <v>63</v>
          </cell>
          <cell r="N116">
            <v>63</v>
          </cell>
        </row>
        <row r="117">
          <cell r="A117" t="str">
            <v>F5YP-F1183-00</v>
          </cell>
          <cell r="B117" t="str">
            <v>PLATE</v>
          </cell>
          <cell r="D117">
            <v>655</v>
          </cell>
          <cell r="N117">
            <v>655</v>
          </cell>
        </row>
        <row r="118">
          <cell r="A118" t="str">
            <v>F5YP-F118V-00</v>
          </cell>
          <cell r="B118" t="str">
            <v>BRKT 4</v>
          </cell>
          <cell r="D118">
            <v>788</v>
          </cell>
          <cell r="H118">
            <v>5</v>
          </cell>
          <cell r="N118">
            <v>793</v>
          </cell>
        </row>
        <row r="119">
          <cell r="A119" t="str">
            <v>F5YP-F1238-00</v>
          </cell>
          <cell r="B119" t="str">
            <v>BRKT 1</v>
          </cell>
          <cell r="D119">
            <v>181</v>
          </cell>
          <cell r="N119">
            <v>181</v>
          </cell>
        </row>
        <row r="120">
          <cell r="A120" t="str">
            <v>F5YP-F1239-00</v>
          </cell>
          <cell r="B120" t="str">
            <v>BRKT 2</v>
          </cell>
          <cell r="D120">
            <v>1745</v>
          </cell>
          <cell r="N120">
            <v>1745</v>
          </cell>
        </row>
        <row r="121">
          <cell r="A121" t="str">
            <v>F5YP-F1317-00</v>
          </cell>
          <cell r="B121" t="str">
            <v>STAY ENGINE 3</v>
          </cell>
          <cell r="D121">
            <v>388</v>
          </cell>
          <cell r="N121">
            <v>388</v>
          </cell>
        </row>
        <row r="122">
          <cell r="A122" t="str">
            <v>F5YP-F1319-00</v>
          </cell>
          <cell r="B122" t="str">
            <v>STAY ENGINE 6</v>
          </cell>
          <cell r="D122">
            <v>605</v>
          </cell>
          <cell r="G122">
            <v>200</v>
          </cell>
          <cell r="N122">
            <v>805</v>
          </cell>
        </row>
        <row r="123">
          <cell r="A123" t="str">
            <v>F5YP-F131L-00</v>
          </cell>
          <cell r="B123" t="str">
            <v>BRKT 12</v>
          </cell>
          <cell r="D123">
            <v>1195</v>
          </cell>
          <cell r="N123">
            <v>1195</v>
          </cell>
        </row>
        <row r="124">
          <cell r="A124" t="str">
            <v>F5YP-F134E-00</v>
          </cell>
          <cell r="B124" t="str">
            <v>BRKT RELAY</v>
          </cell>
          <cell r="D124">
            <v>110</v>
          </cell>
          <cell r="N124">
            <v>110</v>
          </cell>
        </row>
        <row r="125">
          <cell r="A125" t="str">
            <v>F5YP-F134M-00</v>
          </cell>
          <cell r="B125" t="str">
            <v>BRKT 1</v>
          </cell>
          <cell r="D125">
            <v>762</v>
          </cell>
          <cell r="N125">
            <v>762</v>
          </cell>
        </row>
        <row r="126">
          <cell r="A126" t="str">
            <v>F5YP-F134N-00</v>
          </cell>
          <cell r="B126" t="str">
            <v>BRKT 3</v>
          </cell>
          <cell r="D126">
            <v>54</v>
          </cell>
          <cell r="N126">
            <v>54</v>
          </cell>
        </row>
        <row r="127">
          <cell r="A127" t="str">
            <v>F5YP-F134V-00</v>
          </cell>
          <cell r="B127" t="str">
            <v>BRKT</v>
          </cell>
          <cell r="D127">
            <v>68</v>
          </cell>
          <cell r="N127">
            <v>68</v>
          </cell>
        </row>
        <row r="128">
          <cell r="A128" t="str">
            <v>F5YP-F138L-00</v>
          </cell>
          <cell r="B128" t="str">
            <v>BRKT 2</v>
          </cell>
          <cell r="D128">
            <v>96</v>
          </cell>
          <cell r="N128">
            <v>96</v>
          </cell>
        </row>
        <row r="129">
          <cell r="A129" t="str">
            <v>F5YP-F139G-00</v>
          </cell>
          <cell r="B129" t="str">
            <v>BRKT 5</v>
          </cell>
          <cell r="D129">
            <v>1638</v>
          </cell>
          <cell r="N129">
            <v>1638</v>
          </cell>
        </row>
        <row r="130">
          <cell r="A130" t="str">
            <v>F5YP-F139H-00</v>
          </cell>
          <cell r="B130" t="str">
            <v>BRKT 6</v>
          </cell>
          <cell r="D130">
            <v>420</v>
          </cell>
          <cell r="N130">
            <v>420</v>
          </cell>
        </row>
        <row r="131">
          <cell r="A131" t="str">
            <v>F5YP-F141E-00</v>
          </cell>
          <cell r="B131" t="str">
            <v>BRKT 2</v>
          </cell>
          <cell r="D131">
            <v>235</v>
          </cell>
          <cell r="N131">
            <v>235</v>
          </cell>
        </row>
        <row r="132">
          <cell r="A132" t="str">
            <v>F5YP-F141E-10</v>
          </cell>
          <cell r="B132" t="str">
            <v>BRKT 2</v>
          </cell>
          <cell r="D132">
            <v>190</v>
          </cell>
          <cell r="H132">
            <v>100</v>
          </cell>
          <cell r="N132">
            <v>290</v>
          </cell>
        </row>
        <row r="133">
          <cell r="A133" t="str">
            <v>F5YP-F142M-00</v>
          </cell>
          <cell r="B133" t="str">
            <v>BRKT RADIATOR 3</v>
          </cell>
          <cell r="D133">
            <v>963</v>
          </cell>
          <cell r="N133">
            <v>963</v>
          </cell>
        </row>
        <row r="134">
          <cell r="A134" t="str">
            <v>F5YP-F142N-00</v>
          </cell>
          <cell r="B134" t="str">
            <v>BRKT RADIATOR 4</v>
          </cell>
          <cell r="D134">
            <v>80</v>
          </cell>
          <cell r="N134">
            <v>80</v>
          </cell>
        </row>
        <row r="135">
          <cell r="A135" t="str">
            <v>F5YP-F1441-00</v>
          </cell>
          <cell r="B135" t="str">
            <v>BRKT STOP SWITCH</v>
          </cell>
          <cell r="D135">
            <v>67</v>
          </cell>
          <cell r="N135">
            <v>67</v>
          </cell>
        </row>
        <row r="136">
          <cell r="A136" t="str">
            <v>F5YP-F1446-00</v>
          </cell>
          <cell r="B136" t="str">
            <v>STAY MUFF 2</v>
          </cell>
          <cell r="D136">
            <v>1146</v>
          </cell>
          <cell r="N136">
            <v>1146</v>
          </cell>
        </row>
        <row r="137">
          <cell r="A137" t="str">
            <v>F5YP-F144F-00</v>
          </cell>
          <cell r="B137" t="str">
            <v>STAY MUFF 3</v>
          </cell>
          <cell r="D137">
            <v>28</v>
          </cell>
          <cell r="N137">
            <v>28</v>
          </cell>
        </row>
        <row r="138">
          <cell r="A138" t="str">
            <v>F5YP-F1455-00</v>
          </cell>
          <cell r="B138" t="str">
            <v>PLATE PATCH</v>
          </cell>
          <cell r="D138">
            <v>290</v>
          </cell>
          <cell r="N138">
            <v>290</v>
          </cell>
        </row>
        <row r="139">
          <cell r="A139" t="str">
            <v>F5YP-F2111-00</v>
          </cell>
          <cell r="B139" t="str">
            <v>REINF 1</v>
          </cell>
          <cell r="D139">
            <v>95</v>
          </cell>
          <cell r="N139">
            <v>95</v>
          </cell>
        </row>
        <row r="140">
          <cell r="A140" t="str">
            <v>F5YP-F2112-00</v>
          </cell>
          <cell r="B140" t="str">
            <v>REINF 2</v>
          </cell>
          <cell r="D140">
            <v>84</v>
          </cell>
          <cell r="N140">
            <v>84</v>
          </cell>
        </row>
        <row r="141">
          <cell r="A141" t="str">
            <v>F5YP-F2113-00</v>
          </cell>
          <cell r="B141" t="str">
            <v>REINF TAIL 3</v>
          </cell>
          <cell r="D141">
            <v>363</v>
          </cell>
          <cell r="N141">
            <v>363</v>
          </cell>
        </row>
        <row r="142">
          <cell r="A142" t="str">
            <v>F5YP-F2114-00</v>
          </cell>
          <cell r="B142" t="str">
            <v>REINF TAIL 4</v>
          </cell>
          <cell r="D142">
            <v>358</v>
          </cell>
          <cell r="H142">
            <v>14</v>
          </cell>
          <cell r="N142">
            <v>372</v>
          </cell>
        </row>
        <row r="143">
          <cell r="A143" t="str">
            <v>F5YP-F2132-00</v>
          </cell>
          <cell r="B143" t="str">
            <v>STAY 2</v>
          </cell>
          <cell r="D143">
            <v>42</v>
          </cell>
          <cell r="N143">
            <v>42</v>
          </cell>
        </row>
        <row r="144">
          <cell r="A144" t="str">
            <v>F5YP-F213E-00</v>
          </cell>
          <cell r="B144" t="str">
            <v>BRKT RR CUSHION 1</v>
          </cell>
          <cell r="D144">
            <v>300</v>
          </cell>
          <cell r="N144">
            <v>300</v>
          </cell>
        </row>
        <row r="145">
          <cell r="A145" t="str">
            <v>F5YP-F2150-00</v>
          </cell>
          <cell r="B145" t="str">
            <v>BRKT CHAIN GUARD 2</v>
          </cell>
          <cell r="D145">
            <v>40</v>
          </cell>
          <cell r="N145">
            <v>40</v>
          </cell>
        </row>
        <row r="146">
          <cell r="A146" t="str">
            <v>F5YP-F2153-00</v>
          </cell>
          <cell r="B146" t="str">
            <v>GUIDE CHAIN</v>
          </cell>
          <cell r="D146">
            <v>91</v>
          </cell>
          <cell r="N146">
            <v>91</v>
          </cell>
        </row>
        <row r="147">
          <cell r="A147" t="str">
            <v>F5YP-F2167-00</v>
          </cell>
          <cell r="B147" t="str">
            <v>GUIDE</v>
          </cell>
          <cell r="D147">
            <v>122</v>
          </cell>
          <cell r="N147">
            <v>122</v>
          </cell>
        </row>
        <row r="148">
          <cell r="A148" t="str">
            <v>F5YP-F2187-00</v>
          </cell>
          <cell r="B148" t="str">
            <v>GUIDE CHAIN</v>
          </cell>
          <cell r="D148">
            <v>932</v>
          </cell>
          <cell r="N148">
            <v>932</v>
          </cell>
        </row>
        <row r="149">
          <cell r="A149" t="str">
            <v>F5YP-F5356-00</v>
          </cell>
          <cell r="B149" t="str">
            <v>LEVER CAMSHAFT 2</v>
          </cell>
          <cell r="D149">
            <v>969</v>
          </cell>
          <cell r="H149">
            <v>340</v>
          </cell>
          <cell r="N149">
            <v>1309</v>
          </cell>
        </row>
        <row r="150">
          <cell r="A150" t="str">
            <v>F5YW-E4718-00-2</v>
          </cell>
          <cell r="B150" t="str">
            <v>BRKT 1</v>
          </cell>
          <cell r="D150">
            <v>689</v>
          </cell>
          <cell r="N150">
            <v>689</v>
          </cell>
        </row>
        <row r="151">
          <cell r="A151" t="str">
            <v>F5YW-E4718-00-3</v>
          </cell>
          <cell r="B151" t="str">
            <v>BRKT 2</v>
          </cell>
          <cell r="D151">
            <v>480</v>
          </cell>
          <cell r="N151">
            <v>480</v>
          </cell>
        </row>
        <row r="152">
          <cell r="A152" t="str">
            <v>F80125-KFEA-700000</v>
          </cell>
          <cell r="B152" t="str">
            <v>PLATE FR CROSS</v>
          </cell>
          <cell r="D152">
            <v>161</v>
          </cell>
          <cell r="N152">
            <v>161</v>
          </cell>
        </row>
        <row r="153">
          <cell r="A153" t="str">
            <v>F80125-KFEA-700003</v>
          </cell>
          <cell r="B153" t="str">
            <v>PLATE RR CROSS</v>
          </cell>
          <cell r="D153">
            <v>151</v>
          </cell>
          <cell r="N153">
            <v>151</v>
          </cell>
        </row>
        <row r="154">
          <cell r="A154" t="str">
            <v>F80125-KFEA-700004</v>
          </cell>
          <cell r="B154" t="str">
            <v>BRKT T/L MOUNT</v>
          </cell>
          <cell r="D154">
            <v>45</v>
          </cell>
          <cell r="N154">
            <v>45</v>
          </cell>
        </row>
        <row r="155">
          <cell r="A155" t="str">
            <v>F80125KFEA-7000-05</v>
          </cell>
          <cell r="B155" t="str">
            <v>BRKT R SIDE</v>
          </cell>
          <cell r="D155">
            <v>38</v>
          </cell>
          <cell r="N155">
            <v>38</v>
          </cell>
        </row>
        <row r="156">
          <cell r="A156" t="str">
            <v>F80125KFEA-7000-06</v>
          </cell>
          <cell r="B156" t="str">
            <v>BRKT L SIDE</v>
          </cell>
          <cell r="D156">
            <v>59</v>
          </cell>
          <cell r="N156">
            <v>59</v>
          </cell>
        </row>
        <row r="157">
          <cell r="A157" t="str">
            <v>F80125-KFEA-700009</v>
          </cell>
          <cell r="B157" t="str">
            <v>BRKT NO PLATE</v>
          </cell>
          <cell r="D157">
            <v>421</v>
          </cell>
          <cell r="N157">
            <v>421</v>
          </cell>
        </row>
        <row r="158">
          <cell r="A158" t="str">
            <v>F83150-KPK-9000-04</v>
          </cell>
          <cell r="B158" t="str">
            <v>STAY COVER</v>
          </cell>
          <cell r="D158">
            <v>1903</v>
          </cell>
          <cell r="N158">
            <v>1903</v>
          </cell>
        </row>
        <row r="159">
          <cell r="A159" t="str">
            <v>F83510-KPKJ-940002</v>
          </cell>
          <cell r="B159" t="str">
            <v>STAY METER</v>
          </cell>
          <cell r="D159">
            <v>298</v>
          </cell>
          <cell r="N159">
            <v>298</v>
          </cell>
        </row>
        <row r="160">
          <cell r="A160" t="str">
            <v>P1P7-F1111-00</v>
          </cell>
          <cell r="B160" t="str">
            <v>GUSSET HEAD PIPE</v>
          </cell>
          <cell r="I160">
            <v>1411</v>
          </cell>
          <cell r="N160">
            <v>1411</v>
          </cell>
        </row>
        <row r="161">
          <cell r="A161" t="str">
            <v>P1P7-F1162-01</v>
          </cell>
          <cell r="B161" t="str">
            <v>HOLDER WIRE</v>
          </cell>
          <cell r="E161">
            <v>1527</v>
          </cell>
          <cell r="N161">
            <v>1527</v>
          </cell>
        </row>
        <row r="162">
          <cell r="A162" t="str">
            <v>P1P7-F1168-00</v>
          </cell>
          <cell r="B162" t="str">
            <v>BRKT</v>
          </cell>
          <cell r="I162">
            <v>1142</v>
          </cell>
          <cell r="N162">
            <v>1142</v>
          </cell>
        </row>
        <row r="163">
          <cell r="A163" t="str">
            <v>P1P7-F119M-00</v>
          </cell>
          <cell r="B163" t="str">
            <v>BRKT 10</v>
          </cell>
          <cell r="F163">
            <v>2778</v>
          </cell>
          <cell r="G163">
            <v>120</v>
          </cell>
          <cell r="K163">
            <v>69</v>
          </cell>
          <cell r="N163">
            <v>2967</v>
          </cell>
        </row>
        <row r="164">
          <cell r="A164" t="str">
            <v>P1P7-F134M-00</v>
          </cell>
          <cell r="B164" t="str">
            <v>BRKT 1</v>
          </cell>
          <cell r="M164">
            <v>1218</v>
          </cell>
          <cell r="N164">
            <v>1218</v>
          </cell>
        </row>
        <row r="165">
          <cell r="A165" t="str">
            <v>P1P7-F1369-00</v>
          </cell>
          <cell r="B165" t="str">
            <v>BRKT LEG SHIELD</v>
          </cell>
          <cell r="H165">
            <v>3120</v>
          </cell>
          <cell r="N165">
            <v>3120</v>
          </cell>
        </row>
        <row r="166">
          <cell r="A166" t="str">
            <v>P1SY277-01</v>
          </cell>
          <cell r="B166" t="str">
            <v>BRKT RR FOOTREST</v>
          </cell>
          <cell r="H166">
            <v>18</v>
          </cell>
          <cell r="I166">
            <v>493</v>
          </cell>
          <cell r="N166">
            <v>511</v>
          </cell>
        </row>
        <row r="167">
          <cell r="A167" t="str">
            <v>P2081015-01</v>
          </cell>
          <cell r="B167" t="str">
            <v>CLEVIS R/L</v>
          </cell>
          <cell r="E167">
            <v>1480</v>
          </cell>
          <cell r="N167">
            <v>1480</v>
          </cell>
        </row>
        <row r="168">
          <cell r="A168" t="str">
            <v>P31069 EB70A</v>
          </cell>
          <cell r="B168" t="str">
            <v>BRKT</v>
          </cell>
          <cell r="I168">
            <v>98</v>
          </cell>
          <cell r="N168">
            <v>98</v>
          </cell>
        </row>
        <row r="169">
          <cell r="A169" t="str">
            <v>P46500-KGHA-900001</v>
          </cell>
          <cell r="B169" t="str">
            <v>PEDAL BRAKE</v>
          </cell>
          <cell r="M169">
            <v>1120</v>
          </cell>
          <cell r="N169">
            <v>1120</v>
          </cell>
        </row>
        <row r="170">
          <cell r="A170" t="str">
            <v>P4D0-F146R-00</v>
          </cell>
          <cell r="B170" t="str">
            <v>REINF 1</v>
          </cell>
          <cell r="L170">
            <v>19194</v>
          </cell>
          <cell r="N170">
            <v>19194</v>
          </cell>
        </row>
        <row r="171">
          <cell r="A171" t="str">
            <v>P4NR-F2163-00</v>
          </cell>
          <cell r="B171" t="str">
            <v>BRKT</v>
          </cell>
          <cell r="F171">
            <v>6</v>
          </cell>
          <cell r="G171">
            <v>50</v>
          </cell>
          <cell r="N171">
            <v>56</v>
          </cell>
        </row>
        <row r="172">
          <cell r="A172" t="str">
            <v>P50100-KPH-9700</v>
          </cell>
          <cell r="B172" t="str">
            <v>PLATE STOPPER</v>
          </cell>
          <cell r="L172">
            <v>948</v>
          </cell>
          <cell r="N172">
            <v>948</v>
          </cell>
        </row>
        <row r="173">
          <cell r="A173" t="str">
            <v>P50100-KPHA-9000</v>
          </cell>
          <cell r="B173" t="str">
            <v>PLATE</v>
          </cell>
          <cell r="I173">
            <v>1502</v>
          </cell>
          <cell r="N173">
            <v>1502</v>
          </cell>
        </row>
        <row r="174">
          <cell r="A174" t="str">
            <v>P50111-KPHL-6900</v>
          </cell>
          <cell r="B174" t="str">
            <v>STAY COMP SWITCH</v>
          </cell>
          <cell r="I174">
            <v>13</v>
          </cell>
          <cell r="N174">
            <v>13</v>
          </cell>
        </row>
        <row r="175">
          <cell r="A175" t="str">
            <v>P50111-KPHX-7000</v>
          </cell>
          <cell r="B175" t="str">
            <v>STAY COMP SWITCH</v>
          </cell>
          <cell r="I175">
            <v>1928</v>
          </cell>
          <cell r="N175">
            <v>1928</v>
          </cell>
        </row>
        <row r="176">
          <cell r="A176" t="str">
            <v>P50112-KPK-9000H1B</v>
          </cell>
          <cell r="B176" t="str">
            <v>PLATE B, L</v>
          </cell>
          <cell r="L176">
            <v>1</v>
          </cell>
          <cell r="N176">
            <v>1</v>
          </cell>
        </row>
        <row r="177">
          <cell r="A177" t="str">
            <v>P50125-KGHA-900003</v>
          </cell>
          <cell r="B177" t="str">
            <v>PATCH</v>
          </cell>
          <cell r="L177">
            <v>1319</v>
          </cell>
          <cell r="N177">
            <v>1319</v>
          </cell>
        </row>
        <row r="178">
          <cell r="A178" t="str">
            <v>P50127-KEV-9000-H1</v>
          </cell>
          <cell r="B178" t="str">
            <v>PLATE HANDLE STOPPER</v>
          </cell>
          <cell r="L178">
            <v>132</v>
          </cell>
          <cell r="N178">
            <v>132</v>
          </cell>
        </row>
        <row r="179">
          <cell r="A179" t="str">
            <v>P50127-KPH-7000-01</v>
          </cell>
          <cell r="B179" t="str">
            <v>PLATE</v>
          </cell>
          <cell r="I179">
            <v>1200</v>
          </cell>
          <cell r="N179">
            <v>1200</v>
          </cell>
        </row>
        <row r="180">
          <cell r="A180" t="str">
            <v>P50136-GEZ-3001</v>
          </cell>
          <cell r="B180" t="str">
            <v>STAY</v>
          </cell>
          <cell r="L180">
            <v>1</v>
          </cell>
          <cell r="N180">
            <v>1</v>
          </cell>
        </row>
        <row r="181">
          <cell r="A181" t="str">
            <v>P50136-KGH-9000-H1</v>
          </cell>
          <cell r="B181" t="str">
            <v>STAY IGN. COIL</v>
          </cell>
          <cell r="I181">
            <v>3556</v>
          </cell>
          <cell r="N181">
            <v>3556</v>
          </cell>
        </row>
        <row r="182">
          <cell r="A182" t="str">
            <v>P50155-KPHX-7000</v>
          </cell>
          <cell r="B182" t="str">
            <v>STAY</v>
          </cell>
          <cell r="F182">
            <v>3</v>
          </cell>
          <cell r="N182">
            <v>3</v>
          </cell>
        </row>
        <row r="183">
          <cell r="A183" t="str">
            <v>P50156-GEZ-3000</v>
          </cell>
          <cell r="B183" t="str">
            <v>PLATE R</v>
          </cell>
          <cell r="F183">
            <v>1515</v>
          </cell>
          <cell r="N183">
            <v>1515</v>
          </cell>
        </row>
        <row r="184">
          <cell r="A184" t="str">
            <v>P50156-KPHX-7001</v>
          </cell>
          <cell r="B184" t="str">
            <v>STAY</v>
          </cell>
          <cell r="I184">
            <v>997</v>
          </cell>
          <cell r="N184">
            <v>997</v>
          </cell>
        </row>
        <row r="185">
          <cell r="A185" t="str">
            <v>P50162KPPF8600-03</v>
          </cell>
          <cell r="B185" t="str">
            <v>PLATE</v>
          </cell>
          <cell r="H185">
            <v>157</v>
          </cell>
          <cell r="L185">
            <v>427</v>
          </cell>
          <cell r="N185">
            <v>584</v>
          </cell>
        </row>
        <row r="186">
          <cell r="A186" t="str">
            <v>P50162KPPF8600-H1</v>
          </cell>
          <cell r="B186" t="str">
            <v>STAY</v>
          </cell>
          <cell r="C186">
            <v>66</v>
          </cell>
          <cell r="M186">
            <v>1</v>
          </cell>
          <cell r="N186">
            <v>67</v>
          </cell>
        </row>
        <row r="187">
          <cell r="A187" t="str">
            <v>P50183-KPW-9000-H1</v>
          </cell>
          <cell r="B187" t="str">
            <v>GUSSET</v>
          </cell>
          <cell r="H187">
            <v>1</v>
          </cell>
          <cell r="I187">
            <v>2154</v>
          </cell>
          <cell r="N187">
            <v>2155</v>
          </cell>
        </row>
        <row r="188">
          <cell r="A188" t="str">
            <v>P50500-KGHA-9000</v>
          </cell>
          <cell r="B188" t="str">
            <v>PLATE SIDE STOPPER</v>
          </cell>
          <cell r="L188">
            <v>4720</v>
          </cell>
          <cell r="N188">
            <v>4720</v>
          </cell>
        </row>
        <row r="189">
          <cell r="A189" t="str">
            <v>P50500-KGHA-900012</v>
          </cell>
          <cell r="B189" t="str">
            <v>PLATE UPPER STOPPER</v>
          </cell>
          <cell r="L189">
            <v>2871</v>
          </cell>
          <cell r="N189">
            <v>2871</v>
          </cell>
        </row>
        <row r="190">
          <cell r="A190" t="str">
            <v>P50500-KGHA-900-07</v>
          </cell>
          <cell r="B190" t="str">
            <v>PLATE L STAND TREAD</v>
          </cell>
          <cell r="M190">
            <v>2516</v>
          </cell>
          <cell r="N190">
            <v>2516</v>
          </cell>
        </row>
        <row r="191">
          <cell r="A191" t="str">
            <v>P50500-KGHA-9000H1</v>
          </cell>
          <cell r="B191" t="str">
            <v>PLATE KEY LOCK</v>
          </cell>
          <cell r="L191">
            <v>2312</v>
          </cell>
          <cell r="N191">
            <v>2312</v>
          </cell>
        </row>
        <row r="192">
          <cell r="A192" t="str">
            <v>P50500-KGHG-900002</v>
          </cell>
          <cell r="B192" t="str">
            <v>HOOK SPRING</v>
          </cell>
          <cell r="L192">
            <v>1967</v>
          </cell>
          <cell r="N192">
            <v>1967</v>
          </cell>
        </row>
        <row r="193">
          <cell r="A193" t="str">
            <v>P53100-HP2A-670121</v>
          </cell>
          <cell r="B193" t="str">
            <v>PLATE</v>
          </cell>
          <cell r="I193">
            <v>1460</v>
          </cell>
          <cell r="N193">
            <v>1460</v>
          </cell>
        </row>
        <row r="194">
          <cell r="A194" t="str">
            <v>P53109-KRSH-780002</v>
          </cell>
          <cell r="B194" t="str">
            <v>PLATE  A</v>
          </cell>
          <cell r="G194">
            <v>3150</v>
          </cell>
          <cell r="I194">
            <v>43</v>
          </cell>
          <cell r="N194">
            <v>3193</v>
          </cell>
        </row>
        <row r="195">
          <cell r="A195" t="str">
            <v>P53116-KRS-6900-H1</v>
          </cell>
          <cell r="B195" t="str">
            <v>PATCH HANDLE PIPE</v>
          </cell>
          <cell r="L195">
            <v>520</v>
          </cell>
          <cell r="N195">
            <v>520</v>
          </cell>
        </row>
        <row r="196">
          <cell r="A196" t="str">
            <v>P5LN-E471K-00</v>
          </cell>
          <cell r="B196" t="str">
            <v>BRKT 1-1</v>
          </cell>
          <cell r="M196">
            <v>6800</v>
          </cell>
          <cell r="N196">
            <v>6800</v>
          </cell>
        </row>
        <row r="197">
          <cell r="A197" t="str">
            <v>P5LN-F112L-00</v>
          </cell>
          <cell r="B197" t="str">
            <v>BRKT 6</v>
          </cell>
          <cell r="L197">
            <v>1694</v>
          </cell>
          <cell r="N197">
            <v>1694</v>
          </cell>
        </row>
        <row r="198">
          <cell r="A198" t="str">
            <v>P5MY-F113R-00</v>
          </cell>
          <cell r="B198" t="str">
            <v>BRKT OUTER</v>
          </cell>
          <cell r="M198">
            <v>1001</v>
          </cell>
          <cell r="N198">
            <v>1001</v>
          </cell>
        </row>
        <row r="199">
          <cell r="A199" t="str">
            <v>P5MY-F116K-00</v>
          </cell>
          <cell r="B199" t="str">
            <v>BRKT 8</v>
          </cell>
          <cell r="M199">
            <v>1395</v>
          </cell>
          <cell r="N199">
            <v>1395</v>
          </cell>
        </row>
        <row r="200">
          <cell r="A200" t="str">
            <v>P5MY-F1215-00</v>
          </cell>
          <cell r="B200" t="str">
            <v>REINF</v>
          </cell>
          <cell r="L200">
            <v>57</v>
          </cell>
          <cell r="N200">
            <v>57</v>
          </cell>
        </row>
        <row r="201">
          <cell r="A201" t="str">
            <v>P5MY-F1216-00</v>
          </cell>
          <cell r="B201" t="str">
            <v>REINF</v>
          </cell>
          <cell r="L201">
            <v>27</v>
          </cell>
          <cell r="N201">
            <v>27</v>
          </cell>
        </row>
        <row r="202">
          <cell r="A202" t="str">
            <v>P5MY-F1336-00</v>
          </cell>
          <cell r="B202" t="str">
            <v>CLAMP WIRE HARDNESS</v>
          </cell>
          <cell r="G202">
            <v>1</v>
          </cell>
          <cell r="N202">
            <v>1</v>
          </cell>
        </row>
        <row r="203">
          <cell r="A203" t="str">
            <v>P5TN-E471R-00</v>
          </cell>
          <cell r="B203" t="str">
            <v>PARTITION 1-1</v>
          </cell>
          <cell r="G203">
            <v>198</v>
          </cell>
          <cell r="N203">
            <v>198</v>
          </cell>
        </row>
        <row r="204">
          <cell r="A204" t="str">
            <v>P5TN-F134M-00</v>
          </cell>
          <cell r="B204" t="str">
            <v>BRKT 1</v>
          </cell>
          <cell r="I204">
            <v>760</v>
          </cell>
          <cell r="N204">
            <v>760</v>
          </cell>
        </row>
        <row r="205">
          <cell r="A205" t="str">
            <v>P5TN-F134V-00</v>
          </cell>
          <cell r="B205" t="str">
            <v>BRKT</v>
          </cell>
          <cell r="F205">
            <v>26</v>
          </cell>
          <cell r="G205">
            <v>50</v>
          </cell>
          <cell r="N205">
            <v>76</v>
          </cell>
        </row>
        <row r="206">
          <cell r="A206" t="str">
            <v>P5TN-F137F-00</v>
          </cell>
          <cell r="B206" t="str">
            <v>STAY</v>
          </cell>
          <cell r="I206">
            <v>23</v>
          </cell>
          <cell r="N206">
            <v>23</v>
          </cell>
        </row>
        <row r="207">
          <cell r="A207" t="str">
            <v>P5TN-F137G</v>
          </cell>
          <cell r="B207" t="str">
            <v>STAYET</v>
          </cell>
          <cell r="I207">
            <v>213</v>
          </cell>
          <cell r="N207">
            <v>213</v>
          </cell>
        </row>
        <row r="208">
          <cell r="A208" t="str">
            <v>P5TN-F1381-00</v>
          </cell>
          <cell r="B208" t="str">
            <v>BRKT REAR CUSHION 1</v>
          </cell>
          <cell r="F208">
            <v>72</v>
          </cell>
          <cell r="N208">
            <v>72</v>
          </cell>
        </row>
        <row r="209">
          <cell r="A209" t="str">
            <v>P5TN-F139H-00</v>
          </cell>
          <cell r="B209" t="str">
            <v>BRKT 6</v>
          </cell>
          <cell r="L209">
            <v>1</v>
          </cell>
          <cell r="N209">
            <v>1</v>
          </cell>
        </row>
        <row r="210">
          <cell r="A210" t="str">
            <v>P5TN-F1445-00</v>
          </cell>
          <cell r="B210" t="str">
            <v>STAY MUFF1</v>
          </cell>
          <cell r="G210">
            <v>640</v>
          </cell>
          <cell r="N210">
            <v>640</v>
          </cell>
        </row>
        <row r="211">
          <cell r="A211" t="str">
            <v>P5TN-F1446-00</v>
          </cell>
          <cell r="B211" t="str">
            <v>STAY MUFF 2</v>
          </cell>
          <cell r="M211">
            <v>2800</v>
          </cell>
          <cell r="N211">
            <v>2800</v>
          </cell>
        </row>
        <row r="212">
          <cell r="A212" t="str">
            <v>P5TN-F145B-00</v>
          </cell>
          <cell r="B212" t="str">
            <v>PLATE ENGINE MOUNT</v>
          </cell>
          <cell r="E212">
            <v>3087</v>
          </cell>
          <cell r="G212">
            <v>9</v>
          </cell>
          <cell r="H212">
            <v>1</v>
          </cell>
          <cell r="N212">
            <v>3097</v>
          </cell>
        </row>
        <row r="213">
          <cell r="A213" t="str">
            <v>P5VV-E4718-00-3</v>
          </cell>
          <cell r="B213" t="str">
            <v>BRKT 2</v>
          </cell>
          <cell r="F213">
            <v>49</v>
          </cell>
          <cell r="G213">
            <v>2700</v>
          </cell>
          <cell r="N213">
            <v>2749</v>
          </cell>
        </row>
        <row r="214">
          <cell r="A214" t="str">
            <v>P5VV-E4728-00-2</v>
          </cell>
          <cell r="B214" t="str">
            <v>BRKT 1</v>
          </cell>
          <cell r="I214">
            <v>3307</v>
          </cell>
          <cell r="N214">
            <v>3307</v>
          </cell>
        </row>
        <row r="215">
          <cell r="A215" t="str">
            <v>P5VV-E4728-00-3</v>
          </cell>
          <cell r="B215" t="str">
            <v>BRKT 2</v>
          </cell>
          <cell r="I215">
            <v>5299</v>
          </cell>
          <cell r="N215">
            <v>5299</v>
          </cell>
        </row>
        <row r="216">
          <cell r="A216" t="str">
            <v>P5VV-F1111-00</v>
          </cell>
          <cell r="B216" t="str">
            <v>GUSSET HEAD PIPE 1</v>
          </cell>
          <cell r="K216">
            <v>4610</v>
          </cell>
          <cell r="N216">
            <v>4610</v>
          </cell>
        </row>
        <row r="217">
          <cell r="A217" t="str">
            <v>P5VV-F1117-00</v>
          </cell>
          <cell r="B217" t="str">
            <v>SLEEVE</v>
          </cell>
          <cell r="H217">
            <v>1290</v>
          </cell>
          <cell r="N217">
            <v>1290</v>
          </cell>
        </row>
        <row r="218">
          <cell r="A218" t="str">
            <v>P5VV-F111A</v>
          </cell>
          <cell r="B218" t="str">
            <v>CAP MAIN PIPE</v>
          </cell>
          <cell r="M218">
            <v>156</v>
          </cell>
          <cell r="N218">
            <v>156</v>
          </cell>
        </row>
        <row r="219">
          <cell r="A219" t="str">
            <v>P5VV-F138K-00</v>
          </cell>
          <cell r="B219" t="str">
            <v>BRKT 1</v>
          </cell>
          <cell r="I219">
            <v>5547</v>
          </cell>
          <cell r="N219">
            <v>5547</v>
          </cell>
        </row>
        <row r="220">
          <cell r="A220" t="str">
            <v>P5VV-F146R-00</v>
          </cell>
          <cell r="B220" t="str">
            <v>REINF</v>
          </cell>
          <cell r="L220">
            <v>24</v>
          </cell>
          <cell r="N220">
            <v>24</v>
          </cell>
        </row>
        <row r="221">
          <cell r="A221" t="str">
            <v>P5VV-F148U-00</v>
          </cell>
          <cell r="B221" t="str">
            <v>BRKT 1</v>
          </cell>
          <cell r="F221">
            <v>1</v>
          </cell>
          <cell r="N221">
            <v>1</v>
          </cell>
        </row>
        <row r="222">
          <cell r="A222" t="str">
            <v>P5VV-F149E-00</v>
          </cell>
          <cell r="B222" t="str">
            <v>STAY STOPPER</v>
          </cell>
          <cell r="M222">
            <v>70</v>
          </cell>
          <cell r="N222">
            <v>70</v>
          </cell>
        </row>
        <row r="223">
          <cell r="A223" t="str">
            <v>P5XV-F3472-00</v>
          </cell>
          <cell r="B223" t="str">
            <v>PROTECTOR</v>
          </cell>
          <cell r="F223">
            <v>110</v>
          </cell>
          <cell r="G223">
            <v>900</v>
          </cell>
          <cell r="N223">
            <v>1010</v>
          </cell>
        </row>
        <row r="224">
          <cell r="A224" t="str">
            <v>P5YP-F1147-00</v>
          </cell>
          <cell r="B224" t="str">
            <v>BRKT AIR CLEANER 1</v>
          </cell>
          <cell r="M224">
            <v>1200</v>
          </cell>
          <cell r="N224">
            <v>1200</v>
          </cell>
        </row>
        <row r="225">
          <cell r="A225" t="str">
            <v>P5YP-F1216-00</v>
          </cell>
          <cell r="B225" t="str">
            <v>REINF</v>
          </cell>
          <cell r="L225">
            <v>617</v>
          </cell>
          <cell r="N225">
            <v>617</v>
          </cell>
        </row>
        <row r="226">
          <cell r="A226" t="str">
            <v>P5YP-F128A-00</v>
          </cell>
          <cell r="B226" t="str">
            <v>BRKT REGURATOR 1</v>
          </cell>
          <cell r="E226">
            <v>302</v>
          </cell>
          <cell r="N226">
            <v>302</v>
          </cell>
        </row>
        <row r="227">
          <cell r="A227" t="str">
            <v>P5YP-F1312-00</v>
          </cell>
          <cell r="B227" t="str">
            <v>STOPPER STRG.</v>
          </cell>
          <cell r="L227">
            <v>914</v>
          </cell>
          <cell r="N227">
            <v>914</v>
          </cell>
        </row>
        <row r="228">
          <cell r="A228" t="str">
            <v>P5YP-F1329-00</v>
          </cell>
          <cell r="B228" t="str">
            <v>PLATE</v>
          </cell>
          <cell r="L228">
            <v>534</v>
          </cell>
          <cell r="N228">
            <v>534</v>
          </cell>
        </row>
        <row r="229">
          <cell r="A229" t="str">
            <v>P5YP-F134M-00</v>
          </cell>
          <cell r="B229" t="str">
            <v>BRKT 1</v>
          </cell>
          <cell r="L229">
            <v>6</v>
          </cell>
          <cell r="N229">
            <v>6</v>
          </cell>
        </row>
        <row r="230">
          <cell r="A230" t="str">
            <v>P5YW-F139N-00</v>
          </cell>
          <cell r="B230" t="str">
            <v>BRKT 11</v>
          </cell>
          <cell r="F230">
            <v>68</v>
          </cell>
          <cell r="G230">
            <v>5446</v>
          </cell>
          <cell r="N230">
            <v>5514</v>
          </cell>
        </row>
        <row r="231">
          <cell r="A231" t="str">
            <v>P61498 ED500</v>
          </cell>
          <cell r="B231" t="str">
            <v>GUSS HOODLEDGE RH</v>
          </cell>
          <cell r="I231">
            <v>1716</v>
          </cell>
          <cell r="N231">
            <v>1716</v>
          </cell>
        </row>
        <row r="232">
          <cell r="A232" t="str">
            <v>P641F2 EB70A</v>
          </cell>
          <cell r="B232" t="str">
            <v>STFNR-HOODLEDGE RR RH</v>
          </cell>
          <cell r="G232">
            <v>1</v>
          </cell>
          <cell r="I232">
            <v>4871</v>
          </cell>
          <cell r="N232">
            <v>4872</v>
          </cell>
        </row>
        <row r="233">
          <cell r="A233" t="str">
            <v>P641F3 EB70A</v>
          </cell>
          <cell r="B233" t="str">
            <v>STFNR-HOODLEDGE RR LH</v>
          </cell>
          <cell r="I233">
            <v>646</v>
          </cell>
          <cell r="N233">
            <v>646</v>
          </cell>
        </row>
        <row r="234">
          <cell r="A234" t="str">
            <v>P74552/3 JR200</v>
          </cell>
          <cell r="B234" t="str">
            <v>BRKT-CAB MTG,4TH RH.LH</v>
          </cell>
          <cell r="J234">
            <v>580</v>
          </cell>
          <cell r="N234">
            <v>580</v>
          </cell>
        </row>
        <row r="235">
          <cell r="A235" t="str">
            <v>P74552/53 JR000</v>
          </cell>
          <cell r="B235" t="str">
            <v>BRKT-CAB MTG, 4TH RH/LH</v>
          </cell>
          <cell r="J235">
            <v>2346</v>
          </cell>
          <cell r="N235">
            <v>2346</v>
          </cell>
        </row>
        <row r="236">
          <cell r="A236" t="str">
            <v>P74558 JR000</v>
          </cell>
          <cell r="B236" t="str">
            <v>BRKT-RR SEAT MTG OTR RH</v>
          </cell>
          <cell r="J236">
            <v>133</v>
          </cell>
          <cell r="N236">
            <v>133</v>
          </cell>
        </row>
        <row r="237">
          <cell r="A237" t="str">
            <v>P74572 JR000</v>
          </cell>
          <cell r="B237" t="str">
            <v>BRKT-ANCH BELT RR INR</v>
          </cell>
          <cell r="I237">
            <v>14</v>
          </cell>
          <cell r="N237">
            <v>14</v>
          </cell>
        </row>
        <row r="238">
          <cell r="A238" t="str">
            <v>P745F8 JR00A</v>
          </cell>
          <cell r="B238" t="str">
            <v>REINF-RR FLOOR BOX</v>
          </cell>
          <cell r="G238">
            <v>320</v>
          </cell>
          <cell r="I238">
            <v>17</v>
          </cell>
          <cell r="N238">
            <v>337</v>
          </cell>
        </row>
        <row r="239">
          <cell r="A239" t="str">
            <v>P75112 EB70B</v>
          </cell>
          <cell r="B239" t="str">
            <v>MBR-FR SIDE,RH</v>
          </cell>
          <cell r="J239">
            <v>1560</v>
          </cell>
          <cell r="N239">
            <v>1560</v>
          </cell>
        </row>
        <row r="240">
          <cell r="A240" t="str">
            <v>P75113 EB70B</v>
          </cell>
          <cell r="B240" t="str">
            <v>MBR-FR SIDE,LH</v>
          </cell>
          <cell r="J240">
            <v>1065</v>
          </cell>
          <cell r="N240">
            <v>1065</v>
          </cell>
        </row>
        <row r="241">
          <cell r="A241" t="str">
            <v>P76216 CJ400</v>
          </cell>
          <cell r="B241" t="str">
            <v>REINF FR PLR UPR A RH</v>
          </cell>
          <cell r="I241">
            <v>3990</v>
          </cell>
          <cell r="N241">
            <v>3990</v>
          </cell>
        </row>
        <row r="242">
          <cell r="A242" t="str">
            <v>P763A1 CJ40A</v>
          </cell>
          <cell r="B242" t="str">
            <v>BRKT HARN ROOM LAMP RH</v>
          </cell>
          <cell r="I242">
            <v>84</v>
          </cell>
          <cell r="N242">
            <v>84</v>
          </cell>
        </row>
        <row r="243">
          <cell r="A243" t="str">
            <v>P76482 JR200</v>
          </cell>
          <cell r="B243" t="str">
            <v>BRKT SIDE STEP RH</v>
          </cell>
          <cell r="G243">
            <v>337</v>
          </cell>
          <cell r="N243">
            <v>337</v>
          </cell>
        </row>
        <row r="244">
          <cell r="A244" t="str">
            <v>P76574 AX000</v>
          </cell>
          <cell r="B244" t="str">
            <v>PLATE HINGE LWR RH</v>
          </cell>
          <cell r="I244">
            <v>2563</v>
          </cell>
          <cell r="N244">
            <v>2563</v>
          </cell>
        </row>
        <row r="245">
          <cell r="A245" t="str">
            <v>P76575 AX000</v>
          </cell>
          <cell r="B245" t="str">
            <v>PLATE HINGE LWR LH</v>
          </cell>
          <cell r="I245">
            <v>2109</v>
          </cell>
          <cell r="N245">
            <v>2109</v>
          </cell>
        </row>
        <row r="246">
          <cell r="A246" t="str">
            <v>P80125-KFEA-700000</v>
          </cell>
          <cell r="B246" t="str">
            <v>PLATE FR CROSS</v>
          </cell>
          <cell r="M246">
            <v>3</v>
          </cell>
          <cell r="N246">
            <v>3</v>
          </cell>
        </row>
        <row r="247">
          <cell r="A247" t="str">
            <v>P80125-KFEA-700004</v>
          </cell>
          <cell r="B247" t="str">
            <v>BRKT T/L MOUNT</v>
          </cell>
          <cell r="M247">
            <v>23</v>
          </cell>
          <cell r="N247">
            <v>23</v>
          </cell>
        </row>
        <row r="248">
          <cell r="A248" t="str">
            <v>P80125KFEA-7000-06</v>
          </cell>
          <cell r="B248" t="str">
            <v>BRKT L SIDE</v>
          </cell>
          <cell r="M248">
            <v>3</v>
          </cell>
          <cell r="N248">
            <v>3</v>
          </cell>
        </row>
        <row r="249">
          <cell r="A249" t="str">
            <v>PF83150 A07 N0000</v>
          </cell>
          <cell r="B249" t="str">
            <v>BRKT HOOD SW</v>
          </cell>
          <cell r="I249">
            <v>1894</v>
          </cell>
          <cell r="N249">
            <v>1894</v>
          </cell>
        </row>
        <row r="250">
          <cell r="A250" t="str">
            <v>PF87520 A07 N0000</v>
          </cell>
          <cell r="B250" t="str">
            <v>PLATE REINF LWR RH</v>
          </cell>
          <cell r="G250">
            <v>4200</v>
          </cell>
          <cell r="N250">
            <v>4200</v>
          </cell>
        </row>
        <row r="251">
          <cell r="A251" t="str">
            <v>PF87530 A07 N0000</v>
          </cell>
          <cell r="B251" t="str">
            <v>PLATE REINF UPR RH</v>
          </cell>
          <cell r="J251">
            <v>300</v>
          </cell>
          <cell r="N251">
            <v>300</v>
          </cell>
        </row>
        <row r="252">
          <cell r="A252" t="str">
            <v>PF87720 A07 N0000</v>
          </cell>
          <cell r="B252" t="str">
            <v>PLATE REINF LWR LH</v>
          </cell>
          <cell r="G252">
            <v>3900</v>
          </cell>
          <cell r="I252">
            <v>260</v>
          </cell>
          <cell r="N252">
            <v>4160</v>
          </cell>
        </row>
        <row r="253">
          <cell r="A253" t="str">
            <v>PF87730 A07 N0000</v>
          </cell>
          <cell r="B253" t="str">
            <v>PLATE REINF UPR LH</v>
          </cell>
          <cell r="J253">
            <v>491</v>
          </cell>
          <cell r="N253">
            <v>491</v>
          </cell>
        </row>
        <row r="254">
          <cell r="A254" t="str">
            <v>Grand Total</v>
          </cell>
          <cell r="C254">
            <v>66</v>
          </cell>
          <cell r="D254">
            <v>116133</v>
          </cell>
          <cell r="E254">
            <v>6396</v>
          </cell>
          <cell r="F254">
            <v>4628</v>
          </cell>
          <cell r="G254">
            <v>26782</v>
          </cell>
          <cell r="H254">
            <v>6622</v>
          </cell>
          <cell r="I254">
            <v>49310</v>
          </cell>
          <cell r="J254">
            <v>6475</v>
          </cell>
          <cell r="K254">
            <v>4679</v>
          </cell>
          <cell r="L254">
            <v>38286</v>
          </cell>
          <cell r="M254">
            <v>18306</v>
          </cell>
          <cell r="N254">
            <v>277683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31 10 06"/>
      <sheetName val="TOTAL 31"/>
      <sheetName val="TOTAL 28"/>
      <sheetName val="Mother Coil"/>
      <sheetName val="location POD"/>
      <sheetName val="all date"/>
      <sheetName val="all location"/>
    </sheetNames>
    <sheetDataSet>
      <sheetData sheetId="0"/>
      <sheetData sheetId="1"/>
      <sheetData sheetId="2" refreshError="1">
        <row r="1">
          <cell r="A1" t="str">
            <v>DATA  AS OF 28 10 06</v>
          </cell>
        </row>
        <row r="2">
          <cell r="A2">
            <v>60070407</v>
          </cell>
          <cell r="B2">
            <v>1</v>
          </cell>
          <cell r="C2">
            <v>39018</v>
          </cell>
          <cell r="D2">
            <v>60070407</v>
          </cell>
          <cell r="E2" t="str">
            <v>S25907TCD001</v>
          </cell>
          <cell r="F2" t="str">
            <v>SN6A28D1S470601</v>
          </cell>
          <cell r="G2" t="str">
            <v>AF3</v>
          </cell>
          <cell r="H2" t="str">
            <v>SPCEN-SD</v>
          </cell>
          <cell r="I2">
            <v>1.6</v>
          </cell>
          <cell r="J2">
            <v>215</v>
          </cell>
          <cell r="K2" t="str">
            <v>C</v>
          </cell>
          <cell r="L2" t="str">
            <v>SEMI</v>
          </cell>
          <cell r="M2">
            <v>1681</v>
          </cell>
          <cell r="N2">
            <v>1</v>
          </cell>
          <cell r="O2" t="str">
            <v>1S1</v>
          </cell>
          <cell r="P2" t="str">
            <v>SEMI/C</v>
          </cell>
        </row>
        <row r="3">
          <cell r="A3">
            <v>60070408</v>
          </cell>
          <cell r="B3">
            <v>2</v>
          </cell>
          <cell r="C3">
            <v>39018</v>
          </cell>
          <cell r="D3">
            <v>60070408</v>
          </cell>
          <cell r="E3" t="str">
            <v>S25907TCD001</v>
          </cell>
          <cell r="F3" t="str">
            <v>SN6A28D1S470601</v>
          </cell>
          <cell r="G3" t="str">
            <v>AF3</v>
          </cell>
          <cell r="H3" t="str">
            <v>SPCEN-SD</v>
          </cell>
          <cell r="I3">
            <v>1.6</v>
          </cell>
          <cell r="J3">
            <v>115</v>
          </cell>
          <cell r="K3" t="str">
            <v>C</v>
          </cell>
          <cell r="L3" t="str">
            <v>SEMI</v>
          </cell>
          <cell r="M3">
            <v>892</v>
          </cell>
          <cell r="N3">
            <v>1</v>
          </cell>
          <cell r="O3" t="str">
            <v>1S1</v>
          </cell>
          <cell r="P3" t="str">
            <v>SEMI/C</v>
          </cell>
        </row>
        <row r="4">
          <cell r="A4">
            <v>60070453</v>
          </cell>
          <cell r="B4">
            <v>3</v>
          </cell>
          <cell r="C4">
            <v>39018</v>
          </cell>
          <cell r="D4">
            <v>60070453</v>
          </cell>
          <cell r="E4" t="str">
            <v>S26713SUD001</v>
          </cell>
          <cell r="F4" t="str">
            <v>SN6A28D1S466401</v>
          </cell>
          <cell r="G4" t="str">
            <v>AF1</v>
          </cell>
          <cell r="H4" t="str">
            <v>SPCC-SD</v>
          </cell>
          <cell r="I4">
            <v>0.4</v>
          </cell>
          <cell r="J4">
            <v>143</v>
          </cell>
          <cell r="K4" t="str">
            <v>C</v>
          </cell>
          <cell r="L4" t="str">
            <v>SEMI</v>
          </cell>
          <cell r="M4">
            <v>338</v>
          </cell>
          <cell r="N4">
            <v>1</v>
          </cell>
          <cell r="O4" t="str">
            <v>1S1</v>
          </cell>
          <cell r="P4" t="str">
            <v>SEMI/C</v>
          </cell>
        </row>
        <row r="5">
          <cell r="A5">
            <v>20052699</v>
          </cell>
          <cell r="B5">
            <v>4</v>
          </cell>
          <cell r="C5">
            <v>39018</v>
          </cell>
          <cell r="D5">
            <v>20052699</v>
          </cell>
          <cell r="E5" t="str">
            <v>W26628TCD001</v>
          </cell>
          <cell r="F5" t="str">
            <v>WN6A28D1D470901</v>
          </cell>
          <cell r="G5" t="str">
            <v>AF1</v>
          </cell>
          <cell r="H5" t="str">
            <v>SPCEN-SD</v>
          </cell>
          <cell r="I5">
            <v>1.6</v>
          </cell>
          <cell r="J5">
            <v>1219</v>
          </cell>
          <cell r="K5">
            <v>2438</v>
          </cell>
          <cell r="L5" t="str">
            <v>WIP</v>
          </cell>
          <cell r="M5">
            <v>1008</v>
          </cell>
          <cell r="N5">
            <v>27</v>
          </cell>
          <cell r="O5" t="str">
            <v>1D1</v>
          </cell>
          <cell r="P5" t="str">
            <v>WIP</v>
          </cell>
        </row>
        <row r="6">
          <cell r="A6">
            <v>20052695</v>
          </cell>
          <cell r="B6">
            <v>5</v>
          </cell>
          <cell r="C6">
            <v>39018</v>
          </cell>
          <cell r="D6">
            <v>20052695</v>
          </cell>
          <cell r="E6" t="str">
            <v>W36726PCI035</v>
          </cell>
          <cell r="F6" t="str">
            <v>WN6A28D1D458301</v>
          </cell>
          <cell r="G6" t="str">
            <v>AF1</v>
          </cell>
          <cell r="H6" t="str">
            <v>SPHC P/O</v>
          </cell>
          <cell r="I6">
            <v>3.2</v>
          </cell>
          <cell r="J6">
            <v>1219</v>
          </cell>
          <cell r="K6">
            <v>2438</v>
          </cell>
          <cell r="L6" t="str">
            <v>WIP</v>
          </cell>
          <cell r="M6">
            <v>298</v>
          </cell>
          <cell r="N6">
            <v>4</v>
          </cell>
          <cell r="O6" t="str">
            <v>1D1</v>
          </cell>
          <cell r="P6" t="str">
            <v>WIP</v>
          </cell>
        </row>
        <row r="7">
          <cell r="A7">
            <v>20052693</v>
          </cell>
          <cell r="B7">
            <v>6</v>
          </cell>
          <cell r="C7">
            <v>39018</v>
          </cell>
          <cell r="D7">
            <v>20052693</v>
          </cell>
          <cell r="E7" t="str">
            <v>W36814PCI003</v>
          </cell>
          <cell r="F7" t="str">
            <v>WN6A28D1D468001</v>
          </cell>
          <cell r="G7" t="str">
            <v>CA1</v>
          </cell>
          <cell r="H7" t="str">
            <v>SPHC P/O</v>
          </cell>
          <cell r="I7">
            <v>1.6</v>
          </cell>
          <cell r="J7">
            <v>1219</v>
          </cell>
          <cell r="K7">
            <v>2438</v>
          </cell>
          <cell r="L7" t="str">
            <v>WIP</v>
          </cell>
          <cell r="M7">
            <v>1530</v>
          </cell>
          <cell r="N7">
            <v>41</v>
          </cell>
          <cell r="O7" t="str">
            <v>1D1</v>
          </cell>
          <cell r="P7" t="str">
            <v>WIP</v>
          </cell>
        </row>
        <row r="8">
          <cell r="A8">
            <v>20052696</v>
          </cell>
          <cell r="B8">
            <v>7</v>
          </cell>
          <cell r="C8">
            <v>39018</v>
          </cell>
          <cell r="D8">
            <v>20052696</v>
          </cell>
          <cell r="E8" t="str">
            <v>W26A13TCD012</v>
          </cell>
          <cell r="F8" t="str">
            <v>WN6A28D1L460701</v>
          </cell>
          <cell r="G8" t="str">
            <v>AF1</v>
          </cell>
          <cell r="H8" t="str">
            <v>SPCC-SD</v>
          </cell>
          <cell r="I8">
            <v>2.2999999999999998</v>
          </cell>
          <cell r="J8">
            <v>1219</v>
          </cell>
          <cell r="K8">
            <v>1630</v>
          </cell>
          <cell r="L8" t="str">
            <v>WIP</v>
          </cell>
          <cell r="M8">
            <v>287</v>
          </cell>
          <cell r="N8">
            <v>8</v>
          </cell>
          <cell r="O8" t="str">
            <v>1L1</v>
          </cell>
          <cell r="P8" t="str">
            <v>WIP</v>
          </cell>
        </row>
        <row r="9">
          <cell r="A9">
            <v>20052697</v>
          </cell>
          <cell r="B9">
            <v>8</v>
          </cell>
          <cell r="C9">
            <v>39018</v>
          </cell>
          <cell r="D9">
            <v>20052697</v>
          </cell>
          <cell r="E9" t="str">
            <v>W26A13TCD012</v>
          </cell>
          <cell r="F9" t="str">
            <v>WN6A28D1L460701</v>
          </cell>
          <cell r="G9" t="str">
            <v>AF1</v>
          </cell>
          <cell r="H9" t="str">
            <v>SPCC-SD</v>
          </cell>
          <cell r="I9">
            <v>2.2999999999999998</v>
          </cell>
          <cell r="J9">
            <v>1219</v>
          </cell>
          <cell r="K9">
            <v>1373</v>
          </cell>
          <cell r="L9" t="str">
            <v>WIP</v>
          </cell>
          <cell r="M9">
            <v>151</v>
          </cell>
          <cell r="N9">
            <v>5</v>
          </cell>
          <cell r="O9" t="str">
            <v>1L1</v>
          </cell>
          <cell r="P9" t="str">
            <v>WIP</v>
          </cell>
        </row>
        <row r="10">
          <cell r="A10">
            <v>20052698</v>
          </cell>
          <cell r="B10">
            <v>9</v>
          </cell>
          <cell r="C10">
            <v>39018</v>
          </cell>
          <cell r="D10">
            <v>20052698</v>
          </cell>
          <cell r="E10" t="str">
            <v>W26A13TCD012</v>
          </cell>
          <cell r="F10" t="str">
            <v>WN6A28D1L460701</v>
          </cell>
          <cell r="G10" t="str">
            <v>AF1</v>
          </cell>
          <cell r="H10" t="str">
            <v>SPCC-SD</v>
          </cell>
          <cell r="I10">
            <v>2.2999999999999998</v>
          </cell>
          <cell r="J10">
            <v>1045</v>
          </cell>
          <cell r="K10">
            <v>1219</v>
          </cell>
          <cell r="L10" t="str">
            <v>WIP</v>
          </cell>
          <cell r="M10">
            <v>805</v>
          </cell>
          <cell r="N10">
            <v>35</v>
          </cell>
          <cell r="O10" t="str">
            <v>1L1</v>
          </cell>
          <cell r="P10" t="str">
            <v>WIP</v>
          </cell>
        </row>
        <row r="11">
          <cell r="A11">
            <v>60070405</v>
          </cell>
          <cell r="B11">
            <v>10</v>
          </cell>
          <cell r="C11">
            <v>39018</v>
          </cell>
          <cell r="D11">
            <v>60070405</v>
          </cell>
          <cell r="E11" t="str">
            <v>W25907TCD001</v>
          </cell>
          <cell r="F11" t="str">
            <v>WN6A28D1S470601</v>
          </cell>
          <cell r="G11" t="str">
            <v>AF3</v>
          </cell>
          <cell r="H11" t="str">
            <v>SPCEN-SD</v>
          </cell>
          <cell r="I11">
            <v>1.6</v>
          </cell>
          <cell r="J11">
            <v>440</v>
          </cell>
          <cell r="K11" t="str">
            <v>C</v>
          </cell>
          <cell r="L11" t="str">
            <v>WIP</v>
          </cell>
          <cell r="M11">
            <v>3433</v>
          </cell>
          <cell r="N11">
            <v>1</v>
          </cell>
          <cell r="O11" t="str">
            <v>1S1</v>
          </cell>
          <cell r="P11" t="str">
            <v>WIP</v>
          </cell>
        </row>
        <row r="12">
          <cell r="A12">
            <v>60070406</v>
          </cell>
          <cell r="B12">
            <v>11</v>
          </cell>
          <cell r="C12">
            <v>39018</v>
          </cell>
          <cell r="D12">
            <v>60070406</v>
          </cell>
          <cell r="E12" t="str">
            <v>W25907TCD001</v>
          </cell>
          <cell r="F12" t="str">
            <v>WN6A28D1S470602</v>
          </cell>
          <cell r="G12" t="str">
            <v>AF3</v>
          </cell>
          <cell r="H12" t="str">
            <v>SPCEN-SD</v>
          </cell>
          <cell r="I12">
            <v>1.6</v>
          </cell>
          <cell r="J12">
            <v>440</v>
          </cell>
          <cell r="K12" t="str">
            <v>C</v>
          </cell>
          <cell r="L12" t="str">
            <v>WIP</v>
          </cell>
          <cell r="M12">
            <v>3431</v>
          </cell>
          <cell r="N12">
            <v>1</v>
          </cell>
          <cell r="O12" t="str">
            <v>1S1</v>
          </cell>
          <cell r="P12" t="str">
            <v>WIP</v>
          </cell>
        </row>
        <row r="13">
          <cell r="A13">
            <v>60070464</v>
          </cell>
          <cell r="B13">
            <v>12</v>
          </cell>
          <cell r="C13">
            <v>39018</v>
          </cell>
          <cell r="D13">
            <v>60070464</v>
          </cell>
          <cell r="E13" t="str">
            <v>W26918SUD018</v>
          </cell>
          <cell r="F13" t="str">
            <v>WN6A28D1S468901</v>
          </cell>
          <cell r="G13" t="str">
            <v>AF1</v>
          </cell>
          <cell r="H13" t="str">
            <v>SPCC-SD</v>
          </cell>
          <cell r="I13">
            <v>0.6</v>
          </cell>
          <cell r="J13">
            <v>615</v>
          </cell>
          <cell r="K13" t="str">
            <v>C</v>
          </cell>
          <cell r="L13" t="str">
            <v>WIP</v>
          </cell>
          <cell r="M13">
            <v>4039</v>
          </cell>
          <cell r="N13">
            <v>1</v>
          </cell>
          <cell r="O13" t="str">
            <v>1S1</v>
          </cell>
          <cell r="P13" t="str">
            <v>WIP</v>
          </cell>
        </row>
        <row r="14">
          <cell r="A14">
            <v>60070465</v>
          </cell>
          <cell r="B14">
            <v>13</v>
          </cell>
          <cell r="C14">
            <v>39018</v>
          </cell>
          <cell r="D14">
            <v>60070465</v>
          </cell>
          <cell r="E14" t="str">
            <v>W26918SUD018</v>
          </cell>
          <cell r="F14" t="str">
            <v>WN6A28D1S468901</v>
          </cell>
          <cell r="G14" t="str">
            <v>AF1</v>
          </cell>
          <cell r="H14" t="str">
            <v>SPCC-SD</v>
          </cell>
          <cell r="I14">
            <v>0.6</v>
          </cell>
          <cell r="J14">
            <v>270</v>
          </cell>
          <cell r="K14" t="str">
            <v>C</v>
          </cell>
          <cell r="L14" t="str">
            <v>WIP</v>
          </cell>
          <cell r="M14">
            <v>1772</v>
          </cell>
          <cell r="N14">
            <v>1</v>
          </cell>
          <cell r="O14" t="str">
            <v>1S1</v>
          </cell>
          <cell r="P14" t="str">
            <v>WIP</v>
          </cell>
        </row>
        <row r="15">
          <cell r="A15">
            <v>60070466</v>
          </cell>
          <cell r="B15">
            <v>14</v>
          </cell>
          <cell r="C15">
            <v>39018</v>
          </cell>
          <cell r="D15">
            <v>60070466</v>
          </cell>
          <cell r="E15" t="str">
            <v>W26918SUD018</v>
          </cell>
          <cell r="F15" t="str">
            <v>WN6A28D1S468902</v>
          </cell>
          <cell r="G15" t="str">
            <v>AF1</v>
          </cell>
          <cell r="H15" t="str">
            <v>SPCC-SD</v>
          </cell>
          <cell r="I15">
            <v>0.6</v>
          </cell>
          <cell r="J15">
            <v>270</v>
          </cell>
          <cell r="K15" t="str">
            <v>C</v>
          </cell>
          <cell r="L15" t="str">
            <v>WIP</v>
          </cell>
          <cell r="M15">
            <v>1772</v>
          </cell>
          <cell r="N15">
            <v>1</v>
          </cell>
          <cell r="O15" t="str">
            <v>1S1</v>
          </cell>
          <cell r="P15" t="str">
            <v>WIP</v>
          </cell>
        </row>
        <row r="16">
          <cell r="A16">
            <v>60070451</v>
          </cell>
          <cell r="B16">
            <v>15</v>
          </cell>
          <cell r="C16">
            <v>39018</v>
          </cell>
          <cell r="D16">
            <v>60070451</v>
          </cell>
          <cell r="E16" t="str">
            <v>W26713SUD001</v>
          </cell>
          <cell r="F16" t="str">
            <v>WN6A28D1S466401</v>
          </cell>
          <cell r="G16" t="str">
            <v>AF1</v>
          </cell>
          <cell r="H16" t="str">
            <v>SPCC-SD</v>
          </cell>
          <cell r="I16">
            <v>0.4</v>
          </cell>
          <cell r="J16">
            <v>524</v>
          </cell>
          <cell r="K16" t="str">
            <v>C</v>
          </cell>
          <cell r="L16" t="str">
            <v>WIP</v>
          </cell>
          <cell r="M16">
            <v>1232</v>
          </cell>
          <cell r="N16">
            <v>1</v>
          </cell>
          <cell r="O16" t="str">
            <v>1S1</v>
          </cell>
          <cell r="P16" t="str">
            <v>WIP</v>
          </cell>
        </row>
        <row r="17">
          <cell r="A17">
            <v>60070452</v>
          </cell>
          <cell r="B17">
            <v>16</v>
          </cell>
          <cell r="C17">
            <v>39018</v>
          </cell>
          <cell r="D17">
            <v>60070452</v>
          </cell>
          <cell r="E17" t="str">
            <v>W26713SUD001</v>
          </cell>
          <cell r="F17" t="str">
            <v>WN6A28D1S466401</v>
          </cell>
          <cell r="G17" t="str">
            <v>AF1</v>
          </cell>
          <cell r="H17" t="str">
            <v>SPCC-SD</v>
          </cell>
          <cell r="I17">
            <v>0.4</v>
          </cell>
          <cell r="J17">
            <v>548</v>
          </cell>
          <cell r="K17" t="str">
            <v>C</v>
          </cell>
          <cell r="L17" t="str">
            <v>WIP</v>
          </cell>
          <cell r="M17">
            <v>1286</v>
          </cell>
          <cell r="N17">
            <v>1</v>
          </cell>
          <cell r="O17" t="str">
            <v>1S1</v>
          </cell>
          <cell r="P17" t="str">
            <v>WIP</v>
          </cell>
        </row>
        <row r="18">
          <cell r="A18">
            <v>60070454</v>
          </cell>
          <cell r="B18">
            <v>17</v>
          </cell>
          <cell r="C18">
            <v>39018</v>
          </cell>
          <cell r="D18">
            <v>60070454</v>
          </cell>
          <cell r="E18" t="str">
            <v>W26918SUD013</v>
          </cell>
          <cell r="F18" t="str">
            <v>WN6A28D1S468801</v>
          </cell>
          <cell r="G18" t="str">
            <v>AF1</v>
          </cell>
          <cell r="H18" t="str">
            <v>SPCC-SD</v>
          </cell>
          <cell r="I18">
            <v>0.6</v>
          </cell>
          <cell r="J18">
            <v>605</v>
          </cell>
          <cell r="K18" t="str">
            <v>C</v>
          </cell>
          <cell r="L18" t="str">
            <v>WIP</v>
          </cell>
          <cell r="M18">
            <v>4562</v>
          </cell>
          <cell r="N18">
            <v>1</v>
          </cell>
          <cell r="O18" t="str">
            <v>1S1</v>
          </cell>
          <cell r="P18" t="str">
            <v>WIP</v>
          </cell>
        </row>
        <row r="19">
          <cell r="A19">
            <v>60070455</v>
          </cell>
          <cell r="B19">
            <v>18</v>
          </cell>
          <cell r="C19">
            <v>39018</v>
          </cell>
          <cell r="D19">
            <v>60070455</v>
          </cell>
          <cell r="E19" t="str">
            <v>W26918SUD013</v>
          </cell>
          <cell r="F19" t="str">
            <v>WN6A28D1S468802</v>
          </cell>
          <cell r="G19" t="str">
            <v>AF1</v>
          </cell>
          <cell r="H19" t="str">
            <v>SPCC-SD</v>
          </cell>
          <cell r="I19">
            <v>0.6</v>
          </cell>
          <cell r="J19">
            <v>605</v>
          </cell>
          <cell r="K19" t="str">
            <v>C</v>
          </cell>
          <cell r="L19" t="str">
            <v>WIP</v>
          </cell>
          <cell r="M19">
            <v>4562</v>
          </cell>
          <cell r="N19">
            <v>1</v>
          </cell>
          <cell r="O19" t="str">
            <v>1S1</v>
          </cell>
          <cell r="P19" t="str">
            <v>WIP</v>
          </cell>
        </row>
        <row r="20">
          <cell r="A20">
            <v>60070409</v>
          </cell>
          <cell r="B20">
            <v>19</v>
          </cell>
          <cell r="C20">
            <v>39018</v>
          </cell>
          <cell r="D20">
            <v>60070409</v>
          </cell>
          <cell r="E20" t="str">
            <v>W26104TCD031</v>
          </cell>
          <cell r="F20" t="str">
            <v>WN6A28D1S466101</v>
          </cell>
          <cell r="G20" t="str">
            <v>AF1</v>
          </cell>
          <cell r="H20" t="str">
            <v>SPCC-SD</v>
          </cell>
          <cell r="I20">
            <v>0.4</v>
          </cell>
          <cell r="J20">
            <v>716</v>
          </cell>
          <cell r="K20" t="str">
            <v>C</v>
          </cell>
          <cell r="L20" t="str">
            <v>WIP</v>
          </cell>
          <cell r="M20">
            <v>429</v>
          </cell>
          <cell r="N20">
            <v>1</v>
          </cell>
          <cell r="O20" t="str">
            <v>1S1</v>
          </cell>
          <cell r="P20" t="str">
            <v>WIP</v>
          </cell>
        </row>
        <row r="21">
          <cell r="A21">
            <v>60070410</v>
          </cell>
          <cell r="B21">
            <v>20</v>
          </cell>
          <cell r="C21">
            <v>39018</v>
          </cell>
          <cell r="D21">
            <v>60070410</v>
          </cell>
          <cell r="E21" t="str">
            <v>W26104TCD031</v>
          </cell>
          <cell r="F21" t="str">
            <v>WN6A28D1S466102</v>
          </cell>
          <cell r="G21" t="str">
            <v>AF1</v>
          </cell>
          <cell r="H21" t="str">
            <v>SPCC-SD</v>
          </cell>
          <cell r="I21">
            <v>0.4</v>
          </cell>
          <cell r="J21">
            <v>716</v>
          </cell>
          <cell r="K21" t="str">
            <v>C</v>
          </cell>
          <cell r="L21" t="str">
            <v>WIP</v>
          </cell>
          <cell r="M21">
            <v>525</v>
          </cell>
          <cell r="N21">
            <v>1</v>
          </cell>
          <cell r="O21" t="str">
            <v>1S1</v>
          </cell>
          <cell r="P21" t="str">
            <v>WIP</v>
          </cell>
        </row>
        <row r="22">
          <cell r="A22">
            <v>60070411</v>
          </cell>
          <cell r="B22">
            <v>21</v>
          </cell>
          <cell r="C22">
            <v>39018</v>
          </cell>
          <cell r="D22">
            <v>60070411</v>
          </cell>
          <cell r="E22" t="str">
            <v>W26104TCD026</v>
          </cell>
          <cell r="F22" t="str">
            <v>WN6A28D1S466101</v>
          </cell>
          <cell r="G22" t="str">
            <v>AF1</v>
          </cell>
          <cell r="H22" t="str">
            <v>SPCC-SD</v>
          </cell>
          <cell r="I22">
            <v>0.4</v>
          </cell>
          <cell r="J22">
            <v>716</v>
          </cell>
          <cell r="K22" t="str">
            <v>C</v>
          </cell>
          <cell r="L22" t="str">
            <v>WIP</v>
          </cell>
          <cell r="M22">
            <v>915</v>
          </cell>
          <cell r="N22">
            <v>1</v>
          </cell>
          <cell r="O22" t="str">
            <v>1S1</v>
          </cell>
          <cell r="P22" t="str">
            <v>WIP</v>
          </cell>
        </row>
        <row r="23">
          <cell r="A23">
            <v>20052700</v>
          </cell>
          <cell r="B23">
            <v>22</v>
          </cell>
          <cell r="C23">
            <v>39018</v>
          </cell>
          <cell r="D23">
            <v>20052700</v>
          </cell>
          <cell r="E23" t="str">
            <v>W26A06TCD013</v>
          </cell>
          <cell r="F23" t="str">
            <v>WN6A28D2L466501</v>
          </cell>
          <cell r="G23" t="str">
            <v>AF1</v>
          </cell>
          <cell r="H23" t="str">
            <v>SPCC-SD</v>
          </cell>
          <cell r="I23">
            <v>2.2999999999999998</v>
          </cell>
          <cell r="J23">
            <v>1219</v>
          </cell>
          <cell r="K23">
            <v>2137</v>
          </cell>
          <cell r="L23" t="str">
            <v>WIP</v>
          </cell>
          <cell r="M23">
            <v>941</v>
          </cell>
          <cell r="N23">
            <v>20</v>
          </cell>
          <cell r="O23" t="str">
            <v>2L1</v>
          </cell>
          <cell r="P23" t="str">
            <v>WIP</v>
          </cell>
        </row>
        <row r="24">
          <cell r="A24">
            <v>50147043</v>
          </cell>
          <cell r="B24">
            <v>23</v>
          </cell>
          <cell r="C24">
            <v>39018</v>
          </cell>
          <cell r="D24">
            <v>50147043</v>
          </cell>
          <cell r="E24" t="str">
            <v>N35117SSD001</v>
          </cell>
          <cell r="F24" t="str">
            <v>NN6A28D2L464201</v>
          </cell>
          <cell r="G24" t="str">
            <v>CA1</v>
          </cell>
          <cell r="H24" t="str">
            <v>SPHC P/O</v>
          </cell>
          <cell r="I24">
            <v>2.9</v>
          </cell>
          <cell r="J24">
            <v>250</v>
          </cell>
          <cell r="K24">
            <v>1219</v>
          </cell>
          <cell r="L24" t="str">
            <v>SIAM PRODUCT</v>
          </cell>
          <cell r="M24">
            <v>694</v>
          </cell>
          <cell r="N24">
            <v>100</v>
          </cell>
          <cell r="O24" t="str">
            <v>2L1</v>
          </cell>
          <cell r="P24" t="str">
            <v>NC01/1</v>
          </cell>
        </row>
        <row r="25">
          <cell r="A25">
            <v>50147044</v>
          </cell>
          <cell r="B25">
            <v>24</v>
          </cell>
          <cell r="C25">
            <v>39018</v>
          </cell>
          <cell r="D25">
            <v>50147044</v>
          </cell>
          <cell r="E25" t="str">
            <v>N35117SSD001</v>
          </cell>
          <cell r="F25" t="str">
            <v>NN6A28D2L464202</v>
          </cell>
          <cell r="G25" t="str">
            <v>CA1</v>
          </cell>
          <cell r="H25" t="str">
            <v>SPHC P/O</v>
          </cell>
          <cell r="I25">
            <v>2.9</v>
          </cell>
          <cell r="J25">
            <v>250</v>
          </cell>
          <cell r="K25">
            <v>1219</v>
          </cell>
          <cell r="L25" t="str">
            <v>SIAM PRODUCT</v>
          </cell>
          <cell r="M25">
            <v>694</v>
          </cell>
          <cell r="N25">
            <v>100</v>
          </cell>
          <cell r="O25" t="str">
            <v>2L1</v>
          </cell>
          <cell r="P25" t="str">
            <v>NC01/1</v>
          </cell>
        </row>
        <row r="26">
          <cell r="A26">
            <v>20052694</v>
          </cell>
          <cell r="B26">
            <v>25</v>
          </cell>
          <cell r="C26">
            <v>39018</v>
          </cell>
          <cell r="D26">
            <v>20052694</v>
          </cell>
          <cell r="E26" t="str">
            <v>N35117SSD001</v>
          </cell>
          <cell r="F26" t="str">
            <v>AA6A28D2L464201</v>
          </cell>
          <cell r="G26" t="str">
            <v>CA1</v>
          </cell>
          <cell r="H26" t="str">
            <v>SPHC P/O</v>
          </cell>
          <cell r="I26">
            <v>2.9</v>
          </cell>
          <cell r="J26">
            <v>1219</v>
          </cell>
          <cell r="K26">
            <v>2438</v>
          </cell>
          <cell r="L26" t="str">
            <v>SIAM PRODUCT</v>
          </cell>
          <cell r="M26">
            <v>677</v>
          </cell>
          <cell r="N26">
            <v>10</v>
          </cell>
          <cell r="O26" t="str">
            <v>2L1</v>
          </cell>
          <cell r="P26" t="str">
            <v>NC01/1</v>
          </cell>
        </row>
        <row r="27">
          <cell r="A27">
            <v>50147029</v>
          </cell>
          <cell r="B27">
            <v>26</v>
          </cell>
          <cell r="C27">
            <v>39018</v>
          </cell>
          <cell r="D27">
            <v>50147029</v>
          </cell>
          <cell r="E27" t="str">
            <v>525307SUD009</v>
          </cell>
          <cell r="F27" t="str">
            <v>5N6A28D1D464901</v>
          </cell>
          <cell r="G27" t="str">
            <v>AF1</v>
          </cell>
          <cell r="H27" t="str">
            <v>SPCC-SD</v>
          </cell>
          <cell r="I27">
            <v>0.8</v>
          </cell>
          <cell r="J27">
            <v>180</v>
          </cell>
          <cell r="K27">
            <v>1219</v>
          </cell>
          <cell r="L27" t="str">
            <v>STORE</v>
          </cell>
          <cell r="M27">
            <v>414</v>
          </cell>
          <cell r="N27">
            <v>300</v>
          </cell>
          <cell r="O27" t="str">
            <v>1D1</v>
          </cell>
          <cell r="P27" t="str">
            <v>OW01/1</v>
          </cell>
        </row>
        <row r="28">
          <cell r="A28">
            <v>50147059</v>
          </cell>
          <cell r="B28">
            <v>27</v>
          </cell>
          <cell r="C28">
            <v>39018</v>
          </cell>
          <cell r="D28">
            <v>50147059</v>
          </cell>
          <cell r="E28" t="str">
            <v>524710SSD002</v>
          </cell>
          <cell r="F28" t="str">
            <v>5N6A28D3D467101</v>
          </cell>
          <cell r="G28" t="str">
            <v>AF3</v>
          </cell>
          <cell r="H28" t="str">
            <v>SPCEN-SD</v>
          </cell>
          <cell r="I28">
            <v>1</v>
          </cell>
          <cell r="J28">
            <v>410</v>
          </cell>
          <cell r="K28">
            <v>420</v>
          </cell>
          <cell r="L28" t="str">
            <v>STORE</v>
          </cell>
          <cell r="M28">
            <v>54</v>
          </cell>
          <cell r="N28">
            <v>40</v>
          </cell>
          <cell r="O28" t="str">
            <v>1D2</v>
          </cell>
          <cell r="P28" t="str">
            <v>OW01/1</v>
          </cell>
        </row>
        <row r="29">
          <cell r="A29">
            <v>50147027</v>
          </cell>
          <cell r="B29">
            <v>28</v>
          </cell>
          <cell r="C29">
            <v>39018</v>
          </cell>
          <cell r="D29">
            <v>50147027</v>
          </cell>
          <cell r="E29" t="str">
            <v>536215JFI024</v>
          </cell>
          <cell r="F29" t="str">
            <v>5N6A27D2D467218</v>
          </cell>
          <cell r="G29" t="str">
            <v>CA1</v>
          </cell>
          <cell r="H29" t="str">
            <v>SPHC P/O</v>
          </cell>
          <cell r="I29">
            <v>4.5</v>
          </cell>
          <cell r="J29">
            <v>126</v>
          </cell>
          <cell r="K29">
            <v>1219</v>
          </cell>
          <cell r="L29" t="str">
            <v>STORE</v>
          </cell>
          <cell r="M29">
            <v>130</v>
          </cell>
          <cell r="N29">
            <v>24</v>
          </cell>
          <cell r="O29" t="str">
            <v>2D1</v>
          </cell>
          <cell r="P29" t="str">
            <v>OW01/1</v>
          </cell>
        </row>
        <row r="30">
          <cell r="A30">
            <v>50147108</v>
          </cell>
          <cell r="B30">
            <v>29</v>
          </cell>
          <cell r="C30">
            <v>39018</v>
          </cell>
          <cell r="D30">
            <v>50147108</v>
          </cell>
          <cell r="E30" t="str">
            <v>536215JFI024</v>
          </cell>
          <cell r="F30" t="str">
            <v>5N6A28DR2467201</v>
          </cell>
          <cell r="G30" t="str">
            <v>CA1</v>
          </cell>
          <cell r="H30" t="str">
            <v>SPHC P/O</v>
          </cell>
          <cell r="I30">
            <v>4.5</v>
          </cell>
          <cell r="J30">
            <v>126</v>
          </cell>
          <cell r="K30">
            <v>1219</v>
          </cell>
          <cell r="L30" t="str">
            <v>STORE</v>
          </cell>
          <cell r="M30">
            <v>380</v>
          </cell>
          <cell r="N30">
            <v>70</v>
          </cell>
          <cell r="O30" t="str">
            <v>5R2</v>
          </cell>
          <cell r="P30" t="str">
            <v>OW01/1</v>
          </cell>
        </row>
        <row r="31">
          <cell r="A31">
            <v>50147075</v>
          </cell>
          <cell r="B31">
            <v>30</v>
          </cell>
          <cell r="C31">
            <v>39018</v>
          </cell>
          <cell r="D31">
            <v>50147075</v>
          </cell>
          <cell r="E31" t="str">
            <v>536215JFI024</v>
          </cell>
          <cell r="F31" t="str">
            <v>5N6A28DR2467201</v>
          </cell>
          <cell r="G31" t="str">
            <v>CA1</v>
          </cell>
          <cell r="H31" t="str">
            <v>SPHC P/O</v>
          </cell>
          <cell r="I31">
            <v>4.5</v>
          </cell>
          <cell r="J31">
            <v>126</v>
          </cell>
          <cell r="K31">
            <v>1219</v>
          </cell>
          <cell r="L31" t="str">
            <v>STORE</v>
          </cell>
          <cell r="M31">
            <v>130</v>
          </cell>
          <cell r="N31">
            <v>24</v>
          </cell>
          <cell r="O31" t="str">
            <v>5R2</v>
          </cell>
          <cell r="P31" t="str">
            <v>OW01/1</v>
          </cell>
        </row>
        <row r="32">
          <cell r="A32">
            <v>20052692</v>
          </cell>
          <cell r="B32">
            <v>31</v>
          </cell>
          <cell r="C32">
            <v>39018</v>
          </cell>
          <cell r="D32">
            <v>20052692</v>
          </cell>
          <cell r="E32" t="str">
            <v>B26628SUD001</v>
          </cell>
          <cell r="F32" t="str">
            <v>BN6A28D1D467601</v>
          </cell>
          <cell r="G32" t="str">
            <v>AF1</v>
          </cell>
          <cell r="H32" t="str">
            <v>SPCC-SD</v>
          </cell>
          <cell r="I32">
            <v>1</v>
          </cell>
          <cell r="J32">
            <v>1219</v>
          </cell>
          <cell r="K32">
            <v>2438</v>
          </cell>
          <cell r="L32" t="str">
            <v>STORE</v>
          </cell>
          <cell r="M32">
            <v>93</v>
          </cell>
          <cell r="N32">
            <v>4</v>
          </cell>
          <cell r="O32" t="str">
            <v>1D1</v>
          </cell>
          <cell r="P32" t="str">
            <v>GRB01/1</v>
          </cell>
        </row>
        <row r="33">
          <cell r="A33">
            <v>50147072</v>
          </cell>
          <cell r="B33">
            <v>32</v>
          </cell>
          <cell r="C33">
            <v>39018</v>
          </cell>
          <cell r="D33">
            <v>50147072</v>
          </cell>
          <cell r="E33" t="str">
            <v>F26628TCD001</v>
          </cell>
          <cell r="F33" t="str">
            <v>FN6A28D1D470901</v>
          </cell>
          <cell r="G33" t="str">
            <v>AF1</v>
          </cell>
          <cell r="H33" t="str">
            <v>SPCC-SD</v>
          </cell>
          <cell r="I33">
            <v>1.6</v>
          </cell>
          <cell r="J33">
            <v>92</v>
          </cell>
          <cell r="K33">
            <v>1219</v>
          </cell>
          <cell r="L33" t="str">
            <v>GPI</v>
          </cell>
          <cell r="M33">
            <v>141</v>
          </cell>
          <cell r="N33">
            <v>100</v>
          </cell>
          <cell r="O33" t="str">
            <v>1D1</v>
          </cell>
          <cell r="P33" t="str">
            <v>LW02/1</v>
          </cell>
        </row>
        <row r="34">
          <cell r="A34">
            <v>50147073</v>
          </cell>
          <cell r="B34">
            <v>33</v>
          </cell>
          <cell r="C34">
            <v>39018</v>
          </cell>
          <cell r="D34">
            <v>50147073</v>
          </cell>
          <cell r="E34" t="str">
            <v>F26628TCD001</v>
          </cell>
          <cell r="F34" t="str">
            <v>FN6A28D1D470901</v>
          </cell>
          <cell r="G34" t="str">
            <v>AF1</v>
          </cell>
          <cell r="H34" t="str">
            <v>SPCC-SD</v>
          </cell>
          <cell r="I34">
            <v>1.6</v>
          </cell>
          <cell r="J34">
            <v>132</v>
          </cell>
          <cell r="K34">
            <v>1219</v>
          </cell>
          <cell r="L34" t="str">
            <v>NEW SOMTHAI</v>
          </cell>
          <cell r="M34">
            <v>203</v>
          </cell>
          <cell r="N34">
            <v>100</v>
          </cell>
          <cell r="O34" t="str">
            <v>1D1</v>
          </cell>
          <cell r="P34" t="str">
            <v>LW02/1</v>
          </cell>
        </row>
        <row r="35">
          <cell r="A35">
            <v>50147074</v>
          </cell>
          <cell r="B35">
            <v>34</v>
          </cell>
          <cell r="C35">
            <v>39018</v>
          </cell>
          <cell r="D35">
            <v>50147074</v>
          </cell>
          <cell r="E35" t="str">
            <v>F26628TCD001</v>
          </cell>
          <cell r="F35" t="str">
            <v>FN6A28D1D470901</v>
          </cell>
          <cell r="G35" t="str">
            <v>AF3</v>
          </cell>
          <cell r="H35" t="str">
            <v>SPCEN-SD</v>
          </cell>
          <cell r="I35">
            <v>1.6</v>
          </cell>
          <cell r="J35">
            <v>130</v>
          </cell>
          <cell r="K35">
            <v>1219</v>
          </cell>
          <cell r="L35" t="str">
            <v>ENDO LIGHTING</v>
          </cell>
          <cell r="M35">
            <v>107</v>
          </cell>
          <cell r="N35">
            <v>54</v>
          </cell>
          <cell r="O35" t="str">
            <v>1D1</v>
          </cell>
          <cell r="P35" t="str">
            <v>LW02/1</v>
          </cell>
        </row>
        <row r="36">
          <cell r="A36">
            <v>50147052</v>
          </cell>
          <cell r="B36">
            <v>35</v>
          </cell>
          <cell r="C36">
            <v>39018</v>
          </cell>
          <cell r="D36">
            <v>50147052</v>
          </cell>
          <cell r="E36" t="str">
            <v>F36726PCI035</v>
          </cell>
          <cell r="F36" t="str">
            <v>FN6A28D1D458301</v>
          </cell>
          <cell r="G36" t="str">
            <v>CA1</v>
          </cell>
          <cell r="H36" t="str">
            <v>SPHC P/O</v>
          </cell>
          <cell r="I36">
            <v>3.2</v>
          </cell>
          <cell r="J36">
            <v>130</v>
          </cell>
          <cell r="K36">
            <v>1219</v>
          </cell>
          <cell r="L36" t="str">
            <v>GPI</v>
          </cell>
          <cell r="M36">
            <v>398</v>
          </cell>
          <cell r="N36">
            <v>100</v>
          </cell>
          <cell r="O36" t="str">
            <v>1D1</v>
          </cell>
          <cell r="P36" t="str">
            <v>LW02/1</v>
          </cell>
        </row>
        <row r="37">
          <cell r="A37">
            <v>50147053</v>
          </cell>
          <cell r="B37">
            <v>36</v>
          </cell>
          <cell r="C37">
            <v>39018</v>
          </cell>
          <cell r="D37">
            <v>50147053</v>
          </cell>
          <cell r="E37" t="str">
            <v>F36726PCI035</v>
          </cell>
          <cell r="F37" t="str">
            <v>FN6A28D1D458301</v>
          </cell>
          <cell r="G37" t="str">
            <v>CA1</v>
          </cell>
          <cell r="H37" t="str">
            <v>SPHC P/O</v>
          </cell>
          <cell r="I37">
            <v>3.2</v>
          </cell>
          <cell r="J37">
            <v>160</v>
          </cell>
          <cell r="K37">
            <v>1219</v>
          </cell>
          <cell r="L37" t="str">
            <v>GPI</v>
          </cell>
          <cell r="M37">
            <v>490</v>
          </cell>
          <cell r="N37">
            <v>100</v>
          </cell>
          <cell r="O37" t="str">
            <v>1D1</v>
          </cell>
          <cell r="P37" t="str">
            <v>LW02/1</v>
          </cell>
        </row>
        <row r="38">
          <cell r="A38">
            <v>50147054</v>
          </cell>
          <cell r="B38">
            <v>37</v>
          </cell>
          <cell r="C38">
            <v>39018</v>
          </cell>
          <cell r="D38">
            <v>50147054</v>
          </cell>
          <cell r="E38" t="str">
            <v>F36726PCI035</v>
          </cell>
          <cell r="F38" t="str">
            <v>FN6A28D1D458301</v>
          </cell>
          <cell r="G38" t="str">
            <v>CA1</v>
          </cell>
          <cell r="H38" t="str">
            <v>SPHC P/O</v>
          </cell>
          <cell r="I38">
            <v>3.2</v>
          </cell>
          <cell r="J38">
            <v>83</v>
          </cell>
          <cell r="K38">
            <v>1219</v>
          </cell>
          <cell r="L38" t="str">
            <v>GPI</v>
          </cell>
          <cell r="M38">
            <v>508</v>
          </cell>
          <cell r="N38">
            <v>200</v>
          </cell>
          <cell r="O38" t="str">
            <v>1D1</v>
          </cell>
          <cell r="P38" t="str">
            <v>LW02/1</v>
          </cell>
        </row>
        <row r="39">
          <cell r="A39">
            <v>50147055</v>
          </cell>
          <cell r="B39">
            <v>38</v>
          </cell>
          <cell r="C39">
            <v>39018</v>
          </cell>
          <cell r="D39">
            <v>50147055</v>
          </cell>
          <cell r="E39" t="str">
            <v>F36726PCI035</v>
          </cell>
          <cell r="F39" t="str">
            <v>FN6A28D1D458301</v>
          </cell>
          <cell r="G39" t="str">
            <v>CA1</v>
          </cell>
          <cell r="H39" t="str">
            <v>SPHC P/O</v>
          </cell>
          <cell r="I39">
            <v>3.2</v>
          </cell>
          <cell r="J39">
            <v>71</v>
          </cell>
          <cell r="K39">
            <v>1219</v>
          </cell>
          <cell r="L39" t="str">
            <v>GPI</v>
          </cell>
          <cell r="M39">
            <v>217</v>
          </cell>
          <cell r="N39">
            <v>100</v>
          </cell>
          <cell r="O39" t="str">
            <v>1D1</v>
          </cell>
          <cell r="P39" t="str">
            <v>LW02/1</v>
          </cell>
        </row>
        <row r="40">
          <cell r="A40">
            <v>50147028</v>
          </cell>
          <cell r="B40">
            <v>39</v>
          </cell>
          <cell r="C40">
            <v>39018</v>
          </cell>
          <cell r="D40">
            <v>50147028</v>
          </cell>
          <cell r="E40" t="str">
            <v>F25307SUD009</v>
          </cell>
          <cell r="F40" t="str">
            <v>FN6A28D1D464901</v>
          </cell>
          <cell r="G40" t="str">
            <v>AF1</v>
          </cell>
          <cell r="H40" t="str">
            <v>SPCC-SD</v>
          </cell>
          <cell r="I40">
            <v>0.8</v>
          </cell>
          <cell r="J40">
            <v>170</v>
          </cell>
          <cell r="K40">
            <v>180</v>
          </cell>
          <cell r="L40" t="str">
            <v>KING SING</v>
          </cell>
          <cell r="M40">
            <v>59</v>
          </cell>
          <cell r="N40">
            <v>310</v>
          </cell>
          <cell r="O40" t="str">
            <v>1D1</v>
          </cell>
          <cell r="P40" t="str">
            <v>DA01/1</v>
          </cell>
        </row>
        <row r="41">
          <cell r="A41">
            <v>50147039</v>
          </cell>
          <cell r="B41">
            <v>40</v>
          </cell>
          <cell r="C41">
            <v>39018</v>
          </cell>
          <cell r="D41">
            <v>50147039</v>
          </cell>
          <cell r="E41" t="str">
            <v>F36814PCI003</v>
          </cell>
          <cell r="F41" t="str">
            <v>FN6A28D1D468001</v>
          </cell>
          <cell r="G41" t="str">
            <v>DS1</v>
          </cell>
          <cell r="H41" t="str">
            <v>SPHC-DS</v>
          </cell>
          <cell r="I41">
            <v>1.6</v>
          </cell>
          <cell r="J41">
            <v>110</v>
          </cell>
          <cell r="K41">
            <v>1219</v>
          </cell>
          <cell r="L41" t="str">
            <v>TSA</v>
          </cell>
          <cell r="M41">
            <v>336</v>
          </cell>
          <cell r="N41">
            <v>200</v>
          </cell>
          <cell r="O41" t="str">
            <v>1D1</v>
          </cell>
          <cell r="P41" t="str">
            <v>DA01/1</v>
          </cell>
        </row>
        <row r="42">
          <cell r="A42">
            <v>50147040</v>
          </cell>
          <cell r="B42">
            <v>41</v>
          </cell>
          <cell r="C42">
            <v>39018</v>
          </cell>
          <cell r="D42">
            <v>50147040</v>
          </cell>
          <cell r="E42" t="str">
            <v>F36814PCI003</v>
          </cell>
          <cell r="F42" t="str">
            <v>FN6A28D1D468001</v>
          </cell>
          <cell r="G42" t="str">
            <v>DS1</v>
          </cell>
          <cell r="H42" t="str">
            <v>SPHC-DS</v>
          </cell>
          <cell r="I42">
            <v>1.6</v>
          </cell>
          <cell r="J42">
            <v>110</v>
          </cell>
          <cell r="K42">
            <v>1219</v>
          </cell>
          <cell r="L42" t="str">
            <v>TSA</v>
          </cell>
          <cell r="M42">
            <v>34</v>
          </cell>
          <cell r="N42">
            <v>20</v>
          </cell>
          <cell r="O42" t="str">
            <v>1D1</v>
          </cell>
          <cell r="P42" t="str">
            <v>LW02/1</v>
          </cell>
        </row>
        <row r="43">
          <cell r="A43">
            <v>50147041</v>
          </cell>
          <cell r="B43">
            <v>42</v>
          </cell>
          <cell r="C43">
            <v>39018</v>
          </cell>
          <cell r="D43">
            <v>50147041</v>
          </cell>
          <cell r="E43" t="str">
            <v>F36420PCI029</v>
          </cell>
          <cell r="F43" t="str">
            <v>FN6A28D1D470101</v>
          </cell>
          <cell r="G43" t="str">
            <v>CA1</v>
          </cell>
          <cell r="H43" t="str">
            <v>SPHC P/O</v>
          </cell>
          <cell r="I43">
            <v>2.2999999999999998</v>
          </cell>
          <cell r="J43">
            <v>123</v>
          </cell>
          <cell r="K43">
            <v>1219</v>
          </cell>
          <cell r="L43" t="str">
            <v>GPI</v>
          </cell>
          <cell r="M43">
            <v>271</v>
          </cell>
          <cell r="N43">
            <v>100</v>
          </cell>
          <cell r="O43" t="str">
            <v>1D1</v>
          </cell>
          <cell r="P43" t="str">
            <v>LW02/1</v>
          </cell>
        </row>
        <row r="44">
          <cell r="A44">
            <v>50147037</v>
          </cell>
          <cell r="B44">
            <v>43</v>
          </cell>
          <cell r="C44">
            <v>39018</v>
          </cell>
          <cell r="D44">
            <v>50147037</v>
          </cell>
          <cell r="E44" t="str">
            <v>F26828SUD012</v>
          </cell>
          <cell r="F44" t="str">
            <v>FN6A28D3D456001</v>
          </cell>
          <cell r="G44" t="str">
            <v>AF1</v>
          </cell>
          <cell r="H44" t="str">
            <v>SPCC-SD</v>
          </cell>
          <cell r="I44">
            <v>1.2</v>
          </cell>
          <cell r="J44">
            <v>150</v>
          </cell>
          <cell r="K44">
            <v>265</v>
          </cell>
          <cell r="L44" t="str">
            <v>GPI</v>
          </cell>
          <cell r="M44">
            <v>370</v>
          </cell>
          <cell r="N44">
            <v>1000</v>
          </cell>
          <cell r="O44" t="str">
            <v>1D2</v>
          </cell>
          <cell r="P44" t="str">
            <v>LW02/1</v>
          </cell>
        </row>
        <row r="45">
          <cell r="A45">
            <v>50147038</v>
          </cell>
          <cell r="B45">
            <v>44</v>
          </cell>
          <cell r="C45">
            <v>39018</v>
          </cell>
          <cell r="D45">
            <v>50147038</v>
          </cell>
          <cell r="E45" t="str">
            <v>F26828SUD012</v>
          </cell>
          <cell r="F45" t="str">
            <v>FN6A28D3D456002</v>
          </cell>
          <cell r="G45" t="str">
            <v>AF1</v>
          </cell>
          <cell r="H45" t="str">
            <v>SPCC-SD</v>
          </cell>
          <cell r="I45">
            <v>1.2</v>
          </cell>
          <cell r="J45">
            <v>150</v>
          </cell>
          <cell r="K45">
            <v>265</v>
          </cell>
          <cell r="L45" t="str">
            <v>GPI</v>
          </cell>
          <cell r="M45">
            <v>185</v>
          </cell>
          <cell r="N45">
            <v>500</v>
          </cell>
          <cell r="O45" t="str">
            <v>1D2</v>
          </cell>
          <cell r="P45" t="str">
            <v>LW02/1</v>
          </cell>
        </row>
        <row r="46">
          <cell r="A46">
            <v>50147058</v>
          </cell>
          <cell r="B46">
            <v>45</v>
          </cell>
          <cell r="C46">
            <v>39018</v>
          </cell>
          <cell r="D46">
            <v>50147058</v>
          </cell>
          <cell r="E46" t="str">
            <v>F24710SSD002</v>
          </cell>
          <cell r="F46" t="str">
            <v>FN6A28D3D467101</v>
          </cell>
          <cell r="G46" t="str">
            <v>AF3</v>
          </cell>
          <cell r="H46" t="str">
            <v>SPCEN-SD</v>
          </cell>
          <cell r="I46">
            <v>1</v>
          </cell>
          <cell r="J46">
            <v>390</v>
          </cell>
          <cell r="K46">
            <v>390</v>
          </cell>
          <cell r="L46" t="str">
            <v>THAI SUZUKI</v>
          </cell>
          <cell r="M46">
            <v>12</v>
          </cell>
          <cell r="N46">
            <v>10</v>
          </cell>
          <cell r="O46" t="str">
            <v>1D2</v>
          </cell>
          <cell r="P46" t="str">
            <v>DA01/1</v>
          </cell>
        </row>
        <row r="47">
          <cell r="A47">
            <v>50147057</v>
          </cell>
          <cell r="B47">
            <v>46</v>
          </cell>
          <cell r="C47">
            <v>39018</v>
          </cell>
          <cell r="D47">
            <v>50147057</v>
          </cell>
          <cell r="E47" t="str">
            <v>F26216SUD026</v>
          </cell>
          <cell r="F47" t="str">
            <v>FN6A28D3D467001</v>
          </cell>
          <cell r="G47" t="str">
            <v>AF3</v>
          </cell>
          <cell r="H47" t="str">
            <v>SPCEN-SD</v>
          </cell>
          <cell r="I47">
            <v>1</v>
          </cell>
          <cell r="J47">
            <v>380</v>
          </cell>
          <cell r="K47">
            <v>380</v>
          </cell>
          <cell r="L47" t="str">
            <v>THAI SUZUKI</v>
          </cell>
          <cell r="M47">
            <v>11</v>
          </cell>
          <cell r="N47">
            <v>10</v>
          </cell>
          <cell r="O47" t="str">
            <v>1D2</v>
          </cell>
          <cell r="P47" t="str">
            <v>DA01/1</v>
          </cell>
        </row>
        <row r="48">
          <cell r="A48">
            <v>50147107</v>
          </cell>
          <cell r="B48">
            <v>47</v>
          </cell>
          <cell r="C48">
            <v>39018</v>
          </cell>
          <cell r="D48">
            <v>50147107</v>
          </cell>
          <cell r="E48" t="str">
            <v>F36816NSI037</v>
          </cell>
          <cell r="F48" t="str">
            <v>FN6A28D3D461401</v>
          </cell>
          <cell r="G48" t="str">
            <v>CA1</v>
          </cell>
          <cell r="H48" t="str">
            <v>SPHC P/O</v>
          </cell>
          <cell r="I48">
            <v>2.6</v>
          </cell>
          <cell r="J48">
            <v>135</v>
          </cell>
          <cell r="K48">
            <v>1219</v>
          </cell>
          <cell r="L48" t="str">
            <v>GPI</v>
          </cell>
          <cell r="M48">
            <v>336</v>
          </cell>
          <cell r="N48">
            <v>100</v>
          </cell>
          <cell r="O48" t="str">
            <v>1D2</v>
          </cell>
          <cell r="P48" t="str">
            <v>LW02/1</v>
          </cell>
        </row>
        <row r="49">
          <cell r="A49">
            <v>50147098</v>
          </cell>
          <cell r="B49">
            <v>48</v>
          </cell>
          <cell r="C49">
            <v>39018</v>
          </cell>
          <cell r="D49">
            <v>50147098</v>
          </cell>
          <cell r="E49" t="str">
            <v>F36A26PCI056</v>
          </cell>
          <cell r="F49" t="str">
            <v>FN6A28D1L469401</v>
          </cell>
          <cell r="G49" t="str">
            <v>CA5</v>
          </cell>
          <cell r="H49" t="str">
            <v>SAPH440 P/O</v>
          </cell>
          <cell r="I49">
            <v>2</v>
          </cell>
          <cell r="J49">
            <v>225</v>
          </cell>
          <cell r="K49">
            <v>1219</v>
          </cell>
          <cell r="L49" t="str">
            <v>GPI</v>
          </cell>
          <cell r="M49">
            <v>431</v>
          </cell>
          <cell r="N49">
            <v>100</v>
          </cell>
          <cell r="O49" t="str">
            <v>1L1</v>
          </cell>
          <cell r="P49" t="str">
            <v>LW02/1</v>
          </cell>
        </row>
        <row r="50">
          <cell r="A50">
            <v>50147099</v>
          </cell>
          <cell r="B50">
            <v>49</v>
          </cell>
          <cell r="C50">
            <v>39018</v>
          </cell>
          <cell r="D50">
            <v>50147099</v>
          </cell>
          <cell r="E50" t="str">
            <v>F36A26PCI056</v>
          </cell>
          <cell r="F50" t="str">
            <v>FN6A28D1L469401</v>
          </cell>
          <cell r="G50" t="str">
            <v>CA5</v>
          </cell>
          <cell r="H50" t="str">
            <v>SPH440-OD</v>
          </cell>
          <cell r="I50">
            <v>2</v>
          </cell>
          <cell r="J50">
            <v>375</v>
          </cell>
          <cell r="K50">
            <v>1219</v>
          </cell>
          <cell r="L50" t="str">
            <v>TSA</v>
          </cell>
          <cell r="M50">
            <v>718</v>
          </cell>
          <cell r="N50">
            <v>100</v>
          </cell>
          <cell r="O50" t="str">
            <v>1L1</v>
          </cell>
          <cell r="P50" t="str">
            <v>LW02/1</v>
          </cell>
        </row>
        <row r="51">
          <cell r="A51">
            <v>50147100</v>
          </cell>
          <cell r="B51">
            <v>50</v>
          </cell>
          <cell r="C51">
            <v>39018</v>
          </cell>
          <cell r="D51">
            <v>50147100</v>
          </cell>
          <cell r="E51" t="str">
            <v>F36A26PCI056</v>
          </cell>
          <cell r="F51" t="str">
            <v>FN6A28D1L469402</v>
          </cell>
          <cell r="G51" t="str">
            <v>CA5</v>
          </cell>
          <cell r="H51" t="str">
            <v>SPH440-OD</v>
          </cell>
          <cell r="I51">
            <v>2</v>
          </cell>
          <cell r="J51">
            <v>375</v>
          </cell>
          <cell r="K51">
            <v>1219</v>
          </cell>
          <cell r="L51" t="str">
            <v>TSA</v>
          </cell>
          <cell r="M51">
            <v>718</v>
          </cell>
          <cell r="N51">
            <v>100</v>
          </cell>
          <cell r="O51" t="str">
            <v>1L1</v>
          </cell>
          <cell r="P51" t="str">
            <v>LW02/1</v>
          </cell>
        </row>
        <row r="52">
          <cell r="A52">
            <v>50147101</v>
          </cell>
          <cell r="B52">
            <v>51</v>
          </cell>
          <cell r="C52">
            <v>39018</v>
          </cell>
          <cell r="D52">
            <v>50147101</v>
          </cell>
          <cell r="E52" t="str">
            <v>F36A26PCI056</v>
          </cell>
          <cell r="F52" t="str">
            <v>FN6A28D1L469403</v>
          </cell>
          <cell r="G52" t="str">
            <v>CA5</v>
          </cell>
          <cell r="H52" t="str">
            <v>SPH440-OD</v>
          </cell>
          <cell r="I52">
            <v>2</v>
          </cell>
          <cell r="J52">
            <v>375</v>
          </cell>
          <cell r="K52">
            <v>1219</v>
          </cell>
          <cell r="L52" t="str">
            <v>TSA</v>
          </cell>
          <cell r="M52">
            <v>718</v>
          </cell>
          <cell r="N52">
            <v>100</v>
          </cell>
          <cell r="O52" t="str">
            <v>1L1</v>
          </cell>
          <cell r="P52" t="str">
            <v>LW02/1</v>
          </cell>
        </row>
        <row r="53">
          <cell r="A53">
            <v>50147102</v>
          </cell>
          <cell r="B53">
            <v>52</v>
          </cell>
          <cell r="C53">
            <v>39018</v>
          </cell>
          <cell r="D53">
            <v>50147102</v>
          </cell>
          <cell r="E53" t="str">
            <v>F36A26PCI056</v>
          </cell>
          <cell r="F53" t="str">
            <v>FN6A28D1L469404</v>
          </cell>
          <cell r="G53" t="str">
            <v>CA5</v>
          </cell>
          <cell r="H53" t="str">
            <v>SPH440-OD</v>
          </cell>
          <cell r="I53">
            <v>2</v>
          </cell>
          <cell r="J53">
            <v>375</v>
          </cell>
          <cell r="K53">
            <v>1219</v>
          </cell>
          <cell r="L53" t="str">
            <v>TSA</v>
          </cell>
          <cell r="M53">
            <v>718</v>
          </cell>
          <cell r="N53">
            <v>100</v>
          </cell>
          <cell r="O53" t="str">
            <v>1L1</v>
          </cell>
          <cell r="P53" t="str">
            <v>LW02/1</v>
          </cell>
        </row>
        <row r="54">
          <cell r="A54">
            <v>50147103</v>
          </cell>
          <cell r="B54">
            <v>53</v>
          </cell>
          <cell r="C54">
            <v>39018</v>
          </cell>
          <cell r="D54">
            <v>50147103</v>
          </cell>
          <cell r="E54" t="str">
            <v>F36A26PCI056</v>
          </cell>
          <cell r="F54" t="str">
            <v>FN6A28D1L469405</v>
          </cell>
          <cell r="G54" t="str">
            <v>CA5</v>
          </cell>
          <cell r="H54" t="str">
            <v>SPH440-OD</v>
          </cell>
          <cell r="I54">
            <v>2</v>
          </cell>
          <cell r="J54">
            <v>375</v>
          </cell>
          <cell r="K54">
            <v>1219</v>
          </cell>
          <cell r="L54" t="str">
            <v>TSA</v>
          </cell>
          <cell r="M54">
            <v>718</v>
          </cell>
          <cell r="N54">
            <v>100</v>
          </cell>
          <cell r="O54" t="str">
            <v>1L1</v>
          </cell>
          <cell r="P54" t="str">
            <v>LW02/1</v>
          </cell>
        </row>
        <row r="55">
          <cell r="A55">
            <v>50147104</v>
          </cell>
          <cell r="B55">
            <v>54</v>
          </cell>
          <cell r="C55">
            <v>39018</v>
          </cell>
          <cell r="D55">
            <v>50147104</v>
          </cell>
          <cell r="E55" t="str">
            <v>F36A26PCI056</v>
          </cell>
          <cell r="F55" t="str">
            <v>FN6A28D1L469406</v>
          </cell>
          <cell r="G55" t="str">
            <v>CA5</v>
          </cell>
          <cell r="H55" t="str">
            <v>SPH440-OD</v>
          </cell>
          <cell r="I55">
            <v>2</v>
          </cell>
          <cell r="J55">
            <v>375</v>
          </cell>
          <cell r="K55">
            <v>1219</v>
          </cell>
          <cell r="L55" t="str">
            <v>TSA</v>
          </cell>
          <cell r="M55">
            <v>718</v>
          </cell>
          <cell r="N55">
            <v>100</v>
          </cell>
          <cell r="O55" t="str">
            <v>1L1</v>
          </cell>
          <cell r="P55" t="str">
            <v>LW02/1</v>
          </cell>
        </row>
        <row r="56">
          <cell r="A56">
            <v>50147105</v>
          </cell>
          <cell r="B56">
            <v>55</v>
          </cell>
          <cell r="C56">
            <v>39018</v>
          </cell>
          <cell r="D56">
            <v>50147105</v>
          </cell>
          <cell r="E56" t="str">
            <v>F36A26PCI056</v>
          </cell>
          <cell r="F56" t="str">
            <v>FN6A28D1L469407</v>
          </cell>
          <cell r="G56" t="str">
            <v>CA5</v>
          </cell>
          <cell r="H56" t="str">
            <v>SPH440-OD</v>
          </cell>
          <cell r="I56">
            <v>2</v>
          </cell>
          <cell r="J56">
            <v>375</v>
          </cell>
          <cell r="K56">
            <v>1219</v>
          </cell>
          <cell r="L56" t="str">
            <v>TSA</v>
          </cell>
          <cell r="M56">
            <v>718</v>
          </cell>
          <cell r="N56">
            <v>100</v>
          </cell>
          <cell r="O56" t="str">
            <v>1L1</v>
          </cell>
          <cell r="P56" t="str">
            <v>LW02/1</v>
          </cell>
        </row>
        <row r="57">
          <cell r="A57">
            <v>50147106</v>
          </cell>
          <cell r="B57">
            <v>56</v>
          </cell>
          <cell r="C57">
            <v>39018</v>
          </cell>
          <cell r="D57">
            <v>50147106</v>
          </cell>
          <cell r="E57" t="str">
            <v>F36A26PCI056</v>
          </cell>
          <cell r="F57" t="str">
            <v>FN6A28D1L469408</v>
          </cell>
          <cell r="G57" t="str">
            <v>CA5</v>
          </cell>
          <cell r="H57" t="str">
            <v>SPH440-OD</v>
          </cell>
          <cell r="I57">
            <v>2</v>
          </cell>
          <cell r="J57">
            <v>375</v>
          </cell>
          <cell r="K57">
            <v>1219</v>
          </cell>
          <cell r="L57" t="str">
            <v>TSA</v>
          </cell>
          <cell r="M57">
            <v>718</v>
          </cell>
          <cell r="N57">
            <v>100</v>
          </cell>
          <cell r="O57" t="str">
            <v>1L1</v>
          </cell>
          <cell r="P57" t="str">
            <v>LW02/1</v>
          </cell>
        </row>
        <row r="58">
          <cell r="A58">
            <v>50147114</v>
          </cell>
          <cell r="B58">
            <v>57</v>
          </cell>
          <cell r="C58">
            <v>39018</v>
          </cell>
          <cell r="D58">
            <v>50147114</v>
          </cell>
          <cell r="E58" t="str">
            <v>F36A26PCI056</v>
          </cell>
          <cell r="F58" t="str">
            <v>FN6A28D1L469409</v>
          </cell>
          <cell r="G58" t="str">
            <v>CA5</v>
          </cell>
          <cell r="H58" t="str">
            <v>SPH440-OD</v>
          </cell>
          <cell r="I58">
            <v>2</v>
          </cell>
          <cell r="J58">
            <v>375</v>
          </cell>
          <cell r="K58">
            <v>1219</v>
          </cell>
          <cell r="L58" t="str">
            <v>TSA</v>
          </cell>
          <cell r="M58">
            <v>718</v>
          </cell>
          <cell r="N58">
            <v>100</v>
          </cell>
          <cell r="O58" t="str">
            <v>1L1</v>
          </cell>
          <cell r="P58" t="str">
            <v>LW02/1</v>
          </cell>
        </row>
        <row r="59">
          <cell r="A59">
            <v>50147115</v>
          </cell>
          <cell r="B59">
            <v>58</v>
          </cell>
          <cell r="C59">
            <v>39018</v>
          </cell>
          <cell r="D59">
            <v>50147115</v>
          </cell>
          <cell r="E59" t="str">
            <v>F36A26PCI056</v>
          </cell>
          <cell r="F59" t="str">
            <v>FN6A28D1L469410</v>
          </cell>
          <cell r="G59" t="str">
            <v>CA5</v>
          </cell>
          <cell r="H59" t="str">
            <v>SPH440-OD</v>
          </cell>
          <cell r="I59">
            <v>2</v>
          </cell>
          <cell r="J59">
            <v>375</v>
          </cell>
          <cell r="K59">
            <v>1219</v>
          </cell>
          <cell r="L59" t="str">
            <v>TSA</v>
          </cell>
          <cell r="M59">
            <v>718</v>
          </cell>
          <cell r="N59">
            <v>100</v>
          </cell>
          <cell r="O59" t="str">
            <v>1L1</v>
          </cell>
          <cell r="P59" t="str">
            <v>LW02/1</v>
          </cell>
        </row>
        <row r="60">
          <cell r="A60">
            <v>50147116</v>
          </cell>
          <cell r="B60">
            <v>59</v>
          </cell>
          <cell r="C60">
            <v>39018</v>
          </cell>
          <cell r="D60">
            <v>50147116</v>
          </cell>
          <cell r="E60" t="str">
            <v>F36A26PCI056</v>
          </cell>
          <cell r="F60" t="str">
            <v>FN6A28D1L469411</v>
          </cell>
          <cell r="G60" t="str">
            <v>CA5</v>
          </cell>
          <cell r="H60" t="str">
            <v>SPH440-OD</v>
          </cell>
          <cell r="I60">
            <v>2</v>
          </cell>
          <cell r="J60">
            <v>375</v>
          </cell>
          <cell r="K60">
            <v>1219</v>
          </cell>
          <cell r="L60" t="str">
            <v>TSA</v>
          </cell>
          <cell r="M60">
            <v>718</v>
          </cell>
          <cell r="N60">
            <v>100</v>
          </cell>
          <cell r="O60" t="str">
            <v>1L1</v>
          </cell>
          <cell r="P60" t="str">
            <v>LW02/1</v>
          </cell>
        </row>
        <row r="61">
          <cell r="A61">
            <v>50147117</v>
          </cell>
          <cell r="B61">
            <v>60</v>
          </cell>
          <cell r="C61">
            <v>39018</v>
          </cell>
          <cell r="D61">
            <v>50147117</v>
          </cell>
          <cell r="E61" t="str">
            <v>F36A26PCI056</v>
          </cell>
          <cell r="F61" t="str">
            <v>FN6A28D1L469412</v>
          </cell>
          <cell r="G61" t="str">
            <v>CA5</v>
          </cell>
          <cell r="H61" t="str">
            <v>SPH440-OD</v>
          </cell>
          <cell r="I61">
            <v>2</v>
          </cell>
          <cell r="J61">
            <v>375</v>
          </cell>
          <cell r="K61">
            <v>1219</v>
          </cell>
          <cell r="L61" t="str">
            <v>TSA</v>
          </cell>
          <cell r="M61">
            <v>718</v>
          </cell>
          <cell r="N61">
            <v>100</v>
          </cell>
          <cell r="O61" t="str">
            <v>1L1</v>
          </cell>
          <cell r="P61" t="str">
            <v>LW02/1</v>
          </cell>
        </row>
        <row r="62">
          <cell r="A62">
            <v>50147118</v>
          </cell>
          <cell r="B62">
            <v>61</v>
          </cell>
          <cell r="C62">
            <v>39018</v>
          </cell>
          <cell r="D62">
            <v>50147118</v>
          </cell>
          <cell r="E62" t="str">
            <v>F36A26PCI056</v>
          </cell>
          <cell r="F62" t="str">
            <v>FN6A28D1L469413</v>
          </cell>
          <cell r="G62" t="str">
            <v>CA5</v>
          </cell>
          <cell r="H62" t="str">
            <v>SPH440-OD</v>
          </cell>
          <cell r="I62">
            <v>2</v>
          </cell>
          <cell r="J62">
            <v>375</v>
          </cell>
          <cell r="K62">
            <v>1219</v>
          </cell>
          <cell r="L62" t="str">
            <v>TSA</v>
          </cell>
          <cell r="M62">
            <v>718</v>
          </cell>
          <cell r="N62">
            <v>100</v>
          </cell>
          <cell r="O62" t="str">
            <v>1L1</v>
          </cell>
          <cell r="P62" t="str">
            <v>LW02/1</v>
          </cell>
        </row>
        <row r="63">
          <cell r="A63">
            <v>50147060</v>
          </cell>
          <cell r="B63">
            <v>62</v>
          </cell>
          <cell r="C63">
            <v>39018</v>
          </cell>
          <cell r="D63">
            <v>50147060</v>
          </cell>
          <cell r="E63" t="str">
            <v>F26A13TCD012</v>
          </cell>
          <cell r="F63" t="str">
            <v>FN6A28D1L460701</v>
          </cell>
          <cell r="G63" t="str">
            <v>AF1</v>
          </cell>
          <cell r="H63" t="str">
            <v>SPCC-SD</v>
          </cell>
          <cell r="I63">
            <v>2.2999999999999998</v>
          </cell>
          <cell r="J63">
            <v>112</v>
          </cell>
          <cell r="K63">
            <v>1219</v>
          </cell>
          <cell r="L63" t="str">
            <v>CHEOW CHAN</v>
          </cell>
          <cell r="M63">
            <v>988</v>
          </cell>
          <cell r="N63">
            <v>400</v>
          </cell>
          <cell r="O63" t="str">
            <v>1L1</v>
          </cell>
          <cell r="P63" t="str">
            <v>LW02/1</v>
          </cell>
        </row>
        <row r="64">
          <cell r="A64">
            <v>50147061</v>
          </cell>
          <cell r="B64">
            <v>63</v>
          </cell>
          <cell r="C64">
            <v>39018</v>
          </cell>
          <cell r="D64">
            <v>50147061</v>
          </cell>
          <cell r="E64" t="str">
            <v>F26A13TCD012</v>
          </cell>
          <cell r="F64" t="str">
            <v>FN6A28D1L460701</v>
          </cell>
          <cell r="G64" t="str">
            <v>AF1</v>
          </cell>
          <cell r="H64" t="str">
            <v>SPCC-SD</v>
          </cell>
          <cell r="I64">
            <v>2.2999999999999998</v>
          </cell>
          <cell r="J64">
            <v>1219</v>
          </cell>
          <cell r="K64">
            <v>1900</v>
          </cell>
          <cell r="L64" t="str">
            <v>CHERVAL</v>
          </cell>
          <cell r="M64">
            <v>1171</v>
          </cell>
          <cell r="N64">
            <v>28</v>
          </cell>
          <cell r="O64" t="str">
            <v>1L1</v>
          </cell>
          <cell r="P64" t="str">
            <v>DA01/1</v>
          </cell>
        </row>
        <row r="65">
          <cell r="A65">
            <v>50147062</v>
          </cell>
          <cell r="B65">
            <v>64</v>
          </cell>
          <cell r="C65">
            <v>39018</v>
          </cell>
          <cell r="D65">
            <v>50147062</v>
          </cell>
          <cell r="E65" t="str">
            <v>F26A13TCD012</v>
          </cell>
          <cell r="F65" t="str">
            <v>FN6A28D1L460702</v>
          </cell>
          <cell r="G65" t="str">
            <v>AF1</v>
          </cell>
          <cell r="H65" t="str">
            <v>SPCC-SD</v>
          </cell>
          <cell r="I65">
            <v>2.2999999999999998</v>
          </cell>
          <cell r="J65">
            <v>1219</v>
          </cell>
          <cell r="K65">
            <v>1900</v>
          </cell>
          <cell r="L65" t="str">
            <v>CHERVAL</v>
          </cell>
          <cell r="M65">
            <v>1129</v>
          </cell>
          <cell r="N65">
            <v>27</v>
          </cell>
          <cell r="O65" t="str">
            <v>1L1</v>
          </cell>
          <cell r="P65" t="str">
            <v>DA01/1</v>
          </cell>
        </row>
        <row r="66">
          <cell r="A66">
            <v>50147063</v>
          </cell>
          <cell r="B66">
            <v>65</v>
          </cell>
          <cell r="C66">
            <v>39018</v>
          </cell>
          <cell r="D66">
            <v>50147063</v>
          </cell>
          <cell r="E66" t="str">
            <v>F26A13TCD012</v>
          </cell>
          <cell r="F66" t="str">
            <v>FN6A28D1L460701</v>
          </cell>
          <cell r="G66" t="str">
            <v>AF1</v>
          </cell>
          <cell r="H66" t="str">
            <v>SPCC-SD</v>
          </cell>
          <cell r="I66">
            <v>2.2999999999999998</v>
          </cell>
          <cell r="J66">
            <v>900</v>
          </cell>
          <cell r="K66">
            <v>1219</v>
          </cell>
          <cell r="L66" t="str">
            <v>CHERVAL</v>
          </cell>
          <cell r="M66">
            <v>991</v>
          </cell>
          <cell r="N66">
            <v>50</v>
          </cell>
          <cell r="O66" t="str">
            <v>1L1</v>
          </cell>
          <cell r="P66" t="str">
            <v>LW02/1</v>
          </cell>
        </row>
        <row r="67">
          <cell r="A67">
            <v>50147064</v>
          </cell>
          <cell r="B67">
            <v>66</v>
          </cell>
          <cell r="C67">
            <v>39018</v>
          </cell>
          <cell r="D67">
            <v>50147064</v>
          </cell>
          <cell r="E67" t="str">
            <v>F26A13TCD012</v>
          </cell>
          <cell r="F67" t="str">
            <v>FN6A28D1L460701</v>
          </cell>
          <cell r="G67" t="str">
            <v>AF1</v>
          </cell>
          <cell r="H67" t="str">
            <v>SPCC-SD</v>
          </cell>
          <cell r="I67">
            <v>2.2999999999999998</v>
          </cell>
          <cell r="J67">
            <v>265</v>
          </cell>
          <cell r="K67">
            <v>1219</v>
          </cell>
          <cell r="L67" t="str">
            <v>GPI</v>
          </cell>
          <cell r="M67">
            <v>292</v>
          </cell>
          <cell r="N67">
            <v>50</v>
          </cell>
          <cell r="O67" t="str">
            <v>1L1</v>
          </cell>
          <cell r="P67" t="str">
            <v>LW02/1</v>
          </cell>
        </row>
        <row r="68">
          <cell r="A68">
            <v>50147065</v>
          </cell>
          <cell r="B68">
            <v>67</v>
          </cell>
          <cell r="C68">
            <v>39018</v>
          </cell>
          <cell r="D68">
            <v>50147065</v>
          </cell>
          <cell r="E68" t="str">
            <v>F26A13TCD012</v>
          </cell>
          <cell r="F68" t="str">
            <v>FN6A28D1L460701</v>
          </cell>
          <cell r="G68" t="str">
            <v>AF1</v>
          </cell>
          <cell r="H68" t="str">
            <v>SPCC-SD</v>
          </cell>
          <cell r="I68">
            <v>2.2999999999999998</v>
          </cell>
          <cell r="J68">
            <v>110</v>
          </cell>
          <cell r="K68">
            <v>1219</v>
          </cell>
          <cell r="L68" t="str">
            <v>SIAM PRESS</v>
          </cell>
          <cell r="M68">
            <v>508</v>
          </cell>
          <cell r="N68">
            <v>210</v>
          </cell>
          <cell r="O68" t="str">
            <v>1L1</v>
          </cell>
          <cell r="P68" t="str">
            <v>LW02/1</v>
          </cell>
        </row>
        <row r="69">
          <cell r="A69">
            <v>50147066</v>
          </cell>
          <cell r="B69">
            <v>68</v>
          </cell>
          <cell r="C69">
            <v>39018</v>
          </cell>
          <cell r="D69">
            <v>50147066</v>
          </cell>
          <cell r="E69" t="str">
            <v>F26A13TCD012</v>
          </cell>
          <cell r="F69" t="str">
            <v>FN6A28D1L460701</v>
          </cell>
          <cell r="G69" t="str">
            <v>AF1</v>
          </cell>
          <cell r="H69" t="str">
            <v>SPCC-SD</v>
          </cell>
          <cell r="I69">
            <v>2.2999999999999998</v>
          </cell>
          <cell r="J69">
            <v>170</v>
          </cell>
          <cell r="K69">
            <v>1219</v>
          </cell>
          <cell r="L69" t="str">
            <v>LOUIS ENGINEERING</v>
          </cell>
          <cell r="M69">
            <v>479</v>
          </cell>
          <cell r="N69">
            <v>128</v>
          </cell>
          <cell r="O69" t="str">
            <v>1L1</v>
          </cell>
          <cell r="P69" t="str">
            <v>LW02/1</v>
          </cell>
        </row>
        <row r="70">
          <cell r="A70">
            <v>50147067</v>
          </cell>
          <cell r="B70">
            <v>69</v>
          </cell>
          <cell r="C70">
            <v>39018</v>
          </cell>
          <cell r="D70">
            <v>50147067</v>
          </cell>
          <cell r="E70" t="str">
            <v>F26816SUD005</v>
          </cell>
          <cell r="F70" t="str">
            <v>FN6A28D1M462601</v>
          </cell>
          <cell r="G70" t="str">
            <v>AF3</v>
          </cell>
          <cell r="H70" t="str">
            <v>SPCEN-SD</v>
          </cell>
          <cell r="I70">
            <v>0.6</v>
          </cell>
          <cell r="J70">
            <v>180</v>
          </cell>
          <cell r="K70">
            <v>255</v>
          </cell>
          <cell r="L70" t="str">
            <v>TSA</v>
          </cell>
          <cell r="M70">
            <v>440</v>
          </cell>
          <cell r="N70">
            <v>2000</v>
          </cell>
          <cell r="O70" t="str">
            <v>1M1</v>
          </cell>
          <cell r="P70" t="str">
            <v>MW01/1</v>
          </cell>
        </row>
        <row r="71">
          <cell r="A71">
            <v>50147068</v>
          </cell>
          <cell r="B71">
            <v>70</v>
          </cell>
          <cell r="C71">
            <v>39018</v>
          </cell>
          <cell r="D71">
            <v>50147068</v>
          </cell>
          <cell r="E71" t="str">
            <v>F26816SUD005</v>
          </cell>
          <cell r="F71" t="str">
            <v>FN6A28D1M462602</v>
          </cell>
          <cell r="G71" t="str">
            <v>AF3</v>
          </cell>
          <cell r="H71" t="str">
            <v>SPCEN-SD</v>
          </cell>
          <cell r="I71">
            <v>0.6</v>
          </cell>
          <cell r="J71">
            <v>180</v>
          </cell>
          <cell r="K71">
            <v>255</v>
          </cell>
          <cell r="L71" t="str">
            <v>TSA</v>
          </cell>
          <cell r="M71">
            <v>220</v>
          </cell>
          <cell r="N71">
            <v>1000</v>
          </cell>
          <cell r="O71" t="str">
            <v>1M1</v>
          </cell>
          <cell r="P71" t="str">
            <v>MW01/1</v>
          </cell>
        </row>
        <row r="72">
          <cell r="A72">
            <v>50147030</v>
          </cell>
          <cell r="B72">
            <v>71</v>
          </cell>
          <cell r="C72">
            <v>39018</v>
          </cell>
          <cell r="D72">
            <v>50147030</v>
          </cell>
          <cell r="E72" t="str">
            <v>F26822SUD017</v>
          </cell>
          <cell r="F72" t="str">
            <v>FN6A28D1M459701</v>
          </cell>
          <cell r="G72" t="str">
            <v>AF1</v>
          </cell>
          <cell r="H72" t="str">
            <v>SPCC-SD</v>
          </cell>
          <cell r="I72">
            <v>1</v>
          </cell>
          <cell r="J72">
            <v>177</v>
          </cell>
          <cell r="K72">
            <v>268</v>
          </cell>
          <cell r="L72" t="str">
            <v>VMT</v>
          </cell>
          <cell r="M72">
            <v>370</v>
          </cell>
          <cell r="N72">
            <v>1000</v>
          </cell>
          <cell r="O72" t="str">
            <v>1M1</v>
          </cell>
          <cell r="P72" t="str">
            <v>MW01/1</v>
          </cell>
        </row>
        <row r="73">
          <cell r="A73">
            <v>50147031</v>
          </cell>
          <cell r="B73">
            <v>72</v>
          </cell>
          <cell r="C73">
            <v>39018</v>
          </cell>
          <cell r="D73">
            <v>50147031</v>
          </cell>
          <cell r="E73" t="str">
            <v>F26822SUD017</v>
          </cell>
          <cell r="F73" t="str">
            <v>FN6A28D1M459702</v>
          </cell>
          <cell r="G73" t="str">
            <v>AF1</v>
          </cell>
          <cell r="H73" t="str">
            <v>SPCC-SD</v>
          </cell>
          <cell r="I73">
            <v>1</v>
          </cell>
          <cell r="J73">
            <v>177</v>
          </cell>
          <cell r="K73">
            <v>268</v>
          </cell>
          <cell r="L73" t="str">
            <v>VMT</v>
          </cell>
          <cell r="M73">
            <v>233</v>
          </cell>
          <cell r="N73">
            <v>630</v>
          </cell>
          <cell r="O73" t="str">
            <v>1M1</v>
          </cell>
          <cell r="P73" t="str">
            <v>MW01/1</v>
          </cell>
        </row>
        <row r="74">
          <cell r="A74">
            <v>50147109</v>
          </cell>
          <cell r="B74">
            <v>73</v>
          </cell>
          <cell r="C74">
            <v>39018</v>
          </cell>
          <cell r="D74">
            <v>50147109</v>
          </cell>
          <cell r="E74" t="str">
            <v>F26818PCI006</v>
          </cell>
          <cell r="F74" t="str">
            <v>FN6A28D1M467501</v>
          </cell>
          <cell r="G74" t="str">
            <v>AF1</v>
          </cell>
          <cell r="H74" t="str">
            <v>SPCC-SD</v>
          </cell>
          <cell r="I74">
            <v>2.2999999999999998</v>
          </cell>
          <cell r="J74">
            <v>122.5</v>
          </cell>
          <cell r="K74">
            <v>216</v>
          </cell>
          <cell r="L74" t="str">
            <v>VMT</v>
          </cell>
          <cell r="M74">
            <v>480</v>
          </cell>
          <cell r="N74">
            <v>1000</v>
          </cell>
          <cell r="O74" t="str">
            <v>1M1</v>
          </cell>
          <cell r="P74" t="str">
            <v>MW01/1</v>
          </cell>
        </row>
        <row r="75">
          <cell r="A75">
            <v>50147110</v>
          </cell>
          <cell r="B75">
            <v>74</v>
          </cell>
          <cell r="C75">
            <v>39018</v>
          </cell>
          <cell r="D75">
            <v>50147110</v>
          </cell>
          <cell r="E75" t="str">
            <v>F26818PCI006</v>
          </cell>
          <cell r="F75" t="str">
            <v>FN6A28D1M467502</v>
          </cell>
          <cell r="G75" t="str">
            <v>AF1</v>
          </cell>
          <cell r="H75" t="str">
            <v>SPCC-SD</v>
          </cell>
          <cell r="I75">
            <v>2.2999999999999998</v>
          </cell>
          <cell r="J75">
            <v>122.5</v>
          </cell>
          <cell r="K75">
            <v>216</v>
          </cell>
          <cell r="L75" t="str">
            <v>VMT</v>
          </cell>
          <cell r="M75">
            <v>480</v>
          </cell>
          <cell r="N75">
            <v>1000</v>
          </cell>
          <cell r="O75" t="str">
            <v>1M1</v>
          </cell>
          <cell r="P75" t="str">
            <v>MW01/1</v>
          </cell>
        </row>
        <row r="76">
          <cell r="A76">
            <v>50147077</v>
          </cell>
          <cell r="B76">
            <v>75</v>
          </cell>
          <cell r="C76">
            <v>39018</v>
          </cell>
          <cell r="D76">
            <v>50147077</v>
          </cell>
          <cell r="E76" t="str">
            <v>F25A26SUD001</v>
          </cell>
          <cell r="F76" t="str">
            <v>FN6A28D3M462901</v>
          </cell>
          <cell r="G76" t="str">
            <v>AF1</v>
          </cell>
          <cell r="H76" t="str">
            <v>SPCC-SD</v>
          </cell>
          <cell r="I76">
            <v>0.9</v>
          </cell>
          <cell r="J76">
            <v>500</v>
          </cell>
          <cell r="K76">
            <v>960</v>
          </cell>
          <cell r="L76" t="str">
            <v>TSLA</v>
          </cell>
          <cell r="M76">
            <v>281</v>
          </cell>
          <cell r="N76">
            <v>83</v>
          </cell>
          <cell r="O76" t="str">
            <v>1M2</v>
          </cell>
          <cell r="P76" t="str">
            <v>MW01/1</v>
          </cell>
        </row>
        <row r="77">
          <cell r="A77">
            <v>50147078</v>
          </cell>
          <cell r="B77">
            <v>76</v>
          </cell>
          <cell r="C77">
            <v>39018</v>
          </cell>
          <cell r="D77">
            <v>50147078</v>
          </cell>
          <cell r="E77" t="str">
            <v>F25A26SUD001</v>
          </cell>
          <cell r="F77" t="str">
            <v>FN6A28D3M462902</v>
          </cell>
          <cell r="G77" t="str">
            <v>AF1</v>
          </cell>
          <cell r="H77" t="str">
            <v>SPCC-SD</v>
          </cell>
          <cell r="I77">
            <v>0.9</v>
          </cell>
          <cell r="J77">
            <v>500</v>
          </cell>
          <cell r="K77">
            <v>960</v>
          </cell>
          <cell r="L77" t="str">
            <v>TSLA</v>
          </cell>
          <cell r="M77">
            <v>1017</v>
          </cell>
          <cell r="N77">
            <v>300</v>
          </cell>
          <cell r="O77" t="str">
            <v>1M2</v>
          </cell>
          <cell r="P77" t="str">
            <v>MW01/1</v>
          </cell>
        </row>
        <row r="78">
          <cell r="A78">
            <v>50147079</v>
          </cell>
          <cell r="B78">
            <v>77</v>
          </cell>
          <cell r="C78">
            <v>39018</v>
          </cell>
          <cell r="D78">
            <v>50147079</v>
          </cell>
          <cell r="E78" t="str">
            <v>F25A26SUD001</v>
          </cell>
          <cell r="F78" t="str">
            <v>FN6A28D3M462903</v>
          </cell>
          <cell r="G78" t="str">
            <v>AF1</v>
          </cell>
          <cell r="H78" t="str">
            <v>SPCC-SD</v>
          </cell>
          <cell r="I78">
            <v>0.9</v>
          </cell>
          <cell r="J78">
            <v>500</v>
          </cell>
          <cell r="K78">
            <v>960</v>
          </cell>
          <cell r="L78" t="str">
            <v>TSLA</v>
          </cell>
          <cell r="M78">
            <v>1017</v>
          </cell>
          <cell r="N78">
            <v>300</v>
          </cell>
          <cell r="O78" t="str">
            <v>1M2</v>
          </cell>
          <cell r="P78" t="str">
            <v>MW01/1</v>
          </cell>
        </row>
        <row r="79">
          <cell r="A79">
            <v>50147080</v>
          </cell>
          <cell r="B79">
            <v>78</v>
          </cell>
          <cell r="C79">
            <v>39018</v>
          </cell>
          <cell r="D79">
            <v>50147080</v>
          </cell>
          <cell r="E79" t="str">
            <v>F25A26SUD001</v>
          </cell>
          <cell r="F79" t="str">
            <v>FN6A28D3M462904</v>
          </cell>
          <cell r="G79" t="str">
            <v>AF1</v>
          </cell>
          <cell r="H79" t="str">
            <v>SPCC-SD</v>
          </cell>
          <cell r="I79">
            <v>0.9</v>
          </cell>
          <cell r="J79">
            <v>500</v>
          </cell>
          <cell r="K79">
            <v>960</v>
          </cell>
          <cell r="L79" t="str">
            <v>TSLA</v>
          </cell>
          <cell r="M79">
            <v>1017</v>
          </cell>
          <cell r="N79">
            <v>300</v>
          </cell>
          <cell r="O79" t="str">
            <v>1M2</v>
          </cell>
          <cell r="P79" t="str">
            <v>MW01/1</v>
          </cell>
        </row>
        <row r="80">
          <cell r="A80">
            <v>50147081</v>
          </cell>
          <cell r="B80">
            <v>79</v>
          </cell>
          <cell r="C80">
            <v>39018</v>
          </cell>
          <cell r="D80">
            <v>50147081</v>
          </cell>
          <cell r="E80" t="str">
            <v>F25A26SUD001</v>
          </cell>
          <cell r="F80" t="str">
            <v>FN6A28D3M462905</v>
          </cell>
          <cell r="G80" t="str">
            <v>AF1</v>
          </cell>
          <cell r="H80" t="str">
            <v>SPCC-SD</v>
          </cell>
          <cell r="I80">
            <v>0.9</v>
          </cell>
          <cell r="J80">
            <v>500</v>
          </cell>
          <cell r="K80">
            <v>960</v>
          </cell>
          <cell r="L80" t="str">
            <v>TSLA</v>
          </cell>
          <cell r="M80">
            <v>1017</v>
          </cell>
          <cell r="N80">
            <v>300</v>
          </cell>
          <cell r="O80" t="str">
            <v>1M2</v>
          </cell>
          <cell r="P80" t="str">
            <v>MW01/1</v>
          </cell>
        </row>
        <row r="81">
          <cell r="A81">
            <v>50147095</v>
          </cell>
          <cell r="B81">
            <v>80</v>
          </cell>
          <cell r="C81">
            <v>39018</v>
          </cell>
          <cell r="D81">
            <v>50147095</v>
          </cell>
          <cell r="E81" t="str">
            <v>F25A26SUD001</v>
          </cell>
          <cell r="F81" t="str">
            <v>FN6A28D3M462906</v>
          </cell>
          <cell r="G81" t="str">
            <v>AF1</v>
          </cell>
          <cell r="H81" t="str">
            <v>SPCC-SD</v>
          </cell>
          <cell r="I81">
            <v>0.9</v>
          </cell>
          <cell r="J81">
            <v>500</v>
          </cell>
          <cell r="K81">
            <v>960</v>
          </cell>
          <cell r="L81" t="str">
            <v>TSLA</v>
          </cell>
          <cell r="M81">
            <v>1017</v>
          </cell>
          <cell r="N81">
            <v>300</v>
          </cell>
          <cell r="O81" t="str">
            <v>1M2</v>
          </cell>
          <cell r="P81" t="str">
            <v>MW01/1</v>
          </cell>
        </row>
        <row r="82">
          <cell r="A82">
            <v>50147096</v>
          </cell>
          <cell r="B82">
            <v>81</v>
          </cell>
          <cell r="C82">
            <v>39018</v>
          </cell>
          <cell r="D82">
            <v>50147096</v>
          </cell>
          <cell r="E82" t="str">
            <v>F25A26SUD001</v>
          </cell>
          <cell r="F82" t="str">
            <v>FN6A28D3M462907</v>
          </cell>
          <cell r="G82" t="str">
            <v>AF1</v>
          </cell>
          <cell r="H82" t="str">
            <v>SPCC-SD</v>
          </cell>
          <cell r="I82">
            <v>0.9</v>
          </cell>
          <cell r="J82">
            <v>500</v>
          </cell>
          <cell r="K82">
            <v>960</v>
          </cell>
          <cell r="L82" t="str">
            <v>TSLA</v>
          </cell>
          <cell r="M82">
            <v>1017</v>
          </cell>
          <cell r="N82">
            <v>300</v>
          </cell>
          <cell r="O82" t="str">
            <v>1M2</v>
          </cell>
          <cell r="P82" t="str">
            <v>MW01/1</v>
          </cell>
        </row>
        <row r="83">
          <cell r="A83">
            <v>50147111</v>
          </cell>
          <cell r="B83">
            <v>82</v>
          </cell>
          <cell r="C83">
            <v>39018</v>
          </cell>
          <cell r="D83">
            <v>50147111</v>
          </cell>
          <cell r="E83" t="str">
            <v>F25A26SUD002</v>
          </cell>
          <cell r="F83" t="str">
            <v>FN6A28D3M462908</v>
          </cell>
          <cell r="G83" t="str">
            <v>AF1</v>
          </cell>
          <cell r="H83" t="str">
            <v>SPCC-SD</v>
          </cell>
          <cell r="I83">
            <v>0.9</v>
          </cell>
          <cell r="J83">
            <v>500</v>
          </cell>
          <cell r="K83">
            <v>960</v>
          </cell>
          <cell r="L83" t="str">
            <v>TSLA</v>
          </cell>
          <cell r="M83">
            <v>1017</v>
          </cell>
          <cell r="N83">
            <v>300</v>
          </cell>
          <cell r="O83" t="str">
            <v>1M2</v>
          </cell>
          <cell r="P83" t="str">
            <v>MW01/1</v>
          </cell>
        </row>
        <row r="84">
          <cell r="A84">
            <v>50147112</v>
          </cell>
          <cell r="B84">
            <v>83</v>
          </cell>
          <cell r="C84">
            <v>39018</v>
          </cell>
          <cell r="D84">
            <v>50147112</v>
          </cell>
          <cell r="E84" t="str">
            <v>F25A26SUD002</v>
          </cell>
          <cell r="F84" t="str">
            <v>FN6A28D3M462909</v>
          </cell>
          <cell r="G84" t="str">
            <v>AF1</v>
          </cell>
          <cell r="H84" t="str">
            <v>SPCC-SD</v>
          </cell>
          <cell r="I84">
            <v>0.9</v>
          </cell>
          <cell r="J84">
            <v>500</v>
          </cell>
          <cell r="K84">
            <v>960</v>
          </cell>
          <cell r="L84" t="str">
            <v>TSLA</v>
          </cell>
          <cell r="M84">
            <v>1017</v>
          </cell>
          <cell r="N84">
            <v>300</v>
          </cell>
          <cell r="O84" t="str">
            <v>1M2</v>
          </cell>
          <cell r="P84" t="str">
            <v>MW01/1</v>
          </cell>
        </row>
        <row r="85">
          <cell r="A85">
            <v>50147113</v>
          </cell>
          <cell r="B85">
            <v>84</v>
          </cell>
          <cell r="C85">
            <v>39018</v>
          </cell>
          <cell r="D85">
            <v>50147113</v>
          </cell>
          <cell r="E85" t="str">
            <v>F25A26SUD002</v>
          </cell>
          <cell r="F85" t="str">
            <v>FN6A28D3M462910</v>
          </cell>
          <cell r="G85" t="str">
            <v>AF1</v>
          </cell>
          <cell r="H85" t="str">
            <v>SPCC-SD</v>
          </cell>
          <cell r="I85">
            <v>0.9</v>
          </cell>
          <cell r="J85">
            <v>500</v>
          </cell>
          <cell r="K85">
            <v>960</v>
          </cell>
          <cell r="L85" t="str">
            <v>TSLA</v>
          </cell>
          <cell r="M85">
            <v>1017</v>
          </cell>
          <cell r="N85">
            <v>300</v>
          </cell>
          <cell r="O85" t="str">
            <v>1M2</v>
          </cell>
          <cell r="P85" t="str">
            <v>MW01/1</v>
          </cell>
        </row>
        <row r="86">
          <cell r="A86">
            <v>50147010</v>
          </cell>
          <cell r="B86">
            <v>85</v>
          </cell>
          <cell r="C86">
            <v>39018</v>
          </cell>
          <cell r="D86">
            <v>50147010</v>
          </cell>
          <cell r="E86" t="str">
            <v>F36215JFI024</v>
          </cell>
          <cell r="F86" t="str">
            <v>FN6A27D2D467201</v>
          </cell>
          <cell r="G86" t="str">
            <v>CA1</v>
          </cell>
          <cell r="H86" t="str">
            <v>SPHC P/O</v>
          </cell>
          <cell r="I86">
            <v>4.5</v>
          </cell>
          <cell r="J86">
            <v>126</v>
          </cell>
          <cell r="K86">
            <v>1219</v>
          </cell>
          <cell r="L86" t="str">
            <v>NIPPON</v>
          </cell>
          <cell r="M86">
            <v>272</v>
          </cell>
          <cell r="N86">
            <v>50</v>
          </cell>
          <cell r="O86" t="str">
            <v>2D1</v>
          </cell>
          <cell r="P86" t="str">
            <v>LW02/1</v>
          </cell>
        </row>
        <row r="87">
          <cell r="A87">
            <v>50147011</v>
          </cell>
          <cell r="B87">
            <v>86</v>
          </cell>
          <cell r="C87">
            <v>39018</v>
          </cell>
          <cell r="D87">
            <v>50147011</v>
          </cell>
          <cell r="E87" t="str">
            <v>F36215JFI024</v>
          </cell>
          <cell r="F87" t="str">
            <v>FN6A27D2D467202</v>
          </cell>
          <cell r="G87" t="str">
            <v>CA1</v>
          </cell>
          <cell r="H87" t="str">
            <v>SPHC P/O</v>
          </cell>
          <cell r="I87">
            <v>4.5</v>
          </cell>
          <cell r="J87">
            <v>126</v>
          </cell>
          <cell r="K87">
            <v>1219</v>
          </cell>
          <cell r="L87" t="str">
            <v>NIPPON</v>
          </cell>
          <cell r="M87">
            <v>272</v>
          </cell>
          <cell r="N87">
            <v>50</v>
          </cell>
          <cell r="O87" t="str">
            <v>2D1</v>
          </cell>
          <cell r="P87" t="str">
            <v>LW02/1</v>
          </cell>
        </row>
        <row r="88">
          <cell r="A88">
            <v>50147012</v>
          </cell>
          <cell r="B88">
            <v>87</v>
          </cell>
          <cell r="C88">
            <v>39018</v>
          </cell>
          <cell r="D88">
            <v>50147012</v>
          </cell>
          <cell r="E88" t="str">
            <v>F36215JFI024</v>
          </cell>
          <cell r="F88" t="str">
            <v>FN6A27D2D467203</v>
          </cell>
          <cell r="G88" t="str">
            <v>CA1</v>
          </cell>
          <cell r="H88" t="str">
            <v>SPHC P/O</v>
          </cell>
          <cell r="I88">
            <v>4.5</v>
          </cell>
          <cell r="J88">
            <v>126</v>
          </cell>
          <cell r="K88">
            <v>1219</v>
          </cell>
          <cell r="L88" t="str">
            <v>NIPPON</v>
          </cell>
          <cell r="M88">
            <v>272</v>
          </cell>
          <cell r="N88">
            <v>50</v>
          </cell>
          <cell r="O88" t="str">
            <v>2D1</v>
          </cell>
          <cell r="P88" t="str">
            <v>LW02/1</v>
          </cell>
        </row>
        <row r="89">
          <cell r="A89">
            <v>50147013</v>
          </cell>
          <cell r="B89">
            <v>88</v>
          </cell>
          <cell r="C89">
            <v>39018</v>
          </cell>
          <cell r="D89">
            <v>50147013</v>
          </cell>
          <cell r="E89" t="str">
            <v>F36215JFI024</v>
          </cell>
          <cell r="F89" t="str">
            <v>FN6A27D2D467204</v>
          </cell>
          <cell r="G89" t="str">
            <v>CA1</v>
          </cell>
          <cell r="H89" t="str">
            <v>SPHC P/O</v>
          </cell>
          <cell r="I89">
            <v>4.5</v>
          </cell>
          <cell r="J89">
            <v>126</v>
          </cell>
          <cell r="K89">
            <v>1219</v>
          </cell>
          <cell r="L89" t="str">
            <v>NIPPON</v>
          </cell>
          <cell r="M89">
            <v>272</v>
          </cell>
          <cell r="N89">
            <v>50</v>
          </cell>
          <cell r="O89" t="str">
            <v>2D1</v>
          </cell>
          <cell r="P89" t="str">
            <v>LW02/1</v>
          </cell>
        </row>
        <row r="90">
          <cell r="A90">
            <v>50147014</v>
          </cell>
          <cell r="B90">
            <v>89</v>
          </cell>
          <cell r="C90">
            <v>39018</v>
          </cell>
          <cell r="D90">
            <v>50147014</v>
          </cell>
          <cell r="E90" t="str">
            <v>F36215JFI024</v>
          </cell>
          <cell r="F90" t="str">
            <v>FN6A27D2D467205</v>
          </cell>
          <cell r="G90" t="str">
            <v>CA1</v>
          </cell>
          <cell r="H90" t="str">
            <v>SPHC P/O</v>
          </cell>
          <cell r="I90">
            <v>4.5</v>
          </cell>
          <cell r="J90">
            <v>126</v>
          </cell>
          <cell r="K90">
            <v>1219</v>
          </cell>
          <cell r="L90" t="str">
            <v>NIPPON</v>
          </cell>
          <cell r="M90">
            <v>272</v>
          </cell>
          <cell r="N90">
            <v>50</v>
          </cell>
          <cell r="O90" t="str">
            <v>2D1</v>
          </cell>
          <cell r="P90" t="str">
            <v>LW02/1</v>
          </cell>
        </row>
        <row r="91">
          <cell r="A91">
            <v>50147016</v>
          </cell>
          <cell r="B91">
            <v>90</v>
          </cell>
          <cell r="C91">
            <v>39018</v>
          </cell>
          <cell r="D91">
            <v>50147016</v>
          </cell>
          <cell r="E91" t="str">
            <v>F36215JFI024</v>
          </cell>
          <cell r="F91" t="str">
            <v>FN6A27D2D467207</v>
          </cell>
          <cell r="G91" t="str">
            <v>CA1</v>
          </cell>
          <cell r="H91" t="str">
            <v>SPHC P/O</v>
          </cell>
          <cell r="I91">
            <v>4.5</v>
          </cell>
          <cell r="J91">
            <v>126</v>
          </cell>
          <cell r="K91">
            <v>1219</v>
          </cell>
          <cell r="L91" t="str">
            <v>NIPPON</v>
          </cell>
          <cell r="M91">
            <v>380</v>
          </cell>
          <cell r="N91">
            <v>70</v>
          </cell>
          <cell r="O91" t="str">
            <v>2D1</v>
          </cell>
          <cell r="P91" t="str">
            <v>LW02/1</v>
          </cell>
        </row>
        <row r="92">
          <cell r="A92">
            <v>50147017</v>
          </cell>
          <cell r="B92">
            <v>91</v>
          </cell>
          <cell r="C92">
            <v>39018</v>
          </cell>
          <cell r="D92">
            <v>50147017</v>
          </cell>
          <cell r="E92" t="str">
            <v>F36215JFI024</v>
          </cell>
          <cell r="F92" t="str">
            <v>FN6A27D2D467208</v>
          </cell>
          <cell r="G92" t="str">
            <v>CA1</v>
          </cell>
          <cell r="H92" t="str">
            <v>SPHC P/O</v>
          </cell>
          <cell r="I92">
            <v>4.5</v>
          </cell>
          <cell r="J92">
            <v>126</v>
          </cell>
          <cell r="K92">
            <v>1219</v>
          </cell>
          <cell r="L92" t="str">
            <v>NIPPON</v>
          </cell>
          <cell r="M92">
            <v>380</v>
          </cell>
          <cell r="N92">
            <v>70</v>
          </cell>
          <cell r="O92" t="str">
            <v>2D1</v>
          </cell>
          <cell r="P92" t="str">
            <v>LW02/1</v>
          </cell>
        </row>
        <row r="93">
          <cell r="A93">
            <v>50147018</v>
          </cell>
          <cell r="B93">
            <v>92</v>
          </cell>
          <cell r="C93">
            <v>39018</v>
          </cell>
          <cell r="D93">
            <v>50147018</v>
          </cell>
          <cell r="E93" t="str">
            <v>F36215JFI024</v>
          </cell>
          <cell r="F93" t="str">
            <v>FN6A27D2D467209</v>
          </cell>
          <cell r="G93" t="str">
            <v>CA1</v>
          </cell>
          <cell r="H93" t="str">
            <v>SPHC P/O</v>
          </cell>
          <cell r="I93">
            <v>4.5</v>
          </cell>
          <cell r="J93">
            <v>126</v>
          </cell>
          <cell r="K93">
            <v>1219</v>
          </cell>
          <cell r="L93" t="str">
            <v>NIPPON</v>
          </cell>
          <cell r="M93">
            <v>380</v>
          </cell>
          <cell r="N93">
            <v>70</v>
          </cell>
          <cell r="O93" t="str">
            <v>2D1</v>
          </cell>
          <cell r="P93" t="str">
            <v>LW02/1</v>
          </cell>
        </row>
        <row r="94">
          <cell r="A94">
            <v>50147019</v>
          </cell>
          <cell r="B94">
            <v>93</v>
          </cell>
          <cell r="C94">
            <v>39018</v>
          </cell>
          <cell r="D94">
            <v>50147019</v>
          </cell>
          <cell r="E94" t="str">
            <v>F36215JFI024</v>
          </cell>
          <cell r="F94" t="str">
            <v>FN6A27D2D467210</v>
          </cell>
          <cell r="G94" t="str">
            <v>CA1</v>
          </cell>
          <cell r="H94" t="str">
            <v>SPHC P/O</v>
          </cell>
          <cell r="I94">
            <v>4.5</v>
          </cell>
          <cell r="J94">
            <v>126</v>
          </cell>
          <cell r="K94">
            <v>1219</v>
          </cell>
          <cell r="L94" t="str">
            <v>NIPPON</v>
          </cell>
          <cell r="M94">
            <v>380</v>
          </cell>
          <cell r="N94">
            <v>70</v>
          </cell>
          <cell r="O94" t="str">
            <v>2D1</v>
          </cell>
          <cell r="P94" t="str">
            <v>LW02/1</v>
          </cell>
        </row>
        <row r="95">
          <cell r="A95">
            <v>50147020</v>
          </cell>
          <cell r="B95">
            <v>94</v>
          </cell>
          <cell r="C95">
            <v>39018</v>
          </cell>
          <cell r="D95">
            <v>50147020</v>
          </cell>
          <cell r="E95" t="str">
            <v>F36215JFI024</v>
          </cell>
          <cell r="F95" t="str">
            <v>FN6A27D2D467211</v>
          </cell>
          <cell r="G95" t="str">
            <v>CA1</v>
          </cell>
          <cell r="H95" t="str">
            <v>SPHC P/O</v>
          </cell>
          <cell r="I95">
            <v>4.5</v>
          </cell>
          <cell r="J95">
            <v>126</v>
          </cell>
          <cell r="K95">
            <v>1219</v>
          </cell>
          <cell r="L95" t="str">
            <v>NIPPON</v>
          </cell>
          <cell r="M95">
            <v>380</v>
          </cell>
          <cell r="N95">
            <v>70</v>
          </cell>
          <cell r="O95" t="str">
            <v>2D1</v>
          </cell>
          <cell r="P95" t="str">
            <v>LW02/1</v>
          </cell>
        </row>
        <row r="96">
          <cell r="A96">
            <v>50147021</v>
          </cell>
          <cell r="B96">
            <v>95</v>
          </cell>
          <cell r="C96">
            <v>39018</v>
          </cell>
          <cell r="D96">
            <v>50147021</v>
          </cell>
          <cell r="E96" t="str">
            <v>F36215JFI024</v>
          </cell>
          <cell r="F96" t="str">
            <v>FN6A27D2D467212</v>
          </cell>
          <cell r="G96" t="str">
            <v>CA1</v>
          </cell>
          <cell r="H96" t="str">
            <v>SPHC P/O</v>
          </cell>
          <cell r="I96">
            <v>4.5</v>
          </cell>
          <cell r="J96">
            <v>126</v>
          </cell>
          <cell r="K96">
            <v>1219</v>
          </cell>
          <cell r="L96" t="str">
            <v>NIPPON</v>
          </cell>
          <cell r="M96">
            <v>380</v>
          </cell>
          <cell r="N96">
            <v>70</v>
          </cell>
          <cell r="O96" t="str">
            <v>2D1</v>
          </cell>
          <cell r="P96" t="str">
            <v>LW02/1</v>
          </cell>
        </row>
        <row r="97">
          <cell r="A97">
            <v>50147022</v>
          </cell>
          <cell r="B97">
            <v>96</v>
          </cell>
          <cell r="C97">
            <v>39018</v>
          </cell>
          <cell r="D97">
            <v>50147022</v>
          </cell>
          <cell r="E97" t="str">
            <v>F36215JFI024</v>
          </cell>
          <cell r="F97" t="str">
            <v>FN6A27D2D467213</v>
          </cell>
          <cell r="G97" t="str">
            <v>CA1</v>
          </cell>
          <cell r="H97" t="str">
            <v>SPHC P/O</v>
          </cell>
          <cell r="I97">
            <v>4.5</v>
          </cell>
          <cell r="J97">
            <v>126</v>
          </cell>
          <cell r="K97">
            <v>1219</v>
          </cell>
          <cell r="L97" t="str">
            <v>NIPPON</v>
          </cell>
          <cell r="M97">
            <v>380</v>
          </cell>
          <cell r="N97">
            <v>70</v>
          </cell>
          <cell r="O97" t="str">
            <v>2D1</v>
          </cell>
          <cell r="P97" t="str">
            <v>LW02/1</v>
          </cell>
        </row>
        <row r="98">
          <cell r="A98">
            <v>50147023</v>
          </cell>
          <cell r="B98">
            <v>97</v>
          </cell>
          <cell r="C98">
            <v>39018</v>
          </cell>
          <cell r="D98">
            <v>50147023</v>
          </cell>
          <cell r="E98" t="str">
            <v>F36215JFI024</v>
          </cell>
          <cell r="F98" t="str">
            <v>FN6A27D2D467214</v>
          </cell>
          <cell r="G98" t="str">
            <v>CA1</v>
          </cell>
          <cell r="H98" t="str">
            <v>SPHC P/O</v>
          </cell>
          <cell r="I98">
            <v>4.5</v>
          </cell>
          <cell r="J98">
            <v>126</v>
          </cell>
          <cell r="K98">
            <v>1219</v>
          </cell>
          <cell r="L98" t="str">
            <v>NIPPON</v>
          </cell>
          <cell r="M98">
            <v>380</v>
          </cell>
          <cell r="N98">
            <v>70</v>
          </cell>
          <cell r="O98" t="str">
            <v>2D1</v>
          </cell>
          <cell r="P98" t="str">
            <v>LW02/1</v>
          </cell>
        </row>
        <row r="99">
          <cell r="A99">
            <v>50147024</v>
          </cell>
          <cell r="B99">
            <v>98</v>
          </cell>
          <cell r="C99">
            <v>39018</v>
          </cell>
          <cell r="D99">
            <v>50147024</v>
          </cell>
          <cell r="E99" t="str">
            <v>F36215JFI024</v>
          </cell>
          <cell r="F99" t="str">
            <v>FN6A27D2D467215</v>
          </cell>
          <cell r="G99" t="str">
            <v>CA1</v>
          </cell>
          <cell r="H99" t="str">
            <v>SPHC P/O</v>
          </cell>
          <cell r="I99">
            <v>4.5</v>
          </cell>
          <cell r="J99">
            <v>126</v>
          </cell>
          <cell r="K99">
            <v>1219</v>
          </cell>
          <cell r="L99" t="str">
            <v>NIPPON</v>
          </cell>
          <cell r="M99">
            <v>380</v>
          </cell>
          <cell r="N99">
            <v>70</v>
          </cell>
          <cell r="O99" t="str">
            <v>2D1</v>
          </cell>
          <cell r="P99" t="str">
            <v>LW02/1</v>
          </cell>
        </row>
        <row r="100">
          <cell r="A100">
            <v>50147025</v>
          </cell>
          <cell r="B100">
            <v>99</v>
          </cell>
          <cell r="C100">
            <v>39018</v>
          </cell>
          <cell r="D100">
            <v>50147025</v>
          </cell>
          <cell r="E100" t="str">
            <v>F36215JFI024</v>
          </cell>
          <cell r="F100" t="str">
            <v>FN6A27D2D467216</v>
          </cell>
          <cell r="G100" t="str">
            <v>CA1</v>
          </cell>
          <cell r="H100" t="str">
            <v>SPHC P/O</v>
          </cell>
          <cell r="I100">
            <v>4.5</v>
          </cell>
          <cell r="J100">
            <v>126</v>
          </cell>
          <cell r="K100">
            <v>1219</v>
          </cell>
          <cell r="L100" t="str">
            <v>NIPPON</v>
          </cell>
          <cell r="M100">
            <v>380</v>
          </cell>
          <cell r="N100">
            <v>70</v>
          </cell>
          <cell r="O100" t="str">
            <v>2D1</v>
          </cell>
          <cell r="P100" t="str">
            <v>LW02/1</v>
          </cell>
        </row>
        <row r="101">
          <cell r="A101">
            <v>50147026</v>
          </cell>
          <cell r="B101">
            <v>100</v>
          </cell>
          <cell r="C101">
            <v>39018</v>
          </cell>
          <cell r="D101">
            <v>50147026</v>
          </cell>
          <cell r="E101" t="str">
            <v>F36215JFI024</v>
          </cell>
          <cell r="F101" t="str">
            <v>FN6A27D2D467217</v>
          </cell>
          <cell r="G101" t="str">
            <v>CA1</v>
          </cell>
          <cell r="H101" t="str">
            <v>SPHC P/O</v>
          </cell>
          <cell r="I101">
            <v>4.5</v>
          </cell>
          <cell r="J101">
            <v>126</v>
          </cell>
          <cell r="K101">
            <v>1219</v>
          </cell>
          <cell r="L101" t="str">
            <v>NIPPON</v>
          </cell>
          <cell r="M101">
            <v>380</v>
          </cell>
          <cell r="N101">
            <v>70</v>
          </cell>
          <cell r="O101" t="str">
            <v>2D1</v>
          </cell>
          <cell r="P101" t="str">
            <v>LW02/1</v>
          </cell>
        </row>
        <row r="102">
          <cell r="A102">
            <v>50147082</v>
          </cell>
          <cell r="B102">
            <v>101</v>
          </cell>
          <cell r="C102">
            <v>39018</v>
          </cell>
          <cell r="D102">
            <v>50147082</v>
          </cell>
          <cell r="E102" t="str">
            <v>F26A06TCD013</v>
          </cell>
          <cell r="F102" t="str">
            <v>FN6A28D2L466501</v>
          </cell>
          <cell r="G102" t="str">
            <v>AF1</v>
          </cell>
          <cell r="H102" t="str">
            <v>SPCC-SD</v>
          </cell>
          <cell r="I102">
            <v>2.2999999999999998</v>
          </cell>
          <cell r="J102">
            <v>170</v>
          </cell>
          <cell r="K102">
            <v>1219</v>
          </cell>
          <cell r="L102" t="str">
            <v>LOUIS ENGINEERING</v>
          </cell>
          <cell r="M102">
            <v>1459</v>
          </cell>
          <cell r="N102">
            <v>390</v>
          </cell>
          <cell r="O102" t="str">
            <v>2L1</v>
          </cell>
          <cell r="P102" t="str">
            <v>LW01/1</v>
          </cell>
        </row>
        <row r="103">
          <cell r="A103">
            <v>50147083</v>
          </cell>
          <cell r="B103">
            <v>102</v>
          </cell>
          <cell r="C103">
            <v>39018</v>
          </cell>
          <cell r="D103">
            <v>50147083</v>
          </cell>
          <cell r="E103" t="str">
            <v>F26A06TCD013</v>
          </cell>
          <cell r="F103" t="str">
            <v>FN6A28D2L466502</v>
          </cell>
          <cell r="G103" t="str">
            <v>AF1</v>
          </cell>
          <cell r="H103" t="str">
            <v>SPCC-SD</v>
          </cell>
          <cell r="I103">
            <v>2.2999999999999998</v>
          </cell>
          <cell r="J103">
            <v>170</v>
          </cell>
          <cell r="K103">
            <v>1219</v>
          </cell>
          <cell r="L103" t="str">
            <v>LOUIS ENGINEERING</v>
          </cell>
          <cell r="M103">
            <v>1459</v>
          </cell>
          <cell r="N103">
            <v>390</v>
          </cell>
          <cell r="O103" t="str">
            <v>2L1</v>
          </cell>
          <cell r="P103" t="str">
            <v>LW01/1</v>
          </cell>
        </row>
        <row r="104">
          <cell r="A104">
            <v>50147084</v>
          </cell>
          <cell r="B104">
            <v>103</v>
          </cell>
          <cell r="C104">
            <v>39018</v>
          </cell>
          <cell r="D104">
            <v>50147084</v>
          </cell>
          <cell r="E104" t="str">
            <v>F26A06TCD013</v>
          </cell>
          <cell r="F104" t="str">
            <v>FN6A28D2L466503</v>
          </cell>
          <cell r="G104" t="str">
            <v>AF1</v>
          </cell>
          <cell r="H104" t="str">
            <v>SPCC-SD</v>
          </cell>
          <cell r="I104">
            <v>2.2999999999999998</v>
          </cell>
          <cell r="J104">
            <v>170</v>
          </cell>
          <cell r="K104">
            <v>1219</v>
          </cell>
          <cell r="L104" t="str">
            <v>LOUIS ENGINEERING</v>
          </cell>
          <cell r="M104">
            <v>1459</v>
          </cell>
          <cell r="N104">
            <v>390</v>
          </cell>
          <cell r="O104" t="str">
            <v>2L1</v>
          </cell>
          <cell r="P104" t="str">
            <v>LW01/1</v>
          </cell>
        </row>
        <row r="105">
          <cell r="A105">
            <v>50147085</v>
          </cell>
          <cell r="B105">
            <v>104</v>
          </cell>
          <cell r="C105">
            <v>39018</v>
          </cell>
          <cell r="D105">
            <v>50147085</v>
          </cell>
          <cell r="E105" t="str">
            <v>F26A06TCD013</v>
          </cell>
          <cell r="F105" t="str">
            <v>FN6A28D2L466504</v>
          </cell>
          <cell r="G105" t="str">
            <v>AF1</v>
          </cell>
          <cell r="H105" t="str">
            <v>SPCC-SD</v>
          </cell>
          <cell r="I105">
            <v>2.2999999999999998</v>
          </cell>
          <cell r="J105">
            <v>170</v>
          </cell>
          <cell r="K105">
            <v>1219</v>
          </cell>
          <cell r="L105" t="str">
            <v>LOUIS ENGINEERING</v>
          </cell>
          <cell r="M105">
            <v>1459</v>
          </cell>
          <cell r="N105">
            <v>390</v>
          </cell>
          <cell r="O105" t="str">
            <v>2L1</v>
          </cell>
          <cell r="P105" t="str">
            <v>LW01/1</v>
          </cell>
        </row>
        <row r="106">
          <cell r="A106">
            <v>50147086</v>
          </cell>
          <cell r="B106">
            <v>105</v>
          </cell>
          <cell r="C106">
            <v>39018</v>
          </cell>
          <cell r="D106">
            <v>50147086</v>
          </cell>
          <cell r="E106" t="str">
            <v>F26A06TCD013</v>
          </cell>
          <cell r="F106" t="str">
            <v>FN6A28D2L466505</v>
          </cell>
          <cell r="G106" t="str">
            <v>AF1</v>
          </cell>
          <cell r="H106" t="str">
            <v>SPCC-SD</v>
          </cell>
          <cell r="I106">
            <v>2.2999999999999998</v>
          </cell>
          <cell r="J106">
            <v>170</v>
          </cell>
          <cell r="K106">
            <v>1219</v>
          </cell>
          <cell r="L106" t="str">
            <v>LOUIS ENGINEERING</v>
          </cell>
          <cell r="M106">
            <v>1459</v>
          </cell>
          <cell r="N106">
            <v>390</v>
          </cell>
          <cell r="O106" t="str">
            <v>2L1</v>
          </cell>
          <cell r="P106" t="str">
            <v>LW01/1</v>
          </cell>
        </row>
        <row r="107">
          <cell r="A107">
            <v>50147119</v>
          </cell>
          <cell r="B107">
            <v>106</v>
          </cell>
          <cell r="C107">
            <v>39018</v>
          </cell>
          <cell r="D107">
            <v>50147119</v>
          </cell>
          <cell r="E107" t="str">
            <v>F26A06TCD013</v>
          </cell>
          <cell r="F107" t="str">
            <v>FN6A28D2L466506</v>
          </cell>
          <cell r="G107" t="str">
            <v>AF1</v>
          </cell>
          <cell r="H107" t="str">
            <v>SPCC-SD</v>
          </cell>
          <cell r="I107">
            <v>2.2999999999999998</v>
          </cell>
          <cell r="J107">
            <v>170</v>
          </cell>
          <cell r="K107">
            <v>1219</v>
          </cell>
          <cell r="L107" t="str">
            <v>LOUIS ENGINEERING</v>
          </cell>
          <cell r="M107">
            <v>1459</v>
          </cell>
          <cell r="N107">
            <v>390</v>
          </cell>
          <cell r="O107" t="str">
            <v>2L1</v>
          </cell>
          <cell r="P107" t="str">
            <v>LW01/1</v>
          </cell>
        </row>
        <row r="108">
          <cell r="A108">
            <v>50147120</v>
          </cell>
          <cell r="B108">
            <v>107</v>
          </cell>
          <cell r="C108">
            <v>39018</v>
          </cell>
          <cell r="D108">
            <v>50147120</v>
          </cell>
          <cell r="E108" t="str">
            <v>F26A06TCD017</v>
          </cell>
          <cell r="F108" t="str">
            <v>FN6A28D2L466507</v>
          </cell>
          <cell r="G108" t="str">
            <v>AF1</v>
          </cell>
          <cell r="H108" t="str">
            <v>SPCC-SD</v>
          </cell>
          <cell r="I108">
            <v>2.2999999999999998</v>
          </cell>
          <cell r="J108">
            <v>170</v>
          </cell>
          <cell r="K108">
            <v>1219</v>
          </cell>
          <cell r="L108" t="str">
            <v>LOUIS ENGINEERING</v>
          </cell>
          <cell r="M108">
            <v>1459</v>
          </cell>
          <cell r="N108">
            <v>390</v>
          </cell>
          <cell r="O108" t="str">
            <v>2L1</v>
          </cell>
          <cell r="P108" t="str">
            <v>LW01/1</v>
          </cell>
        </row>
        <row r="109">
          <cell r="A109">
            <v>50147121</v>
          </cell>
          <cell r="B109">
            <v>108</v>
          </cell>
          <cell r="C109">
            <v>39018</v>
          </cell>
          <cell r="D109">
            <v>50147121</v>
          </cell>
          <cell r="E109" t="str">
            <v>F26A06TCD017</v>
          </cell>
          <cell r="F109" t="str">
            <v>FN6A28D2L466508</v>
          </cell>
          <cell r="G109" t="str">
            <v>AF1</v>
          </cell>
          <cell r="H109" t="str">
            <v>SPCC-SD</v>
          </cell>
          <cell r="I109">
            <v>2.2999999999999998</v>
          </cell>
          <cell r="J109">
            <v>170</v>
          </cell>
          <cell r="K109">
            <v>1219</v>
          </cell>
          <cell r="L109" t="str">
            <v>LOUIS ENGINEERING</v>
          </cell>
          <cell r="M109">
            <v>1459</v>
          </cell>
          <cell r="N109">
            <v>390</v>
          </cell>
          <cell r="O109" t="str">
            <v>2L1</v>
          </cell>
          <cell r="P109" t="str">
            <v>LW01/1</v>
          </cell>
        </row>
        <row r="110">
          <cell r="A110">
            <v>50147122</v>
          </cell>
          <cell r="B110">
            <v>109</v>
          </cell>
          <cell r="C110">
            <v>39018</v>
          </cell>
          <cell r="D110">
            <v>50147122</v>
          </cell>
          <cell r="E110" t="str">
            <v>F26A06TCD017</v>
          </cell>
          <cell r="F110" t="str">
            <v>FN6A28D2L466509</v>
          </cell>
          <cell r="G110" t="str">
            <v>AF1</v>
          </cell>
          <cell r="H110" t="str">
            <v>SPCC-SD</v>
          </cell>
          <cell r="I110">
            <v>2.2999999999999998</v>
          </cell>
          <cell r="J110">
            <v>170</v>
          </cell>
          <cell r="K110">
            <v>1219</v>
          </cell>
          <cell r="L110" t="str">
            <v>LOUIS ENGINEERING</v>
          </cell>
          <cell r="M110">
            <v>1459</v>
          </cell>
          <cell r="N110">
            <v>390</v>
          </cell>
          <cell r="O110" t="str">
            <v>2L1</v>
          </cell>
          <cell r="P110" t="str">
            <v>LW01/1</v>
          </cell>
        </row>
        <row r="111">
          <cell r="A111">
            <v>50147123</v>
          </cell>
          <cell r="B111">
            <v>110</v>
          </cell>
          <cell r="C111">
            <v>39018</v>
          </cell>
          <cell r="D111">
            <v>50147123</v>
          </cell>
          <cell r="E111" t="str">
            <v>F26A06TCD017</v>
          </cell>
          <cell r="F111" t="str">
            <v>FN6A28D2L466510</v>
          </cell>
          <cell r="G111" t="str">
            <v>AF1</v>
          </cell>
          <cell r="H111" t="str">
            <v>SPCC-SD</v>
          </cell>
          <cell r="I111">
            <v>2.2999999999999998</v>
          </cell>
          <cell r="J111">
            <v>170</v>
          </cell>
          <cell r="K111">
            <v>1219</v>
          </cell>
          <cell r="L111" t="str">
            <v>LOUIS ENGINEERING</v>
          </cell>
          <cell r="M111">
            <v>1459</v>
          </cell>
          <cell r="N111">
            <v>390</v>
          </cell>
          <cell r="O111" t="str">
            <v>2L1</v>
          </cell>
          <cell r="P111" t="str">
            <v>LW01/1</v>
          </cell>
        </row>
        <row r="112">
          <cell r="A112">
            <v>50147124</v>
          </cell>
          <cell r="B112">
            <v>111</v>
          </cell>
          <cell r="C112">
            <v>39018</v>
          </cell>
          <cell r="D112">
            <v>50147124</v>
          </cell>
          <cell r="E112" t="str">
            <v>F26A06TCD017</v>
          </cell>
          <cell r="F112" t="str">
            <v>FN6A28D2L466511</v>
          </cell>
          <cell r="G112" t="str">
            <v>AF1</v>
          </cell>
          <cell r="H112" t="str">
            <v>SPCC-SD</v>
          </cell>
          <cell r="I112">
            <v>2.2999999999999998</v>
          </cell>
          <cell r="J112">
            <v>170</v>
          </cell>
          <cell r="K112">
            <v>1219</v>
          </cell>
          <cell r="L112" t="str">
            <v>LOUIS ENGINEERING</v>
          </cell>
          <cell r="M112">
            <v>1459</v>
          </cell>
          <cell r="N112">
            <v>390</v>
          </cell>
          <cell r="O112" t="str">
            <v>2L1</v>
          </cell>
          <cell r="P112" t="str">
            <v>LW01/1</v>
          </cell>
        </row>
        <row r="113">
          <cell r="A113">
            <v>50147125</v>
          </cell>
          <cell r="B113">
            <v>112</v>
          </cell>
          <cell r="C113">
            <v>39018</v>
          </cell>
          <cell r="D113">
            <v>50147125</v>
          </cell>
          <cell r="E113" t="str">
            <v>F26A06TCD017</v>
          </cell>
          <cell r="F113" t="str">
            <v>FN6A28D2L466512</v>
          </cell>
          <cell r="G113" t="str">
            <v>AF1</v>
          </cell>
          <cell r="H113" t="str">
            <v>SPCC-SD</v>
          </cell>
          <cell r="I113">
            <v>2.2999999999999998</v>
          </cell>
          <cell r="J113">
            <v>170</v>
          </cell>
          <cell r="K113">
            <v>1219</v>
          </cell>
          <cell r="L113" t="str">
            <v>LOUIS ENGINEERING</v>
          </cell>
          <cell r="M113">
            <v>1459</v>
          </cell>
          <cell r="N113">
            <v>390</v>
          </cell>
          <cell r="O113" t="str">
            <v>2L1</v>
          </cell>
          <cell r="P113" t="str">
            <v>LW01/1</v>
          </cell>
        </row>
        <row r="114">
          <cell r="A114">
            <v>50147126</v>
          </cell>
          <cell r="B114">
            <v>113</v>
          </cell>
          <cell r="C114">
            <v>39018</v>
          </cell>
          <cell r="D114">
            <v>50147126</v>
          </cell>
          <cell r="E114" t="str">
            <v>F26A06TCD017</v>
          </cell>
          <cell r="F114" t="str">
            <v>FN6A28D2L466513</v>
          </cell>
          <cell r="G114" t="str">
            <v>AF1</v>
          </cell>
          <cell r="H114" t="str">
            <v>SPCC-SD</v>
          </cell>
          <cell r="I114">
            <v>2.2999999999999998</v>
          </cell>
          <cell r="J114">
            <v>170</v>
          </cell>
          <cell r="K114">
            <v>1219</v>
          </cell>
          <cell r="L114" t="str">
            <v>LOUIS ENGINEERING</v>
          </cell>
          <cell r="M114">
            <v>688</v>
          </cell>
          <cell r="N114">
            <v>184</v>
          </cell>
          <cell r="O114" t="str">
            <v>2L1</v>
          </cell>
          <cell r="P114" t="str">
            <v>LW01/1</v>
          </cell>
        </row>
        <row r="115">
          <cell r="A115">
            <v>50147128</v>
          </cell>
          <cell r="B115">
            <v>114</v>
          </cell>
          <cell r="C115">
            <v>39018</v>
          </cell>
          <cell r="D115">
            <v>50147128</v>
          </cell>
          <cell r="E115" t="str">
            <v>F26A10TCD005</v>
          </cell>
          <cell r="F115" t="str">
            <v>FN6A28D2L468601</v>
          </cell>
          <cell r="G115" t="str">
            <v>AF1</v>
          </cell>
          <cell r="H115" t="str">
            <v>SPCC-SD</v>
          </cell>
          <cell r="I115">
            <v>3.2</v>
          </cell>
          <cell r="J115">
            <v>115</v>
          </cell>
          <cell r="K115">
            <v>1219</v>
          </cell>
          <cell r="L115" t="str">
            <v>GPI</v>
          </cell>
          <cell r="M115">
            <v>352</v>
          </cell>
          <cell r="N115">
            <v>100</v>
          </cell>
          <cell r="O115" t="str">
            <v>2L1</v>
          </cell>
          <cell r="P115" t="str">
            <v>LW01/1</v>
          </cell>
        </row>
        <row r="116">
          <cell r="A116">
            <v>50147129</v>
          </cell>
          <cell r="B116">
            <v>115</v>
          </cell>
          <cell r="C116">
            <v>39018</v>
          </cell>
          <cell r="D116">
            <v>50147129</v>
          </cell>
          <cell r="E116" t="str">
            <v>F26A10TCD005</v>
          </cell>
          <cell r="F116" t="str">
            <v>FN6A28D2L468601</v>
          </cell>
          <cell r="G116" t="str">
            <v>AF1</v>
          </cell>
          <cell r="H116" t="str">
            <v>SPCC-SD</v>
          </cell>
          <cell r="I116">
            <v>3.2</v>
          </cell>
          <cell r="J116">
            <v>150</v>
          </cell>
          <cell r="K116">
            <v>1219</v>
          </cell>
          <cell r="L116" t="str">
            <v>SIAM PRESS</v>
          </cell>
          <cell r="M116">
            <v>459</v>
          </cell>
          <cell r="N116">
            <v>100</v>
          </cell>
          <cell r="O116" t="str">
            <v>2L1</v>
          </cell>
          <cell r="P116" t="str">
            <v>LW01/1</v>
          </cell>
        </row>
        <row r="117">
          <cell r="A117">
            <v>50147033</v>
          </cell>
          <cell r="B117">
            <v>116</v>
          </cell>
          <cell r="C117">
            <v>39018</v>
          </cell>
          <cell r="D117">
            <v>50147033</v>
          </cell>
          <cell r="E117" t="str">
            <v>F35226SSD006</v>
          </cell>
          <cell r="F117" t="str">
            <v>FN6A28D2M463904</v>
          </cell>
          <cell r="G117" t="str">
            <v>CA1</v>
          </cell>
          <cell r="H117" t="str">
            <v>SPHC P/O</v>
          </cell>
          <cell r="I117">
            <v>2</v>
          </cell>
          <cell r="J117">
            <v>305</v>
          </cell>
          <cell r="K117">
            <v>425</v>
          </cell>
          <cell r="L117" t="str">
            <v>TSA</v>
          </cell>
          <cell r="M117">
            <v>816</v>
          </cell>
          <cell r="N117">
            <v>400</v>
          </cell>
          <cell r="O117" t="str">
            <v>2M1</v>
          </cell>
          <cell r="P117" t="str">
            <v>DA01/2</v>
          </cell>
        </row>
        <row r="118">
          <cell r="A118">
            <v>50147034</v>
          </cell>
          <cell r="B118">
            <v>117</v>
          </cell>
          <cell r="C118">
            <v>39018</v>
          </cell>
          <cell r="D118">
            <v>50147034</v>
          </cell>
          <cell r="E118" t="str">
            <v>F35226SSD006</v>
          </cell>
          <cell r="F118" t="str">
            <v>FN6A28D2M463905</v>
          </cell>
          <cell r="G118" t="str">
            <v>CA1</v>
          </cell>
          <cell r="H118" t="str">
            <v>SPHC P/O</v>
          </cell>
          <cell r="I118">
            <v>2</v>
          </cell>
          <cell r="J118">
            <v>305</v>
          </cell>
          <cell r="K118">
            <v>425</v>
          </cell>
          <cell r="L118" t="str">
            <v>TSA</v>
          </cell>
          <cell r="M118">
            <v>816</v>
          </cell>
          <cell r="N118">
            <v>400</v>
          </cell>
          <cell r="O118" t="str">
            <v>2M1</v>
          </cell>
          <cell r="P118" t="str">
            <v>DA01/2</v>
          </cell>
        </row>
        <row r="119">
          <cell r="A119">
            <v>50147035</v>
          </cell>
          <cell r="B119">
            <v>118</v>
          </cell>
          <cell r="C119">
            <v>39018</v>
          </cell>
          <cell r="D119">
            <v>50147035</v>
          </cell>
          <cell r="E119" t="str">
            <v>F35226SSD006</v>
          </cell>
          <cell r="F119" t="str">
            <v>FN6A28D2M463906</v>
          </cell>
          <cell r="G119" t="str">
            <v>CA1</v>
          </cell>
          <cell r="H119" t="str">
            <v>SPHC P/O</v>
          </cell>
          <cell r="I119">
            <v>2</v>
          </cell>
          <cell r="J119">
            <v>305</v>
          </cell>
          <cell r="K119">
            <v>425</v>
          </cell>
          <cell r="L119" t="str">
            <v>TSA</v>
          </cell>
          <cell r="M119">
            <v>819</v>
          </cell>
          <cell r="N119">
            <v>400</v>
          </cell>
          <cell r="O119" t="str">
            <v>2M1</v>
          </cell>
          <cell r="P119" t="str">
            <v>DA01/2</v>
          </cell>
        </row>
        <row r="120">
          <cell r="A120">
            <v>50147048</v>
          </cell>
          <cell r="B120">
            <v>119</v>
          </cell>
          <cell r="C120">
            <v>39018</v>
          </cell>
          <cell r="D120">
            <v>50147048</v>
          </cell>
          <cell r="E120" t="str">
            <v>F26A10TCD001</v>
          </cell>
          <cell r="F120" t="str">
            <v>FN6A28D2M450801</v>
          </cell>
          <cell r="G120" t="str">
            <v>AF1</v>
          </cell>
          <cell r="H120" t="str">
            <v>SPCC-SD</v>
          </cell>
          <cell r="I120">
            <v>3.2</v>
          </cell>
          <cell r="J120">
            <v>364</v>
          </cell>
          <cell r="K120">
            <v>580</v>
          </cell>
          <cell r="L120" t="str">
            <v>TSA</v>
          </cell>
          <cell r="M120">
            <v>530</v>
          </cell>
          <cell r="N120">
            <v>100</v>
          </cell>
          <cell r="O120" t="str">
            <v>2M1</v>
          </cell>
          <cell r="P120" t="str">
            <v>DA01/2</v>
          </cell>
        </row>
        <row r="121">
          <cell r="A121">
            <v>50147049</v>
          </cell>
          <cell r="B121">
            <v>120</v>
          </cell>
          <cell r="C121">
            <v>39018</v>
          </cell>
          <cell r="D121">
            <v>50147049</v>
          </cell>
          <cell r="E121" t="str">
            <v>F26A10TCD001</v>
          </cell>
          <cell r="F121" t="str">
            <v>FN6A28D2M450802</v>
          </cell>
          <cell r="G121" t="str">
            <v>AF1</v>
          </cell>
          <cell r="H121" t="str">
            <v>SPCC-SD</v>
          </cell>
          <cell r="I121">
            <v>3.2</v>
          </cell>
          <cell r="J121">
            <v>364</v>
          </cell>
          <cell r="K121">
            <v>580</v>
          </cell>
          <cell r="L121" t="str">
            <v>TSA</v>
          </cell>
          <cell r="M121">
            <v>530</v>
          </cell>
          <cell r="N121">
            <v>100</v>
          </cell>
          <cell r="O121" t="str">
            <v>2M1</v>
          </cell>
          <cell r="P121" t="str">
            <v>DA01/2</v>
          </cell>
        </row>
        <row r="122">
          <cell r="A122">
            <v>50147050</v>
          </cell>
          <cell r="B122">
            <v>121</v>
          </cell>
          <cell r="C122">
            <v>39018</v>
          </cell>
          <cell r="D122">
            <v>50147050</v>
          </cell>
          <cell r="E122" t="str">
            <v>F26A10TCD001</v>
          </cell>
          <cell r="F122" t="str">
            <v>FN6A28D2M450803</v>
          </cell>
          <cell r="G122" t="str">
            <v>AF1</v>
          </cell>
          <cell r="H122" t="str">
            <v>SPCC-SD</v>
          </cell>
          <cell r="I122">
            <v>3.2</v>
          </cell>
          <cell r="J122">
            <v>364</v>
          </cell>
          <cell r="K122">
            <v>580</v>
          </cell>
          <cell r="L122" t="str">
            <v>TSA</v>
          </cell>
          <cell r="M122">
            <v>530</v>
          </cell>
          <cell r="N122">
            <v>100</v>
          </cell>
          <cell r="O122" t="str">
            <v>2M1</v>
          </cell>
          <cell r="P122" t="str">
            <v>DA01/2</v>
          </cell>
        </row>
        <row r="123">
          <cell r="A123">
            <v>50147087</v>
          </cell>
          <cell r="B123">
            <v>122</v>
          </cell>
          <cell r="C123">
            <v>39018</v>
          </cell>
          <cell r="D123">
            <v>50147087</v>
          </cell>
          <cell r="E123" t="str">
            <v>F36A26PCI039</v>
          </cell>
          <cell r="F123" t="str">
            <v>FN6A28D2M468701</v>
          </cell>
          <cell r="G123" t="str">
            <v>CA5</v>
          </cell>
          <cell r="H123" t="str">
            <v>SPH440-OD</v>
          </cell>
          <cell r="I123">
            <v>2</v>
          </cell>
          <cell r="J123">
            <v>205</v>
          </cell>
          <cell r="K123">
            <v>420</v>
          </cell>
          <cell r="L123" t="str">
            <v>TSA</v>
          </cell>
          <cell r="M123">
            <v>338</v>
          </cell>
          <cell r="N123">
            <v>250</v>
          </cell>
          <cell r="O123" t="str">
            <v>2M1</v>
          </cell>
          <cell r="P123" t="str">
            <v>MW01/1</v>
          </cell>
        </row>
        <row r="124">
          <cell r="A124">
            <v>50147088</v>
          </cell>
          <cell r="B124">
            <v>123</v>
          </cell>
          <cell r="C124">
            <v>39018</v>
          </cell>
          <cell r="D124">
            <v>50147088</v>
          </cell>
          <cell r="E124" t="str">
            <v>F36A26PCI039</v>
          </cell>
          <cell r="F124" t="str">
            <v>FN6A28D2M468702</v>
          </cell>
          <cell r="G124" t="str">
            <v>CA5</v>
          </cell>
          <cell r="H124" t="str">
            <v>SPH440-OD</v>
          </cell>
          <cell r="I124">
            <v>2</v>
          </cell>
          <cell r="J124">
            <v>205</v>
          </cell>
          <cell r="K124">
            <v>420</v>
          </cell>
          <cell r="L124" t="str">
            <v>TSA</v>
          </cell>
          <cell r="M124">
            <v>338</v>
          </cell>
          <cell r="N124">
            <v>250</v>
          </cell>
          <cell r="O124" t="str">
            <v>2M1</v>
          </cell>
          <cell r="P124" t="str">
            <v>MW01/1</v>
          </cell>
        </row>
        <row r="125">
          <cell r="A125">
            <v>50147089</v>
          </cell>
          <cell r="B125">
            <v>124</v>
          </cell>
          <cell r="C125">
            <v>39018</v>
          </cell>
          <cell r="D125">
            <v>50147089</v>
          </cell>
          <cell r="E125" t="str">
            <v>F36A26PCI039</v>
          </cell>
          <cell r="F125" t="str">
            <v>FN6A28D2M468703</v>
          </cell>
          <cell r="G125" t="str">
            <v>CA5</v>
          </cell>
          <cell r="H125" t="str">
            <v>SPH440-OD</v>
          </cell>
          <cell r="I125">
            <v>2</v>
          </cell>
          <cell r="J125">
            <v>205</v>
          </cell>
          <cell r="K125">
            <v>420</v>
          </cell>
          <cell r="L125" t="str">
            <v>TSA</v>
          </cell>
          <cell r="M125">
            <v>338</v>
          </cell>
          <cell r="N125">
            <v>250</v>
          </cell>
          <cell r="O125" t="str">
            <v>2M1</v>
          </cell>
          <cell r="P125" t="str">
            <v>MW01/1</v>
          </cell>
        </row>
        <row r="126">
          <cell r="A126">
            <v>50147090</v>
          </cell>
          <cell r="B126">
            <v>125</v>
          </cell>
          <cell r="C126">
            <v>39018</v>
          </cell>
          <cell r="D126">
            <v>50147090</v>
          </cell>
          <cell r="E126" t="str">
            <v>F36A26PCI039</v>
          </cell>
          <cell r="F126" t="str">
            <v>FN6A28D2M468704</v>
          </cell>
          <cell r="G126" t="str">
            <v>CA5</v>
          </cell>
          <cell r="H126" t="str">
            <v>SPH440-OD</v>
          </cell>
          <cell r="I126">
            <v>2</v>
          </cell>
          <cell r="J126">
            <v>205</v>
          </cell>
          <cell r="K126">
            <v>420</v>
          </cell>
          <cell r="L126" t="str">
            <v>TSA</v>
          </cell>
          <cell r="M126">
            <v>338</v>
          </cell>
          <cell r="N126">
            <v>250</v>
          </cell>
          <cell r="O126" t="str">
            <v>2M1</v>
          </cell>
          <cell r="P126" t="str">
            <v>MW01/1</v>
          </cell>
        </row>
        <row r="127">
          <cell r="A127">
            <v>50147091</v>
          </cell>
          <cell r="B127">
            <v>126</v>
          </cell>
          <cell r="C127">
            <v>39018</v>
          </cell>
          <cell r="D127">
            <v>50147091</v>
          </cell>
          <cell r="E127" t="str">
            <v>F36A26PCI039</v>
          </cell>
          <cell r="F127" t="str">
            <v>FN6A28D2M468705</v>
          </cell>
          <cell r="G127" t="str">
            <v>CA5</v>
          </cell>
          <cell r="H127" t="str">
            <v>SPH440-OD</v>
          </cell>
          <cell r="I127">
            <v>2</v>
          </cell>
          <cell r="J127">
            <v>205</v>
          </cell>
          <cell r="K127">
            <v>420</v>
          </cell>
          <cell r="L127" t="str">
            <v>TSA</v>
          </cell>
          <cell r="M127">
            <v>338</v>
          </cell>
          <cell r="N127">
            <v>250</v>
          </cell>
          <cell r="O127" t="str">
            <v>2M1</v>
          </cell>
          <cell r="P127" t="str">
            <v>MW01/1</v>
          </cell>
        </row>
        <row r="128">
          <cell r="A128">
            <v>50147092</v>
          </cell>
          <cell r="B128">
            <v>127</v>
          </cell>
          <cell r="C128">
            <v>39018</v>
          </cell>
          <cell r="D128">
            <v>50147092</v>
          </cell>
          <cell r="E128" t="str">
            <v>F36A26PCI039</v>
          </cell>
          <cell r="F128" t="str">
            <v>FN6A28D2M468706</v>
          </cell>
          <cell r="G128" t="str">
            <v>CA5</v>
          </cell>
          <cell r="H128" t="str">
            <v>SPH440-OD</v>
          </cell>
          <cell r="I128">
            <v>2</v>
          </cell>
          <cell r="J128">
            <v>205</v>
          </cell>
          <cell r="K128">
            <v>420</v>
          </cell>
          <cell r="L128" t="str">
            <v>TSA</v>
          </cell>
          <cell r="M128">
            <v>338</v>
          </cell>
          <cell r="N128">
            <v>250</v>
          </cell>
          <cell r="O128" t="str">
            <v>2M1</v>
          </cell>
          <cell r="P128" t="str">
            <v>MW01/1</v>
          </cell>
        </row>
        <row r="129">
          <cell r="A129">
            <v>50147093</v>
          </cell>
          <cell r="B129">
            <v>128</v>
          </cell>
          <cell r="C129">
            <v>39018</v>
          </cell>
          <cell r="D129">
            <v>50147093</v>
          </cell>
          <cell r="E129" t="str">
            <v>F36A26PCI039</v>
          </cell>
          <cell r="F129" t="str">
            <v>FN6A28D2M468707</v>
          </cell>
          <cell r="G129" t="str">
            <v>CA5</v>
          </cell>
          <cell r="H129" t="str">
            <v>SPH440-OD</v>
          </cell>
          <cell r="I129">
            <v>2</v>
          </cell>
          <cell r="J129">
            <v>205</v>
          </cell>
          <cell r="K129">
            <v>420</v>
          </cell>
          <cell r="L129" t="str">
            <v>TSA</v>
          </cell>
          <cell r="M129">
            <v>338</v>
          </cell>
          <cell r="N129">
            <v>250</v>
          </cell>
          <cell r="O129" t="str">
            <v>2M1</v>
          </cell>
          <cell r="P129" t="str">
            <v>MW01/1</v>
          </cell>
        </row>
        <row r="130">
          <cell r="A130">
            <v>50147094</v>
          </cell>
          <cell r="B130">
            <v>129</v>
          </cell>
          <cell r="C130">
            <v>39018</v>
          </cell>
          <cell r="D130">
            <v>50147094</v>
          </cell>
          <cell r="E130" t="str">
            <v>F36A26PCI039</v>
          </cell>
          <cell r="F130" t="str">
            <v>FN6A28D2M468708</v>
          </cell>
          <cell r="G130" t="str">
            <v>CA5</v>
          </cell>
          <cell r="H130" t="str">
            <v>SPH440-OD</v>
          </cell>
          <cell r="I130">
            <v>2</v>
          </cell>
          <cell r="J130">
            <v>205</v>
          </cell>
          <cell r="K130">
            <v>420</v>
          </cell>
          <cell r="L130" t="str">
            <v>TSA</v>
          </cell>
          <cell r="M130">
            <v>338</v>
          </cell>
          <cell r="N130">
            <v>250</v>
          </cell>
          <cell r="O130" t="str">
            <v>2M1</v>
          </cell>
          <cell r="P130" t="str">
            <v>MW01/1</v>
          </cell>
        </row>
        <row r="131">
          <cell r="A131">
            <v>60070412</v>
          </cell>
          <cell r="B131">
            <v>130</v>
          </cell>
          <cell r="C131">
            <v>39018</v>
          </cell>
          <cell r="D131">
            <v>60070412</v>
          </cell>
          <cell r="E131" t="str">
            <v>F35721SHD004</v>
          </cell>
          <cell r="F131" t="str">
            <v>FN6A28D2S466901</v>
          </cell>
          <cell r="G131" t="str">
            <v>CA1</v>
          </cell>
          <cell r="H131" t="str">
            <v>SPHC P/O</v>
          </cell>
          <cell r="I131">
            <v>4</v>
          </cell>
          <cell r="J131">
            <v>90.5</v>
          </cell>
          <cell r="K131" t="str">
            <v>C</v>
          </cell>
          <cell r="L131" t="str">
            <v>AOYAMA THAI</v>
          </cell>
          <cell r="M131">
            <v>245</v>
          </cell>
          <cell r="N131">
            <v>1</v>
          </cell>
          <cell r="O131" t="str">
            <v>2S1</v>
          </cell>
          <cell r="P131" t="str">
            <v>CS01/7</v>
          </cell>
        </row>
        <row r="132">
          <cell r="A132">
            <v>60070413</v>
          </cell>
          <cell r="B132">
            <v>131</v>
          </cell>
          <cell r="C132">
            <v>39018</v>
          </cell>
          <cell r="D132">
            <v>60070413</v>
          </cell>
          <cell r="E132" t="str">
            <v>F35721SHD004</v>
          </cell>
          <cell r="F132" t="str">
            <v>FN6A28D2S466902</v>
          </cell>
          <cell r="G132" t="str">
            <v>CA1</v>
          </cell>
          <cell r="H132" t="str">
            <v>SPHC P/O</v>
          </cell>
          <cell r="I132">
            <v>4</v>
          </cell>
          <cell r="J132">
            <v>90.5</v>
          </cell>
          <cell r="K132" t="str">
            <v>C</v>
          </cell>
          <cell r="L132" t="str">
            <v>AOYAMA THAI</v>
          </cell>
          <cell r="M132">
            <v>245</v>
          </cell>
          <cell r="N132">
            <v>1</v>
          </cell>
          <cell r="O132" t="str">
            <v>2S1</v>
          </cell>
          <cell r="P132" t="str">
            <v>CS01/7</v>
          </cell>
        </row>
        <row r="133">
          <cell r="A133">
            <v>60070414</v>
          </cell>
          <cell r="B133">
            <v>132</v>
          </cell>
          <cell r="C133">
            <v>39018</v>
          </cell>
          <cell r="D133">
            <v>60070414</v>
          </cell>
          <cell r="E133" t="str">
            <v>F35721SHD004</v>
          </cell>
          <cell r="F133" t="str">
            <v>FN6A28D2S466903</v>
          </cell>
          <cell r="G133" t="str">
            <v>CA1</v>
          </cell>
          <cell r="H133" t="str">
            <v>SPHC P/O</v>
          </cell>
          <cell r="I133">
            <v>4</v>
          </cell>
          <cell r="J133">
            <v>90.5</v>
          </cell>
          <cell r="K133" t="str">
            <v>C</v>
          </cell>
          <cell r="L133" t="str">
            <v>AOYAMA THAI</v>
          </cell>
          <cell r="M133">
            <v>245</v>
          </cell>
          <cell r="N133">
            <v>1</v>
          </cell>
          <cell r="O133" t="str">
            <v>2S1</v>
          </cell>
          <cell r="P133" t="str">
            <v>CS01/7</v>
          </cell>
        </row>
        <row r="134">
          <cell r="A134">
            <v>60070415</v>
          </cell>
          <cell r="B134">
            <v>133</v>
          </cell>
          <cell r="C134">
            <v>39018</v>
          </cell>
          <cell r="D134">
            <v>60070415</v>
          </cell>
          <cell r="E134" t="str">
            <v>F35721SHD004</v>
          </cell>
          <cell r="F134" t="str">
            <v>FN6A28D2S466904</v>
          </cell>
          <cell r="G134" t="str">
            <v>CA1</v>
          </cell>
          <cell r="H134" t="str">
            <v>SPHC P/O</v>
          </cell>
          <cell r="I134">
            <v>4</v>
          </cell>
          <cell r="J134">
            <v>90.5</v>
          </cell>
          <cell r="K134" t="str">
            <v>C</v>
          </cell>
          <cell r="L134" t="str">
            <v>AOYAMA THAI</v>
          </cell>
          <cell r="M134">
            <v>245</v>
          </cell>
          <cell r="N134">
            <v>1</v>
          </cell>
          <cell r="O134" t="str">
            <v>2S1</v>
          </cell>
          <cell r="P134" t="str">
            <v>CS01/7</v>
          </cell>
        </row>
        <row r="135">
          <cell r="A135">
            <v>60070416</v>
          </cell>
          <cell r="B135">
            <v>134</v>
          </cell>
          <cell r="C135">
            <v>39018</v>
          </cell>
          <cell r="D135">
            <v>60070416</v>
          </cell>
          <cell r="E135" t="str">
            <v>F35721SHD004</v>
          </cell>
          <cell r="F135" t="str">
            <v>FN6A28D2S466905</v>
          </cell>
          <cell r="G135" t="str">
            <v>CA1</v>
          </cell>
          <cell r="H135" t="str">
            <v>SPHC P/O</v>
          </cell>
          <cell r="I135">
            <v>4</v>
          </cell>
          <cell r="J135">
            <v>90.5</v>
          </cell>
          <cell r="K135" t="str">
            <v>C</v>
          </cell>
          <cell r="L135" t="str">
            <v>AOYAMA THAI</v>
          </cell>
          <cell r="M135">
            <v>245</v>
          </cell>
          <cell r="N135">
            <v>1</v>
          </cell>
          <cell r="O135" t="str">
            <v>2S1</v>
          </cell>
          <cell r="P135" t="str">
            <v>CS01/7</v>
          </cell>
        </row>
        <row r="136">
          <cell r="A136">
            <v>60070417</v>
          </cell>
          <cell r="B136">
            <v>135</v>
          </cell>
          <cell r="C136">
            <v>39018</v>
          </cell>
          <cell r="D136">
            <v>60070417</v>
          </cell>
          <cell r="E136" t="str">
            <v>F35721SHD004</v>
          </cell>
          <cell r="F136" t="str">
            <v>FN6A28D2S466906</v>
          </cell>
          <cell r="G136" t="str">
            <v>CA1</v>
          </cell>
          <cell r="H136" t="str">
            <v>SPHC P/O</v>
          </cell>
          <cell r="I136">
            <v>4</v>
          </cell>
          <cell r="J136">
            <v>90.5</v>
          </cell>
          <cell r="K136" t="str">
            <v>C</v>
          </cell>
          <cell r="L136" t="str">
            <v>AOYAMA THAI</v>
          </cell>
          <cell r="M136">
            <v>245</v>
          </cell>
          <cell r="N136">
            <v>1</v>
          </cell>
          <cell r="O136" t="str">
            <v>2S1</v>
          </cell>
          <cell r="P136" t="str">
            <v>CS01/7</v>
          </cell>
        </row>
        <row r="137">
          <cell r="A137">
            <v>60070418</v>
          </cell>
          <cell r="B137">
            <v>136</v>
          </cell>
          <cell r="C137">
            <v>39018</v>
          </cell>
          <cell r="D137">
            <v>60070418</v>
          </cell>
          <cell r="E137" t="str">
            <v>F35721SHD004</v>
          </cell>
          <cell r="F137" t="str">
            <v>FN6A28D2S466907</v>
          </cell>
          <cell r="G137" t="str">
            <v>CA1</v>
          </cell>
          <cell r="H137" t="str">
            <v>SPHC P/O</v>
          </cell>
          <cell r="I137">
            <v>4</v>
          </cell>
          <cell r="J137">
            <v>90.5</v>
          </cell>
          <cell r="K137" t="str">
            <v>C</v>
          </cell>
          <cell r="L137" t="str">
            <v>AOYAMA THAI</v>
          </cell>
          <cell r="M137">
            <v>245</v>
          </cell>
          <cell r="N137">
            <v>1</v>
          </cell>
          <cell r="O137" t="str">
            <v>2S1</v>
          </cell>
          <cell r="P137" t="str">
            <v>CS01/7</v>
          </cell>
        </row>
        <row r="138">
          <cell r="A138">
            <v>60070419</v>
          </cell>
          <cell r="B138">
            <v>137</v>
          </cell>
          <cell r="C138">
            <v>39018</v>
          </cell>
          <cell r="D138">
            <v>60070419</v>
          </cell>
          <cell r="E138" t="str">
            <v>F35721SHD004</v>
          </cell>
          <cell r="F138" t="str">
            <v>FN6A28D2S466908</v>
          </cell>
          <cell r="G138" t="str">
            <v>CA1</v>
          </cell>
          <cell r="H138" t="str">
            <v>SPHC P/O</v>
          </cell>
          <cell r="I138">
            <v>4</v>
          </cell>
          <cell r="J138">
            <v>90.5</v>
          </cell>
          <cell r="K138" t="str">
            <v>C</v>
          </cell>
          <cell r="L138" t="str">
            <v>AOYAMA THAI</v>
          </cell>
          <cell r="M138">
            <v>245</v>
          </cell>
          <cell r="N138">
            <v>1</v>
          </cell>
          <cell r="O138" t="str">
            <v>2S1</v>
          </cell>
          <cell r="P138" t="str">
            <v>CS01/7</v>
          </cell>
        </row>
        <row r="139">
          <cell r="A139">
            <v>60070420</v>
          </cell>
          <cell r="B139">
            <v>138</v>
          </cell>
          <cell r="C139">
            <v>39018</v>
          </cell>
          <cell r="D139">
            <v>60070420</v>
          </cell>
          <cell r="E139" t="str">
            <v>F35721SHD004</v>
          </cell>
          <cell r="F139" t="str">
            <v>FN6A28D2S466909</v>
          </cell>
          <cell r="G139" t="str">
            <v>CA1</v>
          </cell>
          <cell r="H139" t="str">
            <v>SPHC P/O</v>
          </cell>
          <cell r="I139">
            <v>4</v>
          </cell>
          <cell r="J139">
            <v>90.5</v>
          </cell>
          <cell r="K139" t="str">
            <v>C</v>
          </cell>
          <cell r="L139" t="str">
            <v>AOYAMA THAI</v>
          </cell>
          <cell r="M139">
            <v>245</v>
          </cell>
          <cell r="N139">
            <v>1</v>
          </cell>
          <cell r="O139" t="str">
            <v>2S1</v>
          </cell>
          <cell r="P139" t="str">
            <v>CS01/7</v>
          </cell>
        </row>
        <row r="140">
          <cell r="A140">
            <v>60070421</v>
          </cell>
          <cell r="B140">
            <v>139</v>
          </cell>
          <cell r="C140">
            <v>39018</v>
          </cell>
          <cell r="D140">
            <v>60070421</v>
          </cell>
          <cell r="E140" t="str">
            <v>F35721SHD004</v>
          </cell>
          <cell r="F140" t="str">
            <v>FN6A28D2S466910</v>
          </cell>
          <cell r="G140" t="str">
            <v>CA1</v>
          </cell>
          <cell r="H140" t="str">
            <v>SPHC P/O</v>
          </cell>
          <cell r="I140">
            <v>4</v>
          </cell>
          <cell r="J140">
            <v>90.5</v>
          </cell>
          <cell r="K140" t="str">
            <v>C</v>
          </cell>
          <cell r="L140" t="str">
            <v>AOYAMA THAI</v>
          </cell>
          <cell r="M140">
            <v>245</v>
          </cell>
          <cell r="N140">
            <v>1</v>
          </cell>
          <cell r="O140" t="str">
            <v>2S1</v>
          </cell>
          <cell r="P140" t="str">
            <v>CS01/7</v>
          </cell>
        </row>
        <row r="141">
          <cell r="A141">
            <v>60070422</v>
          </cell>
          <cell r="B141">
            <v>140</v>
          </cell>
          <cell r="C141">
            <v>39018</v>
          </cell>
          <cell r="D141">
            <v>60070422</v>
          </cell>
          <cell r="E141" t="str">
            <v>F35721SHD004</v>
          </cell>
          <cell r="F141" t="str">
            <v>FN6A28D2S466911</v>
          </cell>
          <cell r="G141" t="str">
            <v>CA1</v>
          </cell>
          <cell r="H141" t="str">
            <v>SPHC P/O</v>
          </cell>
          <cell r="I141">
            <v>4</v>
          </cell>
          <cell r="J141">
            <v>90.5</v>
          </cell>
          <cell r="K141" t="str">
            <v>C</v>
          </cell>
          <cell r="L141" t="str">
            <v>AOYAMA THAI</v>
          </cell>
          <cell r="M141">
            <v>245</v>
          </cell>
          <cell r="N141">
            <v>1</v>
          </cell>
          <cell r="O141" t="str">
            <v>2S1</v>
          </cell>
          <cell r="P141" t="str">
            <v>CS01/7</v>
          </cell>
        </row>
        <row r="142">
          <cell r="A142">
            <v>60070423</v>
          </cell>
          <cell r="B142">
            <v>141</v>
          </cell>
          <cell r="C142">
            <v>39018</v>
          </cell>
          <cell r="D142">
            <v>60070423</v>
          </cell>
          <cell r="E142" t="str">
            <v>F35721SHD004</v>
          </cell>
          <cell r="F142" t="str">
            <v>FN6A28D2S466912</v>
          </cell>
          <cell r="G142" t="str">
            <v>CA1</v>
          </cell>
          <cell r="H142" t="str">
            <v>SPHC P/O</v>
          </cell>
          <cell r="I142">
            <v>4</v>
          </cell>
          <cell r="J142">
            <v>90.5</v>
          </cell>
          <cell r="K142" t="str">
            <v>C</v>
          </cell>
          <cell r="L142" t="str">
            <v>AOYAMA THAI</v>
          </cell>
          <cell r="M142">
            <v>245</v>
          </cell>
          <cell r="N142">
            <v>1</v>
          </cell>
          <cell r="O142" t="str">
            <v>2S1</v>
          </cell>
          <cell r="P142" t="str">
            <v>CS01/7</v>
          </cell>
        </row>
        <row r="143">
          <cell r="A143">
            <v>60070424</v>
          </cell>
          <cell r="B143">
            <v>142</v>
          </cell>
          <cell r="C143">
            <v>39018</v>
          </cell>
          <cell r="D143">
            <v>60070424</v>
          </cell>
          <cell r="E143" t="str">
            <v>F35721SHD004</v>
          </cell>
          <cell r="F143" t="str">
            <v>FN6A28D2S466913</v>
          </cell>
          <cell r="G143" t="str">
            <v>CA1</v>
          </cell>
          <cell r="H143" t="str">
            <v>SPHC P/O</v>
          </cell>
          <cell r="I143">
            <v>4</v>
          </cell>
          <cell r="J143">
            <v>90.5</v>
          </cell>
          <cell r="K143" t="str">
            <v>C</v>
          </cell>
          <cell r="L143" t="str">
            <v>AOYAMA THAI</v>
          </cell>
          <cell r="M143">
            <v>245</v>
          </cell>
          <cell r="N143">
            <v>1</v>
          </cell>
          <cell r="O143" t="str">
            <v>2S1</v>
          </cell>
          <cell r="P143" t="str">
            <v>CS01/7</v>
          </cell>
        </row>
        <row r="144">
          <cell r="A144">
            <v>60070425</v>
          </cell>
          <cell r="B144">
            <v>143</v>
          </cell>
          <cell r="C144">
            <v>39018</v>
          </cell>
          <cell r="D144">
            <v>60070425</v>
          </cell>
          <cell r="E144" t="str">
            <v>F35721SHD004</v>
          </cell>
          <cell r="F144" t="str">
            <v>FN6A28D2S466914</v>
          </cell>
          <cell r="G144" t="str">
            <v>CA1</v>
          </cell>
          <cell r="H144" t="str">
            <v>SPHC P/O</v>
          </cell>
          <cell r="I144">
            <v>4</v>
          </cell>
          <cell r="J144">
            <v>90.5</v>
          </cell>
          <cell r="K144" t="str">
            <v>C</v>
          </cell>
          <cell r="L144" t="str">
            <v>AOYAMA THAI</v>
          </cell>
          <cell r="M144">
            <v>232</v>
          </cell>
          <cell r="N144">
            <v>1</v>
          </cell>
          <cell r="O144" t="str">
            <v>2S1</v>
          </cell>
          <cell r="P144" t="str">
            <v>CS01/7</v>
          </cell>
        </row>
        <row r="145">
          <cell r="A145">
            <v>60070426</v>
          </cell>
          <cell r="B145">
            <v>144</v>
          </cell>
          <cell r="C145">
            <v>39018</v>
          </cell>
          <cell r="D145">
            <v>60070426</v>
          </cell>
          <cell r="E145" t="str">
            <v>F35721SHD004</v>
          </cell>
          <cell r="F145" t="str">
            <v>FN6A28D2S466915</v>
          </cell>
          <cell r="G145" t="str">
            <v>CA1</v>
          </cell>
          <cell r="H145" t="str">
            <v>SPHC P/O</v>
          </cell>
          <cell r="I145">
            <v>4</v>
          </cell>
          <cell r="J145">
            <v>90.5</v>
          </cell>
          <cell r="K145" t="str">
            <v>C</v>
          </cell>
          <cell r="L145" t="str">
            <v>AOYAMA THAI</v>
          </cell>
          <cell r="M145">
            <v>232</v>
          </cell>
          <cell r="N145">
            <v>1</v>
          </cell>
          <cell r="O145" t="str">
            <v>2S1</v>
          </cell>
          <cell r="P145" t="str">
            <v>CS01/7</v>
          </cell>
        </row>
        <row r="146">
          <cell r="A146">
            <v>60070427</v>
          </cell>
          <cell r="B146">
            <v>145</v>
          </cell>
          <cell r="C146">
            <v>39018</v>
          </cell>
          <cell r="D146">
            <v>60070427</v>
          </cell>
          <cell r="E146" t="str">
            <v>F35721SHD004</v>
          </cell>
          <cell r="F146" t="str">
            <v>FN6A28D2S466916</v>
          </cell>
          <cell r="G146" t="str">
            <v>CA1</v>
          </cell>
          <cell r="H146" t="str">
            <v>SPHC P/O</v>
          </cell>
          <cell r="I146">
            <v>4</v>
          </cell>
          <cell r="J146">
            <v>90.5</v>
          </cell>
          <cell r="K146" t="str">
            <v>C</v>
          </cell>
          <cell r="L146" t="str">
            <v>AOYAMA THAI</v>
          </cell>
          <cell r="M146">
            <v>232</v>
          </cell>
          <cell r="N146">
            <v>1</v>
          </cell>
          <cell r="O146" t="str">
            <v>2S1</v>
          </cell>
          <cell r="P146" t="str">
            <v>CS01/7</v>
          </cell>
        </row>
        <row r="147">
          <cell r="A147">
            <v>60070428</v>
          </cell>
          <cell r="B147">
            <v>146</v>
          </cell>
          <cell r="C147">
            <v>39018</v>
          </cell>
          <cell r="D147">
            <v>60070428</v>
          </cell>
          <cell r="E147" t="str">
            <v>F35721SHD004</v>
          </cell>
          <cell r="F147" t="str">
            <v>FN6A28D2S466917</v>
          </cell>
          <cell r="G147" t="str">
            <v>CA1</v>
          </cell>
          <cell r="H147" t="str">
            <v>SPHC P/O</v>
          </cell>
          <cell r="I147">
            <v>4</v>
          </cell>
          <cell r="J147">
            <v>90.5</v>
          </cell>
          <cell r="K147" t="str">
            <v>C</v>
          </cell>
          <cell r="L147" t="str">
            <v>AOYAMA THAI</v>
          </cell>
          <cell r="M147">
            <v>232</v>
          </cell>
          <cell r="N147">
            <v>1</v>
          </cell>
          <cell r="O147" t="str">
            <v>2S1</v>
          </cell>
          <cell r="P147" t="str">
            <v>CS01/7</v>
          </cell>
        </row>
        <row r="148">
          <cell r="A148">
            <v>60070429</v>
          </cell>
          <cell r="B148">
            <v>147</v>
          </cell>
          <cell r="C148">
            <v>39018</v>
          </cell>
          <cell r="D148">
            <v>60070429</v>
          </cell>
          <cell r="E148" t="str">
            <v>F35721SHD004</v>
          </cell>
          <cell r="F148" t="str">
            <v>FN6A28D2S466918</v>
          </cell>
          <cell r="G148" t="str">
            <v>CA1</v>
          </cell>
          <cell r="H148" t="str">
            <v>SPHC P/O</v>
          </cell>
          <cell r="I148">
            <v>4</v>
          </cell>
          <cell r="J148">
            <v>90.5</v>
          </cell>
          <cell r="K148" t="str">
            <v>C</v>
          </cell>
          <cell r="L148" t="str">
            <v>AOYAMA THAI</v>
          </cell>
          <cell r="M148">
            <v>232</v>
          </cell>
          <cell r="N148">
            <v>1</v>
          </cell>
          <cell r="O148" t="str">
            <v>2S1</v>
          </cell>
          <cell r="P148" t="str">
            <v>CS01/7</v>
          </cell>
        </row>
        <row r="149">
          <cell r="A149">
            <v>60070430</v>
          </cell>
          <cell r="B149">
            <v>148</v>
          </cell>
          <cell r="C149">
            <v>39018</v>
          </cell>
          <cell r="D149">
            <v>60070430</v>
          </cell>
          <cell r="E149" t="str">
            <v>F35721SHD004</v>
          </cell>
          <cell r="F149" t="str">
            <v>FN6A28D2S466919</v>
          </cell>
          <cell r="G149" t="str">
            <v>CA1</v>
          </cell>
          <cell r="H149" t="str">
            <v>SPHC P/O</v>
          </cell>
          <cell r="I149">
            <v>4</v>
          </cell>
          <cell r="J149">
            <v>90.5</v>
          </cell>
          <cell r="K149" t="str">
            <v>C</v>
          </cell>
          <cell r="L149" t="str">
            <v>AOYAMA THAI</v>
          </cell>
          <cell r="M149">
            <v>232</v>
          </cell>
          <cell r="N149">
            <v>1</v>
          </cell>
          <cell r="O149" t="str">
            <v>2S1</v>
          </cell>
          <cell r="P149" t="str">
            <v>CS01/7</v>
          </cell>
        </row>
        <row r="150">
          <cell r="A150">
            <v>60070431</v>
          </cell>
          <cell r="B150">
            <v>149</v>
          </cell>
          <cell r="C150">
            <v>39018</v>
          </cell>
          <cell r="D150">
            <v>60070431</v>
          </cell>
          <cell r="E150" t="str">
            <v>F35721SHD004</v>
          </cell>
          <cell r="F150" t="str">
            <v>FN6A28D2S466920</v>
          </cell>
          <cell r="G150" t="str">
            <v>CA1</v>
          </cell>
          <cell r="H150" t="str">
            <v>SPHC P/O</v>
          </cell>
          <cell r="I150">
            <v>4</v>
          </cell>
          <cell r="J150">
            <v>90.5</v>
          </cell>
          <cell r="K150" t="str">
            <v>C</v>
          </cell>
          <cell r="L150" t="str">
            <v>AOYAMA THAI</v>
          </cell>
          <cell r="M150">
            <v>232</v>
          </cell>
          <cell r="N150">
            <v>1</v>
          </cell>
          <cell r="O150" t="str">
            <v>2S1</v>
          </cell>
          <cell r="P150" t="str">
            <v>CS01/7</v>
          </cell>
        </row>
        <row r="151">
          <cell r="A151">
            <v>60070432</v>
          </cell>
          <cell r="B151">
            <v>150</v>
          </cell>
          <cell r="C151">
            <v>39018</v>
          </cell>
          <cell r="D151">
            <v>60070432</v>
          </cell>
          <cell r="E151" t="str">
            <v>F35721SHD004</v>
          </cell>
          <cell r="F151" t="str">
            <v>FN6A28D2S466921</v>
          </cell>
          <cell r="G151" t="str">
            <v>CA1</v>
          </cell>
          <cell r="H151" t="str">
            <v>SPHC P/O</v>
          </cell>
          <cell r="I151">
            <v>4</v>
          </cell>
          <cell r="J151">
            <v>90.5</v>
          </cell>
          <cell r="K151" t="str">
            <v>C</v>
          </cell>
          <cell r="L151" t="str">
            <v>AOYAMA THAI</v>
          </cell>
          <cell r="M151">
            <v>232</v>
          </cell>
          <cell r="N151">
            <v>1</v>
          </cell>
          <cell r="O151" t="str">
            <v>2S1</v>
          </cell>
          <cell r="P151" t="str">
            <v>CS01/7</v>
          </cell>
        </row>
        <row r="152">
          <cell r="A152">
            <v>60070433</v>
          </cell>
          <cell r="B152">
            <v>151</v>
          </cell>
          <cell r="C152">
            <v>39018</v>
          </cell>
          <cell r="D152">
            <v>60070433</v>
          </cell>
          <cell r="E152" t="str">
            <v>F35721SHD004</v>
          </cell>
          <cell r="F152" t="str">
            <v>FN6A28D2S466922</v>
          </cell>
          <cell r="G152" t="str">
            <v>CA1</v>
          </cell>
          <cell r="H152" t="str">
            <v>SPHC P/O</v>
          </cell>
          <cell r="I152">
            <v>4</v>
          </cell>
          <cell r="J152">
            <v>90.5</v>
          </cell>
          <cell r="K152" t="str">
            <v>C</v>
          </cell>
          <cell r="L152" t="str">
            <v>AOYAMA THAI</v>
          </cell>
          <cell r="M152">
            <v>232</v>
          </cell>
          <cell r="N152">
            <v>1</v>
          </cell>
          <cell r="O152" t="str">
            <v>2S1</v>
          </cell>
          <cell r="P152" t="str">
            <v>CS01/7</v>
          </cell>
        </row>
        <row r="153">
          <cell r="A153">
            <v>60070434</v>
          </cell>
          <cell r="B153">
            <v>152</v>
          </cell>
          <cell r="C153">
            <v>39018</v>
          </cell>
          <cell r="D153">
            <v>60070434</v>
          </cell>
          <cell r="E153" t="str">
            <v>F35721SHD004</v>
          </cell>
          <cell r="F153" t="str">
            <v>FN6A28D2S466923</v>
          </cell>
          <cell r="G153" t="str">
            <v>CA1</v>
          </cell>
          <cell r="H153" t="str">
            <v>SPHC P/O</v>
          </cell>
          <cell r="I153">
            <v>4</v>
          </cell>
          <cell r="J153">
            <v>90.5</v>
          </cell>
          <cell r="K153" t="str">
            <v>C</v>
          </cell>
          <cell r="L153" t="str">
            <v>AOYAMA THAI</v>
          </cell>
          <cell r="M153">
            <v>232</v>
          </cell>
          <cell r="N153">
            <v>1</v>
          </cell>
          <cell r="O153" t="str">
            <v>2S1</v>
          </cell>
          <cell r="P153" t="str">
            <v>CS01/7</v>
          </cell>
        </row>
        <row r="154">
          <cell r="A154">
            <v>60070435</v>
          </cell>
          <cell r="B154">
            <v>153</v>
          </cell>
          <cell r="C154">
            <v>39018</v>
          </cell>
          <cell r="D154">
            <v>60070435</v>
          </cell>
          <cell r="E154" t="str">
            <v>F35721SHD004</v>
          </cell>
          <cell r="F154" t="str">
            <v>FN6A28D2S466924</v>
          </cell>
          <cell r="G154" t="str">
            <v>CA1</v>
          </cell>
          <cell r="H154" t="str">
            <v>SPHC P/O</v>
          </cell>
          <cell r="I154">
            <v>4</v>
          </cell>
          <cell r="J154">
            <v>90.5</v>
          </cell>
          <cell r="K154" t="str">
            <v>C</v>
          </cell>
          <cell r="L154" t="str">
            <v>AOYAMA THAI</v>
          </cell>
          <cell r="M154">
            <v>232</v>
          </cell>
          <cell r="N154">
            <v>1</v>
          </cell>
          <cell r="O154" t="str">
            <v>2S1</v>
          </cell>
          <cell r="P154" t="str">
            <v>CS01/7</v>
          </cell>
        </row>
        <row r="155">
          <cell r="A155">
            <v>60070436</v>
          </cell>
          <cell r="B155">
            <v>154</v>
          </cell>
          <cell r="C155">
            <v>39018</v>
          </cell>
          <cell r="D155">
            <v>60070436</v>
          </cell>
          <cell r="E155" t="str">
            <v>F35721SHD004</v>
          </cell>
          <cell r="F155" t="str">
            <v>FN6A28D2S466925</v>
          </cell>
          <cell r="G155" t="str">
            <v>CA1</v>
          </cell>
          <cell r="H155" t="str">
            <v>SPHC P/O</v>
          </cell>
          <cell r="I155">
            <v>4</v>
          </cell>
          <cell r="J155">
            <v>90.5</v>
          </cell>
          <cell r="K155" t="str">
            <v>C</v>
          </cell>
          <cell r="L155" t="str">
            <v>AOYAMA THAI</v>
          </cell>
          <cell r="M155">
            <v>232</v>
          </cell>
          <cell r="N155">
            <v>1</v>
          </cell>
          <cell r="O155" t="str">
            <v>2S1</v>
          </cell>
          <cell r="P155" t="str">
            <v>CS01/7</v>
          </cell>
        </row>
        <row r="156">
          <cell r="A156">
            <v>60070437</v>
          </cell>
          <cell r="B156">
            <v>155</v>
          </cell>
          <cell r="C156">
            <v>39018</v>
          </cell>
          <cell r="D156">
            <v>60070437</v>
          </cell>
          <cell r="E156" t="str">
            <v>F35721SHD004</v>
          </cell>
          <cell r="F156" t="str">
            <v>FN6A28D2S466926</v>
          </cell>
          <cell r="G156" t="str">
            <v>CA1</v>
          </cell>
          <cell r="H156" t="str">
            <v>SPHC P/O</v>
          </cell>
          <cell r="I156">
            <v>4</v>
          </cell>
          <cell r="J156">
            <v>90.5</v>
          </cell>
          <cell r="K156" t="str">
            <v>C</v>
          </cell>
          <cell r="L156" t="str">
            <v>AOYAMA THAI</v>
          </cell>
          <cell r="M156">
            <v>232</v>
          </cell>
          <cell r="N156">
            <v>1</v>
          </cell>
          <cell r="O156" t="str">
            <v>2S1</v>
          </cell>
          <cell r="P156" t="str">
            <v>CS01/7</v>
          </cell>
        </row>
        <row r="157">
          <cell r="A157">
            <v>60070438</v>
          </cell>
          <cell r="B157">
            <v>156</v>
          </cell>
          <cell r="C157">
            <v>39018</v>
          </cell>
          <cell r="D157">
            <v>60070438</v>
          </cell>
          <cell r="E157" t="str">
            <v>F35721SHD004</v>
          </cell>
          <cell r="F157" t="str">
            <v>FN6A28D2S466927</v>
          </cell>
          <cell r="G157" t="str">
            <v>CA1</v>
          </cell>
          <cell r="H157" t="str">
            <v>SPHC P/O</v>
          </cell>
          <cell r="I157">
            <v>4</v>
          </cell>
          <cell r="J157">
            <v>90.5</v>
          </cell>
          <cell r="K157" t="str">
            <v>C</v>
          </cell>
          <cell r="L157" t="str">
            <v>AOYAMA THAI</v>
          </cell>
          <cell r="M157">
            <v>245</v>
          </cell>
          <cell r="N157">
            <v>1</v>
          </cell>
          <cell r="O157" t="str">
            <v>2S1</v>
          </cell>
          <cell r="P157" t="str">
            <v>CS01/7</v>
          </cell>
        </row>
        <row r="158">
          <cell r="A158">
            <v>60070439</v>
          </cell>
          <cell r="B158">
            <v>157</v>
          </cell>
          <cell r="C158">
            <v>39018</v>
          </cell>
          <cell r="D158">
            <v>60070439</v>
          </cell>
          <cell r="E158" t="str">
            <v>F35721SHD004</v>
          </cell>
          <cell r="F158" t="str">
            <v>FN6A28D2S466928</v>
          </cell>
          <cell r="G158" t="str">
            <v>CA1</v>
          </cell>
          <cell r="H158" t="str">
            <v>SPHC P/O</v>
          </cell>
          <cell r="I158">
            <v>4</v>
          </cell>
          <cell r="J158">
            <v>90.5</v>
          </cell>
          <cell r="K158" t="str">
            <v>C</v>
          </cell>
          <cell r="L158" t="str">
            <v>AOYAMA THAI</v>
          </cell>
          <cell r="M158">
            <v>245</v>
          </cell>
          <cell r="N158">
            <v>1</v>
          </cell>
          <cell r="O158" t="str">
            <v>2S1</v>
          </cell>
          <cell r="P158" t="str">
            <v>CS01/7</v>
          </cell>
        </row>
        <row r="159">
          <cell r="A159">
            <v>60070440</v>
          </cell>
          <cell r="B159">
            <v>158</v>
          </cell>
          <cell r="C159">
            <v>39018</v>
          </cell>
          <cell r="D159">
            <v>60070440</v>
          </cell>
          <cell r="E159" t="str">
            <v>F35721SHD004</v>
          </cell>
          <cell r="F159" t="str">
            <v>FN6A28D2S466929</v>
          </cell>
          <cell r="G159" t="str">
            <v>CA1</v>
          </cell>
          <cell r="H159" t="str">
            <v>SPHC P/O</v>
          </cell>
          <cell r="I159">
            <v>4</v>
          </cell>
          <cell r="J159">
            <v>90.5</v>
          </cell>
          <cell r="K159" t="str">
            <v>C</v>
          </cell>
          <cell r="L159" t="str">
            <v>AOYAMA THAI</v>
          </cell>
          <cell r="M159">
            <v>245</v>
          </cell>
          <cell r="N159">
            <v>1</v>
          </cell>
          <cell r="O159" t="str">
            <v>2S1</v>
          </cell>
          <cell r="P159" t="str">
            <v>CS01/7</v>
          </cell>
        </row>
        <row r="160">
          <cell r="A160">
            <v>60070441</v>
          </cell>
          <cell r="B160">
            <v>159</v>
          </cell>
          <cell r="C160">
            <v>39018</v>
          </cell>
          <cell r="D160">
            <v>60070441</v>
          </cell>
          <cell r="E160" t="str">
            <v>F35721SHD004</v>
          </cell>
          <cell r="F160" t="str">
            <v>FN6A28D2S466930</v>
          </cell>
          <cell r="G160" t="str">
            <v>CA1</v>
          </cell>
          <cell r="H160" t="str">
            <v>SPHC P/O</v>
          </cell>
          <cell r="I160">
            <v>4</v>
          </cell>
          <cell r="J160">
            <v>90.5</v>
          </cell>
          <cell r="K160" t="str">
            <v>C</v>
          </cell>
          <cell r="L160" t="str">
            <v>AOYAMA THAI</v>
          </cell>
          <cell r="M160">
            <v>245</v>
          </cell>
          <cell r="N160">
            <v>1</v>
          </cell>
          <cell r="O160" t="str">
            <v>2S1</v>
          </cell>
          <cell r="P160" t="str">
            <v>CS01/7</v>
          </cell>
        </row>
        <row r="161">
          <cell r="A161">
            <v>60070442</v>
          </cell>
          <cell r="B161">
            <v>160</v>
          </cell>
          <cell r="C161">
            <v>39018</v>
          </cell>
          <cell r="D161">
            <v>60070442</v>
          </cell>
          <cell r="E161" t="str">
            <v>F35721SHD004</v>
          </cell>
          <cell r="F161" t="str">
            <v>FN6A28D2S466931</v>
          </cell>
          <cell r="G161" t="str">
            <v>CA1</v>
          </cell>
          <cell r="H161" t="str">
            <v>SPHC P/O</v>
          </cell>
          <cell r="I161">
            <v>4</v>
          </cell>
          <cell r="J161">
            <v>90.5</v>
          </cell>
          <cell r="K161" t="str">
            <v>C</v>
          </cell>
          <cell r="L161" t="str">
            <v>AOYAMA THAI</v>
          </cell>
          <cell r="M161">
            <v>245</v>
          </cell>
          <cell r="N161">
            <v>1</v>
          </cell>
          <cell r="O161" t="str">
            <v>2S1</v>
          </cell>
          <cell r="P161" t="str">
            <v>CS01/7</v>
          </cell>
        </row>
        <row r="162">
          <cell r="A162">
            <v>60070443</v>
          </cell>
          <cell r="B162">
            <v>161</v>
          </cell>
          <cell r="C162">
            <v>39018</v>
          </cell>
          <cell r="D162">
            <v>60070443</v>
          </cell>
          <cell r="E162" t="str">
            <v>F35721SHD004</v>
          </cell>
          <cell r="F162" t="str">
            <v>FN6A28D2S466932</v>
          </cell>
          <cell r="G162" t="str">
            <v>CA1</v>
          </cell>
          <cell r="H162" t="str">
            <v>SPHC P/O</v>
          </cell>
          <cell r="I162">
            <v>4</v>
          </cell>
          <cell r="J162">
            <v>90.5</v>
          </cell>
          <cell r="K162" t="str">
            <v>C</v>
          </cell>
          <cell r="L162" t="str">
            <v>AOYAMA THAI</v>
          </cell>
          <cell r="M162">
            <v>245</v>
          </cell>
          <cell r="N162">
            <v>1</v>
          </cell>
          <cell r="O162" t="str">
            <v>2S1</v>
          </cell>
          <cell r="P162" t="str">
            <v>CS01/7</v>
          </cell>
        </row>
        <row r="163">
          <cell r="A163">
            <v>60070444</v>
          </cell>
          <cell r="B163">
            <v>162</v>
          </cell>
          <cell r="C163">
            <v>39018</v>
          </cell>
          <cell r="D163">
            <v>60070444</v>
          </cell>
          <cell r="E163" t="str">
            <v>F35721SHD004</v>
          </cell>
          <cell r="F163" t="str">
            <v>FN6A28D2S466933</v>
          </cell>
          <cell r="G163" t="str">
            <v>CA1</v>
          </cell>
          <cell r="H163" t="str">
            <v>SPHC P/O</v>
          </cell>
          <cell r="I163">
            <v>4</v>
          </cell>
          <cell r="J163">
            <v>90.5</v>
          </cell>
          <cell r="K163" t="str">
            <v>C</v>
          </cell>
          <cell r="L163" t="str">
            <v>AOYAMA THAI</v>
          </cell>
          <cell r="M163">
            <v>245</v>
          </cell>
          <cell r="N163">
            <v>1</v>
          </cell>
          <cell r="O163" t="str">
            <v>2S1</v>
          </cell>
          <cell r="P163" t="str">
            <v>CS01/7</v>
          </cell>
        </row>
        <row r="164">
          <cell r="A164">
            <v>60070445</v>
          </cell>
          <cell r="B164">
            <v>163</v>
          </cell>
          <cell r="C164">
            <v>39018</v>
          </cell>
          <cell r="D164">
            <v>60070445</v>
          </cell>
          <cell r="E164" t="str">
            <v>F35721SHD004</v>
          </cell>
          <cell r="F164" t="str">
            <v>FN6A28D2S466934</v>
          </cell>
          <cell r="G164" t="str">
            <v>CA1</v>
          </cell>
          <cell r="H164" t="str">
            <v>SPHC P/O</v>
          </cell>
          <cell r="I164">
            <v>4</v>
          </cell>
          <cell r="J164">
            <v>90.5</v>
          </cell>
          <cell r="K164" t="str">
            <v>C</v>
          </cell>
          <cell r="L164" t="str">
            <v>AOYAMA THAI</v>
          </cell>
          <cell r="M164">
            <v>245</v>
          </cell>
          <cell r="N164">
            <v>1</v>
          </cell>
          <cell r="O164" t="str">
            <v>2S1</v>
          </cell>
          <cell r="P164" t="str">
            <v>CS01/7</v>
          </cell>
        </row>
        <row r="165">
          <cell r="A165">
            <v>60070446</v>
          </cell>
          <cell r="B165">
            <v>164</v>
          </cell>
          <cell r="C165">
            <v>39018</v>
          </cell>
          <cell r="D165">
            <v>60070446</v>
          </cell>
          <cell r="E165" t="str">
            <v>F35721SHD004</v>
          </cell>
          <cell r="F165" t="str">
            <v>FN6A28D2S466935</v>
          </cell>
          <cell r="G165" t="str">
            <v>CA1</v>
          </cell>
          <cell r="H165" t="str">
            <v>SPHC P/O</v>
          </cell>
          <cell r="I165">
            <v>4</v>
          </cell>
          <cell r="J165">
            <v>90.5</v>
          </cell>
          <cell r="K165" t="str">
            <v>C</v>
          </cell>
          <cell r="L165" t="str">
            <v>AOYAMA THAI</v>
          </cell>
          <cell r="M165">
            <v>245</v>
          </cell>
          <cell r="N165">
            <v>1</v>
          </cell>
          <cell r="O165" t="str">
            <v>2S1</v>
          </cell>
          <cell r="P165" t="str">
            <v>CS01/7</v>
          </cell>
        </row>
        <row r="166">
          <cell r="A166">
            <v>60070447</v>
          </cell>
          <cell r="B166">
            <v>165</v>
          </cell>
          <cell r="C166">
            <v>39018</v>
          </cell>
          <cell r="D166">
            <v>60070447</v>
          </cell>
          <cell r="E166" t="str">
            <v>F35721SHD004</v>
          </cell>
          <cell r="F166" t="str">
            <v>FN6A28D2S466936</v>
          </cell>
          <cell r="G166" t="str">
            <v>CA1</v>
          </cell>
          <cell r="H166" t="str">
            <v>SPHC P/O</v>
          </cell>
          <cell r="I166">
            <v>4</v>
          </cell>
          <cell r="J166">
            <v>90.5</v>
          </cell>
          <cell r="K166" t="str">
            <v>C</v>
          </cell>
          <cell r="L166" t="str">
            <v>AOYAMA THAI</v>
          </cell>
          <cell r="M166">
            <v>245</v>
          </cell>
          <cell r="N166">
            <v>1</v>
          </cell>
          <cell r="O166" t="str">
            <v>2S1</v>
          </cell>
          <cell r="P166" t="str">
            <v>CS01/7</v>
          </cell>
        </row>
        <row r="167">
          <cell r="A167">
            <v>60070448</v>
          </cell>
          <cell r="B167">
            <v>166</v>
          </cell>
          <cell r="C167">
            <v>39018</v>
          </cell>
          <cell r="D167">
            <v>60070448</v>
          </cell>
          <cell r="E167" t="str">
            <v>F35721SHD004</v>
          </cell>
          <cell r="F167" t="str">
            <v>FN6A28D2S466937</v>
          </cell>
          <cell r="G167" t="str">
            <v>CA1</v>
          </cell>
          <cell r="H167" t="str">
            <v>SPHC P/O</v>
          </cell>
          <cell r="I167">
            <v>4</v>
          </cell>
          <cell r="J167">
            <v>90.5</v>
          </cell>
          <cell r="K167" t="str">
            <v>C</v>
          </cell>
          <cell r="L167" t="str">
            <v>AOYAMA THAI</v>
          </cell>
          <cell r="M167">
            <v>245</v>
          </cell>
          <cell r="N167">
            <v>1</v>
          </cell>
          <cell r="O167" t="str">
            <v>2S1</v>
          </cell>
          <cell r="P167" t="str">
            <v>CS01/7</v>
          </cell>
        </row>
        <row r="168">
          <cell r="A168">
            <v>60070449</v>
          </cell>
          <cell r="B168">
            <v>167</v>
          </cell>
          <cell r="C168">
            <v>39018</v>
          </cell>
          <cell r="D168">
            <v>60070449</v>
          </cell>
          <cell r="E168" t="str">
            <v>F35721SHD004</v>
          </cell>
          <cell r="F168" t="str">
            <v>FN6A28D2S466938</v>
          </cell>
          <cell r="G168" t="str">
            <v>CA1</v>
          </cell>
          <cell r="H168" t="str">
            <v>SPHC P/O</v>
          </cell>
          <cell r="I168">
            <v>4</v>
          </cell>
          <cell r="J168">
            <v>90.5</v>
          </cell>
          <cell r="K168" t="str">
            <v>C</v>
          </cell>
          <cell r="L168" t="str">
            <v>AOYAMA THAI</v>
          </cell>
          <cell r="M168">
            <v>245</v>
          </cell>
          <cell r="N168">
            <v>1</v>
          </cell>
          <cell r="O168" t="str">
            <v>2S1</v>
          </cell>
          <cell r="P168" t="str">
            <v>CS01/7</v>
          </cell>
        </row>
        <row r="169">
          <cell r="A169">
            <v>60070450</v>
          </cell>
          <cell r="B169">
            <v>168</v>
          </cell>
          <cell r="C169">
            <v>39018</v>
          </cell>
          <cell r="D169">
            <v>60070450</v>
          </cell>
          <cell r="E169" t="str">
            <v>F35721SHD004</v>
          </cell>
          <cell r="F169" t="str">
            <v>FN6A28D2S466939</v>
          </cell>
          <cell r="G169" t="str">
            <v>CA1</v>
          </cell>
          <cell r="H169" t="str">
            <v>SPHC P/O</v>
          </cell>
          <cell r="I169">
            <v>4</v>
          </cell>
          <cell r="J169">
            <v>90.5</v>
          </cell>
          <cell r="K169" t="str">
            <v>C</v>
          </cell>
          <cell r="L169" t="str">
            <v>AOYAMA THAI</v>
          </cell>
          <cell r="M169">
            <v>245</v>
          </cell>
          <cell r="N169">
            <v>1</v>
          </cell>
          <cell r="O169" t="str">
            <v>2S1</v>
          </cell>
          <cell r="P169" t="str">
            <v>CS01/7</v>
          </cell>
        </row>
        <row r="170">
          <cell r="A170">
            <v>60070456</v>
          </cell>
          <cell r="B170">
            <v>169</v>
          </cell>
          <cell r="C170">
            <v>39018</v>
          </cell>
          <cell r="D170">
            <v>60070456</v>
          </cell>
          <cell r="E170" t="str">
            <v>F36A26PCI032</v>
          </cell>
          <cell r="F170" t="str">
            <v>FN6A28D2S469601</v>
          </cell>
          <cell r="G170" t="str">
            <v>CA1</v>
          </cell>
          <cell r="H170" t="str">
            <v>SPH270C-OD</v>
          </cell>
          <cell r="I170">
            <v>3.6</v>
          </cell>
          <cell r="J170">
            <v>275</v>
          </cell>
          <cell r="K170" t="str">
            <v>C</v>
          </cell>
          <cell r="L170" t="str">
            <v>TSA</v>
          </cell>
          <cell r="M170">
            <v>1050</v>
          </cell>
          <cell r="N170">
            <v>1</v>
          </cell>
          <cell r="O170" t="str">
            <v>2S1</v>
          </cell>
          <cell r="P170" t="str">
            <v>CS01/9</v>
          </cell>
        </row>
        <row r="171">
          <cell r="A171">
            <v>60070457</v>
          </cell>
          <cell r="B171">
            <v>170</v>
          </cell>
          <cell r="C171">
            <v>39018</v>
          </cell>
          <cell r="D171">
            <v>60070457</v>
          </cell>
          <cell r="E171" t="str">
            <v>F36A26PCI032</v>
          </cell>
          <cell r="F171" t="str">
            <v>FN6A28D2S469602</v>
          </cell>
          <cell r="G171" t="str">
            <v>CA1</v>
          </cell>
          <cell r="H171" t="str">
            <v>SPH270C-OD</v>
          </cell>
          <cell r="I171">
            <v>3.6</v>
          </cell>
          <cell r="J171">
            <v>275</v>
          </cell>
          <cell r="K171" t="str">
            <v>C</v>
          </cell>
          <cell r="L171" t="str">
            <v>TSA</v>
          </cell>
          <cell r="M171">
            <v>1050</v>
          </cell>
          <cell r="N171">
            <v>1</v>
          </cell>
          <cell r="O171" t="str">
            <v>2S1</v>
          </cell>
          <cell r="P171" t="str">
            <v>CS01/9</v>
          </cell>
        </row>
        <row r="172">
          <cell r="A172">
            <v>60070458</v>
          </cell>
          <cell r="B172">
            <v>171</v>
          </cell>
          <cell r="C172">
            <v>39018</v>
          </cell>
          <cell r="D172">
            <v>60070458</v>
          </cell>
          <cell r="E172" t="str">
            <v>F36A26PCI032</v>
          </cell>
          <cell r="F172" t="str">
            <v>FN6A28D2S469603</v>
          </cell>
          <cell r="G172" t="str">
            <v>CA1</v>
          </cell>
          <cell r="H172" t="str">
            <v>SPH270C-OD</v>
          </cell>
          <cell r="I172">
            <v>3.6</v>
          </cell>
          <cell r="J172">
            <v>275</v>
          </cell>
          <cell r="K172" t="str">
            <v>C</v>
          </cell>
          <cell r="L172" t="str">
            <v>TSA</v>
          </cell>
          <cell r="M172">
            <v>1050</v>
          </cell>
          <cell r="N172">
            <v>1</v>
          </cell>
          <cell r="O172" t="str">
            <v>2S1</v>
          </cell>
          <cell r="P172" t="str">
            <v>CS01/9</v>
          </cell>
        </row>
        <row r="173">
          <cell r="A173">
            <v>60070459</v>
          </cell>
          <cell r="B173">
            <v>172</v>
          </cell>
          <cell r="C173">
            <v>39018</v>
          </cell>
          <cell r="D173">
            <v>60070459</v>
          </cell>
          <cell r="E173" t="str">
            <v>F36A26PCI032</v>
          </cell>
          <cell r="F173" t="str">
            <v>FN6A28D2S469604</v>
          </cell>
          <cell r="G173" t="str">
            <v>CA1</v>
          </cell>
          <cell r="H173" t="str">
            <v>SPH270C-OD</v>
          </cell>
          <cell r="I173">
            <v>3.6</v>
          </cell>
          <cell r="J173">
            <v>275</v>
          </cell>
          <cell r="K173" t="str">
            <v>C</v>
          </cell>
          <cell r="L173" t="str">
            <v>TSA</v>
          </cell>
          <cell r="M173">
            <v>1050</v>
          </cell>
          <cell r="N173">
            <v>1</v>
          </cell>
          <cell r="O173" t="str">
            <v>2S1</v>
          </cell>
          <cell r="P173" t="str">
            <v>CS01/9</v>
          </cell>
        </row>
        <row r="174">
          <cell r="A174">
            <v>60070460</v>
          </cell>
          <cell r="B174">
            <v>173</v>
          </cell>
          <cell r="C174">
            <v>39018</v>
          </cell>
          <cell r="D174">
            <v>60070460</v>
          </cell>
          <cell r="E174" t="str">
            <v>F36A26PCI032</v>
          </cell>
          <cell r="F174" t="str">
            <v>FN6A28D2S469605</v>
          </cell>
          <cell r="G174" t="str">
            <v>CA1</v>
          </cell>
          <cell r="H174" t="str">
            <v>SPH270C-OD</v>
          </cell>
          <cell r="I174">
            <v>3.6</v>
          </cell>
          <cell r="J174">
            <v>275</v>
          </cell>
          <cell r="K174" t="str">
            <v>C</v>
          </cell>
          <cell r="L174" t="str">
            <v>TSA</v>
          </cell>
          <cell r="M174">
            <v>1063</v>
          </cell>
          <cell r="N174">
            <v>1</v>
          </cell>
          <cell r="O174" t="str">
            <v>2S1</v>
          </cell>
          <cell r="P174" t="str">
            <v>CS01/9</v>
          </cell>
        </row>
        <row r="175">
          <cell r="A175">
            <v>60070461</v>
          </cell>
          <cell r="B175">
            <v>174</v>
          </cell>
          <cell r="C175">
            <v>39018</v>
          </cell>
          <cell r="D175">
            <v>60070461</v>
          </cell>
          <cell r="E175" t="str">
            <v>F36A26PCI032</v>
          </cell>
          <cell r="F175" t="str">
            <v>FN6A28D2S469606</v>
          </cell>
          <cell r="G175" t="str">
            <v>CA1</v>
          </cell>
          <cell r="H175" t="str">
            <v>SPH270C-OD</v>
          </cell>
          <cell r="I175">
            <v>3.6</v>
          </cell>
          <cell r="J175">
            <v>275</v>
          </cell>
          <cell r="K175" t="str">
            <v>C</v>
          </cell>
          <cell r="L175" t="str">
            <v>TSA</v>
          </cell>
          <cell r="M175">
            <v>1063</v>
          </cell>
          <cell r="N175">
            <v>1</v>
          </cell>
          <cell r="O175" t="str">
            <v>2S1</v>
          </cell>
          <cell r="P175" t="str">
            <v>CS01/9</v>
          </cell>
        </row>
        <row r="176">
          <cell r="A176">
            <v>60070462</v>
          </cell>
          <cell r="B176">
            <v>175</v>
          </cell>
          <cell r="C176">
            <v>39018</v>
          </cell>
          <cell r="D176">
            <v>60070462</v>
          </cell>
          <cell r="E176" t="str">
            <v>F36A26PCI032</v>
          </cell>
          <cell r="F176" t="str">
            <v>FN6A28D2S469607</v>
          </cell>
          <cell r="G176" t="str">
            <v>CA1</v>
          </cell>
          <cell r="H176" t="str">
            <v>SPH270C-OD</v>
          </cell>
          <cell r="I176">
            <v>3.6</v>
          </cell>
          <cell r="J176">
            <v>275</v>
          </cell>
          <cell r="K176" t="str">
            <v>C</v>
          </cell>
          <cell r="L176" t="str">
            <v>TSA</v>
          </cell>
          <cell r="M176">
            <v>1063</v>
          </cell>
          <cell r="N176">
            <v>1</v>
          </cell>
          <cell r="O176" t="str">
            <v>2S1</v>
          </cell>
          <cell r="P176" t="str">
            <v>CS01/9</v>
          </cell>
        </row>
        <row r="177">
          <cell r="A177">
            <v>60070463</v>
          </cell>
          <cell r="B177">
            <v>176</v>
          </cell>
          <cell r="C177">
            <v>39018</v>
          </cell>
          <cell r="D177">
            <v>60070463</v>
          </cell>
          <cell r="E177" t="str">
            <v>F36A26PCI032</v>
          </cell>
          <cell r="F177" t="str">
            <v>FN6A28D2S469608</v>
          </cell>
          <cell r="G177" t="str">
            <v>CA1</v>
          </cell>
          <cell r="H177" t="str">
            <v>SPH270C-OD</v>
          </cell>
          <cell r="I177">
            <v>3.6</v>
          </cell>
          <cell r="J177">
            <v>275</v>
          </cell>
          <cell r="K177" t="str">
            <v>C</v>
          </cell>
          <cell r="L177" t="str">
            <v>TSA</v>
          </cell>
          <cell r="M177">
            <v>1063</v>
          </cell>
          <cell r="N177">
            <v>1</v>
          </cell>
          <cell r="O177" t="str">
            <v>2S1</v>
          </cell>
          <cell r="P177" t="str">
            <v>CS01/9</v>
          </cell>
        </row>
        <row r="178">
          <cell r="A178">
            <v>60070467</v>
          </cell>
          <cell r="B178">
            <v>177</v>
          </cell>
          <cell r="C178">
            <v>39018</v>
          </cell>
          <cell r="D178">
            <v>60070467</v>
          </cell>
          <cell r="E178" t="str">
            <v>F26A09SUD001</v>
          </cell>
          <cell r="F178" t="str">
            <v>FN6A28D2S471601</v>
          </cell>
          <cell r="G178" t="str">
            <v>AF3</v>
          </cell>
          <cell r="H178" t="str">
            <v>SPCEN-SD</v>
          </cell>
          <cell r="I178">
            <v>2</v>
          </cell>
          <cell r="J178">
            <v>143</v>
          </cell>
          <cell r="K178" t="str">
            <v>C</v>
          </cell>
          <cell r="L178" t="str">
            <v>TSA</v>
          </cell>
          <cell r="M178">
            <v>513</v>
          </cell>
          <cell r="N178">
            <v>1</v>
          </cell>
          <cell r="O178" t="str">
            <v>2S1</v>
          </cell>
          <cell r="P178" t="str">
            <v>CS01/7</v>
          </cell>
        </row>
        <row r="179">
          <cell r="A179">
            <v>60070468</v>
          </cell>
          <cell r="B179">
            <v>178</v>
          </cell>
          <cell r="C179">
            <v>39018</v>
          </cell>
          <cell r="D179">
            <v>60070468</v>
          </cell>
          <cell r="E179" t="str">
            <v>F26A09SUD001</v>
          </cell>
          <cell r="F179" t="str">
            <v>FN6A28D2S471602</v>
          </cell>
          <cell r="G179" t="str">
            <v>AF3</v>
          </cell>
          <cell r="H179" t="str">
            <v>SPCEN-SD</v>
          </cell>
          <cell r="I179">
            <v>2</v>
          </cell>
          <cell r="J179">
            <v>143</v>
          </cell>
          <cell r="K179" t="str">
            <v>C</v>
          </cell>
          <cell r="L179" t="str">
            <v>TSA</v>
          </cell>
          <cell r="M179">
            <v>513</v>
          </cell>
          <cell r="N179">
            <v>1</v>
          </cell>
          <cell r="O179" t="str">
            <v>2S1</v>
          </cell>
          <cell r="P179" t="str">
            <v>CS01/7</v>
          </cell>
        </row>
        <row r="180">
          <cell r="A180">
            <v>60070469</v>
          </cell>
          <cell r="B180">
            <v>179</v>
          </cell>
          <cell r="C180">
            <v>39018</v>
          </cell>
          <cell r="D180">
            <v>60070469</v>
          </cell>
          <cell r="E180" t="str">
            <v>F26A09SUD001</v>
          </cell>
          <cell r="F180" t="str">
            <v>FN6A28D2S471603</v>
          </cell>
          <cell r="G180" t="str">
            <v>AF3</v>
          </cell>
          <cell r="H180" t="str">
            <v>SPCEN-SD</v>
          </cell>
          <cell r="I180">
            <v>2</v>
          </cell>
          <cell r="J180">
            <v>143</v>
          </cell>
          <cell r="K180" t="str">
            <v>C</v>
          </cell>
          <cell r="L180" t="str">
            <v>TSA</v>
          </cell>
          <cell r="M180">
            <v>513</v>
          </cell>
          <cell r="N180">
            <v>1</v>
          </cell>
          <cell r="O180" t="str">
            <v>2S1</v>
          </cell>
          <cell r="P180" t="str">
            <v>CS01/7</v>
          </cell>
        </row>
        <row r="181">
          <cell r="A181">
            <v>60070470</v>
          </cell>
          <cell r="B181">
            <v>180</v>
          </cell>
          <cell r="C181">
            <v>39018</v>
          </cell>
          <cell r="D181">
            <v>60070470</v>
          </cell>
          <cell r="E181" t="str">
            <v>F26A09SUD001</v>
          </cell>
          <cell r="F181" t="str">
            <v>FN6A28D2S471604</v>
          </cell>
          <cell r="G181" t="str">
            <v>AF3</v>
          </cell>
          <cell r="H181" t="str">
            <v>SPCEN-SD</v>
          </cell>
          <cell r="I181">
            <v>2</v>
          </cell>
          <cell r="J181">
            <v>143</v>
          </cell>
          <cell r="K181" t="str">
            <v>C</v>
          </cell>
          <cell r="L181" t="str">
            <v>TSA</v>
          </cell>
          <cell r="M181">
            <v>513</v>
          </cell>
          <cell r="N181">
            <v>1</v>
          </cell>
          <cell r="O181" t="str">
            <v>2S1</v>
          </cell>
          <cell r="P181" t="str">
            <v>CS01/7</v>
          </cell>
        </row>
        <row r="182">
          <cell r="A182">
            <v>60070471</v>
          </cell>
          <cell r="B182">
            <v>181</v>
          </cell>
          <cell r="C182">
            <v>39018</v>
          </cell>
          <cell r="D182">
            <v>60070471</v>
          </cell>
          <cell r="E182" t="str">
            <v>F26A09SUD001</v>
          </cell>
          <cell r="F182" t="str">
            <v>FN6A28D2S471605</v>
          </cell>
          <cell r="G182" t="str">
            <v>AF3</v>
          </cell>
          <cell r="H182" t="str">
            <v>SPCEN-SD</v>
          </cell>
          <cell r="I182">
            <v>2</v>
          </cell>
          <cell r="J182">
            <v>143</v>
          </cell>
          <cell r="K182" t="str">
            <v>C</v>
          </cell>
          <cell r="L182" t="str">
            <v>TSA</v>
          </cell>
          <cell r="M182">
            <v>513</v>
          </cell>
          <cell r="N182">
            <v>1</v>
          </cell>
          <cell r="O182" t="str">
            <v>2S1</v>
          </cell>
          <cell r="P182" t="str">
            <v>CS01/7</v>
          </cell>
        </row>
        <row r="183">
          <cell r="A183">
            <v>60070472</v>
          </cell>
          <cell r="B183">
            <v>182</v>
          </cell>
          <cell r="C183">
            <v>39018</v>
          </cell>
          <cell r="D183">
            <v>60070472</v>
          </cell>
          <cell r="E183" t="str">
            <v>F26A09SUD001</v>
          </cell>
          <cell r="F183" t="str">
            <v>FN6A28D2S471606</v>
          </cell>
          <cell r="G183" t="str">
            <v>AF3</v>
          </cell>
          <cell r="H183" t="str">
            <v>SPCEN-SD</v>
          </cell>
          <cell r="I183">
            <v>2</v>
          </cell>
          <cell r="J183">
            <v>143</v>
          </cell>
          <cell r="K183" t="str">
            <v>C</v>
          </cell>
          <cell r="L183" t="str">
            <v>TSA</v>
          </cell>
          <cell r="M183">
            <v>513</v>
          </cell>
          <cell r="N183">
            <v>1</v>
          </cell>
          <cell r="O183" t="str">
            <v>2S1</v>
          </cell>
          <cell r="P183" t="str">
            <v>CS01/7</v>
          </cell>
        </row>
        <row r="184">
          <cell r="A184">
            <v>60070473</v>
          </cell>
          <cell r="B184">
            <v>183</v>
          </cell>
          <cell r="C184">
            <v>39018</v>
          </cell>
          <cell r="D184">
            <v>60070473</v>
          </cell>
          <cell r="E184" t="str">
            <v>F26A09SUD001</v>
          </cell>
          <cell r="F184" t="str">
            <v>FN6A28D2S471607</v>
          </cell>
          <cell r="G184" t="str">
            <v>AF3</v>
          </cell>
          <cell r="H184" t="str">
            <v>SPCEN-SD</v>
          </cell>
          <cell r="I184">
            <v>2</v>
          </cell>
          <cell r="J184">
            <v>143</v>
          </cell>
          <cell r="K184" t="str">
            <v>C</v>
          </cell>
          <cell r="L184" t="str">
            <v>TSA</v>
          </cell>
          <cell r="M184">
            <v>513</v>
          </cell>
          <cell r="N184">
            <v>1</v>
          </cell>
          <cell r="O184" t="str">
            <v>2S1</v>
          </cell>
          <cell r="P184" t="str">
            <v>CS01/7</v>
          </cell>
        </row>
        <row r="185">
          <cell r="A185">
            <v>60070474</v>
          </cell>
          <cell r="B185">
            <v>184</v>
          </cell>
          <cell r="C185">
            <v>39018</v>
          </cell>
          <cell r="D185">
            <v>60070474</v>
          </cell>
          <cell r="E185" t="str">
            <v>F26A09SUD001</v>
          </cell>
          <cell r="F185" t="str">
            <v>FN6A28D2S471608</v>
          </cell>
          <cell r="G185" t="str">
            <v>AF3</v>
          </cell>
          <cell r="H185" t="str">
            <v>SPCEN-SD</v>
          </cell>
          <cell r="I185">
            <v>2</v>
          </cell>
          <cell r="J185">
            <v>143</v>
          </cell>
          <cell r="K185" t="str">
            <v>C</v>
          </cell>
          <cell r="L185" t="str">
            <v>TSA</v>
          </cell>
          <cell r="M185">
            <v>513</v>
          </cell>
          <cell r="N185">
            <v>1</v>
          </cell>
          <cell r="O185" t="str">
            <v>2S1</v>
          </cell>
          <cell r="P185" t="str">
            <v>CS01/7</v>
          </cell>
        </row>
        <row r="186">
          <cell r="A186">
            <v>60070475</v>
          </cell>
          <cell r="B186">
            <v>185</v>
          </cell>
          <cell r="C186">
            <v>39018</v>
          </cell>
          <cell r="D186">
            <v>60070475</v>
          </cell>
          <cell r="E186" t="str">
            <v>I26A09SUD001</v>
          </cell>
          <cell r="F186" t="str">
            <v>IN6A28D2S471601</v>
          </cell>
          <cell r="G186" t="str">
            <v>AF1</v>
          </cell>
          <cell r="H186" t="str">
            <v>SPCC-SD</v>
          </cell>
          <cell r="I186">
            <v>2</v>
          </cell>
          <cell r="J186">
            <v>68</v>
          </cell>
          <cell r="K186" t="str">
            <v>C</v>
          </cell>
          <cell r="L186" t="str">
            <v>TSA</v>
          </cell>
          <cell r="M186">
            <v>248</v>
          </cell>
          <cell r="N186">
            <v>1</v>
          </cell>
          <cell r="O186" t="str">
            <v>2S1</v>
          </cell>
          <cell r="P186" t="str">
            <v>CS01/7</v>
          </cell>
        </row>
        <row r="187">
          <cell r="A187">
            <v>60070476</v>
          </cell>
          <cell r="B187">
            <v>186</v>
          </cell>
          <cell r="C187">
            <v>39018</v>
          </cell>
          <cell r="D187">
            <v>60070476</v>
          </cell>
          <cell r="E187" t="str">
            <v>F26A09SUD001</v>
          </cell>
          <cell r="F187" t="str">
            <v>FN6A28D2S471609</v>
          </cell>
          <cell r="G187" t="str">
            <v>AF3</v>
          </cell>
          <cell r="H187" t="str">
            <v>SPCEN-SD</v>
          </cell>
          <cell r="I187">
            <v>2</v>
          </cell>
          <cell r="J187">
            <v>143</v>
          </cell>
          <cell r="K187" t="str">
            <v>C</v>
          </cell>
          <cell r="L187" t="str">
            <v>TSA</v>
          </cell>
          <cell r="M187">
            <v>521</v>
          </cell>
          <cell r="N187">
            <v>1</v>
          </cell>
          <cell r="O187" t="str">
            <v>2S1</v>
          </cell>
          <cell r="P187" t="str">
            <v>CS01/7</v>
          </cell>
        </row>
        <row r="188">
          <cell r="A188">
            <v>60070477</v>
          </cell>
          <cell r="B188">
            <v>187</v>
          </cell>
          <cell r="C188">
            <v>39018</v>
          </cell>
          <cell r="D188">
            <v>60070477</v>
          </cell>
          <cell r="E188" t="str">
            <v>F26A09SUD001</v>
          </cell>
          <cell r="F188" t="str">
            <v>FN6A28D2S471610</v>
          </cell>
          <cell r="G188" t="str">
            <v>AF3</v>
          </cell>
          <cell r="H188" t="str">
            <v>SPCEN-SD</v>
          </cell>
          <cell r="I188">
            <v>2</v>
          </cell>
          <cell r="J188">
            <v>143</v>
          </cell>
          <cell r="K188" t="str">
            <v>C</v>
          </cell>
          <cell r="L188" t="str">
            <v>TSA</v>
          </cell>
          <cell r="M188">
            <v>521</v>
          </cell>
          <cell r="N188">
            <v>1</v>
          </cell>
          <cell r="O188" t="str">
            <v>2S1</v>
          </cell>
          <cell r="P188" t="str">
            <v>CS01/7</v>
          </cell>
        </row>
        <row r="189">
          <cell r="A189">
            <v>60070478</v>
          </cell>
          <cell r="B189">
            <v>188</v>
          </cell>
          <cell r="C189">
            <v>39018</v>
          </cell>
          <cell r="D189">
            <v>60070478</v>
          </cell>
          <cell r="E189" t="str">
            <v>F26A09SUD001</v>
          </cell>
          <cell r="F189" t="str">
            <v>FN6A28D2S471611</v>
          </cell>
          <cell r="G189" t="str">
            <v>AF3</v>
          </cell>
          <cell r="H189" t="str">
            <v>SPCEN-SD</v>
          </cell>
          <cell r="I189">
            <v>2</v>
          </cell>
          <cell r="J189">
            <v>143</v>
          </cell>
          <cell r="K189" t="str">
            <v>C</v>
          </cell>
          <cell r="L189" t="str">
            <v>TSA</v>
          </cell>
          <cell r="M189">
            <v>521</v>
          </cell>
          <cell r="N189">
            <v>1</v>
          </cell>
          <cell r="O189" t="str">
            <v>2S1</v>
          </cell>
          <cell r="P189" t="str">
            <v>CS01/7</v>
          </cell>
        </row>
        <row r="190">
          <cell r="A190">
            <v>60070479</v>
          </cell>
          <cell r="B190">
            <v>189</v>
          </cell>
          <cell r="C190">
            <v>39018</v>
          </cell>
          <cell r="D190">
            <v>60070479</v>
          </cell>
          <cell r="E190" t="str">
            <v>F26A09SUD001</v>
          </cell>
          <cell r="F190" t="str">
            <v>FN6A28D2S471612</v>
          </cell>
          <cell r="G190" t="str">
            <v>AF3</v>
          </cell>
          <cell r="H190" t="str">
            <v>SPCEN-SD</v>
          </cell>
          <cell r="I190">
            <v>2</v>
          </cell>
          <cell r="J190">
            <v>143</v>
          </cell>
          <cell r="K190" t="str">
            <v>C</v>
          </cell>
          <cell r="L190" t="str">
            <v>TSA</v>
          </cell>
          <cell r="M190">
            <v>521</v>
          </cell>
          <cell r="N190">
            <v>1</v>
          </cell>
          <cell r="O190" t="str">
            <v>2S1</v>
          </cell>
          <cell r="P190" t="str">
            <v>CS01/7</v>
          </cell>
        </row>
        <row r="191">
          <cell r="A191">
            <v>60070480</v>
          </cell>
          <cell r="B191">
            <v>190</v>
          </cell>
          <cell r="C191">
            <v>39018</v>
          </cell>
          <cell r="D191">
            <v>60070480</v>
          </cell>
          <cell r="E191" t="str">
            <v>F26A09SUD001</v>
          </cell>
          <cell r="F191" t="str">
            <v>FN6A28D2S471613</v>
          </cell>
          <cell r="G191" t="str">
            <v>AF3</v>
          </cell>
          <cell r="H191" t="str">
            <v>SPCEN-SD</v>
          </cell>
          <cell r="I191">
            <v>2</v>
          </cell>
          <cell r="J191">
            <v>143</v>
          </cell>
          <cell r="K191" t="str">
            <v>C</v>
          </cell>
          <cell r="L191" t="str">
            <v>TSA</v>
          </cell>
          <cell r="M191">
            <v>521</v>
          </cell>
          <cell r="N191">
            <v>1</v>
          </cell>
          <cell r="O191" t="str">
            <v>2S1</v>
          </cell>
          <cell r="P191" t="str">
            <v>CS01/7</v>
          </cell>
        </row>
        <row r="192">
          <cell r="A192">
            <v>60070481</v>
          </cell>
          <cell r="B192">
            <v>191</v>
          </cell>
          <cell r="C192">
            <v>39018</v>
          </cell>
          <cell r="D192">
            <v>60070481</v>
          </cell>
          <cell r="E192" t="str">
            <v>F26A09SUD001</v>
          </cell>
          <cell r="F192" t="str">
            <v>FN6A28D2S471614</v>
          </cell>
          <cell r="G192" t="str">
            <v>AF3</v>
          </cell>
          <cell r="H192" t="str">
            <v>SPCEN-SD</v>
          </cell>
          <cell r="I192">
            <v>2</v>
          </cell>
          <cell r="J192">
            <v>143</v>
          </cell>
          <cell r="K192" t="str">
            <v>C</v>
          </cell>
          <cell r="L192" t="str">
            <v>TSA</v>
          </cell>
          <cell r="M192">
            <v>521</v>
          </cell>
          <cell r="N192">
            <v>1</v>
          </cell>
          <cell r="O192" t="str">
            <v>2S1</v>
          </cell>
          <cell r="P192" t="str">
            <v>CS01/7</v>
          </cell>
        </row>
        <row r="193">
          <cell r="A193">
            <v>60070482</v>
          </cell>
          <cell r="B193">
            <v>192</v>
          </cell>
          <cell r="C193">
            <v>39018</v>
          </cell>
          <cell r="D193">
            <v>60070482</v>
          </cell>
          <cell r="E193" t="str">
            <v>F26A09SUD001</v>
          </cell>
          <cell r="F193" t="str">
            <v>FN6A28D2S471615</v>
          </cell>
          <cell r="G193" t="str">
            <v>AF3</v>
          </cell>
          <cell r="H193" t="str">
            <v>SPCEN-SD</v>
          </cell>
          <cell r="I193">
            <v>2</v>
          </cell>
          <cell r="J193">
            <v>143</v>
          </cell>
          <cell r="K193" t="str">
            <v>C</v>
          </cell>
          <cell r="L193" t="str">
            <v>TSA</v>
          </cell>
          <cell r="M193">
            <v>521</v>
          </cell>
          <cell r="N193">
            <v>1</v>
          </cell>
          <cell r="O193" t="str">
            <v>2S1</v>
          </cell>
          <cell r="P193" t="str">
            <v>CS01/7</v>
          </cell>
        </row>
        <row r="194">
          <cell r="A194">
            <v>60070483</v>
          </cell>
          <cell r="B194">
            <v>193</v>
          </cell>
          <cell r="C194">
            <v>39018</v>
          </cell>
          <cell r="D194">
            <v>60070483</v>
          </cell>
          <cell r="E194" t="str">
            <v>F26A09SUD001</v>
          </cell>
          <cell r="F194" t="str">
            <v>FN6A28D2S471616</v>
          </cell>
          <cell r="G194" t="str">
            <v>AF3</v>
          </cell>
          <cell r="H194" t="str">
            <v>SPCEN-SD</v>
          </cell>
          <cell r="I194">
            <v>2</v>
          </cell>
          <cell r="J194">
            <v>143</v>
          </cell>
          <cell r="K194" t="str">
            <v>C</v>
          </cell>
          <cell r="L194" t="str">
            <v>TSA</v>
          </cell>
          <cell r="M194">
            <v>521</v>
          </cell>
          <cell r="N194">
            <v>1</v>
          </cell>
          <cell r="O194" t="str">
            <v>2S1</v>
          </cell>
          <cell r="P194" t="str">
            <v>CS01/7</v>
          </cell>
        </row>
        <row r="195">
          <cell r="A195">
            <v>60070484</v>
          </cell>
          <cell r="B195">
            <v>194</v>
          </cell>
          <cell r="C195">
            <v>39018</v>
          </cell>
          <cell r="D195">
            <v>60070484</v>
          </cell>
          <cell r="E195" t="str">
            <v>I26A09SUD001</v>
          </cell>
          <cell r="F195" t="str">
            <v>IN6A28D2S471602</v>
          </cell>
          <cell r="G195" t="str">
            <v>AF1</v>
          </cell>
          <cell r="H195" t="str">
            <v>SPCC-SD</v>
          </cell>
          <cell r="I195">
            <v>2</v>
          </cell>
          <cell r="J195">
            <v>68</v>
          </cell>
          <cell r="K195" t="str">
            <v>C</v>
          </cell>
          <cell r="L195" t="str">
            <v>TSA</v>
          </cell>
          <cell r="M195">
            <v>252</v>
          </cell>
          <cell r="N195">
            <v>1</v>
          </cell>
          <cell r="O195" t="str">
            <v>2S1</v>
          </cell>
          <cell r="P195" t="str">
            <v>CS01/7</v>
          </cell>
        </row>
        <row r="196">
          <cell r="A196">
            <v>50147046</v>
          </cell>
          <cell r="B196">
            <v>195</v>
          </cell>
          <cell r="C196">
            <v>39018</v>
          </cell>
          <cell r="D196">
            <v>50147046</v>
          </cell>
          <cell r="E196" t="str">
            <v>F26A10TCD004</v>
          </cell>
          <cell r="F196" t="str">
            <v>FN6A28DR1468501</v>
          </cell>
          <cell r="G196" t="str">
            <v>AF1</v>
          </cell>
          <cell r="H196" t="str">
            <v>SPCC-SD</v>
          </cell>
          <cell r="I196">
            <v>3.2</v>
          </cell>
          <cell r="J196">
            <v>115</v>
          </cell>
          <cell r="K196">
            <v>1219</v>
          </cell>
          <cell r="L196" t="str">
            <v>GPI</v>
          </cell>
          <cell r="M196">
            <v>352</v>
          </cell>
          <cell r="N196">
            <v>100</v>
          </cell>
          <cell r="O196" t="str">
            <v>5R1</v>
          </cell>
          <cell r="P196" t="str">
            <v>MW01/1</v>
          </cell>
        </row>
        <row r="197">
          <cell r="A197">
            <v>50147097</v>
          </cell>
          <cell r="B197">
            <v>196</v>
          </cell>
          <cell r="C197">
            <v>39018</v>
          </cell>
          <cell r="D197">
            <v>50147097</v>
          </cell>
          <cell r="E197" t="str">
            <v>F25A26SUD001</v>
          </cell>
          <cell r="F197" t="str">
            <v>FN6A28DR2462901</v>
          </cell>
          <cell r="G197" t="str">
            <v>AF1</v>
          </cell>
          <cell r="H197" t="str">
            <v>SPCC-SD</v>
          </cell>
          <cell r="I197">
            <v>0.9</v>
          </cell>
          <cell r="J197">
            <v>500</v>
          </cell>
          <cell r="K197">
            <v>960</v>
          </cell>
          <cell r="L197" t="str">
            <v>TSLA</v>
          </cell>
          <cell r="M197">
            <v>1017</v>
          </cell>
          <cell r="N197">
            <v>300</v>
          </cell>
          <cell r="O197" t="str">
            <v>5R2</v>
          </cell>
          <cell r="P197" t="str">
            <v>MW01/1</v>
          </cell>
        </row>
        <row r="198">
          <cell r="A198">
            <v>50147045</v>
          </cell>
          <cell r="B198">
            <v>197</v>
          </cell>
          <cell r="C198">
            <v>39018</v>
          </cell>
          <cell r="D198">
            <v>50147045</v>
          </cell>
          <cell r="E198" t="str">
            <v>F26822SUD017</v>
          </cell>
          <cell r="F198" t="str">
            <v>FN6A28DR2459701</v>
          </cell>
          <cell r="G198" t="str">
            <v>AF1</v>
          </cell>
          <cell r="H198" t="str">
            <v>SPCC-SD</v>
          </cell>
          <cell r="I198">
            <v>1</v>
          </cell>
          <cell r="J198">
            <v>177</v>
          </cell>
          <cell r="K198">
            <v>268</v>
          </cell>
          <cell r="L198" t="str">
            <v>VMT</v>
          </cell>
          <cell r="M198">
            <v>370</v>
          </cell>
          <cell r="N198">
            <v>1000</v>
          </cell>
          <cell r="O198" t="str">
            <v>5R2</v>
          </cell>
          <cell r="P198" t="str">
            <v>MW01/1</v>
          </cell>
        </row>
        <row r="199">
          <cell r="A199">
            <v>50147076</v>
          </cell>
          <cell r="B199">
            <v>198</v>
          </cell>
          <cell r="C199">
            <v>39018</v>
          </cell>
          <cell r="D199">
            <v>50147076</v>
          </cell>
          <cell r="E199" t="str">
            <v>F36215JFI024</v>
          </cell>
          <cell r="F199" t="str">
            <v>FN6A28DR2467201</v>
          </cell>
          <cell r="G199" t="str">
            <v>CA1</v>
          </cell>
          <cell r="H199" t="str">
            <v>SPHC P/O</v>
          </cell>
          <cell r="I199">
            <v>4.5</v>
          </cell>
          <cell r="J199">
            <v>126</v>
          </cell>
          <cell r="K199">
            <v>1219</v>
          </cell>
          <cell r="L199" t="str">
            <v>NIPPON</v>
          </cell>
          <cell r="M199">
            <v>244</v>
          </cell>
          <cell r="N199">
            <v>45</v>
          </cell>
          <cell r="O199" t="str">
            <v>5R2</v>
          </cell>
          <cell r="P199" t="str">
            <v>LW02/1</v>
          </cell>
        </row>
        <row r="200">
          <cell r="A200">
            <v>50147071</v>
          </cell>
          <cell r="B200">
            <v>199</v>
          </cell>
          <cell r="C200">
            <v>39018</v>
          </cell>
          <cell r="D200">
            <v>50147071</v>
          </cell>
          <cell r="E200" t="str">
            <v>F26A10TCD001</v>
          </cell>
          <cell r="F200" t="str">
            <v>FN6A28DR2450801</v>
          </cell>
          <cell r="G200" t="str">
            <v>AF1</v>
          </cell>
          <cell r="H200" t="str">
            <v>SPCC-SD</v>
          </cell>
          <cell r="I200">
            <v>3.2</v>
          </cell>
          <cell r="J200">
            <v>364</v>
          </cell>
          <cell r="K200">
            <v>580</v>
          </cell>
          <cell r="L200" t="str">
            <v>TSA</v>
          </cell>
          <cell r="M200">
            <v>530</v>
          </cell>
          <cell r="N200">
            <v>100</v>
          </cell>
          <cell r="O200" t="str">
            <v>5R2</v>
          </cell>
          <cell r="P200" t="str">
            <v>DA01/2</v>
          </cell>
        </row>
        <row r="201">
          <cell r="A201">
            <v>50147056</v>
          </cell>
          <cell r="B201">
            <v>200</v>
          </cell>
          <cell r="C201">
            <v>39018</v>
          </cell>
          <cell r="D201">
            <v>50147056</v>
          </cell>
          <cell r="E201" t="str">
            <v>F36215JFI024</v>
          </cell>
          <cell r="F201" t="str">
            <v>FN6A28DR2467201</v>
          </cell>
          <cell r="G201" t="str">
            <v>CA1</v>
          </cell>
          <cell r="H201" t="str">
            <v>SPHC P/O</v>
          </cell>
          <cell r="I201">
            <v>4.5</v>
          </cell>
          <cell r="J201">
            <v>126</v>
          </cell>
          <cell r="K201">
            <v>1219</v>
          </cell>
          <cell r="L201" t="str">
            <v>NIPPON</v>
          </cell>
          <cell r="M201">
            <v>271</v>
          </cell>
          <cell r="N201">
            <v>50</v>
          </cell>
          <cell r="O201" t="str">
            <v>5R2</v>
          </cell>
          <cell r="P201" t="str">
            <v>LW02/1</v>
          </cell>
        </row>
        <row r="202">
          <cell r="A202">
            <v>50147042</v>
          </cell>
          <cell r="B202">
            <v>201</v>
          </cell>
          <cell r="C202">
            <v>39018</v>
          </cell>
          <cell r="D202">
            <v>50147042</v>
          </cell>
          <cell r="E202" t="str">
            <v>I36420PCI029</v>
          </cell>
          <cell r="F202" t="str">
            <v>IN6A28D1D470101</v>
          </cell>
          <cell r="G202" t="str">
            <v>CA1</v>
          </cell>
          <cell r="H202" t="str">
            <v>SPHC-P/O</v>
          </cell>
          <cell r="I202">
            <v>2.2999999999999998</v>
          </cell>
          <cell r="J202">
            <v>76</v>
          </cell>
          <cell r="K202">
            <v>1219</v>
          </cell>
          <cell r="L202" t="str">
            <v>GPI</v>
          </cell>
          <cell r="M202">
            <v>47</v>
          </cell>
          <cell r="N202">
            <v>28</v>
          </cell>
          <cell r="O202" t="str">
            <v>1D1</v>
          </cell>
          <cell r="P202" t="str">
            <v>CF01/2</v>
          </cell>
        </row>
        <row r="203">
          <cell r="A203">
            <v>50147127</v>
          </cell>
          <cell r="B203">
            <v>202</v>
          </cell>
          <cell r="C203">
            <v>39018</v>
          </cell>
          <cell r="D203">
            <v>50147127</v>
          </cell>
          <cell r="E203" t="str">
            <v>I26818PCI006</v>
          </cell>
          <cell r="F203" t="str">
            <v>IN6A28D1M467503</v>
          </cell>
          <cell r="G203" t="str">
            <v>AF1</v>
          </cell>
          <cell r="H203" t="str">
            <v>SPCC-SD</v>
          </cell>
          <cell r="I203">
            <v>2.2999999999999998</v>
          </cell>
          <cell r="J203">
            <v>122.5</v>
          </cell>
          <cell r="K203">
            <v>216</v>
          </cell>
          <cell r="L203" t="str">
            <v>VMT</v>
          </cell>
          <cell r="M203">
            <v>418</v>
          </cell>
          <cell r="N203">
            <v>870</v>
          </cell>
          <cell r="O203" t="str">
            <v>1M1</v>
          </cell>
          <cell r="P203" t="str">
            <v>CF01/1</v>
          </cell>
        </row>
        <row r="204">
          <cell r="A204">
            <v>50147069</v>
          </cell>
          <cell r="B204">
            <v>203</v>
          </cell>
          <cell r="C204">
            <v>39018</v>
          </cell>
          <cell r="D204">
            <v>50147069</v>
          </cell>
          <cell r="E204" t="str">
            <v>I26816SUD005</v>
          </cell>
          <cell r="F204" t="str">
            <v>IN6A28D1M462603</v>
          </cell>
          <cell r="G204" t="str">
            <v>AF3</v>
          </cell>
          <cell r="H204" t="str">
            <v>SPCEN-SD</v>
          </cell>
          <cell r="I204">
            <v>0.6</v>
          </cell>
          <cell r="J204">
            <v>180</v>
          </cell>
          <cell r="K204">
            <v>255</v>
          </cell>
          <cell r="L204" t="str">
            <v>TSA</v>
          </cell>
          <cell r="M204">
            <v>88</v>
          </cell>
          <cell r="N204">
            <v>400</v>
          </cell>
          <cell r="O204" t="str">
            <v>1M1</v>
          </cell>
          <cell r="P204" t="str">
            <v>CF01/1</v>
          </cell>
        </row>
        <row r="205">
          <cell r="A205">
            <v>50147032</v>
          </cell>
          <cell r="B205">
            <v>204</v>
          </cell>
          <cell r="C205">
            <v>39018</v>
          </cell>
          <cell r="D205">
            <v>50147032</v>
          </cell>
          <cell r="E205" t="str">
            <v>I26822SUD017</v>
          </cell>
          <cell r="F205" t="str">
            <v>IN6A28D1M459703</v>
          </cell>
          <cell r="G205" t="str">
            <v>AF1</v>
          </cell>
          <cell r="H205" t="str">
            <v>SPCC-SD</v>
          </cell>
          <cell r="I205">
            <v>1</v>
          </cell>
          <cell r="J205">
            <v>177</v>
          </cell>
          <cell r="K205">
            <v>268</v>
          </cell>
          <cell r="L205" t="str">
            <v>VMT</v>
          </cell>
          <cell r="M205">
            <v>100</v>
          </cell>
          <cell r="N205">
            <v>270</v>
          </cell>
          <cell r="O205" t="str">
            <v>1M1</v>
          </cell>
          <cell r="P205" t="str">
            <v>CF01/1</v>
          </cell>
        </row>
        <row r="206">
          <cell r="A206">
            <v>50147015</v>
          </cell>
          <cell r="B206">
            <v>205</v>
          </cell>
          <cell r="C206">
            <v>39018</v>
          </cell>
          <cell r="D206">
            <v>50147015</v>
          </cell>
          <cell r="E206" t="str">
            <v>I36215JFI024</v>
          </cell>
          <cell r="F206" t="str">
            <v>IN6A27D2D467206</v>
          </cell>
          <cell r="G206" t="str">
            <v>CA1</v>
          </cell>
          <cell r="H206" t="str">
            <v>SPHC P/O</v>
          </cell>
          <cell r="I206">
            <v>4.5</v>
          </cell>
          <cell r="J206">
            <v>126</v>
          </cell>
          <cell r="K206">
            <v>1219</v>
          </cell>
          <cell r="L206" t="str">
            <v>NIPPON</v>
          </cell>
          <cell r="M206">
            <v>206</v>
          </cell>
          <cell r="N206">
            <v>38</v>
          </cell>
          <cell r="O206" t="str">
            <v>2D1</v>
          </cell>
          <cell r="P206" t="str">
            <v>CF01/2</v>
          </cell>
        </row>
        <row r="207">
          <cell r="A207">
            <v>50147036</v>
          </cell>
          <cell r="B207">
            <v>206</v>
          </cell>
          <cell r="C207">
            <v>39018</v>
          </cell>
          <cell r="D207">
            <v>50147036</v>
          </cell>
          <cell r="E207" t="str">
            <v>I35226SSD006</v>
          </cell>
          <cell r="F207" t="str">
            <v>IN6A28D2M463901</v>
          </cell>
          <cell r="G207" t="str">
            <v>CA1</v>
          </cell>
          <cell r="H207" t="str">
            <v>SPHC P/O</v>
          </cell>
          <cell r="I207">
            <v>2</v>
          </cell>
          <cell r="J207">
            <v>305</v>
          </cell>
          <cell r="K207">
            <v>425</v>
          </cell>
          <cell r="L207" t="str">
            <v>TSA</v>
          </cell>
          <cell r="M207">
            <v>112</v>
          </cell>
          <cell r="N207">
            <v>55</v>
          </cell>
          <cell r="O207" t="str">
            <v>2M1</v>
          </cell>
          <cell r="P207" t="str">
            <v>CF01/1</v>
          </cell>
        </row>
        <row r="208">
          <cell r="A208">
            <v>50147051</v>
          </cell>
          <cell r="B208">
            <v>207</v>
          </cell>
          <cell r="C208">
            <v>39018</v>
          </cell>
          <cell r="D208">
            <v>50147051</v>
          </cell>
          <cell r="E208" t="str">
            <v>I26A10TCD001</v>
          </cell>
          <cell r="F208" t="str">
            <v>IN6A28D2M450801</v>
          </cell>
          <cell r="G208" t="str">
            <v>AF1</v>
          </cell>
          <cell r="H208" t="str">
            <v>SPCC-SD</v>
          </cell>
          <cell r="I208">
            <v>3.2</v>
          </cell>
          <cell r="J208">
            <v>364</v>
          </cell>
          <cell r="K208">
            <v>580</v>
          </cell>
          <cell r="L208" t="str">
            <v>TSA</v>
          </cell>
          <cell r="M208">
            <v>217</v>
          </cell>
          <cell r="N208">
            <v>41</v>
          </cell>
          <cell r="O208" t="str">
            <v>2M1</v>
          </cell>
          <cell r="P208" t="str">
            <v>CF01/1</v>
          </cell>
        </row>
        <row r="209">
          <cell r="A209">
            <v>50147070</v>
          </cell>
          <cell r="B209">
            <v>208</v>
          </cell>
          <cell r="C209">
            <v>39018</v>
          </cell>
          <cell r="D209">
            <v>50147070</v>
          </cell>
          <cell r="E209" t="str">
            <v>I26A10TCD001</v>
          </cell>
          <cell r="F209" t="str">
            <v>IN6A28D2M450801</v>
          </cell>
          <cell r="G209" t="str">
            <v>AF1</v>
          </cell>
          <cell r="H209" t="str">
            <v>SPCC-SD</v>
          </cell>
          <cell r="I209">
            <v>3.2</v>
          </cell>
          <cell r="J209">
            <v>364</v>
          </cell>
          <cell r="K209">
            <v>580</v>
          </cell>
          <cell r="L209" t="str">
            <v>TSA</v>
          </cell>
          <cell r="M209">
            <v>53</v>
          </cell>
          <cell r="N209">
            <v>10</v>
          </cell>
          <cell r="O209" t="str">
            <v>2M1</v>
          </cell>
          <cell r="P209" t="str">
            <v>CF01/1</v>
          </cell>
        </row>
        <row r="210">
          <cell r="A210">
            <v>50147047</v>
          </cell>
          <cell r="B210">
            <v>209</v>
          </cell>
          <cell r="C210">
            <v>39018</v>
          </cell>
          <cell r="D210">
            <v>50147047</v>
          </cell>
          <cell r="E210" t="str">
            <v>I26A13TCD018</v>
          </cell>
          <cell r="F210" t="str">
            <v>IN6A28DR1468501</v>
          </cell>
          <cell r="G210" t="str">
            <v>AF1</v>
          </cell>
          <cell r="H210" t="str">
            <v>SPCC-SD</v>
          </cell>
          <cell r="I210">
            <v>3.2</v>
          </cell>
          <cell r="J210">
            <v>115</v>
          </cell>
          <cell r="K210">
            <v>1219</v>
          </cell>
          <cell r="L210" t="str">
            <v>GPI</v>
          </cell>
          <cell r="M210">
            <v>123</v>
          </cell>
          <cell r="N210">
            <v>35</v>
          </cell>
          <cell r="O210" t="str">
            <v>5R1</v>
          </cell>
          <cell r="P210" t="str">
            <v>CF01/2</v>
          </cell>
        </row>
        <row r="211">
          <cell r="B211">
            <v>210</v>
          </cell>
          <cell r="M211">
            <v>131863</v>
          </cell>
        </row>
        <row r="212">
          <cell r="B212">
            <v>211</v>
          </cell>
        </row>
        <row r="213">
          <cell r="B213">
            <v>212</v>
          </cell>
        </row>
        <row r="214">
          <cell r="B214">
            <v>213</v>
          </cell>
        </row>
        <row r="215">
          <cell r="B215">
            <v>214</v>
          </cell>
        </row>
        <row r="216">
          <cell r="B216">
            <v>215</v>
          </cell>
        </row>
        <row r="217">
          <cell r="B217">
            <v>216</v>
          </cell>
        </row>
        <row r="218">
          <cell r="B218">
            <v>217</v>
          </cell>
        </row>
        <row r="219">
          <cell r="B219">
            <v>218</v>
          </cell>
        </row>
        <row r="220">
          <cell r="B220">
            <v>219</v>
          </cell>
        </row>
        <row r="221">
          <cell r="B221">
            <v>220</v>
          </cell>
        </row>
        <row r="222">
          <cell r="B222">
            <v>221</v>
          </cell>
        </row>
        <row r="223">
          <cell r="B223">
            <v>222</v>
          </cell>
        </row>
        <row r="224">
          <cell r="B224">
            <v>223</v>
          </cell>
        </row>
        <row r="225">
          <cell r="B225">
            <v>224</v>
          </cell>
        </row>
        <row r="226">
          <cell r="B226">
            <v>225</v>
          </cell>
        </row>
        <row r="227">
          <cell r="B227">
            <v>226</v>
          </cell>
        </row>
        <row r="228">
          <cell r="B228">
            <v>227</v>
          </cell>
        </row>
        <row r="229">
          <cell r="B229">
            <v>228</v>
          </cell>
        </row>
        <row r="230">
          <cell r="B230">
            <v>229</v>
          </cell>
        </row>
        <row r="231">
          <cell r="B231">
            <v>230</v>
          </cell>
        </row>
        <row r="232">
          <cell r="B232">
            <v>231</v>
          </cell>
        </row>
        <row r="233">
          <cell r="B233">
            <v>232</v>
          </cell>
        </row>
        <row r="234">
          <cell r="B234">
            <v>233</v>
          </cell>
        </row>
        <row r="235">
          <cell r="B235">
            <v>234</v>
          </cell>
        </row>
        <row r="236">
          <cell r="B236">
            <v>235</v>
          </cell>
        </row>
        <row r="237">
          <cell r="B237">
            <v>236</v>
          </cell>
        </row>
        <row r="238">
          <cell r="B238">
            <v>237</v>
          </cell>
        </row>
        <row r="239">
          <cell r="B239">
            <v>238</v>
          </cell>
        </row>
        <row r="240">
          <cell r="B240">
            <v>239</v>
          </cell>
        </row>
        <row r="241">
          <cell r="B241">
            <v>240</v>
          </cell>
        </row>
        <row r="242">
          <cell r="B242">
            <v>241</v>
          </cell>
        </row>
        <row r="243">
          <cell r="B243">
            <v>242</v>
          </cell>
        </row>
        <row r="244">
          <cell r="B244">
            <v>243</v>
          </cell>
        </row>
        <row r="245">
          <cell r="B245">
            <v>244</v>
          </cell>
        </row>
        <row r="246">
          <cell r="B246">
            <v>245</v>
          </cell>
        </row>
        <row r="247">
          <cell r="B247">
            <v>246</v>
          </cell>
        </row>
        <row r="248">
          <cell r="B248">
            <v>247</v>
          </cell>
        </row>
        <row r="249">
          <cell r="B249">
            <v>248</v>
          </cell>
        </row>
        <row r="250">
          <cell r="B250">
            <v>249</v>
          </cell>
        </row>
        <row r="251">
          <cell r="B251">
            <v>250</v>
          </cell>
        </row>
        <row r="252">
          <cell r="B252">
            <v>251</v>
          </cell>
        </row>
        <row r="253">
          <cell r="B253">
            <v>252</v>
          </cell>
        </row>
        <row r="254">
          <cell r="B254">
            <v>253</v>
          </cell>
        </row>
        <row r="255">
          <cell r="B255">
            <v>254</v>
          </cell>
        </row>
        <row r="256">
          <cell r="B256">
            <v>255</v>
          </cell>
        </row>
        <row r="257">
          <cell r="B257">
            <v>256</v>
          </cell>
        </row>
        <row r="258">
          <cell r="B258">
            <v>257</v>
          </cell>
        </row>
        <row r="259">
          <cell r="B259">
            <v>258</v>
          </cell>
        </row>
        <row r="260">
          <cell r="B260">
            <v>259</v>
          </cell>
        </row>
        <row r="261">
          <cell r="B261">
            <v>260</v>
          </cell>
        </row>
        <row r="262">
          <cell r="B262">
            <v>261</v>
          </cell>
        </row>
        <row r="263">
          <cell r="B263">
            <v>262</v>
          </cell>
        </row>
        <row r="264">
          <cell r="B264">
            <v>263</v>
          </cell>
        </row>
        <row r="265">
          <cell r="B265">
            <v>264</v>
          </cell>
        </row>
        <row r="266">
          <cell r="B266">
            <v>265</v>
          </cell>
        </row>
        <row r="267">
          <cell r="B267">
            <v>266</v>
          </cell>
        </row>
        <row r="268">
          <cell r="B268">
            <v>267</v>
          </cell>
        </row>
        <row r="269">
          <cell r="B269">
            <v>268</v>
          </cell>
        </row>
        <row r="270">
          <cell r="B270">
            <v>269</v>
          </cell>
        </row>
        <row r="271">
          <cell r="B271">
            <v>270</v>
          </cell>
        </row>
        <row r="272">
          <cell r="B272">
            <v>271</v>
          </cell>
        </row>
        <row r="273">
          <cell r="B273">
            <v>272</v>
          </cell>
        </row>
        <row r="274">
          <cell r="B274">
            <v>273</v>
          </cell>
        </row>
        <row r="275">
          <cell r="B275">
            <v>274</v>
          </cell>
        </row>
        <row r="276">
          <cell r="B276">
            <v>275</v>
          </cell>
        </row>
        <row r="277">
          <cell r="B277">
            <v>276</v>
          </cell>
        </row>
        <row r="278">
          <cell r="B278">
            <v>277</v>
          </cell>
        </row>
        <row r="279">
          <cell r="B279">
            <v>278</v>
          </cell>
        </row>
        <row r="280">
          <cell r="B280">
            <v>279</v>
          </cell>
        </row>
        <row r="281">
          <cell r="B281">
            <v>280</v>
          </cell>
        </row>
        <row r="282">
          <cell r="B282">
            <v>281</v>
          </cell>
        </row>
        <row r="283">
          <cell r="B283">
            <v>282</v>
          </cell>
        </row>
        <row r="284">
          <cell r="B284">
            <v>283</v>
          </cell>
        </row>
        <row r="285">
          <cell r="B285">
            <v>284</v>
          </cell>
        </row>
        <row r="286">
          <cell r="B286">
            <v>285</v>
          </cell>
        </row>
        <row r="287">
          <cell r="B287">
            <v>286</v>
          </cell>
        </row>
        <row r="288">
          <cell r="B288">
            <v>287</v>
          </cell>
        </row>
        <row r="289">
          <cell r="B289">
            <v>288</v>
          </cell>
        </row>
        <row r="290">
          <cell r="B290">
            <v>289</v>
          </cell>
        </row>
        <row r="291">
          <cell r="B291">
            <v>290</v>
          </cell>
        </row>
        <row r="292">
          <cell r="B292">
            <v>291</v>
          </cell>
        </row>
        <row r="293">
          <cell r="B293">
            <v>292</v>
          </cell>
        </row>
        <row r="294">
          <cell r="B294">
            <v>293</v>
          </cell>
        </row>
        <row r="295">
          <cell r="B295">
            <v>294</v>
          </cell>
        </row>
        <row r="296">
          <cell r="B296">
            <v>295</v>
          </cell>
        </row>
        <row r="297">
          <cell r="B297">
            <v>296</v>
          </cell>
        </row>
        <row r="298">
          <cell r="B298">
            <v>297</v>
          </cell>
        </row>
        <row r="299">
          <cell r="B299">
            <v>298</v>
          </cell>
        </row>
        <row r="300">
          <cell r="B300">
            <v>299</v>
          </cell>
        </row>
        <row r="301">
          <cell r="B301">
            <v>300</v>
          </cell>
        </row>
        <row r="302">
          <cell r="B302">
            <v>301</v>
          </cell>
        </row>
        <row r="303">
          <cell r="B303">
            <v>302</v>
          </cell>
        </row>
        <row r="304">
          <cell r="B304">
            <v>303</v>
          </cell>
        </row>
        <row r="305">
          <cell r="B305">
            <v>304</v>
          </cell>
        </row>
        <row r="306">
          <cell r="B306">
            <v>305</v>
          </cell>
        </row>
        <row r="307">
          <cell r="B307">
            <v>306</v>
          </cell>
        </row>
        <row r="308">
          <cell r="B308">
            <v>307</v>
          </cell>
        </row>
        <row r="309">
          <cell r="B309">
            <v>308</v>
          </cell>
        </row>
        <row r="310">
          <cell r="B310">
            <v>309</v>
          </cell>
        </row>
        <row r="311">
          <cell r="B311">
            <v>310</v>
          </cell>
        </row>
        <row r="312">
          <cell r="B312">
            <v>311</v>
          </cell>
        </row>
        <row r="313">
          <cell r="B313">
            <v>312</v>
          </cell>
        </row>
        <row r="314">
          <cell r="B314">
            <v>313</v>
          </cell>
        </row>
        <row r="315">
          <cell r="B315">
            <v>314</v>
          </cell>
        </row>
        <row r="316">
          <cell r="B316">
            <v>315</v>
          </cell>
        </row>
        <row r="317">
          <cell r="B317">
            <v>316</v>
          </cell>
        </row>
        <row r="318">
          <cell r="B318">
            <v>317</v>
          </cell>
        </row>
        <row r="319">
          <cell r="B319">
            <v>318</v>
          </cell>
        </row>
        <row r="320">
          <cell r="B320">
            <v>319</v>
          </cell>
        </row>
        <row r="321">
          <cell r="B321">
            <v>320</v>
          </cell>
        </row>
        <row r="322">
          <cell r="B322">
            <v>321</v>
          </cell>
        </row>
        <row r="323">
          <cell r="B323">
            <v>322</v>
          </cell>
        </row>
        <row r="324">
          <cell r="B324">
            <v>323</v>
          </cell>
        </row>
        <row r="325">
          <cell r="B325">
            <v>324</v>
          </cell>
        </row>
        <row r="326">
          <cell r="B326">
            <v>325</v>
          </cell>
        </row>
        <row r="327">
          <cell r="B327">
            <v>326</v>
          </cell>
        </row>
        <row r="328">
          <cell r="B328">
            <v>327</v>
          </cell>
        </row>
        <row r="329">
          <cell r="B329">
            <v>328</v>
          </cell>
        </row>
        <row r="330">
          <cell r="B330">
            <v>329</v>
          </cell>
        </row>
        <row r="331">
          <cell r="B331">
            <v>330</v>
          </cell>
        </row>
        <row r="332">
          <cell r="B332">
            <v>331</v>
          </cell>
        </row>
        <row r="333">
          <cell r="B333">
            <v>332</v>
          </cell>
        </row>
        <row r="334">
          <cell r="B334">
            <v>333</v>
          </cell>
        </row>
        <row r="335">
          <cell r="B335">
            <v>334</v>
          </cell>
        </row>
        <row r="336">
          <cell r="B336">
            <v>335</v>
          </cell>
        </row>
        <row r="337">
          <cell r="B337">
            <v>336</v>
          </cell>
        </row>
        <row r="338">
          <cell r="B338">
            <v>337</v>
          </cell>
        </row>
        <row r="339">
          <cell r="B339">
            <v>338</v>
          </cell>
        </row>
        <row r="340">
          <cell r="B340">
            <v>339</v>
          </cell>
        </row>
        <row r="341">
          <cell r="B341">
            <v>340</v>
          </cell>
        </row>
        <row r="342">
          <cell r="B342">
            <v>341</v>
          </cell>
        </row>
        <row r="343">
          <cell r="B343">
            <v>342</v>
          </cell>
        </row>
        <row r="344">
          <cell r="B344">
            <v>343</v>
          </cell>
        </row>
        <row r="345">
          <cell r="B345">
            <v>344</v>
          </cell>
        </row>
        <row r="346">
          <cell r="B346">
            <v>345</v>
          </cell>
        </row>
        <row r="347">
          <cell r="B347">
            <v>346</v>
          </cell>
        </row>
        <row r="348">
          <cell r="B348">
            <v>347</v>
          </cell>
        </row>
        <row r="349">
          <cell r="B349">
            <v>348</v>
          </cell>
        </row>
        <row r="350">
          <cell r="B350">
            <v>349</v>
          </cell>
        </row>
        <row r="351">
          <cell r="B351">
            <v>350</v>
          </cell>
        </row>
        <row r="352">
          <cell r="B352">
            <v>351</v>
          </cell>
        </row>
        <row r="353">
          <cell r="B353">
            <v>352</v>
          </cell>
        </row>
        <row r="354">
          <cell r="B354">
            <v>353</v>
          </cell>
        </row>
        <row r="355">
          <cell r="B355">
            <v>354</v>
          </cell>
        </row>
        <row r="356">
          <cell r="B356">
            <v>355</v>
          </cell>
        </row>
        <row r="357">
          <cell r="B357">
            <v>356</v>
          </cell>
        </row>
        <row r="358">
          <cell r="B358">
            <v>357</v>
          </cell>
        </row>
        <row r="359">
          <cell r="B359">
            <v>358</v>
          </cell>
        </row>
        <row r="360">
          <cell r="B360">
            <v>359</v>
          </cell>
        </row>
        <row r="361">
          <cell r="B361">
            <v>360</v>
          </cell>
        </row>
        <row r="362">
          <cell r="B362">
            <v>361</v>
          </cell>
        </row>
        <row r="363">
          <cell r="B363">
            <v>362</v>
          </cell>
        </row>
        <row r="364">
          <cell r="B364">
            <v>363</v>
          </cell>
        </row>
        <row r="365">
          <cell r="B365">
            <v>364</v>
          </cell>
        </row>
        <row r="366">
          <cell r="B366">
            <v>365</v>
          </cell>
        </row>
        <row r="367">
          <cell r="B367">
            <v>366</v>
          </cell>
        </row>
        <row r="368">
          <cell r="B368">
            <v>367</v>
          </cell>
        </row>
        <row r="369">
          <cell r="B369">
            <v>368</v>
          </cell>
        </row>
        <row r="370">
          <cell r="B370">
            <v>369</v>
          </cell>
        </row>
        <row r="371">
          <cell r="B371">
            <v>370</v>
          </cell>
        </row>
        <row r="372">
          <cell r="B372">
            <v>371</v>
          </cell>
        </row>
        <row r="373">
          <cell r="B373">
            <v>372</v>
          </cell>
        </row>
        <row r="374">
          <cell r="B374">
            <v>373</v>
          </cell>
        </row>
        <row r="375">
          <cell r="B375">
            <v>374</v>
          </cell>
        </row>
        <row r="376">
          <cell r="B376">
            <v>375</v>
          </cell>
        </row>
        <row r="377">
          <cell r="B377">
            <v>376</v>
          </cell>
        </row>
        <row r="378">
          <cell r="B378">
            <v>377</v>
          </cell>
        </row>
        <row r="379">
          <cell r="B379">
            <v>378</v>
          </cell>
        </row>
        <row r="380">
          <cell r="B380">
            <v>379</v>
          </cell>
        </row>
        <row r="381">
          <cell r="B381">
            <v>380</v>
          </cell>
        </row>
        <row r="382">
          <cell r="B382">
            <v>381</v>
          </cell>
        </row>
        <row r="383">
          <cell r="B383">
            <v>382</v>
          </cell>
        </row>
        <row r="384">
          <cell r="B384">
            <v>383</v>
          </cell>
        </row>
        <row r="385">
          <cell r="B385">
            <v>384</v>
          </cell>
        </row>
        <row r="386">
          <cell r="B386">
            <v>385</v>
          </cell>
        </row>
        <row r="387">
          <cell r="B387">
            <v>386</v>
          </cell>
        </row>
        <row r="388">
          <cell r="B388">
            <v>387</v>
          </cell>
        </row>
        <row r="389">
          <cell r="B389">
            <v>388</v>
          </cell>
        </row>
        <row r="390">
          <cell r="B390">
            <v>389</v>
          </cell>
        </row>
        <row r="391">
          <cell r="B391">
            <v>390</v>
          </cell>
        </row>
        <row r="392">
          <cell r="B392">
            <v>391</v>
          </cell>
        </row>
        <row r="393">
          <cell r="B393">
            <v>392</v>
          </cell>
        </row>
        <row r="394">
          <cell r="B394">
            <v>393</v>
          </cell>
        </row>
        <row r="395">
          <cell r="B395">
            <v>394</v>
          </cell>
        </row>
        <row r="396">
          <cell r="B396">
            <v>395</v>
          </cell>
        </row>
        <row r="397">
          <cell r="B397">
            <v>396</v>
          </cell>
        </row>
        <row r="398">
          <cell r="B398">
            <v>397</v>
          </cell>
        </row>
        <row r="399">
          <cell r="B399">
            <v>398</v>
          </cell>
        </row>
        <row r="400">
          <cell r="B400">
            <v>399</v>
          </cell>
        </row>
        <row r="401">
          <cell r="B401">
            <v>400</v>
          </cell>
        </row>
        <row r="402">
          <cell r="B402">
            <v>401</v>
          </cell>
        </row>
        <row r="403">
          <cell r="B403">
            <v>402</v>
          </cell>
        </row>
        <row r="404">
          <cell r="B404">
            <v>403</v>
          </cell>
        </row>
        <row r="405">
          <cell r="B405">
            <v>404</v>
          </cell>
        </row>
        <row r="406">
          <cell r="B406">
            <v>405</v>
          </cell>
        </row>
        <row r="407">
          <cell r="B407">
            <v>406</v>
          </cell>
        </row>
        <row r="408">
          <cell r="B408">
            <v>407</v>
          </cell>
        </row>
        <row r="409">
          <cell r="B409">
            <v>408</v>
          </cell>
        </row>
        <row r="410">
          <cell r="B410">
            <v>409</v>
          </cell>
        </row>
        <row r="411">
          <cell r="B411">
            <v>410</v>
          </cell>
        </row>
        <row r="412">
          <cell r="B412">
            <v>411</v>
          </cell>
        </row>
        <row r="413">
          <cell r="B413">
            <v>412</v>
          </cell>
        </row>
        <row r="414">
          <cell r="B414">
            <v>413</v>
          </cell>
        </row>
        <row r="415">
          <cell r="B415">
            <v>414</v>
          </cell>
        </row>
        <row r="416">
          <cell r="B416">
            <v>415</v>
          </cell>
        </row>
        <row r="417">
          <cell r="B417">
            <v>416</v>
          </cell>
        </row>
        <row r="418">
          <cell r="B418">
            <v>417</v>
          </cell>
        </row>
        <row r="419">
          <cell r="B419">
            <v>418</v>
          </cell>
        </row>
        <row r="420">
          <cell r="B420">
            <v>419</v>
          </cell>
        </row>
        <row r="421">
          <cell r="B421">
            <v>420</v>
          </cell>
        </row>
        <row r="422">
          <cell r="B422">
            <v>421</v>
          </cell>
        </row>
        <row r="423">
          <cell r="B423">
            <v>422</v>
          </cell>
        </row>
        <row r="424">
          <cell r="B424">
            <v>423</v>
          </cell>
        </row>
        <row r="425">
          <cell r="B425">
            <v>424</v>
          </cell>
        </row>
        <row r="426">
          <cell r="B426">
            <v>425</v>
          </cell>
        </row>
        <row r="427">
          <cell r="B427">
            <v>426</v>
          </cell>
        </row>
        <row r="428">
          <cell r="B428">
            <v>427</v>
          </cell>
        </row>
        <row r="429">
          <cell r="B429">
            <v>428</v>
          </cell>
        </row>
        <row r="430">
          <cell r="B430">
            <v>429</v>
          </cell>
        </row>
        <row r="431">
          <cell r="B431">
            <v>430</v>
          </cell>
        </row>
        <row r="432">
          <cell r="B432">
            <v>431</v>
          </cell>
        </row>
        <row r="433">
          <cell r="B433">
            <v>432</v>
          </cell>
        </row>
        <row r="434">
          <cell r="B434">
            <v>433</v>
          </cell>
        </row>
        <row r="435">
          <cell r="B435">
            <v>434</v>
          </cell>
        </row>
        <row r="436">
          <cell r="B436">
            <v>435</v>
          </cell>
        </row>
        <row r="437">
          <cell r="B437">
            <v>436</v>
          </cell>
        </row>
        <row r="438">
          <cell r="B438">
            <v>437</v>
          </cell>
        </row>
        <row r="439">
          <cell r="B439">
            <v>438</v>
          </cell>
        </row>
        <row r="440">
          <cell r="B440">
            <v>439</v>
          </cell>
        </row>
        <row r="441">
          <cell r="B441">
            <v>440</v>
          </cell>
        </row>
        <row r="442">
          <cell r="B442">
            <v>441</v>
          </cell>
        </row>
        <row r="443">
          <cell r="B443">
            <v>442</v>
          </cell>
        </row>
        <row r="444">
          <cell r="B444">
            <v>443</v>
          </cell>
        </row>
        <row r="445">
          <cell r="B445">
            <v>444</v>
          </cell>
        </row>
        <row r="446">
          <cell r="B446">
            <v>445</v>
          </cell>
        </row>
        <row r="447">
          <cell r="B447">
            <v>446</v>
          </cell>
        </row>
        <row r="448">
          <cell r="B448">
            <v>447</v>
          </cell>
        </row>
        <row r="449">
          <cell r="B449">
            <v>448</v>
          </cell>
        </row>
        <row r="450">
          <cell r="B450">
            <v>449</v>
          </cell>
        </row>
        <row r="451">
          <cell r="B451">
            <v>450</v>
          </cell>
        </row>
        <row r="452">
          <cell r="B452">
            <v>451</v>
          </cell>
        </row>
        <row r="453">
          <cell r="B453">
            <v>452</v>
          </cell>
        </row>
        <row r="454">
          <cell r="B454">
            <v>453</v>
          </cell>
        </row>
        <row r="455">
          <cell r="B455">
            <v>454</v>
          </cell>
        </row>
        <row r="456">
          <cell r="B456">
            <v>455</v>
          </cell>
        </row>
        <row r="457">
          <cell r="B457">
            <v>456</v>
          </cell>
        </row>
        <row r="458">
          <cell r="B458">
            <v>457</v>
          </cell>
        </row>
        <row r="459">
          <cell r="B459">
            <v>458</v>
          </cell>
        </row>
        <row r="460">
          <cell r="B460">
            <v>459</v>
          </cell>
        </row>
        <row r="461">
          <cell r="B461">
            <v>460</v>
          </cell>
        </row>
        <row r="462">
          <cell r="B462">
            <v>461</v>
          </cell>
        </row>
        <row r="463">
          <cell r="B463">
            <v>462</v>
          </cell>
        </row>
        <row r="464">
          <cell r="B464">
            <v>463</v>
          </cell>
        </row>
        <row r="465">
          <cell r="B465">
            <v>464</v>
          </cell>
        </row>
        <row r="466">
          <cell r="B466">
            <v>465</v>
          </cell>
        </row>
        <row r="467">
          <cell r="B467">
            <v>466</v>
          </cell>
        </row>
        <row r="468">
          <cell r="B468">
            <v>467</v>
          </cell>
        </row>
        <row r="469">
          <cell r="B469">
            <v>468</v>
          </cell>
        </row>
        <row r="470">
          <cell r="B470">
            <v>469</v>
          </cell>
        </row>
        <row r="471">
          <cell r="B471">
            <v>470</v>
          </cell>
        </row>
        <row r="472">
          <cell r="B472">
            <v>471</v>
          </cell>
        </row>
        <row r="473">
          <cell r="B473">
            <v>472</v>
          </cell>
        </row>
        <row r="474">
          <cell r="B474">
            <v>473</v>
          </cell>
        </row>
        <row r="475">
          <cell r="B475">
            <v>474</v>
          </cell>
        </row>
        <row r="476">
          <cell r="B476">
            <v>475</v>
          </cell>
        </row>
        <row r="477">
          <cell r="B477">
            <v>476</v>
          </cell>
        </row>
        <row r="478">
          <cell r="B478">
            <v>477</v>
          </cell>
        </row>
        <row r="479">
          <cell r="B479">
            <v>478</v>
          </cell>
        </row>
        <row r="480">
          <cell r="B480">
            <v>479</v>
          </cell>
        </row>
        <row r="481">
          <cell r="B481">
            <v>480</v>
          </cell>
        </row>
        <row r="482">
          <cell r="B482">
            <v>481</v>
          </cell>
        </row>
        <row r="483">
          <cell r="B483">
            <v>482</v>
          </cell>
        </row>
        <row r="484">
          <cell r="B484">
            <v>483</v>
          </cell>
        </row>
        <row r="485">
          <cell r="B485">
            <v>484</v>
          </cell>
        </row>
        <row r="486">
          <cell r="B486">
            <v>485</v>
          </cell>
        </row>
        <row r="487">
          <cell r="B487">
            <v>486</v>
          </cell>
        </row>
        <row r="488">
          <cell r="B488">
            <v>487</v>
          </cell>
        </row>
        <row r="489">
          <cell r="B489">
            <v>488</v>
          </cell>
        </row>
        <row r="490">
          <cell r="B490">
            <v>489</v>
          </cell>
        </row>
        <row r="491">
          <cell r="B491">
            <v>490</v>
          </cell>
        </row>
        <row r="492">
          <cell r="B492">
            <v>491</v>
          </cell>
        </row>
        <row r="493">
          <cell r="B493">
            <v>492</v>
          </cell>
        </row>
        <row r="494">
          <cell r="B494">
            <v>493</v>
          </cell>
        </row>
        <row r="495">
          <cell r="B495">
            <v>494</v>
          </cell>
        </row>
        <row r="496">
          <cell r="B496">
            <v>495</v>
          </cell>
        </row>
        <row r="497">
          <cell r="B497">
            <v>496</v>
          </cell>
        </row>
        <row r="498">
          <cell r="B498">
            <v>497</v>
          </cell>
        </row>
        <row r="499">
          <cell r="B499">
            <v>498</v>
          </cell>
        </row>
        <row r="500">
          <cell r="B500">
            <v>499</v>
          </cell>
        </row>
        <row r="501">
          <cell r="B501">
            <v>500</v>
          </cell>
        </row>
        <row r="502">
          <cell r="B502">
            <v>501</v>
          </cell>
        </row>
        <row r="503">
          <cell r="B503">
            <v>502</v>
          </cell>
        </row>
        <row r="504">
          <cell r="B504">
            <v>503</v>
          </cell>
        </row>
        <row r="505">
          <cell r="B505">
            <v>504</v>
          </cell>
        </row>
        <row r="506">
          <cell r="B506">
            <v>505</v>
          </cell>
        </row>
        <row r="507">
          <cell r="B507">
            <v>506</v>
          </cell>
        </row>
        <row r="508">
          <cell r="B508">
            <v>507</v>
          </cell>
        </row>
        <row r="509">
          <cell r="B509">
            <v>508</v>
          </cell>
        </row>
        <row r="510">
          <cell r="B510">
            <v>509</v>
          </cell>
        </row>
        <row r="511">
          <cell r="B511">
            <v>510</v>
          </cell>
        </row>
        <row r="512">
          <cell r="B512">
            <v>511</v>
          </cell>
        </row>
        <row r="513">
          <cell r="B513">
            <v>512</v>
          </cell>
        </row>
        <row r="514">
          <cell r="B514">
            <v>513</v>
          </cell>
        </row>
        <row r="515">
          <cell r="B515">
            <v>514</v>
          </cell>
        </row>
        <row r="516">
          <cell r="B516">
            <v>515</v>
          </cell>
        </row>
        <row r="517">
          <cell r="B517">
            <v>516</v>
          </cell>
        </row>
        <row r="518">
          <cell r="B518">
            <v>517</v>
          </cell>
        </row>
        <row r="519">
          <cell r="B519">
            <v>518</v>
          </cell>
        </row>
        <row r="520">
          <cell r="B520">
            <v>519</v>
          </cell>
        </row>
        <row r="521">
          <cell r="B521">
            <v>520</v>
          </cell>
        </row>
        <row r="522">
          <cell r="B522">
            <v>521</v>
          </cell>
        </row>
        <row r="523">
          <cell r="B523">
            <v>522</v>
          </cell>
        </row>
        <row r="524">
          <cell r="B524">
            <v>523</v>
          </cell>
        </row>
        <row r="525">
          <cell r="B525">
            <v>524</v>
          </cell>
        </row>
        <row r="526">
          <cell r="B526">
            <v>525</v>
          </cell>
        </row>
        <row r="527">
          <cell r="B527">
            <v>526</v>
          </cell>
        </row>
        <row r="528">
          <cell r="B528">
            <v>527</v>
          </cell>
        </row>
        <row r="529">
          <cell r="B529">
            <v>528</v>
          </cell>
        </row>
        <row r="530">
          <cell r="B530">
            <v>529</v>
          </cell>
        </row>
        <row r="531">
          <cell r="B531">
            <v>530</v>
          </cell>
        </row>
        <row r="532">
          <cell r="B532">
            <v>531</v>
          </cell>
        </row>
        <row r="533">
          <cell r="B533">
            <v>532</v>
          </cell>
        </row>
        <row r="534">
          <cell r="B534">
            <v>533</v>
          </cell>
        </row>
        <row r="535">
          <cell r="B535">
            <v>534</v>
          </cell>
        </row>
        <row r="536">
          <cell r="B536">
            <v>535</v>
          </cell>
        </row>
        <row r="537">
          <cell r="B537">
            <v>536</v>
          </cell>
        </row>
        <row r="538">
          <cell r="B538">
            <v>537</v>
          </cell>
        </row>
        <row r="539">
          <cell r="B539">
            <v>538</v>
          </cell>
        </row>
        <row r="540">
          <cell r="B540">
            <v>539</v>
          </cell>
        </row>
        <row r="541">
          <cell r="B541">
            <v>540</v>
          </cell>
        </row>
        <row r="542">
          <cell r="B542">
            <v>541</v>
          </cell>
        </row>
        <row r="543">
          <cell r="B543">
            <v>542</v>
          </cell>
        </row>
        <row r="544">
          <cell r="B544">
            <v>543</v>
          </cell>
        </row>
        <row r="545">
          <cell r="B545">
            <v>544</v>
          </cell>
        </row>
        <row r="546">
          <cell r="B546">
            <v>545</v>
          </cell>
        </row>
        <row r="547">
          <cell r="B547">
            <v>546</v>
          </cell>
        </row>
        <row r="548">
          <cell r="B548">
            <v>547</v>
          </cell>
        </row>
        <row r="549">
          <cell r="B549">
            <v>548</v>
          </cell>
        </row>
        <row r="550">
          <cell r="B550">
            <v>549</v>
          </cell>
        </row>
        <row r="551">
          <cell r="B551">
            <v>550</v>
          </cell>
        </row>
        <row r="552">
          <cell r="B552">
            <v>551</v>
          </cell>
        </row>
        <row r="553">
          <cell r="B553">
            <v>552</v>
          </cell>
        </row>
        <row r="554">
          <cell r="B554">
            <v>553</v>
          </cell>
        </row>
        <row r="555">
          <cell r="B555">
            <v>554</v>
          </cell>
        </row>
        <row r="556">
          <cell r="B556">
            <v>555</v>
          </cell>
        </row>
        <row r="557">
          <cell r="B557">
            <v>556</v>
          </cell>
        </row>
        <row r="558">
          <cell r="B558">
            <v>557</v>
          </cell>
        </row>
        <row r="559">
          <cell r="B559">
            <v>558</v>
          </cell>
        </row>
        <row r="560">
          <cell r="B560">
            <v>559</v>
          </cell>
        </row>
        <row r="561">
          <cell r="B561">
            <v>560</v>
          </cell>
        </row>
        <row r="562">
          <cell r="B562">
            <v>561</v>
          </cell>
        </row>
        <row r="563">
          <cell r="B563">
            <v>562</v>
          </cell>
        </row>
        <row r="564">
          <cell r="B564">
            <v>563</v>
          </cell>
        </row>
        <row r="565">
          <cell r="B565">
            <v>564</v>
          </cell>
        </row>
        <row r="566">
          <cell r="B566">
            <v>565</v>
          </cell>
        </row>
        <row r="567">
          <cell r="B567">
            <v>566</v>
          </cell>
        </row>
        <row r="568">
          <cell r="B568">
            <v>567</v>
          </cell>
        </row>
        <row r="569">
          <cell r="B569">
            <v>568</v>
          </cell>
        </row>
        <row r="570">
          <cell r="B570">
            <v>569</v>
          </cell>
        </row>
        <row r="571">
          <cell r="B571">
            <v>570</v>
          </cell>
        </row>
        <row r="572">
          <cell r="B572">
            <v>571</v>
          </cell>
        </row>
        <row r="573">
          <cell r="B573">
            <v>572</v>
          </cell>
        </row>
        <row r="574">
          <cell r="B574">
            <v>573</v>
          </cell>
        </row>
        <row r="575">
          <cell r="B575">
            <v>574</v>
          </cell>
        </row>
        <row r="576">
          <cell r="B576">
            <v>575</v>
          </cell>
        </row>
        <row r="577">
          <cell r="B577">
            <v>576</v>
          </cell>
        </row>
        <row r="578">
          <cell r="B578">
            <v>577</v>
          </cell>
        </row>
        <row r="579">
          <cell r="B579">
            <v>578</v>
          </cell>
        </row>
        <row r="580">
          <cell r="B580">
            <v>579</v>
          </cell>
        </row>
        <row r="581">
          <cell r="B581">
            <v>580</v>
          </cell>
        </row>
        <row r="582">
          <cell r="B582">
            <v>581</v>
          </cell>
        </row>
        <row r="583">
          <cell r="B583">
            <v>582</v>
          </cell>
        </row>
        <row r="584">
          <cell r="B584">
            <v>583</v>
          </cell>
        </row>
        <row r="585">
          <cell r="B585">
            <v>584</v>
          </cell>
        </row>
        <row r="586">
          <cell r="B586">
            <v>585</v>
          </cell>
        </row>
        <row r="587">
          <cell r="B587">
            <v>586</v>
          </cell>
        </row>
        <row r="588">
          <cell r="B588">
            <v>587</v>
          </cell>
        </row>
        <row r="589">
          <cell r="B589">
            <v>588</v>
          </cell>
        </row>
        <row r="590">
          <cell r="B590">
            <v>589</v>
          </cell>
        </row>
        <row r="591">
          <cell r="B591">
            <v>590</v>
          </cell>
        </row>
        <row r="592">
          <cell r="B592">
            <v>591</v>
          </cell>
        </row>
        <row r="593">
          <cell r="B593">
            <v>592</v>
          </cell>
        </row>
        <row r="594">
          <cell r="B594">
            <v>593</v>
          </cell>
        </row>
        <row r="595">
          <cell r="B595">
            <v>594</v>
          </cell>
        </row>
        <row r="596">
          <cell r="B596">
            <v>595</v>
          </cell>
        </row>
        <row r="597">
          <cell r="B597">
            <v>596</v>
          </cell>
        </row>
        <row r="598">
          <cell r="B598">
            <v>597</v>
          </cell>
        </row>
        <row r="599">
          <cell r="B599">
            <v>598</v>
          </cell>
        </row>
        <row r="600">
          <cell r="B600">
            <v>599</v>
          </cell>
        </row>
        <row r="601">
          <cell r="B601">
            <v>600</v>
          </cell>
        </row>
        <row r="602">
          <cell r="B602">
            <v>601</v>
          </cell>
        </row>
        <row r="603">
          <cell r="B603">
            <v>602</v>
          </cell>
        </row>
        <row r="604">
          <cell r="B604">
            <v>603</v>
          </cell>
        </row>
        <row r="605">
          <cell r="B605">
            <v>604</v>
          </cell>
        </row>
        <row r="606">
          <cell r="B606">
            <v>605</v>
          </cell>
        </row>
        <row r="607">
          <cell r="B607">
            <v>606</v>
          </cell>
        </row>
        <row r="608">
          <cell r="B608">
            <v>607</v>
          </cell>
        </row>
        <row r="609">
          <cell r="B609">
            <v>608</v>
          </cell>
        </row>
        <row r="610">
          <cell r="B610">
            <v>609</v>
          </cell>
        </row>
        <row r="611">
          <cell r="B611">
            <v>610</v>
          </cell>
        </row>
        <row r="612">
          <cell r="B612">
            <v>611</v>
          </cell>
        </row>
        <row r="613">
          <cell r="B613">
            <v>612</v>
          </cell>
        </row>
        <row r="614">
          <cell r="B614">
            <v>613</v>
          </cell>
        </row>
        <row r="615">
          <cell r="B615">
            <v>614</v>
          </cell>
        </row>
        <row r="616">
          <cell r="B616">
            <v>615</v>
          </cell>
        </row>
        <row r="617">
          <cell r="B617">
            <v>616</v>
          </cell>
        </row>
        <row r="618">
          <cell r="B618">
            <v>617</v>
          </cell>
        </row>
        <row r="619">
          <cell r="B619">
            <v>618</v>
          </cell>
        </row>
        <row r="620">
          <cell r="B620">
            <v>619</v>
          </cell>
        </row>
        <row r="621">
          <cell r="B621">
            <v>620</v>
          </cell>
        </row>
        <row r="622">
          <cell r="B622">
            <v>621</v>
          </cell>
        </row>
        <row r="623">
          <cell r="B623">
            <v>622</v>
          </cell>
        </row>
        <row r="624">
          <cell r="B624">
            <v>623</v>
          </cell>
        </row>
        <row r="625">
          <cell r="B625">
            <v>624</v>
          </cell>
        </row>
        <row r="626">
          <cell r="B626">
            <v>625</v>
          </cell>
        </row>
        <row r="627">
          <cell r="B627">
            <v>626</v>
          </cell>
        </row>
        <row r="628">
          <cell r="B628">
            <v>627</v>
          </cell>
        </row>
        <row r="629">
          <cell r="B629">
            <v>628</v>
          </cell>
        </row>
        <row r="630">
          <cell r="B630">
            <v>629</v>
          </cell>
        </row>
        <row r="631">
          <cell r="B631">
            <v>630</v>
          </cell>
        </row>
        <row r="632">
          <cell r="B632">
            <v>631</v>
          </cell>
        </row>
        <row r="633">
          <cell r="B633">
            <v>632</v>
          </cell>
        </row>
        <row r="634">
          <cell r="B634">
            <v>633</v>
          </cell>
        </row>
        <row r="635">
          <cell r="B635">
            <v>634</v>
          </cell>
        </row>
        <row r="636">
          <cell r="B636">
            <v>635</v>
          </cell>
        </row>
        <row r="637">
          <cell r="B637">
            <v>636</v>
          </cell>
        </row>
        <row r="638">
          <cell r="B638">
            <v>637</v>
          </cell>
        </row>
        <row r="639">
          <cell r="B639">
            <v>638</v>
          </cell>
        </row>
        <row r="640">
          <cell r="B640">
            <v>639</v>
          </cell>
        </row>
        <row r="641">
          <cell r="B641">
            <v>640</v>
          </cell>
        </row>
        <row r="642">
          <cell r="B642">
            <v>641</v>
          </cell>
        </row>
        <row r="643">
          <cell r="B643">
            <v>642</v>
          </cell>
        </row>
        <row r="644">
          <cell r="B644">
            <v>643</v>
          </cell>
        </row>
        <row r="645">
          <cell r="B645">
            <v>644</v>
          </cell>
        </row>
        <row r="646">
          <cell r="B646">
            <v>645</v>
          </cell>
        </row>
        <row r="647">
          <cell r="B647">
            <v>646</v>
          </cell>
        </row>
        <row r="648">
          <cell r="B648">
            <v>647</v>
          </cell>
        </row>
        <row r="649">
          <cell r="B649">
            <v>648</v>
          </cell>
        </row>
        <row r="650">
          <cell r="B650">
            <v>649</v>
          </cell>
        </row>
        <row r="651">
          <cell r="B651">
            <v>650</v>
          </cell>
        </row>
        <row r="652">
          <cell r="B652">
            <v>651</v>
          </cell>
        </row>
        <row r="653">
          <cell r="B653">
            <v>652</v>
          </cell>
        </row>
        <row r="654">
          <cell r="B654">
            <v>653</v>
          </cell>
        </row>
        <row r="655">
          <cell r="B655">
            <v>654</v>
          </cell>
        </row>
        <row r="656">
          <cell r="B656">
            <v>655</v>
          </cell>
        </row>
        <row r="657">
          <cell r="B657">
            <v>656</v>
          </cell>
        </row>
        <row r="658">
          <cell r="B658">
            <v>657</v>
          </cell>
        </row>
        <row r="659">
          <cell r="B659">
            <v>658</v>
          </cell>
        </row>
        <row r="660">
          <cell r="B660">
            <v>659</v>
          </cell>
        </row>
        <row r="661">
          <cell r="B661">
            <v>660</v>
          </cell>
        </row>
        <row r="662">
          <cell r="B662">
            <v>661</v>
          </cell>
        </row>
        <row r="663">
          <cell r="B663">
            <v>662</v>
          </cell>
        </row>
        <row r="664">
          <cell r="B664">
            <v>663</v>
          </cell>
        </row>
        <row r="665">
          <cell r="B665">
            <v>664</v>
          </cell>
        </row>
        <row r="666">
          <cell r="B666">
            <v>665</v>
          </cell>
        </row>
        <row r="667">
          <cell r="B667">
            <v>666</v>
          </cell>
        </row>
        <row r="668">
          <cell r="B668">
            <v>667</v>
          </cell>
        </row>
        <row r="669">
          <cell r="B669">
            <v>668</v>
          </cell>
        </row>
        <row r="670">
          <cell r="B670">
            <v>669</v>
          </cell>
        </row>
        <row r="671">
          <cell r="B671">
            <v>670</v>
          </cell>
        </row>
        <row r="672">
          <cell r="B672">
            <v>671</v>
          </cell>
        </row>
        <row r="673">
          <cell r="B673">
            <v>672</v>
          </cell>
        </row>
        <row r="674">
          <cell r="B674">
            <v>673</v>
          </cell>
        </row>
        <row r="675">
          <cell r="B675">
            <v>674</v>
          </cell>
        </row>
        <row r="676">
          <cell r="B676">
            <v>675</v>
          </cell>
        </row>
        <row r="677">
          <cell r="B677">
            <v>676</v>
          </cell>
        </row>
        <row r="678">
          <cell r="B678">
            <v>677</v>
          </cell>
        </row>
        <row r="679">
          <cell r="B679">
            <v>678</v>
          </cell>
        </row>
        <row r="680">
          <cell r="B680">
            <v>679</v>
          </cell>
        </row>
        <row r="681">
          <cell r="B681">
            <v>680</v>
          </cell>
        </row>
        <row r="682">
          <cell r="B682">
            <v>681</v>
          </cell>
        </row>
        <row r="683">
          <cell r="B683">
            <v>682</v>
          </cell>
        </row>
        <row r="684">
          <cell r="B684">
            <v>683</v>
          </cell>
        </row>
        <row r="685">
          <cell r="B685">
            <v>684</v>
          </cell>
        </row>
        <row r="686">
          <cell r="B686">
            <v>685</v>
          </cell>
        </row>
        <row r="687">
          <cell r="B687">
            <v>686</v>
          </cell>
        </row>
        <row r="688">
          <cell r="B688">
            <v>687</v>
          </cell>
        </row>
        <row r="689">
          <cell r="B689">
            <v>688</v>
          </cell>
        </row>
        <row r="690">
          <cell r="B690">
            <v>689</v>
          </cell>
        </row>
        <row r="691">
          <cell r="B691">
            <v>690</v>
          </cell>
        </row>
        <row r="692">
          <cell r="B692">
            <v>691</v>
          </cell>
        </row>
        <row r="693">
          <cell r="B693">
            <v>692</v>
          </cell>
        </row>
        <row r="694">
          <cell r="B694">
            <v>693</v>
          </cell>
        </row>
        <row r="695">
          <cell r="B695">
            <v>694</v>
          </cell>
        </row>
        <row r="696">
          <cell r="B696">
            <v>695</v>
          </cell>
        </row>
        <row r="697">
          <cell r="B697">
            <v>696</v>
          </cell>
        </row>
        <row r="698">
          <cell r="B698">
            <v>697</v>
          </cell>
        </row>
        <row r="699">
          <cell r="B699">
            <v>698</v>
          </cell>
        </row>
        <row r="700">
          <cell r="B700">
            <v>699</v>
          </cell>
        </row>
        <row r="701">
          <cell r="B701">
            <v>700</v>
          </cell>
        </row>
        <row r="702">
          <cell r="B702">
            <v>701</v>
          </cell>
        </row>
        <row r="703">
          <cell r="B703">
            <v>702</v>
          </cell>
        </row>
        <row r="704">
          <cell r="B704">
            <v>703</v>
          </cell>
        </row>
        <row r="705">
          <cell r="B705">
            <v>704</v>
          </cell>
        </row>
        <row r="706">
          <cell r="B706">
            <v>705</v>
          </cell>
        </row>
        <row r="707">
          <cell r="B707">
            <v>706</v>
          </cell>
        </row>
        <row r="708">
          <cell r="B708">
            <v>707</v>
          </cell>
        </row>
        <row r="709">
          <cell r="B709">
            <v>708</v>
          </cell>
        </row>
        <row r="710">
          <cell r="B710">
            <v>709</v>
          </cell>
        </row>
        <row r="711">
          <cell r="B711">
            <v>710</v>
          </cell>
        </row>
        <row r="712">
          <cell r="B712">
            <v>711</v>
          </cell>
        </row>
        <row r="713">
          <cell r="B713">
            <v>712</v>
          </cell>
        </row>
        <row r="714">
          <cell r="B714">
            <v>713</v>
          </cell>
        </row>
        <row r="715">
          <cell r="B715">
            <v>714</v>
          </cell>
        </row>
        <row r="716">
          <cell r="B716">
            <v>715</v>
          </cell>
        </row>
        <row r="717">
          <cell r="B717">
            <v>716</v>
          </cell>
        </row>
        <row r="718">
          <cell r="B718">
            <v>717</v>
          </cell>
        </row>
        <row r="719">
          <cell r="B719">
            <v>718</v>
          </cell>
        </row>
        <row r="720">
          <cell r="B720">
            <v>719</v>
          </cell>
        </row>
        <row r="721">
          <cell r="B721">
            <v>720</v>
          </cell>
        </row>
        <row r="722">
          <cell r="B722">
            <v>721</v>
          </cell>
        </row>
        <row r="723">
          <cell r="B723">
            <v>722</v>
          </cell>
        </row>
        <row r="724">
          <cell r="B724">
            <v>723</v>
          </cell>
        </row>
        <row r="725">
          <cell r="B725">
            <v>724</v>
          </cell>
        </row>
        <row r="726">
          <cell r="B726">
            <v>725</v>
          </cell>
        </row>
        <row r="727">
          <cell r="B727">
            <v>726</v>
          </cell>
        </row>
        <row r="728">
          <cell r="B728">
            <v>727</v>
          </cell>
        </row>
        <row r="729">
          <cell r="B729">
            <v>728</v>
          </cell>
        </row>
        <row r="730">
          <cell r="B730">
            <v>729</v>
          </cell>
        </row>
        <row r="731">
          <cell r="B731">
            <v>730</v>
          </cell>
        </row>
        <row r="732">
          <cell r="B732">
            <v>731</v>
          </cell>
        </row>
        <row r="733">
          <cell r="B733">
            <v>732</v>
          </cell>
        </row>
        <row r="734">
          <cell r="B734">
            <v>733</v>
          </cell>
        </row>
        <row r="735">
          <cell r="B735">
            <v>734</v>
          </cell>
        </row>
        <row r="736">
          <cell r="B736">
            <v>735</v>
          </cell>
        </row>
        <row r="737">
          <cell r="B737">
            <v>736</v>
          </cell>
        </row>
        <row r="738">
          <cell r="B738">
            <v>737</v>
          </cell>
        </row>
        <row r="739">
          <cell r="B739">
            <v>738</v>
          </cell>
        </row>
        <row r="740">
          <cell r="B740">
            <v>739</v>
          </cell>
        </row>
        <row r="741">
          <cell r="B741">
            <v>740</v>
          </cell>
        </row>
        <row r="742">
          <cell r="B742">
            <v>741</v>
          </cell>
        </row>
        <row r="743">
          <cell r="B743">
            <v>742</v>
          </cell>
        </row>
        <row r="744">
          <cell r="B744">
            <v>743</v>
          </cell>
        </row>
        <row r="745">
          <cell r="B745">
            <v>744</v>
          </cell>
        </row>
        <row r="746">
          <cell r="B746">
            <v>745</v>
          </cell>
        </row>
        <row r="747">
          <cell r="B747">
            <v>746</v>
          </cell>
        </row>
        <row r="748">
          <cell r="B748">
            <v>747</v>
          </cell>
        </row>
        <row r="749">
          <cell r="B749">
            <v>748</v>
          </cell>
        </row>
        <row r="750">
          <cell r="B750">
            <v>749</v>
          </cell>
        </row>
        <row r="751">
          <cell r="B751">
            <v>750</v>
          </cell>
        </row>
        <row r="752">
          <cell r="B752">
            <v>751</v>
          </cell>
        </row>
        <row r="753">
          <cell r="B753">
            <v>752</v>
          </cell>
        </row>
        <row r="754">
          <cell r="B754">
            <v>753</v>
          </cell>
        </row>
        <row r="755">
          <cell r="B755">
            <v>754</v>
          </cell>
        </row>
        <row r="756">
          <cell r="B756">
            <v>755</v>
          </cell>
        </row>
        <row r="757">
          <cell r="B757">
            <v>756</v>
          </cell>
        </row>
        <row r="758">
          <cell r="B758">
            <v>757</v>
          </cell>
        </row>
        <row r="759">
          <cell r="B759">
            <v>758</v>
          </cell>
        </row>
        <row r="760">
          <cell r="B760">
            <v>759</v>
          </cell>
        </row>
        <row r="761">
          <cell r="B761">
            <v>760</v>
          </cell>
        </row>
        <row r="762">
          <cell r="B762">
            <v>761</v>
          </cell>
        </row>
        <row r="763">
          <cell r="B763">
            <v>762</v>
          </cell>
        </row>
        <row r="764">
          <cell r="B764">
            <v>763</v>
          </cell>
        </row>
        <row r="765">
          <cell r="B765">
            <v>764</v>
          </cell>
        </row>
        <row r="766">
          <cell r="B766">
            <v>765</v>
          </cell>
        </row>
        <row r="767">
          <cell r="B767">
            <v>766</v>
          </cell>
        </row>
        <row r="768">
          <cell r="B768">
            <v>767</v>
          </cell>
        </row>
        <row r="769">
          <cell r="B769">
            <v>768</v>
          </cell>
        </row>
        <row r="770">
          <cell r="B770">
            <v>769</v>
          </cell>
        </row>
        <row r="771">
          <cell r="B771">
            <v>770</v>
          </cell>
        </row>
        <row r="772">
          <cell r="B772">
            <v>771</v>
          </cell>
        </row>
        <row r="773">
          <cell r="B773">
            <v>772</v>
          </cell>
        </row>
        <row r="774">
          <cell r="B774">
            <v>773</v>
          </cell>
        </row>
        <row r="775">
          <cell r="B775">
            <v>774</v>
          </cell>
        </row>
        <row r="776">
          <cell r="B776">
            <v>775</v>
          </cell>
        </row>
        <row r="777">
          <cell r="B777">
            <v>776</v>
          </cell>
        </row>
        <row r="778">
          <cell r="B778">
            <v>777</v>
          </cell>
        </row>
        <row r="779">
          <cell r="B779">
            <v>778</v>
          </cell>
        </row>
        <row r="780">
          <cell r="B780">
            <v>779</v>
          </cell>
        </row>
        <row r="781">
          <cell r="B781">
            <v>780</v>
          </cell>
        </row>
        <row r="782">
          <cell r="B782">
            <v>781</v>
          </cell>
        </row>
        <row r="783">
          <cell r="B783">
            <v>782</v>
          </cell>
        </row>
        <row r="784">
          <cell r="B784">
            <v>783</v>
          </cell>
        </row>
        <row r="785">
          <cell r="B785">
            <v>784</v>
          </cell>
        </row>
        <row r="786">
          <cell r="B786">
            <v>785</v>
          </cell>
        </row>
        <row r="787">
          <cell r="B787">
            <v>786</v>
          </cell>
        </row>
        <row r="788">
          <cell r="B788">
            <v>787</v>
          </cell>
        </row>
        <row r="789">
          <cell r="B789">
            <v>788</v>
          </cell>
        </row>
        <row r="790">
          <cell r="B790">
            <v>789</v>
          </cell>
        </row>
        <row r="791">
          <cell r="B791">
            <v>790</v>
          </cell>
        </row>
        <row r="792">
          <cell r="B792">
            <v>791</v>
          </cell>
        </row>
        <row r="793">
          <cell r="B793">
            <v>792</v>
          </cell>
        </row>
        <row r="794">
          <cell r="B794">
            <v>793</v>
          </cell>
        </row>
        <row r="795">
          <cell r="B795">
            <v>794</v>
          </cell>
        </row>
        <row r="796">
          <cell r="B796">
            <v>795</v>
          </cell>
        </row>
        <row r="797">
          <cell r="B797">
            <v>796</v>
          </cell>
        </row>
        <row r="798">
          <cell r="B798">
            <v>797</v>
          </cell>
        </row>
        <row r="799">
          <cell r="B799">
            <v>798</v>
          </cell>
        </row>
        <row r="800">
          <cell r="B800">
            <v>799</v>
          </cell>
        </row>
        <row r="801">
          <cell r="B801">
            <v>800</v>
          </cell>
        </row>
        <row r="802">
          <cell r="B802">
            <v>801</v>
          </cell>
        </row>
        <row r="803">
          <cell r="B803">
            <v>802</v>
          </cell>
        </row>
        <row r="804">
          <cell r="B804">
            <v>803</v>
          </cell>
        </row>
        <row r="805">
          <cell r="B805">
            <v>804</v>
          </cell>
        </row>
        <row r="806">
          <cell r="B806">
            <v>805</v>
          </cell>
        </row>
        <row r="807">
          <cell r="B807">
            <v>806</v>
          </cell>
        </row>
        <row r="808">
          <cell r="B808">
            <v>807</v>
          </cell>
        </row>
        <row r="809">
          <cell r="B809">
            <v>808</v>
          </cell>
        </row>
        <row r="810">
          <cell r="B810">
            <v>809</v>
          </cell>
        </row>
        <row r="811">
          <cell r="B811">
            <v>810</v>
          </cell>
        </row>
        <row r="812">
          <cell r="B812">
            <v>811</v>
          </cell>
        </row>
        <row r="813">
          <cell r="B813">
            <v>812</v>
          </cell>
        </row>
        <row r="814">
          <cell r="B814">
            <v>813</v>
          </cell>
        </row>
        <row r="815">
          <cell r="B815">
            <v>814</v>
          </cell>
        </row>
        <row r="816">
          <cell r="B816">
            <v>815</v>
          </cell>
        </row>
        <row r="817">
          <cell r="B817">
            <v>816</v>
          </cell>
        </row>
        <row r="818">
          <cell r="B818">
            <v>817</v>
          </cell>
        </row>
        <row r="819">
          <cell r="B819">
            <v>818</v>
          </cell>
        </row>
        <row r="820">
          <cell r="B820">
            <v>819</v>
          </cell>
        </row>
        <row r="821">
          <cell r="B821">
            <v>820</v>
          </cell>
        </row>
        <row r="822">
          <cell r="B822">
            <v>821</v>
          </cell>
        </row>
        <row r="823">
          <cell r="B823">
            <v>822</v>
          </cell>
        </row>
        <row r="824">
          <cell r="B824">
            <v>823</v>
          </cell>
        </row>
        <row r="825">
          <cell r="B825">
            <v>824</v>
          </cell>
        </row>
        <row r="826">
          <cell r="B826">
            <v>825</v>
          </cell>
        </row>
        <row r="827">
          <cell r="B827">
            <v>826</v>
          </cell>
        </row>
        <row r="828">
          <cell r="B828">
            <v>827</v>
          </cell>
        </row>
        <row r="829">
          <cell r="B829">
            <v>828</v>
          </cell>
        </row>
        <row r="830">
          <cell r="B830">
            <v>829</v>
          </cell>
        </row>
        <row r="831">
          <cell r="B831">
            <v>830</v>
          </cell>
        </row>
        <row r="832">
          <cell r="B832">
            <v>831</v>
          </cell>
        </row>
        <row r="833">
          <cell r="B833">
            <v>832</v>
          </cell>
        </row>
        <row r="834">
          <cell r="B834">
            <v>833</v>
          </cell>
        </row>
        <row r="835">
          <cell r="B835">
            <v>834</v>
          </cell>
        </row>
        <row r="836">
          <cell r="B836">
            <v>835</v>
          </cell>
        </row>
        <row r="837">
          <cell r="B837">
            <v>836</v>
          </cell>
        </row>
        <row r="838">
          <cell r="B838">
            <v>837</v>
          </cell>
        </row>
        <row r="839">
          <cell r="B839">
            <v>838</v>
          </cell>
        </row>
        <row r="840">
          <cell r="B840">
            <v>839</v>
          </cell>
        </row>
        <row r="841">
          <cell r="B841">
            <v>840</v>
          </cell>
        </row>
        <row r="842">
          <cell r="B842">
            <v>841</v>
          </cell>
        </row>
        <row r="843">
          <cell r="B843">
            <v>842</v>
          </cell>
        </row>
        <row r="844">
          <cell r="B844">
            <v>843</v>
          </cell>
        </row>
        <row r="845">
          <cell r="B845">
            <v>844</v>
          </cell>
        </row>
        <row r="846">
          <cell r="B846">
            <v>845</v>
          </cell>
        </row>
        <row r="847">
          <cell r="B847">
            <v>846</v>
          </cell>
        </row>
        <row r="848">
          <cell r="B848">
            <v>847</v>
          </cell>
        </row>
        <row r="849">
          <cell r="B849">
            <v>848</v>
          </cell>
        </row>
        <row r="850">
          <cell r="B850">
            <v>849</v>
          </cell>
        </row>
        <row r="851">
          <cell r="B851">
            <v>850</v>
          </cell>
        </row>
        <row r="852">
          <cell r="B852">
            <v>851</v>
          </cell>
        </row>
        <row r="853">
          <cell r="B853">
            <v>852</v>
          </cell>
        </row>
        <row r="854">
          <cell r="B854">
            <v>853</v>
          </cell>
        </row>
        <row r="855">
          <cell r="B855">
            <v>854</v>
          </cell>
        </row>
        <row r="856">
          <cell r="B856">
            <v>855</v>
          </cell>
        </row>
        <row r="857">
          <cell r="B857">
            <v>856</v>
          </cell>
        </row>
        <row r="858">
          <cell r="B858">
            <v>857</v>
          </cell>
        </row>
        <row r="859">
          <cell r="B859">
            <v>858</v>
          </cell>
        </row>
        <row r="860">
          <cell r="B860">
            <v>859</v>
          </cell>
        </row>
        <row r="861">
          <cell r="B861">
            <v>860</v>
          </cell>
        </row>
        <row r="862">
          <cell r="B862">
            <v>861</v>
          </cell>
        </row>
        <row r="863">
          <cell r="B863">
            <v>862</v>
          </cell>
        </row>
        <row r="864">
          <cell r="B864">
            <v>863</v>
          </cell>
        </row>
        <row r="865">
          <cell r="B865">
            <v>864</v>
          </cell>
        </row>
        <row r="866">
          <cell r="B866">
            <v>865</v>
          </cell>
        </row>
        <row r="867">
          <cell r="B867">
            <v>866</v>
          </cell>
        </row>
        <row r="868">
          <cell r="B868">
            <v>867</v>
          </cell>
        </row>
        <row r="869">
          <cell r="B869">
            <v>868</v>
          </cell>
        </row>
        <row r="870">
          <cell r="B870">
            <v>869</v>
          </cell>
        </row>
        <row r="871">
          <cell r="B871">
            <v>870</v>
          </cell>
        </row>
        <row r="872">
          <cell r="B872">
            <v>871</v>
          </cell>
        </row>
        <row r="873">
          <cell r="B873">
            <v>872</v>
          </cell>
        </row>
        <row r="874">
          <cell r="B874">
            <v>873</v>
          </cell>
        </row>
        <row r="875">
          <cell r="B875">
            <v>874</v>
          </cell>
        </row>
        <row r="876">
          <cell r="B876">
            <v>875</v>
          </cell>
        </row>
        <row r="877">
          <cell r="B877">
            <v>876</v>
          </cell>
        </row>
        <row r="878">
          <cell r="B878">
            <v>877</v>
          </cell>
        </row>
        <row r="879">
          <cell r="B879">
            <v>878</v>
          </cell>
        </row>
        <row r="880">
          <cell r="B880">
            <v>879</v>
          </cell>
        </row>
        <row r="881">
          <cell r="B881">
            <v>880</v>
          </cell>
        </row>
        <row r="882">
          <cell r="B882">
            <v>881</v>
          </cell>
        </row>
        <row r="883">
          <cell r="B883">
            <v>882</v>
          </cell>
        </row>
        <row r="884">
          <cell r="B884">
            <v>883</v>
          </cell>
        </row>
        <row r="885">
          <cell r="B885">
            <v>884</v>
          </cell>
        </row>
        <row r="886">
          <cell r="B886">
            <v>885</v>
          </cell>
        </row>
        <row r="887">
          <cell r="B887">
            <v>886</v>
          </cell>
        </row>
        <row r="888">
          <cell r="B888">
            <v>887</v>
          </cell>
        </row>
        <row r="889">
          <cell r="B889">
            <v>888</v>
          </cell>
        </row>
        <row r="890">
          <cell r="B890">
            <v>889</v>
          </cell>
        </row>
        <row r="891">
          <cell r="B891">
            <v>890</v>
          </cell>
        </row>
        <row r="892">
          <cell r="B892">
            <v>891</v>
          </cell>
        </row>
        <row r="893">
          <cell r="B893">
            <v>892</v>
          </cell>
        </row>
        <row r="894">
          <cell r="B894">
            <v>893</v>
          </cell>
        </row>
        <row r="895">
          <cell r="B895">
            <v>894</v>
          </cell>
        </row>
        <row r="896">
          <cell r="B896">
            <v>895</v>
          </cell>
        </row>
        <row r="897">
          <cell r="B897">
            <v>896</v>
          </cell>
        </row>
        <row r="898">
          <cell r="B898">
            <v>897</v>
          </cell>
        </row>
        <row r="899">
          <cell r="B899">
            <v>898</v>
          </cell>
        </row>
        <row r="900">
          <cell r="B900">
            <v>899</v>
          </cell>
        </row>
        <row r="901">
          <cell r="B901">
            <v>900</v>
          </cell>
        </row>
        <row r="902">
          <cell r="B902">
            <v>901</v>
          </cell>
        </row>
        <row r="903">
          <cell r="B903">
            <v>902</v>
          </cell>
        </row>
        <row r="904">
          <cell r="B904">
            <v>903</v>
          </cell>
        </row>
        <row r="905">
          <cell r="B905">
            <v>904</v>
          </cell>
        </row>
        <row r="906">
          <cell r="B906">
            <v>905</v>
          </cell>
        </row>
        <row r="907">
          <cell r="B907">
            <v>906</v>
          </cell>
        </row>
        <row r="908">
          <cell r="B908">
            <v>907</v>
          </cell>
        </row>
        <row r="909">
          <cell r="B909">
            <v>908</v>
          </cell>
        </row>
        <row r="910">
          <cell r="B910">
            <v>909</v>
          </cell>
        </row>
        <row r="911">
          <cell r="B911">
            <v>910</v>
          </cell>
        </row>
        <row r="912">
          <cell r="B912">
            <v>911</v>
          </cell>
        </row>
        <row r="913">
          <cell r="B913">
            <v>912</v>
          </cell>
        </row>
        <row r="914">
          <cell r="B914">
            <v>913</v>
          </cell>
        </row>
        <row r="915">
          <cell r="B915">
            <v>914</v>
          </cell>
        </row>
        <row r="916">
          <cell r="B916">
            <v>915</v>
          </cell>
        </row>
        <row r="917">
          <cell r="B917">
            <v>916</v>
          </cell>
        </row>
        <row r="918">
          <cell r="B918">
            <v>917</v>
          </cell>
        </row>
        <row r="919">
          <cell r="B919">
            <v>918</v>
          </cell>
        </row>
        <row r="920">
          <cell r="B920">
            <v>919</v>
          </cell>
        </row>
        <row r="921">
          <cell r="B921">
            <v>920</v>
          </cell>
        </row>
        <row r="922">
          <cell r="B922">
            <v>921</v>
          </cell>
        </row>
        <row r="923">
          <cell r="B923">
            <v>922</v>
          </cell>
        </row>
        <row r="924">
          <cell r="B924">
            <v>923</v>
          </cell>
        </row>
        <row r="925">
          <cell r="B925">
            <v>924</v>
          </cell>
        </row>
        <row r="926">
          <cell r="B926">
            <v>925</v>
          </cell>
        </row>
        <row r="927">
          <cell r="B927">
            <v>926</v>
          </cell>
        </row>
        <row r="928">
          <cell r="B928">
            <v>927</v>
          </cell>
        </row>
        <row r="929">
          <cell r="B929">
            <v>928</v>
          </cell>
        </row>
        <row r="930">
          <cell r="B930">
            <v>929</v>
          </cell>
        </row>
        <row r="931">
          <cell r="B931">
            <v>930</v>
          </cell>
        </row>
        <row r="932">
          <cell r="B932">
            <v>931</v>
          </cell>
        </row>
        <row r="933">
          <cell r="B933">
            <v>932</v>
          </cell>
        </row>
        <row r="934">
          <cell r="B934">
            <v>933</v>
          </cell>
        </row>
        <row r="935">
          <cell r="B935">
            <v>934</v>
          </cell>
        </row>
        <row r="936">
          <cell r="B936">
            <v>935</v>
          </cell>
        </row>
        <row r="937">
          <cell r="B937">
            <v>936</v>
          </cell>
        </row>
        <row r="938">
          <cell r="B938">
            <v>937</v>
          </cell>
        </row>
        <row r="939">
          <cell r="B939">
            <v>938</v>
          </cell>
        </row>
        <row r="940">
          <cell r="B940">
            <v>939</v>
          </cell>
        </row>
        <row r="941">
          <cell r="B941">
            <v>940</v>
          </cell>
        </row>
        <row r="942">
          <cell r="B942">
            <v>941</v>
          </cell>
        </row>
        <row r="943">
          <cell r="B943">
            <v>942</v>
          </cell>
        </row>
        <row r="944">
          <cell r="B944">
            <v>943</v>
          </cell>
        </row>
        <row r="945">
          <cell r="B945">
            <v>944</v>
          </cell>
        </row>
        <row r="946">
          <cell r="B946">
            <v>945</v>
          </cell>
        </row>
        <row r="947">
          <cell r="B947">
            <v>946</v>
          </cell>
        </row>
        <row r="948">
          <cell r="B948">
            <v>947</v>
          </cell>
        </row>
        <row r="949">
          <cell r="B949">
            <v>948</v>
          </cell>
        </row>
        <row r="950">
          <cell r="B950">
            <v>949</v>
          </cell>
        </row>
        <row r="951">
          <cell r="B951">
            <v>950</v>
          </cell>
        </row>
        <row r="952">
          <cell r="B952">
            <v>951</v>
          </cell>
        </row>
        <row r="953">
          <cell r="B953">
            <v>952</v>
          </cell>
        </row>
        <row r="954">
          <cell r="B954">
            <v>953</v>
          </cell>
        </row>
        <row r="955">
          <cell r="B955">
            <v>954</v>
          </cell>
        </row>
        <row r="956">
          <cell r="B956">
            <v>955</v>
          </cell>
        </row>
        <row r="957">
          <cell r="B957">
            <v>956</v>
          </cell>
        </row>
        <row r="958">
          <cell r="B958">
            <v>957</v>
          </cell>
        </row>
        <row r="959">
          <cell r="B959">
            <v>958</v>
          </cell>
        </row>
        <row r="960">
          <cell r="B960">
            <v>959</v>
          </cell>
        </row>
        <row r="961">
          <cell r="B961">
            <v>960</v>
          </cell>
        </row>
        <row r="962">
          <cell r="B962">
            <v>961</v>
          </cell>
        </row>
        <row r="963">
          <cell r="B963">
            <v>962</v>
          </cell>
        </row>
        <row r="964">
          <cell r="B964">
            <v>963</v>
          </cell>
        </row>
        <row r="965">
          <cell r="B965">
            <v>964</v>
          </cell>
        </row>
        <row r="966">
          <cell r="B966">
            <v>965</v>
          </cell>
        </row>
        <row r="967">
          <cell r="B967">
            <v>966</v>
          </cell>
        </row>
        <row r="968">
          <cell r="B968">
            <v>967</v>
          </cell>
        </row>
        <row r="969">
          <cell r="B969">
            <v>968</v>
          </cell>
        </row>
        <row r="970">
          <cell r="B970">
            <v>969</v>
          </cell>
        </row>
        <row r="971">
          <cell r="B971">
            <v>970</v>
          </cell>
        </row>
        <row r="972">
          <cell r="B972">
            <v>971</v>
          </cell>
        </row>
        <row r="973">
          <cell r="B973">
            <v>972</v>
          </cell>
        </row>
        <row r="974">
          <cell r="B974">
            <v>973</v>
          </cell>
        </row>
        <row r="975">
          <cell r="B975">
            <v>974</v>
          </cell>
        </row>
        <row r="976">
          <cell r="B976">
            <v>975</v>
          </cell>
        </row>
        <row r="977">
          <cell r="B977">
            <v>976</v>
          </cell>
        </row>
        <row r="978">
          <cell r="B978">
            <v>977</v>
          </cell>
        </row>
        <row r="979">
          <cell r="B979">
            <v>978</v>
          </cell>
        </row>
        <row r="980">
          <cell r="B980">
            <v>979</v>
          </cell>
        </row>
        <row r="981">
          <cell r="B981">
            <v>980</v>
          </cell>
        </row>
        <row r="982">
          <cell r="B982">
            <v>981</v>
          </cell>
        </row>
        <row r="983">
          <cell r="B983">
            <v>982</v>
          </cell>
        </row>
        <row r="984">
          <cell r="B984">
            <v>983</v>
          </cell>
        </row>
        <row r="985">
          <cell r="B985">
            <v>984</v>
          </cell>
        </row>
        <row r="986">
          <cell r="B986">
            <v>985</v>
          </cell>
        </row>
        <row r="987">
          <cell r="B987">
            <v>986</v>
          </cell>
        </row>
        <row r="988">
          <cell r="B988">
            <v>987</v>
          </cell>
        </row>
        <row r="989">
          <cell r="B989">
            <v>988</v>
          </cell>
        </row>
        <row r="990">
          <cell r="B990">
            <v>989</v>
          </cell>
        </row>
        <row r="991">
          <cell r="B991">
            <v>990</v>
          </cell>
        </row>
        <row r="992">
          <cell r="B992">
            <v>991</v>
          </cell>
        </row>
        <row r="993">
          <cell r="B993">
            <v>992</v>
          </cell>
        </row>
        <row r="994">
          <cell r="B994">
            <v>993</v>
          </cell>
        </row>
        <row r="995">
          <cell r="B995">
            <v>994</v>
          </cell>
        </row>
        <row r="996">
          <cell r="B996">
            <v>995</v>
          </cell>
        </row>
        <row r="997">
          <cell r="B997">
            <v>996</v>
          </cell>
        </row>
        <row r="998">
          <cell r="B998">
            <v>997</v>
          </cell>
        </row>
        <row r="999">
          <cell r="B999">
            <v>998</v>
          </cell>
        </row>
        <row r="1000">
          <cell r="B1000">
            <v>999</v>
          </cell>
        </row>
        <row r="1001">
          <cell r="B1001">
            <v>1000</v>
          </cell>
        </row>
      </sheetData>
      <sheetData sheetId="3"/>
      <sheetData sheetId="4"/>
      <sheetData sheetId="5"/>
      <sheetData sheetId="6" refreshError="1">
        <row r="1">
          <cell r="A1" t="str">
            <v>Lot/Serial PSP</v>
          </cell>
          <cell r="B1" t="str">
            <v>No.</v>
          </cell>
          <cell r="C1" t="str">
            <v>Location</v>
          </cell>
          <cell r="D1" t="str">
            <v>Spec</v>
          </cell>
          <cell r="E1" t="str">
            <v>Ori</v>
          </cell>
          <cell r="F1" t="str">
            <v>T</v>
          </cell>
          <cell r="G1" t="str">
            <v>W</v>
          </cell>
          <cell r="H1" t="str">
            <v>L</v>
          </cell>
          <cell r="I1" t="str">
            <v>Grade</v>
          </cell>
          <cell r="J1" t="str">
            <v>ลูกค้า</v>
          </cell>
          <cell r="K1" t="str">
            <v>Q'ty</v>
          </cell>
          <cell r="L1" t="str">
            <v>Weigth</v>
          </cell>
          <cell r="M1" t="str">
            <v>Lot/Serial PSP</v>
          </cell>
          <cell r="N1" t="str">
            <v>Date</v>
          </cell>
          <cell r="O1" t="str">
            <v xml:space="preserve"> Item Master Code</v>
          </cell>
          <cell r="P1" t="str">
            <v xml:space="preserve"> Item Product Code</v>
          </cell>
          <cell r="Q1" t="str">
            <v>Status</v>
          </cell>
        </row>
        <row r="2">
          <cell r="A2">
            <v>50122203</v>
          </cell>
          <cell r="B2">
            <v>1</v>
          </cell>
          <cell r="C2" t="str">
            <v>LW02/2</v>
          </cell>
          <cell r="D2" t="str">
            <v>SPCC-SD</v>
          </cell>
          <cell r="E2" t="str">
            <v>AF1</v>
          </cell>
          <cell r="F2">
            <v>0.6</v>
          </cell>
          <cell r="G2">
            <v>500</v>
          </cell>
          <cell r="H2">
            <v>1050</v>
          </cell>
          <cell r="I2" t="str">
            <v>A</v>
          </cell>
          <cell r="K2">
            <v>178</v>
          </cell>
          <cell r="L2">
            <v>440</v>
          </cell>
          <cell r="M2">
            <v>50122203</v>
          </cell>
          <cell r="N2">
            <v>38790</v>
          </cell>
          <cell r="O2" t="str">
            <v>F25809TCD005</v>
          </cell>
          <cell r="P2" t="str">
            <v>FN6314D3D832101</v>
          </cell>
          <cell r="Q2" t="str">
            <v>แผ่นรองและสายรัดเป็นสนิม</v>
          </cell>
        </row>
        <row r="3">
          <cell r="A3">
            <v>50129791</v>
          </cell>
          <cell r="B3">
            <v>2</v>
          </cell>
          <cell r="C3" t="str">
            <v>LW02/2</v>
          </cell>
          <cell r="D3" t="str">
            <v>SPCC-SD</v>
          </cell>
          <cell r="E3" t="str">
            <v>AF1</v>
          </cell>
          <cell r="F3">
            <v>0.6</v>
          </cell>
          <cell r="G3">
            <v>660</v>
          </cell>
          <cell r="H3">
            <v>1219</v>
          </cell>
          <cell r="I3" t="str">
            <v>A</v>
          </cell>
          <cell r="K3">
            <v>116</v>
          </cell>
          <cell r="L3">
            <v>441</v>
          </cell>
          <cell r="M3">
            <v>50129791</v>
          </cell>
          <cell r="N3">
            <v>38857</v>
          </cell>
          <cell r="O3" t="str">
            <v>F26511SUD002</v>
          </cell>
          <cell r="P3" t="str">
            <v>FN6520D1L030701</v>
          </cell>
          <cell r="Q3" t="str">
            <v>แผ่นรองและสายรัดเป็นสนิม</v>
          </cell>
        </row>
        <row r="4">
          <cell r="A4">
            <v>50136298</v>
          </cell>
          <cell r="B4">
            <v>3</v>
          </cell>
          <cell r="C4" t="str">
            <v>LW02/2</v>
          </cell>
          <cell r="D4" t="str">
            <v>SPCC-SD</v>
          </cell>
          <cell r="E4" t="str">
            <v>AF1</v>
          </cell>
          <cell r="F4">
            <v>0.7</v>
          </cell>
          <cell r="G4">
            <v>157</v>
          </cell>
          <cell r="H4">
            <v>1219</v>
          </cell>
          <cell r="I4" t="str">
            <v>A</v>
          </cell>
          <cell r="K4">
            <v>55</v>
          </cell>
          <cell r="L4">
            <v>58</v>
          </cell>
          <cell r="M4">
            <v>50136298</v>
          </cell>
          <cell r="N4">
            <v>38910</v>
          </cell>
          <cell r="O4" t="str">
            <v>F25127TCD003</v>
          </cell>
          <cell r="P4" t="str">
            <v>FN6712D3D192304</v>
          </cell>
          <cell r="Q4" t="str">
            <v>แผ่นรองและสายรัดเป็นสนิม</v>
          </cell>
        </row>
        <row r="5">
          <cell r="A5">
            <v>50136299</v>
          </cell>
          <cell r="B5">
            <v>4</v>
          </cell>
          <cell r="C5" t="str">
            <v>LW02/2</v>
          </cell>
          <cell r="D5" t="str">
            <v>SPCC-SD</v>
          </cell>
          <cell r="E5" t="str">
            <v>AF1</v>
          </cell>
          <cell r="F5">
            <v>0.7</v>
          </cell>
          <cell r="G5">
            <v>157</v>
          </cell>
          <cell r="H5">
            <v>1219</v>
          </cell>
          <cell r="I5" t="str">
            <v>A</v>
          </cell>
          <cell r="K5">
            <v>55</v>
          </cell>
          <cell r="L5">
            <v>58</v>
          </cell>
          <cell r="M5">
            <v>50136299</v>
          </cell>
          <cell r="N5">
            <v>38910</v>
          </cell>
          <cell r="O5" t="str">
            <v>F25127TCD003</v>
          </cell>
          <cell r="P5" t="str">
            <v>FN6712D3D192303</v>
          </cell>
          <cell r="Q5" t="str">
            <v>แผ่นรองและสายรัดเป็นสนิม</v>
          </cell>
        </row>
        <row r="6">
          <cell r="A6">
            <v>50136300</v>
          </cell>
          <cell r="B6">
            <v>5</v>
          </cell>
          <cell r="C6" t="str">
            <v>LW02/2</v>
          </cell>
          <cell r="D6" t="str">
            <v>SPCC-SD</v>
          </cell>
          <cell r="E6" t="str">
            <v>AF1</v>
          </cell>
          <cell r="F6">
            <v>0.7</v>
          </cell>
          <cell r="G6">
            <v>157</v>
          </cell>
          <cell r="H6">
            <v>1219</v>
          </cell>
          <cell r="I6" t="str">
            <v>A</v>
          </cell>
          <cell r="K6">
            <v>55</v>
          </cell>
          <cell r="L6">
            <v>58</v>
          </cell>
          <cell r="M6">
            <v>50136300</v>
          </cell>
          <cell r="N6">
            <v>38910</v>
          </cell>
          <cell r="O6" t="str">
            <v>F25127TCD003</v>
          </cell>
          <cell r="P6" t="str">
            <v>FN6712D3D192302</v>
          </cell>
          <cell r="Q6" t="str">
            <v>แผ่นรองและสายรัดเป็นสนิม</v>
          </cell>
        </row>
        <row r="7">
          <cell r="A7">
            <v>50136301</v>
          </cell>
          <cell r="B7">
            <v>6</v>
          </cell>
          <cell r="C7" t="str">
            <v>LW02/2</v>
          </cell>
          <cell r="D7" t="str">
            <v>SPCC-SD</v>
          </cell>
          <cell r="E7" t="str">
            <v>AF1</v>
          </cell>
          <cell r="F7">
            <v>0.7</v>
          </cell>
          <cell r="G7">
            <v>157</v>
          </cell>
          <cell r="H7">
            <v>1219</v>
          </cell>
          <cell r="I7" t="str">
            <v>A</v>
          </cell>
          <cell r="K7">
            <v>55</v>
          </cell>
          <cell r="L7">
            <v>58</v>
          </cell>
          <cell r="M7">
            <v>50136301</v>
          </cell>
          <cell r="N7">
            <v>38910</v>
          </cell>
          <cell r="O7" t="str">
            <v>F25127TCD003</v>
          </cell>
          <cell r="P7" t="str">
            <v>FN6712D3D192301</v>
          </cell>
          <cell r="Q7" t="str">
            <v>แผ่นรองและสายรัดเป็นสนิม</v>
          </cell>
        </row>
        <row r="8">
          <cell r="A8">
            <v>50112732</v>
          </cell>
          <cell r="B8">
            <v>7</v>
          </cell>
          <cell r="C8" t="str">
            <v>LW02/2</v>
          </cell>
          <cell r="D8" t="str">
            <v>SPCC-SD</v>
          </cell>
          <cell r="E8" t="str">
            <v>AF1</v>
          </cell>
          <cell r="F8">
            <v>0.8</v>
          </cell>
          <cell r="G8">
            <v>100</v>
          </cell>
          <cell r="H8">
            <v>1219</v>
          </cell>
          <cell r="I8" t="str">
            <v>A</v>
          </cell>
          <cell r="K8">
            <v>85</v>
          </cell>
          <cell r="L8">
            <v>65</v>
          </cell>
          <cell r="M8">
            <v>50112732</v>
          </cell>
          <cell r="N8">
            <v>38723</v>
          </cell>
          <cell r="O8" t="str">
            <v>Z25702TCD002</v>
          </cell>
          <cell r="P8" t="str">
            <v>FN6106D3RQQQ01</v>
          </cell>
          <cell r="Q8" t="str">
            <v>แผ่นรองและสายรัดเป็นสนิม</v>
          </cell>
        </row>
        <row r="9">
          <cell r="A9">
            <v>50136467</v>
          </cell>
          <cell r="B9">
            <v>8</v>
          </cell>
          <cell r="C9" t="str">
            <v>LW02/2</v>
          </cell>
          <cell r="D9" t="str">
            <v>SPCC-SD</v>
          </cell>
          <cell r="E9" t="str">
            <v>AF1</v>
          </cell>
          <cell r="F9">
            <v>1</v>
          </cell>
          <cell r="G9">
            <v>80</v>
          </cell>
          <cell r="H9">
            <v>1219</v>
          </cell>
          <cell r="I9" t="str">
            <v>A</v>
          </cell>
          <cell r="K9">
            <v>150</v>
          </cell>
          <cell r="L9">
            <v>116</v>
          </cell>
          <cell r="M9">
            <v>50136467</v>
          </cell>
          <cell r="N9">
            <v>38911</v>
          </cell>
          <cell r="O9" t="str">
            <v>F26522TCD012</v>
          </cell>
          <cell r="P9" t="str">
            <v>FN6713D1D193205</v>
          </cell>
          <cell r="Q9" t="str">
            <v>แผ่นรองและสายรัดเป็นสนิม</v>
          </cell>
        </row>
        <row r="10">
          <cell r="A10">
            <v>50136468</v>
          </cell>
          <cell r="B10">
            <v>9</v>
          </cell>
          <cell r="C10" t="str">
            <v>LW02/2</v>
          </cell>
          <cell r="D10" t="str">
            <v>SPCC-SD</v>
          </cell>
          <cell r="E10" t="str">
            <v>AF1</v>
          </cell>
          <cell r="F10">
            <v>1</v>
          </cell>
          <cell r="G10">
            <v>80</v>
          </cell>
          <cell r="H10">
            <v>1219</v>
          </cell>
          <cell r="I10" t="str">
            <v>A</v>
          </cell>
          <cell r="K10">
            <v>150</v>
          </cell>
          <cell r="L10">
            <v>116</v>
          </cell>
          <cell r="M10">
            <v>50136468</v>
          </cell>
          <cell r="N10">
            <v>38911</v>
          </cell>
          <cell r="O10" t="str">
            <v>F26522TCD012</v>
          </cell>
          <cell r="P10" t="str">
            <v>FN6713D1D193204</v>
          </cell>
          <cell r="Q10" t="str">
            <v>แผ่นรองและสายรัดเป็นสนิม</v>
          </cell>
        </row>
        <row r="11">
          <cell r="A11">
            <v>50136469</v>
          </cell>
          <cell r="B11">
            <v>10</v>
          </cell>
          <cell r="C11" t="str">
            <v>LW02/2</v>
          </cell>
          <cell r="D11" t="str">
            <v>SPCC-SD</v>
          </cell>
          <cell r="E11" t="str">
            <v>AF1</v>
          </cell>
          <cell r="F11">
            <v>1</v>
          </cell>
          <cell r="G11">
            <v>80</v>
          </cell>
          <cell r="H11">
            <v>1219</v>
          </cell>
          <cell r="I11" t="str">
            <v>A</v>
          </cell>
          <cell r="K11">
            <v>150</v>
          </cell>
          <cell r="L11">
            <v>116</v>
          </cell>
          <cell r="M11">
            <v>50136469</v>
          </cell>
          <cell r="N11">
            <v>38911</v>
          </cell>
          <cell r="O11" t="str">
            <v>F26522TCD012</v>
          </cell>
          <cell r="P11" t="str">
            <v>FN6713D1D193203</v>
          </cell>
          <cell r="Q11" t="str">
            <v>แผ่นรองและสายรัดเป็นสนิม</v>
          </cell>
        </row>
        <row r="12">
          <cell r="A12">
            <v>50136472</v>
          </cell>
          <cell r="B12">
            <v>11</v>
          </cell>
          <cell r="C12" t="str">
            <v>LW02/2</v>
          </cell>
          <cell r="D12" t="str">
            <v>SPCC-SD</v>
          </cell>
          <cell r="E12" t="str">
            <v>AF1</v>
          </cell>
          <cell r="F12">
            <v>1</v>
          </cell>
          <cell r="G12">
            <v>80</v>
          </cell>
          <cell r="H12">
            <v>1219</v>
          </cell>
          <cell r="I12" t="str">
            <v>A</v>
          </cell>
          <cell r="K12">
            <v>150</v>
          </cell>
          <cell r="L12">
            <v>116</v>
          </cell>
          <cell r="M12">
            <v>50136472</v>
          </cell>
          <cell r="N12">
            <v>38911</v>
          </cell>
          <cell r="O12" t="str">
            <v>F26522TCD012</v>
          </cell>
          <cell r="P12" t="str">
            <v>FN6713D1D193201</v>
          </cell>
          <cell r="Q12" t="str">
            <v>แผ่นรองและสายรัดเป็นสนิม</v>
          </cell>
        </row>
        <row r="13">
          <cell r="A13">
            <v>50136473</v>
          </cell>
          <cell r="B13">
            <v>12</v>
          </cell>
          <cell r="C13" t="str">
            <v>LW02/2</v>
          </cell>
          <cell r="D13" t="str">
            <v>SPCC-SD</v>
          </cell>
          <cell r="E13" t="str">
            <v>AF1</v>
          </cell>
          <cell r="F13">
            <v>1</v>
          </cell>
          <cell r="G13">
            <v>80</v>
          </cell>
          <cell r="H13">
            <v>1219</v>
          </cell>
          <cell r="I13" t="str">
            <v>A</v>
          </cell>
          <cell r="K13">
            <v>150</v>
          </cell>
          <cell r="L13">
            <v>116</v>
          </cell>
          <cell r="M13">
            <v>50136473</v>
          </cell>
          <cell r="N13">
            <v>38911</v>
          </cell>
          <cell r="O13" t="str">
            <v>F26522TCD012</v>
          </cell>
          <cell r="P13" t="str">
            <v>FN6713D1D193202</v>
          </cell>
          <cell r="Q13" t="str">
            <v>แผ่นรองและสายรัดเป็นสนิม</v>
          </cell>
        </row>
        <row r="14">
          <cell r="A14">
            <v>50136307</v>
          </cell>
          <cell r="B14">
            <v>13</v>
          </cell>
          <cell r="C14" t="str">
            <v>LW02/2</v>
          </cell>
          <cell r="D14" t="str">
            <v>SPCC-SD</v>
          </cell>
          <cell r="E14" t="str">
            <v>AF1</v>
          </cell>
          <cell r="F14">
            <v>1</v>
          </cell>
          <cell r="G14">
            <v>150</v>
          </cell>
          <cell r="H14">
            <v>1219</v>
          </cell>
          <cell r="I14" t="str">
            <v>A</v>
          </cell>
          <cell r="K14">
            <v>150</v>
          </cell>
          <cell r="L14">
            <v>216</v>
          </cell>
          <cell r="M14">
            <v>50136307</v>
          </cell>
          <cell r="N14">
            <v>38910</v>
          </cell>
          <cell r="O14" t="str">
            <v>F26619SUD013</v>
          </cell>
          <cell r="P14" t="str">
            <v>FN6712D1L192703</v>
          </cell>
          <cell r="Q14" t="str">
            <v>แผ่นรองและสายรัดเป็นสนิม</v>
          </cell>
        </row>
        <row r="15">
          <cell r="A15">
            <v>50136308</v>
          </cell>
          <cell r="B15">
            <v>14</v>
          </cell>
          <cell r="C15" t="str">
            <v>LW02/2</v>
          </cell>
          <cell r="D15" t="str">
            <v>SPCC-SD</v>
          </cell>
          <cell r="E15" t="str">
            <v>AF1</v>
          </cell>
          <cell r="F15">
            <v>1</v>
          </cell>
          <cell r="G15">
            <v>150</v>
          </cell>
          <cell r="H15">
            <v>1219</v>
          </cell>
          <cell r="I15" t="str">
            <v>A</v>
          </cell>
          <cell r="K15">
            <v>150</v>
          </cell>
          <cell r="L15">
            <v>216</v>
          </cell>
          <cell r="M15">
            <v>50136308</v>
          </cell>
          <cell r="N15">
            <v>38910</v>
          </cell>
          <cell r="O15" t="str">
            <v>F26619SUD013</v>
          </cell>
          <cell r="P15" t="str">
            <v>FN6712D1L192702</v>
          </cell>
          <cell r="Q15" t="str">
            <v>แผ่นรองและสายรัดเป็นสนิม</v>
          </cell>
        </row>
        <row r="16">
          <cell r="A16">
            <v>50136309</v>
          </cell>
          <cell r="B16">
            <v>15</v>
          </cell>
          <cell r="C16" t="str">
            <v>LW02/2</v>
          </cell>
          <cell r="D16" t="str">
            <v>SPCC-SD</v>
          </cell>
          <cell r="E16" t="str">
            <v>AF1</v>
          </cell>
          <cell r="F16">
            <v>1</v>
          </cell>
          <cell r="G16">
            <v>150</v>
          </cell>
          <cell r="H16">
            <v>1219</v>
          </cell>
          <cell r="I16" t="str">
            <v>A</v>
          </cell>
          <cell r="K16">
            <v>150</v>
          </cell>
          <cell r="L16">
            <v>216</v>
          </cell>
          <cell r="M16">
            <v>50136309</v>
          </cell>
          <cell r="N16">
            <v>38910</v>
          </cell>
          <cell r="O16" t="str">
            <v>F26619SUD013</v>
          </cell>
          <cell r="P16" t="str">
            <v>FN6712D1L192701</v>
          </cell>
          <cell r="Q16" t="str">
            <v>แผ่นรองและสายรัดเป็นสนิม</v>
          </cell>
        </row>
        <row r="17">
          <cell r="A17">
            <v>50136351</v>
          </cell>
          <cell r="B17">
            <v>16</v>
          </cell>
          <cell r="C17" t="str">
            <v>LW02/2</v>
          </cell>
          <cell r="D17" t="str">
            <v>SPCC-SD</v>
          </cell>
          <cell r="E17" t="str">
            <v>AF1</v>
          </cell>
          <cell r="F17">
            <v>1</v>
          </cell>
          <cell r="G17">
            <v>160</v>
          </cell>
          <cell r="H17">
            <v>1219</v>
          </cell>
          <cell r="I17" t="str">
            <v>A</v>
          </cell>
          <cell r="K17">
            <v>172</v>
          </cell>
          <cell r="L17">
            <v>263</v>
          </cell>
          <cell r="M17">
            <v>50136351</v>
          </cell>
          <cell r="N17">
            <v>38910</v>
          </cell>
          <cell r="O17" t="str">
            <v>F26619SUD013</v>
          </cell>
          <cell r="P17" t="str">
            <v>FN6712D1L192702</v>
          </cell>
          <cell r="Q17" t="str">
            <v>แผ่นรองและสายรัดเป็นสนิม</v>
          </cell>
        </row>
        <row r="18">
          <cell r="A18">
            <v>50136352</v>
          </cell>
          <cell r="B18">
            <v>17</v>
          </cell>
          <cell r="C18" t="str">
            <v>LW02/2</v>
          </cell>
          <cell r="D18" t="str">
            <v>SPCC-SD</v>
          </cell>
          <cell r="E18" t="str">
            <v>AF1</v>
          </cell>
          <cell r="F18">
            <v>1</v>
          </cell>
          <cell r="G18">
            <v>160</v>
          </cell>
          <cell r="H18">
            <v>1219</v>
          </cell>
          <cell r="I18" t="str">
            <v>A</v>
          </cell>
          <cell r="K18">
            <v>172</v>
          </cell>
          <cell r="L18">
            <v>263</v>
          </cell>
          <cell r="M18">
            <v>50136352</v>
          </cell>
          <cell r="N18">
            <v>38910</v>
          </cell>
          <cell r="O18" t="str">
            <v>F26619SUD013</v>
          </cell>
          <cell r="P18" t="str">
            <v>FN6712D1L192701</v>
          </cell>
          <cell r="Q18" t="str">
            <v>แผ่นรองและสายรัดเป็นสนิม</v>
          </cell>
        </row>
        <row r="19">
          <cell r="A19">
            <v>50125540</v>
          </cell>
          <cell r="B19">
            <v>18</v>
          </cell>
          <cell r="C19" t="str">
            <v>LW02/2</v>
          </cell>
          <cell r="D19" t="str">
            <v>SPCC-SD</v>
          </cell>
          <cell r="E19" t="str">
            <v>AF1</v>
          </cell>
          <cell r="F19">
            <v>1</v>
          </cell>
          <cell r="G19">
            <v>170</v>
          </cell>
          <cell r="H19">
            <v>1219</v>
          </cell>
          <cell r="I19" t="str">
            <v>A</v>
          </cell>
          <cell r="K19">
            <v>172</v>
          </cell>
          <cell r="L19">
            <v>280</v>
          </cell>
          <cell r="M19">
            <v>50125540</v>
          </cell>
          <cell r="N19">
            <v>38811</v>
          </cell>
          <cell r="O19" t="str">
            <v>F26318SUD003</v>
          </cell>
          <cell r="P19" t="str">
            <v>FN6404D1D920101</v>
          </cell>
          <cell r="Q19" t="str">
            <v>แผ่นรองและสายรัดเป็นสนิม</v>
          </cell>
        </row>
        <row r="20">
          <cell r="A20">
            <v>50125541</v>
          </cell>
          <cell r="B20">
            <v>19</v>
          </cell>
          <cell r="C20" t="str">
            <v>LW02/2</v>
          </cell>
          <cell r="D20" t="str">
            <v>SPCC-SD</v>
          </cell>
          <cell r="E20" t="str">
            <v>AF1</v>
          </cell>
          <cell r="F20">
            <v>1</v>
          </cell>
          <cell r="G20">
            <v>170</v>
          </cell>
          <cell r="H20">
            <v>1219</v>
          </cell>
          <cell r="I20" t="str">
            <v>A</v>
          </cell>
          <cell r="K20">
            <v>172</v>
          </cell>
          <cell r="L20">
            <v>280</v>
          </cell>
          <cell r="M20">
            <v>50125541</v>
          </cell>
          <cell r="N20">
            <v>38811</v>
          </cell>
          <cell r="O20" t="str">
            <v>F26318SUD003</v>
          </cell>
          <cell r="P20" t="str">
            <v>FN6404D1D920102</v>
          </cell>
          <cell r="Q20" t="str">
            <v>แผ่นรองและสายรัดเป็นสนิม</v>
          </cell>
        </row>
        <row r="21">
          <cell r="A21">
            <v>50136355</v>
          </cell>
          <cell r="B21">
            <v>20</v>
          </cell>
          <cell r="C21" t="str">
            <v>LW02/2</v>
          </cell>
          <cell r="D21" t="str">
            <v>SPCC-SD</v>
          </cell>
          <cell r="E21" t="str">
            <v>AF1</v>
          </cell>
          <cell r="F21">
            <v>1</v>
          </cell>
          <cell r="G21">
            <v>255</v>
          </cell>
          <cell r="H21">
            <v>1219</v>
          </cell>
          <cell r="I21" t="str">
            <v>A</v>
          </cell>
          <cell r="K21">
            <v>50</v>
          </cell>
          <cell r="L21">
            <v>122</v>
          </cell>
          <cell r="M21">
            <v>50136355</v>
          </cell>
          <cell r="N21">
            <v>38910</v>
          </cell>
          <cell r="O21" t="str">
            <v>F26619SUD013</v>
          </cell>
          <cell r="P21" t="str">
            <v>FN6712D1L192702</v>
          </cell>
          <cell r="Q21" t="str">
            <v>แผ่นรองและสายรัดเป็นสนิม</v>
          </cell>
        </row>
        <row r="22">
          <cell r="A22">
            <v>50136356</v>
          </cell>
          <cell r="B22">
            <v>21</v>
          </cell>
          <cell r="C22" t="str">
            <v>LW02/2</v>
          </cell>
          <cell r="D22" t="str">
            <v>SPCC-SD</v>
          </cell>
          <cell r="E22" t="str">
            <v>AF1</v>
          </cell>
          <cell r="F22">
            <v>1</v>
          </cell>
          <cell r="G22">
            <v>255</v>
          </cell>
          <cell r="H22">
            <v>1219</v>
          </cell>
          <cell r="I22" t="str">
            <v>A</v>
          </cell>
          <cell r="K22">
            <v>50</v>
          </cell>
          <cell r="L22">
            <v>122</v>
          </cell>
          <cell r="M22">
            <v>50136356</v>
          </cell>
          <cell r="N22">
            <v>38910</v>
          </cell>
          <cell r="O22" t="str">
            <v>F26619SUD013</v>
          </cell>
          <cell r="P22" t="str">
            <v>FN6712D1L192701</v>
          </cell>
          <cell r="Q22" t="str">
            <v>แผ่นรองและสายรัดเป็นสนิม</v>
          </cell>
        </row>
        <row r="23">
          <cell r="A23">
            <v>50136342</v>
          </cell>
          <cell r="B23">
            <v>22</v>
          </cell>
          <cell r="C23" t="str">
            <v>LW02/2</v>
          </cell>
          <cell r="D23" t="str">
            <v>SPCC-SD</v>
          </cell>
          <cell r="E23" t="str">
            <v>AF1</v>
          </cell>
          <cell r="F23">
            <v>1.2</v>
          </cell>
          <cell r="G23">
            <v>70</v>
          </cell>
          <cell r="H23">
            <v>1219</v>
          </cell>
          <cell r="I23" t="str">
            <v>A</v>
          </cell>
          <cell r="K23">
            <v>100</v>
          </cell>
          <cell r="L23">
            <v>80</v>
          </cell>
          <cell r="M23">
            <v>50136342</v>
          </cell>
          <cell r="N23">
            <v>38910</v>
          </cell>
          <cell r="O23" t="str">
            <v>F25B12TCD001</v>
          </cell>
          <cell r="P23" t="str">
            <v>FN6712D3D193401</v>
          </cell>
          <cell r="Q23" t="str">
            <v>แผ่นรองและสายรัดเป็นสนิม</v>
          </cell>
        </row>
        <row r="24">
          <cell r="A24">
            <v>50136347</v>
          </cell>
          <cell r="B24">
            <v>23</v>
          </cell>
          <cell r="C24" t="str">
            <v>LW02/2</v>
          </cell>
          <cell r="D24" t="str">
            <v>SPCC-SD</v>
          </cell>
          <cell r="E24" t="str">
            <v>AF1</v>
          </cell>
          <cell r="F24">
            <v>1.2</v>
          </cell>
          <cell r="G24">
            <v>70</v>
          </cell>
          <cell r="H24">
            <v>1219</v>
          </cell>
          <cell r="I24" t="str">
            <v>A</v>
          </cell>
          <cell r="K24">
            <v>100</v>
          </cell>
          <cell r="L24">
            <v>80</v>
          </cell>
          <cell r="M24">
            <v>50136347</v>
          </cell>
          <cell r="N24">
            <v>38910</v>
          </cell>
          <cell r="O24" t="str">
            <v>F25B12TCD001</v>
          </cell>
          <cell r="P24" t="str">
            <v>FN6712D3D193402</v>
          </cell>
          <cell r="Q24" t="str">
            <v>แผ่นรองและสายรัดเป็นสนิม</v>
          </cell>
        </row>
        <row r="25">
          <cell r="A25">
            <v>50136343</v>
          </cell>
          <cell r="B25">
            <v>24</v>
          </cell>
          <cell r="C25" t="str">
            <v>LW02/2</v>
          </cell>
          <cell r="D25" t="str">
            <v>SPCC-SD</v>
          </cell>
          <cell r="E25" t="str">
            <v>AF1</v>
          </cell>
          <cell r="F25">
            <v>1.2</v>
          </cell>
          <cell r="G25">
            <v>78</v>
          </cell>
          <cell r="H25">
            <v>1219</v>
          </cell>
          <cell r="I25" t="str">
            <v>A</v>
          </cell>
          <cell r="K25">
            <v>67</v>
          </cell>
          <cell r="L25">
            <v>60</v>
          </cell>
          <cell r="M25">
            <v>50136343</v>
          </cell>
          <cell r="N25">
            <v>38910</v>
          </cell>
          <cell r="O25" t="str">
            <v>F25B12TCD001</v>
          </cell>
          <cell r="P25" t="str">
            <v>FN6712D3D193404</v>
          </cell>
          <cell r="Q25" t="str">
            <v>แผ่นรองและสายรัดเป็นสนิม</v>
          </cell>
        </row>
        <row r="26">
          <cell r="A26">
            <v>50136344</v>
          </cell>
          <cell r="B26">
            <v>25</v>
          </cell>
          <cell r="C26" t="str">
            <v>LW02/2</v>
          </cell>
          <cell r="D26" t="str">
            <v>SPCC-SD</v>
          </cell>
          <cell r="E26" t="str">
            <v>AF1</v>
          </cell>
          <cell r="F26">
            <v>1.2</v>
          </cell>
          <cell r="G26">
            <v>78</v>
          </cell>
          <cell r="H26">
            <v>1219</v>
          </cell>
          <cell r="I26" t="str">
            <v>A</v>
          </cell>
          <cell r="K26">
            <v>67</v>
          </cell>
          <cell r="L26">
            <v>60</v>
          </cell>
          <cell r="M26">
            <v>50136344</v>
          </cell>
          <cell r="N26">
            <v>38910</v>
          </cell>
          <cell r="O26" t="str">
            <v>F25B12TCD001</v>
          </cell>
          <cell r="P26" t="str">
            <v>FN6712D3D193401</v>
          </cell>
          <cell r="Q26" t="str">
            <v>แผ่นรองและสายรัดเป็นสนิม</v>
          </cell>
        </row>
        <row r="27">
          <cell r="A27">
            <v>50136345</v>
          </cell>
          <cell r="B27">
            <v>26</v>
          </cell>
          <cell r="C27" t="str">
            <v>LW02/2</v>
          </cell>
          <cell r="D27" t="str">
            <v>SPCC-SD</v>
          </cell>
          <cell r="E27" t="str">
            <v>AF1</v>
          </cell>
          <cell r="F27">
            <v>1.2</v>
          </cell>
          <cell r="G27">
            <v>78</v>
          </cell>
          <cell r="H27">
            <v>1219</v>
          </cell>
          <cell r="I27" t="str">
            <v>A</v>
          </cell>
          <cell r="K27">
            <v>67</v>
          </cell>
          <cell r="L27">
            <v>60</v>
          </cell>
          <cell r="M27">
            <v>50136345</v>
          </cell>
          <cell r="N27">
            <v>38910</v>
          </cell>
          <cell r="O27" t="str">
            <v>F25B12TCD001</v>
          </cell>
          <cell r="P27" t="str">
            <v>FN6712D3D193403</v>
          </cell>
          <cell r="Q27" t="str">
            <v>แผ่นรองและสายรัดเป็นสนิม</v>
          </cell>
        </row>
        <row r="28">
          <cell r="A28">
            <v>50136346</v>
          </cell>
          <cell r="B28">
            <v>27</v>
          </cell>
          <cell r="C28" t="str">
            <v>LW02/2</v>
          </cell>
          <cell r="D28" t="str">
            <v>SPCC-SD</v>
          </cell>
          <cell r="E28" t="str">
            <v>AF1</v>
          </cell>
          <cell r="F28">
            <v>1.2</v>
          </cell>
          <cell r="G28">
            <v>78</v>
          </cell>
          <cell r="H28">
            <v>1219</v>
          </cell>
          <cell r="I28" t="str">
            <v>A</v>
          </cell>
          <cell r="K28">
            <v>67</v>
          </cell>
          <cell r="L28">
            <v>60</v>
          </cell>
          <cell r="M28">
            <v>50136346</v>
          </cell>
          <cell r="N28">
            <v>38910</v>
          </cell>
          <cell r="O28" t="str">
            <v>F25B12TCD001</v>
          </cell>
          <cell r="P28" t="str">
            <v>FN6712D3D193402</v>
          </cell>
          <cell r="Q28" t="str">
            <v>แผ่นรองและสายรัดเป็นสนิม</v>
          </cell>
        </row>
        <row r="29">
          <cell r="A29">
            <v>50110688</v>
          </cell>
          <cell r="B29">
            <v>28</v>
          </cell>
          <cell r="C29" t="str">
            <v>LW02/2</v>
          </cell>
          <cell r="D29" t="str">
            <v>SPCC-SD</v>
          </cell>
          <cell r="E29" t="str">
            <v>AF1</v>
          </cell>
          <cell r="F29">
            <v>1.2</v>
          </cell>
          <cell r="G29">
            <v>84</v>
          </cell>
          <cell r="H29">
            <v>1219</v>
          </cell>
          <cell r="I29" t="str">
            <v>A</v>
          </cell>
          <cell r="K29">
            <v>100</v>
          </cell>
          <cell r="L29">
            <v>18</v>
          </cell>
          <cell r="M29">
            <v>50110688</v>
          </cell>
          <cell r="N29">
            <v>38703</v>
          </cell>
          <cell r="O29" t="str">
            <v>F25A14SUD007</v>
          </cell>
          <cell r="P29" t="str">
            <v>FN5C17D2D583801</v>
          </cell>
          <cell r="Q29" t="str">
            <v>กระดาษฉีกขาด</v>
          </cell>
        </row>
        <row r="30">
          <cell r="A30">
            <v>50137831</v>
          </cell>
          <cell r="B30">
            <v>29</v>
          </cell>
          <cell r="C30" t="str">
            <v>LW02/2</v>
          </cell>
          <cell r="D30" t="str">
            <v>SPCC-SD</v>
          </cell>
          <cell r="E30" t="str">
            <v>AF1</v>
          </cell>
          <cell r="F30">
            <v>1.2</v>
          </cell>
          <cell r="G30">
            <v>100</v>
          </cell>
          <cell r="H30">
            <v>378</v>
          </cell>
          <cell r="I30" t="str">
            <v>A</v>
          </cell>
          <cell r="K30">
            <v>854</v>
          </cell>
          <cell r="L30">
            <v>302</v>
          </cell>
          <cell r="M30">
            <v>50137831</v>
          </cell>
          <cell r="N30">
            <v>38924</v>
          </cell>
          <cell r="O30" t="str">
            <v>F26425TCD016</v>
          </cell>
          <cell r="P30" t="str">
            <v>FN6726N1D228601</v>
          </cell>
          <cell r="Q30" t="str">
            <v>แผ่นรองและสายรัดเป็นสนิม</v>
          </cell>
        </row>
        <row r="31">
          <cell r="A31">
            <v>50117582</v>
          </cell>
          <cell r="B31">
            <v>30</v>
          </cell>
          <cell r="C31" t="str">
            <v>LW02/2</v>
          </cell>
          <cell r="D31" t="str">
            <v>SPCC-SD</v>
          </cell>
          <cell r="E31" t="str">
            <v>AF1</v>
          </cell>
          <cell r="F31">
            <v>1.2</v>
          </cell>
          <cell r="G31">
            <v>161</v>
          </cell>
          <cell r="H31">
            <v>1219</v>
          </cell>
          <cell r="I31" t="str">
            <v>A</v>
          </cell>
          <cell r="K31">
            <v>80</v>
          </cell>
          <cell r="L31">
            <v>148</v>
          </cell>
          <cell r="M31">
            <v>50117582</v>
          </cell>
          <cell r="N31">
            <v>38762</v>
          </cell>
          <cell r="O31" t="str">
            <v>F25C15SUD001</v>
          </cell>
          <cell r="P31" t="str">
            <v>FN6214D2D735210</v>
          </cell>
          <cell r="Q31" t="str">
            <v>แผ่นรองและสายรัดเป็นสนิม</v>
          </cell>
        </row>
        <row r="32">
          <cell r="A32">
            <v>50117583</v>
          </cell>
          <cell r="B32">
            <v>31</v>
          </cell>
          <cell r="C32" t="str">
            <v>LW02/2</v>
          </cell>
          <cell r="D32" t="str">
            <v>SPCC-SD</v>
          </cell>
          <cell r="E32" t="str">
            <v>AF1</v>
          </cell>
          <cell r="F32">
            <v>1.2</v>
          </cell>
          <cell r="G32">
            <v>161</v>
          </cell>
          <cell r="H32">
            <v>1219</v>
          </cell>
          <cell r="I32" t="str">
            <v>A</v>
          </cell>
          <cell r="K32">
            <v>80</v>
          </cell>
          <cell r="L32">
            <v>148</v>
          </cell>
          <cell r="M32">
            <v>50117583</v>
          </cell>
          <cell r="N32">
            <v>38762</v>
          </cell>
          <cell r="O32" t="str">
            <v>F25C15SUD001</v>
          </cell>
          <cell r="P32" t="str">
            <v>FN6214D2D735209</v>
          </cell>
          <cell r="Q32" t="str">
            <v>แผ่นรองและสายรัดเป็นสนิม</v>
          </cell>
        </row>
        <row r="33">
          <cell r="A33">
            <v>50117584</v>
          </cell>
          <cell r="B33">
            <v>32</v>
          </cell>
          <cell r="C33" t="str">
            <v>LW02/2</v>
          </cell>
          <cell r="D33" t="str">
            <v>SPCC-SD</v>
          </cell>
          <cell r="E33" t="str">
            <v>AF1</v>
          </cell>
          <cell r="F33">
            <v>1.2</v>
          </cell>
          <cell r="G33">
            <v>161</v>
          </cell>
          <cell r="H33">
            <v>1219</v>
          </cell>
          <cell r="I33" t="str">
            <v>A</v>
          </cell>
          <cell r="K33">
            <v>80</v>
          </cell>
          <cell r="L33">
            <v>148</v>
          </cell>
          <cell r="M33">
            <v>50117584</v>
          </cell>
          <cell r="N33">
            <v>38762</v>
          </cell>
          <cell r="O33" t="str">
            <v>F25C15SUD001</v>
          </cell>
          <cell r="P33" t="str">
            <v>FN6214D2D735208</v>
          </cell>
          <cell r="Q33" t="str">
            <v>แผ่นรองและสายรัดเป็นสนิม</v>
          </cell>
        </row>
        <row r="34">
          <cell r="A34">
            <v>50117585</v>
          </cell>
          <cell r="B34">
            <v>33</v>
          </cell>
          <cell r="C34" t="str">
            <v>LW02/2</v>
          </cell>
          <cell r="D34" t="str">
            <v>SPCC-SD</v>
          </cell>
          <cell r="E34" t="str">
            <v>AF1</v>
          </cell>
          <cell r="F34">
            <v>1.2</v>
          </cell>
          <cell r="G34">
            <v>161</v>
          </cell>
          <cell r="H34">
            <v>1219</v>
          </cell>
          <cell r="I34" t="str">
            <v>A</v>
          </cell>
          <cell r="K34">
            <v>80</v>
          </cell>
          <cell r="L34">
            <v>148</v>
          </cell>
          <cell r="M34">
            <v>50117585</v>
          </cell>
          <cell r="N34">
            <v>38762</v>
          </cell>
          <cell r="O34" t="str">
            <v>F25C15SUD001</v>
          </cell>
          <cell r="P34" t="str">
            <v>FN6214D2D735207</v>
          </cell>
          <cell r="Q34" t="str">
            <v>แผ่นรองและสายรัดเป็นสนิม</v>
          </cell>
        </row>
        <row r="35">
          <cell r="A35">
            <v>50117586</v>
          </cell>
          <cell r="B35">
            <v>34</v>
          </cell>
          <cell r="C35" t="str">
            <v>LW02/2</v>
          </cell>
          <cell r="D35" t="str">
            <v>SPCC-SD</v>
          </cell>
          <cell r="E35" t="str">
            <v>AF1</v>
          </cell>
          <cell r="F35">
            <v>1.2</v>
          </cell>
          <cell r="G35">
            <v>161</v>
          </cell>
          <cell r="H35">
            <v>1219</v>
          </cell>
          <cell r="I35" t="str">
            <v>A</v>
          </cell>
          <cell r="K35">
            <v>80</v>
          </cell>
          <cell r="L35">
            <v>148</v>
          </cell>
          <cell r="M35">
            <v>50117586</v>
          </cell>
          <cell r="N35">
            <v>38762</v>
          </cell>
          <cell r="O35" t="str">
            <v>F25C15SUD001</v>
          </cell>
          <cell r="P35" t="str">
            <v>FN6214D2D735206</v>
          </cell>
          <cell r="Q35" t="str">
            <v>แผ่นรองและสายรัดเป็นสนิม</v>
          </cell>
        </row>
        <row r="36">
          <cell r="A36">
            <v>50117587</v>
          </cell>
          <cell r="B36">
            <v>35</v>
          </cell>
          <cell r="C36" t="str">
            <v>LW02/2</v>
          </cell>
          <cell r="D36" t="str">
            <v>SPCC-SD</v>
          </cell>
          <cell r="E36" t="str">
            <v>AF1</v>
          </cell>
          <cell r="F36">
            <v>1.2</v>
          </cell>
          <cell r="G36">
            <v>161</v>
          </cell>
          <cell r="H36">
            <v>1219</v>
          </cell>
          <cell r="I36" t="str">
            <v>A</v>
          </cell>
          <cell r="K36">
            <v>80</v>
          </cell>
          <cell r="L36">
            <v>148</v>
          </cell>
          <cell r="M36">
            <v>50117587</v>
          </cell>
          <cell r="N36">
            <v>38762</v>
          </cell>
          <cell r="O36" t="str">
            <v>F25C15SUD001</v>
          </cell>
          <cell r="P36" t="str">
            <v>FN6214D2D735205</v>
          </cell>
          <cell r="Q36" t="str">
            <v>แผ่นรองและสายรัดเป็นสนิม</v>
          </cell>
        </row>
        <row r="37">
          <cell r="A37">
            <v>50117599</v>
          </cell>
          <cell r="B37">
            <v>36</v>
          </cell>
          <cell r="C37" t="str">
            <v>LW02/2</v>
          </cell>
          <cell r="D37" t="str">
            <v>SPCC-SD</v>
          </cell>
          <cell r="E37" t="str">
            <v>AF1</v>
          </cell>
          <cell r="F37">
            <v>1.2</v>
          </cell>
          <cell r="G37">
            <v>161</v>
          </cell>
          <cell r="H37">
            <v>1219</v>
          </cell>
          <cell r="I37" t="str">
            <v>A</v>
          </cell>
          <cell r="K37">
            <v>80</v>
          </cell>
          <cell r="L37">
            <v>148</v>
          </cell>
          <cell r="M37">
            <v>50117599</v>
          </cell>
          <cell r="N37">
            <v>38762</v>
          </cell>
          <cell r="O37" t="str">
            <v>F25C15SUD001</v>
          </cell>
          <cell r="P37" t="str">
            <v>FN6214N2D735201</v>
          </cell>
          <cell r="Q37" t="str">
            <v>แผ่นรองและสายรัดเป็นสนิม</v>
          </cell>
        </row>
        <row r="38">
          <cell r="A38">
            <v>50117602</v>
          </cell>
          <cell r="B38">
            <v>37</v>
          </cell>
          <cell r="C38" t="str">
            <v>LW02/2</v>
          </cell>
          <cell r="D38" t="str">
            <v>SPCC-SD</v>
          </cell>
          <cell r="E38" t="str">
            <v>AF1</v>
          </cell>
          <cell r="F38">
            <v>1.2</v>
          </cell>
          <cell r="G38">
            <v>161</v>
          </cell>
          <cell r="H38">
            <v>1219</v>
          </cell>
          <cell r="I38" t="str">
            <v>A</v>
          </cell>
          <cell r="K38">
            <v>80</v>
          </cell>
          <cell r="L38">
            <v>148</v>
          </cell>
          <cell r="M38">
            <v>50117602</v>
          </cell>
          <cell r="N38">
            <v>38762</v>
          </cell>
          <cell r="O38" t="str">
            <v>F25803SUD005</v>
          </cell>
          <cell r="P38" t="str">
            <v>FN6214N2D735202</v>
          </cell>
          <cell r="Q38" t="str">
            <v>แผ่นรองและสายรัดเป็นสนิม กระดาษฉีกขาด</v>
          </cell>
        </row>
        <row r="39">
          <cell r="A39">
            <v>50117603</v>
          </cell>
          <cell r="B39">
            <v>38</v>
          </cell>
          <cell r="C39" t="str">
            <v>LW02/2</v>
          </cell>
          <cell r="D39" t="str">
            <v>SPCC-SD</v>
          </cell>
          <cell r="E39" t="str">
            <v>AF1</v>
          </cell>
          <cell r="F39">
            <v>1.2</v>
          </cell>
          <cell r="G39">
            <v>161</v>
          </cell>
          <cell r="H39">
            <v>1219</v>
          </cell>
          <cell r="I39" t="str">
            <v>A</v>
          </cell>
          <cell r="K39">
            <v>80</v>
          </cell>
          <cell r="L39">
            <v>148</v>
          </cell>
          <cell r="M39">
            <v>50117603</v>
          </cell>
          <cell r="N39">
            <v>38762</v>
          </cell>
          <cell r="O39" t="str">
            <v>F25803SUD005</v>
          </cell>
          <cell r="P39" t="str">
            <v>FN6214N2D735203</v>
          </cell>
          <cell r="Q39" t="str">
            <v>แผ่นรองและสายรัดเป็นสนิม กระดาษฉีกขาด</v>
          </cell>
        </row>
        <row r="40">
          <cell r="A40">
            <v>50117604</v>
          </cell>
          <cell r="B40">
            <v>39</v>
          </cell>
          <cell r="C40" t="str">
            <v>LW02/2</v>
          </cell>
          <cell r="D40" t="str">
            <v>SPCC-SD</v>
          </cell>
          <cell r="E40" t="str">
            <v>AF1</v>
          </cell>
          <cell r="F40">
            <v>1.2</v>
          </cell>
          <cell r="G40">
            <v>161</v>
          </cell>
          <cell r="H40">
            <v>1219</v>
          </cell>
          <cell r="I40" t="str">
            <v>A</v>
          </cell>
          <cell r="K40">
            <v>80</v>
          </cell>
          <cell r="L40">
            <v>148</v>
          </cell>
          <cell r="M40">
            <v>50117604</v>
          </cell>
          <cell r="N40">
            <v>38762</v>
          </cell>
          <cell r="O40" t="str">
            <v>F25803SUD005</v>
          </cell>
          <cell r="P40" t="str">
            <v>FN6214N2D735204</v>
          </cell>
          <cell r="Q40" t="str">
            <v>แผ่นรองและสายรัดเป็นสนิม กระดาษฉีกขาด</v>
          </cell>
        </row>
        <row r="41">
          <cell r="A41">
            <v>50115092</v>
          </cell>
          <cell r="B41">
            <v>40</v>
          </cell>
          <cell r="C41" t="str">
            <v>LW02/2</v>
          </cell>
          <cell r="D41" t="str">
            <v>SPCC-SD</v>
          </cell>
          <cell r="E41" t="str">
            <v>AF1</v>
          </cell>
          <cell r="F41">
            <v>1.2</v>
          </cell>
          <cell r="G41">
            <v>178</v>
          </cell>
          <cell r="H41">
            <v>1219</v>
          </cell>
          <cell r="I41" t="str">
            <v>A</v>
          </cell>
          <cell r="K41">
            <v>100</v>
          </cell>
          <cell r="L41">
            <v>203</v>
          </cell>
          <cell r="M41">
            <v>50115092</v>
          </cell>
          <cell r="N41">
            <v>38741</v>
          </cell>
          <cell r="O41" t="str">
            <v>F25C17TCD002</v>
          </cell>
          <cell r="P41" t="str">
            <v>FN6124D3RQQQ01</v>
          </cell>
          <cell r="Q41" t="str">
            <v>แผ่นรองและสายรัดเป็นสนิม</v>
          </cell>
        </row>
        <row r="42">
          <cell r="A42">
            <v>50070568</v>
          </cell>
          <cell r="B42">
            <v>41</v>
          </cell>
          <cell r="C42" t="str">
            <v>LW02/2</v>
          </cell>
          <cell r="D42" t="str">
            <v>SPCC-SD</v>
          </cell>
          <cell r="E42" t="str">
            <v>AF1</v>
          </cell>
          <cell r="F42">
            <v>1.2</v>
          </cell>
          <cell r="G42">
            <v>210</v>
          </cell>
          <cell r="H42">
            <v>710</v>
          </cell>
          <cell r="I42" t="str">
            <v>A</v>
          </cell>
          <cell r="K42">
            <v>500</v>
          </cell>
          <cell r="L42">
            <v>696</v>
          </cell>
          <cell r="M42">
            <v>50070568</v>
          </cell>
          <cell r="N42">
            <v>38393</v>
          </cell>
          <cell r="O42" t="str">
            <v>F25127TCD005</v>
          </cell>
          <cell r="P42" t="str">
            <v>FN5210N3D703901</v>
          </cell>
          <cell r="Q42" t="str">
            <v>แผ่นรองและสายรัดเป็นสนิม</v>
          </cell>
        </row>
        <row r="43">
          <cell r="A43">
            <v>50070569</v>
          </cell>
          <cell r="B43">
            <v>42</v>
          </cell>
          <cell r="C43" t="str">
            <v>LW02/2</v>
          </cell>
          <cell r="D43" t="str">
            <v>SPCC-SD</v>
          </cell>
          <cell r="E43" t="str">
            <v>AF1</v>
          </cell>
          <cell r="F43">
            <v>1.2</v>
          </cell>
          <cell r="G43">
            <v>210</v>
          </cell>
          <cell r="H43">
            <v>710</v>
          </cell>
          <cell r="I43" t="str">
            <v>A</v>
          </cell>
          <cell r="K43">
            <v>500</v>
          </cell>
          <cell r="L43">
            <v>696</v>
          </cell>
          <cell r="M43">
            <v>50070569</v>
          </cell>
          <cell r="N43">
            <v>38393</v>
          </cell>
          <cell r="O43" t="str">
            <v>F25127TCD005</v>
          </cell>
          <cell r="P43" t="str">
            <v>FN5210N3D703904</v>
          </cell>
          <cell r="Q43" t="str">
            <v>แผ่นรองและสายรัดเป็นสนิม</v>
          </cell>
        </row>
        <row r="44">
          <cell r="A44">
            <v>50070570</v>
          </cell>
          <cell r="B44">
            <v>43</v>
          </cell>
          <cell r="C44" t="str">
            <v>LW02/2</v>
          </cell>
          <cell r="D44" t="str">
            <v>SPCC-SD</v>
          </cell>
          <cell r="E44" t="str">
            <v>AF1</v>
          </cell>
          <cell r="F44">
            <v>1.2</v>
          </cell>
          <cell r="G44">
            <v>210</v>
          </cell>
          <cell r="H44">
            <v>710</v>
          </cell>
          <cell r="I44" t="str">
            <v>A</v>
          </cell>
          <cell r="K44">
            <v>500</v>
          </cell>
          <cell r="L44">
            <v>696</v>
          </cell>
          <cell r="M44">
            <v>50070570</v>
          </cell>
          <cell r="N44">
            <v>38393</v>
          </cell>
          <cell r="O44" t="str">
            <v>F25127TCD005</v>
          </cell>
          <cell r="P44" t="str">
            <v>FN5210N3D703903</v>
          </cell>
          <cell r="Q44" t="str">
            <v>แผ่นรองและสายรัดเป็นสนิม</v>
          </cell>
        </row>
        <row r="45">
          <cell r="A45">
            <v>50070571</v>
          </cell>
          <cell r="B45">
            <v>44</v>
          </cell>
          <cell r="C45" t="str">
            <v>LW02/2</v>
          </cell>
          <cell r="D45" t="str">
            <v>SPCC-SD</v>
          </cell>
          <cell r="E45" t="str">
            <v>AF1</v>
          </cell>
          <cell r="F45">
            <v>1.2</v>
          </cell>
          <cell r="G45">
            <v>210</v>
          </cell>
          <cell r="H45">
            <v>710</v>
          </cell>
          <cell r="I45" t="str">
            <v>A</v>
          </cell>
          <cell r="K45">
            <v>500</v>
          </cell>
          <cell r="L45">
            <v>696</v>
          </cell>
          <cell r="M45">
            <v>50070571</v>
          </cell>
          <cell r="N45">
            <v>38393</v>
          </cell>
          <cell r="O45" t="str">
            <v>F25127TCD005</v>
          </cell>
          <cell r="P45" t="str">
            <v>FN5210N3D703902</v>
          </cell>
          <cell r="Q45" t="str">
            <v>แผ่นรองและสายรัดเป็นสนิม</v>
          </cell>
        </row>
        <row r="46">
          <cell r="A46">
            <v>50115149</v>
          </cell>
          <cell r="B46">
            <v>45</v>
          </cell>
          <cell r="C46" t="str">
            <v>LW02/2</v>
          </cell>
          <cell r="D46" t="str">
            <v>SPCC-SD</v>
          </cell>
          <cell r="E46" t="str">
            <v>AF1</v>
          </cell>
          <cell r="F46">
            <v>1.2</v>
          </cell>
          <cell r="G46">
            <v>255</v>
          </cell>
          <cell r="H46">
            <v>1219</v>
          </cell>
          <cell r="I46" t="str">
            <v>A</v>
          </cell>
          <cell r="K46">
            <v>23</v>
          </cell>
          <cell r="L46">
            <v>67</v>
          </cell>
          <cell r="M46">
            <v>50115149</v>
          </cell>
          <cell r="N46">
            <v>38742</v>
          </cell>
          <cell r="O46" t="str">
            <v>F26109SUD006</v>
          </cell>
          <cell r="P46" t="str">
            <v>FN6125D1L673101</v>
          </cell>
          <cell r="Q46" t="str">
            <v>แผ่นรองและสายรัดเป็นสนิม</v>
          </cell>
        </row>
        <row r="47">
          <cell r="A47">
            <v>50121667</v>
          </cell>
          <cell r="B47">
            <v>46</v>
          </cell>
          <cell r="C47" t="str">
            <v>LW02/2</v>
          </cell>
          <cell r="D47" t="str">
            <v>SPCC-SD</v>
          </cell>
          <cell r="E47" t="str">
            <v>AF1</v>
          </cell>
          <cell r="F47">
            <v>1.2</v>
          </cell>
          <cell r="G47">
            <v>255</v>
          </cell>
          <cell r="H47">
            <v>1219</v>
          </cell>
          <cell r="I47" t="str">
            <v>A</v>
          </cell>
          <cell r="K47">
            <v>29</v>
          </cell>
          <cell r="L47">
            <v>85</v>
          </cell>
          <cell r="M47">
            <v>50121667</v>
          </cell>
          <cell r="N47">
            <v>38787</v>
          </cell>
          <cell r="O47" t="str">
            <v>F26218SUD004</v>
          </cell>
          <cell r="P47" t="str">
            <v>FN6311N1D829101</v>
          </cell>
          <cell r="Q47" t="str">
            <v>แผ่นรองและสายรัดเป็นสนิม</v>
          </cell>
        </row>
        <row r="48">
          <cell r="A48">
            <v>50138372</v>
          </cell>
          <cell r="B48">
            <v>47</v>
          </cell>
          <cell r="C48" t="str">
            <v>LW02/2</v>
          </cell>
          <cell r="D48" t="str">
            <v>SPCC-SD</v>
          </cell>
          <cell r="E48" t="str">
            <v>AF1</v>
          </cell>
          <cell r="F48">
            <v>1.2</v>
          </cell>
          <cell r="G48">
            <v>485</v>
          </cell>
          <cell r="H48">
            <v>1219</v>
          </cell>
          <cell r="I48" t="str">
            <v>A</v>
          </cell>
          <cell r="K48">
            <v>300</v>
          </cell>
          <cell r="L48">
            <v>1671</v>
          </cell>
          <cell r="M48">
            <v>50138372</v>
          </cell>
          <cell r="N48">
            <v>38928</v>
          </cell>
          <cell r="O48" t="str">
            <v>F26707SUS011</v>
          </cell>
          <cell r="P48" t="str">
            <v>FN6730D1L254301</v>
          </cell>
          <cell r="Q48" t="str">
            <v>แผ่นรองและสายรัดเป็นสนิม</v>
          </cell>
        </row>
        <row r="49">
          <cell r="A49">
            <v>50138373</v>
          </cell>
          <cell r="B49">
            <v>48</v>
          </cell>
          <cell r="C49" t="str">
            <v>LW02/2</v>
          </cell>
          <cell r="D49" t="str">
            <v>SPCC-SD</v>
          </cell>
          <cell r="E49" t="str">
            <v>AF1</v>
          </cell>
          <cell r="F49">
            <v>1.2</v>
          </cell>
          <cell r="G49">
            <v>485</v>
          </cell>
          <cell r="H49">
            <v>1219</v>
          </cell>
          <cell r="I49" t="str">
            <v>A</v>
          </cell>
          <cell r="K49">
            <v>300</v>
          </cell>
          <cell r="L49">
            <v>1671</v>
          </cell>
          <cell r="M49">
            <v>50138373</v>
          </cell>
          <cell r="N49">
            <v>38928</v>
          </cell>
          <cell r="O49" t="str">
            <v>F26707SUS011</v>
          </cell>
          <cell r="P49" t="str">
            <v>FN6730D1L254302</v>
          </cell>
          <cell r="Q49" t="str">
            <v>แผ่นรองและสายรัดเป็นสนิม</v>
          </cell>
        </row>
        <row r="50">
          <cell r="A50">
            <v>50138374</v>
          </cell>
          <cell r="B50">
            <v>49</v>
          </cell>
          <cell r="C50" t="str">
            <v>LW02/2</v>
          </cell>
          <cell r="D50" t="str">
            <v>SPCC-SD</v>
          </cell>
          <cell r="E50" t="str">
            <v>AF1</v>
          </cell>
          <cell r="F50">
            <v>1.2</v>
          </cell>
          <cell r="G50">
            <v>485</v>
          </cell>
          <cell r="H50">
            <v>1219</v>
          </cell>
          <cell r="I50" t="str">
            <v>A</v>
          </cell>
          <cell r="K50">
            <v>300</v>
          </cell>
          <cell r="L50">
            <v>1671</v>
          </cell>
          <cell r="M50">
            <v>50138374</v>
          </cell>
          <cell r="N50">
            <v>38928</v>
          </cell>
          <cell r="O50" t="str">
            <v>F26707SUS011</v>
          </cell>
          <cell r="P50" t="str">
            <v>FN6730D1L254303</v>
          </cell>
          <cell r="Q50" t="str">
            <v>แผ่นรองและสายรัดเป็นสนิม</v>
          </cell>
        </row>
        <row r="51">
          <cell r="A51">
            <v>50138375</v>
          </cell>
          <cell r="B51">
            <v>50</v>
          </cell>
          <cell r="C51" t="str">
            <v>LW02/2</v>
          </cell>
          <cell r="D51" t="str">
            <v>SPCC-SD</v>
          </cell>
          <cell r="E51" t="str">
            <v>AF1</v>
          </cell>
          <cell r="F51">
            <v>1.2</v>
          </cell>
          <cell r="G51">
            <v>485</v>
          </cell>
          <cell r="H51">
            <v>1219</v>
          </cell>
          <cell r="I51" t="str">
            <v>A</v>
          </cell>
          <cell r="K51">
            <v>300</v>
          </cell>
          <cell r="L51">
            <v>1671</v>
          </cell>
          <cell r="M51">
            <v>50138375</v>
          </cell>
          <cell r="N51">
            <v>38928</v>
          </cell>
          <cell r="O51" t="str">
            <v>F26707SUS011</v>
          </cell>
          <cell r="P51" t="str">
            <v>FN6730D1L254304</v>
          </cell>
          <cell r="Q51" t="str">
            <v>แผ่นรองและสายรัดเป็นสนิม</v>
          </cell>
        </row>
        <row r="52">
          <cell r="A52">
            <v>50138376</v>
          </cell>
          <cell r="B52">
            <v>51</v>
          </cell>
          <cell r="C52" t="str">
            <v>LW02/2</v>
          </cell>
          <cell r="D52" t="str">
            <v>SPCC-SD</v>
          </cell>
          <cell r="E52" t="str">
            <v>AF1</v>
          </cell>
          <cell r="F52">
            <v>1.2</v>
          </cell>
          <cell r="G52">
            <v>485</v>
          </cell>
          <cell r="H52">
            <v>1219</v>
          </cell>
          <cell r="I52" t="str">
            <v>A</v>
          </cell>
          <cell r="K52">
            <v>300</v>
          </cell>
          <cell r="L52">
            <v>1671</v>
          </cell>
          <cell r="M52">
            <v>50138376</v>
          </cell>
          <cell r="N52">
            <v>38928</v>
          </cell>
          <cell r="O52" t="str">
            <v>F26707SUS011</v>
          </cell>
          <cell r="P52" t="str">
            <v>FN6730D1L254305</v>
          </cell>
          <cell r="Q52" t="str">
            <v>แผ่นรองและสายรัดเป็นสนิม</v>
          </cell>
        </row>
        <row r="53">
          <cell r="A53">
            <v>50138390</v>
          </cell>
          <cell r="B53">
            <v>52</v>
          </cell>
          <cell r="C53" t="str">
            <v>LW02/2</v>
          </cell>
          <cell r="D53" t="str">
            <v>SPCC-SD</v>
          </cell>
          <cell r="E53" t="str">
            <v>AF1</v>
          </cell>
          <cell r="F53">
            <v>1.2</v>
          </cell>
          <cell r="G53">
            <v>485</v>
          </cell>
          <cell r="H53">
            <v>1219</v>
          </cell>
          <cell r="I53" t="str">
            <v>A</v>
          </cell>
          <cell r="K53">
            <v>300</v>
          </cell>
          <cell r="L53">
            <v>1671</v>
          </cell>
          <cell r="M53">
            <v>50138390</v>
          </cell>
          <cell r="N53">
            <v>38929</v>
          </cell>
          <cell r="O53" t="str">
            <v>F26707SUS010</v>
          </cell>
          <cell r="P53" t="str">
            <v>FN6731D1L254306</v>
          </cell>
          <cell r="Q53" t="str">
            <v>แผ่นรองและสายรัดเป็นสนิม</v>
          </cell>
        </row>
        <row r="54">
          <cell r="A54">
            <v>50138391</v>
          </cell>
          <cell r="B54">
            <v>53</v>
          </cell>
          <cell r="C54" t="str">
            <v>LW02/2</v>
          </cell>
          <cell r="D54" t="str">
            <v>SPCC-SD</v>
          </cell>
          <cell r="E54" t="str">
            <v>AF1</v>
          </cell>
          <cell r="F54">
            <v>1.2</v>
          </cell>
          <cell r="G54">
            <v>485</v>
          </cell>
          <cell r="H54">
            <v>1219</v>
          </cell>
          <cell r="I54" t="str">
            <v>A</v>
          </cell>
          <cell r="K54">
            <v>300</v>
          </cell>
          <cell r="L54">
            <v>1671</v>
          </cell>
          <cell r="M54">
            <v>50138391</v>
          </cell>
          <cell r="N54">
            <v>38929</v>
          </cell>
          <cell r="O54" t="str">
            <v>F26707SUS010</v>
          </cell>
          <cell r="P54" t="str">
            <v>FN6731D1L254307</v>
          </cell>
          <cell r="Q54" t="str">
            <v>แผ่นรองและสายรัดเป็นสนิม</v>
          </cell>
        </row>
        <row r="55">
          <cell r="A55">
            <v>50132738</v>
          </cell>
          <cell r="B55">
            <v>54</v>
          </cell>
          <cell r="C55" t="str">
            <v>LW02/2</v>
          </cell>
          <cell r="D55" t="str">
            <v>SPCC-SD</v>
          </cell>
          <cell r="E55" t="str">
            <v>AF1</v>
          </cell>
          <cell r="F55">
            <v>1.2</v>
          </cell>
          <cell r="G55">
            <v>711</v>
          </cell>
          <cell r="H55">
            <v>957</v>
          </cell>
          <cell r="I55" t="str">
            <v>A</v>
          </cell>
          <cell r="K55">
            <v>200</v>
          </cell>
          <cell r="L55">
            <v>1288</v>
          </cell>
          <cell r="M55">
            <v>50132738</v>
          </cell>
          <cell r="N55">
            <v>38879</v>
          </cell>
          <cell r="O55" t="str">
            <v>F26401TCD001</v>
          </cell>
          <cell r="P55" t="str">
            <v>FN6611N1L054301</v>
          </cell>
          <cell r="Q55" t="str">
            <v>แผ่นรองและสายรัดเป็นสนิม</v>
          </cell>
        </row>
        <row r="56">
          <cell r="A56">
            <v>50124582</v>
          </cell>
          <cell r="B56">
            <v>55</v>
          </cell>
          <cell r="C56" t="str">
            <v>LW02/2</v>
          </cell>
          <cell r="D56" t="str">
            <v>SPCC-SD</v>
          </cell>
          <cell r="E56" t="str">
            <v>AF1</v>
          </cell>
          <cell r="F56">
            <v>1.2</v>
          </cell>
          <cell r="G56">
            <v>1000</v>
          </cell>
          <cell r="H56">
            <v>1219</v>
          </cell>
          <cell r="I56" t="str">
            <v>A</v>
          </cell>
          <cell r="K56">
            <v>112</v>
          </cell>
          <cell r="L56">
            <v>1289</v>
          </cell>
          <cell r="M56">
            <v>50124582</v>
          </cell>
          <cell r="N56">
            <v>38805</v>
          </cell>
          <cell r="O56" t="str">
            <v>F26320TCD002</v>
          </cell>
          <cell r="P56" t="str">
            <v>FN6329N1L897701</v>
          </cell>
          <cell r="Q56" t="str">
            <v>แผ่นรองและสายรัดเป็นสนิม</v>
          </cell>
        </row>
        <row r="57">
          <cell r="A57">
            <v>50124600</v>
          </cell>
          <cell r="B57">
            <v>56</v>
          </cell>
          <cell r="C57" t="str">
            <v>LW02/2</v>
          </cell>
          <cell r="D57" t="str">
            <v>SPCC-SD</v>
          </cell>
          <cell r="E57" t="str">
            <v>AF1</v>
          </cell>
          <cell r="F57">
            <v>1.2</v>
          </cell>
          <cell r="G57">
            <v>1000</v>
          </cell>
          <cell r="H57">
            <v>1219</v>
          </cell>
          <cell r="I57" t="str">
            <v>A</v>
          </cell>
          <cell r="K57">
            <v>130</v>
          </cell>
          <cell r="L57">
            <v>1500</v>
          </cell>
          <cell r="M57">
            <v>50124600</v>
          </cell>
          <cell r="N57">
            <v>38805</v>
          </cell>
          <cell r="O57" t="str">
            <v>F26318SUD004</v>
          </cell>
          <cell r="P57" t="str">
            <v>FN6329N1L897702</v>
          </cell>
          <cell r="Q57" t="str">
            <v>แผ่นรองและสายรัดเป็นสนิม</v>
          </cell>
        </row>
        <row r="58">
          <cell r="A58">
            <v>50124601</v>
          </cell>
          <cell r="B58">
            <v>57</v>
          </cell>
          <cell r="C58" t="str">
            <v>LW02/2</v>
          </cell>
          <cell r="D58" t="str">
            <v>SPCC-SD</v>
          </cell>
          <cell r="E58" t="str">
            <v>AF1</v>
          </cell>
          <cell r="F58">
            <v>1.2</v>
          </cell>
          <cell r="G58">
            <v>1000</v>
          </cell>
          <cell r="H58">
            <v>1219</v>
          </cell>
          <cell r="I58" t="str">
            <v>A</v>
          </cell>
          <cell r="K58">
            <v>130</v>
          </cell>
          <cell r="L58">
            <v>1500</v>
          </cell>
          <cell r="M58">
            <v>50124601</v>
          </cell>
          <cell r="N58">
            <v>38805</v>
          </cell>
          <cell r="O58" t="str">
            <v>F26318SUD004</v>
          </cell>
          <cell r="P58" t="str">
            <v>FN6329N1L897703</v>
          </cell>
          <cell r="Q58" t="str">
            <v>แผ่นรองและสายรัดเป็นสนิม</v>
          </cell>
        </row>
        <row r="59">
          <cell r="A59">
            <v>50124602</v>
          </cell>
          <cell r="B59">
            <v>58</v>
          </cell>
          <cell r="C59" t="str">
            <v>LW02/2</v>
          </cell>
          <cell r="D59" t="str">
            <v>SPCC-SD</v>
          </cell>
          <cell r="E59" t="str">
            <v>AF1</v>
          </cell>
          <cell r="F59">
            <v>1.2</v>
          </cell>
          <cell r="G59">
            <v>1000</v>
          </cell>
          <cell r="H59">
            <v>1219</v>
          </cell>
          <cell r="I59" t="str">
            <v>A</v>
          </cell>
          <cell r="K59">
            <v>130</v>
          </cell>
          <cell r="L59">
            <v>1500</v>
          </cell>
          <cell r="M59">
            <v>50124602</v>
          </cell>
          <cell r="N59">
            <v>38805</v>
          </cell>
          <cell r="O59" t="str">
            <v>F26318SUD004</v>
          </cell>
          <cell r="P59" t="str">
            <v>FN6329N1L897704</v>
          </cell>
          <cell r="Q59" t="str">
            <v>แผ่นรองและสายรัดเป็นสนิม</v>
          </cell>
        </row>
        <row r="60">
          <cell r="A60">
            <v>50124603</v>
          </cell>
          <cell r="B60">
            <v>59</v>
          </cell>
          <cell r="C60" t="str">
            <v>LW02/2</v>
          </cell>
          <cell r="D60" t="str">
            <v>SPCC-SD</v>
          </cell>
          <cell r="E60" t="str">
            <v>AF1</v>
          </cell>
          <cell r="F60">
            <v>1.2</v>
          </cell>
          <cell r="G60">
            <v>1000</v>
          </cell>
          <cell r="H60">
            <v>1219</v>
          </cell>
          <cell r="I60" t="str">
            <v>A</v>
          </cell>
          <cell r="K60">
            <v>130</v>
          </cell>
          <cell r="L60">
            <v>1500</v>
          </cell>
          <cell r="M60">
            <v>50124603</v>
          </cell>
          <cell r="N60">
            <v>38805</v>
          </cell>
          <cell r="O60" t="str">
            <v>F26318SUD004</v>
          </cell>
          <cell r="P60" t="str">
            <v>FN6329N1L897705</v>
          </cell>
          <cell r="Q60" t="str">
            <v>แผ่นรองและสายรัดเป็นสนิม</v>
          </cell>
        </row>
        <row r="61">
          <cell r="A61">
            <v>50129546</v>
          </cell>
          <cell r="B61">
            <v>60</v>
          </cell>
          <cell r="C61" t="str">
            <v>LW02/2</v>
          </cell>
          <cell r="D61" t="str">
            <v>SPCC-SD</v>
          </cell>
          <cell r="E61" t="str">
            <v>AF1</v>
          </cell>
          <cell r="F61">
            <v>1.2</v>
          </cell>
          <cell r="G61">
            <v>1000</v>
          </cell>
          <cell r="H61">
            <v>1219</v>
          </cell>
          <cell r="I61" t="str">
            <v>A</v>
          </cell>
          <cell r="K61">
            <v>123</v>
          </cell>
          <cell r="L61">
            <v>1416</v>
          </cell>
          <cell r="M61">
            <v>50129546</v>
          </cell>
          <cell r="N61">
            <v>38855</v>
          </cell>
          <cell r="O61" t="str">
            <v>F26223TCD001</v>
          </cell>
          <cell r="P61" t="str">
            <v>FN6518D1L983001</v>
          </cell>
          <cell r="Q61" t="str">
            <v>แผ่นรองและสายรัดเป็นสนิม</v>
          </cell>
        </row>
        <row r="62">
          <cell r="A62">
            <v>50129547</v>
          </cell>
          <cell r="B62">
            <v>61</v>
          </cell>
          <cell r="C62" t="str">
            <v>LW02/2</v>
          </cell>
          <cell r="D62" t="str">
            <v>SPCC-SD</v>
          </cell>
          <cell r="E62" t="str">
            <v>AF1</v>
          </cell>
          <cell r="F62">
            <v>1.2</v>
          </cell>
          <cell r="G62">
            <v>1000</v>
          </cell>
          <cell r="H62">
            <v>1219</v>
          </cell>
          <cell r="I62" t="str">
            <v>A</v>
          </cell>
          <cell r="K62">
            <v>117</v>
          </cell>
          <cell r="L62">
            <v>1355</v>
          </cell>
          <cell r="M62">
            <v>50129547</v>
          </cell>
          <cell r="N62">
            <v>38855</v>
          </cell>
          <cell r="O62" t="str">
            <v>F26303TCD001</v>
          </cell>
          <cell r="P62" t="str">
            <v>FN6518D1L983002</v>
          </cell>
          <cell r="Q62" t="str">
            <v>แผ่นรองและสายรัดเป็นสนิม</v>
          </cell>
        </row>
        <row r="63">
          <cell r="A63">
            <v>50126600</v>
          </cell>
          <cell r="B63">
            <v>62</v>
          </cell>
          <cell r="C63" t="str">
            <v>LW02/2</v>
          </cell>
          <cell r="D63" t="str">
            <v>SPCC-SD</v>
          </cell>
          <cell r="E63" t="str">
            <v>AF1</v>
          </cell>
          <cell r="F63">
            <v>1.2</v>
          </cell>
          <cell r="G63">
            <v>1058</v>
          </cell>
          <cell r="H63">
            <v>1219</v>
          </cell>
          <cell r="I63" t="str">
            <v>A</v>
          </cell>
          <cell r="K63">
            <v>100</v>
          </cell>
          <cell r="L63">
            <v>1218</v>
          </cell>
          <cell r="M63">
            <v>50126600</v>
          </cell>
          <cell r="N63">
            <v>38827</v>
          </cell>
          <cell r="O63" t="str">
            <v>F25B30TCD002</v>
          </cell>
          <cell r="P63" t="str">
            <v>FN6420D2R897601</v>
          </cell>
          <cell r="Q63" t="str">
            <v>แผ่นรองและสายรัดเป็นสนิม</v>
          </cell>
        </row>
        <row r="64">
          <cell r="A64">
            <v>50126601</v>
          </cell>
          <cell r="B64">
            <v>63</v>
          </cell>
          <cell r="C64" t="str">
            <v>LW02/2</v>
          </cell>
          <cell r="D64" t="str">
            <v>SPCC-SD</v>
          </cell>
          <cell r="E64" t="str">
            <v>AF1</v>
          </cell>
          <cell r="F64">
            <v>1.2</v>
          </cell>
          <cell r="G64">
            <v>1058</v>
          </cell>
          <cell r="H64">
            <v>1219</v>
          </cell>
          <cell r="I64" t="str">
            <v>A</v>
          </cell>
          <cell r="K64">
            <v>100</v>
          </cell>
          <cell r="L64">
            <v>1218</v>
          </cell>
          <cell r="M64">
            <v>50126601</v>
          </cell>
          <cell r="N64">
            <v>38827</v>
          </cell>
          <cell r="O64" t="str">
            <v>F25C17TCD003</v>
          </cell>
          <cell r="P64" t="str">
            <v>FN6420D2R897602</v>
          </cell>
          <cell r="Q64" t="str">
            <v>แผ่นรองและสายรัดเป็นสนิม</v>
          </cell>
        </row>
        <row r="65">
          <cell r="A65">
            <v>50126602</v>
          </cell>
          <cell r="B65">
            <v>64</v>
          </cell>
          <cell r="C65" t="str">
            <v>LW02/2</v>
          </cell>
          <cell r="D65" t="str">
            <v>SPCC-SD</v>
          </cell>
          <cell r="E65" t="str">
            <v>AF1</v>
          </cell>
          <cell r="F65">
            <v>1.2</v>
          </cell>
          <cell r="G65">
            <v>1058</v>
          </cell>
          <cell r="H65">
            <v>1219</v>
          </cell>
          <cell r="I65" t="str">
            <v>A</v>
          </cell>
          <cell r="K65">
            <v>100</v>
          </cell>
          <cell r="L65">
            <v>1218</v>
          </cell>
          <cell r="M65">
            <v>50126602</v>
          </cell>
          <cell r="N65">
            <v>38827</v>
          </cell>
          <cell r="O65" t="str">
            <v>F25C17TCD003</v>
          </cell>
          <cell r="P65" t="str">
            <v>FN6420D2R897603</v>
          </cell>
          <cell r="Q65" t="str">
            <v>แผ่นรองและสายรัดเป็นสนิม</v>
          </cell>
        </row>
        <row r="66">
          <cell r="A66">
            <v>50136256</v>
          </cell>
          <cell r="B66">
            <v>65</v>
          </cell>
          <cell r="C66" t="str">
            <v>LW02/2</v>
          </cell>
          <cell r="D66" t="str">
            <v>SPCC-SD</v>
          </cell>
          <cell r="E66" t="str">
            <v>AF1</v>
          </cell>
          <cell r="F66">
            <v>1.4</v>
          </cell>
          <cell r="G66">
            <v>82</v>
          </cell>
          <cell r="H66">
            <v>1219</v>
          </cell>
          <cell r="I66" t="str">
            <v>A</v>
          </cell>
          <cell r="K66">
            <v>127</v>
          </cell>
          <cell r="L66">
            <v>140</v>
          </cell>
          <cell r="M66">
            <v>50136256</v>
          </cell>
          <cell r="N66">
            <v>38909</v>
          </cell>
          <cell r="O66" t="str">
            <v>F25B16SUD024</v>
          </cell>
          <cell r="P66" t="str">
            <v>FN6711N1D193701</v>
          </cell>
          <cell r="Q66" t="str">
            <v>แผ่นรองและสายรัดเป็นสนิม</v>
          </cell>
        </row>
        <row r="67">
          <cell r="A67">
            <v>50136257</v>
          </cell>
          <cell r="B67">
            <v>66</v>
          </cell>
          <cell r="C67" t="str">
            <v>LW02/2</v>
          </cell>
          <cell r="D67" t="str">
            <v>SPCC-SD</v>
          </cell>
          <cell r="E67" t="str">
            <v>AF1</v>
          </cell>
          <cell r="F67">
            <v>1.4</v>
          </cell>
          <cell r="G67">
            <v>82</v>
          </cell>
          <cell r="H67">
            <v>1219</v>
          </cell>
          <cell r="I67" t="str">
            <v>A</v>
          </cell>
          <cell r="K67">
            <v>127</v>
          </cell>
          <cell r="L67">
            <v>140</v>
          </cell>
          <cell r="M67">
            <v>50136257</v>
          </cell>
          <cell r="N67">
            <v>38909</v>
          </cell>
          <cell r="O67" t="str">
            <v>F25B16SUD024</v>
          </cell>
          <cell r="P67" t="str">
            <v>FN6711N1D193702</v>
          </cell>
          <cell r="Q67" t="str">
            <v>แผ่นรองและสายรัดเป็นสนิม</v>
          </cell>
        </row>
        <row r="68">
          <cell r="A68">
            <v>50136258</v>
          </cell>
          <cell r="B68">
            <v>67</v>
          </cell>
          <cell r="C68" t="str">
            <v>LW02/2</v>
          </cell>
          <cell r="D68" t="str">
            <v>SPCC-SD</v>
          </cell>
          <cell r="E68" t="str">
            <v>AF1</v>
          </cell>
          <cell r="F68">
            <v>1.4</v>
          </cell>
          <cell r="G68">
            <v>82</v>
          </cell>
          <cell r="H68">
            <v>1219</v>
          </cell>
          <cell r="I68" t="str">
            <v>A</v>
          </cell>
          <cell r="K68">
            <v>127</v>
          </cell>
          <cell r="L68">
            <v>140</v>
          </cell>
          <cell r="M68">
            <v>50136258</v>
          </cell>
          <cell r="N68">
            <v>38909</v>
          </cell>
          <cell r="O68" t="str">
            <v>F25B16SUD024</v>
          </cell>
          <cell r="P68" t="str">
            <v>FN6711N1D193703</v>
          </cell>
          <cell r="Q68" t="str">
            <v>แผ่นรองและสายรัดเป็นสนิม</v>
          </cell>
        </row>
        <row r="69">
          <cell r="A69">
            <v>50117535</v>
          </cell>
          <cell r="B69">
            <v>68</v>
          </cell>
          <cell r="C69" t="str">
            <v>LW02/2</v>
          </cell>
          <cell r="D69" t="str">
            <v>SPCC-SD</v>
          </cell>
          <cell r="E69" t="str">
            <v>AF1</v>
          </cell>
          <cell r="F69">
            <v>1.4</v>
          </cell>
          <cell r="G69">
            <v>137</v>
          </cell>
          <cell r="H69">
            <v>1219</v>
          </cell>
          <cell r="I69" t="str">
            <v>A</v>
          </cell>
          <cell r="K69">
            <v>50</v>
          </cell>
          <cell r="L69">
            <v>92</v>
          </cell>
          <cell r="M69">
            <v>50117535</v>
          </cell>
          <cell r="N69">
            <v>38762</v>
          </cell>
          <cell r="O69" t="str">
            <v>F25617SUD001</v>
          </cell>
          <cell r="P69" t="str">
            <v>FN6214D1D735501</v>
          </cell>
          <cell r="Q69" t="str">
            <v>แผ่นรองและสายรัดเป็นสนิม</v>
          </cell>
        </row>
        <row r="70">
          <cell r="A70">
            <v>50117536</v>
          </cell>
          <cell r="B70">
            <v>69</v>
          </cell>
          <cell r="C70" t="str">
            <v>LW02/2</v>
          </cell>
          <cell r="D70" t="str">
            <v>SPCC-SD</v>
          </cell>
          <cell r="E70" t="str">
            <v>AF1</v>
          </cell>
          <cell r="F70">
            <v>1.4</v>
          </cell>
          <cell r="G70">
            <v>137</v>
          </cell>
          <cell r="H70">
            <v>1219</v>
          </cell>
          <cell r="I70" t="str">
            <v>A</v>
          </cell>
          <cell r="K70">
            <v>50</v>
          </cell>
          <cell r="L70">
            <v>92</v>
          </cell>
          <cell r="M70">
            <v>50117536</v>
          </cell>
          <cell r="N70">
            <v>38762</v>
          </cell>
          <cell r="O70" t="str">
            <v>F25617SUD001</v>
          </cell>
          <cell r="P70" t="str">
            <v>FN6214D1D735502</v>
          </cell>
          <cell r="Q70" t="str">
            <v>แผ่นรองและสายรัดเป็นสนิม</v>
          </cell>
        </row>
        <row r="71">
          <cell r="A71">
            <v>50117537</v>
          </cell>
          <cell r="B71">
            <v>70</v>
          </cell>
          <cell r="C71" t="str">
            <v>LW02/2</v>
          </cell>
          <cell r="D71" t="str">
            <v>SPCC-SD</v>
          </cell>
          <cell r="E71" t="str">
            <v>AF1</v>
          </cell>
          <cell r="F71">
            <v>1.4</v>
          </cell>
          <cell r="G71">
            <v>137</v>
          </cell>
          <cell r="H71">
            <v>1219</v>
          </cell>
          <cell r="I71" t="str">
            <v>A</v>
          </cell>
          <cell r="K71">
            <v>50</v>
          </cell>
          <cell r="L71">
            <v>92</v>
          </cell>
          <cell r="M71">
            <v>50117537</v>
          </cell>
          <cell r="N71">
            <v>38762</v>
          </cell>
          <cell r="O71" t="str">
            <v>F25617SUD001</v>
          </cell>
          <cell r="P71" t="str">
            <v>FN6214D1D735503</v>
          </cell>
          <cell r="Q71" t="str">
            <v>แผ่นรองและสายรัดเป็นสนิม</v>
          </cell>
        </row>
        <row r="72">
          <cell r="A72">
            <v>50136263</v>
          </cell>
          <cell r="B72">
            <v>71</v>
          </cell>
          <cell r="C72" t="str">
            <v>LW02/2</v>
          </cell>
          <cell r="D72" t="str">
            <v>SPCC-SD</v>
          </cell>
          <cell r="E72" t="str">
            <v>AF1</v>
          </cell>
          <cell r="F72">
            <v>1.4</v>
          </cell>
          <cell r="G72">
            <v>175</v>
          </cell>
          <cell r="H72">
            <v>1219</v>
          </cell>
          <cell r="I72" t="str">
            <v>A</v>
          </cell>
          <cell r="K72">
            <v>172</v>
          </cell>
          <cell r="L72">
            <v>402</v>
          </cell>
          <cell r="M72">
            <v>50136263</v>
          </cell>
          <cell r="N72">
            <v>38909</v>
          </cell>
          <cell r="O72" t="str">
            <v>F25B16SUD024</v>
          </cell>
          <cell r="P72" t="str">
            <v>FN6711N3D193701</v>
          </cell>
          <cell r="Q72" t="str">
            <v>แผ่นรองและสายรัดเป็นสนิม</v>
          </cell>
        </row>
        <row r="73">
          <cell r="A73">
            <v>50102111</v>
          </cell>
          <cell r="B73">
            <v>72</v>
          </cell>
          <cell r="C73" t="str">
            <v>LW02/2</v>
          </cell>
          <cell r="D73" t="str">
            <v>SPCC-SD</v>
          </cell>
          <cell r="E73" t="str">
            <v>AF1</v>
          </cell>
          <cell r="F73">
            <v>1.4</v>
          </cell>
          <cell r="G73">
            <v>417</v>
          </cell>
          <cell r="H73">
            <v>998</v>
          </cell>
          <cell r="I73" t="str">
            <v>A</v>
          </cell>
          <cell r="K73">
            <v>15</v>
          </cell>
          <cell r="L73">
            <v>69</v>
          </cell>
          <cell r="M73">
            <v>50102111</v>
          </cell>
          <cell r="N73">
            <v>38640</v>
          </cell>
          <cell r="O73" t="str">
            <v>F25617SUD002</v>
          </cell>
          <cell r="P73" t="str">
            <v>FN5A15D3D363501</v>
          </cell>
          <cell r="Q73" t="str">
            <v>แผ่นรองและสายรัดเป็นสนิม</v>
          </cell>
        </row>
        <row r="74">
          <cell r="A74">
            <v>50141014</v>
          </cell>
          <cell r="B74">
            <v>73</v>
          </cell>
          <cell r="C74" t="str">
            <v>LW02/2</v>
          </cell>
          <cell r="D74" t="str">
            <v>SPCC-SD</v>
          </cell>
          <cell r="E74" t="str">
            <v>AF1</v>
          </cell>
          <cell r="F74">
            <v>1.4</v>
          </cell>
          <cell r="G74">
            <v>942</v>
          </cell>
          <cell r="H74">
            <v>1219</v>
          </cell>
          <cell r="I74" t="str">
            <v>A</v>
          </cell>
          <cell r="K74">
            <v>100</v>
          </cell>
          <cell r="L74">
            <v>1265</v>
          </cell>
          <cell r="M74">
            <v>50141014</v>
          </cell>
          <cell r="N74">
            <v>38954</v>
          </cell>
          <cell r="O74" t="str">
            <v>F26816SUD004</v>
          </cell>
          <cell r="P74" t="str">
            <v>FN6825N1L325701</v>
          </cell>
          <cell r="Q74" t="str">
            <v>สภาพปกติ</v>
          </cell>
        </row>
        <row r="75">
          <cell r="A75">
            <v>50141015</v>
          </cell>
          <cell r="B75">
            <v>74</v>
          </cell>
          <cell r="C75" t="str">
            <v>LW02/2</v>
          </cell>
          <cell r="D75" t="str">
            <v>SPCC-SD</v>
          </cell>
          <cell r="E75" t="str">
            <v>AF1</v>
          </cell>
          <cell r="F75">
            <v>1.4</v>
          </cell>
          <cell r="G75">
            <v>942</v>
          </cell>
          <cell r="H75">
            <v>1219</v>
          </cell>
          <cell r="I75" t="str">
            <v>A</v>
          </cell>
          <cell r="K75">
            <v>100</v>
          </cell>
          <cell r="L75">
            <v>1265</v>
          </cell>
          <cell r="M75">
            <v>50141015</v>
          </cell>
          <cell r="N75">
            <v>38954</v>
          </cell>
          <cell r="O75" t="str">
            <v>F26816SUD004</v>
          </cell>
          <cell r="P75" t="str">
            <v>FN6825N1L325702</v>
          </cell>
          <cell r="Q75" t="str">
            <v>สภาพปกติ</v>
          </cell>
        </row>
        <row r="76">
          <cell r="A76">
            <v>50141016</v>
          </cell>
          <cell r="B76">
            <v>75</v>
          </cell>
          <cell r="C76" t="str">
            <v>LW02/2</v>
          </cell>
          <cell r="D76" t="str">
            <v>SPCC-SD</v>
          </cell>
          <cell r="E76" t="str">
            <v>AF1</v>
          </cell>
          <cell r="F76">
            <v>1.4</v>
          </cell>
          <cell r="G76">
            <v>942</v>
          </cell>
          <cell r="H76">
            <v>1219</v>
          </cell>
          <cell r="I76" t="str">
            <v>A</v>
          </cell>
          <cell r="K76">
            <v>100</v>
          </cell>
          <cell r="L76">
            <v>1265</v>
          </cell>
          <cell r="M76">
            <v>50141016</v>
          </cell>
          <cell r="N76">
            <v>38954</v>
          </cell>
          <cell r="O76" t="str">
            <v>F26816SUD004</v>
          </cell>
          <cell r="P76" t="str">
            <v>FN6825N1L325703</v>
          </cell>
          <cell r="Q76" t="str">
            <v>สภาพปกติ</v>
          </cell>
        </row>
        <row r="77">
          <cell r="A77">
            <v>50141017</v>
          </cell>
          <cell r="B77">
            <v>76</v>
          </cell>
          <cell r="C77" t="str">
            <v>LW02/2</v>
          </cell>
          <cell r="D77" t="str">
            <v>SPCC-SD</v>
          </cell>
          <cell r="E77" t="str">
            <v>AF1</v>
          </cell>
          <cell r="F77">
            <v>1.4</v>
          </cell>
          <cell r="G77">
            <v>942</v>
          </cell>
          <cell r="H77">
            <v>1219</v>
          </cell>
          <cell r="I77" t="str">
            <v>A</v>
          </cell>
          <cell r="K77">
            <v>100</v>
          </cell>
          <cell r="L77">
            <v>1265</v>
          </cell>
          <cell r="M77">
            <v>50141017</v>
          </cell>
          <cell r="N77">
            <v>38954</v>
          </cell>
          <cell r="O77" t="str">
            <v>F26816SUD004</v>
          </cell>
          <cell r="P77" t="str">
            <v>FN6825N1L325704</v>
          </cell>
          <cell r="Q77" t="str">
            <v>สภาพปกติ</v>
          </cell>
        </row>
        <row r="78">
          <cell r="A78">
            <v>50126932</v>
          </cell>
          <cell r="B78">
            <v>77</v>
          </cell>
          <cell r="C78" t="str">
            <v>LW02/2</v>
          </cell>
          <cell r="D78" t="str">
            <v>SPCC-SD</v>
          </cell>
          <cell r="E78" t="str">
            <v>AF1</v>
          </cell>
          <cell r="F78">
            <v>1.6</v>
          </cell>
          <cell r="G78">
            <v>70</v>
          </cell>
          <cell r="H78">
            <v>1219</v>
          </cell>
          <cell r="I78" t="str">
            <v>A</v>
          </cell>
          <cell r="K78">
            <v>38</v>
          </cell>
          <cell r="L78">
            <v>41</v>
          </cell>
          <cell r="M78">
            <v>50126932</v>
          </cell>
          <cell r="N78">
            <v>38829</v>
          </cell>
          <cell r="O78" t="str">
            <v>F2622TCD001</v>
          </cell>
          <cell r="P78" t="str">
            <v>FN6422D3D943601</v>
          </cell>
          <cell r="Q78" t="str">
            <v>แผ่นรองและสายรัดเป็นสนิม</v>
          </cell>
        </row>
        <row r="79">
          <cell r="A79">
            <v>50126933</v>
          </cell>
          <cell r="B79">
            <v>78</v>
          </cell>
          <cell r="C79" t="str">
            <v>LW02/2</v>
          </cell>
          <cell r="D79" t="str">
            <v>SPCC-SD</v>
          </cell>
          <cell r="E79" t="str">
            <v>AF1</v>
          </cell>
          <cell r="F79">
            <v>1.6</v>
          </cell>
          <cell r="G79">
            <v>70</v>
          </cell>
          <cell r="H79">
            <v>1219</v>
          </cell>
          <cell r="I79" t="str">
            <v>A</v>
          </cell>
          <cell r="K79">
            <v>38</v>
          </cell>
          <cell r="L79">
            <v>41</v>
          </cell>
          <cell r="M79">
            <v>50126933</v>
          </cell>
          <cell r="N79">
            <v>38829</v>
          </cell>
          <cell r="O79" t="str">
            <v>F2622TCD002</v>
          </cell>
          <cell r="P79" t="str">
            <v>FN6422D3D943602</v>
          </cell>
          <cell r="Q79" t="str">
            <v>แผ่นรองและสายรัดเป็นสนิม</v>
          </cell>
        </row>
        <row r="80">
          <cell r="A80">
            <v>50126934</v>
          </cell>
          <cell r="B80">
            <v>79</v>
          </cell>
          <cell r="C80" t="str">
            <v>LW02/2</v>
          </cell>
          <cell r="D80" t="str">
            <v>SPCC-SD</v>
          </cell>
          <cell r="E80" t="str">
            <v>AF1</v>
          </cell>
          <cell r="F80">
            <v>1.6</v>
          </cell>
          <cell r="G80">
            <v>70</v>
          </cell>
          <cell r="H80">
            <v>1219</v>
          </cell>
          <cell r="I80" t="str">
            <v>A</v>
          </cell>
          <cell r="K80">
            <v>38</v>
          </cell>
          <cell r="L80">
            <v>41</v>
          </cell>
          <cell r="M80">
            <v>50126934</v>
          </cell>
          <cell r="N80">
            <v>38829</v>
          </cell>
          <cell r="O80" t="str">
            <v>F36323PCI007</v>
          </cell>
          <cell r="P80" t="str">
            <v>FN6422D3D943603</v>
          </cell>
          <cell r="Q80" t="str">
            <v>แผ่นรองและสายรัดเป็นสนิม</v>
          </cell>
        </row>
        <row r="81">
          <cell r="A81">
            <v>50104916</v>
          </cell>
          <cell r="B81">
            <v>80</v>
          </cell>
          <cell r="C81" t="str">
            <v>LW02/2</v>
          </cell>
          <cell r="D81" t="str">
            <v>SPCC-SD</v>
          </cell>
          <cell r="E81" t="str">
            <v>AF1</v>
          </cell>
          <cell r="F81">
            <v>1.6</v>
          </cell>
          <cell r="G81">
            <v>73</v>
          </cell>
          <cell r="H81">
            <v>1219</v>
          </cell>
          <cell r="I81" t="str">
            <v>A</v>
          </cell>
          <cell r="K81">
            <v>100</v>
          </cell>
          <cell r="L81">
            <v>112</v>
          </cell>
          <cell r="M81">
            <v>50104916</v>
          </cell>
          <cell r="N81">
            <v>38659</v>
          </cell>
          <cell r="O81" t="str">
            <v>F25809TCD010</v>
          </cell>
          <cell r="P81" t="str">
            <v>FN5B03D2D446301</v>
          </cell>
          <cell r="Q81" t="str">
            <v>แผ่นรองและสายรัดเป็นสนิม</v>
          </cell>
        </row>
        <row r="82">
          <cell r="A82">
            <v>50132148</v>
          </cell>
          <cell r="B82">
            <v>81</v>
          </cell>
          <cell r="C82" t="str">
            <v>LW02/2</v>
          </cell>
          <cell r="D82" t="str">
            <v>SPCC-SD</v>
          </cell>
          <cell r="E82" t="str">
            <v>AF1</v>
          </cell>
          <cell r="F82">
            <v>1.6</v>
          </cell>
          <cell r="G82">
            <v>80</v>
          </cell>
          <cell r="H82">
            <v>1219</v>
          </cell>
          <cell r="I82" t="str">
            <v>A</v>
          </cell>
          <cell r="K82">
            <v>34</v>
          </cell>
          <cell r="L82">
            <v>41</v>
          </cell>
          <cell r="M82">
            <v>50132148</v>
          </cell>
          <cell r="N82">
            <v>38874</v>
          </cell>
          <cell r="O82" t="str">
            <v>F26321TCD004</v>
          </cell>
          <cell r="P82" t="str">
            <v>FN6606D1D075501</v>
          </cell>
          <cell r="Q82" t="str">
            <v>แผ่นรองและสายรัดเป็นสนิม</v>
          </cell>
        </row>
        <row r="83">
          <cell r="A83">
            <v>50132149</v>
          </cell>
          <cell r="B83">
            <v>82</v>
          </cell>
          <cell r="C83" t="str">
            <v>LW02/2</v>
          </cell>
          <cell r="D83" t="str">
            <v>SPCC-SD</v>
          </cell>
          <cell r="E83" t="str">
            <v>AF1</v>
          </cell>
          <cell r="F83">
            <v>1.6</v>
          </cell>
          <cell r="G83">
            <v>80</v>
          </cell>
          <cell r="H83">
            <v>1219</v>
          </cell>
          <cell r="I83" t="str">
            <v>A</v>
          </cell>
          <cell r="K83">
            <v>168</v>
          </cell>
          <cell r="L83">
            <v>205</v>
          </cell>
          <cell r="M83">
            <v>50132149</v>
          </cell>
          <cell r="N83">
            <v>38874</v>
          </cell>
          <cell r="O83" t="str">
            <v>F26321TCD005</v>
          </cell>
          <cell r="P83" t="str">
            <v>FN6606D1D075502</v>
          </cell>
          <cell r="Q83" t="str">
            <v>แผ่นรองและสายรัดเป็นสนิม</v>
          </cell>
        </row>
        <row r="84">
          <cell r="A84">
            <v>50136409</v>
          </cell>
          <cell r="B84">
            <v>83</v>
          </cell>
          <cell r="C84" t="str">
            <v>LW02/2</v>
          </cell>
          <cell r="D84" t="str">
            <v>SPCC-SD</v>
          </cell>
          <cell r="E84" t="str">
            <v>AF1</v>
          </cell>
          <cell r="F84">
            <v>1.6</v>
          </cell>
          <cell r="G84">
            <v>90</v>
          </cell>
          <cell r="H84">
            <v>1219</v>
          </cell>
          <cell r="I84" t="str">
            <v>A</v>
          </cell>
          <cell r="K84">
            <v>129</v>
          </cell>
          <cell r="L84">
            <v>178</v>
          </cell>
          <cell r="M84">
            <v>50136409</v>
          </cell>
          <cell r="N84">
            <v>38910</v>
          </cell>
          <cell r="O84" t="str">
            <v>F26606SUD006</v>
          </cell>
          <cell r="P84" t="str">
            <v>FN6712N1L194201</v>
          </cell>
          <cell r="Q84" t="str">
            <v>แผ่นรองและสายรัดเป็นสนิม</v>
          </cell>
        </row>
        <row r="85">
          <cell r="A85">
            <v>50136410</v>
          </cell>
          <cell r="B85">
            <v>84</v>
          </cell>
          <cell r="C85" t="str">
            <v>LW02/2</v>
          </cell>
          <cell r="D85" t="str">
            <v>SPCC-SD</v>
          </cell>
          <cell r="E85" t="str">
            <v>AF1</v>
          </cell>
          <cell r="F85">
            <v>1.6</v>
          </cell>
          <cell r="G85">
            <v>90</v>
          </cell>
          <cell r="H85">
            <v>1219</v>
          </cell>
          <cell r="I85" t="str">
            <v>A</v>
          </cell>
          <cell r="K85">
            <v>129</v>
          </cell>
          <cell r="L85">
            <v>178</v>
          </cell>
          <cell r="M85">
            <v>50136410</v>
          </cell>
          <cell r="N85">
            <v>38910</v>
          </cell>
          <cell r="O85" t="str">
            <v>F26606SUD007</v>
          </cell>
          <cell r="P85" t="str">
            <v>FN6712N1L194202</v>
          </cell>
          <cell r="Q85" t="str">
            <v>แผ่นรองและสายรัดเป็นสนิม</v>
          </cell>
        </row>
        <row r="86">
          <cell r="A86">
            <v>50134163</v>
          </cell>
          <cell r="B86">
            <v>85</v>
          </cell>
          <cell r="C86" t="str">
            <v>LW02/2</v>
          </cell>
          <cell r="D86" t="str">
            <v>SPCC-SD</v>
          </cell>
          <cell r="E86" t="str">
            <v>AF1</v>
          </cell>
          <cell r="F86">
            <v>1.6</v>
          </cell>
          <cell r="G86">
            <v>166</v>
          </cell>
          <cell r="H86">
            <v>1219</v>
          </cell>
          <cell r="I86" t="str">
            <v>A</v>
          </cell>
          <cell r="K86">
            <v>300</v>
          </cell>
          <cell r="L86">
            <v>765</v>
          </cell>
          <cell r="M86">
            <v>50134163</v>
          </cell>
          <cell r="N86">
            <v>38891</v>
          </cell>
          <cell r="O86" t="str">
            <v>F26328SUD005</v>
          </cell>
          <cell r="P86" t="str">
            <v>FN6623N1D133601</v>
          </cell>
          <cell r="Q86" t="str">
            <v>แผ่นรองและสายรัดเป็นสนิม</v>
          </cell>
        </row>
        <row r="87">
          <cell r="A87">
            <v>50136411</v>
          </cell>
          <cell r="B87">
            <v>86</v>
          </cell>
          <cell r="C87" t="str">
            <v>LW02/2</v>
          </cell>
          <cell r="D87" t="str">
            <v>SPCC-SD</v>
          </cell>
          <cell r="E87" t="str">
            <v>AF1</v>
          </cell>
          <cell r="F87">
            <v>1.6</v>
          </cell>
          <cell r="G87">
            <v>178</v>
          </cell>
          <cell r="H87">
            <v>1219</v>
          </cell>
          <cell r="I87" t="str">
            <v>A</v>
          </cell>
          <cell r="K87">
            <v>172</v>
          </cell>
          <cell r="L87">
            <v>470</v>
          </cell>
          <cell r="M87">
            <v>50136411</v>
          </cell>
          <cell r="N87">
            <v>38910</v>
          </cell>
          <cell r="O87" t="str">
            <v>F26606SUD006</v>
          </cell>
          <cell r="P87" t="str">
            <v>FN6712N1L194201</v>
          </cell>
          <cell r="Q87" t="str">
            <v>แผ่นรองและสายรัดเป็นสนิม</v>
          </cell>
        </row>
        <row r="88">
          <cell r="A88">
            <v>50136412</v>
          </cell>
          <cell r="B88">
            <v>87</v>
          </cell>
          <cell r="C88" t="str">
            <v>LW02/2</v>
          </cell>
          <cell r="D88" t="str">
            <v>SPCC-SD</v>
          </cell>
          <cell r="E88" t="str">
            <v>AF1</v>
          </cell>
          <cell r="F88">
            <v>1.6</v>
          </cell>
          <cell r="G88">
            <v>178</v>
          </cell>
          <cell r="H88">
            <v>1219</v>
          </cell>
          <cell r="I88" t="str">
            <v>A</v>
          </cell>
          <cell r="K88">
            <v>172</v>
          </cell>
          <cell r="L88">
            <v>470</v>
          </cell>
          <cell r="M88">
            <v>50136412</v>
          </cell>
          <cell r="N88">
            <v>38910</v>
          </cell>
          <cell r="O88" t="str">
            <v>F26606SUD006</v>
          </cell>
          <cell r="P88" t="str">
            <v>FN6712N1L194202</v>
          </cell>
          <cell r="Q88" t="str">
            <v>แผ่นรองและสายรัดเป็นสนิม</v>
          </cell>
        </row>
        <row r="89">
          <cell r="A89">
            <v>50122167</v>
          </cell>
          <cell r="B89">
            <v>88</v>
          </cell>
          <cell r="C89" t="str">
            <v>LW02/2</v>
          </cell>
          <cell r="D89" t="str">
            <v>SPCC-SD</v>
          </cell>
          <cell r="E89" t="str">
            <v>AF1</v>
          </cell>
          <cell r="F89">
            <v>1.6</v>
          </cell>
          <cell r="G89">
            <v>257</v>
          </cell>
          <cell r="H89">
            <v>1219</v>
          </cell>
          <cell r="I89" t="str">
            <v>A</v>
          </cell>
          <cell r="K89">
            <v>172</v>
          </cell>
          <cell r="L89">
            <v>676</v>
          </cell>
          <cell r="M89">
            <v>50122167</v>
          </cell>
          <cell r="N89">
            <v>38790</v>
          </cell>
          <cell r="O89" t="str">
            <v>ขาย</v>
          </cell>
          <cell r="P89" t="str">
            <v>FN6314D1D834601</v>
          </cell>
          <cell r="Q89" t="str">
            <v>แผ่นรองและสายรัดเป็นสนิม</v>
          </cell>
        </row>
        <row r="90">
          <cell r="A90">
            <v>50120547</v>
          </cell>
          <cell r="B90">
            <v>89</v>
          </cell>
          <cell r="C90" t="str">
            <v>LW02/2</v>
          </cell>
          <cell r="D90" t="str">
            <v>SPCC-SD</v>
          </cell>
          <cell r="E90" t="str">
            <v>AF1</v>
          </cell>
          <cell r="F90">
            <v>1.6</v>
          </cell>
          <cell r="G90">
            <v>368</v>
          </cell>
          <cell r="H90">
            <v>1219</v>
          </cell>
          <cell r="I90" t="str">
            <v>A</v>
          </cell>
          <cell r="K90">
            <v>30</v>
          </cell>
          <cell r="L90">
            <v>169</v>
          </cell>
          <cell r="M90">
            <v>50120547</v>
          </cell>
          <cell r="N90">
            <v>38780</v>
          </cell>
          <cell r="O90" t="str">
            <v>F25B09SUD010</v>
          </cell>
          <cell r="P90" t="str">
            <v>FN6304D1D806201</v>
          </cell>
          <cell r="Q90" t="str">
            <v>แผ่นรองและสายรัดเป็นสนิม</v>
          </cell>
        </row>
        <row r="91">
          <cell r="A91">
            <v>50122455</v>
          </cell>
          <cell r="B91">
            <v>90</v>
          </cell>
          <cell r="C91" t="str">
            <v>LW02/2</v>
          </cell>
          <cell r="D91" t="str">
            <v>SPCC-SD</v>
          </cell>
          <cell r="E91" t="str">
            <v>AF1</v>
          </cell>
          <cell r="F91">
            <v>1.6</v>
          </cell>
          <cell r="G91">
            <v>368</v>
          </cell>
          <cell r="H91">
            <v>1219</v>
          </cell>
          <cell r="I91" t="str">
            <v>A</v>
          </cell>
          <cell r="K91">
            <v>30</v>
          </cell>
          <cell r="L91">
            <v>169</v>
          </cell>
          <cell r="M91">
            <v>50122455</v>
          </cell>
          <cell r="N91">
            <v>38794</v>
          </cell>
          <cell r="O91" t="str">
            <v>F26307TCD001</v>
          </cell>
          <cell r="P91" t="str">
            <v>FN6318D3D834601</v>
          </cell>
          <cell r="Q91" t="str">
            <v>แผ่นรองและสายรัดเป็นสนิม</v>
          </cell>
        </row>
        <row r="92">
          <cell r="A92">
            <v>50122456</v>
          </cell>
          <cell r="B92">
            <v>91</v>
          </cell>
          <cell r="C92" t="str">
            <v>LW02/2</v>
          </cell>
          <cell r="D92" t="str">
            <v>SPCC-SD</v>
          </cell>
          <cell r="E92" t="str">
            <v>AF1</v>
          </cell>
          <cell r="F92">
            <v>1.6</v>
          </cell>
          <cell r="G92">
            <v>368</v>
          </cell>
          <cell r="H92">
            <v>1219</v>
          </cell>
          <cell r="I92" t="str">
            <v>A</v>
          </cell>
          <cell r="K92">
            <v>30</v>
          </cell>
          <cell r="L92">
            <v>169</v>
          </cell>
          <cell r="M92">
            <v>50122456</v>
          </cell>
          <cell r="N92">
            <v>38794</v>
          </cell>
          <cell r="O92" t="str">
            <v>F26307TCD001</v>
          </cell>
          <cell r="P92" t="str">
            <v>FN6318D3D834602</v>
          </cell>
          <cell r="Q92" t="str">
            <v>แผ่นรองและสายรัดเป็นสนิม</v>
          </cell>
        </row>
        <row r="93">
          <cell r="A93">
            <v>50122457</v>
          </cell>
          <cell r="B93">
            <v>92</v>
          </cell>
          <cell r="C93" t="str">
            <v>LW02/2</v>
          </cell>
          <cell r="D93" t="str">
            <v>SPCC-SD</v>
          </cell>
          <cell r="E93" t="str">
            <v>AF1</v>
          </cell>
          <cell r="F93">
            <v>1.6</v>
          </cell>
          <cell r="G93">
            <v>368</v>
          </cell>
          <cell r="H93">
            <v>1219</v>
          </cell>
          <cell r="I93" t="str">
            <v>A</v>
          </cell>
          <cell r="K93">
            <v>30</v>
          </cell>
          <cell r="L93">
            <v>169</v>
          </cell>
          <cell r="M93">
            <v>50122457</v>
          </cell>
          <cell r="N93">
            <v>38794</v>
          </cell>
          <cell r="O93" t="str">
            <v>F26307TCD001</v>
          </cell>
          <cell r="P93" t="str">
            <v>FN6318D3D834603</v>
          </cell>
          <cell r="Q93" t="str">
            <v>แผ่นรองและสายรัดเป็นสนิม</v>
          </cell>
        </row>
        <row r="94">
          <cell r="A94">
            <v>50122458</v>
          </cell>
          <cell r="B94">
            <v>93</v>
          </cell>
          <cell r="C94" t="str">
            <v>LW02/2</v>
          </cell>
          <cell r="D94" t="str">
            <v>SPCC-SD</v>
          </cell>
          <cell r="E94" t="str">
            <v>AF1</v>
          </cell>
          <cell r="F94">
            <v>1.6</v>
          </cell>
          <cell r="G94">
            <v>368</v>
          </cell>
          <cell r="H94">
            <v>1219</v>
          </cell>
          <cell r="I94" t="str">
            <v>A</v>
          </cell>
          <cell r="K94">
            <v>30</v>
          </cell>
          <cell r="L94">
            <v>169</v>
          </cell>
          <cell r="M94">
            <v>50122458</v>
          </cell>
          <cell r="N94">
            <v>38794</v>
          </cell>
          <cell r="O94" t="str">
            <v>F26307TCD001</v>
          </cell>
          <cell r="P94" t="str">
            <v>FN6318D3D834604</v>
          </cell>
          <cell r="Q94" t="str">
            <v>แผ่นรองและสายรัดเป็นสนิม</v>
          </cell>
        </row>
        <row r="95">
          <cell r="A95">
            <v>50141023</v>
          </cell>
          <cell r="B95">
            <v>94</v>
          </cell>
          <cell r="C95" t="str">
            <v>LW02/2</v>
          </cell>
          <cell r="D95" t="str">
            <v>SPCC-SD</v>
          </cell>
          <cell r="E95" t="str">
            <v>AF1</v>
          </cell>
          <cell r="F95">
            <v>1.6</v>
          </cell>
          <cell r="G95">
            <v>585</v>
          </cell>
          <cell r="H95">
            <v>585</v>
          </cell>
          <cell r="I95" t="str">
            <v>A</v>
          </cell>
          <cell r="K95">
            <v>150</v>
          </cell>
          <cell r="L95">
            <v>645</v>
          </cell>
          <cell r="M95">
            <v>50141023</v>
          </cell>
          <cell r="N95">
            <v>38954</v>
          </cell>
          <cell r="O95" t="str">
            <v>F26726TCD013</v>
          </cell>
          <cell r="P95" t="str">
            <v>FN6825N3D312601</v>
          </cell>
          <cell r="Q95" t="str">
            <v>สภาพปกติ</v>
          </cell>
        </row>
        <row r="96">
          <cell r="A96">
            <v>50141024</v>
          </cell>
          <cell r="B96">
            <v>95</v>
          </cell>
          <cell r="C96" t="str">
            <v>LW02/2</v>
          </cell>
          <cell r="D96" t="str">
            <v>SPCC-SD</v>
          </cell>
          <cell r="E96" t="str">
            <v>AF1</v>
          </cell>
          <cell r="F96">
            <v>1.6</v>
          </cell>
          <cell r="G96">
            <v>585</v>
          </cell>
          <cell r="H96">
            <v>585</v>
          </cell>
          <cell r="I96" t="str">
            <v>A</v>
          </cell>
          <cell r="K96">
            <v>150</v>
          </cell>
          <cell r="L96">
            <v>645</v>
          </cell>
          <cell r="M96">
            <v>50141024</v>
          </cell>
          <cell r="N96">
            <v>38954</v>
          </cell>
          <cell r="O96" t="str">
            <v>F26726TCD013</v>
          </cell>
          <cell r="P96" t="str">
            <v>FN6825N3D312602</v>
          </cell>
          <cell r="Q96" t="str">
            <v>สภาพปกติ</v>
          </cell>
        </row>
        <row r="97">
          <cell r="A97">
            <v>50141025</v>
          </cell>
          <cell r="B97">
            <v>96</v>
          </cell>
          <cell r="C97" t="str">
            <v>LW02/2</v>
          </cell>
          <cell r="D97" t="str">
            <v>SPCC-SD</v>
          </cell>
          <cell r="E97" t="str">
            <v>AF1</v>
          </cell>
          <cell r="F97">
            <v>1.6</v>
          </cell>
          <cell r="G97">
            <v>585</v>
          </cell>
          <cell r="H97">
            <v>585</v>
          </cell>
          <cell r="I97" t="str">
            <v>A</v>
          </cell>
          <cell r="K97">
            <v>150</v>
          </cell>
          <cell r="L97">
            <v>645</v>
          </cell>
          <cell r="M97">
            <v>50141025</v>
          </cell>
          <cell r="N97">
            <v>38954</v>
          </cell>
          <cell r="O97" t="str">
            <v>F26726TCD013</v>
          </cell>
          <cell r="P97" t="str">
            <v>FN6825N3D312603</v>
          </cell>
          <cell r="Q97" t="str">
            <v>สภาพปกติ</v>
          </cell>
        </row>
        <row r="98">
          <cell r="A98">
            <v>50141026</v>
          </cell>
          <cell r="B98">
            <v>97</v>
          </cell>
          <cell r="C98" t="str">
            <v>LW02/2</v>
          </cell>
          <cell r="D98" t="str">
            <v>SPCC-SD</v>
          </cell>
          <cell r="E98" t="str">
            <v>AF1</v>
          </cell>
          <cell r="F98">
            <v>1.6</v>
          </cell>
          <cell r="G98">
            <v>585</v>
          </cell>
          <cell r="H98">
            <v>585</v>
          </cell>
          <cell r="I98" t="str">
            <v>A</v>
          </cell>
          <cell r="K98">
            <v>200</v>
          </cell>
          <cell r="L98">
            <v>862</v>
          </cell>
          <cell r="M98">
            <v>50141026</v>
          </cell>
          <cell r="N98">
            <v>38954</v>
          </cell>
          <cell r="O98" t="str">
            <v>F26726TCD009</v>
          </cell>
          <cell r="P98" t="str">
            <v>FN6825N3D312604</v>
          </cell>
          <cell r="Q98" t="str">
            <v>สภาพปกติ</v>
          </cell>
        </row>
        <row r="99">
          <cell r="A99">
            <v>50108737</v>
          </cell>
          <cell r="B99">
            <v>98</v>
          </cell>
          <cell r="C99" t="str">
            <v>LW02/2</v>
          </cell>
          <cell r="D99" t="str">
            <v>SPCC-SD</v>
          </cell>
          <cell r="E99" t="str">
            <v>AF1</v>
          </cell>
          <cell r="F99">
            <v>1.6</v>
          </cell>
          <cell r="G99">
            <v>640</v>
          </cell>
          <cell r="H99">
            <v>980</v>
          </cell>
          <cell r="I99" t="str">
            <v>A</v>
          </cell>
          <cell r="K99">
            <v>125</v>
          </cell>
          <cell r="L99">
            <v>985</v>
          </cell>
          <cell r="M99">
            <v>50108737</v>
          </cell>
          <cell r="N99">
            <v>38699</v>
          </cell>
          <cell r="O99" t="str">
            <v>F25721TCD004</v>
          </cell>
          <cell r="P99" t="str">
            <v>FN5C13N1L522703</v>
          </cell>
          <cell r="Q99" t="str">
            <v>แผ่นรองและสายรัดเป็นสนิม</v>
          </cell>
        </row>
        <row r="100">
          <cell r="A100">
            <v>50108738</v>
          </cell>
          <cell r="B100">
            <v>99</v>
          </cell>
          <cell r="C100" t="str">
            <v>LW02/2</v>
          </cell>
          <cell r="D100" t="str">
            <v>SPCC-SD</v>
          </cell>
          <cell r="E100" t="str">
            <v>AF1</v>
          </cell>
          <cell r="F100">
            <v>1.6</v>
          </cell>
          <cell r="G100">
            <v>640</v>
          </cell>
          <cell r="H100">
            <v>980</v>
          </cell>
          <cell r="I100" t="str">
            <v>A</v>
          </cell>
          <cell r="K100">
            <v>125</v>
          </cell>
          <cell r="L100">
            <v>985</v>
          </cell>
          <cell r="M100">
            <v>50108738</v>
          </cell>
          <cell r="N100">
            <v>38699</v>
          </cell>
          <cell r="O100" t="str">
            <v>F25721TCD004</v>
          </cell>
          <cell r="P100" t="str">
            <v>FN5C13N1L522702</v>
          </cell>
          <cell r="Q100" t="str">
            <v>แผ่นรองและสายรัดเป็นสนิม</v>
          </cell>
        </row>
        <row r="101">
          <cell r="A101">
            <v>50108739</v>
          </cell>
          <cell r="B101">
            <v>100</v>
          </cell>
          <cell r="C101" t="str">
            <v>LW02/2</v>
          </cell>
          <cell r="D101" t="str">
            <v>SPCC-SD</v>
          </cell>
          <cell r="E101" t="str">
            <v>AF1</v>
          </cell>
          <cell r="F101">
            <v>1.6</v>
          </cell>
          <cell r="G101">
            <v>640</v>
          </cell>
          <cell r="H101">
            <v>980</v>
          </cell>
          <cell r="I101" t="str">
            <v>A</v>
          </cell>
          <cell r="K101">
            <v>125</v>
          </cell>
          <cell r="L101">
            <v>985</v>
          </cell>
          <cell r="M101">
            <v>50108739</v>
          </cell>
          <cell r="N101">
            <v>38699</v>
          </cell>
          <cell r="O101" t="str">
            <v>F25721TCD004</v>
          </cell>
          <cell r="P101" t="str">
            <v>FN5C13N1L522701</v>
          </cell>
          <cell r="Q101" t="str">
            <v>แผ่นรองและสายรัดเป็นสนิม</v>
          </cell>
        </row>
        <row r="102">
          <cell r="A102">
            <v>50129570</v>
          </cell>
          <cell r="B102">
            <v>101</v>
          </cell>
          <cell r="C102" t="str">
            <v>LW02/2</v>
          </cell>
          <cell r="D102" t="str">
            <v>SPCC-SD</v>
          </cell>
          <cell r="E102" t="str">
            <v>AF1</v>
          </cell>
          <cell r="F102">
            <v>1.6</v>
          </cell>
          <cell r="G102">
            <v>800</v>
          </cell>
          <cell r="H102">
            <v>1219</v>
          </cell>
          <cell r="I102" t="str">
            <v>A</v>
          </cell>
          <cell r="K102">
            <v>78</v>
          </cell>
          <cell r="L102">
            <v>959</v>
          </cell>
          <cell r="M102">
            <v>50129570</v>
          </cell>
          <cell r="N102">
            <v>38856</v>
          </cell>
          <cell r="O102" t="str">
            <v>F26321TCD005</v>
          </cell>
          <cell r="P102" t="str">
            <v>FN6519D2R983101</v>
          </cell>
          <cell r="Q102" t="str">
            <v>แผ่นรองและสายรัดเป็นสนิม</v>
          </cell>
        </row>
        <row r="103">
          <cell r="A103">
            <v>50129604</v>
          </cell>
          <cell r="B103">
            <v>102</v>
          </cell>
          <cell r="C103" t="str">
            <v>LW02/2</v>
          </cell>
          <cell r="D103" t="str">
            <v>SPCC-SD</v>
          </cell>
          <cell r="E103" t="str">
            <v>AF1</v>
          </cell>
          <cell r="F103">
            <v>1.6</v>
          </cell>
          <cell r="G103">
            <v>800</v>
          </cell>
          <cell r="H103">
            <v>1219</v>
          </cell>
          <cell r="I103" t="str">
            <v>A</v>
          </cell>
          <cell r="K103">
            <v>100</v>
          </cell>
          <cell r="L103">
            <v>1228</v>
          </cell>
          <cell r="M103">
            <v>50129604</v>
          </cell>
          <cell r="N103">
            <v>38856</v>
          </cell>
          <cell r="O103" t="str">
            <v>F26321TCD005</v>
          </cell>
          <cell r="P103" t="str">
            <v>FN6519D2R983102</v>
          </cell>
          <cell r="Q103" t="str">
            <v>แผ่นรองและสายรัดเป็นสนิม</v>
          </cell>
        </row>
        <row r="104">
          <cell r="A104">
            <v>50129605</v>
          </cell>
          <cell r="B104">
            <v>103</v>
          </cell>
          <cell r="C104" t="str">
            <v>LW02/2</v>
          </cell>
          <cell r="D104" t="str">
            <v>SPCC-SD</v>
          </cell>
          <cell r="E104" t="str">
            <v>AF1</v>
          </cell>
          <cell r="F104">
            <v>1.6</v>
          </cell>
          <cell r="G104">
            <v>800</v>
          </cell>
          <cell r="H104">
            <v>1219</v>
          </cell>
          <cell r="I104" t="str">
            <v>A</v>
          </cell>
          <cell r="K104">
            <v>98</v>
          </cell>
          <cell r="L104">
            <v>1202</v>
          </cell>
          <cell r="M104">
            <v>50129605</v>
          </cell>
          <cell r="N104">
            <v>38856</v>
          </cell>
          <cell r="O104" t="str">
            <v>F26323PCI008</v>
          </cell>
          <cell r="P104" t="str">
            <v>FN6519D2R983103</v>
          </cell>
          <cell r="Q104" t="str">
            <v>แผ่นรองและสายรัดเป็นสนิม</v>
          </cell>
        </row>
        <row r="105">
          <cell r="A105">
            <v>50129606</v>
          </cell>
          <cell r="B105">
            <v>104</v>
          </cell>
          <cell r="C105" t="str">
            <v>LW02/2</v>
          </cell>
          <cell r="D105" t="str">
            <v>SPCC-SD</v>
          </cell>
          <cell r="E105" t="str">
            <v>AF1</v>
          </cell>
          <cell r="F105">
            <v>1.6</v>
          </cell>
          <cell r="G105">
            <v>800</v>
          </cell>
          <cell r="H105">
            <v>1219</v>
          </cell>
          <cell r="I105" t="str">
            <v>A</v>
          </cell>
          <cell r="K105">
            <v>80</v>
          </cell>
          <cell r="L105">
            <v>980</v>
          </cell>
          <cell r="M105">
            <v>50129606</v>
          </cell>
          <cell r="N105">
            <v>38856</v>
          </cell>
          <cell r="O105" t="str">
            <v>F26321TCD005</v>
          </cell>
          <cell r="P105" t="str">
            <v>FN6519D2R983104</v>
          </cell>
          <cell r="Q105" t="str">
            <v>แผ่นรองและสายรัดเป็นสนิม</v>
          </cell>
        </row>
        <row r="106">
          <cell r="A106">
            <v>50116798</v>
          </cell>
          <cell r="B106">
            <v>105</v>
          </cell>
          <cell r="C106" t="str">
            <v>LW02/2</v>
          </cell>
          <cell r="D106" t="str">
            <v>SPCC-SD</v>
          </cell>
          <cell r="E106" t="str">
            <v>AF1</v>
          </cell>
          <cell r="F106">
            <v>2.2999999999999998</v>
          </cell>
          <cell r="G106">
            <v>58</v>
          </cell>
          <cell r="H106">
            <v>1219</v>
          </cell>
          <cell r="I106" t="str">
            <v>A</v>
          </cell>
          <cell r="K106">
            <v>33</v>
          </cell>
          <cell r="L106">
            <v>42</v>
          </cell>
          <cell r="M106">
            <v>50116798</v>
          </cell>
          <cell r="N106">
            <v>38756</v>
          </cell>
          <cell r="O106" t="str">
            <v>N26718TCD001</v>
          </cell>
          <cell r="P106" t="str">
            <v>FN6208D1D720001</v>
          </cell>
          <cell r="Q106" t="str">
            <v>แผ่นรองและสายรัดเป็นสนิม</v>
          </cell>
        </row>
        <row r="107">
          <cell r="A107">
            <v>50140861</v>
          </cell>
          <cell r="B107">
            <v>106</v>
          </cell>
          <cell r="C107" t="str">
            <v>LW02/2</v>
          </cell>
          <cell r="D107" t="str">
            <v>SPCC-SD</v>
          </cell>
          <cell r="E107" t="str">
            <v>AF1</v>
          </cell>
          <cell r="F107">
            <v>3</v>
          </cell>
          <cell r="G107">
            <v>64</v>
          </cell>
          <cell r="H107">
            <v>1219</v>
          </cell>
          <cell r="I107" t="str">
            <v>A</v>
          </cell>
          <cell r="K107">
            <v>100</v>
          </cell>
          <cell r="L107">
            <v>184</v>
          </cell>
          <cell r="M107">
            <v>50140861</v>
          </cell>
          <cell r="N107">
            <v>38953</v>
          </cell>
          <cell r="O107" t="str">
            <v>F26607TCD009</v>
          </cell>
          <cell r="P107" t="str">
            <v>FN6824N1D317901</v>
          </cell>
          <cell r="Q107" t="str">
            <v>แผ่นรองและสายรัดเป็นสนิม</v>
          </cell>
        </row>
        <row r="108">
          <cell r="A108">
            <v>50140858</v>
          </cell>
          <cell r="B108">
            <v>107</v>
          </cell>
          <cell r="C108" t="str">
            <v>LW02/2</v>
          </cell>
          <cell r="D108" t="str">
            <v>SPCEN-SD</v>
          </cell>
          <cell r="E108" t="str">
            <v>AF3</v>
          </cell>
          <cell r="F108">
            <v>0.8</v>
          </cell>
          <cell r="G108">
            <v>170</v>
          </cell>
          <cell r="H108">
            <v>170</v>
          </cell>
          <cell r="I108" t="str">
            <v>A</v>
          </cell>
          <cell r="K108">
            <v>1900</v>
          </cell>
          <cell r="L108">
            <v>342</v>
          </cell>
          <cell r="M108">
            <v>50140858</v>
          </cell>
          <cell r="N108">
            <v>38952</v>
          </cell>
          <cell r="O108" t="str">
            <v>F25809TCD013</v>
          </cell>
          <cell r="P108" t="str">
            <v>FN6823N1D311001</v>
          </cell>
          <cell r="Q108" t="str">
            <v>แผ่นรองและสายรัดเป็นสนิม</v>
          </cell>
        </row>
        <row r="109">
          <cell r="A109">
            <v>50062866</v>
          </cell>
          <cell r="B109">
            <v>108</v>
          </cell>
          <cell r="C109" t="str">
            <v>LW02/2</v>
          </cell>
          <cell r="D109" t="str">
            <v>SPCEN-SD</v>
          </cell>
          <cell r="E109" t="str">
            <v>AF3</v>
          </cell>
          <cell r="F109">
            <v>0.8</v>
          </cell>
          <cell r="G109">
            <v>360</v>
          </cell>
          <cell r="H109">
            <v>540</v>
          </cell>
          <cell r="I109" t="str">
            <v>A</v>
          </cell>
          <cell r="K109">
            <v>248</v>
          </cell>
          <cell r="L109">
            <v>292</v>
          </cell>
          <cell r="M109">
            <v>50062866</v>
          </cell>
          <cell r="N109">
            <v>38322</v>
          </cell>
          <cell r="O109" t="str">
            <v>F24930TCD002</v>
          </cell>
          <cell r="P109" t="str">
            <v>FN4C01D2RBBB01</v>
          </cell>
          <cell r="Q109" t="str">
            <v>แผ่นรองและสายรัดเป็นสนิม</v>
          </cell>
        </row>
        <row r="110">
          <cell r="A110">
            <v>50064975</v>
          </cell>
          <cell r="B110">
            <v>109</v>
          </cell>
          <cell r="C110" t="str">
            <v>LW02/2</v>
          </cell>
          <cell r="D110" t="str">
            <v>SPCEN-SD</v>
          </cell>
          <cell r="E110" t="str">
            <v>AF3</v>
          </cell>
          <cell r="F110">
            <v>1.2</v>
          </cell>
          <cell r="G110">
            <v>420</v>
          </cell>
          <cell r="H110">
            <v>420</v>
          </cell>
          <cell r="I110" t="str">
            <v>A</v>
          </cell>
          <cell r="K110">
            <v>275</v>
          </cell>
          <cell r="L110">
            <v>457</v>
          </cell>
          <cell r="M110">
            <v>50064975</v>
          </cell>
          <cell r="N110">
            <v>38339</v>
          </cell>
          <cell r="O110" t="str">
            <v>F24B27SUD008</v>
          </cell>
          <cell r="P110" t="str">
            <v>FN4C18N1L562201</v>
          </cell>
          <cell r="Q110" t="str">
            <v>แผ่นรองและสายรัดเป็นสนิม</v>
          </cell>
        </row>
        <row r="111">
          <cell r="A111">
            <v>50141112</v>
          </cell>
          <cell r="B111">
            <v>110</v>
          </cell>
          <cell r="C111" t="str">
            <v>LW02/2</v>
          </cell>
          <cell r="D111" t="str">
            <v>SPCEN-SD</v>
          </cell>
          <cell r="E111" t="str">
            <v>AF3</v>
          </cell>
          <cell r="F111">
            <v>1.6</v>
          </cell>
          <cell r="G111">
            <v>149</v>
          </cell>
          <cell r="H111">
            <v>1219</v>
          </cell>
          <cell r="I111" t="str">
            <v>A</v>
          </cell>
          <cell r="K111">
            <v>183</v>
          </cell>
          <cell r="L111">
            <v>414</v>
          </cell>
          <cell r="M111">
            <v>50141112</v>
          </cell>
          <cell r="N111">
            <v>38955</v>
          </cell>
          <cell r="O111" t="str">
            <v>ขาย</v>
          </cell>
          <cell r="P111" t="str">
            <v>FN6826N1D328001</v>
          </cell>
          <cell r="Q111" t="str">
            <v>สภาพปกติ</v>
          </cell>
        </row>
        <row r="112">
          <cell r="A112">
            <v>50114641</v>
          </cell>
          <cell r="B112">
            <v>111</v>
          </cell>
          <cell r="C112" t="str">
            <v>LW02/2</v>
          </cell>
          <cell r="D112" t="str">
            <v>SPHC P/O</v>
          </cell>
          <cell r="E112" t="str">
            <v>CA1</v>
          </cell>
          <cell r="F112">
            <v>1.2</v>
          </cell>
          <cell r="G112">
            <v>305</v>
          </cell>
          <cell r="H112">
            <v>510</v>
          </cell>
          <cell r="I112" t="str">
            <v>A</v>
          </cell>
          <cell r="K112">
            <v>47</v>
          </cell>
          <cell r="L112">
            <v>69</v>
          </cell>
          <cell r="M112">
            <v>50114641</v>
          </cell>
          <cell r="N112">
            <v>38737</v>
          </cell>
          <cell r="O112" t="str">
            <v>N34A21PCI001</v>
          </cell>
          <cell r="P112" t="str">
            <v>FN6120N1L642301</v>
          </cell>
          <cell r="Q112" t="str">
            <v>แผ่นรองและสายรัดเป็นสนิม</v>
          </cell>
        </row>
        <row r="113">
          <cell r="A113">
            <v>50122517</v>
          </cell>
          <cell r="B113">
            <v>112</v>
          </cell>
          <cell r="C113" t="str">
            <v>LW02/2</v>
          </cell>
          <cell r="D113" t="str">
            <v>SPHC P/O</v>
          </cell>
          <cell r="E113" t="str">
            <v>CA1</v>
          </cell>
          <cell r="F113">
            <v>1.6</v>
          </cell>
          <cell r="G113">
            <v>49</v>
          </cell>
          <cell r="H113">
            <v>1219</v>
          </cell>
          <cell r="I113" t="str">
            <v>A</v>
          </cell>
          <cell r="K113">
            <v>50</v>
          </cell>
          <cell r="L113">
            <v>38</v>
          </cell>
          <cell r="M113">
            <v>50122517</v>
          </cell>
          <cell r="N113">
            <v>38792</v>
          </cell>
          <cell r="O113" t="str">
            <v>F36306JFI001</v>
          </cell>
          <cell r="P113" t="str">
            <v>FN6316N1D844001</v>
          </cell>
          <cell r="Q113" t="str">
            <v>แผ่นรองและสายรัดเป็นสนิม</v>
          </cell>
        </row>
        <row r="114">
          <cell r="A114">
            <v>50120735</v>
          </cell>
          <cell r="B114">
            <v>113</v>
          </cell>
          <cell r="C114" t="str">
            <v>LW02/2</v>
          </cell>
          <cell r="D114" t="str">
            <v>SPHC P/O</v>
          </cell>
          <cell r="E114" t="str">
            <v>CA1</v>
          </cell>
          <cell r="F114">
            <v>2</v>
          </cell>
          <cell r="G114">
            <v>95</v>
          </cell>
          <cell r="H114">
            <v>1219</v>
          </cell>
          <cell r="I114" t="str">
            <v>A</v>
          </cell>
          <cell r="K114">
            <v>520</v>
          </cell>
          <cell r="L114">
            <v>943</v>
          </cell>
          <cell r="M114">
            <v>50120735</v>
          </cell>
          <cell r="N114">
            <v>38782</v>
          </cell>
          <cell r="O114" t="str">
            <v>F35618SSD004</v>
          </cell>
          <cell r="P114" t="str">
            <v>FN6306N1D794701</v>
          </cell>
          <cell r="Q114" t="str">
            <v>แผ่นรองและสายรัดเป็นสนิม</v>
          </cell>
        </row>
        <row r="115">
          <cell r="A115">
            <v>50111058</v>
          </cell>
          <cell r="B115">
            <v>114</v>
          </cell>
          <cell r="C115" t="str">
            <v>LW02/2</v>
          </cell>
          <cell r="D115" t="str">
            <v>SPHC P/O</v>
          </cell>
          <cell r="E115" t="str">
            <v>CA1</v>
          </cell>
          <cell r="F115">
            <v>2</v>
          </cell>
          <cell r="G115">
            <v>110</v>
          </cell>
          <cell r="H115">
            <v>115</v>
          </cell>
          <cell r="I115" t="str">
            <v>A</v>
          </cell>
          <cell r="K115">
            <v>89</v>
          </cell>
          <cell r="L115">
            <v>18</v>
          </cell>
          <cell r="M115">
            <v>50111058</v>
          </cell>
          <cell r="N115">
            <v>38706</v>
          </cell>
          <cell r="O115" t="str">
            <v>F35226SSD011</v>
          </cell>
          <cell r="P115" t="str">
            <v>FN5C20D3R594701</v>
          </cell>
          <cell r="Q115" t="str">
            <v>แผ่นรองและสายรัดเป็นสนิม</v>
          </cell>
        </row>
        <row r="116">
          <cell r="A116">
            <v>50141100</v>
          </cell>
          <cell r="B116">
            <v>115</v>
          </cell>
          <cell r="C116" t="str">
            <v>LW02/2</v>
          </cell>
          <cell r="D116" t="str">
            <v>SPHC P/O</v>
          </cell>
          <cell r="E116" t="str">
            <v>CA1</v>
          </cell>
          <cell r="F116">
            <v>2.2999999999999998</v>
          </cell>
          <cell r="G116">
            <v>155</v>
          </cell>
          <cell r="H116">
            <v>405</v>
          </cell>
          <cell r="I116" t="str">
            <v>A</v>
          </cell>
          <cell r="K116">
            <v>500</v>
          </cell>
          <cell r="L116">
            <v>567</v>
          </cell>
          <cell r="M116">
            <v>50141100</v>
          </cell>
          <cell r="N116">
            <v>38954</v>
          </cell>
          <cell r="O116" t="str">
            <v>F36819PCI001</v>
          </cell>
          <cell r="P116" t="str">
            <v>FN6825N1D326501</v>
          </cell>
          <cell r="Q116" t="str">
            <v>สภาพปกติ</v>
          </cell>
        </row>
        <row r="117">
          <cell r="A117">
            <v>50140108</v>
          </cell>
          <cell r="B117">
            <v>116</v>
          </cell>
          <cell r="C117" t="str">
            <v>LW02/2</v>
          </cell>
          <cell r="D117" t="str">
            <v>SPHC P/O</v>
          </cell>
          <cell r="E117" t="str">
            <v>CA1</v>
          </cell>
          <cell r="F117">
            <v>4</v>
          </cell>
          <cell r="G117">
            <v>218</v>
          </cell>
          <cell r="H117">
            <v>632</v>
          </cell>
          <cell r="I117" t="str">
            <v>A</v>
          </cell>
          <cell r="K117">
            <v>100</v>
          </cell>
          <cell r="L117">
            <v>431</v>
          </cell>
          <cell r="M117">
            <v>50140108</v>
          </cell>
          <cell r="N117">
            <v>38946</v>
          </cell>
          <cell r="O117" t="str">
            <v>ขาย</v>
          </cell>
          <cell r="P117" t="str">
            <v>FN6817N1D299701</v>
          </cell>
          <cell r="Q117" t="str">
            <v>สภาพปกติ</v>
          </cell>
        </row>
        <row r="118">
          <cell r="A118">
            <v>50140109</v>
          </cell>
          <cell r="B118">
            <v>117</v>
          </cell>
          <cell r="C118" t="str">
            <v>LW02/2</v>
          </cell>
          <cell r="D118" t="str">
            <v>SPHC P/O</v>
          </cell>
          <cell r="E118" t="str">
            <v>CA1</v>
          </cell>
          <cell r="F118">
            <v>4</v>
          </cell>
          <cell r="G118">
            <v>218</v>
          </cell>
          <cell r="H118">
            <v>632</v>
          </cell>
          <cell r="I118" t="str">
            <v>A</v>
          </cell>
          <cell r="K118">
            <v>100</v>
          </cell>
          <cell r="L118">
            <v>431</v>
          </cell>
          <cell r="M118">
            <v>50140109</v>
          </cell>
          <cell r="N118">
            <v>38946</v>
          </cell>
          <cell r="O118" t="str">
            <v>ขาย</v>
          </cell>
          <cell r="P118" t="str">
            <v>FN6817N1D299702</v>
          </cell>
          <cell r="Q118" t="str">
            <v>สภาพปกติ</v>
          </cell>
        </row>
        <row r="119">
          <cell r="A119">
            <v>50140110</v>
          </cell>
          <cell r="B119">
            <v>118</v>
          </cell>
          <cell r="C119" t="str">
            <v>LW02/2</v>
          </cell>
          <cell r="D119" t="str">
            <v>SPHC P/O</v>
          </cell>
          <cell r="E119" t="str">
            <v>CA1</v>
          </cell>
          <cell r="F119">
            <v>4</v>
          </cell>
          <cell r="G119">
            <v>218</v>
          </cell>
          <cell r="H119">
            <v>632</v>
          </cell>
          <cell r="I119" t="str">
            <v>A</v>
          </cell>
          <cell r="K119">
            <v>72</v>
          </cell>
          <cell r="L119">
            <v>311</v>
          </cell>
          <cell r="M119">
            <v>50140110</v>
          </cell>
          <cell r="N119">
            <v>38946</v>
          </cell>
          <cell r="O119" t="str">
            <v>ขาย</v>
          </cell>
          <cell r="P119" t="str">
            <v>FN6817N1D299703</v>
          </cell>
          <cell r="Q119" t="str">
            <v>สภาพปกติ</v>
          </cell>
        </row>
        <row r="120">
          <cell r="A120">
            <v>50140399</v>
          </cell>
          <cell r="B120">
            <v>119</v>
          </cell>
          <cell r="C120" t="str">
            <v>LW02/2</v>
          </cell>
          <cell r="D120" t="str">
            <v>SPHC P/O</v>
          </cell>
          <cell r="E120" t="str">
            <v>CA1</v>
          </cell>
          <cell r="F120">
            <v>4</v>
          </cell>
          <cell r="G120">
            <v>218</v>
          </cell>
          <cell r="H120">
            <v>632</v>
          </cell>
          <cell r="I120" t="str">
            <v>A</v>
          </cell>
          <cell r="K120">
            <v>28</v>
          </cell>
          <cell r="L120">
            <v>121</v>
          </cell>
          <cell r="M120">
            <v>50140399</v>
          </cell>
          <cell r="N120">
            <v>38946</v>
          </cell>
          <cell r="O120" t="str">
            <v>ขาย</v>
          </cell>
          <cell r="P120" t="str">
            <v>FN6817N1D299704</v>
          </cell>
          <cell r="Q120" t="str">
            <v>สภาพปกติ</v>
          </cell>
        </row>
        <row r="121">
          <cell r="A121">
            <v>50115395</v>
          </cell>
          <cell r="B121">
            <v>120</v>
          </cell>
          <cell r="C121" t="str">
            <v>LW02/2</v>
          </cell>
          <cell r="D121" t="str">
            <v>SPHC P/O</v>
          </cell>
          <cell r="E121" t="str">
            <v>CA1</v>
          </cell>
          <cell r="F121">
            <v>4.5</v>
          </cell>
          <cell r="G121">
            <v>72</v>
          </cell>
          <cell r="H121">
            <v>1219</v>
          </cell>
          <cell r="I121" t="str">
            <v>A</v>
          </cell>
          <cell r="K121">
            <v>100</v>
          </cell>
          <cell r="L121">
            <v>310</v>
          </cell>
          <cell r="M121">
            <v>50115395</v>
          </cell>
          <cell r="N121">
            <v>38743</v>
          </cell>
          <cell r="O121" t="str">
            <v>F35912PCI003</v>
          </cell>
          <cell r="P121" t="str">
            <v>FN6126D2D666301</v>
          </cell>
          <cell r="Q121" t="str">
            <v>แผ่นรองและสายรัดเป็นสนิม</v>
          </cell>
        </row>
        <row r="122">
          <cell r="A122">
            <v>50115396</v>
          </cell>
          <cell r="B122">
            <v>121</v>
          </cell>
          <cell r="C122" t="str">
            <v>LW02/2</v>
          </cell>
          <cell r="D122" t="str">
            <v>SPHC P/O</v>
          </cell>
          <cell r="E122" t="str">
            <v>CA1</v>
          </cell>
          <cell r="F122">
            <v>4.5</v>
          </cell>
          <cell r="G122">
            <v>72</v>
          </cell>
          <cell r="H122">
            <v>1219</v>
          </cell>
          <cell r="I122" t="str">
            <v>A</v>
          </cell>
          <cell r="K122">
            <v>33</v>
          </cell>
          <cell r="L122">
            <v>102</v>
          </cell>
          <cell r="M122">
            <v>50115396</v>
          </cell>
          <cell r="N122">
            <v>38743</v>
          </cell>
          <cell r="O122" t="str">
            <v>F35912PCI003</v>
          </cell>
          <cell r="P122" t="str">
            <v>FN6126D2D666302</v>
          </cell>
          <cell r="Q122" t="str">
            <v>แผ่นรองและสายรัดเป็นสนิม</v>
          </cell>
        </row>
        <row r="123">
          <cell r="A123">
            <v>50140277</v>
          </cell>
          <cell r="B123">
            <v>122</v>
          </cell>
          <cell r="C123" t="str">
            <v>LW02/2</v>
          </cell>
          <cell r="D123" t="str">
            <v>SAPH440 P/O</v>
          </cell>
          <cell r="E123" t="str">
            <v>CA5</v>
          </cell>
          <cell r="F123">
            <v>2</v>
          </cell>
          <cell r="G123">
            <v>225</v>
          </cell>
          <cell r="H123">
            <v>1219</v>
          </cell>
          <cell r="I123" t="str">
            <v>A</v>
          </cell>
          <cell r="K123">
            <v>200</v>
          </cell>
          <cell r="L123">
            <v>862</v>
          </cell>
          <cell r="M123">
            <v>50140277</v>
          </cell>
          <cell r="N123">
            <v>38947</v>
          </cell>
          <cell r="O123" t="str">
            <v>F36814PCI011</v>
          </cell>
          <cell r="P123" t="str">
            <v>FN6818D1L303501</v>
          </cell>
          <cell r="Q123" t="str">
            <v>สภาพปกติ</v>
          </cell>
        </row>
        <row r="124">
          <cell r="A124">
            <v>50140982</v>
          </cell>
          <cell r="B124">
            <v>123</v>
          </cell>
          <cell r="C124" t="str">
            <v>LW02/2</v>
          </cell>
          <cell r="D124" t="str">
            <v>SAPH440 P/O</v>
          </cell>
          <cell r="E124" t="str">
            <v>CA5</v>
          </cell>
          <cell r="F124">
            <v>2</v>
          </cell>
          <cell r="G124">
            <v>225</v>
          </cell>
          <cell r="H124">
            <v>1219</v>
          </cell>
          <cell r="I124" t="str">
            <v>A</v>
          </cell>
          <cell r="K124">
            <v>200</v>
          </cell>
          <cell r="L124">
            <v>862</v>
          </cell>
          <cell r="M124">
            <v>50140982</v>
          </cell>
          <cell r="N124">
            <v>38947</v>
          </cell>
          <cell r="O124" t="str">
            <v>F36814PCI013</v>
          </cell>
          <cell r="P124" t="str">
            <v>FN6818D1L303502</v>
          </cell>
          <cell r="Q124" t="str">
            <v>สภาพปกติ</v>
          </cell>
        </row>
        <row r="125">
          <cell r="A125">
            <v>50140983</v>
          </cell>
          <cell r="B125">
            <v>124</v>
          </cell>
          <cell r="C125" t="str">
            <v>LW02/2</v>
          </cell>
          <cell r="D125" t="str">
            <v>SAPH440 P/O</v>
          </cell>
          <cell r="E125" t="str">
            <v>CA5</v>
          </cell>
          <cell r="F125">
            <v>2</v>
          </cell>
          <cell r="G125">
            <v>225</v>
          </cell>
          <cell r="H125">
            <v>1219</v>
          </cell>
          <cell r="I125" t="str">
            <v>A</v>
          </cell>
          <cell r="K125">
            <v>200</v>
          </cell>
          <cell r="L125">
            <v>862</v>
          </cell>
          <cell r="M125">
            <v>50140983</v>
          </cell>
          <cell r="N125">
            <v>38947</v>
          </cell>
          <cell r="O125" t="str">
            <v>F36814PCI013</v>
          </cell>
          <cell r="P125" t="str">
            <v>FN6818D1L303503</v>
          </cell>
          <cell r="Q125" t="str">
            <v>สภาพปกติ</v>
          </cell>
        </row>
        <row r="126">
          <cell r="A126">
            <v>50140984</v>
          </cell>
          <cell r="B126">
            <v>125</v>
          </cell>
          <cell r="C126" t="str">
            <v>LW02/2</v>
          </cell>
          <cell r="D126" t="str">
            <v>SAPH440 P/O</v>
          </cell>
          <cell r="E126" t="str">
            <v>CA5</v>
          </cell>
          <cell r="F126">
            <v>2</v>
          </cell>
          <cell r="G126">
            <v>225</v>
          </cell>
          <cell r="H126">
            <v>1219</v>
          </cell>
          <cell r="I126" t="str">
            <v>A</v>
          </cell>
          <cell r="K126">
            <v>100</v>
          </cell>
          <cell r="L126">
            <v>431</v>
          </cell>
          <cell r="M126">
            <v>50140984</v>
          </cell>
          <cell r="N126">
            <v>38947</v>
          </cell>
          <cell r="O126" t="str">
            <v>F36814PCI013</v>
          </cell>
          <cell r="P126" t="str">
            <v>FN6818D1L303504</v>
          </cell>
          <cell r="Q126" t="str">
            <v>สภาพปกติ</v>
          </cell>
        </row>
        <row r="127">
          <cell r="A127">
            <v>50140987</v>
          </cell>
          <cell r="B127">
            <v>126</v>
          </cell>
          <cell r="C127" t="str">
            <v>LW02/2</v>
          </cell>
          <cell r="D127" t="str">
            <v>SAPH440 P/O</v>
          </cell>
          <cell r="E127" t="str">
            <v>CA5</v>
          </cell>
          <cell r="F127">
            <v>2</v>
          </cell>
          <cell r="G127">
            <v>229</v>
          </cell>
          <cell r="H127">
            <v>1219</v>
          </cell>
          <cell r="I127" t="str">
            <v>A</v>
          </cell>
          <cell r="K127">
            <v>100</v>
          </cell>
          <cell r="L127">
            <v>438</v>
          </cell>
          <cell r="M127">
            <v>50140987</v>
          </cell>
          <cell r="N127">
            <v>38953</v>
          </cell>
          <cell r="O127" t="str">
            <v>F36814PCI013</v>
          </cell>
          <cell r="P127" t="str">
            <v>FN6824D1L326201</v>
          </cell>
          <cell r="Q127" t="str">
            <v>สภาพปกติ</v>
          </cell>
        </row>
        <row r="128">
          <cell r="A128">
            <v>50140985</v>
          </cell>
          <cell r="B128">
            <v>127</v>
          </cell>
          <cell r="C128" t="str">
            <v>LW02/2</v>
          </cell>
          <cell r="D128" t="str">
            <v>SAPH440 P/O</v>
          </cell>
          <cell r="E128" t="str">
            <v>CA5</v>
          </cell>
          <cell r="F128">
            <v>2</v>
          </cell>
          <cell r="G128">
            <v>232</v>
          </cell>
          <cell r="H128">
            <v>1219</v>
          </cell>
          <cell r="I128" t="str">
            <v>A</v>
          </cell>
          <cell r="K128">
            <v>100</v>
          </cell>
          <cell r="L128">
            <v>444</v>
          </cell>
          <cell r="M128">
            <v>50140985</v>
          </cell>
          <cell r="N128">
            <v>38953</v>
          </cell>
          <cell r="O128" t="str">
            <v>F36814PCI013</v>
          </cell>
          <cell r="P128" t="str">
            <v>FN6824D1L326201</v>
          </cell>
          <cell r="Q128" t="str">
            <v>สภาพปกติ</v>
          </cell>
        </row>
        <row r="129">
          <cell r="A129">
            <v>50140986</v>
          </cell>
          <cell r="B129">
            <v>128</v>
          </cell>
          <cell r="C129" t="str">
            <v>LW02/2</v>
          </cell>
          <cell r="D129" t="str">
            <v>SAPH440 P/O</v>
          </cell>
          <cell r="E129" t="str">
            <v>CA5</v>
          </cell>
          <cell r="F129">
            <v>2</v>
          </cell>
          <cell r="G129">
            <v>232</v>
          </cell>
          <cell r="H129">
            <v>1219</v>
          </cell>
          <cell r="I129" t="str">
            <v>A</v>
          </cell>
          <cell r="K129">
            <v>100</v>
          </cell>
          <cell r="L129">
            <v>444</v>
          </cell>
          <cell r="M129">
            <v>50140986</v>
          </cell>
          <cell r="N129">
            <v>38953</v>
          </cell>
          <cell r="O129" t="str">
            <v>F36814PCI013</v>
          </cell>
          <cell r="P129" t="str">
            <v>FN6824D1L326202</v>
          </cell>
          <cell r="Q129" t="str">
            <v>สภาพปกติ</v>
          </cell>
        </row>
        <row r="130">
          <cell r="A130">
            <v>50140763</v>
          </cell>
          <cell r="B130">
            <v>129</v>
          </cell>
          <cell r="C130" t="str">
            <v>LW01/2</v>
          </cell>
          <cell r="D130" t="str">
            <v>SPHC P/O</v>
          </cell>
          <cell r="E130" t="str">
            <v>CA1</v>
          </cell>
          <cell r="F130">
            <v>2.2999999999999998</v>
          </cell>
          <cell r="G130">
            <v>510</v>
          </cell>
          <cell r="H130">
            <v>1064</v>
          </cell>
          <cell r="I130" t="str">
            <v>A</v>
          </cell>
          <cell r="K130">
            <v>100</v>
          </cell>
          <cell r="L130">
            <v>969</v>
          </cell>
          <cell r="M130">
            <v>50140763</v>
          </cell>
          <cell r="N130">
            <v>38952</v>
          </cell>
          <cell r="O130" t="str">
            <v>136818PCI002</v>
          </cell>
          <cell r="P130" t="str">
            <v>FN6823D2L310701</v>
          </cell>
          <cell r="Q130" t="str">
            <v>สภาพปกติ</v>
          </cell>
        </row>
        <row r="131">
          <cell r="A131">
            <v>50140764</v>
          </cell>
          <cell r="B131">
            <v>130</v>
          </cell>
          <cell r="C131" t="str">
            <v>LW01/2</v>
          </cell>
          <cell r="D131" t="str">
            <v>SPHC P/O</v>
          </cell>
          <cell r="E131" t="str">
            <v>CA1</v>
          </cell>
          <cell r="F131">
            <v>2.2999999999999998</v>
          </cell>
          <cell r="G131">
            <v>510</v>
          </cell>
          <cell r="H131">
            <v>1064</v>
          </cell>
          <cell r="I131" t="str">
            <v>A</v>
          </cell>
          <cell r="K131">
            <v>28</v>
          </cell>
          <cell r="L131">
            <v>271</v>
          </cell>
          <cell r="M131">
            <v>50140764</v>
          </cell>
          <cell r="N131">
            <v>38952</v>
          </cell>
          <cell r="O131" t="str">
            <v>136818PCI002</v>
          </cell>
          <cell r="P131" t="str">
            <v>FN6823D2L310702</v>
          </cell>
          <cell r="Q131" t="str">
            <v>สภาพปกติ</v>
          </cell>
        </row>
        <row r="132">
          <cell r="A132">
            <v>50079863</v>
          </cell>
          <cell r="B132">
            <v>131</v>
          </cell>
          <cell r="C132" t="str">
            <v>LW01/2</v>
          </cell>
          <cell r="D132" t="str">
            <v>SPHC P/O</v>
          </cell>
          <cell r="E132" t="str">
            <v>CA1</v>
          </cell>
          <cell r="F132">
            <v>4</v>
          </cell>
          <cell r="G132">
            <v>160</v>
          </cell>
          <cell r="H132">
            <v>1219</v>
          </cell>
          <cell r="I132" t="str">
            <v>A</v>
          </cell>
          <cell r="K132">
            <v>85</v>
          </cell>
          <cell r="L132">
            <v>520</v>
          </cell>
          <cell r="M132">
            <v>50079863</v>
          </cell>
          <cell r="N132">
            <v>38492</v>
          </cell>
          <cell r="O132" t="str">
            <v>134B05KTI024</v>
          </cell>
          <cell r="P132" t="str">
            <v>FN5520D2L894301</v>
          </cell>
          <cell r="Q132" t="str">
            <v>แผ่นรองและสายรัดเป็นสนิม กระดาษฉีกขาด</v>
          </cell>
        </row>
        <row r="133">
          <cell r="A133">
            <v>50084164</v>
          </cell>
          <cell r="B133">
            <v>132</v>
          </cell>
          <cell r="C133" t="str">
            <v>LW01/2</v>
          </cell>
          <cell r="D133" t="str">
            <v>SPHC P/O</v>
          </cell>
          <cell r="E133" t="str">
            <v>CA1</v>
          </cell>
          <cell r="F133">
            <v>4</v>
          </cell>
          <cell r="G133">
            <v>160</v>
          </cell>
          <cell r="H133">
            <v>1219</v>
          </cell>
          <cell r="I133" t="str">
            <v>A</v>
          </cell>
          <cell r="K133">
            <v>100</v>
          </cell>
          <cell r="L133">
            <v>612</v>
          </cell>
          <cell r="M133">
            <v>50084164</v>
          </cell>
          <cell r="N133">
            <v>38492</v>
          </cell>
          <cell r="O133" t="str">
            <v>F34B05KTI031</v>
          </cell>
          <cell r="P133" t="str">
            <v>FN5520D2L894302</v>
          </cell>
          <cell r="Q133" t="str">
            <v>แผ่นรองและสายรัดเป็นสนิม</v>
          </cell>
        </row>
        <row r="134">
          <cell r="A134">
            <v>50084165</v>
          </cell>
          <cell r="B134">
            <v>133</v>
          </cell>
          <cell r="C134" t="str">
            <v>LW01/2</v>
          </cell>
          <cell r="D134" t="str">
            <v>SPHC P/O</v>
          </cell>
          <cell r="E134" t="str">
            <v>CA1</v>
          </cell>
          <cell r="F134">
            <v>4</v>
          </cell>
          <cell r="G134">
            <v>160</v>
          </cell>
          <cell r="H134">
            <v>1219</v>
          </cell>
          <cell r="I134" t="str">
            <v>A</v>
          </cell>
          <cell r="K134">
            <v>100</v>
          </cell>
          <cell r="L134">
            <v>612</v>
          </cell>
          <cell r="M134">
            <v>50084165</v>
          </cell>
          <cell r="N134">
            <v>38492</v>
          </cell>
          <cell r="O134" t="str">
            <v>F34B05KTI031</v>
          </cell>
          <cell r="P134" t="str">
            <v>FN5520D2L894303</v>
          </cell>
          <cell r="Q134" t="str">
            <v>แผ่นรองและสายรัดเป็นสนิม</v>
          </cell>
        </row>
        <row r="135">
          <cell r="A135">
            <v>50084166</v>
          </cell>
          <cell r="B135">
            <v>134</v>
          </cell>
          <cell r="C135" t="str">
            <v>LW01/2</v>
          </cell>
          <cell r="D135" t="str">
            <v>SPHC P/O</v>
          </cell>
          <cell r="E135" t="str">
            <v>CA1</v>
          </cell>
          <cell r="F135">
            <v>4</v>
          </cell>
          <cell r="G135">
            <v>160</v>
          </cell>
          <cell r="H135">
            <v>1219</v>
          </cell>
          <cell r="I135" t="str">
            <v>A</v>
          </cell>
          <cell r="K135">
            <v>100</v>
          </cell>
          <cell r="L135">
            <v>612</v>
          </cell>
          <cell r="M135">
            <v>50084166</v>
          </cell>
          <cell r="N135">
            <v>38492</v>
          </cell>
          <cell r="O135" t="str">
            <v>ขาย</v>
          </cell>
          <cell r="P135" t="str">
            <v>FN5520D2L894304</v>
          </cell>
          <cell r="Q135" t="str">
            <v>แผ่นรองและสายรัดเป็นสนิม กระดาษฉีกขาด</v>
          </cell>
        </row>
        <row r="136">
          <cell r="A136">
            <v>50084167</v>
          </cell>
          <cell r="B136">
            <v>135</v>
          </cell>
          <cell r="C136" t="str">
            <v>LW01/2</v>
          </cell>
          <cell r="D136" t="str">
            <v>SPHC P/O</v>
          </cell>
          <cell r="E136" t="str">
            <v>CA1</v>
          </cell>
          <cell r="F136">
            <v>4</v>
          </cell>
          <cell r="G136">
            <v>160</v>
          </cell>
          <cell r="H136">
            <v>1219</v>
          </cell>
          <cell r="I136" t="str">
            <v>A</v>
          </cell>
          <cell r="K136">
            <v>100</v>
          </cell>
          <cell r="L136">
            <v>612</v>
          </cell>
          <cell r="M136">
            <v>50084167</v>
          </cell>
          <cell r="N136">
            <v>38492</v>
          </cell>
          <cell r="O136" t="str">
            <v>ขาย</v>
          </cell>
          <cell r="P136" t="str">
            <v>FN5520D2L982405</v>
          </cell>
          <cell r="Q136" t="str">
            <v>แผ่นรองและสายรัดเป็นสนิม</v>
          </cell>
        </row>
        <row r="137">
          <cell r="A137">
            <v>50084168</v>
          </cell>
          <cell r="B137">
            <v>136</v>
          </cell>
          <cell r="C137" t="str">
            <v>LW01/2</v>
          </cell>
          <cell r="D137" t="str">
            <v>SPHC P/O</v>
          </cell>
          <cell r="E137" t="str">
            <v>CA1</v>
          </cell>
          <cell r="F137">
            <v>4</v>
          </cell>
          <cell r="G137">
            <v>160</v>
          </cell>
          <cell r="H137">
            <v>1219</v>
          </cell>
          <cell r="I137" t="str">
            <v>A</v>
          </cell>
          <cell r="K137">
            <v>100</v>
          </cell>
          <cell r="L137">
            <v>612</v>
          </cell>
          <cell r="M137">
            <v>50084168</v>
          </cell>
          <cell r="N137">
            <v>38492</v>
          </cell>
          <cell r="O137" t="str">
            <v>ขาย</v>
          </cell>
          <cell r="P137" t="str">
            <v>FN5520D2L982406</v>
          </cell>
          <cell r="Q137" t="str">
            <v>แผ่นรองและสายรัดเป็นสนิม</v>
          </cell>
        </row>
        <row r="138">
          <cell r="A138">
            <v>50084169</v>
          </cell>
          <cell r="B138">
            <v>137</v>
          </cell>
          <cell r="C138" t="str">
            <v>LW01/2</v>
          </cell>
          <cell r="D138" t="str">
            <v>SPHC P/O</v>
          </cell>
          <cell r="E138" t="str">
            <v>CA1</v>
          </cell>
          <cell r="F138">
            <v>4</v>
          </cell>
          <cell r="G138">
            <v>160</v>
          </cell>
          <cell r="H138">
            <v>1219</v>
          </cell>
          <cell r="I138" t="str">
            <v>A</v>
          </cell>
          <cell r="K138">
            <v>100</v>
          </cell>
          <cell r="L138">
            <v>612</v>
          </cell>
          <cell r="M138">
            <v>50084169</v>
          </cell>
          <cell r="N138">
            <v>38492</v>
          </cell>
          <cell r="O138" t="str">
            <v>ขาย</v>
          </cell>
          <cell r="P138" t="str">
            <v>FN5520D2L982407</v>
          </cell>
          <cell r="Q138" t="str">
            <v>แผ่นรองและสายรัดเป็นสนิม</v>
          </cell>
        </row>
        <row r="139">
          <cell r="A139">
            <v>50084170</v>
          </cell>
          <cell r="B139">
            <v>138</v>
          </cell>
          <cell r="C139" t="str">
            <v>LW01/2</v>
          </cell>
          <cell r="D139" t="str">
            <v>SPHC P/O</v>
          </cell>
          <cell r="E139" t="str">
            <v>CA1</v>
          </cell>
          <cell r="F139">
            <v>4</v>
          </cell>
          <cell r="G139">
            <v>160</v>
          </cell>
          <cell r="H139">
            <v>1219</v>
          </cell>
          <cell r="I139" t="str">
            <v>A</v>
          </cell>
          <cell r="K139">
            <v>100</v>
          </cell>
          <cell r="L139">
            <v>612</v>
          </cell>
          <cell r="M139">
            <v>50084170</v>
          </cell>
          <cell r="N139">
            <v>38492</v>
          </cell>
          <cell r="O139" t="str">
            <v>ขาย</v>
          </cell>
          <cell r="P139" t="str">
            <v>FN5520D2L982408</v>
          </cell>
          <cell r="Q139" t="str">
            <v>แผ่นรองและสายรัดเป็นสนิม</v>
          </cell>
        </row>
        <row r="140">
          <cell r="A140">
            <v>50084171</v>
          </cell>
          <cell r="B140">
            <v>139</v>
          </cell>
          <cell r="C140" t="str">
            <v>LW01/2</v>
          </cell>
          <cell r="D140" t="str">
            <v>SPHC P/O</v>
          </cell>
          <cell r="E140" t="str">
            <v>CA1</v>
          </cell>
          <cell r="F140">
            <v>4</v>
          </cell>
          <cell r="G140">
            <v>160</v>
          </cell>
          <cell r="H140">
            <v>1219</v>
          </cell>
          <cell r="I140" t="str">
            <v>A</v>
          </cell>
          <cell r="K140">
            <v>100</v>
          </cell>
          <cell r="L140">
            <v>612</v>
          </cell>
          <cell r="M140">
            <v>50084171</v>
          </cell>
          <cell r="N140">
            <v>38492</v>
          </cell>
          <cell r="O140" t="str">
            <v>ขาย</v>
          </cell>
          <cell r="P140" t="str">
            <v>FN5520D2L982409</v>
          </cell>
          <cell r="Q140" t="str">
            <v>แผ่นรองและสายรัดเป็นสนิม</v>
          </cell>
        </row>
        <row r="141">
          <cell r="A141">
            <v>50084172</v>
          </cell>
          <cell r="B141">
            <v>140</v>
          </cell>
          <cell r="C141" t="str">
            <v>LW01/2</v>
          </cell>
          <cell r="D141" t="str">
            <v>SPHC P/O</v>
          </cell>
          <cell r="E141" t="str">
            <v>CA1</v>
          </cell>
          <cell r="F141">
            <v>4</v>
          </cell>
          <cell r="G141">
            <v>160</v>
          </cell>
          <cell r="H141">
            <v>1219</v>
          </cell>
          <cell r="I141" t="str">
            <v>A</v>
          </cell>
          <cell r="K141">
            <v>100</v>
          </cell>
          <cell r="L141">
            <v>612</v>
          </cell>
          <cell r="M141">
            <v>50084172</v>
          </cell>
          <cell r="N141">
            <v>38492</v>
          </cell>
          <cell r="O141" t="str">
            <v>ขาย</v>
          </cell>
          <cell r="P141" t="str">
            <v>FN5520D2L982410</v>
          </cell>
          <cell r="Q141" t="str">
            <v>แผ่นรองและสายรัดเป็นสนิม กระดาษฉีกขาด</v>
          </cell>
        </row>
        <row r="142">
          <cell r="A142">
            <v>50084173</v>
          </cell>
          <cell r="B142">
            <v>141</v>
          </cell>
          <cell r="C142" t="str">
            <v>LW01/2</v>
          </cell>
          <cell r="D142" t="str">
            <v>SPHC P/O</v>
          </cell>
          <cell r="E142" t="str">
            <v>CA1</v>
          </cell>
          <cell r="F142">
            <v>4</v>
          </cell>
          <cell r="G142">
            <v>160</v>
          </cell>
          <cell r="H142">
            <v>1219</v>
          </cell>
          <cell r="I142" t="str">
            <v>A</v>
          </cell>
          <cell r="K142">
            <v>100</v>
          </cell>
          <cell r="L142">
            <v>612</v>
          </cell>
          <cell r="M142">
            <v>50084173</v>
          </cell>
          <cell r="N142">
            <v>38492</v>
          </cell>
          <cell r="O142" t="str">
            <v>ขาย</v>
          </cell>
          <cell r="P142" t="str">
            <v>FN5520D2L982411</v>
          </cell>
          <cell r="Q142" t="str">
            <v>แผ่นรองและสายรัดเป็นสนิม</v>
          </cell>
        </row>
        <row r="143">
          <cell r="A143">
            <v>50084174</v>
          </cell>
          <cell r="B143">
            <v>142</v>
          </cell>
          <cell r="C143" t="str">
            <v>LW01/2</v>
          </cell>
          <cell r="D143" t="str">
            <v>SPHC P/O</v>
          </cell>
          <cell r="E143" t="str">
            <v>CA1</v>
          </cell>
          <cell r="F143">
            <v>4</v>
          </cell>
          <cell r="G143">
            <v>160</v>
          </cell>
          <cell r="H143">
            <v>1219</v>
          </cell>
          <cell r="I143" t="str">
            <v>A</v>
          </cell>
          <cell r="K143">
            <v>100</v>
          </cell>
          <cell r="L143">
            <v>612</v>
          </cell>
          <cell r="M143">
            <v>50084174</v>
          </cell>
          <cell r="N143">
            <v>38492</v>
          </cell>
          <cell r="O143" t="str">
            <v>ขาย</v>
          </cell>
          <cell r="P143" t="str">
            <v>FN5520D2L982412</v>
          </cell>
          <cell r="Q143" t="str">
            <v>แผ่นรองและสายรัดเป็นสนิม</v>
          </cell>
        </row>
        <row r="144">
          <cell r="A144">
            <v>50084175</v>
          </cell>
          <cell r="B144">
            <v>143</v>
          </cell>
          <cell r="C144" t="str">
            <v>LW01/2</v>
          </cell>
          <cell r="D144" t="str">
            <v>SPHC P/O</v>
          </cell>
          <cell r="E144" t="str">
            <v>CA1</v>
          </cell>
          <cell r="F144">
            <v>4</v>
          </cell>
          <cell r="G144">
            <v>160</v>
          </cell>
          <cell r="H144">
            <v>1219</v>
          </cell>
          <cell r="I144" t="str">
            <v>A</v>
          </cell>
          <cell r="K144">
            <v>100</v>
          </cell>
          <cell r="L144">
            <v>612</v>
          </cell>
          <cell r="M144">
            <v>50084175</v>
          </cell>
          <cell r="N144">
            <v>38492</v>
          </cell>
          <cell r="O144" t="str">
            <v>ขาย</v>
          </cell>
          <cell r="P144" t="str">
            <v>FN5520D2L982413</v>
          </cell>
          <cell r="Q144" t="str">
            <v>แผ่นรองและสายรัดเป็นสนิม</v>
          </cell>
        </row>
        <row r="145">
          <cell r="A145">
            <v>50084176</v>
          </cell>
          <cell r="B145">
            <v>144</v>
          </cell>
          <cell r="C145" t="str">
            <v>LW01/2</v>
          </cell>
          <cell r="D145" t="str">
            <v>SPHC P/O</v>
          </cell>
          <cell r="E145" t="str">
            <v>CA1</v>
          </cell>
          <cell r="F145">
            <v>4</v>
          </cell>
          <cell r="G145">
            <v>160</v>
          </cell>
          <cell r="H145">
            <v>1219</v>
          </cell>
          <cell r="I145" t="str">
            <v>A</v>
          </cell>
          <cell r="K145">
            <v>100</v>
          </cell>
          <cell r="L145">
            <v>612</v>
          </cell>
          <cell r="M145">
            <v>50084176</v>
          </cell>
          <cell r="N145">
            <v>38492</v>
          </cell>
          <cell r="O145" t="str">
            <v>ขาย</v>
          </cell>
          <cell r="P145" t="str">
            <v>FN5520D2L982414</v>
          </cell>
          <cell r="Q145" t="str">
            <v>แผ่นรองและสายรัดเป็นสนิม</v>
          </cell>
        </row>
        <row r="146">
          <cell r="A146">
            <v>50084177</v>
          </cell>
          <cell r="B146">
            <v>145</v>
          </cell>
          <cell r="C146" t="str">
            <v>LW01/2</v>
          </cell>
          <cell r="D146" t="str">
            <v>SPHC P/O</v>
          </cell>
          <cell r="E146" t="str">
            <v>CA1</v>
          </cell>
          <cell r="F146">
            <v>4</v>
          </cell>
          <cell r="G146">
            <v>160</v>
          </cell>
          <cell r="H146">
            <v>1219</v>
          </cell>
          <cell r="I146" t="str">
            <v>A</v>
          </cell>
          <cell r="K146">
            <v>100</v>
          </cell>
          <cell r="L146">
            <v>612</v>
          </cell>
          <cell r="M146">
            <v>50084177</v>
          </cell>
          <cell r="N146">
            <v>38492</v>
          </cell>
          <cell r="O146" t="str">
            <v>ขาย</v>
          </cell>
          <cell r="P146" t="str">
            <v>FN5520D2L982415</v>
          </cell>
          <cell r="Q146" t="str">
            <v>แผ่นรองและสายรัดเป็นสนิม กระดาษฉีกขาด</v>
          </cell>
        </row>
        <row r="147">
          <cell r="A147">
            <v>50084186</v>
          </cell>
          <cell r="B147">
            <v>146</v>
          </cell>
          <cell r="C147" t="str">
            <v>LW01/2</v>
          </cell>
          <cell r="D147" t="str">
            <v>SPHC P/O</v>
          </cell>
          <cell r="E147" t="str">
            <v>CA1</v>
          </cell>
          <cell r="F147">
            <v>4</v>
          </cell>
          <cell r="G147">
            <v>160</v>
          </cell>
          <cell r="H147">
            <v>1219</v>
          </cell>
          <cell r="I147" t="str">
            <v>A</v>
          </cell>
          <cell r="K147">
            <v>100</v>
          </cell>
          <cell r="L147">
            <v>612</v>
          </cell>
          <cell r="M147">
            <v>50084186</v>
          </cell>
          <cell r="N147">
            <v>38492</v>
          </cell>
          <cell r="O147" t="str">
            <v>ขาย</v>
          </cell>
          <cell r="P147" t="str">
            <v>FN5520D2L982416</v>
          </cell>
          <cell r="Q147" t="str">
            <v>แผ่นรองและสายรัดเป็นสนิม</v>
          </cell>
        </row>
        <row r="148">
          <cell r="A148">
            <v>50139836</v>
          </cell>
          <cell r="B148">
            <v>147</v>
          </cell>
          <cell r="C148" t="str">
            <v>LW01/2</v>
          </cell>
          <cell r="D148" t="str">
            <v>SPHC P/O</v>
          </cell>
          <cell r="E148" t="str">
            <v>CA1</v>
          </cell>
          <cell r="F148">
            <v>4.5</v>
          </cell>
          <cell r="G148">
            <v>245</v>
          </cell>
          <cell r="H148">
            <v>1219</v>
          </cell>
          <cell r="I148" t="str">
            <v>A</v>
          </cell>
          <cell r="K148">
            <v>100</v>
          </cell>
          <cell r="L148">
            <v>1062</v>
          </cell>
          <cell r="M148">
            <v>50139836</v>
          </cell>
          <cell r="N148">
            <v>38940</v>
          </cell>
          <cell r="O148" t="str">
            <v>134B05KTI023</v>
          </cell>
          <cell r="P148" t="str">
            <v>FN6811N2L291001</v>
          </cell>
          <cell r="Q148" t="str">
            <v>แผ่นรองและสายรัดเป็นสนิม กระดาษฉีกขาด</v>
          </cell>
        </row>
        <row r="149">
          <cell r="A149">
            <v>50136255</v>
          </cell>
          <cell r="B149">
            <v>148</v>
          </cell>
          <cell r="C149" t="str">
            <v>LW01/2</v>
          </cell>
          <cell r="D149" t="str">
            <v>SAPH440 P/O</v>
          </cell>
          <cell r="E149" t="str">
            <v>CA5</v>
          </cell>
          <cell r="F149">
            <v>2</v>
          </cell>
          <cell r="G149">
            <v>375</v>
          </cell>
          <cell r="H149">
            <v>1219</v>
          </cell>
          <cell r="I149" t="str">
            <v>A</v>
          </cell>
          <cell r="K149">
            <v>38</v>
          </cell>
          <cell r="L149">
            <v>273</v>
          </cell>
          <cell r="M149">
            <v>50136255</v>
          </cell>
          <cell r="N149">
            <v>38909</v>
          </cell>
          <cell r="O149" t="str">
            <v>ขาย</v>
          </cell>
          <cell r="P149" t="str">
            <v>FN6711N2R185001</v>
          </cell>
          <cell r="Q149" t="str">
            <v>แผ่นรองและสายรัดเป็นสนิม</v>
          </cell>
        </row>
        <row r="150">
          <cell r="A150">
            <v>50103389</v>
          </cell>
          <cell r="B150">
            <v>149</v>
          </cell>
          <cell r="C150" t="str">
            <v>LW01/2</v>
          </cell>
          <cell r="D150" t="str">
            <v>SPHC-DS</v>
          </cell>
          <cell r="E150" t="str">
            <v>DS1</v>
          </cell>
          <cell r="F150">
            <v>1.2</v>
          </cell>
          <cell r="G150">
            <v>101</v>
          </cell>
          <cell r="H150">
            <v>1219</v>
          </cell>
          <cell r="I150" t="str">
            <v>A</v>
          </cell>
          <cell r="K150">
            <v>300</v>
          </cell>
          <cell r="L150">
            <v>351</v>
          </cell>
          <cell r="M150">
            <v>50103389</v>
          </cell>
          <cell r="N150">
            <v>38649</v>
          </cell>
          <cell r="O150" t="str">
            <v>F35228PCI001</v>
          </cell>
          <cell r="P150" t="str">
            <v>FN5A24D2L397901</v>
          </cell>
          <cell r="Q150" t="str">
            <v>แผ่นรองและสายรัดเป็นสนิม</v>
          </cell>
        </row>
        <row r="151">
          <cell r="A151">
            <v>50103390</v>
          </cell>
          <cell r="B151">
            <v>150</v>
          </cell>
          <cell r="C151" t="str">
            <v>LW01/2</v>
          </cell>
          <cell r="D151" t="str">
            <v>SPHC-DS</v>
          </cell>
          <cell r="E151" t="str">
            <v>DS1</v>
          </cell>
          <cell r="F151">
            <v>1.2</v>
          </cell>
          <cell r="G151">
            <v>101</v>
          </cell>
          <cell r="H151">
            <v>1219</v>
          </cell>
          <cell r="I151" t="str">
            <v>A</v>
          </cell>
          <cell r="K151">
            <v>300</v>
          </cell>
          <cell r="L151">
            <v>350</v>
          </cell>
          <cell r="M151">
            <v>50103390</v>
          </cell>
          <cell r="N151">
            <v>38649</v>
          </cell>
          <cell r="O151" t="str">
            <v>F35228PCI001</v>
          </cell>
          <cell r="P151" t="str">
            <v>FN5A24D2L397902</v>
          </cell>
          <cell r="Q151" t="str">
            <v>แผ่นรองและสายรัดเป็นสนิม</v>
          </cell>
        </row>
        <row r="152">
          <cell r="A152">
            <v>50103391</v>
          </cell>
          <cell r="B152">
            <v>151</v>
          </cell>
          <cell r="C152" t="str">
            <v>LW01/2</v>
          </cell>
          <cell r="D152" t="str">
            <v>SPHC-DS</v>
          </cell>
          <cell r="E152" t="str">
            <v>DS1</v>
          </cell>
          <cell r="F152">
            <v>1.2</v>
          </cell>
          <cell r="G152">
            <v>101</v>
          </cell>
          <cell r="H152">
            <v>1219</v>
          </cell>
          <cell r="I152" t="str">
            <v>A</v>
          </cell>
          <cell r="K152">
            <v>300</v>
          </cell>
          <cell r="L152">
            <v>352</v>
          </cell>
          <cell r="M152">
            <v>50103391</v>
          </cell>
          <cell r="N152">
            <v>38649</v>
          </cell>
          <cell r="O152" t="str">
            <v>F35228PCI001</v>
          </cell>
          <cell r="P152" t="str">
            <v>FN5A24D2L397903</v>
          </cell>
          <cell r="Q152" t="str">
            <v>แผ่นรองและสายรัดเป็นสนิม</v>
          </cell>
        </row>
        <row r="153">
          <cell r="A153">
            <v>50103392</v>
          </cell>
          <cell r="B153">
            <v>152</v>
          </cell>
          <cell r="C153" t="str">
            <v>LW01/2</v>
          </cell>
          <cell r="D153" t="str">
            <v>SPHC-DS</v>
          </cell>
          <cell r="E153" t="str">
            <v>DS1</v>
          </cell>
          <cell r="F153">
            <v>1.2</v>
          </cell>
          <cell r="G153">
            <v>101</v>
          </cell>
          <cell r="H153">
            <v>1219</v>
          </cell>
          <cell r="I153" t="str">
            <v>A</v>
          </cell>
          <cell r="K153">
            <v>300</v>
          </cell>
          <cell r="L153">
            <v>350</v>
          </cell>
          <cell r="M153">
            <v>50103392</v>
          </cell>
          <cell r="N153">
            <v>38649</v>
          </cell>
          <cell r="O153" t="str">
            <v>F35624PCI002</v>
          </cell>
          <cell r="P153" t="str">
            <v>FN5A24D2L397904</v>
          </cell>
          <cell r="Q153" t="str">
            <v>แผ่นรองและสายรัดเป็นสนิม กระดาษฉีกขาด</v>
          </cell>
        </row>
        <row r="154">
          <cell r="A154">
            <v>50103393</v>
          </cell>
          <cell r="B154">
            <v>153</v>
          </cell>
          <cell r="C154" t="str">
            <v>LW01/2</v>
          </cell>
          <cell r="D154" t="str">
            <v>SPHC-DS</v>
          </cell>
          <cell r="E154" t="str">
            <v>DS1</v>
          </cell>
          <cell r="F154">
            <v>1.2</v>
          </cell>
          <cell r="G154">
            <v>101</v>
          </cell>
          <cell r="H154">
            <v>1219</v>
          </cell>
          <cell r="I154" t="str">
            <v>A</v>
          </cell>
          <cell r="K154">
            <v>300</v>
          </cell>
          <cell r="L154">
            <v>349</v>
          </cell>
          <cell r="M154">
            <v>50103393</v>
          </cell>
          <cell r="N154">
            <v>38649</v>
          </cell>
          <cell r="O154" t="str">
            <v>F35624PCI002</v>
          </cell>
          <cell r="P154" t="str">
            <v>FN5A24D2L397905</v>
          </cell>
          <cell r="Q154" t="str">
            <v>แผ่นรองและสายรัดเป็นสนิม กระดาษฉีกขาด</v>
          </cell>
        </row>
        <row r="155">
          <cell r="A155">
            <v>50103394</v>
          </cell>
          <cell r="B155">
            <v>154</v>
          </cell>
          <cell r="C155" t="str">
            <v>LW01/2</v>
          </cell>
          <cell r="D155" t="str">
            <v>SPHC-DS</v>
          </cell>
          <cell r="E155" t="str">
            <v>DS1</v>
          </cell>
          <cell r="F155">
            <v>1.2</v>
          </cell>
          <cell r="G155">
            <v>101</v>
          </cell>
          <cell r="H155">
            <v>1219</v>
          </cell>
          <cell r="I155" t="str">
            <v>A</v>
          </cell>
          <cell r="K155">
            <v>300</v>
          </cell>
          <cell r="L155">
            <v>348</v>
          </cell>
          <cell r="M155">
            <v>50103394</v>
          </cell>
          <cell r="N155">
            <v>38649</v>
          </cell>
          <cell r="O155" t="str">
            <v>F35624PCI002</v>
          </cell>
          <cell r="P155" t="str">
            <v>FN5A24D2L397906</v>
          </cell>
          <cell r="Q155" t="str">
            <v>แผ่นรองและสายรัดเป็นสนิม</v>
          </cell>
        </row>
        <row r="156">
          <cell r="A156">
            <v>50084448</v>
          </cell>
          <cell r="B156">
            <v>155</v>
          </cell>
          <cell r="C156" t="str">
            <v>MW01/2</v>
          </cell>
          <cell r="D156" t="str">
            <v>SPCC-SD</v>
          </cell>
          <cell r="E156" t="str">
            <v>AF1</v>
          </cell>
          <cell r="F156">
            <v>0.8</v>
          </cell>
          <cell r="G156">
            <v>125</v>
          </cell>
          <cell r="H156">
            <v>390</v>
          </cell>
          <cell r="I156" t="str">
            <v>A</v>
          </cell>
          <cell r="K156">
            <v>1000</v>
          </cell>
          <cell r="L156">
            <v>310</v>
          </cell>
          <cell r="M156">
            <v>50084448</v>
          </cell>
          <cell r="N156">
            <v>38496</v>
          </cell>
          <cell r="O156" t="str">
            <v>124A20TCD001</v>
          </cell>
          <cell r="P156" t="str">
            <v>FN5524D1M949701</v>
          </cell>
          <cell r="Q156" t="str">
            <v>แผ่นรองและสายรัดเป็นสนิม</v>
          </cell>
        </row>
        <row r="157">
          <cell r="A157">
            <v>50084449</v>
          </cell>
          <cell r="B157">
            <v>156</v>
          </cell>
          <cell r="C157" t="str">
            <v>MW01/2</v>
          </cell>
          <cell r="D157" t="str">
            <v>SPCC-SD</v>
          </cell>
          <cell r="E157" t="str">
            <v>AF1</v>
          </cell>
          <cell r="F157">
            <v>0.8</v>
          </cell>
          <cell r="G157">
            <v>125</v>
          </cell>
          <cell r="H157">
            <v>390</v>
          </cell>
          <cell r="I157" t="str">
            <v>A</v>
          </cell>
          <cell r="K157">
            <v>1000</v>
          </cell>
          <cell r="L157">
            <v>310</v>
          </cell>
          <cell r="M157">
            <v>50084449</v>
          </cell>
          <cell r="N157">
            <v>38496</v>
          </cell>
          <cell r="P157" t="str">
            <v>FN5524D1M949702</v>
          </cell>
          <cell r="Q157" t="str">
            <v>แผ่นรองและสายรัดเป็นสนิม</v>
          </cell>
        </row>
        <row r="158">
          <cell r="A158">
            <v>50084450</v>
          </cell>
          <cell r="B158">
            <v>157</v>
          </cell>
          <cell r="C158" t="str">
            <v>MW01/2</v>
          </cell>
          <cell r="D158" t="str">
            <v>SPCC-SD</v>
          </cell>
          <cell r="E158" t="str">
            <v>AF1</v>
          </cell>
          <cell r="F158">
            <v>0.8</v>
          </cell>
          <cell r="G158">
            <v>125</v>
          </cell>
          <cell r="H158">
            <v>390</v>
          </cell>
          <cell r="I158" t="str">
            <v>A</v>
          </cell>
          <cell r="K158">
            <v>1000</v>
          </cell>
          <cell r="L158">
            <v>310</v>
          </cell>
          <cell r="M158">
            <v>50084450</v>
          </cell>
          <cell r="N158">
            <v>38496</v>
          </cell>
          <cell r="P158" t="str">
            <v>FN5524D1M949703</v>
          </cell>
          <cell r="Q158" t="str">
            <v>แผ่นรองและสายรัดเป็นสนิม</v>
          </cell>
        </row>
        <row r="159">
          <cell r="A159">
            <v>50084451</v>
          </cell>
          <cell r="B159">
            <v>158</v>
          </cell>
          <cell r="C159" t="str">
            <v>MW01/2</v>
          </cell>
          <cell r="D159" t="str">
            <v>SPCC-SD</v>
          </cell>
          <cell r="E159" t="str">
            <v>AF1</v>
          </cell>
          <cell r="F159">
            <v>0.8</v>
          </cell>
          <cell r="G159">
            <v>125</v>
          </cell>
          <cell r="H159">
            <v>390</v>
          </cell>
          <cell r="I159" t="str">
            <v>A</v>
          </cell>
          <cell r="K159">
            <v>1000</v>
          </cell>
          <cell r="L159">
            <v>310</v>
          </cell>
          <cell r="M159">
            <v>50084451</v>
          </cell>
          <cell r="N159">
            <v>38496</v>
          </cell>
          <cell r="P159" t="str">
            <v>FN5524D1M949704</v>
          </cell>
          <cell r="Q159" t="str">
            <v>แผ่นรองและสายรัดเป็นสนิม</v>
          </cell>
        </row>
        <row r="160">
          <cell r="A160">
            <v>50084452</v>
          </cell>
          <cell r="B160">
            <v>159</v>
          </cell>
          <cell r="C160" t="str">
            <v>MW01/2</v>
          </cell>
          <cell r="D160" t="str">
            <v>SPCC-SD</v>
          </cell>
          <cell r="E160" t="str">
            <v>AF1</v>
          </cell>
          <cell r="F160">
            <v>0.8</v>
          </cell>
          <cell r="G160">
            <v>125</v>
          </cell>
          <cell r="H160">
            <v>390</v>
          </cell>
          <cell r="I160" t="str">
            <v>A</v>
          </cell>
          <cell r="K160">
            <v>1000</v>
          </cell>
          <cell r="L160">
            <v>310</v>
          </cell>
          <cell r="M160">
            <v>50084452</v>
          </cell>
          <cell r="N160">
            <v>38496</v>
          </cell>
          <cell r="P160" t="str">
            <v>FN5524D1M949705</v>
          </cell>
          <cell r="Q160" t="str">
            <v>แผ่นรองและสายรัดเป็นสนิม</v>
          </cell>
        </row>
        <row r="161">
          <cell r="A161">
            <v>50084499</v>
          </cell>
          <cell r="B161">
            <v>160</v>
          </cell>
          <cell r="C161" t="str">
            <v>MW01/2</v>
          </cell>
          <cell r="D161" t="str">
            <v>SPCC-SD</v>
          </cell>
          <cell r="E161" t="str">
            <v>AF1</v>
          </cell>
          <cell r="F161">
            <v>0.8</v>
          </cell>
          <cell r="G161">
            <v>125</v>
          </cell>
          <cell r="H161">
            <v>390</v>
          </cell>
          <cell r="I161" t="str">
            <v>A</v>
          </cell>
          <cell r="K161">
            <v>1000</v>
          </cell>
          <cell r="L161">
            <v>310</v>
          </cell>
          <cell r="M161">
            <v>50084499</v>
          </cell>
          <cell r="N161">
            <v>38496</v>
          </cell>
          <cell r="P161" t="str">
            <v>FN5524N1M949706</v>
          </cell>
          <cell r="Q161" t="str">
            <v>แผ่นรองและสายรัดเป็นสนิม</v>
          </cell>
        </row>
        <row r="162">
          <cell r="A162">
            <v>50084500</v>
          </cell>
          <cell r="B162">
            <v>161</v>
          </cell>
          <cell r="C162" t="str">
            <v>MW01/2</v>
          </cell>
          <cell r="D162" t="str">
            <v>SPCC-SD</v>
          </cell>
          <cell r="E162" t="str">
            <v>AF1</v>
          </cell>
          <cell r="F162">
            <v>0.8</v>
          </cell>
          <cell r="G162">
            <v>125</v>
          </cell>
          <cell r="H162">
            <v>390</v>
          </cell>
          <cell r="I162" t="str">
            <v>A</v>
          </cell>
          <cell r="K162">
            <v>1000</v>
          </cell>
          <cell r="L162">
            <v>310</v>
          </cell>
          <cell r="M162">
            <v>50084500</v>
          </cell>
          <cell r="N162">
            <v>38496</v>
          </cell>
          <cell r="P162" t="str">
            <v>FN5524N1M949707</v>
          </cell>
          <cell r="Q162" t="str">
            <v>แผ่นรองและสายรัดเป็นสนิม</v>
          </cell>
        </row>
        <row r="163">
          <cell r="A163">
            <v>50084503</v>
          </cell>
          <cell r="B163">
            <v>162</v>
          </cell>
          <cell r="C163" t="str">
            <v>MW01/2</v>
          </cell>
          <cell r="D163" t="str">
            <v>SPCC-SD</v>
          </cell>
          <cell r="E163" t="str">
            <v>AF1</v>
          </cell>
          <cell r="F163">
            <v>0.8</v>
          </cell>
          <cell r="G163">
            <v>125</v>
          </cell>
          <cell r="H163">
            <v>390</v>
          </cell>
          <cell r="I163" t="str">
            <v>A</v>
          </cell>
          <cell r="K163">
            <v>1000</v>
          </cell>
          <cell r="L163">
            <v>310</v>
          </cell>
          <cell r="M163">
            <v>50084503</v>
          </cell>
          <cell r="N163">
            <v>38496</v>
          </cell>
          <cell r="P163" t="str">
            <v>FN5524N1M949708</v>
          </cell>
          <cell r="Q163" t="str">
            <v>แผ่นรองและสายรัดเป็นสนิม</v>
          </cell>
        </row>
        <row r="164">
          <cell r="A164">
            <v>50084552</v>
          </cell>
          <cell r="B164">
            <v>163</v>
          </cell>
          <cell r="C164" t="str">
            <v>MW01/2</v>
          </cell>
          <cell r="D164" t="str">
            <v>SPCC-SD</v>
          </cell>
          <cell r="E164" t="str">
            <v>AF1</v>
          </cell>
          <cell r="F164">
            <v>0.8</v>
          </cell>
          <cell r="G164">
            <v>125</v>
          </cell>
          <cell r="H164">
            <v>390</v>
          </cell>
          <cell r="I164" t="str">
            <v>A</v>
          </cell>
          <cell r="K164">
            <v>1000</v>
          </cell>
          <cell r="L164">
            <v>310</v>
          </cell>
          <cell r="M164">
            <v>50084552</v>
          </cell>
          <cell r="N164">
            <v>38497</v>
          </cell>
          <cell r="P164" t="str">
            <v>FN5525N1M949701</v>
          </cell>
          <cell r="Q164" t="str">
            <v>แผ่นรองและสายรัดเป็นสนิม</v>
          </cell>
        </row>
        <row r="165">
          <cell r="A165">
            <v>50084553</v>
          </cell>
          <cell r="B165">
            <v>164</v>
          </cell>
          <cell r="C165" t="str">
            <v>MW01/2</v>
          </cell>
          <cell r="D165" t="str">
            <v>SPCC-SD</v>
          </cell>
          <cell r="E165" t="str">
            <v>AF1</v>
          </cell>
          <cell r="F165">
            <v>0.8</v>
          </cell>
          <cell r="G165">
            <v>125</v>
          </cell>
          <cell r="H165">
            <v>390</v>
          </cell>
          <cell r="I165" t="str">
            <v>A</v>
          </cell>
          <cell r="K165">
            <v>1000</v>
          </cell>
          <cell r="L165">
            <v>310</v>
          </cell>
          <cell r="M165">
            <v>50084553</v>
          </cell>
          <cell r="N165">
            <v>38497</v>
          </cell>
          <cell r="P165" t="str">
            <v>FN5525N1M949702</v>
          </cell>
          <cell r="Q165" t="str">
            <v>แผ่นรองและสายรัดเป็นสนิม</v>
          </cell>
        </row>
        <row r="166">
          <cell r="A166">
            <v>50084554</v>
          </cell>
          <cell r="B166">
            <v>165</v>
          </cell>
          <cell r="C166" t="str">
            <v>MW01/2</v>
          </cell>
          <cell r="D166" t="str">
            <v>SPCC-SD</v>
          </cell>
          <cell r="E166" t="str">
            <v>AF1</v>
          </cell>
          <cell r="F166">
            <v>0.8</v>
          </cell>
          <cell r="G166">
            <v>125</v>
          </cell>
          <cell r="H166">
            <v>390</v>
          </cell>
          <cell r="I166" t="str">
            <v>A</v>
          </cell>
          <cell r="K166">
            <v>1000</v>
          </cell>
          <cell r="L166">
            <v>310</v>
          </cell>
          <cell r="M166">
            <v>50084554</v>
          </cell>
          <cell r="N166">
            <v>38497</v>
          </cell>
          <cell r="P166" t="str">
            <v>FN5525N1M949703</v>
          </cell>
          <cell r="Q166" t="str">
            <v>แผ่นรองและสายรัดเป็นสนิม</v>
          </cell>
        </row>
        <row r="167">
          <cell r="A167">
            <v>50138989</v>
          </cell>
          <cell r="B167">
            <v>166</v>
          </cell>
          <cell r="C167" t="str">
            <v>MW01/2</v>
          </cell>
          <cell r="D167" t="str">
            <v>SPCC-SD</v>
          </cell>
          <cell r="E167" t="str">
            <v>AF1</v>
          </cell>
          <cell r="F167">
            <v>1</v>
          </cell>
          <cell r="G167">
            <v>320</v>
          </cell>
          <cell r="H167">
            <v>555</v>
          </cell>
          <cell r="I167" t="str">
            <v>A</v>
          </cell>
          <cell r="K167">
            <v>300</v>
          </cell>
          <cell r="L167">
            <v>420</v>
          </cell>
          <cell r="M167">
            <v>50138989</v>
          </cell>
          <cell r="N167">
            <v>38932</v>
          </cell>
          <cell r="P167" t="str">
            <v>FN6803D1RSSS01</v>
          </cell>
          <cell r="Q167" t="str">
            <v>แผ่นรองและสายรัดเป็นสนิม</v>
          </cell>
        </row>
        <row r="168">
          <cell r="A168">
            <v>50141425</v>
          </cell>
          <cell r="B168">
            <v>167</v>
          </cell>
          <cell r="C168" t="str">
            <v>MW01/2</v>
          </cell>
          <cell r="D168" t="str">
            <v>SPCC-SD</v>
          </cell>
          <cell r="E168" t="str">
            <v>AF1</v>
          </cell>
          <cell r="F168">
            <v>1.2</v>
          </cell>
          <cell r="G168">
            <v>97</v>
          </cell>
          <cell r="H168">
            <v>1219</v>
          </cell>
          <cell r="I168" t="str">
            <v>A</v>
          </cell>
          <cell r="K168">
            <v>50</v>
          </cell>
          <cell r="L168">
            <v>56</v>
          </cell>
          <cell r="M168">
            <v>50141425</v>
          </cell>
          <cell r="N168">
            <v>38959</v>
          </cell>
          <cell r="P168" t="str">
            <v>FN6830D1M337401</v>
          </cell>
          <cell r="Q168" t="str">
            <v>สภาพปกติ</v>
          </cell>
        </row>
        <row r="169">
          <cell r="A169">
            <v>50139123</v>
          </cell>
          <cell r="B169">
            <v>168</v>
          </cell>
          <cell r="C169" t="str">
            <v>MW01/2</v>
          </cell>
          <cell r="D169" t="str">
            <v>SPCEN-SD</v>
          </cell>
          <cell r="E169" t="str">
            <v>AF3</v>
          </cell>
          <cell r="F169">
            <v>0.8</v>
          </cell>
          <cell r="G169">
            <v>310</v>
          </cell>
          <cell r="H169">
            <v>355</v>
          </cell>
          <cell r="I169" t="str">
            <v>A</v>
          </cell>
          <cell r="K169">
            <v>1000</v>
          </cell>
          <cell r="L169">
            <v>690</v>
          </cell>
          <cell r="M169">
            <v>50139123</v>
          </cell>
          <cell r="N169">
            <v>38933</v>
          </cell>
          <cell r="P169" t="str">
            <v>FN6804D1RSSS01</v>
          </cell>
          <cell r="Q169" t="str">
            <v>แผ่นรองและสายรัดเป็นสนิม กระดาษฉีกขาด</v>
          </cell>
        </row>
        <row r="170">
          <cell r="A170">
            <v>50084030</v>
          </cell>
          <cell r="B170">
            <v>169</v>
          </cell>
          <cell r="C170" t="str">
            <v>MW01/2</v>
          </cell>
          <cell r="D170" t="str">
            <v>SPCEN-SD</v>
          </cell>
          <cell r="E170" t="str">
            <v>AF3</v>
          </cell>
          <cell r="F170">
            <v>1</v>
          </cell>
          <cell r="G170">
            <v>410</v>
          </cell>
          <cell r="H170">
            <v>420</v>
          </cell>
          <cell r="I170" t="str">
            <v>A</v>
          </cell>
          <cell r="K170">
            <v>500</v>
          </cell>
          <cell r="L170">
            <v>675</v>
          </cell>
          <cell r="M170">
            <v>50084030</v>
          </cell>
          <cell r="N170">
            <v>38492</v>
          </cell>
          <cell r="P170" t="str">
            <v>FN5520N2M980101</v>
          </cell>
          <cell r="Q170" t="str">
            <v>แผ่นรองและสายรัดเป็นสนิม กระดาษฉีกขาด</v>
          </cell>
        </row>
        <row r="171">
          <cell r="A171">
            <v>50084031</v>
          </cell>
          <cell r="B171">
            <v>170</v>
          </cell>
          <cell r="C171" t="str">
            <v>MW01/2</v>
          </cell>
          <cell r="D171" t="str">
            <v>SPCEN-SD</v>
          </cell>
          <cell r="E171" t="str">
            <v>AF3</v>
          </cell>
          <cell r="F171">
            <v>1</v>
          </cell>
          <cell r="G171">
            <v>410</v>
          </cell>
          <cell r="H171">
            <v>420</v>
          </cell>
          <cell r="I171" t="str">
            <v>A</v>
          </cell>
          <cell r="K171">
            <v>500</v>
          </cell>
          <cell r="L171">
            <v>675</v>
          </cell>
          <cell r="M171">
            <v>50084031</v>
          </cell>
          <cell r="N171">
            <v>38492</v>
          </cell>
          <cell r="P171" t="str">
            <v>FN5520N2M980102</v>
          </cell>
          <cell r="Q171" t="str">
            <v>แผ่นรองและสายรัดเป็นสนิม กระดาษฉีกขาด</v>
          </cell>
        </row>
        <row r="172">
          <cell r="A172">
            <v>50128390</v>
          </cell>
          <cell r="B172">
            <v>171</v>
          </cell>
          <cell r="C172" t="str">
            <v>MW01/2</v>
          </cell>
          <cell r="D172" t="str">
            <v>SPCEN-SD</v>
          </cell>
          <cell r="E172" t="str">
            <v>AF3</v>
          </cell>
          <cell r="F172">
            <v>1</v>
          </cell>
          <cell r="G172">
            <v>420</v>
          </cell>
          <cell r="H172">
            <v>420</v>
          </cell>
          <cell r="I172" t="str">
            <v>A</v>
          </cell>
          <cell r="K172">
            <v>214</v>
          </cell>
          <cell r="L172">
            <v>295</v>
          </cell>
          <cell r="M172">
            <v>50128390</v>
          </cell>
          <cell r="N172">
            <v>38843</v>
          </cell>
          <cell r="P172" t="str">
            <v>FN6506N3M987801</v>
          </cell>
          <cell r="Q172" t="str">
            <v>แผ่นรองและสายรัดเป็นสนิม กระดาษฉีกขาด</v>
          </cell>
        </row>
        <row r="173">
          <cell r="A173">
            <v>50127599</v>
          </cell>
          <cell r="B173">
            <v>172</v>
          </cell>
          <cell r="C173" t="str">
            <v>MW01/2</v>
          </cell>
          <cell r="D173" t="str">
            <v>SPCEN-SD</v>
          </cell>
          <cell r="E173" t="str">
            <v>AF3</v>
          </cell>
          <cell r="F173">
            <v>1</v>
          </cell>
          <cell r="G173">
            <v>510</v>
          </cell>
          <cell r="H173">
            <v>525</v>
          </cell>
          <cell r="I173" t="str">
            <v>A</v>
          </cell>
          <cell r="K173">
            <v>300</v>
          </cell>
          <cell r="L173">
            <v>631</v>
          </cell>
          <cell r="M173">
            <v>50127599</v>
          </cell>
          <cell r="N173">
            <v>38834</v>
          </cell>
          <cell r="P173" t="str">
            <v>FN6427N3M967501</v>
          </cell>
          <cell r="Q173" t="str">
            <v>แผ่นรองและสายรัดเป็นสนิม กระดาษฉีกขาด</v>
          </cell>
        </row>
        <row r="174">
          <cell r="A174">
            <v>50127600</v>
          </cell>
          <cell r="B174">
            <v>173</v>
          </cell>
          <cell r="C174" t="str">
            <v>MW01/2</v>
          </cell>
          <cell r="D174" t="str">
            <v>SPCEN-SD</v>
          </cell>
          <cell r="E174" t="str">
            <v>AF3</v>
          </cell>
          <cell r="F174">
            <v>1</v>
          </cell>
          <cell r="G174">
            <v>510</v>
          </cell>
          <cell r="H174">
            <v>525</v>
          </cell>
          <cell r="I174" t="str">
            <v>A</v>
          </cell>
          <cell r="K174">
            <v>300</v>
          </cell>
          <cell r="L174">
            <v>631</v>
          </cell>
          <cell r="M174">
            <v>50127600</v>
          </cell>
          <cell r="N174">
            <v>38834</v>
          </cell>
          <cell r="P174" t="str">
            <v>FN6427N3M967501</v>
          </cell>
          <cell r="Q174" t="str">
            <v>แผ่นรองและสายรัดเป็นสนิม</v>
          </cell>
        </row>
        <row r="175">
          <cell r="A175">
            <v>50140854</v>
          </cell>
          <cell r="B175">
            <v>174</v>
          </cell>
          <cell r="C175" t="str">
            <v>MW01/2</v>
          </cell>
          <cell r="D175" t="str">
            <v>SAPH440 P/O</v>
          </cell>
          <cell r="E175" t="str">
            <v>CA5</v>
          </cell>
          <cell r="F175">
            <v>2</v>
          </cell>
          <cell r="G175">
            <v>205</v>
          </cell>
          <cell r="H175">
            <v>420</v>
          </cell>
          <cell r="I175" t="str">
            <v>A</v>
          </cell>
          <cell r="K175">
            <v>26</v>
          </cell>
          <cell r="L175">
            <v>35</v>
          </cell>
          <cell r="M175">
            <v>50140854</v>
          </cell>
          <cell r="N175">
            <v>38952</v>
          </cell>
          <cell r="P175" t="str">
            <v>FN6823D2M313101</v>
          </cell>
          <cell r="Q175" t="str">
            <v>สภาพปกติ</v>
          </cell>
        </row>
        <row r="176">
          <cell r="A176">
            <v>50126706</v>
          </cell>
          <cell r="B176">
            <v>175</v>
          </cell>
          <cell r="C176" t="str">
            <v>MW01/2</v>
          </cell>
          <cell r="D176" t="str">
            <v>SAPH440 P/O</v>
          </cell>
          <cell r="E176" t="str">
            <v>CA5</v>
          </cell>
          <cell r="F176">
            <v>4.5</v>
          </cell>
          <cell r="G176">
            <v>178</v>
          </cell>
          <cell r="H176">
            <v>1219</v>
          </cell>
          <cell r="I176" t="str">
            <v>A</v>
          </cell>
          <cell r="K176">
            <v>100</v>
          </cell>
          <cell r="L176">
            <v>782</v>
          </cell>
          <cell r="M176">
            <v>50126706</v>
          </cell>
          <cell r="N176">
            <v>38828</v>
          </cell>
          <cell r="P176" t="str">
            <v>FN6421D3R948801</v>
          </cell>
          <cell r="Q176" t="str">
            <v>แผ่นรองและสายรัดเป็นสนิม</v>
          </cell>
        </row>
        <row r="177">
          <cell r="A177">
            <v>50126707</v>
          </cell>
          <cell r="B177">
            <v>176</v>
          </cell>
          <cell r="C177" t="str">
            <v>MW01/2</v>
          </cell>
          <cell r="D177" t="str">
            <v>SAPH440 P/O</v>
          </cell>
          <cell r="E177" t="str">
            <v>CA5</v>
          </cell>
          <cell r="F177">
            <v>4.5</v>
          </cell>
          <cell r="G177">
            <v>178</v>
          </cell>
          <cell r="H177">
            <v>1219</v>
          </cell>
          <cell r="I177" t="str">
            <v>A</v>
          </cell>
          <cell r="K177">
            <v>100</v>
          </cell>
          <cell r="L177">
            <v>782</v>
          </cell>
          <cell r="M177">
            <v>50126707</v>
          </cell>
          <cell r="N177">
            <v>38828</v>
          </cell>
          <cell r="P177" t="str">
            <v>FN6421D3R948802</v>
          </cell>
          <cell r="Q177" t="str">
            <v>แผ่นรองและสายรัดเป็นสนิม</v>
          </cell>
        </row>
        <row r="178">
          <cell r="A178">
            <v>50124147</v>
          </cell>
          <cell r="B178">
            <v>177</v>
          </cell>
          <cell r="C178" t="str">
            <v>LW01/1</v>
          </cell>
          <cell r="D178" t="str">
            <v>SPCC-SD</v>
          </cell>
          <cell r="E178" t="str">
            <v>AF1</v>
          </cell>
          <cell r="F178">
            <v>1.4</v>
          </cell>
          <cell r="G178">
            <v>203</v>
          </cell>
          <cell r="H178">
            <v>1219</v>
          </cell>
          <cell r="I178" t="str">
            <v>A</v>
          </cell>
          <cell r="K178">
            <v>120</v>
          </cell>
          <cell r="L178">
            <v>330</v>
          </cell>
          <cell r="M178">
            <v>50124147</v>
          </cell>
          <cell r="N178">
            <v>38801</v>
          </cell>
          <cell r="O178" t="str">
            <v>F25A28SUD013</v>
          </cell>
          <cell r="P178" t="str">
            <v>FN6325D1L881901</v>
          </cell>
          <cell r="Q178" t="str">
            <v>แผ่นรองและสายรัดเป็นสนิม</v>
          </cell>
        </row>
        <row r="179">
          <cell r="A179">
            <v>50132954</v>
          </cell>
          <cell r="B179">
            <v>178</v>
          </cell>
          <cell r="C179" t="str">
            <v>LW01/1</v>
          </cell>
          <cell r="D179" t="str">
            <v>SPCC-SD</v>
          </cell>
          <cell r="E179" t="str">
            <v>AF1</v>
          </cell>
          <cell r="F179">
            <v>1.6</v>
          </cell>
          <cell r="G179">
            <v>70</v>
          </cell>
          <cell r="H179">
            <v>1219</v>
          </cell>
          <cell r="I179" t="str">
            <v>A</v>
          </cell>
          <cell r="K179">
            <v>38</v>
          </cell>
          <cell r="L179">
            <v>44</v>
          </cell>
          <cell r="M179">
            <v>50132954</v>
          </cell>
          <cell r="N179">
            <v>38881</v>
          </cell>
          <cell r="O179" t="str">
            <v>F25A28SUD013</v>
          </cell>
          <cell r="P179" t="str">
            <v>FN6613D2L101201</v>
          </cell>
          <cell r="Q179" t="str">
            <v>แผ่นรองและสายรัดเป็นสนิม</v>
          </cell>
        </row>
        <row r="180">
          <cell r="A180">
            <v>50132955</v>
          </cell>
          <cell r="B180">
            <v>179</v>
          </cell>
          <cell r="C180" t="str">
            <v>LW01/1</v>
          </cell>
          <cell r="D180" t="str">
            <v>SPCC-SD</v>
          </cell>
          <cell r="E180" t="str">
            <v>AF1</v>
          </cell>
          <cell r="F180">
            <v>1.6</v>
          </cell>
          <cell r="G180">
            <v>70</v>
          </cell>
          <cell r="H180">
            <v>1219</v>
          </cell>
          <cell r="I180" t="str">
            <v>A</v>
          </cell>
          <cell r="K180">
            <v>38</v>
          </cell>
          <cell r="L180">
            <v>44</v>
          </cell>
          <cell r="M180">
            <v>50132955</v>
          </cell>
          <cell r="N180">
            <v>38881</v>
          </cell>
          <cell r="O180" t="str">
            <v>F25A28SUD013</v>
          </cell>
          <cell r="P180" t="str">
            <v>FN6613D2L101202</v>
          </cell>
          <cell r="Q180" t="str">
            <v>แผ่นรองและสายรัดเป็นสนิม</v>
          </cell>
        </row>
        <row r="181">
          <cell r="A181">
            <v>50093274</v>
          </cell>
          <cell r="B181">
            <v>180</v>
          </cell>
          <cell r="C181" t="str">
            <v>LW01/1</v>
          </cell>
          <cell r="D181" t="str">
            <v>SPCC-SD</v>
          </cell>
          <cell r="E181" t="str">
            <v>AF1</v>
          </cell>
          <cell r="F181">
            <v>1.6</v>
          </cell>
          <cell r="G181">
            <v>75</v>
          </cell>
          <cell r="H181">
            <v>1219</v>
          </cell>
          <cell r="I181" t="str">
            <v>A</v>
          </cell>
          <cell r="K181">
            <v>70</v>
          </cell>
          <cell r="L181">
            <v>80</v>
          </cell>
          <cell r="M181">
            <v>50093274</v>
          </cell>
          <cell r="N181">
            <v>38567</v>
          </cell>
          <cell r="O181" t="str">
            <v>125218TCD005</v>
          </cell>
          <cell r="P181" t="str">
            <v>FN5803N1D191801</v>
          </cell>
          <cell r="Q181" t="str">
            <v>แผ่นรองและสายรัดเป็นสนิม</v>
          </cell>
        </row>
        <row r="182">
          <cell r="A182">
            <v>50135691</v>
          </cell>
          <cell r="B182">
            <v>181</v>
          </cell>
          <cell r="C182" t="str">
            <v>LW01/1</v>
          </cell>
          <cell r="D182" t="str">
            <v>SPCC-SD</v>
          </cell>
          <cell r="E182" t="str">
            <v>AF1</v>
          </cell>
          <cell r="F182">
            <v>1.6</v>
          </cell>
          <cell r="G182">
            <v>166</v>
          </cell>
          <cell r="H182">
            <v>1219</v>
          </cell>
          <cell r="I182" t="str">
            <v>A</v>
          </cell>
          <cell r="K182">
            <v>500</v>
          </cell>
          <cell r="L182">
            <v>1275</v>
          </cell>
          <cell r="M182">
            <v>50135691</v>
          </cell>
          <cell r="N182">
            <v>38904</v>
          </cell>
          <cell r="O182" t="str">
            <v>F25809TCD012</v>
          </cell>
          <cell r="P182" t="str">
            <v>FN6706N2L181401</v>
          </cell>
          <cell r="Q182" t="str">
            <v>แผ่นรองและสายรัดเป็นสนิม</v>
          </cell>
        </row>
        <row r="183">
          <cell r="A183">
            <v>50135692</v>
          </cell>
          <cell r="B183">
            <v>182</v>
          </cell>
          <cell r="C183" t="str">
            <v>LW01/1</v>
          </cell>
          <cell r="D183" t="str">
            <v>SPCC-SD</v>
          </cell>
          <cell r="E183" t="str">
            <v>AF1</v>
          </cell>
          <cell r="F183">
            <v>1.6</v>
          </cell>
          <cell r="G183">
            <v>166</v>
          </cell>
          <cell r="H183">
            <v>1219</v>
          </cell>
          <cell r="I183" t="str">
            <v>A</v>
          </cell>
          <cell r="K183">
            <v>500</v>
          </cell>
          <cell r="L183">
            <v>1278</v>
          </cell>
          <cell r="M183">
            <v>50135692</v>
          </cell>
          <cell r="N183">
            <v>38904</v>
          </cell>
          <cell r="O183" t="str">
            <v>F25809TCD012</v>
          </cell>
          <cell r="P183" t="str">
            <v>FN6706N2L181402</v>
          </cell>
          <cell r="Q183" t="str">
            <v>แผ่นรองและสายรัดเป็นสนิม</v>
          </cell>
        </row>
        <row r="184">
          <cell r="A184">
            <v>50135693</v>
          </cell>
          <cell r="B184">
            <v>183</v>
          </cell>
          <cell r="C184" t="str">
            <v>LW01/1</v>
          </cell>
          <cell r="D184" t="str">
            <v>SPCC-SD</v>
          </cell>
          <cell r="E184" t="str">
            <v>AF1</v>
          </cell>
          <cell r="F184">
            <v>1.6</v>
          </cell>
          <cell r="G184">
            <v>166</v>
          </cell>
          <cell r="H184">
            <v>1219</v>
          </cell>
          <cell r="I184" t="str">
            <v>A</v>
          </cell>
          <cell r="K184">
            <v>166</v>
          </cell>
          <cell r="L184">
            <v>422</v>
          </cell>
          <cell r="M184">
            <v>50135693</v>
          </cell>
          <cell r="N184">
            <v>38904</v>
          </cell>
          <cell r="O184" t="str">
            <v>F25809TCD012</v>
          </cell>
          <cell r="P184" t="str">
            <v>FN6706N2L181403</v>
          </cell>
          <cell r="Q184" t="str">
            <v>แผ่นรองและสายรัดเป็นสนิม</v>
          </cell>
        </row>
        <row r="185">
          <cell r="A185">
            <v>50135907</v>
          </cell>
          <cell r="B185">
            <v>184</v>
          </cell>
          <cell r="C185" t="str">
            <v>LW01/1</v>
          </cell>
          <cell r="D185" t="str">
            <v>SPCC-SD</v>
          </cell>
          <cell r="E185" t="str">
            <v>AF1</v>
          </cell>
          <cell r="F185">
            <v>2</v>
          </cell>
          <cell r="G185">
            <v>106</v>
          </cell>
          <cell r="H185">
            <v>1219</v>
          </cell>
          <cell r="I185" t="str">
            <v>A</v>
          </cell>
          <cell r="K185">
            <v>2</v>
          </cell>
          <cell r="L185">
            <v>4</v>
          </cell>
          <cell r="M185">
            <v>50135907</v>
          </cell>
          <cell r="N185">
            <v>38905</v>
          </cell>
          <cell r="O185" t="str">
            <v>F25127TCD007</v>
          </cell>
          <cell r="P185" t="str">
            <v>FN6707N3D182001</v>
          </cell>
          <cell r="Q185" t="str">
            <v>สภาพปกติ</v>
          </cell>
        </row>
        <row r="186">
          <cell r="A186">
            <v>50126126</v>
          </cell>
          <cell r="B186">
            <v>185</v>
          </cell>
          <cell r="C186" t="str">
            <v>LW01/1</v>
          </cell>
          <cell r="D186" t="str">
            <v>SPCC-SD</v>
          </cell>
          <cell r="E186" t="str">
            <v>AF1</v>
          </cell>
          <cell r="F186">
            <v>2</v>
          </cell>
          <cell r="G186">
            <v>750</v>
          </cell>
          <cell r="H186">
            <v>1000</v>
          </cell>
          <cell r="I186" t="str">
            <v>A</v>
          </cell>
          <cell r="K186">
            <v>120</v>
          </cell>
          <cell r="L186">
            <v>1420</v>
          </cell>
          <cell r="M186">
            <v>50126126</v>
          </cell>
          <cell r="N186">
            <v>38824</v>
          </cell>
          <cell r="O186" t="str">
            <v>F26318SUD007</v>
          </cell>
          <cell r="P186" t="str">
            <v>FN6417D1L930801</v>
          </cell>
          <cell r="Q186" t="str">
            <v>แผ่นรองและสายรัดเป็นสนิม</v>
          </cell>
        </row>
        <row r="187">
          <cell r="A187">
            <v>50126127</v>
          </cell>
          <cell r="B187">
            <v>186</v>
          </cell>
          <cell r="C187" t="str">
            <v>LW01/1</v>
          </cell>
          <cell r="D187" t="str">
            <v>SPCC-SD</v>
          </cell>
          <cell r="E187" t="str">
            <v>AF1</v>
          </cell>
          <cell r="F187">
            <v>2</v>
          </cell>
          <cell r="G187">
            <v>750</v>
          </cell>
          <cell r="H187">
            <v>1000</v>
          </cell>
          <cell r="I187" t="str">
            <v>A</v>
          </cell>
          <cell r="K187">
            <v>120</v>
          </cell>
          <cell r="L187">
            <v>1418</v>
          </cell>
          <cell r="M187">
            <v>50126127</v>
          </cell>
          <cell r="N187">
            <v>38824</v>
          </cell>
          <cell r="O187" t="str">
            <v>F26318SUD007</v>
          </cell>
          <cell r="P187" t="str">
            <v>FN6417D1L930802</v>
          </cell>
          <cell r="Q187" t="str">
            <v>แผ่นรองและสายรัดเป็นสนิม</v>
          </cell>
        </row>
        <row r="188">
          <cell r="A188">
            <v>50126128</v>
          </cell>
          <cell r="B188">
            <v>187</v>
          </cell>
          <cell r="C188" t="str">
            <v>LW01/1</v>
          </cell>
          <cell r="D188" t="str">
            <v>SPCC-SD</v>
          </cell>
          <cell r="E188" t="str">
            <v>AF1</v>
          </cell>
          <cell r="F188">
            <v>2</v>
          </cell>
          <cell r="G188">
            <v>750</v>
          </cell>
          <cell r="H188">
            <v>1000</v>
          </cell>
          <cell r="I188" t="str">
            <v>A</v>
          </cell>
          <cell r="K188">
            <v>120</v>
          </cell>
          <cell r="L188">
            <v>1418</v>
          </cell>
          <cell r="M188">
            <v>50126128</v>
          </cell>
          <cell r="N188">
            <v>38824</v>
          </cell>
          <cell r="O188" t="str">
            <v>F26318SUD007</v>
          </cell>
          <cell r="P188" t="str">
            <v>FN6417D1L930803</v>
          </cell>
          <cell r="Q188" t="str">
            <v>แผ่นรองและสายรัดเป็นสนิม</v>
          </cell>
        </row>
        <row r="189">
          <cell r="A189">
            <v>50126129</v>
          </cell>
          <cell r="B189">
            <v>188</v>
          </cell>
          <cell r="C189" t="str">
            <v>LW01/1</v>
          </cell>
          <cell r="D189" t="str">
            <v>SPCC-SD</v>
          </cell>
          <cell r="E189" t="str">
            <v>AF1</v>
          </cell>
          <cell r="F189">
            <v>2</v>
          </cell>
          <cell r="G189">
            <v>750</v>
          </cell>
          <cell r="H189">
            <v>1000</v>
          </cell>
          <cell r="I189" t="str">
            <v>A</v>
          </cell>
          <cell r="K189">
            <v>120</v>
          </cell>
          <cell r="L189">
            <v>1420</v>
          </cell>
          <cell r="M189">
            <v>50126129</v>
          </cell>
          <cell r="N189">
            <v>38824</v>
          </cell>
          <cell r="O189" t="str">
            <v>F26318SUD007</v>
          </cell>
          <cell r="P189" t="str">
            <v>FN6417D1L930804</v>
          </cell>
          <cell r="Q189" t="str">
            <v>แผ่นรองและสายรัดเป็นสนิม</v>
          </cell>
        </row>
        <row r="190">
          <cell r="A190">
            <v>50126130</v>
          </cell>
          <cell r="B190">
            <v>189</v>
          </cell>
          <cell r="C190" t="str">
            <v>LW01/1</v>
          </cell>
          <cell r="D190" t="str">
            <v>SPCC-SD</v>
          </cell>
          <cell r="E190" t="str">
            <v>AF1</v>
          </cell>
          <cell r="F190">
            <v>2</v>
          </cell>
          <cell r="G190">
            <v>750</v>
          </cell>
          <cell r="H190">
            <v>1000</v>
          </cell>
          <cell r="I190" t="str">
            <v>A</v>
          </cell>
          <cell r="K190">
            <v>100</v>
          </cell>
          <cell r="L190">
            <v>1180</v>
          </cell>
          <cell r="M190">
            <v>50126130</v>
          </cell>
          <cell r="N190">
            <v>38824</v>
          </cell>
          <cell r="O190" t="str">
            <v>F26318SUD007</v>
          </cell>
          <cell r="P190" t="str">
            <v>FN6417D1L930805</v>
          </cell>
          <cell r="Q190" t="str">
            <v>แผ่นรองและสายรัดเป็นสนิม</v>
          </cell>
        </row>
        <row r="191">
          <cell r="A191">
            <v>50135077</v>
          </cell>
          <cell r="B191">
            <v>190</v>
          </cell>
          <cell r="C191" t="str">
            <v>LW01/1</v>
          </cell>
          <cell r="D191" t="str">
            <v>SPCC-SD</v>
          </cell>
          <cell r="E191" t="str">
            <v>AF1</v>
          </cell>
          <cell r="F191">
            <v>2.2999999999999998</v>
          </cell>
          <cell r="G191">
            <v>58</v>
          </cell>
          <cell r="H191">
            <v>1219</v>
          </cell>
          <cell r="I191" t="str">
            <v>A</v>
          </cell>
          <cell r="K191">
            <v>12</v>
          </cell>
          <cell r="L191">
            <v>15</v>
          </cell>
          <cell r="M191">
            <v>50135077</v>
          </cell>
          <cell r="N191">
            <v>38899</v>
          </cell>
          <cell r="O191" t="str">
            <v>F26208SUD005</v>
          </cell>
          <cell r="P191" t="str">
            <v>FN6701N1D159001</v>
          </cell>
          <cell r="Q191" t="str">
            <v>กระดาษฉีกขาด</v>
          </cell>
        </row>
        <row r="192">
          <cell r="A192">
            <v>50112800</v>
          </cell>
          <cell r="B192">
            <v>191</v>
          </cell>
          <cell r="C192" t="str">
            <v>LW01/1</v>
          </cell>
          <cell r="D192" t="str">
            <v>SPCC-SD</v>
          </cell>
          <cell r="E192" t="str">
            <v>AF1</v>
          </cell>
          <cell r="F192">
            <v>2.2999999999999998</v>
          </cell>
          <cell r="G192">
            <v>110</v>
          </cell>
          <cell r="H192">
            <v>1219</v>
          </cell>
          <cell r="I192" t="str">
            <v>A</v>
          </cell>
          <cell r="K192">
            <v>100</v>
          </cell>
          <cell r="L192">
            <v>242</v>
          </cell>
          <cell r="M192">
            <v>50112800</v>
          </cell>
          <cell r="N192">
            <v>38723</v>
          </cell>
          <cell r="O192" t="str">
            <v>N25718TCD001</v>
          </cell>
          <cell r="P192" t="str">
            <v>FN6106N2D614801</v>
          </cell>
          <cell r="Q192" t="str">
            <v>แผ่นรองและสายรัดเป็นสนิม</v>
          </cell>
        </row>
        <row r="193">
          <cell r="A193">
            <v>50126501</v>
          </cell>
          <cell r="B193">
            <v>192</v>
          </cell>
          <cell r="C193" t="str">
            <v>LW01/1</v>
          </cell>
          <cell r="D193" t="str">
            <v>SPCC-SD</v>
          </cell>
          <cell r="E193" t="str">
            <v>AF1</v>
          </cell>
          <cell r="F193">
            <v>2.2999999999999998</v>
          </cell>
          <cell r="G193">
            <v>210</v>
          </cell>
          <cell r="H193">
            <v>1219</v>
          </cell>
          <cell r="I193" t="str">
            <v>A</v>
          </cell>
          <cell r="K193">
            <v>70</v>
          </cell>
          <cell r="L193">
            <v>320</v>
          </cell>
          <cell r="M193">
            <v>50126501</v>
          </cell>
          <cell r="N193">
            <v>38826</v>
          </cell>
          <cell r="O193" t="str">
            <v>F25A26SUD001</v>
          </cell>
          <cell r="P193" t="str">
            <v>FN6419N1L942201</v>
          </cell>
          <cell r="Q193" t="str">
            <v>แผ่นรองและสายรัดเป็นสนิม</v>
          </cell>
        </row>
        <row r="194">
          <cell r="A194">
            <v>50135594</v>
          </cell>
          <cell r="B194">
            <v>193</v>
          </cell>
          <cell r="C194" t="str">
            <v>LW01/1</v>
          </cell>
          <cell r="D194" t="str">
            <v>SPCC-SD</v>
          </cell>
          <cell r="E194" t="str">
            <v>AF1</v>
          </cell>
          <cell r="F194">
            <v>2.2999999999999998</v>
          </cell>
          <cell r="G194">
            <v>210</v>
          </cell>
          <cell r="H194">
            <v>1219</v>
          </cell>
          <cell r="I194" t="str">
            <v>A</v>
          </cell>
          <cell r="K194">
            <v>70</v>
          </cell>
          <cell r="L194">
            <v>326</v>
          </cell>
          <cell r="M194">
            <v>50135594</v>
          </cell>
          <cell r="N194">
            <v>38903</v>
          </cell>
          <cell r="O194" t="str">
            <v>F26607TCD018</v>
          </cell>
          <cell r="P194" t="str">
            <v>FN6705D2L173501</v>
          </cell>
          <cell r="Q194" t="str">
            <v>แผ่นรองและสายรัดเป็นสนิม</v>
          </cell>
        </row>
        <row r="195">
          <cell r="A195">
            <v>50135595</v>
          </cell>
          <cell r="B195">
            <v>194</v>
          </cell>
          <cell r="C195" t="str">
            <v>LW01/1</v>
          </cell>
          <cell r="D195" t="str">
            <v>SPCC-SD</v>
          </cell>
          <cell r="E195" t="str">
            <v>AF1</v>
          </cell>
          <cell r="F195">
            <v>2.2999999999999998</v>
          </cell>
          <cell r="G195">
            <v>210</v>
          </cell>
          <cell r="H195">
            <v>1219</v>
          </cell>
          <cell r="I195" t="str">
            <v>A</v>
          </cell>
          <cell r="K195">
            <v>70</v>
          </cell>
          <cell r="L195">
            <v>324</v>
          </cell>
          <cell r="M195">
            <v>50135595</v>
          </cell>
          <cell r="N195">
            <v>38903</v>
          </cell>
          <cell r="O195" t="str">
            <v>F26607TCD019</v>
          </cell>
          <cell r="P195" t="str">
            <v>FN6705D2L173502</v>
          </cell>
          <cell r="Q195" t="str">
            <v>แผ่นรองและสายรัดเป็นสนิม</v>
          </cell>
        </row>
        <row r="196">
          <cell r="A196">
            <v>50135596</v>
          </cell>
          <cell r="B196">
            <v>195</v>
          </cell>
          <cell r="C196" t="str">
            <v>LW01/1</v>
          </cell>
          <cell r="D196" t="str">
            <v>SPCC-SD</v>
          </cell>
          <cell r="E196" t="str">
            <v>AF1</v>
          </cell>
          <cell r="F196">
            <v>2.2999999999999998</v>
          </cell>
          <cell r="G196">
            <v>210</v>
          </cell>
          <cell r="H196">
            <v>1219</v>
          </cell>
          <cell r="I196" t="str">
            <v>A</v>
          </cell>
          <cell r="K196">
            <v>70</v>
          </cell>
          <cell r="L196">
            <v>325</v>
          </cell>
          <cell r="M196">
            <v>50135596</v>
          </cell>
          <cell r="N196">
            <v>38903</v>
          </cell>
          <cell r="O196" t="str">
            <v>F26607TCD019</v>
          </cell>
          <cell r="P196" t="str">
            <v>FN6705D2L173503</v>
          </cell>
          <cell r="Q196" t="str">
            <v>แผ่นรองและสายรัดเป็นสนิม</v>
          </cell>
        </row>
        <row r="197">
          <cell r="A197">
            <v>50123330</v>
          </cell>
          <cell r="B197">
            <v>196</v>
          </cell>
          <cell r="C197" t="str">
            <v>LW01/1</v>
          </cell>
          <cell r="D197" t="str">
            <v>SPCEN-SD</v>
          </cell>
          <cell r="E197" t="str">
            <v>AF3</v>
          </cell>
          <cell r="F197">
            <v>0.8</v>
          </cell>
          <cell r="G197">
            <v>136</v>
          </cell>
          <cell r="H197">
            <v>1219</v>
          </cell>
          <cell r="I197" t="str">
            <v>A</v>
          </cell>
          <cell r="K197">
            <v>30</v>
          </cell>
          <cell r="L197">
            <v>30</v>
          </cell>
          <cell r="M197">
            <v>50123330</v>
          </cell>
          <cell r="N197">
            <v>38797</v>
          </cell>
          <cell r="O197" t="str">
            <v>F25824SUD006</v>
          </cell>
          <cell r="P197" t="str">
            <v>FN6321D3RQQQQ01</v>
          </cell>
          <cell r="Q197" t="str">
            <v>แผ่นรองและสายรัดเป็นสนิม</v>
          </cell>
        </row>
        <row r="198">
          <cell r="A198">
            <v>50138476</v>
          </cell>
          <cell r="B198">
            <v>197</v>
          </cell>
          <cell r="C198" t="str">
            <v>LW01/1</v>
          </cell>
          <cell r="D198" t="str">
            <v>SPHC P/O</v>
          </cell>
          <cell r="E198" t="str">
            <v>CA1</v>
          </cell>
          <cell r="F198">
            <v>1.6</v>
          </cell>
          <cell r="G198">
            <v>164</v>
          </cell>
          <cell r="H198">
            <v>1219</v>
          </cell>
          <cell r="I198" t="str">
            <v>A</v>
          </cell>
          <cell r="K198">
            <v>85</v>
          </cell>
          <cell r="L198">
            <v>216</v>
          </cell>
          <cell r="M198">
            <v>50138476</v>
          </cell>
          <cell r="N198">
            <v>38929</v>
          </cell>
          <cell r="O198" t="str">
            <v>F36710PCI045</v>
          </cell>
          <cell r="P198" t="str">
            <v>FN6731N2L251801</v>
          </cell>
          <cell r="Q198" t="str">
            <v>สถาพปกติ</v>
          </cell>
        </row>
        <row r="199">
          <cell r="A199">
            <v>50141114</v>
          </cell>
          <cell r="B199">
            <v>198</v>
          </cell>
          <cell r="C199" t="str">
            <v>LW01/1</v>
          </cell>
          <cell r="D199" t="str">
            <v>SPHC P/O</v>
          </cell>
          <cell r="E199" t="str">
            <v>CA1</v>
          </cell>
          <cell r="F199">
            <v>1.6</v>
          </cell>
          <cell r="G199">
            <v>260</v>
          </cell>
          <cell r="H199">
            <v>1219</v>
          </cell>
          <cell r="I199" t="str">
            <v>A</v>
          </cell>
          <cell r="K199">
            <v>100</v>
          </cell>
          <cell r="L199">
            <v>398</v>
          </cell>
          <cell r="M199">
            <v>50141114</v>
          </cell>
          <cell r="N199">
            <v>38955</v>
          </cell>
          <cell r="O199" t="str">
            <v>136710PCI005</v>
          </cell>
          <cell r="P199" t="str">
            <v>FN6826N2L330101</v>
          </cell>
          <cell r="Q199" t="str">
            <v>สถาพปกติ</v>
          </cell>
        </row>
        <row r="200">
          <cell r="A200">
            <v>50141113</v>
          </cell>
          <cell r="B200">
            <v>199</v>
          </cell>
          <cell r="C200" t="str">
            <v>LW01/1</v>
          </cell>
          <cell r="D200" t="str">
            <v>SPHC P/O</v>
          </cell>
          <cell r="E200" t="str">
            <v>CA1</v>
          </cell>
          <cell r="F200">
            <v>1.6</v>
          </cell>
          <cell r="G200">
            <v>370</v>
          </cell>
          <cell r="H200">
            <v>1219</v>
          </cell>
          <cell r="I200" t="str">
            <v>A</v>
          </cell>
          <cell r="K200">
            <v>100</v>
          </cell>
          <cell r="L200">
            <v>566</v>
          </cell>
          <cell r="M200">
            <v>50141113</v>
          </cell>
          <cell r="N200">
            <v>38955</v>
          </cell>
          <cell r="O200" t="str">
            <v>136710PCI005</v>
          </cell>
          <cell r="P200" t="str">
            <v>FN6826N2L330101</v>
          </cell>
          <cell r="Q200" t="str">
            <v>สภาพปกติ</v>
          </cell>
        </row>
        <row r="201">
          <cell r="A201">
            <v>50140971</v>
          </cell>
          <cell r="B201">
            <v>200</v>
          </cell>
          <cell r="C201" t="str">
            <v>LW01/1</v>
          </cell>
          <cell r="D201" t="str">
            <v>SPHC P/O</v>
          </cell>
          <cell r="E201" t="str">
            <v>CA1</v>
          </cell>
          <cell r="F201">
            <v>2</v>
          </cell>
          <cell r="G201">
            <v>76</v>
          </cell>
          <cell r="H201">
            <v>1219</v>
          </cell>
          <cell r="I201" t="str">
            <v>A</v>
          </cell>
          <cell r="K201">
            <v>200</v>
          </cell>
          <cell r="L201">
            <v>290</v>
          </cell>
          <cell r="M201">
            <v>50140971</v>
          </cell>
          <cell r="N201">
            <v>38953</v>
          </cell>
          <cell r="O201" t="str">
            <v>R35928PCI002</v>
          </cell>
          <cell r="P201" t="str">
            <v>FN6824N2L284801</v>
          </cell>
          <cell r="Q201" t="str">
            <v>สภาพปกติ</v>
          </cell>
        </row>
        <row r="202">
          <cell r="A202">
            <v>50121900</v>
          </cell>
          <cell r="B202">
            <v>201</v>
          </cell>
          <cell r="C202" t="str">
            <v>LW01/1</v>
          </cell>
          <cell r="D202" t="str">
            <v>SPHC P/O</v>
          </cell>
          <cell r="E202" t="str">
            <v>CA1</v>
          </cell>
          <cell r="F202">
            <v>2</v>
          </cell>
          <cell r="G202">
            <v>147</v>
          </cell>
          <cell r="H202">
            <v>1219</v>
          </cell>
          <cell r="I202" t="str">
            <v>A</v>
          </cell>
          <cell r="K202">
            <v>150</v>
          </cell>
          <cell r="L202">
            <v>421</v>
          </cell>
          <cell r="M202">
            <v>50121900</v>
          </cell>
          <cell r="N202">
            <v>38789</v>
          </cell>
          <cell r="O202" t="str">
            <v>135618SSD002</v>
          </cell>
          <cell r="P202" t="str">
            <v>FN6313D2L822201</v>
          </cell>
          <cell r="Q202" t="str">
            <v>แผ่นรองและสายรัดเป็นสนิม</v>
          </cell>
        </row>
        <row r="203">
          <cell r="A203">
            <v>50121901</v>
          </cell>
          <cell r="B203">
            <v>202</v>
          </cell>
          <cell r="C203" t="str">
            <v>LW01/1</v>
          </cell>
          <cell r="D203" t="str">
            <v>SPHC P/O</v>
          </cell>
          <cell r="E203" t="str">
            <v>CA1</v>
          </cell>
          <cell r="F203">
            <v>2</v>
          </cell>
          <cell r="G203">
            <v>147</v>
          </cell>
          <cell r="H203">
            <v>1219</v>
          </cell>
          <cell r="I203" t="str">
            <v>A</v>
          </cell>
          <cell r="K203">
            <v>150</v>
          </cell>
          <cell r="L203">
            <v>421</v>
          </cell>
          <cell r="M203">
            <v>50121901</v>
          </cell>
          <cell r="N203">
            <v>38789</v>
          </cell>
          <cell r="O203" t="str">
            <v>135618SSD002</v>
          </cell>
          <cell r="P203" t="str">
            <v>FN6313D2L822202</v>
          </cell>
          <cell r="Q203" t="str">
            <v>แผ่นรองและสายรัดเป็นสนิม</v>
          </cell>
        </row>
        <row r="204">
          <cell r="A204">
            <v>50121902</v>
          </cell>
          <cell r="B204">
            <v>203</v>
          </cell>
          <cell r="C204" t="str">
            <v>LW01/1</v>
          </cell>
          <cell r="D204" t="str">
            <v>SPHC P/O</v>
          </cell>
          <cell r="E204" t="str">
            <v>CA1</v>
          </cell>
          <cell r="F204">
            <v>2</v>
          </cell>
          <cell r="G204">
            <v>147</v>
          </cell>
          <cell r="H204">
            <v>1219</v>
          </cell>
          <cell r="I204" t="str">
            <v>A</v>
          </cell>
          <cell r="K204">
            <v>150</v>
          </cell>
          <cell r="L204">
            <v>421</v>
          </cell>
          <cell r="M204">
            <v>50121902</v>
          </cell>
          <cell r="N204">
            <v>38789</v>
          </cell>
          <cell r="O204" t="str">
            <v>135618SSD002</v>
          </cell>
          <cell r="P204" t="str">
            <v>FN6313D2L822203</v>
          </cell>
          <cell r="Q204" t="str">
            <v>แผ่นรองและสายรัดเป็นสนิม</v>
          </cell>
        </row>
        <row r="205">
          <cell r="A205">
            <v>50121903</v>
          </cell>
          <cell r="B205">
            <v>204</v>
          </cell>
          <cell r="C205" t="str">
            <v>LW01/1</v>
          </cell>
          <cell r="D205" t="str">
            <v>SPHC P/O</v>
          </cell>
          <cell r="E205" t="str">
            <v>CA1</v>
          </cell>
          <cell r="F205">
            <v>2</v>
          </cell>
          <cell r="G205">
            <v>147</v>
          </cell>
          <cell r="H205">
            <v>1219</v>
          </cell>
          <cell r="I205" t="str">
            <v>A</v>
          </cell>
          <cell r="K205">
            <v>150</v>
          </cell>
          <cell r="L205">
            <v>421</v>
          </cell>
          <cell r="M205">
            <v>50121903</v>
          </cell>
          <cell r="N205">
            <v>38789</v>
          </cell>
          <cell r="O205" t="str">
            <v>135618SSD002</v>
          </cell>
          <cell r="P205" t="str">
            <v>FN6313D2L822204</v>
          </cell>
          <cell r="Q205" t="str">
            <v>แผ่นรองและสายรัดเป็นสนิม</v>
          </cell>
        </row>
        <row r="206">
          <cell r="A206">
            <v>50140973</v>
          </cell>
          <cell r="B206">
            <v>205</v>
          </cell>
          <cell r="C206" t="str">
            <v>LW01/1</v>
          </cell>
          <cell r="D206" t="str">
            <v>SPHC P/O</v>
          </cell>
          <cell r="E206" t="str">
            <v>CA1</v>
          </cell>
          <cell r="F206">
            <v>2</v>
          </cell>
          <cell r="G206">
            <v>154</v>
          </cell>
          <cell r="H206">
            <v>1219</v>
          </cell>
          <cell r="I206" t="str">
            <v>A</v>
          </cell>
          <cell r="K206">
            <v>100</v>
          </cell>
          <cell r="L206">
            <v>295</v>
          </cell>
          <cell r="M206">
            <v>50140973</v>
          </cell>
          <cell r="N206">
            <v>38953</v>
          </cell>
          <cell r="O206" t="str">
            <v>R35128PCI002</v>
          </cell>
          <cell r="P206" t="str">
            <v>FN6824N2L284801</v>
          </cell>
          <cell r="Q206" t="str">
            <v>สภาพปกติ</v>
          </cell>
        </row>
        <row r="207">
          <cell r="A207">
            <v>50141007</v>
          </cell>
          <cell r="B207">
            <v>206</v>
          </cell>
          <cell r="C207" t="str">
            <v>LW01/1</v>
          </cell>
          <cell r="D207" t="str">
            <v>SPHC P/O</v>
          </cell>
          <cell r="E207" t="str">
            <v>CA1</v>
          </cell>
          <cell r="F207">
            <v>2.2999999999999998</v>
          </cell>
          <cell r="G207">
            <v>76</v>
          </cell>
          <cell r="H207">
            <v>1219</v>
          </cell>
          <cell r="I207" t="str">
            <v>A</v>
          </cell>
          <cell r="K207">
            <v>100</v>
          </cell>
          <cell r="L207">
            <v>167</v>
          </cell>
          <cell r="M207">
            <v>50141007</v>
          </cell>
          <cell r="N207">
            <v>38954</v>
          </cell>
          <cell r="O207" t="str">
            <v>F36819PCI001</v>
          </cell>
          <cell r="P207" t="str">
            <v>FN6825N2L326502</v>
          </cell>
          <cell r="Q207" t="str">
            <v>สภาพปกติ</v>
          </cell>
        </row>
        <row r="208">
          <cell r="A208">
            <v>50141008</v>
          </cell>
          <cell r="B208">
            <v>207</v>
          </cell>
          <cell r="C208" t="str">
            <v>LW01/1</v>
          </cell>
          <cell r="D208" t="str">
            <v>SPHC P/O</v>
          </cell>
          <cell r="E208" t="str">
            <v>CA1</v>
          </cell>
          <cell r="F208">
            <v>2.2999999999999998</v>
          </cell>
          <cell r="G208">
            <v>88</v>
          </cell>
          <cell r="H208">
            <v>1219</v>
          </cell>
          <cell r="I208" t="str">
            <v>A</v>
          </cell>
          <cell r="K208">
            <v>100</v>
          </cell>
          <cell r="L208">
            <v>194</v>
          </cell>
          <cell r="M208">
            <v>50141008</v>
          </cell>
          <cell r="N208">
            <v>38954</v>
          </cell>
          <cell r="O208" t="str">
            <v>F36819PCI001</v>
          </cell>
          <cell r="P208" t="str">
            <v>FN6825N2L326501</v>
          </cell>
          <cell r="Q208" t="str">
            <v>สภาพปกติ</v>
          </cell>
        </row>
        <row r="209">
          <cell r="A209">
            <v>50141010</v>
          </cell>
          <cell r="B209">
            <v>208</v>
          </cell>
          <cell r="C209" t="str">
            <v>LW01/1</v>
          </cell>
          <cell r="D209" t="str">
            <v>SPHC P/O</v>
          </cell>
          <cell r="E209" t="str">
            <v>CA1</v>
          </cell>
          <cell r="F209">
            <v>2.2999999999999998</v>
          </cell>
          <cell r="G209">
            <v>130</v>
          </cell>
          <cell r="H209">
            <v>1219</v>
          </cell>
          <cell r="I209" t="str">
            <v>A</v>
          </cell>
          <cell r="K209">
            <v>200</v>
          </cell>
          <cell r="L209">
            <v>572</v>
          </cell>
          <cell r="M209">
            <v>50141010</v>
          </cell>
          <cell r="N209">
            <v>38954</v>
          </cell>
          <cell r="O209" t="str">
            <v>F36819PCI001</v>
          </cell>
          <cell r="P209" t="str">
            <v>FN6825N2L326501</v>
          </cell>
          <cell r="Q209" t="str">
            <v>สภาพปกติ</v>
          </cell>
        </row>
        <row r="210">
          <cell r="A210">
            <v>50141019</v>
          </cell>
          <cell r="B210">
            <v>209</v>
          </cell>
          <cell r="C210" t="str">
            <v>LW01/1</v>
          </cell>
          <cell r="D210" t="str">
            <v>SPHC P/O</v>
          </cell>
          <cell r="E210" t="str">
            <v>CA1</v>
          </cell>
          <cell r="F210">
            <v>2.2999999999999998</v>
          </cell>
          <cell r="G210">
            <v>140</v>
          </cell>
          <cell r="H210">
            <v>1219</v>
          </cell>
          <cell r="I210" t="str">
            <v>A</v>
          </cell>
          <cell r="K210">
            <v>100</v>
          </cell>
          <cell r="L210">
            <v>308</v>
          </cell>
          <cell r="M210">
            <v>50141019</v>
          </cell>
          <cell r="N210">
            <v>38954</v>
          </cell>
          <cell r="O210" t="str">
            <v>F36819PCI001</v>
          </cell>
          <cell r="P210" t="str">
            <v>FN6825N2L326501</v>
          </cell>
          <cell r="Q210" t="str">
            <v>สภาพปกติ</v>
          </cell>
        </row>
        <row r="211">
          <cell r="A211">
            <v>50141020</v>
          </cell>
          <cell r="B211">
            <v>210</v>
          </cell>
          <cell r="C211" t="str">
            <v>LW01/1</v>
          </cell>
          <cell r="D211" t="str">
            <v>SPHC P/O</v>
          </cell>
          <cell r="E211" t="str">
            <v>CA1</v>
          </cell>
          <cell r="F211">
            <v>2.2999999999999998</v>
          </cell>
          <cell r="G211">
            <v>140</v>
          </cell>
          <cell r="H211">
            <v>1219</v>
          </cell>
          <cell r="I211" t="str">
            <v>A</v>
          </cell>
          <cell r="K211">
            <v>100</v>
          </cell>
          <cell r="L211">
            <v>308</v>
          </cell>
          <cell r="M211">
            <v>50141020</v>
          </cell>
          <cell r="N211">
            <v>38954</v>
          </cell>
          <cell r="O211" t="str">
            <v>F36819PCI001</v>
          </cell>
          <cell r="P211" t="str">
            <v>FN6825N2L326502</v>
          </cell>
          <cell r="Q211" t="str">
            <v>สภาพปกติ</v>
          </cell>
        </row>
        <row r="212">
          <cell r="A212">
            <v>50128955</v>
          </cell>
          <cell r="B212">
            <v>211</v>
          </cell>
          <cell r="C212" t="str">
            <v>LW01/1</v>
          </cell>
          <cell r="D212" t="str">
            <v>SPHC P/O</v>
          </cell>
          <cell r="E212" t="str">
            <v>CA1</v>
          </cell>
          <cell r="F212">
            <v>2.2999999999999998</v>
          </cell>
          <cell r="G212">
            <v>215</v>
          </cell>
          <cell r="H212">
            <v>1219</v>
          </cell>
          <cell r="I212" t="str">
            <v>A</v>
          </cell>
          <cell r="K212">
            <v>100</v>
          </cell>
          <cell r="L212">
            <v>957</v>
          </cell>
          <cell r="M212">
            <v>50128955</v>
          </cell>
          <cell r="N212">
            <v>38848</v>
          </cell>
          <cell r="O212" t="str">
            <v>F36323PCI010</v>
          </cell>
          <cell r="P212" t="str">
            <v>FN6511N2L999601</v>
          </cell>
          <cell r="Q212" t="str">
            <v>แผ่นรองและสายรัดเป็นสนิม</v>
          </cell>
        </row>
        <row r="213">
          <cell r="A213">
            <v>50141011</v>
          </cell>
          <cell r="B213">
            <v>212</v>
          </cell>
          <cell r="C213" t="str">
            <v>LW01/1</v>
          </cell>
          <cell r="D213" t="str">
            <v>SPHC P/O</v>
          </cell>
          <cell r="E213" t="str">
            <v>CA1</v>
          </cell>
          <cell r="F213">
            <v>2.2999999999999998</v>
          </cell>
          <cell r="G213">
            <v>160</v>
          </cell>
          <cell r="H213">
            <v>1219</v>
          </cell>
          <cell r="I213" t="str">
            <v>A</v>
          </cell>
          <cell r="K213">
            <v>100</v>
          </cell>
          <cell r="L213">
            <v>352</v>
          </cell>
          <cell r="M213">
            <v>50141011</v>
          </cell>
          <cell r="N213">
            <v>38954</v>
          </cell>
          <cell r="O213" t="str">
            <v>F36819PCI001</v>
          </cell>
          <cell r="P213" t="str">
            <v>FN6825N2L326501</v>
          </cell>
          <cell r="Q213" t="str">
            <v>สภาพปกติ</v>
          </cell>
        </row>
        <row r="214">
          <cell r="A214">
            <v>50141013</v>
          </cell>
          <cell r="B214">
            <v>213</v>
          </cell>
          <cell r="C214" t="str">
            <v>LW01/1</v>
          </cell>
          <cell r="D214" t="str">
            <v>SPHC P/O</v>
          </cell>
          <cell r="E214" t="str">
            <v>CA1</v>
          </cell>
          <cell r="F214">
            <v>2.2999999999999998</v>
          </cell>
          <cell r="G214">
            <v>225</v>
          </cell>
          <cell r="H214">
            <v>1219</v>
          </cell>
          <cell r="I214" t="str">
            <v>A</v>
          </cell>
          <cell r="K214">
            <v>100</v>
          </cell>
          <cell r="L214">
            <v>495</v>
          </cell>
          <cell r="M214">
            <v>50141013</v>
          </cell>
          <cell r="N214">
            <v>38954</v>
          </cell>
          <cell r="O214" t="str">
            <v>F36819PCI001</v>
          </cell>
          <cell r="P214" t="str">
            <v>FN6825N2L326501</v>
          </cell>
          <cell r="Q214" t="str">
            <v>สภาพปกติ</v>
          </cell>
        </row>
        <row r="215">
          <cell r="A215">
            <v>50141012</v>
          </cell>
          <cell r="B215">
            <v>214</v>
          </cell>
          <cell r="C215" t="str">
            <v>LW01/1</v>
          </cell>
          <cell r="D215" t="str">
            <v>SPHC P/O</v>
          </cell>
          <cell r="E215" t="str">
            <v>CA1</v>
          </cell>
          <cell r="F215">
            <v>2.2999999999999998</v>
          </cell>
          <cell r="G215">
            <v>276</v>
          </cell>
          <cell r="H215">
            <v>1219</v>
          </cell>
          <cell r="I215" t="str">
            <v>A</v>
          </cell>
          <cell r="K215">
            <v>56</v>
          </cell>
          <cell r="L215">
            <v>340</v>
          </cell>
          <cell r="M215">
            <v>50141012</v>
          </cell>
          <cell r="N215">
            <v>38954</v>
          </cell>
          <cell r="O215" t="str">
            <v>F36819PCI001</v>
          </cell>
          <cell r="P215" t="str">
            <v>FN6825N2L326501</v>
          </cell>
          <cell r="Q215" t="str">
            <v>สภาพปกติ</v>
          </cell>
        </row>
        <row r="216">
          <cell r="A216">
            <v>50141050</v>
          </cell>
          <cell r="B216">
            <v>215</v>
          </cell>
          <cell r="C216" t="str">
            <v>LW01/1</v>
          </cell>
          <cell r="D216" t="str">
            <v>SPHC P/O</v>
          </cell>
          <cell r="E216" t="str">
            <v>CA1</v>
          </cell>
          <cell r="F216">
            <v>2.6</v>
          </cell>
          <cell r="G216">
            <v>67</v>
          </cell>
          <cell r="H216">
            <v>1219</v>
          </cell>
          <cell r="I216" t="str">
            <v>A</v>
          </cell>
          <cell r="K216">
            <v>100</v>
          </cell>
          <cell r="L216">
            <v>167</v>
          </cell>
          <cell r="M216">
            <v>50141050</v>
          </cell>
          <cell r="N216">
            <v>38954</v>
          </cell>
          <cell r="O216" t="str">
            <v>F36816NSI037</v>
          </cell>
          <cell r="P216" t="str">
            <v>FN6825D2L326801</v>
          </cell>
          <cell r="Q216" t="str">
            <v>สภาพปกติ</v>
          </cell>
        </row>
        <row r="217">
          <cell r="A217">
            <v>50141052</v>
          </cell>
          <cell r="B217">
            <v>216</v>
          </cell>
          <cell r="C217" t="str">
            <v>LW01/1</v>
          </cell>
          <cell r="D217" t="str">
            <v>SPHC P/O</v>
          </cell>
          <cell r="E217" t="str">
            <v>CA1</v>
          </cell>
          <cell r="F217">
            <v>2.6</v>
          </cell>
          <cell r="G217">
            <v>140</v>
          </cell>
          <cell r="H217">
            <v>1219</v>
          </cell>
          <cell r="I217" t="str">
            <v>A</v>
          </cell>
          <cell r="K217">
            <v>100</v>
          </cell>
          <cell r="L217">
            <v>348</v>
          </cell>
          <cell r="M217">
            <v>50141052</v>
          </cell>
          <cell r="N217">
            <v>38954</v>
          </cell>
          <cell r="O217" t="str">
            <v>F36816NSI037</v>
          </cell>
          <cell r="P217" t="str">
            <v>FN6825D2L326801</v>
          </cell>
          <cell r="Q217" t="str">
            <v>สภาพปกติ</v>
          </cell>
        </row>
        <row r="218">
          <cell r="A218">
            <v>50141053</v>
          </cell>
          <cell r="B218">
            <v>217</v>
          </cell>
          <cell r="C218" t="str">
            <v>LW01/1</v>
          </cell>
          <cell r="D218" t="str">
            <v>SPHC P/O</v>
          </cell>
          <cell r="E218" t="str">
            <v>CA1</v>
          </cell>
          <cell r="F218">
            <v>2.6</v>
          </cell>
          <cell r="G218">
            <v>140</v>
          </cell>
          <cell r="H218">
            <v>1219</v>
          </cell>
          <cell r="I218" t="str">
            <v>A</v>
          </cell>
          <cell r="K218">
            <v>100</v>
          </cell>
          <cell r="L218">
            <v>348</v>
          </cell>
          <cell r="M218">
            <v>50141053</v>
          </cell>
          <cell r="N218">
            <v>38954</v>
          </cell>
          <cell r="O218" t="str">
            <v>F36816NSI037</v>
          </cell>
          <cell r="P218" t="str">
            <v>FN6825D2L326802</v>
          </cell>
          <cell r="Q218" t="str">
            <v>สภาพปกติ</v>
          </cell>
        </row>
        <row r="219">
          <cell r="A219">
            <v>50141055</v>
          </cell>
          <cell r="B219">
            <v>218</v>
          </cell>
          <cell r="C219" t="str">
            <v>LW01/1</v>
          </cell>
          <cell r="D219" t="str">
            <v>SPHC P/O</v>
          </cell>
          <cell r="E219" t="str">
            <v>CA1</v>
          </cell>
          <cell r="F219">
            <v>2.6</v>
          </cell>
          <cell r="G219">
            <v>205</v>
          </cell>
          <cell r="H219">
            <v>1219</v>
          </cell>
          <cell r="I219" t="str">
            <v>A</v>
          </cell>
          <cell r="K219">
            <v>200</v>
          </cell>
          <cell r="L219">
            <v>1020</v>
          </cell>
          <cell r="M219">
            <v>50141055</v>
          </cell>
          <cell r="N219">
            <v>38954</v>
          </cell>
          <cell r="O219" t="str">
            <v>F36816NSI037</v>
          </cell>
          <cell r="P219" t="str">
            <v>FN6825D2L326801</v>
          </cell>
          <cell r="Q219" t="str">
            <v>สภาพปกติ</v>
          </cell>
        </row>
        <row r="220">
          <cell r="A220">
            <v>50141056</v>
          </cell>
          <cell r="B220">
            <v>219</v>
          </cell>
          <cell r="C220" t="str">
            <v>LW01/1</v>
          </cell>
          <cell r="D220" t="str">
            <v>SPHC P/O</v>
          </cell>
          <cell r="E220" t="str">
            <v>CA1</v>
          </cell>
          <cell r="F220">
            <v>2.6</v>
          </cell>
          <cell r="G220">
            <v>276</v>
          </cell>
          <cell r="H220">
            <v>1219</v>
          </cell>
          <cell r="I220" t="str">
            <v>A</v>
          </cell>
          <cell r="K220">
            <v>100</v>
          </cell>
          <cell r="L220">
            <v>687</v>
          </cell>
          <cell r="M220">
            <v>50141056</v>
          </cell>
          <cell r="N220">
            <v>38954</v>
          </cell>
          <cell r="O220" t="str">
            <v>F36816NSI037</v>
          </cell>
          <cell r="P220" t="str">
            <v>FN6825D2L326801</v>
          </cell>
          <cell r="Q220" t="str">
            <v>สภาพปกติ</v>
          </cell>
        </row>
        <row r="221">
          <cell r="A221">
            <v>50141057</v>
          </cell>
          <cell r="B221">
            <v>220</v>
          </cell>
          <cell r="C221" t="str">
            <v>LW01/1</v>
          </cell>
          <cell r="D221" t="str">
            <v>SPHC P/O</v>
          </cell>
          <cell r="E221" t="str">
            <v>CA1</v>
          </cell>
          <cell r="F221">
            <v>2.6</v>
          </cell>
          <cell r="G221">
            <v>276</v>
          </cell>
          <cell r="H221">
            <v>1219</v>
          </cell>
          <cell r="I221" t="str">
            <v>A</v>
          </cell>
          <cell r="K221">
            <v>100</v>
          </cell>
          <cell r="L221">
            <v>687</v>
          </cell>
          <cell r="M221">
            <v>50141057</v>
          </cell>
          <cell r="N221">
            <v>38954</v>
          </cell>
          <cell r="O221" t="str">
            <v>F36816NSI037</v>
          </cell>
          <cell r="P221" t="str">
            <v>FN6825D2L326802</v>
          </cell>
          <cell r="Q221" t="str">
            <v>สภาพปกติ</v>
          </cell>
        </row>
        <row r="222">
          <cell r="A222">
            <v>50123490</v>
          </cell>
          <cell r="B222">
            <v>221</v>
          </cell>
          <cell r="C222" t="str">
            <v>LW01/1</v>
          </cell>
          <cell r="D222" t="str">
            <v>SPHC P/O</v>
          </cell>
          <cell r="E222" t="str">
            <v>CA1</v>
          </cell>
          <cell r="F222">
            <v>2.8</v>
          </cell>
          <cell r="G222">
            <v>206</v>
          </cell>
          <cell r="H222">
            <v>1219</v>
          </cell>
          <cell r="I222" t="str">
            <v>A</v>
          </cell>
          <cell r="K222">
            <v>70</v>
          </cell>
          <cell r="L222">
            <v>386</v>
          </cell>
          <cell r="M222">
            <v>50123490</v>
          </cell>
          <cell r="N222">
            <v>38798</v>
          </cell>
          <cell r="O222" t="str">
            <v>F36215JFI022</v>
          </cell>
          <cell r="P222" t="str">
            <v>FN6322D2L859901</v>
          </cell>
          <cell r="Q222" t="str">
            <v>แผ่นรองและสายรัดเป็นสนิม</v>
          </cell>
        </row>
        <row r="223">
          <cell r="A223">
            <v>50096493</v>
          </cell>
          <cell r="B223">
            <v>222</v>
          </cell>
          <cell r="C223" t="str">
            <v>LW01/1</v>
          </cell>
          <cell r="D223" t="str">
            <v>SPHC P/O</v>
          </cell>
          <cell r="E223" t="str">
            <v>CA1</v>
          </cell>
          <cell r="F223">
            <v>3.2</v>
          </cell>
          <cell r="G223">
            <v>57</v>
          </cell>
          <cell r="H223">
            <v>1219</v>
          </cell>
          <cell r="I223" t="str">
            <v>A</v>
          </cell>
          <cell r="K223">
            <v>40</v>
          </cell>
          <cell r="L223">
            <v>71</v>
          </cell>
          <cell r="M223">
            <v>50096493</v>
          </cell>
          <cell r="N223">
            <v>38590</v>
          </cell>
          <cell r="O223" t="str">
            <v>F34B05KTI028</v>
          </cell>
          <cell r="P223" t="str">
            <v>FN5826D1D234201</v>
          </cell>
          <cell r="Q223" t="str">
            <v>แผ่นรองและสายรัดเป็นสนิม</v>
          </cell>
        </row>
        <row r="224">
          <cell r="A224">
            <v>50141073</v>
          </cell>
          <cell r="B224">
            <v>223</v>
          </cell>
          <cell r="C224" t="str">
            <v>LW01/1</v>
          </cell>
          <cell r="D224" t="str">
            <v>SPHC P/O</v>
          </cell>
          <cell r="E224" t="str">
            <v>CA1</v>
          </cell>
          <cell r="F224">
            <v>3.2</v>
          </cell>
          <cell r="G224">
            <v>83</v>
          </cell>
          <cell r="H224">
            <v>1219</v>
          </cell>
          <cell r="I224" t="str">
            <v>A</v>
          </cell>
          <cell r="K224">
            <v>200</v>
          </cell>
          <cell r="L224">
            <v>508</v>
          </cell>
          <cell r="M224">
            <v>50141073</v>
          </cell>
          <cell r="N224">
            <v>38954</v>
          </cell>
          <cell r="O224" t="str">
            <v>F36816NSI042</v>
          </cell>
          <cell r="P224" t="str">
            <v>FN6825D2L327201</v>
          </cell>
          <cell r="Q224" t="str">
            <v>สภาพปกติ</v>
          </cell>
        </row>
        <row r="225">
          <cell r="A225">
            <v>50141074</v>
          </cell>
          <cell r="B225">
            <v>224</v>
          </cell>
          <cell r="C225" t="str">
            <v>LW01/1</v>
          </cell>
          <cell r="D225" t="str">
            <v>SPHC P/O</v>
          </cell>
          <cell r="E225" t="str">
            <v>CA1</v>
          </cell>
          <cell r="F225">
            <v>3.2</v>
          </cell>
          <cell r="G225">
            <v>83</v>
          </cell>
          <cell r="H225">
            <v>1219</v>
          </cell>
          <cell r="I225" t="str">
            <v>A</v>
          </cell>
          <cell r="K225">
            <v>100</v>
          </cell>
          <cell r="L225">
            <v>254</v>
          </cell>
          <cell r="M225">
            <v>50141074</v>
          </cell>
          <cell r="N225">
            <v>38954</v>
          </cell>
          <cell r="O225" t="str">
            <v>F36816NSI042</v>
          </cell>
          <cell r="P225" t="str">
            <v>FN6825D2L327202</v>
          </cell>
          <cell r="Q225" t="str">
            <v>สภาพปกติ</v>
          </cell>
        </row>
        <row r="226">
          <cell r="A226">
            <v>50141076</v>
          </cell>
          <cell r="B226">
            <v>225</v>
          </cell>
          <cell r="C226" t="str">
            <v>LW01/1</v>
          </cell>
          <cell r="D226" t="str">
            <v>SPHC P/O</v>
          </cell>
          <cell r="E226" t="str">
            <v>CA1</v>
          </cell>
          <cell r="F226">
            <v>3.2</v>
          </cell>
          <cell r="G226">
            <v>287</v>
          </cell>
          <cell r="H226">
            <v>1219</v>
          </cell>
          <cell r="I226" t="str">
            <v>A</v>
          </cell>
          <cell r="K226">
            <v>100</v>
          </cell>
          <cell r="L226">
            <v>879</v>
          </cell>
          <cell r="M226">
            <v>50141076</v>
          </cell>
          <cell r="N226">
            <v>38954</v>
          </cell>
          <cell r="O226" t="str">
            <v>F36816NSI042</v>
          </cell>
          <cell r="P226" t="str">
            <v>FN6825D2L327201</v>
          </cell>
          <cell r="Q226" t="str">
            <v>สภาพปกติ</v>
          </cell>
        </row>
        <row r="227">
          <cell r="A227">
            <v>50137992</v>
          </cell>
          <cell r="B227">
            <v>226</v>
          </cell>
          <cell r="C227" t="str">
            <v>LW01/1</v>
          </cell>
          <cell r="D227" t="str">
            <v>SPHC P/O</v>
          </cell>
          <cell r="E227" t="str">
            <v>CA1</v>
          </cell>
          <cell r="F227">
            <v>6</v>
          </cell>
          <cell r="G227">
            <v>159</v>
          </cell>
          <cell r="H227">
            <v>1118</v>
          </cell>
          <cell r="I227" t="str">
            <v>A</v>
          </cell>
          <cell r="K227">
            <v>68</v>
          </cell>
          <cell r="L227">
            <v>565</v>
          </cell>
          <cell r="M227">
            <v>50137992</v>
          </cell>
          <cell r="N227">
            <v>38925</v>
          </cell>
          <cell r="O227" t="str">
            <v>F36710PCI046</v>
          </cell>
          <cell r="P227" t="str">
            <v>FN6727N2L239501</v>
          </cell>
          <cell r="Q227" t="str">
            <v>แผ่นรองและสายรัดเป็นสนิม</v>
          </cell>
        </row>
        <row r="228">
          <cell r="A228">
            <v>50133918</v>
          </cell>
          <cell r="B228">
            <v>227</v>
          </cell>
          <cell r="C228" t="str">
            <v>LW01/1</v>
          </cell>
          <cell r="D228" t="str">
            <v>SPHC P/O</v>
          </cell>
          <cell r="E228" t="str">
            <v>CA1</v>
          </cell>
          <cell r="F228">
            <v>6</v>
          </cell>
          <cell r="G228">
            <v>203</v>
          </cell>
          <cell r="H228">
            <v>1219</v>
          </cell>
          <cell r="I228" t="str">
            <v>A</v>
          </cell>
          <cell r="K228">
            <v>30</v>
          </cell>
          <cell r="L228">
            <v>352</v>
          </cell>
          <cell r="M228">
            <v>50133918</v>
          </cell>
          <cell r="N228">
            <v>38888</v>
          </cell>
          <cell r="O228" t="str">
            <v>136527PCI022</v>
          </cell>
          <cell r="P228" t="str">
            <v>FN6620D2L114301</v>
          </cell>
          <cell r="Q228" t="str">
            <v>แผ่นรองและสายรัดเป็นสนิม</v>
          </cell>
        </row>
        <row r="229">
          <cell r="A229">
            <v>50136339</v>
          </cell>
          <cell r="B229">
            <v>228</v>
          </cell>
          <cell r="C229" t="str">
            <v>LW01/1</v>
          </cell>
          <cell r="D229" t="str">
            <v>SPHC P/O</v>
          </cell>
          <cell r="E229" t="str">
            <v>CA1</v>
          </cell>
          <cell r="F229">
            <v>6</v>
          </cell>
          <cell r="G229">
            <v>230</v>
          </cell>
          <cell r="H229">
            <v>1130</v>
          </cell>
          <cell r="I229" t="str">
            <v>A</v>
          </cell>
          <cell r="K229">
            <v>15</v>
          </cell>
          <cell r="L229">
            <v>184</v>
          </cell>
          <cell r="M229">
            <v>50136339</v>
          </cell>
          <cell r="N229">
            <v>38910</v>
          </cell>
          <cell r="O229" t="str">
            <v>136527PCI021</v>
          </cell>
          <cell r="P229" t="str">
            <v>FN6712D2L185701</v>
          </cell>
          <cell r="Q229" t="str">
            <v>แผ่นรองและสายรัดเป็นสนิม</v>
          </cell>
        </row>
        <row r="230">
          <cell r="A230">
            <v>50131070</v>
          </cell>
          <cell r="B230">
            <v>229</v>
          </cell>
          <cell r="C230" t="str">
            <v>LW01/1</v>
          </cell>
          <cell r="D230" t="str">
            <v>SPHC P/O</v>
          </cell>
          <cell r="E230" t="str">
            <v>CA1</v>
          </cell>
          <cell r="F230">
            <v>6</v>
          </cell>
          <cell r="G230">
            <v>285</v>
          </cell>
          <cell r="H230">
            <v>1219</v>
          </cell>
          <cell r="I230" t="str">
            <v>A</v>
          </cell>
          <cell r="K230">
            <v>10</v>
          </cell>
          <cell r="L230">
            <v>163</v>
          </cell>
          <cell r="M230">
            <v>50131070</v>
          </cell>
          <cell r="N230">
            <v>38868</v>
          </cell>
          <cell r="O230" t="str">
            <v>F36527PCI025</v>
          </cell>
          <cell r="P230" t="str">
            <v>FN6531D2L059101</v>
          </cell>
          <cell r="Q230" t="str">
            <v>แผ่นรองและสายรัดเป็นสนิม</v>
          </cell>
        </row>
        <row r="231">
          <cell r="A231">
            <v>50135144</v>
          </cell>
          <cell r="B231">
            <v>230</v>
          </cell>
          <cell r="C231" t="str">
            <v>LW01/1</v>
          </cell>
          <cell r="D231" t="str">
            <v>SAPH440 P/O</v>
          </cell>
          <cell r="E231" t="str">
            <v>CA5</v>
          </cell>
          <cell r="F231">
            <v>4.5</v>
          </cell>
          <cell r="G231">
            <v>257</v>
          </cell>
          <cell r="H231">
            <v>1</v>
          </cell>
          <cell r="I231" t="str">
            <v>A</v>
          </cell>
          <cell r="K231">
            <v>25</v>
          </cell>
          <cell r="L231">
            <v>278</v>
          </cell>
          <cell r="M231">
            <v>50135144</v>
          </cell>
          <cell r="N231">
            <v>38899</v>
          </cell>
          <cell r="O231" t="str">
            <v>F36420PCI034</v>
          </cell>
          <cell r="P231" t="str">
            <v>FN6701D2L163401</v>
          </cell>
          <cell r="Q231" t="str">
            <v>สภาพปกติ</v>
          </cell>
        </row>
        <row r="232">
          <cell r="A232">
            <v>20051425</v>
          </cell>
          <cell r="B232">
            <v>231</v>
          </cell>
          <cell r="C232" t="str">
            <v>LW02/1</v>
          </cell>
          <cell r="D232" t="str">
            <v>SPCC-SD</v>
          </cell>
          <cell r="E232" t="str">
            <v>AF1</v>
          </cell>
          <cell r="F232">
            <v>0.7</v>
          </cell>
          <cell r="G232">
            <v>1219</v>
          </cell>
          <cell r="H232">
            <v>2438</v>
          </cell>
          <cell r="I232" t="str">
            <v>A</v>
          </cell>
          <cell r="K232">
            <v>100</v>
          </cell>
          <cell r="L232">
            <v>1638</v>
          </cell>
          <cell r="M232">
            <v>20051425</v>
          </cell>
          <cell r="N232">
            <v>38913</v>
          </cell>
          <cell r="P232" t="str">
            <v>FN6715N1L208601</v>
          </cell>
          <cell r="Q232" t="str">
            <v>แผ่นรองและสายรัดเป็นสนิม</v>
          </cell>
        </row>
        <row r="233">
          <cell r="A233">
            <v>20051913</v>
          </cell>
          <cell r="B233">
            <v>232</v>
          </cell>
          <cell r="C233" t="str">
            <v>LW02/1</v>
          </cell>
          <cell r="D233" t="str">
            <v>SPCC-SD</v>
          </cell>
          <cell r="E233" t="str">
            <v>AF1</v>
          </cell>
          <cell r="F233">
            <v>0.9</v>
          </cell>
          <cell r="G233">
            <v>1219</v>
          </cell>
          <cell r="H233">
            <v>2438</v>
          </cell>
          <cell r="I233" t="str">
            <v>A</v>
          </cell>
          <cell r="K233">
            <v>50</v>
          </cell>
          <cell r="L233">
            <v>1053</v>
          </cell>
          <cell r="M233">
            <v>20051913</v>
          </cell>
          <cell r="N233">
            <v>38938</v>
          </cell>
          <cell r="P233" t="str">
            <v>FN6809D1L283501</v>
          </cell>
          <cell r="Q233" t="str">
            <v>สภาพปกติ</v>
          </cell>
        </row>
        <row r="234">
          <cell r="A234">
            <v>20051544</v>
          </cell>
          <cell r="B234">
            <v>233</v>
          </cell>
          <cell r="C234" t="str">
            <v>LW02/1</v>
          </cell>
          <cell r="D234" t="str">
            <v>SPCC-SD</v>
          </cell>
          <cell r="E234" t="str">
            <v>AF1</v>
          </cell>
          <cell r="F234">
            <v>1.4</v>
          </cell>
          <cell r="G234">
            <v>1219</v>
          </cell>
          <cell r="H234">
            <v>2438</v>
          </cell>
          <cell r="I234" t="str">
            <v>A</v>
          </cell>
          <cell r="K234">
            <v>60</v>
          </cell>
          <cell r="L234">
            <v>1965</v>
          </cell>
          <cell r="M234">
            <v>20051544</v>
          </cell>
          <cell r="N234">
            <v>38919</v>
          </cell>
          <cell r="P234" t="str">
            <v>FN6721N1L226906</v>
          </cell>
          <cell r="Q234" t="str">
            <v>กระดาษฉีกขาด</v>
          </cell>
        </row>
        <row r="235">
          <cell r="A235">
            <v>20051545</v>
          </cell>
          <cell r="B235">
            <v>234</v>
          </cell>
          <cell r="C235" t="str">
            <v>LW02/1</v>
          </cell>
          <cell r="D235" t="str">
            <v>SPCC-SD</v>
          </cell>
          <cell r="E235" t="str">
            <v>AF1</v>
          </cell>
          <cell r="F235">
            <v>1.4</v>
          </cell>
          <cell r="G235">
            <v>1219</v>
          </cell>
          <cell r="H235">
            <v>2438</v>
          </cell>
          <cell r="I235" t="str">
            <v>A</v>
          </cell>
          <cell r="K235">
            <v>60</v>
          </cell>
          <cell r="L235">
            <v>1965</v>
          </cell>
          <cell r="M235">
            <v>20051545</v>
          </cell>
          <cell r="N235">
            <v>38919</v>
          </cell>
          <cell r="P235" t="str">
            <v>FN6721N1L226907</v>
          </cell>
          <cell r="Q235" t="str">
            <v>กระดาษฉีกขาด</v>
          </cell>
        </row>
        <row r="236">
          <cell r="A236">
            <v>20051551</v>
          </cell>
          <cell r="B236">
            <v>235</v>
          </cell>
          <cell r="C236" t="str">
            <v>LW02/1</v>
          </cell>
          <cell r="D236" t="str">
            <v>SPCC-SD</v>
          </cell>
          <cell r="E236" t="str">
            <v>AF1</v>
          </cell>
          <cell r="F236">
            <v>1.4</v>
          </cell>
          <cell r="G236">
            <v>1219</v>
          </cell>
          <cell r="H236">
            <v>2438</v>
          </cell>
          <cell r="I236" t="str">
            <v>A</v>
          </cell>
          <cell r="K236">
            <v>60</v>
          </cell>
          <cell r="L236">
            <v>1968</v>
          </cell>
          <cell r="M236">
            <v>20051551</v>
          </cell>
          <cell r="N236">
            <v>38919</v>
          </cell>
          <cell r="P236" t="str">
            <v>FN6721N1L226901</v>
          </cell>
          <cell r="Q236" t="str">
            <v>สภาพปกติ</v>
          </cell>
        </row>
        <row r="237">
          <cell r="A237">
            <v>20051552</v>
          </cell>
          <cell r="B237">
            <v>236</v>
          </cell>
          <cell r="C237" t="str">
            <v>LW02/1</v>
          </cell>
          <cell r="D237" t="str">
            <v>SPCC-SD</v>
          </cell>
          <cell r="E237" t="str">
            <v>AF1</v>
          </cell>
          <cell r="F237">
            <v>1.4</v>
          </cell>
          <cell r="G237">
            <v>1219</v>
          </cell>
          <cell r="H237">
            <v>2438</v>
          </cell>
          <cell r="I237" t="str">
            <v>A</v>
          </cell>
          <cell r="K237">
            <v>60</v>
          </cell>
          <cell r="L237">
            <v>1968</v>
          </cell>
          <cell r="M237">
            <v>20051552</v>
          </cell>
          <cell r="N237">
            <v>38919</v>
          </cell>
          <cell r="P237" t="str">
            <v>FN6721N1L226902</v>
          </cell>
          <cell r="Q237" t="str">
            <v>แผ่นรองและสายรัดเป็นสนิม</v>
          </cell>
        </row>
        <row r="238">
          <cell r="A238">
            <v>20051554</v>
          </cell>
          <cell r="B238">
            <v>237</v>
          </cell>
          <cell r="C238" t="str">
            <v>LW02/1</v>
          </cell>
          <cell r="D238" t="str">
            <v>SPCC-SD</v>
          </cell>
          <cell r="E238" t="str">
            <v>AF1</v>
          </cell>
          <cell r="F238">
            <v>1.4</v>
          </cell>
          <cell r="G238">
            <v>1219</v>
          </cell>
          <cell r="H238">
            <v>2438</v>
          </cell>
          <cell r="I238" t="str">
            <v>A</v>
          </cell>
          <cell r="K238">
            <v>60</v>
          </cell>
          <cell r="L238">
            <v>1966</v>
          </cell>
          <cell r="M238">
            <v>20051554</v>
          </cell>
          <cell r="N238">
            <v>38919</v>
          </cell>
          <cell r="P238" t="str">
            <v>FN6721N1L226905</v>
          </cell>
          <cell r="Q238" t="str">
            <v>แผ่นรองและสายรัดเป็นสนิม</v>
          </cell>
        </row>
        <row r="239">
          <cell r="A239">
            <v>20051555</v>
          </cell>
          <cell r="B239">
            <v>238</v>
          </cell>
          <cell r="C239" t="str">
            <v>LW02/1</v>
          </cell>
          <cell r="D239" t="str">
            <v>SPCC-SD</v>
          </cell>
          <cell r="E239" t="str">
            <v>AF1</v>
          </cell>
          <cell r="F239">
            <v>1.4</v>
          </cell>
          <cell r="G239">
            <v>1219</v>
          </cell>
          <cell r="H239">
            <v>2438</v>
          </cell>
          <cell r="I239" t="str">
            <v>A</v>
          </cell>
          <cell r="K239">
            <v>60</v>
          </cell>
          <cell r="L239">
            <v>1966</v>
          </cell>
          <cell r="M239">
            <v>20051555</v>
          </cell>
          <cell r="N239">
            <v>38919</v>
          </cell>
          <cell r="P239" t="str">
            <v>FN6721N1L226903</v>
          </cell>
          <cell r="Q239" t="str">
            <v>แผ่นรองและสายรัดเป็นสนิม</v>
          </cell>
        </row>
        <row r="240">
          <cell r="A240">
            <v>20051556</v>
          </cell>
          <cell r="B240">
            <v>239</v>
          </cell>
          <cell r="C240" t="str">
            <v>LW02/1</v>
          </cell>
          <cell r="D240" t="str">
            <v>SPCC-SD</v>
          </cell>
          <cell r="E240" t="str">
            <v>AF1</v>
          </cell>
          <cell r="F240">
            <v>1.4</v>
          </cell>
          <cell r="G240">
            <v>1219</v>
          </cell>
          <cell r="H240">
            <v>2438</v>
          </cell>
          <cell r="I240" t="str">
            <v>A</v>
          </cell>
          <cell r="K240">
            <v>61</v>
          </cell>
          <cell r="L240">
            <v>1998</v>
          </cell>
          <cell r="M240">
            <v>20051556</v>
          </cell>
          <cell r="N240">
            <v>38919</v>
          </cell>
          <cell r="P240" t="str">
            <v>FN6721N1L226904</v>
          </cell>
          <cell r="Q240" t="str">
            <v>แผ่นรองและสายรัดเป็นสนิม</v>
          </cell>
        </row>
        <row r="241">
          <cell r="A241">
            <v>20051818</v>
          </cell>
          <cell r="B241">
            <v>240</v>
          </cell>
          <cell r="C241" t="str">
            <v>LW02/1</v>
          </cell>
          <cell r="D241" t="str">
            <v>SPCC-SD</v>
          </cell>
          <cell r="E241" t="str">
            <v>AF1</v>
          </cell>
          <cell r="F241">
            <v>2.2999999999999998</v>
          </cell>
          <cell r="G241">
            <v>1219</v>
          </cell>
          <cell r="H241">
            <v>2438</v>
          </cell>
          <cell r="I241" t="str">
            <v>A</v>
          </cell>
          <cell r="K241">
            <v>20</v>
          </cell>
          <cell r="L241">
            <v>1075</v>
          </cell>
          <cell r="M241">
            <v>20051818</v>
          </cell>
          <cell r="N241">
            <v>38932</v>
          </cell>
          <cell r="P241" t="str">
            <v>FN6803N1L263201</v>
          </cell>
          <cell r="Q241" t="str">
            <v>กระดาษฉีกขาด</v>
          </cell>
        </row>
        <row r="242">
          <cell r="A242">
            <v>20051861</v>
          </cell>
          <cell r="B242">
            <v>241</v>
          </cell>
          <cell r="C242" t="str">
            <v>LW02/1</v>
          </cell>
          <cell r="D242" t="str">
            <v>SPCC-SD</v>
          </cell>
          <cell r="E242" t="str">
            <v>AF1</v>
          </cell>
          <cell r="F242">
            <v>3</v>
          </cell>
          <cell r="G242">
            <v>1219</v>
          </cell>
          <cell r="H242">
            <v>2438</v>
          </cell>
          <cell r="I242" t="str">
            <v>A</v>
          </cell>
          <cell r="K242">
            <v>20</v>
          </cell>
          <cell r="L242">
            <v>1403</v>
          </cell>
          <cell r="M242">
            <v>20051861</v>
          </cell>
          <cell r="N242">
            <v>38933</v>
          </cell>
          <cell r="P242" t="str">
            <v>FN6804N1L272903</v>
          </cell>
          <cell r="Q242" t="str">
            <v>แผ่นรองและสายรัดเป็นสนิม</v>
          </cell>
        </row>
        <row r="243">
          <cell r="A243">
            <v>20051862</v>
          </cell>
          <cell r="B243">
            <v>242</v>
          </cell>
          <cell r="C243" t="str">
            <v>LW02/1</v>
          </cell>
          <cell r="D243" t="str">
            <v>SPCC-SD</v>
          </cell>
          <cell r="E243" t="str">
            <v>AF1</v>
          </cell>
          <cell r="F243">
            <v>3</v>
          </cell>
          <cell r="G243">
            <v>1219</v>
          </cell>
          <cell r="H243">
            <v>2438</v>
          </cell>
          <cell r="I243" t="str">
            <v>A</v>
          </cell>
          <cell r="K243">
            <v>20</v>
          </cell>
          <cell r="L243">
            <v>1403</v>
          </cell>
          <cell r="M243">
            <v>20051862</v>
          </cell>
          <cell r="N243">
            <v>38933</v>
          </cell>
          <cell r="P243" t="str">
            <v>FN6804N1L272902</v>
          </cell>
          <cell r="Q243" t="str">
            <v>แผ่นรองและสายรัดเป็นสนิม</v>
          </cell>
        </row>
        <row r="244">
          <cell r="A244">
            <v>20051863</v>
          </cell>
          <cell r="B244">
            <v>243</v>
          </cell>
          <cell r="C244" t="str">
            <v>LW02/1</v>
          </cell>
          <cell r="D244" t="str">
            <v>SPCC-SD</v>
          </cell>
          <cell r="E244" t="str">
            <v>AF1</v>
          </cell>
          <cell r="F244">
            <v>3</v>
          </cell>
          <cell r="G244">
            <v>1219</v>
          </cell>
          <cell r="H244">
            <v>2438</v>
          </cell>
          <cell r="I244" t="str">
            <v>A</v>
          </cell>
          <cell r="K244">
            <v>20</v>
          </cell>
          <cell r="L244">
            <v>1404</v>
          </cell>
          <cell r="M244">
            <v>20051863</v>
          </cell>
          <cell r="N244">
            <v>38933</v>
          </cell>
          <cell r="P244" t="str">
            <v>FN6804N1L272901</v>
          </cell>
          <cell r="Q244" t="str">
            <v>กระดาษฉีกขาด</v>
          </cell>
        </row>
        <row r="245">
          <cell r="A245">
            <v>20050419</v>
          </cell>
          <cell r="B245">
            <v>244</v>
          </cell>
          <cell r="C245" t="str">
            <v>LW02/1</v>
          </cell>
          <cell r="D245" t="str">
            <v>SECC-V2</v>
          </cell>
          <cell r="E245" t="str">
            <v>AH0</v>
          </cell>
          <cell r="F245">
            <v>0.9</v>
          </cell>
          <cell r="G245">
            <v>1219</v>
          </cell>
          <cell r="H245">
            <v>2438</v>
          </cell>
          <cell r="I245" t="str">
            <v>A</v>
          </cell>
          <cell r="K245">
            <v>8</v>
          </cell>
          <cell r="L245">
            <v>166</v>
          </cell>
          <cell r="M245">
            <v>20050419</v>
          </cell>
          <cell r="N245">
            <v>38871</v>
          </cell>
          <cell r="P245" t="str">
            <v>FN6603D1L067701</v>
          </cell>
          <cell r="Q245" t="str">
            <v>กระดาษฉีกขาด</v>
          </cell>
        </row>
        <row r="246">
          <cell r="A246">
            <v>50139255</v>
          </cell>
          <cell r="B246">
            <v>245</v>
          </cell>
          <cell r="C246" t="str">
            <v>LW02/1</v>
          </cell>
          <cell r="D246" t="str">
            <v>SPCC-SD</v>
          </cell>
          <cell r="E246" t="str">
            <v>AF1</v>
          </cell>
          <cell r="F246">
            <v>1.6</v>
          </cell>
          <cell r="G246">
            <v>1219</v>
          </cell>
          <cell r="H246">
            <v>2200</v>
          </cell>
          <cell r="I246" t="str">
            <v>A</v>
          </cell>
          <cell r="K246">
            <v>50</v>
          </cell>
          <cell r="L246">
            <v>1689</v>
          </cell>
          <cell r="M246">
            <v>50139255</v>
          </cell>
          <cell r="N246">
            <v>38934</v>
          </cell>
          <cell r="P246" t="str">
            <v>FN6805N1L272701</v>
          </cell>
          <cell r="Q246" t="str">
            <v>กระดาษฉีกขาด</v>
          </cell>
        </row>
        <row r="247">
          <cell r="A247">
            <v>50140779</v>
          </cell>
          <cell r="B247">
            <v>246</v>
          </cell>
          <cell r="C247" t="str">
            <v>LW02/1</v>
          </cell>
          <cell r="D247" t="str">
            <v>SPCC-SD</v>
          </cell>
          <cell r="E247" t="str">
            <v>AF1</v>
          </cell>
          <cell r="F247">
            <v>1.6</v>
          </cell>
          <cell r="G247">
            <v>1219</v>
          </cell>
          <cell r="H247">
            <v>2200</v>
          </cell>
          <cell r="I247" t="str">
            <v>A</v>
          </cell>
          <cell r="K247">
            <v>45</v>
          </cell>
          <cell r="L247">
            <v>1520</v>
          </cell>
          <cell r="M247">
            <v>50140779</v>
          </cell>
          <cell r="N247">
            <v>38952</v>
          </cell>
          <cell r="P247" t="str">
            <v>FN6823D1L312602</v>
          </cell>
          <cell r="Q247" t="str">
            <v>กระดาษฉีกขาด</v>
          </cell>
        </row>
        <row r="248">
          <cell r="A248">
            <v>50140780</v>
          </cell>
          <cell r="B248">
            <v>247</v>
          </cell>
          <cell r="C248" t="str">
            <v>LW02/1</v>
          </cell>
          <cell r="D248" t="str">
            <v>SPCC-SD</v>
          </cell>
          <cell r="E248" t="str">
            <v>AF1</v>
          </cell>
          <cell r="F248">
            <v>1.6</v>
          </cell>
          <cell r="G248">
            <v>1219</v>
          </cell>
          <cell r="H248">
            <v>2200</v>
          </cell>
          <cell r="I248" t="str">
            <v>A</v>
          </cell>
          <cell r="K248">
            <v>45</v>
          </cell>
          <cell r="L248">
            <v>1520</v>
          </cell>
          <cell r="M248">
            <v>50140780</v>
          </cell>
          <cell r="N248">
            <v>38952</v>
          </cell>
          <cell r="P248" t="str">
            <v>FN6823D1L312602</v>
          </cell>
          <cell r="Q248" t="str">
            <v>สภาพปกติ</v>
          </cell>
        </row>
        <row r="249">
          <cell r="A249">
            <v>50140803</v>
          </cell>
          <cell r="B249">
            <v>248</v>
          </cell>
          <cell r="C249" t="str">
            <v>LW02/1</v>
          </cell>
          <cell r="D249" t="str">
            <v>SPCC-SD</v>
          </cell>
          <cell r="E249" t="str">
            <v>AF1</v>
          </cell>
          <cell r="F249">
            <v>1.6</v>
          </cell>
          <cell r="G249">
            <v>1219</v>
          </cell>
          <cell r="H249">
            <v>2200</v>
          </cell>
          <cell r="I249" t="str">
            <v>A</v>
          </cell>
          <cell r="K249">
            <v>45</v>
          </cell>
          <cell r="L249">
            <v>1515</v>
          </cell>
          <cell r="M249">
            <v>50140803</v>
          </cell>
          <cell r="N249">
            <v>38952</v>
          </cell>
          <cell r="P249" t="str">
            <v>FN6823D1L312601</v>
          </cell>
          <cell r="Q249" t="str">
            <v>สภาพปกติ</v>
          </cell>
        </row>
        <row r="250">
          <cell r="A250">
            <v>50140804</v>
          </cell>
          <cell r="B250">
            <v>249</v>
          </cell>
          <cell r="C250" t="str">
            <v>LW02/1</v>
          </cell>
          <cell r="D250" t="str">
            <v>SPCC-SD</v>
          </cell>
          <cell r="E250" t="str">
            <v>AF1</v>
          </cell>
          <cell r="F250">
            <v>1.6</v>
          </cell>
          <cell r="G250">
            <v>1219</v>
          </cell>
          <cell r="H250">
            <v>2200</v>
          </cell>
          <cell r="I250" t="str">
            <v>A</v>
          </cell>
          <cell r="K250">
            <v>45</v>
          </cell>
          <cell r="L250">
            <v>1510</v>
          </cell>
          <cell r="M250">
            <v>50140804</v>
          </cell>
          <cell r="N250">
            <v>38952</v>
          </cell>
          <cell r="P250" t="str">
            <v>FN6823D1L312602</v>
          </cell>
          <cell r="Q250" t="str">
            <v>สภาพปกติ</v>
          </cell>
        </row>
        <row r="251">
          <cell r="A251">
            <v>50140805</v>
          </cell>
          <cell r="B251">
            <v>250</v>
          </cell>
          <cell r="C251" t="str">
            <v>LW02/1</v>
          </cell>
          <cell r="D251" t="str">
            <v>SPCC-SD</v>
          </cell>
          <cell r="E251" t="str">
            <v>AF1</v>
          </cell>
          <cell r="F251">
            <v>1.6</v>
          </cell>
          <cell r="G251">
            <v>1219</v>
          </cell>
          <cell r="H251">
            <v>2200</v>
          </cell>
          <cell r="I251" t="str">
            <v>A</v>
          </cell>
          <cell r="K251">
            <v>45</v>
          </cell>
          <cell r="L251">
            <v>1510</v>
          </cell>
          <cell r="M251">
            <v>50140805</v>
          </cell>
          <cell r="N251">
            <v>38952</v>
          </cell>
          <cell r="P251" t="str">
            <v>FN6823D1L312603</v>
          </cell>
          <cell r="Q251" t="str">
            <v>สภาพปกติ</v>
          </cell>
        </row>
        <row r="252">
          <cell r="A252">
            <v>50140806</v>
          </cell>
          <cell r="B252">
            <v>251</v>
          </cell>
          <cell r="C252" t="str">
            <v>LW02/1</v>
          </cell>
          <cell r="D252" t="str">
            <v>SPCC-SD</v>
          </cell>
          <cell r="E252" t="str">
            <v>AF1</v>
          </cell>
          <cell r="F252">
            <v>1.6</v>
          </cell>
          <cell r="G252">
            <v>1219</v>
          </cell>
          <cell r="H252">
            <v>2200</v>
          </cell>
          <cell r="I252" t="str">
            <v>A</v>
          </cell>
          <cell r="K252">
            <v>45</v>
          </cell>
          <cell r="L252">
            <v>1510</v>
          </cell>
          <cell r="M252">
            <v>50140806</v>
          </cell>
          <cell r="N252">
            <v>38952</v>
          </cell>
          <cell r="P252" t="str">
            <v>FN6823D1L312604</v>
          </cell>
          <cell r="Q252" t="str">
            <v>สภาพปกติ</v>
          </cell>
        </row>
        <row r="253">
          <cell r="A253">
            <v>50140807</v>
          </cell>
          <cell r="B253">
            <v>252</v>
          </cell>
          <cell r="C253" t="str">
            <v>LW02/1</v>
          </cell>
          <cell r="D253" t="str">
            <v>SPCC-SD</v>
          </cell>
          <cell r="E253" t="str">
            <v>AF1</v>
          </cell>
          <cell r="F253">
            <v>1.6</v>
          </cell>
          <cell r="G253">
            <v>1219</v>
          </cell>
          <cell r="H253">
            <v>2200</v>
          </cell>
          <cell r="I253" t="str">
            <v>A</v>
          </cell>
          <cell r="K253">
            <v>45</v>
          </cell>
          <cell r="L253">
            <v>1510</v>
          </cell>
          <cell r="M253">
            <v>50140807</v>
          </cell>
          <cell r="N253">
            <v>38952</v>
          </cell>
          <cell r="P253" t="str">
            <v>FN6823D1L312605</v>
          </cell>
          <cell r="Q253" t="str">
            <v>สภาพปกติ</v>
          </cell>
        </row>
        <row r="254">
          <cell r="A254">
            <v>50140808</v>
          </cell>
          <cell r="B254">
            <v>253</v>
          </cell>
          <cell r="C254" t="str">
            <v>LW02/1</v>
          </cell>
          <cell r="D254" t="str">
            <v>SPCC-SD</v>
          </cell>
          <cell r="E254" t="str">
            <v>AF1</v>
          </cell>
          <cell r="F254">
            <v>1.6</v>
          </cell>
          <cell r="G254">
            <v>1219</v>
          </cell>
          <cell r="H254">
            <v>2200</v>
          </cell>
          <cell r="I254" t="str">
            <v>A</v>
          </cell>
          <cell r="K254">
            <v>45</v>
          </cell>
          <cell r="L254">
            <v>1510</v>
          </cell>
          <cell r="M254">
            <v>50140808</v>
          </cell>
          <cell r="N254">
            <v>38952</v>
          </cell>
          <cell r="P254" t="str">
            <v>FN6823D1L312606</v>
          </cell>
          <cell r="Q254" t="str">
            <v>สภาพปกติ</v>
          </cell>
        </row>
        <row r="255">
          <cell r="A255">
            <v>50140816</v>
          </cell>
          <cell r="B255">
            <v>254</v>
          </cell>
          <cell r="C255" t="str">
            <v>LW02/1</v>
          </cell>
          <cell r="D255" t="str">
            <v>SPCC-SD</v>
          </cell>
          <cell r="E255" t="str">
            <v>AF1</v>
          </cell>
          <cell r="F255">
            <v>1.6</v>
          </cell>
          <cell r="G255">
            <v>1219</v>
          </cell>
          <cell r="H255">
            <v>2200</v>
          </cell>
          <cell r="I255" t="str">
            <v>A</v>
          </cell>
          <cell r="K255">
            <v>45</v>
          </cell>
          <cell r="L255">
            <v>1510</v>
          </cell>
          <cell r="M255">
            <v>50140816</v>
          </cell>
          <cell r="N255">
            <v>38952</v>
          </cell>
          <cell r="P255" t="str">
            <v>FN6823D1L812601</v>
          </cell>
          <cell r="Q255" t="str">
            <v>สภาพปกติ</v>
          </cell>
        </row>
        <row r="256">
          <cell r="A256">
            <v>50140817</v>
          </cell>
          <cell r="B256">
            <v>255</v>
          </cell>
          <cell r="C256" t="str">
            <v>LW02/1</v>
          </cell>
          <cell r="D256" t="str">
            <v>SPCC-SD</v>
          </cell>
          <cell r="E256" t="str">
            <v>AF1</v>
          </cell>
          <cell r="F256">
            <v>1.6</v>
          </cell>
          <cell r="G256">
            <v>1219</v>
          </cell>
          <cell r="H256">
            <v>2200</v>
          </cell>
          <cell r="I256" t="str">
            <v>A</v>
          </cell>
          <cell r="K256">
            <v>45</v>
          </cell>
          <cell r="L256">
            <v>1510</v>
          </cell>
          <cell r="M256">
            <v>50140817</v>
          </cell>
          <cell r="N256">
            <v>38952</v>
          </cell>
          <cell r="P256" t="str">
            <v>FN6823D1L312601</v>
          </cell>
          <cell r="Q256" t="str">
            <v>สภาพปกติ</v>
          </cell>
        </row>
        <row r="257">
          <cell r="A257">
            <v>50140818</v>
          </cell>
          <cell r="B257">
            <v>256</v>
          </cell>
          <cell r="C257" t="str">
            <v>LW02/1</v>
          </cell>
          <cell r="D257" t="str">
            <v>SPCC-SD</v>
          </cell>
          <cell r="E257" t="str">
            <v>AF1</v>
          </cell>
          <cell r="F257">
            <v>1.6</v>
          </cell>
          <cell r="G257">
            <v>1219</v>
          </cell>
          <cell r="H257">
            <v>2200</v>
          </cell>
          <cell r="I257" t="str">
            <v>A</v>
          </cell>
          <cell r="K257">
            <v>50</v>
          </cell>
          <cell r="L257">
            <v>1678</v>
          </cell>
          <cell r="M257">
            <v>50140818</v>
          </cell>
          <cell r="N257">
            <v>38952</v>
          </cell>
          <cell r="P257" t="str">
            <v>FN6823D1L312603</v>
          </cell>
          <cell r="Q257" t="str">
            <v>สภาพปกติ</v>
          </cell>
        </row>
        <row r="258">
          <cell r="A258">
            <v>50137097</v>
          </cell>
          <cell r="B258">
            <v>257</v>
          </cell>
          <cell r="C258" t="str">
            <v>LW02/1</v>
          </cell>
          <cell r="D258" t="str">
            <v>SPCC-SD</v>
          </cell>
          <cell r="E258" t="str">
            <v>AF1</v>
          </cell>
          <cell r="F258">
            <v>1</v>
          </cell>
          <cell r="G258">
            <v>1219</v>
          </cell>
          <cell r="H258">
            <v>234</v>
          </cell>
          <cell r="I258" t="str">
            <v>A</v>
          </cell>
          <cell r="K258">
            <v>75</v>
          </cell>
          <cell r="L258">
            <v>1685</v>
          </cell>
          <cell r="M258">
            <v>50137097</v>
          </cell>
          <cell r="N258">
            <v>38917</v>
          </cell>
          <cell r="O258" t="str">
            <v>126216SUD021</v>
          </cell>
          <cell r="P258" t="str">
            <v>FN6719D1L216901</v>
          </cell>
          <cell r="Q258" t="str">
            <v>แผ่นรองและสายรัดเป็นสนิม</v>
          </cell>
        </row>
        <row r="259">
          <cell r="A259">
            <v>20037849</v>
          </cell>
          <cell r="B259">
            <v>258</v>
          </cell>
          <cell r="C259" t="str">
            <v>CF01/2</v>
          </cell>
          <cell r="D259" t="str">
            <v>SPCC-SD</v>
          </cell>
          <cell r="E259" t="str">
            <v>AF1</v>
          </cell>
          <cell r="F259">
            <v>0.6</v>
          </cell>
          <cell r="G259">
            <v>140</v>
          </cell>
          <cell r="H259">
            <v>250</v>
          </cell>
          <cell r="I259" t="str">
            <v>A</v>
          </cell>
          <cell r="K259">
            <v>1000</v>
          </cell>
          <cell r="L259">
            <v>160</v>
          </cell>
          <cell r="M259">
            <v>20037849</v>
          </cell>
          <cell r="N259">
            <v>38418</v>
          </cell>
          <cell r="P259" t="str">
            <v>FN5307D1M765001</v>
          </cell>
          <cell r="Q259" t="str">
            <v>แผ่นรองและสายรัดเป็นสนิม</v>
          </cell>
        </row>
        <row r="260">
          <cell r="A260">
            <v>20037850</v>
          </cell>
          <cell r="B260">
            <v>259</v>
          </cell>
          <cell r="C260" t="str">
            <v>CF01/2</v>
          </cell>
          <cell r="D260" t="str">
            <v>SPCC-SD</v>
          </cell>
          <cell r="E260" t="str">
            <v>AF1</v>
          </cell>
          <cell r="F260">
            <v>0.6</v>
          </cell>
          <cell r="G260">
            <v>140</v>
          </cell>
          <cell r="H260">
            <v>250</v>
          </cell>
          <cell r="I260" t="str">
            <v>A</v>
          </cell>
          <cell r="K260">
            <v>1000</v>
          </cell>
          <cell r="L260">
            <v>160</v>
          </cell>
          <cell r="M260">
            <v>20037850</v>
          </cell>
          <cell r="N260">
            <v>38418</v>
          </cell>
          <cell r="P260" t="str">
            <v>FN5307D1M765002</v>
          </cell>
          <cell r="Q260" t="str">
            <v>แผ่นรองและสายรัดเป็นสนิม</v>
          </cell>
        </row>
        <row r="261">
          <cell r="A261">
            <v>20037851</v>
          </cell>
          <cell r="B261">
            <v>260</v>
          </cell>
          <cell r="C261" t="str">
            <v>CF01/2</v>
          </cell>
          <cell r="D261" t="str">
            <v>SPCC-SD</v>
          </cell>
          <cell r="E261" t="str">
            <v>AF1</v>
          </cell>
          <cell r="F261">
            <v>0.6</v>
          </cell>
          <cell r="G261">
            <v>140</v>
          </cell>
          <cell r="H261">
            <v>250</v>
          </cell>
          <cell r="I261" t="str">
            <v>A</v>
          </cell>
          <cell r="K261">
            <v>1000</v>
          </cell>
          <cell r="L261">
            <v>160</v>
          </cell>
          <cell r="M261">
            <v>20037851</v>
          </cell>
          <cell r="N261">
            <v>38418</v>
          </cell>
          <cell r="P261" t="str">
            <v>FN5307D1M765003</v>
          </cell>
          <cell r="Q261" t="str">
            <v>แผ่นรองและสายรัดเป็นสนิม</v>
          </cell>
        </row>
        <row r="262">
          <cell r="A262">
            <v>20037855</v>
          </cell>
          <cell r="B262">
            <v>261</v>
          </cell>
          <cell r="C262" t="str">
            <v>CF01/2</v>
          </cell>
          <cell r="D262" t="str">
            <v>SPCC-SD</v>
          </cell>
          <cell r="E262" t="str">
            <v>AF1</v>
          </cell>
          <cell r="F262">
            <v>0.6</v>
          </cell>
          <cell r="G262">
            <v>140</v>
          </cell>
          <cell r="H262">
            <v>250</v>
          </cell>
          <cell r="I262" t="str">
            <v>A</v>
          </cell>
          <cell r="K262">
            <v>1000</v>
          </cell>
          <cell r="L262">
            <v>160</v>
          </cell>
          <cell r="M262">
            <v>20037855</v>
          </cell>
          <cell r="N262">
            <v>38418</v>
          </cell>
          <cell r="P262" t="str">
            <v>FN5307D1M765004</v>
          </cell>
          <cell r="Q262" t="str">
            <v>แผ่นรองและสายรัดเป็นสนิม</v>
          </cell>
        </row>
        <row r="263">
          <cell r="A263">
            <v>20037856</v>
          </cell>
          <cell r="B263">
            <v>262</v>
          </cell>
          <cell r="C263" t="str">
            <v>CF01/2</v>
          </cell>
          <cell r="D263" t="str">
            <v>SPCC-SD</v>
          </cell>
          <cell r="E263" t="str">
            <v>AF1</v>
          </cell>
          <cell r="F263">
            <v>0.6</v>
          </cell>
          <cell r="G263">
            <v>140</v>
          </cell>
          <cell r="H263">
            <v>250</v>
          </cell>
          <cell r="I263" t="str">
            <v>A</v>
          </cell>
          <cell r="K263">
            <v>500</v>
          </cell>
          <cell r="L263">
            <v>80</v>
          </cell>
          <cell r="M263">
            <v>20037856</v>
          </cell>
          <cell r="N263">
            <v>38418</v>
          </cell>
          <cell r="P263" t="str">
            <v>FN5307D1M765005</v>
          </cell>
          <cell r="Q263" t="str">
            <v>แผ่นรองและสายรัดเป็นสนิม</v>
          </cell>
        </row>
        <row r="264">
          <cell r="A264">
            <v>50100143</v>
          </cell>
          <cell r="B264">
            <v>263</v>
          </cell>
          <cell r="C264" t="str">
            <v>CF01/2</v>
          </cell>
          <cell r="D264" t="str">
            <v>SPCC-SD</v>
          </cell>
          <cell r="E264" t="str">
            <v>AF1</v>
          </cell>
          <cell r="F264">
            <v>0.5</v>
          </cell>
          <cell r="G264">
            <v>70</v>
          </cell>
          <cell r="H264">
            <v>1690</v>
          </cell>
          <cell r="I264" t="str">
            <v>A</v>
          </cell>
          <cell r="K264">
            <v>170</v>
          </cell>
          <cell r="L264">
            <v>79</v>
          </cell>
          <cell r="M264">
            <v>50100143</v>
          </cell>
          <cell r="N264">
            <v>38624</v>
          </cell>
          <cell r="P264" t="str">
            <v>FN5929D1M328101</v>
          </cell>
          <cell r="Q264" t="str">
            <v>แผ่นรองและสายรัดเป็นสนิม</v>
          </cell>
        </row>
        <row r="265">
          <cell r="A265">
            <v>50109390</v>
          </cell>
          <cell r="B265">
            <v>264</v>
          </cell>
          <cell r="C265" t="str">
            <v>CF01/2</v>
          </cell>
          <cell r="D265" t="str">
            <v>SPCC-SD</v>
          </cell>
          <cell r="E265" t="str">
            <v>AF1</v>
          </cell>
          <cell r="F265">
            <v>0.5</v>
          </cell>
          <cell r="G265">
            <v>170</v>
          </cell>
          <cell r="H265">
            <v>1219</v>
          </cell>
          <cell r="I265" t="str">
            <v>A</v>
          </cell>
          <cell r="K265">
            <v>58</v>
          </cell>
          <cell r="L265">
            <v>47</v>
          </cell>
          <cell r="M265">
            <v>50109390</v>
          </cell>
          <cell r="N265" t="str">
            <v>8/C/2005</v>
          </cell>
          <cell r="P265" t="str">
            <v>FN5C08D1R544001</v>
          </cell>
          <cell r="Q265" t="str">
            <v>แผ่นรองและสายรัดเป็นสนิม</v>
          </cell>
        </row>
        <row r="266">
          <cell r="A266">
            <v>50127951</v>
          </cell>
          <cell r="B266">
            <v>265</v>
          </cell>
          <cell r="C266" t="str">
            <v>CF01/2</v>
          </cell>
          <cell r="D266" t="str">
            <v>SPCC-SD</v>
          </cell>
          <cell r="E266" t="str">
            <v>AF1</v>
          </cell>
          <cell r="F266">
            <v>0.5</v>
          </cell>
          <cell r="G266">
            <v>170</v>
          </cell>
          <cell r="H266">
            <v>1219</v>
          </cell>
          <cell r="I266" t="str">
            <v>A</v>
          </cell>
          <cell r="K266">
            <v>76</v>
          </cell>
          <cell r="L266">
            <v>61</v>
          </cell>
          <cell r="M266">
            <v>50127951</v>
          </cell>
          <cell r="N266">
            <v>38840</v>
          </cell>
          <cell r="P266" t="str">
            <v>FN6503D1R976402</v>
          </cell>
          <cell r="Q266" t="str">
            <v>แผ่นรองและสายรัดเป็นสนิม</v>
          </cell>
        </row>
        <row r="267">
          <cell r="A267">
            <v>50066350</v>
          </cell>
          <cell r="B267">
            <v>266</v>
          </cell>
          <cell r="C267" t="str">
            <v>CF01/2</v>
          </cell>
          <cell r="D267" t="str">
            <v>SPCC-SD</v>
          </cell>
          <cell r="E267" t="str">
            <v>AF1</v>
          </cell>
          <cell r="F267">
            <v>0.5</v>
          </cell>
          <cell r="G267">
            <v>356</v>
          </cell>
          <cell r="H267">
            <v>484</v>
          </cell>
          <cell r="I267" t="str">
            <v>A</v>
          </cell>
          <cell r="K267">
            <v>214</v>
          </cell>
          <cell r="L267">
            <v>145</v>
          </cell>
          <cell r="M267">
            <v>50066350</v>
          </cell>
          <cell r="N267">
            <v>38359</v>
          </cell>
          <cell r="P267" t="str">
            <v>FN5107D1M593001</v>
          </cell>
          <cell r="Q267" t="str">
            <v>กระดาษฉีกขาดและเป็นสนิม</v>
          </cell>
        </row>
        <row r="268">
          <cell r="A268">
            <v>50116838</v>
          </cell>
          <cell r="B268">
            <v>267</v>
          </cell>
          <cell r="C268" t="str">
            <v>CF01/2</v>
          </cell>
          <cell r="D268" t="str">
            <v>SPCC-SD</v>
          </cell>
          <cell r="E268" t="str">
            <v>AF1</v>
          </cell>
          <cell r="F268">
            <v>0.6</v>
          </cell>
          <cell r="G268">
            <v>83</v>
          </cell>
          <cell r="H268">
            <v>1219</v>
          </cell>
          <cell r="I268" t="str">
            <v>A</v>
          </cell>
          <cell r="K268">
            <v>43</v>
          </cell>
          <cell r="L268">
            <v>21</v>
          </cell>
          <cell r="M268">
            <v>50116838</v>
          </cell>
          <cell r="N268">
            <v>38756</v>
          </cell>
          <cell r="P268" t="str">
            <v>FN6208D1R692601</v>
          </cell>
          <cell r="Q268" t="str">
            <v>แผ่นรองและสายรัดเป็นสนิม</v>
          </cell>
        </row>
        <row r="269">
          <cell r="A269">
            <v>50131906</v>
          </cell>
          <cell r="B269">
            <v>268</v>
          </cell>
          <cell r="C269" t="str">
            <v>CF01/2</v>
          </cell>
          <cell r="D269" t="str">
            <v>SPCC-SD</v>
          </cell>
          <cell r="E269" t="str">
            <v>AF1</v>
          </cell>
          <cell r="F269">
            <v>0.6</v>
          </cell>
          <cell r="G269">
            <v>83</v>
          </cell>
          <cell r="H269">
            <v>1219</v>
          </cell>
          <cell r="I269" t="str">
            <v>A</v>
          </cell>
          <cell r="K269">
            <v>88</v>
          </cell>
          <cell r="L269">
            <v>42</v>
          </cell>
          <cell r="M269">
            <v>50131906</v>
          </cell>
          <cell r="N269">
            <v>38873</v>
          </cell>
          <cell r="P269" t="str">
            <v>FN6605D1R048202</v>
          </cell>
          <cell r="Q269" t="str">
            <v>สภาพปกติ</v>
          </cell>
        </row>
        <row r="270">
          <cell r="A270">
            <v>50120738</v>
          </cell>
          <cell r="B270">
            <v>269</v>
          </cell>
          <cell r="C270" t="str">
            <v>CF01/2</v>
          </cell>
          <cell r="D270" t="str">
            <v>SPCC-SD</v>
          </cell>
          <cell r="E270" t="str">
            <v>AF1</v>
          </cell>
          <cell r="F270">
            <v>0.6</v>
          </cell>
          <cell r="G270">
            <v>105</v>
          </cell>
          <cell r="H270">
            <v>1219</v>
          </cell>
          <cell r="I270" t="str">
            <v>A</v>
          </cell>
          <cell r="K270">
            <v>60</v>
          </cell>
          <cell r="L270">
            <v>36</v>
          </cell>
          <cell r="M270">
            <v>50120738</v>
          </cell>
          <cell r="N270">
            <v>38782</v>
          </cell>
          <cell r="P270" t="str">
            <v>FN6306D1R762101</v>
          </cell>
          <cell r="Q270" t="str">
            <v>แผ่นรองและสายรัดเป็นสนิม</v>
          </cell>
        </row>
        <row r="271">
          <cell r="A271">
            <v>50067960</v>
          </cell>
          <cell r="B271">
            <v>270</v>
          </cell>
          <cell r="C271" t="str">
            <v>CF01/2</v>
          </cell>
          <cell r="D271" t="str">
            <v>SPCC-SD</v>
          </cell>
          <cell r="E271" t="str">
            <v>AF1</v>
          </cell>
          <cell r="F271">
            <v>0.6</v>
          </cell>
          <cell r="G271">
            <v>110</v>
          </cell>
          <cell r="H271">
            <v>1219</v>
          </cell>
          <cell r="I271" t="str">
            <v>A</v>
          </cell>
          <cell r="K271">
            <v>394</v>
          </cell>
          <cell r="L271">
            <v>248</v>
          </cell>
          <cell r="M271">
            <v>50067960</v>
          </cell>
          <cell r="N271">
            <v>38372</v>
          </cell>
          <cell r="P271" t="str">
            <v>FN5120D1D645601</v>
          </cell>
          <cell r="Q271" t="str">
            <v>กระดาษฉีกขาด</v>
          </cell>
        </row>
        <row r="272">
          <cell r="A272">
            <v>50129365</v>
          </cell>
          <cell r="B272">
            <v>271</v>
          </cell>
          <cell r="C272" t="str">
            <v>CF01/2</v>
          </cell>
          <cell r="D272" t="str">
            <v>SPCC-SD</v>
          </cell>
          <cell r="E272" t="str">
            <v>AF1</v>
          </cell>
          <cell r="F272">
            <v>0.6</v>
          </cell>
          <cell r="G272">
            <v>114</v>
          </cell>
          <cell r="H272">
            <v>821</v>
          </cell>
          <cell r="I272" t="str">
            <v>A</v>
          </cell>
          <cell r="K272">
            <v>175</v>
          </cell>
          <cell r="L272">
            <v>77</v>
          </cell>
          <cell r="M272">
            <v>50129365</v>
          </cell>
          <cell r="N272">
            <v>38854</v>
          </cell>
          <cell r="P272" t="str">
            <v>FN6517N1D012101</v>
          </cell>
          <cell r="Q272" t="str">
            <v>แผ่นรองและสายรัดเป็นสนิม</v>
          </cell>
        </row>
        <row r="273">
          <cell r="A273">
            <v>50098313</v>
          </cell>
          <cell r="B273">
            <v>272</v>
          </cell>
          <cell r="C273" t="str">
            <v>CF01/2</v>
          </cell>
          <cell r="D273" t="str">
            <v>SPCC-SD</v>
          </cell>
          <cell r="E273" t="str">
            <v>AF1</v>
          </cell>
          <cell r="F273">
            <v>0.6</v>
          </cell>
          <cell r="G273">
            <v>115</v>
          </cell>
          <cell r="H273">
            <v>1219</v>
          </cell>
          <cell r="I273" t="str">
            <v>A</v>
          </cell>
          <cell r="K273">
            <v>168</v>
          </cell>
          <cell r="L273">
            <v>111</v>
          </cell>
          <cell r="M273">
            <v>50098313</v>
          </cell>
          <cell r="N273">
            <v>38604</v>
          </cell>
          <cell r="P273" t="str">
            <v>FN5909D1D234001</v>
          </cell>
          <cell r="Q273" t="str">
            <v>แผ่นรองและสายรัดเป็นสนิม</v>
          </cell>
        </row>
        <row r="274">
          <cell r="A274">
            <v>50130157</v>
          </cell>
          <cell r="B274">
            <v>273</v>
          </cell>
          <cell r="C274" t="str">
            <v>CF01/2</v>
          </cell>
          <cell r="D274" t="str">
            <v>SPCC-SD</v>
          </cell>
          <cell r="E274" t="str">
            <v>AF1</v>
          </cell>
          <cell r="F274">
            <v>0.6</v>
          </cell>
          <cell r="G274">
            <v>123</v>
          </cell>
          <cell r="H274">
            <v>540</v>
          </cell>
          <cell r="I274" t="str">
            <v>A</v>
          </cell>
          <cell r="K274">
            <v>250</v>
          </cell>
          <cell r="L274">
            <v>74</v>
          </cell>
          <cell r="M274">
            <v>50130157</v>
          </cell>
          <cell r="N274">
            <v>38861</v>
          </cell>
          <cell r="P274" t="str">
            <v>FN6524D1M028401</v>
          </cell>
          <cell r="Q274" t="str">
            <v>แผ่นรองและสายรัดเป็นสนิม</v>
          </cell>
        </row>
        <row r="275">
          <cell r="A275">
            <v>50100835</v>
          </cell>
          <cell r="B275">
            <v>274</v>
          </cell>
          <cell r="C275" t="str">
            <v>CF01/2</v>
          </cell>
          <cell r="D275" t="str">
            <v>SPCC-SD</v>
          </cell>
          <cell r="E275" t="str">
            <v>AF1</v>
          </cell>
          <cell r="F275">
            <v>0.6</v>
          </cell>
          <cell r="G275">
            <v>153</v>
          </cell>
          <cell r="H275">
            <v>1175</v>
          </cell>
          <cell r="I275" t="str">
            <v>A</v>
          </cell>
          <cell r="K275">
            <v>70</v>
          </cell>
          <cell r="L275">
            <v>60</v>
          </cell>
          <cell r="M275">
            <v>50100835</v>
          </cell>
          <cell r="N275" t="str">
            <v>6/A/2005</v>
          </cell>
          <cell r="P275" t="str">
            <v>FN5A06D1M344601</v>
          </cell>
          <cell r="Q275" t="str">
            <v>แผ่นรองและสายรัดเป็นสนิม</v>
          </cell>
        </row>
        <row r="276">
          <cell r="A276">
            <v>50124821</v>
          </cell>
          <cell r="B276">
            <v>275</v>
          </cell>
          <cell r="C276" t="str">
            <v>CF01/2</v>
          </cell>
          <cell r="D276" t="str">
            <v>SPCC-SD</v>
          </cell>
          <cell r="E276" t="str">
            <v>AF1</v>
          </cell>
          <cell r="F276">
            <v>0.6</v>
          </cell>
          <cell r="G276">
            <v>155</v>
          </cell>
          <cell r="H276">
            <v>1110</v>
          </cell>
          <cell r="I276" t="str">
            <v>A</v>
          </cell>
          <cell r="K276">
            <v>472</v>
          </cell>
          <cell r="L276">
            <v>382</v>
          </cell>
          <cell r="M276">
            <v>50124821</v>
          </cell>
          <cell r="N276">
            <v>38806</v>
          </cell>
          <cell r="P276" t="str">
            <v>FN6330D1RSSSS01</v>
          </cell>
          <cell r="Q276" t="str">
            <v>แผ่นรองและสายรัดเป็นสนิม</v>
          </cell>
        </row>
        <row r="277">
          <cell r="A277">
            <v>50141120</v>
          </cell>
          <cell r="B277">
            <v>276</v>
          </cell>
          <cell r="C277" t="str">
            <v>CF01/2</v>
          </cell>
          <cell r="D277" t="str">
            <v>SPCC-SD</v>
          </cell>
          <cell r="E277" t="str">
            <v>AF1</v>
          </cell>
          <cell r="F277">
            <v>0.6</v>
          </cell>
          <cell r="G277">
            <v>265</v>
          </cell>
          <cell r="H277">
            <v>615</v>
          </cell>
          <cell r="I277" t="str">
            <v>A</v>
          </cell>
          <cell r="K277">
            <v>173</v>
          </cell>
          <cell r="L277">
            <v>210</v>
          </cell>
          <cell r="M277">
            <v>50141120</v>
          </cell>
          <cell r="N277">
            <v>38955</v>
          </cell>
          <cell r="P277" t="str">
            <v>FN6826N1M324305</v>
          </cell>
          <cell r="Q277" t="str">
            <v>สภาพปกติ</v>
          </cell>
        </row>
        <row r="278">
          <cell r="A278">
            <v>50139609</v>
          </cell>
          <cell r="B278">
            <v>277</v>
          </cell>
          <cell r="C278" t="str">
            <v>CF01/2</v>
          </cell>
          <cell r="D278" t="str">
            <v>SPCC-SD</v>
          </cell>
          <cell r="E278" t="str">
            <v>AF1</v>
          </cell>
          <cell r="F278">
            <v>0.6</v>
          </cell>
          <cell r="G278">
            <v>270</v>
          </cell>
          <cell r="H278">
            <v>580</v>
          </cell>
          <cell r="I278" t="str">
            <v>A</v>
          </cell>
          <cell r="K278">
            <v>531</v>
          </cell>
          <cell r="L278">
            <v>392</v>
          </cell>
          <cell r="M278">
            <v>50139609</v>
          </cell>
          <cell r="N278">
            <v>38938</v>
          </cell>
          <cell r="P278" t="str">
            <v>FN6809N2R279701</v>
          </cell>
          <cell r="Q278" t="str">
            <v>แผ่นรองและสายรัดเป็นสนิม</v>
          </cell>
        </row>
        <row r="279">
          <cell r="A279">
            <v>50140569</v>
          </cell>
          <cell r="B279">
            <v>278</v>
          </cell>
          <cell r="C279" t="str">
            <v>CF01/2</v>
          </cell>
          <cell r="D279" t="str">
            <v>SPCC-SD</v>
          </cell>
          <cell r="E279" t="str">
            <v>AF1</v>
          </cell>
          <cell r="F279">
            <v>0.6</v>
          </cell>
          <cell r="G279">
            <v>270</v>
          </cell>
          <cell r="H279">
            <v>580</v>
          </cell>
          <cell r="I279" t="str">
            <v>A</v>
          </cell>
          <cell r="K279">
            <v>311</v>
          </cell>
          <cell r="L279">
            <v>229</v>
          </cell>
          <cell r="M279">
            <v>50140569</v>
          </cell>
          <cell r="N279">
            <v>38950</v>
          </cell>
          <cell r="O279" t="str">
            <v>R26726SUD020</v>
          </cell>
          <cell r="P279" t="str">
            <v>FN6821N1M311301</v>
          </cell>
          <cell r="Q279" t="str">
            <v>แผ่นรองและสายรัดเป็นสนิม</v>
          </cell>
        </row>
        <row r="280">
          <cell r="A280">
            <v>50127513</v>
          </cell>
          <cell r="B280">
            <v>279</v>
          </cell>
          <cell r="C280" t="str">
            <v>CF01/2</v>
          </cell>
          <cell r="D280" t="str">
            <v>SPCC-SD</v>
          </cell>
          <cell r="E280" t="str">
            <v>AF1</v>
          </cell>
          <cell r="F280">
            <v>0.6</v>
          </cell>
          <cell r="G280">
            <v>300</v>
          </cell>
          <cell r="H280">
            <v>605</v>
          </cell>
          <cell r="I280" t="str">
            <v>A</v>
          </cell>
          <cell r="K280">
            <v>251</v>
          </cell>
          <cell r="L280">
            <v>217</v>
          </cell>
          <cell r="M280">
            <v>50127513</v>
          </cell>
          <cell r="N280">
            <v>38834</v>
          </cell>
          <cell r="P280" t="str">
            <v>FN6427N3R965101</v>
          </cell>
          <cell r="Q280" t="str">
            <v>แผ่นรองและสายรัดเป็นสนิม</v>
          </cell>
        </row>
        <row r="281">
          <cell r="A281">
            <v>50132458</v>
          </cell>
          <cell r="B281">
            <v>280</v>
          </cell>
          <cell r="C281" t="str">
            <v>CF01/2</v>
          </cell>
          <cell r="D281" t="str">
            <v>SPCC-SD</v>
          </cell>
          <cell r="E281" t="str">
            <v>AF1</v>
          </cell>
          <cell r="F281">
            <v>0.6</v>
          </cell>
          <cell r="G281">
            <v>310</v>
          </cell>
          <cell r="H281">
            <v>605</v>
          </cell>
          <cell r="I281" t="str">
            <v>A</v>
          </cell>
          <cell r="K281">
            <v>346</v>
          </cell>
          <cell r="L281">
            <v>306</v>
          </cell>
          <cell r="M281">
            <v>50132458</v>
          </cell>
          <cell r="N281">
            <v>38876</v>
          </cell>
          <cell r="P281" t="str">
            <v>FN6608D2R078501</v>
          </cell>
          <cell r="Q281" t="str">
            <v>แผ่นรองและสายรัดเป็นสนิม</v>
          </cell>
        </row>
        <row r="282">
          <cell r="A282">
            <v>50135120</v>
          </cell>
          <cell r="B282">
            <v>281</v>
          </cell>
          <cell r="C282" t="str">
            <v>CF01/2</v>
          </cell>
          <cell r="D282" t="str">
            <v>SPCC-SD</v>
          </cell>
          <cell r="E282" t="str">
            <v>AF1</v>
          </cell>
          <cell r="F282">
            <v>0.6</v>
          </cell>
          <cell r="G282">
            <v>335</v>
          </cell>
          <cell r="H282">
            <v>620</v>
          </cell>
          <cell r="I282" t="str">
            <v>A</v>
          </cell>
          <cell r="K282">
            <v>219</v>
          </cell>
          <cell r="L282">
            <v>214</v>
          </cell>
          <cell r="M282">
            <v>50135120</v>
          </cell>
          <cell r="N282">
            <v>38899</v>
          </cell>
          <cell r="O282" t="str">
            <v>126619SUD015</v>
          </cell>
          <cell r="P282" t="str">
            <v>FN6701D3M147701</v>
          </cell>
          <cell r="Q282" t="str">
            <v>แผ่นรองและสายรัดเป็นสนิม</v>
          </cell>
        </row>
        <row r="283">
          <cell r="A283">
            <v>50102498</v>
          </cell>
          <cell r="B283">
            <v>282</v>
          </cell>
          <cell r="C283" t="str">
            <v>CF01/2</v>
          </cell>
          <cell r="D283" t="str">
            <v>SPCC-SD</v>
          </cell>
          <cell r="E283" t="str">
            <v>AF1</v>
          </cell>
          <cell r="F283">
            <v>0.6</v>
          </cell>
          <cell r="G283">
            <v>485</v>
          </cell>
          <cell r="H283">
            <v>1755</v>
          </cell>
          <cell r="I283" t="str">
            <v>A</v>
          </cell>
          <cell r="K283">
            <v>105</v>
          </cell>
          <cell r="L283">
            <v>423</v>
          </cell>
          <cell r="M283">
            <v>50102498</v>
          </cell>
          <cell r="N283" t="str">
            <v>17/A/2005</v>
          </cell>
          <cell r="P283" t="str">
            <v>FN5A17N1M345001</v>
          </cell>
          <cell r="Q283" t="str">
            <v>แผ่นรองและสายรัดเป็นสนิม</v>
          </cell>
        </row>
        <row r="284">
          <cell r="A284">
            <v>50100276</v>
          </cell>
          <cell r="B284">
            <v>283</v>
          </cell>
          <cell r="C284" t="str">
            <v>CF01/2</v>
          </cell>
          <cell r="D284" t="str">
            <v>SPCC-SD</v>
          </cell>
          <cell r="E284" t="str">
            <v>AF1</v>
          </cell>
          <cell r="F284">
            <v>0.6</v>
          </cell>
          <cell r="G284">
            <v>489</v>
          </cell>
          <cell r="H284">
            <v>1904</v>
          </cell>
          <cell r="I284" t="str">
            <v>A</v>
          </cell>
          <cell r="K284">
            <v>100</v>
          </cell>
          <cell r="L284">
            <v>439</v>
          </cell>
          <cell r="M284">
            <v>50100276</v>
          </cell>
          <cell r="N284" t="str">
            <v>1/A/2005</v>
          </cell>
          <cell r="P284" t="str">
            <v>FN5A01D3M324101</v>
          </cell>
          <cell r="Q284" t="str">
            <v>แผ่นรองและสายรัดเป็นสนิม</v>
          </cell>
        </row>
        <row r="285">
          <cell r="A285">
            <v>50102050</v>
          </cell>
          <cell r="B285">
            <v>284</v>
          </cell>
          <cell r="C285" t="str">
            <v>CF01/2</v>
          </cell>
          <cell r="D285" t="str">
            <v>SPCC-SD</v>
          </cell>
          <cell r="E285" t="str">
            <v>AF1</v>
          </cell>
          <cell r="F285">
            <v>0.6</v>
          </cell>
          <cell r="G285">
            <v>493</v>
          </cell>
          <cell r="H285">
            <v>1755</v>
          </cell>
          <cell r="I285" t="str">
            <v>A</v>
          </cell>
          <cell r="K285">
            <v>52</v>
          </cell>
          <cell r="L285">
            <v>212</v>
          </cell>
          <cell r="M285">
            <v>50102050</v>
          </cell>
          <cell r="N285" t="str">
            <v>14/A/2005</v>
          </cell>
          <cell r="P285" t="str">
            <v>FN5A14D1M345001</v>
          </cell>
          <cell r="Q285" t="str">
            <v>แผ่นรองและสายรัดเป็นสนิม</v>
          </cell>
        </row>
        <row r="286">
          <cell r="A286">
            <v>50134820</v>
          </cell>
          <cell r="B286">
            <v>285</v>
          </cell>
          <cell r="C286" t="str">
            <v>CF01/2</v>
          </cell>
          <cell r="D286" t="str">
            <v>SPCC-SD</v>
          </cell>
          <cell r="E286" t="str">
            <v>AF1</v>
          </cell>
          <cell r="F286">
            <v>0.6</v>
          </cell>
          <cell r="G286">
            <v>495</v>
          </cell>
          <cell r="H286">
            <v>500</v>
          </cell>
          <cell r="I286" t="str">
            <v>A</v>
          </cell>
          <cell r="K286">
            <v>267</v>
          </cell>
          <cell r="L286">
            <v>312</v>
          </cell>
          <cell r="M286">
            <v>50134820</v>
          </cell>
          <cell r="N286">
            <v>38897</v>
          </cell>
          <cell r="P286" t="str">
            <v>FN6629N3M147801</v>
          </cell>
          <cell r="Q286" t="str">
            <v>แผ่นรองและสายรัดเป็นสนิม</v>
          </cell>
        </row>
        <row r="287">
          <cell r="A287">
            <v>50116291</v>
          </cell>
          <cell r="B287">
            <v>286</v>
          </cell>
          <cell r="C287" t="str">
            <v>CF01/2</v>
          </cell>
          <cell r="D287" t="str">
            <v>SPCC-SD</v>
          </cell>
          <cell r="E287" t="str">
            <v>AF1</v>
          </cell>
          <cell r="F287">
            <v>0.6</v>
          </cell>
          <cell r="G287">
            <v>290</v>
          </cell>
          <cell r="H287">
            <v>125</v>
          </cell>
          <cell r="I287" t="str">
            <v>A</v>
          </cell>
          <cell r="K287">
            <v>25</v>
          </cell>
          <cell r="L287">
            <v>40</v>
          </cell>
          <cell r="M287">
            <v>50116291</v>
          </cell>
          <cell r="N287">
            <v>38751</v>
          </cell>
          <cell r="P287" t="str">
            <v>FN6203D1M705301</v>
          </cell>
          <cell r="Q287" t="str">
            <v>แผ่นรองและสายรัดเป็นสนิม</v>
          </cell>
        </row>
        <row r="288">
          <cell r="A288">
            <v>50105450</v>
          </cell>
          <cell r="B288">
            <v>287</v>
          </cell>
          <cell r="C288" t="str">
            <v>CF01/2</v>
          </cell>
          <cell r="D288" t="str">
            <v>SPCC-SD</v>
          </cell>
          <cell r="E288" t="str">
            <v>AF1</v>
          </cell>
          <cell r="F288">
            <v>0.6</v>
          </cell>
          <cell r="G288">
            <v>627</v>
          </cell>
          <cell r="H288">
            <v>199</v>
          </cell>
          <cell r="I288" t="str">
            <v>A</v>
          </cell>
          <cell r="K288">
            <v>90</v>
          </cell>
          <cell r="L288">
            <v>533</v>
          </cell>
          <cell r="M288">
            <v>50105450</v>
          </cell>
          <cell r="N288" t="str">
            <v>8/B/2005</v>
          </cell>
          <cell r="P288" t="str">
            <v>FN5B08D1M453001</v>
          </cell>
          <cell r="Q288" t="str">
            <v>แผ่นรองและสายรัดเป็นสนิม</v>
          </cell>
        </row>
        <row r="289">
          <cell r="A289">
            <v>50121703</v>
          </cell>
          <cell r="B289">
            <v>288</v>
          </cell>
          <cell r="C289" t="str">
            <v>CF01/2</v>
          </cell>
          <cell r="D289" t="str">
            <v>SPCC-SD</v>
          </cell>
          <cell r="E289" t="str">
            <v>AF1</v>
          </cell>
          <cell r="F289">
            <v>0.6</v>
          </cell>
          <cell r="G289">
            <v>685.8</v>
          </cell>
          <cell r="H289">
            <v>1219</v>
          </cell>
          <cell r="I289" t="str">
            <v>A</v>
          </cell>
          <cell r="K289">
            <v>204</v>
          </cell>
          <cell r="L289">
            <v>790</v>
          </cell>
          <cell r="M289">
            <v>50121703</v>
          </cell>
          <cell r="N289">
            <v>38787</v>
          </cell>
          <cell r="P289" t="str">
            <v>FN6311D1L824901</v>
          </cell>
          <cell r="Q289" t="str">
            <v>กระดาษฉีกขาด</v>
          </cell>
        </row>
        <row r="290">
          <cell r="A290">
            <v>50108407</v>
          </cell>
          <cell r="B290">
            <v>289</v>
          </cell>
          <cell r="C290" t="str">
            <v>CF01/2</v>
          </cell>
          <cell r="D290" t="str">
            <v>SPCC-SD</v>
          </cell>
          <cell r="E290" t="str">
            <v>AF1</v>
          </cell>
          <cell r="F290">
            <v>0.6</v>
          </cell>
          <cell r="G290">
            <v>685.8</v>
          </cell>
          <cell r="H290">
            <v>133</v>
          </cell>
          <cell r="I290" t="str">
            <v>A</v>
          </cell>
          <cell r="K290">
            <v>10</v>
          </cell>
          <cell r="L290">
            <v>45</v>
          </cell>
          <cell r="M290">
            <v>50108407</v>
          </cell>
          <cell r="N290" t="str">
            <v>30/B/2005</v>
          </cell>
          <cell r="P290" t="str">
            <v>FN5B30D1R527401</v>
          </cell>
          <cell r="Q290" t="str">
            <v>แผ่นรองและสายรัดเป็นสนิม</v>
          </cell>
        </row>
        <row r="291">
          <cell r="A291">
            <v>50121921</v>
          </cell>
          <cell r="B291">
            <v>290</v>
          </cell>
          <cell r="C291" t="str">
            <v>CF01/2</v>
          </cell>
          <cell r="D291" t="str">
            <v>SPCC-SD</v>
          </cell>
          <cell r="E291" t="str">
            <v>AF1</v>
          </cell>
          <cell r="F291">
            <v>0.7</v>
          </cell>
          <cell r="G291">
            <v>147</v>
          </cell>
          <cell r="H291">
            <v>1219</v>
          </cell>
          <cell r="I291" t="str">
            <v>A</v>
          </cell>
          <cell r="K291">
            <v>53</v>
          </cell>
          <cell r="L291">
            <v>52</v>
          </cell>
          <cell r="M291">
            <v>50121921</v>
          </cell>
          <cell r="N291">
            <v>38789</v>
          </cell>
          <cell r="P291" t="str">
            <v>FN6313D1RSSSS01</v>
          </cell>
          <cell r="Q291" t="str">
            <v>แผ่นรองและสายรัดเป็นสนิม</v>
          </cell>
        </row>
        <row r="292">
          <cell r="A292">
            <v>50097349</v>
          </cell>
          <cell r="B292">
            <v>291</v>
          </cell>
          <cell r="C292" t="str">
            <v>CF01/2</v>
          </cell>
          <cell r="D292" t="str">
            <v>SPCC-SD</v>
          </cell>
          <cell r="E292" t="str">
            <v>AF1</v>
          </cell>
          <cell r="F292">
            <v>0.7</v>
          </cell>
          <cell r="G292">
            <v>240</v>
          </cell>
          <cell r="H292">
            <v>240</v>
          </cell>
          <cell r="I292" t="str">
            <v>A</v>
          </cell>
          <cell r="K292">
            <v>84</v>
          </cell>
          <cell r="L292">
            <v>27</v>
          </cell>
          <cell r="M292">
            <v>50097349</v>
          </cell>
          <cell r="N292">
            <v>38598</v>
          </cell>
          <cell r="P292" t="str">
            <v>FN5903N3M273201</v>
          </cell>
          <cell r="Q292" t="str">
            <v>แผ่นรองและสายรัดเป็นสนิม</v>
          </cell>
        </row>
        <row r="293">
          <cell r="A293">
            <v>50125625</v>
          </cell>
          <cell r="B293">
            <v>292</v>
          </cell>
          <cell r="C293" t="str">
            <v>CF01/2</v>
          </cell>
          <cell r="D293" t="str">
            <v>SPCC-SD</v>
          </cell>
          <cell r="E293" t="str">
            <v>AF1</v>
          </cell>
          <cell r="F293">
            <v>0.7</v>
          </cell>
          <cell r="G293">
            <v>245</v>
          </cell>
          <cell r="H293">
            <v>1115</v>
          </cell>
          <cell r="I293" t="str">
            <v>A</v>
          </cell>
          <cell r="K293">
            <v>67</v>
          </cell>
          <cell r="L293">
            <v>101</v>
          </cell>
          <cell r="M293">
            <v>50125625</v>
          </cell>
          <cell r="N293">
            <v>38812</v>
          </cell>
          <cell r="P293" t="str">
            <v>FN6405D1RSSSS01</v>
          </cell>
          <cell r="Q293" t="str">
            <v>แผ่นรองและสายรัดเป็นสนิม</v>
          </cell>
        </row>
        <row r="294">
          <cell r="A294">
            <v>50138150</v>
          </cell>
          <cell r="B294">
            <v>293</v>
          </cell>
          <cell r="C294" t="str">
            <v>CF01/2</v>
          </cell>
          <cell r="D294" t="str">
            <v>SPCC-SD</v>
          </cell>
          <cell r="E294" t="str">
            <v>AF1</v>
          </cell>
          <cell r="F294">
            <v>0.7</v>
          </cell>
          <cell r="G294">
            <v>275</v>
          </cell>
          <cell r="H294">
            <v>1170</v>
          </cell>
          <cell r="I294" t="str">
            <v>A</v>
          </cell>
          <cell r="K294">
            <v>69</v>
          </cell>
          <cell r="L294">
            <v>122</v>
          </cell>
          <cell r="M294">
            <v>50138150</v>
          </cell>
          <cell r="N294">
            <v>38926</v>
          </cell>
          <cell r="P294" t="str">
            <v>FN6728D3M238301</v>
          </cell>
          <cell r="Q294" t="str">
            <v>สภาพปกติ</v>
          </cell>
        </row>
        <row r="295">
          <cell r="A295">
            <v>50125626</v>
          </cell>
          <cell r="B295">
            <v>294</v>
          </cell>
          <cell r="C295" t="str">
            <v>CF01/2</v>
          </cell>
          <cell r="D295" t="str">
            <v>SPCC-SD</v>
          </cell>
          <cell r="E295" t="str">
            <v>AF1</v>
          </cell>
          <cell r="F295">
            <v>0.7</v>
          </cell>
          <cell r="G295">
            <v>260</v>
          </cell>
          <cell r="H295">
            <v>1030</v>
          </cell>
          <cell r="I295" t="str">
            <v>A</v>
          </cell>
          <cell r="K295">
            <v>250</v>
          </cell>
          <cell r="L295">
            <v>368</v>
          </cell>
          <cell r="M295">
            <v>50125626</v>
          </cell>
          <cell r="N295">
            <v>38812</v>
          </cell>
          <cell r="P295" t="str">
            <v>FN6405D1RSSSS01</v>
          </cell>
          <cell r="Q295" t="str">
            <v>แผ่นรองและสายรัดเป็นสนิม</v>
          </cell>
        </row>
        <row r="296">
          <cell r="A296">
            <v>50060625</v>
          </cell>
          <cell r="B296">
            <v>295</v>
          </cell>
          <cell r="C296" t="str">
            <v>CF01/2</v>
          </cell>
          <cell r="D296" t="str">
            <v>SPCC-SD</v>
          </cell>
          <cell r="E296" t="str">
            <v>AF1</v>
          </cell>
          <cell r="F296">
            <v>0.7</v>
          </cell>
          <cell r="G296">
            <v>295</v>
          </cell>
          <cell r="H296">
            <v>1110</v>
          </cell>
          <cell r="I296" t="str">
            <v>A</v>
          </cell>
          <cell r="K296">
            <v>33</v>
          </cell>
          <cell r="L296">
            <v>59</v>
          </cell>
          <cell r="M296">
            <v>50060625</v>
          </cell>
          <cell r="N296" t="str">
            <v>9/B/2004</v>
          </cell>
          <cell r="P296" t="str">
            <v>FN4B09D1RSSSS01</v>
          </cell>
          <cell r="Q296" t="str">
            <v>กระดาษฉีกขาดและเป็นสนิม</v>
          </cell>
        </row>
        <row r="297">
          <cell r="A297">
            <v>50136561</v>
          </cell>
          <cell r="B297">
            <v>296</v>
          </cell>
          <cell r="C297" t="str">
            <v>CF01/2</v>
          </cell>
          <cell r="D297" t="str">
            <v>SPCC-SD</v>
          </cell>
          <cell r="E297" t="str">
            <v>AF1</v>
          </cell>
          <cell r="F297">
            <v>0.8</v>
          </cell>
          <cell r="G297">
            <v>80</v>
          </cell>
          <cell r="H297">
            <v>1219</v>
          </cell>
          <cell r="I297" t="str">
            <v>A</v>
          </cell>
          <cell r="K297">
            <v>185</v>
          </cell>
          <cell r="L297">
            <v>113</v>
          </cell>
          <cell r="M297">
            <v>50136561</v>
          </cell>
          <cell r="N297">
            <v>38912</v>
          </cell>
          <cell r="P297" t="str">
            <v>FN6714D1M199501</v>
          </cell>
          <cell r="Q297" t="str">
            <v>แผ่นรองและสายรัดเป็นสนิม</v>
          </cell>
        </row>
        <row r="298">
          <cell r="A298">
            <v>50140784</v>
          </cell>
          <cell r="B298">
            <v>297</v>
          </cell>
          <cell r="C298" t="str">
            <v>CF01/2</v>
          </cell>
          <cell r="D298" t="str">
            <v>SPCC-SD</v>
          </cell>
          <cell r="E298" t="str">
            <v>AF1</v>
          </cell>
          <cell r="F298">
            <v>0.8</v>
          </cell>
          <cell r="G298">
            <v>80</v>
          </cell>
          <cell r="H298">
            <v>1219</v>
          </cell>
          <cell r="I298" t="str">
            <v>A</v>
          </cell>
          <cell r="K298">
            <v>89</v>
          </cell>
          <cell r="L298">
            <v>54</v>
          </cell>
          <cell r="M298">
            <v>50140784</v>
          </cell>
          <cell r="N298">
            <v>38952</v>
          </cell>
          <cell r="P298" t="str">
            <v>FN6823D1R313201</v>
          </cell>
          <cell r="Q298" t="str">
            <v>แผ่นรองและสายรัดเป็นสนิม</v>
          </cell>
        </row>
        <row r="299">
          <cell r="A299">
            <v>50071980</v>
          </cell>
          <cell r="B299">
            <v>298</v>
          </cell>
          <cell r="C299" t="str">
            <v>CF01/2</v>
          </cell>
          <cell r="D299" t="str">
            <v>SPCC-SD</v>
          </cell>
          <cell r="E299" t="str">
            <v>AF1</v>
          </cell>
          <cell r="F299">
            <v>0.8</v>
          </cell>
          <cell r="G299">
            <v>88</v>
          </cell>
          <cell r="H299">
            <v>1090</v>
          </cell>
          <cell r="I299" t="str">
            <v>A</v>
          </cell>
          <cell r="K299">
            <v>684</v>
          </cell>
          <cell r="L299">
            <v>410</v>
          </cell>
          <cell r="M299">
            <v>50071980</v>
          </cell>
          <cell r="N299">
            <v>38403</v>
          </cell>
          <cell r="P299" t="str">
            <v>FN5220D1RSSSS01</v>
          </cell>
          <cell r="Q299" t="str">
            <v>แผ่นรองและสายรัดเป็นสนิม</v>
          </cell>
        </row>
        <row r="300">
          <cell r="A300">
            <v>50099128</v>
          </cell>
          <cell r="B300">
            <v>299</v>
          </cell>
          <cell r="C300" t="str">
            <v>CF01/2</v>
          </cell>
          <cell r="D300" t="str">
            <v>SPCC-SD</v>
          </cell>
          <cell r="E300" t="str">
            <v>AF1</v>
          </cell>
          <cell r="F300">
            <v>0.8</v>
          </cell>
          <cell r="G300">
            <v>135</v>
          </cell>
          <cell r="H300">
            <v>940</v>
          </cell>
          <cell r="I300" t="str">
            <v>A</v>
          </cell>
          <cell r="K300">
            <v>210</v>
          </cell>
          <cell r="L300">
            <v>168</v>
          </cell>
          <cell r="M300">
            <v>50099128</v>
          </cell>
          <cell r="N300">
            <v>38611</v>
          </cell>
          <cell r="P300" t="str">
            <v>FN5916D1M286101</v>
          </cell>
          <cell r="Q300" t="str">
            <v>แผ่นรองและสายรัดเป็นสนิม</v>
          </cell>
        </row>
        <row r="301">
          <cell r="A301">
            <v>50128908</v>
          </cell>
          <cell r="B301">
            <v>300</v>
          </cell>
          <cell r="C301" t="str">
            <v>CF01/2</v>
          </cell>
          <cell r="D301" t="str">
            <v>SPCC-SD</v>
          </cell>
          <cell r="E301" t="str">
            <v>AF1</v>
          </cell>
          <cell r="F301">
            <v>0.8</v>
          </cell>
          <cell r="G301">
            <v>135</v>
          </cell>
          <cell r="H301">
            <v>1219</v>
          </cell>
          <cell r="I301" t="str">
            <v>A</v>
          </cell>
          <cell r="K301">
            <v>150</v>
          </cell>
          <cell r="L301">
            <v>152</v>
          </cell>
          <cell r="M301">
            <v>50128908</v>
          </cell>
          <cell r="N301">
            <v>38847</v>
          </cell>
          <cell r="P301" t="str">
            <v>FN6510D1M996401</v>
          </cell>
          <cell r="Q301" t="str">
            <v>แผ่นรองและสายรัดเป็นสนิม</v>
          </cell>
        </row>
        <row r="302">
          <cell r="A302">
            <v>50108324</v>
          </cell>
          <cell r="B302">
            <v>301</v>
          </cell>
          <cell r="C302" t="str">
            <v>CF01/2</v>
          </cell>
          <cell r="D302" t="str">
            <v>SPCC-SD</v>
          </cell>
          <cell r="E302" t="str">
            <v>AF1</v>
          </cell>
          <cell r="F302">
            <v>0.8</v>
          </cell>
          <cell r="G302">
            <v>240</v>
          </cell>
          <cell r="H302">
            <v>1187</v>
          </cell>
          <cell r="I302" t="str">
            <v>A</v>
          </cell>
          <cell r="K302">
            <v>313</v>
          </cell>
          <cell r="L302">
            <v>561</v>
          </cell>
          <cell r="M302">
            <v>50108324</v>
          </cell>
          <cell r="N302" t="str">
            <v>30/B/2005</v>
          </cell>
          <cell r="P302" t="str">
            <v>FN5B30D1M509301</v>
          </cell>
          <cell r="Q302" t="str">
            <v>แผ่นรองและสายรัดเป็นสนิม</v>
          </cell>
        </row>
        <row r="303">
          <cell r="A303">
            <v>50139920</v>
          </cell>
          <cell r="B303">
            <v>302</v>
          </cell>
          <cell r="C303" t="str">
            <v>CF01/2</v>
          </cell>
          <cell r="D303" t="str">
            <v>SPCC-SD</v>
          </cell>
          <cell r="E303" t="str">
            <v>AF1</v>
          </cell>
          <cell r="F303">
            <v>0.8</v>
          </cell>
          <cell r="G303">
            <v>280</v>
          </cell>
          <cell r="H303">
            <v>1080</v>
          </cell>
          <cell r="I303" t="str">
            <v>A</v>
          </cell>
          <cell r="K303">
            <v>120</v>
          </cell>
          <cell r="L303">
            <v>228</v>
          </cell>
          <cell r="M303">
            <v>50139920</v>
          </cell>
          <cell r="N303">
            <v>38943</v>
          </cell>
          <cell r="P303" t="str">
            <v>FN6814D3M285301</v>
          </cell>
          <cell r="Q303" t="str">
            <v>สภาพปกติ</v>
          </cell>
        </row>
        <row r="304">
          <cell r="A304">
            <v>50094561</v>
          </cell>
          <cell r="B304">
            <v>303</v>
          </cell>
          <cell r="C304" t="str">
            <v>CF01/2</v>
          </cell>
          <cell r="D304" t="str">
            <v>SPCC-SD</v>
          </cell>
          <cell r="E304" t="str">
            <v>AF1</v>
          </cell>
          <cell r="F304">
            <v>0.8</v>
          </cell>
          <cell r="G304">
            <v>470</v>
          </cell>
          <cell r="H304">
            <v>1500</v>
          </cell>
          <cell r="I304" t="str">
            <v>A</v>
          </cell>
          <cell r="K304">
            <v>4</v>
          </cell>
          <cell r="L304">
            <v>18</v>
          </cell>
          <cell r="M304">
            <v>50094561</v>
          </cell>
          <cell r="N304">
            <v>38575</v>
          </cell>
          <cell r="P304" t="str">
            <v>FN5811D3R212001</v>
          </cell>
          <cell r="Q304" t="str">
            <v>แผ่นรองและสายรัดเป็นสนิม</v>
          </cell>
        </row>
        <row r="305">
          <cell r="A305">
            <v>50101609</v>
          </cell>
          <cell r="B305">
            <v>304</v>
          </cell>
          <cell r="C305" t="str">
            <v>CF01/2</v>
          </cell>
          <cell r="D305" t="str">
            <v>SPCC-SD</v>
          </cell>
          <cell r="E305" t="str">
            <v>AF1</v>
          </cell>
          <cell r="F305">
            <v>0.8</v>
          </cell>
          <cell r="G305">
            <v>470</v>
          </cell>
          <cell r="H305">
            <v>1500</v>
          </cell>
          <cell r="I305" t="str">
            <v>A</v>
          </cell>
          <cell r="K305">
            <v>20</v>
          </cell>
          <cell r="L305">
            <v>89</v>
          </cell>
          <cell r="M305">
            <v>50101609</v>
          </cell>
          <cell r="N305" t="str">
            <v>12/A/2005</v>
          </cell>
          <cell r="P305" t="str">
            <v>FN5A12D2R363601</v>
          </cell>
          <cell r="Q305" t="str">
            <v>กระดาษฉีกขาดและเป็นสนิม</v>
          </cell>
        </row>
        <row r="306">
          <cell r="A306">
            <v>50099985</v>
          </cell>
          <cell r="B306">
            <v>305</v>
          </cell>
          <cell r="C306" t="str">
            <v>CF01/2</v>
          </cell>
          <cell r="D306" t="str">
            <v>SPCC-SD</v>
          </cell>
          <cell r="E306" t="str">
            <v>AF1</v>
          </cell>
          <cell r="F306">
            <v>0.8</v>
          </cell>
          <cell r="G306">
            <v>716</v>
          </cell>
          <cell r="H306">
            <v>128</v>
          </cell>
          <cell r="I306" t="str">
            <v>A</v>
          </cell>
          <cell r="K306">
            <v>65</v>
          </cell>
          <cell r="L306">
            <v>380</v>
          </cell>
          <cell r="M306">
            <v>50099985</v>
          </cell>
          <cell r="N306">
            <v>38622</v>
          </cell>
          <cell r="P306" t="str">
            <v>FN5927D1L324601</v>
          </cell>
          <cell r="Q306" t="str">
            <v>กระดาษฉีกขาดและเป็นสนิม</v>
          </cell>
        </row>
        <row r="307">
          <cell r="A307">
            <v>50059481</v>
          </cell>
          <cell r="B307">
            <v>306</v>
          </cell>
          <cell r="C307" t="str">
            <v>CF01/2</v>
          </cell>
          <cell r="D307" t="str">
            <v>SPCC-SD</v>
          </cell>
          <cell r="E307" t="str">
            <v>AF1</v>
          </cell>
          <cell r="F307">
            <v>0.9</v>
          </cell>
          <cell r="G307">
            <v>185</v>
          </cell>
          <cell r="H307">
            <v>1155</v>
          </cell>
          <cell r="I307" t="str">
            <v>A</v>
          </cell>
          <cell r="K307">
            <v>20</v>
          </cell>
          <cell r="L307">
            <v>30</v>
          </cell>
          <cell r="M307">
            <v>50059481</v>
          </cell>
          <cell r="N307" t="str">
            <v>1/B/2004</v>
          </cell>
          <cell r="P307" t="str">
            <v>FN4B01D1RSSSS01</v>
          </cell>
          <cell r="Q307" t="str">
            <v>สภาพปกติ</v>
          </cell>
        </row>
        <row r="308">
          <cell r="A308">
            <v>50133930</v>
          </cell>
          <cell r="B308">
            <v>307</v>
          </cell>
          <cell r="C308" t="str">
            <v>CF01/2</v>
          </cell>
          <cell r="D308" t="str">
            <v>SPCC-SD</v>
          </cell>
          <cell r="E308" t="str">
            <v>AF1</v>
          </cell>
          <cell r="F308">
            <v>1</v>
          </cell>
          <cell r="G308">
            <v>68</v>
          </cell>
          <cell r="H308">
            <v>1219</v>
          </cell>
          <cell r="I308" t="str">
            <v>A</v>
          </cell>
          <cell r="K308">
            <v>88</v>
          </cell>
          <cell r="L308">
            <v>57</v>
          </cell>
          <cell r="M308">
            <v>50133930</v>
          </cell>
          <cell r="N308">
            <v>38888</v>
          </cell>
          <cell r="P308" t="str">
            <v>FN6620D1R115501</v>
          </cell>
          <cell r="Q308" t="str">
            <v>แผ่นรองและสายรัดเป็นสนิม</v>
          </cell>
        </row>
        <row r="309">
          <cell r="A309">
            <v>50105437</v>
          </cell>
          <cell r="B309">
            <v>308</v>
          </cell>
          <cell r="C309" t="str">
            <v>CF01/2</v>
          </cell>
          <cell r="D309" t="str">
            <v>SPCC-SD</v>
          </cell>
          <cell r="E309" t="str">
            <v>AF1</v>
          </cell>
          <cell r="F309">
            <v>1</v>
          </cell>
          <cell r="G309">
            <v>80</v>
          </cell>
          <cell r="H309">
            <v>1219</v>
          </cell>
          <cell r="I309" t="str">
            <v>A</v>
          </cell>
          <cell r="K309">
            <v>55</v>
          </cell>
          <cell r="L309">
            <v>43</v>
          </cell>
          <cell r="M309">
            <v>50105437</v>
          </cell>
          <cell r="N309" t="str">
            <v>8/B/2005</v>
          </cell>
          <cell r="P309" t="str">
            <v>FN5B08D1R453101</v>
          </cell>
          <cell r="Q309" t="str">
            <v>แผ่นรองและสายรัดเป็นสนิม</v>
          </cell>
        </row>
        <row r="310">
          <cell r="A310">
            <v>50127860</v>
          </cell>
          <cell r="B310">
            <v>309</v>
          </cell>
          <cell r="C310" t="str">
            <v>CF01/2</v>
          </cell>
          <cell r="D310" t="str">
            <v>SPCC-SD</v>
          </cell>
          <cell r="E310" t="str">
            <v>AF1</v>
          </cell>
          <cell r="F310">
            <v>1</v>
          </cell>
          <cell r="G310">
            <v>80</v>
          </cell>
          <cell r="H310">
            <v>1219</v>
          </cell>
          <cell r="I310" t="str">
            <v>A</v>
          </cell>
          <cell r="K310">
            <v>40</v>
          </cell>
          <cell r="L310">
            <v>31</v>
          </cell>
          <cell r="M310">
            <v>50127860</v>
          </cell>
          <cell r="N310">
            <v>38839</v>
          </cell>
          <cell r="P310" t="str">
            <v>FN6502D1R981002</v>
          </cell>
          <cell r="Q310" t="str">
            <v>แผ่นรองและสายรัดเป็นสนิม</v>
          </cell>
        </row>
        <row r="311">
          <cell r="A311">
            <v>50135931</v>
          </cell>
          <cell r="B311">
            <v>310</v>
          </cell>
          <cell r="C311" t="str">
            <v>CF01/2</v>
          </cell>
          <cell r="D311" t="str">
            <v>SPCC-SD</v>
          </cell>
          <cell r="E311" t="str">
            <v>AF1</v>
          </cell>
          <cell r="F311">
            <v>1</v>
          </cell>
          <cell r="G311">
            <v>87</v>
          </cell>
          <cell r="H311">
            <v>1219</v>
          </cell>
          <cell r="I311" t="str">
            <v>A</v>
          </cell>
          <cell r="K311">
            <v>40</v>
          </cell>
          <cell r="L311">
            <v>33</v>
          </cell>
          <cell r="M311">
            <v>50135931</v>
          </cell>
          <cell r="N311">
            <v>38905</v>
          </cell>
          <cell r="P311" t="str">
            <v>FN6707D1R182901</v>
          </cell>
          <cell r="Q311" t="str">
            <v>แผ่นรองและสายรัดเป็นสนิม</v>
          </cell>
        </row>
        <row r="312">
          <cell r="A312">
            <v>50136666</v>
          </cell>
          <cell r="B312">
            <v>311</v>
          </cell>
          <cell r="C312" t="str">
            <v>CF01/2</v>
          </cell>
          <cell r="D312" t="str">
            <v>SPCC-SD</v>
          </cell>
          <cell r="E312" t="str">
            <v>AF1</v>
          </cell>
          <cell r="F312">
            <v>1</v>
          </cell>
          <cell r="G312">
            <v>87</v>
          </cell>
          <cell r="H312">
            <v>1219</v>
          </cell>
          <cell r="I312" t="str">
            <v>A</v>
          </cell>
          <cell r="K312">
            <v>93</v>
          </cell>
          <cell r="L312">
            <v>77</v>
          </cell>
          <cell r="M312">
            <v>50136666</v>
          </cell>
          <cell r="N312">
            <v>38913</v>
          </cell>
          <cell r="P312" t="str">
            <v>FN6715N3M204302</v>
          </cell>
          <cell r="Q312" t="str">
            <v>แผ่นรองและสายรัดเป็นสนิม</v>
          </cell>
        </row>
        <row r="313">
          <cell r="A313">
            <v>50103997</v>
          </cell>
          <cell r="B313">
            <v>312</v>
          </cell>
          <cell r="C313" t="str">
            <v>CF01/2</v>
          </cell>
          <cell r="D313" t="str">
            <v>SPCC-SD</v>
          </cell>
          <cell r="E313" t="str">
            <v>AF1</v>
          </cell>
          <cell r="F313">
            <v>1</v>
          </cell>
          <cell r="G313">
            <v>90</v>
          </cell>
          <cell r="H313">
            <v>1219</v>
          </cell>
          <cell r="I313" t="str">
            <v>A</v>
          </cell>
          <cell r="K313">
            <v>12</v>
          </cell>
          <cell r="L313">
            <v>10</v>
          </cell>
          <cell r="M313">
            <v>50103997</v>
          </cell>
          <cell r="N313" t="str">
            <v>28/A/2005</v>
          </cell>
          <cell r="O313" t="str">
            <v>125514TCD012</v>
          </cell>
          <cell r="P313" t="str">
            <v>FN5A28D1R426801</v>
          </cell>
          <cell r="Q313" t="str">
            <v>แผ่นรองและสายรัดเป็นสนิม</v>
          </cell>
        </row>
        <row r="314">
          <cell r="A314">
            <v>50133287</v>
          </cell>
          <cell r="B314">
            <v>313</v>
          </cell>
          <cell r="C314" t="str">
            <v>CF01/2</v>
          </cell>
          <cell r="D314" t="str">
            <v>SPCC-SD</v>
          </cell>
          <cell r="E314" t="str">
            <v>AF1</v>
          </cell>
          <cell r="F314">
            <v>1</v>
          </cell>
          <cell r="G314">
            <v>90</v>
          </cell>
          <cell r="H314">
            <v>1219</v>
          </cell>
          <cell r="I314" t="str">
            <v>A</v>
          </cell>
          <cell r="K314">
            <v>70</v>
          </cell>
          <cell r="L314">
            <v>60</v>
          </cell>
          <cell r="M314">
            <v>50133287</v>
          </cell>
          <cell r="N314">
            <v>38883</v>
          </cell>
          <cell r="P314" t="str">
            <v>FN6615D1M110202</v>
          </cell>
          <cell r="Q314" t="str">
            <v>แผ่นรองและสายรัดเป็นสนิม</v>
          </cell>
        </row>
        <row r="315">
          <cell r="A315">
            <v>50137928</v>
          </cell>
          <cell r="B315">
            <v>314</v>
          </cell>
          <cell r="C315" t="str">
            <v>CF01/2</v>
          </cell>
          <cell r="D315" t="str">
            <v>SPCC-SD</v>
          </cell>
          <cell r="E315" t="str">
            <v>AF1</v>
          </cell>
          <cell r="F315">
            <v>1</v>
          </cell>
          <cell r="G315">
            <v>90</v>
          </cell>
          <cell r="H315">
            <v>1219</v>
          </cell>
          <cell r="I315" t="str">
            <v>A</v>
          </cell>
          <cell r="K315">
            <v>53</v>
          </cell>
          <cell r="L315">
            <v>45</v>
          </cell>
          <cell r="M315">
            <v>50137928</v>
          </cell>
          <cell r="N315">
            <v>38924</v>
          </cell>
          <cell r="P315" t="str">
            <v>FN6726D1M239203</v>
          </cell>
          <cell r="Q315" t="str">
            <v>แผ่นรองและสายรัดเป็นสนิม</v>
          </cell>
        </row>
        <row r="316">
          <cell r="A316">
            <v>50105573</v>
          </cell>
          <cell r="B316">
            <v>315</v>
          </cell>
          <cell r="C316" t="str">
            <v>CF01/2</v>
          </cell>
          <cell r="D316" t="str">
            <v>SPCC-SD</v>
          </cell>
          <cell r="E316" t="str">
            <v>AF1</v>
          </cell>
          <cell r="F316">
            <v>1</v>
          </cell>
          <cell r="G316">
            <v>135</v>
          </cell>
          <cell r="H316">
            <v>1219</v>
          </cell>
          <cell r="I316" t="str">
            <v>A</v>
          </cell>
          <cell r="K316">
            <v>39</v>
          </cell>
          <cell r="L316">
            <v>50</v>
          </cell>
          <cell r="M316">
            <v>50105573</v>
          </cell>
          <cell r="N316" t="str">
            <v>9/B/2005</v>
          </cell>
          <cell r="P316" t="str">
            <v>FN5B09D2D460201</v>
          </cell>
          <cell r="Q316" t="str">
            <v>แผ่นรองและสายรัดเป็นสนิม</v>
          </cell>
        </row>
        <row r="317">
          <cell r="A317">
            <v>50117568</v>
          </cell>
          <cell r="B317">
            <v>316</v>
          </cell>
          <cell r="C317" t="str">
            <v>CF01/2</v>
          </cell>
          <cell r="D317" t="str">
            <v>SPCC-SD</v>
          </cell>
          <cell r="E317" t="str">
            <v>AF1</v>
          </cell>
          <cell r="F317">
            <v>1</v>
          </cell>
          <cell r="G317">
            <v>148</v>
          </cell>
          <cell r="H317">
            <v>1100</v>
          </cell>
          <cell r="I317" t="str">
            <v>A</v>
          </cell>
          <cell r="K317">
            <v>135</v>
          </cell>
          <cell r="L317">
            <v>173</v>
          </cell>
          <cell r="M317">
            <v>50117568</v>
          </cell>
          <cell r="N317">
            <v>38762</v>
          </cell>
          <cell r="P317" t="str">
            <v>FN6214D1M728001</v>
          </cell>
          <cell r="Q317" t="str">
            <v>แผ่นรองและสายรัดเป็นสนิม</v>
          </cell>
        </row>
        <row r="318">
          <cell r="A318">
            <v>50133605</v>
          </cell>
          <cell r="B318">
            <v>317</v>
          </cell>
          <cell r="C318" t="str">
            <v>CF01/2</v>
          </cell>
          <cell r="D318" t="str">
            <v>SPCC-SD</v>
          </cell>
          <cell r="E318" t="str">
            <v>AF1</v>
          </cell>
          <cell r="F318">
            <v>1</v>
          </cell>
          <cell r="G318">
            <v>150</v>
          </cell>
          <cell r="H318">
            <v>1219</v>
          </cell>
          <cell r="I318" t="str">
            <v>A</v>
          </cell>
          <cell r="K318">
            <v>65</v>
          </cell>
          <cell r="L318">
            <v>94</v>
          </cell>
          <cell r="M318">
            <v>50133605</v>
          </cell>
          <cell r="N318">
            <v>38885</v>
          </cell>
          <cell r="P318" t="str">
            <v>FN6617D1M114001</v>
          </cell>
          <cell r="Q318" t="str">
            <v>แผ่นรองและสายรัดเป็นสนิม</v>
          </cell>
        </row>
        <row r="319">
          <cell r="A319">
            <v>50062947</v>
          </cell>
          <cell r="B319">
            <v>318</v>
          </cell>
          <cell r="C319" t="str">
            <v>CF01/2</v>
          </cell>
          <cell r="D319" t="str">
            <v>SPCC-SD</v>
          </cell>
          <cell r="E319" t="str">
            <v>AF1</v>
          </cell>
          <cell r="F319">
            <v>1</v>
          </cell>
          <cell r="G319">
            <v>156</v>
          </cell>
          <cell r="H319">
            <v>1219</v>
          </cell>
          <cell r="I319" t="str">
            <v>A</v>
          </cell>
          <cell r="K319">
            <v>46</v>
          </cell>
          <cell r="L319">
            <v>69</v>
          </cell>
          <cell r="M319">
            <v>50062947</v>
          </cell>
          <cell r="N319" t="str">
            <v>2/C/2004</v>
          </cell>
          <cell r="P319" t="str">
            <v>FN4C02D1RSSSS01</v>
          </cell>
          <cell r="Q319" t="str">
            <v>กระดาษฉีกขาด</v>
          </cell>
        </row>
        <row r="320">
          <cell r="A320">
            <v>50131235</v>
          </cell>
          <cell r="B320">
            <v>319</v>
          </cell>
          <cell r="C320" t="str">
            <v>CF01/2</v>
          </cell>
          <cell r="D320" t="str">
            <v>SPCC-SD</v>
          </cell>
          <cell r="E320" t="str">
            <v>AF1</v>
          </cell>
          <cell r="F320">
            <v>1</v>
          </cell>
          <cell r="G320">
            <v>160</v>
          </cell>
          <cell r="H320">
            <v>1055</v>
          </cell>
          <cell r="I320" t="str">
            <v>A</v>
          </cell>
          <cell r="K320">
            <v>80</v>
          </cell>
          <cell r="L320">
            <v>106</v>
          </cell>
          <cell r="M320">
            <v>50131235</v>
          </cell>
          <cell r="N320">
            <v>38869</v>
          </cell>
          <cell r="P320" t="str">
            <v>FN6601D1M063501</v>
          </cell>
          <cell r="Q320" t="str">
            <v>แผ่นรองและสายรัดเป็นสนิม</v>
          </cell>
        </row>
        <row r="321">
          <cell r="A321">
            <v>50128598</v>
          </cell>
          <cell r="B321">
            <v>320</v>
          </cell>
          <cell r="C321" t="str">
            <v>CF01/2</v>
          </cell>
          <cell r="D321" t="str">
            <v>SPCC-SD</v>
          </cell>
          <cell r="E321" t="str">
            <v>AF1</v>
          </cell>
          <cell r="F321">
            <v>1</v>
          </cell>
          <cell r="G321">
            <v>177</v>
          </cell>
          <cell r="H321">
            <v>268</v>
          </cell>
          <cell r="I321" t="str">
            <v>A</v>
          </cell>
          <cell r="K321">
            <v>103</v>
          </cell>
          <cell r="L321">
            <v>38</v>
          </cell>
          <cell r="M321">
            <v>50128598</v>
          </cell>
          <cell r="N321">
            <v>38845</v>
          </cell>
          <cell r="O321" t="str">
            <v>125B16SUD031</v>
          </cell>
          <cell r="P321" t="str">
            <v>FN6508D1RSSSS01</v>
          </cell>
          <cell r="Q321" t="str">
            <v>แผ่นรองและสายรัดเป็นสนิม</v>
          </cell>
        </row>
        <row r="322">
          <cell r="A322">
            <v>50100170</v>
          </cell>
          <cell r="B322">
            <v>321</v>
          </cell>
          <cell r="C322" t="str">
            <v>CF01/2</v>
          </cell>
          <cell r="D322" t="str">
            <v>SPCC-SD</v>
          </cell>
          <cell r="E322" t="str">
            <v>AF1</v>
          </cell>
          <cell r="F322">
            <v>1</v>
          </cell>
          <cell r="G322">
            <v>180</v>
          </cell>
          <cell r="H322">
            <v>280</v>
          </cell>
          <cell r="I322" t="str">
            <v>A</v>
          </cell>
          <cell r="K322">
            <v>792</v>
          </cell>
          <cell r="L322">
            <v>313</v>
          </cell>
          <cell r="M322">
            <v>50100170</v>
          </cell>
          <cell r="N322">
            <v>38620</v>
          </cell>
          <cell r="P322" t="str">
            <v>FN5925D1R296801</v>
          </cell>
          <cell r="Q322" t="str">
            <v>แผ่นรองและสายรัดเป็นสนิม</v>
          </cell>
        </row>
        <row r="323">
          <cell r="A323">
            <v>50129636</v>
          </cell>
          <cell r="B323">
            <v>322</v>
          </cell>
          <cell r="C323" t="str">
            <v>CF01/2</v>
          </cell>
          <cell r="D323" t="str">
            <v>SPCC-SD</v>
          </cell>
          <cell r="E323" t="str">
            <v>AF1</v>
          </cell>
          <cell r="F323">
            <v>1</v>
          </cell>
          <cell r="G323">
            <v>185</v>
          </cell>
          <cell r="H323">
            <v>270</v>
          </cell>
          <cell r="I323" t="str">
            <v>A</v>
          </cell>
          <cell r="K323">
            <v>170</v>
          </cell>
          <cell r="L323">
            <v>66</v>
          </cell>
          <cell r="M323">
            <v>50129636</v>
          </cell>
          <cell r="N323">
            <v>38856</v>
          </cell>
          <cell r="P323" t="str">
            <v>FN6519D1M980101</v>
          </cell>
          <cell r="Q323" t="str">
            <v>แผ่นรองและสายรัดเป็นสนิม</v>
          </cell>
        </row>
        <row r="324">
          <cell r="A324">
            <v>50127378</v>
          </cell>
          <cell r="B324">
            <v>323</v>
          </cell>
          <cell r="C324" t="str">
            <v>CF01/2</v>
          </cell>
          <cell r="D324" t="str">
            <v>SPCC-SD</v>
          </cell>
          <cell r="E324" t="str">
            <v>AF1</v>
          </cell>
          <cell r="F324">
            <v>1</v>
          </cell>
          <cell r="G324">
            <v>210</v>
          </cell>
          <cell r="H324">
            <v>1219</v>
          </cell>
          <cell r="I324" t="str">
            <v>A</v>
          </cell>
          <cell r="K324">
            <v>32</v>
          </cell>
          <cell r="L324">
            <v>64</v>
          </cell>
          <cell r="M324">
            <v>50127378</v>
          </cell>
          <cell r="N324">
            <v>38833</v>
          </cell>
          <cell r="P324" t="str">
            <v>FN6426D1R954901</v>
          </cell>
          <cell r="Q324" t="str">
            <v>แผ่นรองและสายรัดเป็นสนิม</v>
          </cell>
        </row>
        <row r="325">
          <cell r="A325">
            <v>50110099</v>
          </cell>
          <cell r="B325">
            <v>324</v>
          </cell>
          <cell r="C325" t="str">
            <v>CF01/2</v>
          </cell>
          <cell r="D325" t="str">
            <v>SPCC-SD</v>
          </cell>
          <cell r="E325" t="str">
            <v>AF1</v>
          </cell>
          <cell r="F325">
            <v>1</v>
          </cell>
          <cell r="G325">
            <v>211</v>
          </cell>
          <cell r="H325">
            <v>1219</v>
          </cell>
          <cell r="I325" t="str">
            <v>A</v>
          </cell>
          <cell r="K325">
            <v>45</v>
          </cell>
          <cell r="L325">
            <v>91</v>
          </cell>
          <cell r="M325">
            <v>50110099</v>
          </cell>
          <cell r="N325" t="str">
            <v>13/C/2005</v>
          </cell>
          <cell r="P325" t="str">
            <v>FN5C13N1D556801</v>
          </cell>
          <cell r="Q325" t="str">
            <v>แผ่นรองและสายรัดเป็นสนิม</v>
          </cell>
        </row>
        <row r="326">
          <cell r="A326">
            <v>50134535</v>
          </cell>
          <cell r="B326">
            <v>325</v>
          </cell>
          <cell r="C326" t="str">
            <v>CF01/2</v>
          </cell>
          <cell r="D326" t="str">
            <v>SPCC-SD</v>
          </cell>
          <cell r="E326" t="str">
            <v>AF1</v>
          </cell>
          <cell r="F326">
            <v>1</v>
          </cell>
          <cell r="G326">
            <v>230</v>
          </cell>
          <cell r="H326">
            <v>465</v>
          </cell>
          <cell r="I326" t="str">
            <v>A</v>
          </cell>
          <cell r="K326">
            <v>331</v>
          </cell>
          <cell r="L326">
            <v>278</v>
          </cell>
          <cell r="M326">
            <v>50134535</v>
          </cell>
          <cell r="N326">
            <v>38895</v>
          </cell>
          <cell r="O326" t="str">
            <v>126605SUD007</v>
          </cell>
          <cell r="P326" t="str">
            <v>FN6627N3M141101</v>
          </cell>
          <cell r="Q326" t="str">
            <v>แผ่นรองและสายรัดเป็นสนิม</v>
          </cell>
        </row>
        <row r="327">
          <cell r="A327">
            <v>50103200</v>
          </cell>
          <cell r="B327">
            <v>326</v>
          </cell>
          <cell r="C327" t="str">
            <v>CF01/2</v>
          </cell>
          <cell r="D327" t="str">
            <v>SPCC-SD</v>
          </cell>
          <cell r="E327" t="str">
            <v>AF1</v>
          </cell>
          <cell r="F327">
            <v>1</v>
          </cell>
          <cell r="G327">
            <v>270</v>
          </cell>
          <cell r="H327">
            <v>1219</v>
          </cell>
          <cell r="I327" t="str">
            <v>A</v>
          </cell>
          <cell r="K327">
            <v>24</v>
          </cell>
          <cell r="L327">
            <v>70</v>
          </cell>
          <cell r="M327">
            <v>50103200</v>
          </cell>
          <cell r="N327" t="str">
            <v>22/A/2005</v>
          </cell>
          <cell r="P327" t="str">
            <v>FN5A22D1D373401</v>
          </cell>
          <cell r="Q327" t="str">
            <v>แผ่นรองและสายรัดเป็นสนิม</v>
          </cell>
        </row>
        <row r="328">
          <cell r="A328">
            <v>50121696</v>
          </cell>
          <cell r="B328">
            <v>327</v>
          </cell>
          <cell r="C328" t="str">
            <v>CF01/2</v>
          </cell>
          <cell r="D328" t="str">
            <v>SPCC-SD</v>
          </cell>
          <cell r="E328" t="str">
            <v>AF1</v>
          </cell>
          <cell r="F328">
            <v>1</v>
          </cell>
          <cell r="G328">
            <v>270</v>
          </cell>
          <cell r="H328">
            <v>1450</v>
          </cell>
          <cell r="I328" t="str">
            <v>A</v>
          </cell>
          <cell r="K328">
            <v>38</v>
          </cell>
          <cell r="L328">
            <v>116</v>
          </cell>
          <cell r="M328">
            <v>50121696</v>
          </cell>
          <cell r="N328">
            <v>38787</v>
          </cell>
          <cell r="P328" t="str">
            <v>FN6311D2R833201</v>
          </cell>
          <cell r="Q328" t="str">
            <v>แผ่นรองและสายรัดเป็นสนิม</v>
          </cell>
        </row>
        <row r="329">
          <cell r="A329">
            <v>50122329</v>
          </cell>
          <cell r="B329">
            <v>328</v>
          </cell>
          <cell r="C329" t="str">
            <v>CF01/2</v>
          </cell>
          <cell r="D329" t="str">
            <v>SPCC-SD</v>
          </cell>
          <cell r="E329" t="str">
            <v>AF1</v>
          </cell>
          <cell r="F329">
            <v>1</v>
          </cell>
          <cell r="G329">
            <v>280</v>
          </cell>
          <cell r="H329">
            <v>1100</v>
          </cell>
          <cell r="I329" t="str">
            <v>A</v>
          </cell>
          <cell r="K329">
            <v>200</v>
          </cell>
          <cell r="L329">
            <v>484</v>
          </cell>
          <cell r="M329">
            <v>50122329</v>
          </cell>
          <cell r="N329">
            <v>38791</v>
          </cell>
          <cell r="P329" t="str">
            <v>FN6315D1M81230101</v>
          </cell>
          <cell r="Q329" t="str">
            <v>แผ่นรองและสายรัดเป็นสนิม</v>
          </cell>
        </row>
        <row r="330">
          <cell r="A330">
            <v>50125466</v>
          </cell>
          <cell r="B330">
            <v>329</v>
          </cell>
          <cell r="C330" t="str">
            <v>CF01/2</v>
          </cell>
          <cell r="D330" t="str">
            <v>SPCC-SD</v>
          </cell>
          <cell r="E330" t="str">
            <v>AF1</v>
          </cell>
          <cell r="F330">
            <v>1</v>
          </cell>
          <cell r="G330">
            <v>320</v>
          </cell>
          <cell r="H330">
            <v>1219</v>
          </cell>
          <cell r="I330" t="str">
            <v>A</v>
          </cell>
          <cell r="K330">
            <v>44</v>
          </cell>
          <cell r="L330">
            <v>135</v>
          </cell>
          <cell r="M330">
            <v>50125466</v>
          </cell>
          <cell r="N330">
            <v>38811</v>
          </cell>
          <cell r="P330" t="str">
            <v>FN6404D1RSSSS01</v>
          </cell>
          <cell r="Q330" t="str">
            <v>แผ่นรองและสายรัดเป็นสนิม</v>
          </cell>
        </row>
        <row r="331">
          <cell r="A331">
            <v>50128611</v>
          </cell>
          <cell r="B331">
            <v>330</v>
          </cell>
          <cell r="C331" t="str">
            <v>CF01/2</v>
          </cell>
          <cell r="D331" t="str">
            <v>SPCC-SD</v>
          </cell>
          <cell r="E331" t="str">
            <v>AF1</v>
          </cell>
          <cell r="F331">
            <v>1</v>
          </cell>
          <cell r="G331">
            <v>350</v>
          </cell>
          <cell r="H331">
            <v>420</v>
          </cell>
          <cell r="I331" t="str">
            <v>A</v>
          </cell>
          <cell r="K331">
            <v>247</v>
          </cell>
          <cell r="L331">
            <v>285</v>
          </cell>
          <cell r="M331">
            <v>50128611</v>
          </cell>
          <cell r="N331">
            <v>38845</v>
          </cell>
          <cell r="P331" t="str">
            <v>FN6508D1R996501</v>
          </cell>
          <cell r="Q331" t="str">
            <v>แผ่นรองและสายรัดเป็นสนิม</v>
          </cell>
        </row>
        <row r="332">
          <cell r="A332">
            <v>50124279</v>
          </cell>
          <cell r="B332">
            <v>331</v>
          </cell>
          <cell r="C332" t="str">
            <v>CF01/2</v>
          </cell>
          <cell r="D332" t="str">
            <v>SPCC-SD</v>
          </cell>
          <cell r="E332" t="str">
            <v>AF1</v>
          </cell>
          <cell r="F332">
            <v>1</v>
          </cell>
          <cell r="G332">
            <v>380</v>
          </cell>
          <cell r="H332">
            <v>720</v>
          </cell>
          <cell r="I332" t="str">
            <v>A</v>
          </cell>
          <cell r="K332">
            <v>250</v>
          </cell>
          <cell r="L332">
            <v>537</v>
          </cell>
          <cell r="M332">
            <v>50124279</v>
          </cell>
          <cell r="N332">
            <v>38803</v>
          </cell>
          <cell r="P332" t="str">
            <v>FN6327D1RSSSS01</v>
          </cell>
          <cell r="Q332" t="str">
            <v>แผ่นรองและสายรัดเป็นสนิม</v>
          </cell>
        </row>
        <row r="333">
          <cell r="A333">
            <v>50117609</v>
          </cell>
          <cell r="B333">
            <v>332</v>
          </cell>
          <cell r="C333" t="str">
            <v>CF01/2</v>
          </cell>
          <cell r="D333" t="str">
            <v>SPCC-SD</v>
          </cell>
          <cell r="E333" t="str">
            <v>AF1</v>
          </cell>
          <cell r="F333">
            <v>1</v>
          </cell>
          <cell r="G333">
            <v>530</v>
          </cell>
          <cell r="H333">
            <v>530</v>
          </cell>
          <cell r="I333" t="str">
            <v>A</v>
          </cell>
          <cell r="K333">
            <v>106</v>
          </cell>
          <cell r="L333">
            <v>234</v>
          </cell>
          <cell r="M333">
            <v>50117609</v>
          </cell>
          <cell r="N333">
            <v>38762</v>
          </cell>
          <cell r="P333" t="str">
            <v>FN6214N3M734501</v>
          </cell>
          <cell r="Q333" t="str">
            <v>แผ่นรองและสายรัดเป็นสนิม</v>
          </cell>
        </row>
        <row r="334">
          <cell r="A334">
            <v>50131973</v>
          </cell>
          <cell r="B334">
            <v>333</v>
          </cell>
          <cell r="C334" t="str">
            <v>CF01/2</v>
          </cell>
          <cell r="D334" t="str">
            <v>SPCC-SD</v>
          </cell>
          <cell r="E334" t="str">
            <v>AF1</v>
          </cell>
          <cell r="F334">
            <v>1</v>
          </cell>
          <cell r="G334">
            <v>550</v>
          </cell>
          <cell r="H334">
            <v>660</v>
          </cell>
          <cell r="I334" t="str">
            <v>A</v>
          </cell>
          <cell r="K334">
            <v>100</v>
          </cell>
          <cell r="L334">
            <v>285</v>
          </cell>
          <cell r="M334">
            <v>50131973</v>
          </cell>
          <cell r="N334">
            <v>38873</v>
          </cell>
          <cell r="P334" t="str">
            <v>FN6605N3M042201</v>
          </cell>
          <cell r="Q334" t="str">
            <v>แผ่นรองและสายรัดเป็นสนิม</v>
          </cell>
        </row>
        <row r="335">
          <cell r="A335">
            <v>50104618</v>
          </cell>
          <cell r="B335">
            <v>334</v>
          </cell>
          <cell r="C335" t="str">
            <v>CF01/2</v>
          </cell>
          <cell r="D335" t="str">
            <v>SPCC-SD</v>
          </cell>
          <cell r="E335" t="str">
            <v>AF1</v>
          </cell>
          <cell r="F335">
            <v>1</v>
          </cell>
          <cell r="G335">
            <v>595</v>
          </cell>
          <cell r="H335">
            <v>1219</v>
          </cell>
          <cell r="I335" t="str">
            <v>A</v>
          </cell>
          <cell r="K335">
            <v>17</v>
          </cell>
          <cell r="L335">
            <v>97</v>
          </cell>
          <cell r="M335">
            <v>50104618</v>
          </cell>
          <cell r="N335" t="str">
            <v>2/B/2005</v>
          </cell>
          <cell r="P335" t="str">
            <v>FN5B02D2D435101</v>
          </cell>
          <cell r="Q335" t="str">
            <v>กระดาษฉีกขาด</v>
          </cell>
        </row>
        <row r="336">
          <cell r="A336">
            <v>50103244</v>
          </cell>
          <cell r="B336">
            <v>335</v>
          </cell>
          <cell r="C336" t="str">
            <v>CF01/2</v>
          </cell>
          <cell r="D336" t="str">
            <v>SPCC-SD</v>
          </cell>
          <cell r="E336" t="str">
            <v>AF1</v>
          </cell>
          <cell r="F336">
            <v>1.2</v>
          </cell>
          <cell r="G336">
            <v>60</v>
          </cell>
          <cell r="H336">
            <v>1219</v>
          </cell>
          <cell r="I336" t="str">
            <v>A</v>
          </cell>
          <cell r="K336">
            <v>362</v>
          </cell>
          <cell r="L336">
            <v>250</v>
          </cell>
          <cell r="M336">
            <v>50103244</v>
          </cell>
          <cell r="N336" t="str">
            <v>22/A/2005</v>
          </cell>
          <cell r="P336" t="str">
            <v>FN5A22D1R404101</v>
          </cell>
          <cell r="Q336" t="str">
            <v>แผ่นรองและสายรัดเป็นสนิม</v>
          </cell>
        </row>
        <row r="337">
          <cell r="A337">
            <v>50091002</v>
          </cell>
          <cell r="B337">
            <v>336</v>
          </cell>
          <cell r="C337" t="str">
            <v>CF01/2</v>
          </cell>
          <cell r="D337" t="str">
            <v>SPCC-SD</v>
          </cell>
          <cell r="E337" t="str">
            <v>AF1</v>
          </cell>
          <cell r="F337">
            <v>1.2</v>
          </cell>
          <cell r="G337">
            <v>72</v>
          </cell>
          <cell r="H337">
            <v>1219</v>
          </cell>
          <cell r="I337" t="str">
            <v>A</v>
          </cell>
          <cell r="K337">
            <v>97</v>
          </cell>
          <cell r="L337">
            <v>81</v>
          </cell>
          <cell r="M337">
            <v>50091002</v>
          </cell>
          <cell r="N337">
            <v>38547</v>
          </cell>
          <cell r="P337" t="str">
            <v>FN5714D1RSSSS01</v>
          </cell>
          <cell r="Q337" t="str">
            <v>กระดาษฉีกขาด</v>
          </cell>
        </row>
        <row r="338">
          <cell r="A338">
            <v>50121570</v>
          </cell>
          <cell r="B338">
            <v>337</v>
          </cell>
          <cell r="C338" t="str">
            <v>CF01/2</v>
          </cell>
          <cell r="D338" t="str">
            <v>SPCC-SD</v>
          </cell>
          <cell r="E338" t="str">
            <v>AF1</v>
          </cell>
          <cell r="F338">
            <v>1.2</v>
          </cell>
          <cell r="G338">
            <v>75</v>
          </cell>
          <cell r="H338">
            <v>1219</v>
          </cell>
          <cell r="I338" t="str">
            <v>A</v>
          </cell>
          <cell r="K338">
            <v>15</v>
          </cell>
          <cell r="L338">
            <v>13</v>
          </cell>
          <cell r="M338">
            <v>50121570</v>
          </cell>
          <cell r="N338">
            <v>38786</v>
          </cell>
          <cell r="P338" t="str">
            <v>FN6310D1R793901</v>
          </cell>
          <cell r="Q338" t="str">
            <v>แผ่นรองและสายรัดเป็นสนิม</v>
          </cell>
        </row>
        <row r="339">
          <cell r="A339">
            <v>50122986</v>
          </cell>
          <cell r="B339">
            <v>338</v>
          </cell>
          <cell r="C339" t="str">
            <v>CF01/2</v>
          </cell>
          <cell r="D339" t="str">
            <v>SPCC-SD</v>
          </cell>
          <cell r="E339" t="str">
            <v>AF1</v>
          </cell>
          <cell r="F339">
            <v>1.2</v>
          </cell>
          <cell r="G339">
            <v>75</v>
          </cell>
          <cell r="H339">
            <v>1219</v>
          </cell>
          <cell r="I339" t="str">
            <v>A</v>
          </cell>
          <cell r="K339">
            <v>75</v>
          </cell>
          <cell r="L339">
            <v>65</v>
          </cell>
          <cell r="M339">
            <v>50122986</v>
          </cell>
          <cell r="N339">
            <v>38794</v>
          </cell>
          <cell r="P339" t="str">
            <v>FN6318D1R835802</v>
          </cell>
          <cell r="Q339" t="str">
            <v>แผ่นรองและสายรัดเป็นสนิม</v>
          </cell>
        </row>
        <row r="340">
          <cell r="A340">
            <v>50100251</v>
          </cell>
          <cell r="B340">
            <v>339</v>
          </cell>
          <cell r="C340" t="str">
            <v>CF01/2</v>
          </cell>
          <cell r="D340" t="str">
            <v>SPCC-SD</v>
          </cell>
          <cell r="E340" t="str">
            <v>AF1</v>
          </cell>
          <cell r="F340">
            <v>1.2</v>
          </cell>
          <cell r="G340">
            <v>85</v>
          </cell>
          <cell r="H340">
            <v>1219</v>
          </cell>
          <cell r="I340" t="str">
            <v>A</v>
          </cell>
          <cell r="K340">
            <v>20</v>
          </cell>
          <cell r="L340">
            <v>19</v>
          </cell>
          <cell r="M340">
            <v>50100251</v>
          </cell>
          <cell r="N340">
            <v>38625</v>
          </cell>
          <cell r="P340" t="str">
            <v>FN5930D1R320001</v>
          </cell>
          <cell r="Q340" t="str">
            <v>แผ่นรองและสายรัดเป็นสนิม</v>
          </cell>
        </row>
        <row r="341">
          <cell r="A341">
            <v>50140255</v>
          </cell>
          <cell r="B341">
            <v>340</v>
          </cell>
          <cell r="C341" t="str">
            <v>CF01/2</v>
          </cell>
          <cell r="D341" t="str">
            <v>SPCC-SD</v>
          </cell>
          <cell r="E341" t="str">
            <v>AF1</v>
          </cell>
          <cell r="F341">
            <v>1.2</v>
          </cell>
          <cell r="G341">
            <v>105</v>
          </cell>
          <cell r="H341">
            <v>1219</v>
          </cell>
          <cell r="I341" t="str">
            <v>A</v>
          </cell>
          <cell r="K341">
            <v>85</v>
          </cell>
          <cell r="L341">
            <v>102</v>
          </cell>
          <cell r="M341">
            <v>50140255</v>
          </cell>
          <cell r="N341">
            <v>38947</v>
          </cell>
          <cell r="O341" t="str">
            <v>126717SUD009</v>
          </cell>
          <cell r="P341" t="str">
            <v>FN6818D1M276501</v>
          </cell>
          <cell r="Q341" t="str">
            <v>สภาพปกติ</v>
          </cell>
        </row>
        <row r="342">
          <cell r="A342">
            <v>50114703</v>
          </cell>
          <cell r="B342">
            <v>341</v>
          </cell>
          <cell r="C342" t="str">
            <v>CF01/2</v>
          </cell>
          <cell r="D342" t="str">
            <v>SPCC-SD</v>
          </cell>
          <cell r="E342" t="str">
            <v>AF1</v>
          </cell>
          <cell r="F342">
            <v>1.2</v>
          </cell>
          <cell r="G342">
            <v>130</v>
          </cell>
          <cell r="H342">
            <v>1149</v>
          </cell>
          <cell r="I342" t="str">
            <v>A</v>
          </cell>
          <cell r="K342">
            <v>290</v>
          </cell>
          <cell r="L342">
            <v>409</v>
          </cell>
          <cell r="M342">
            <v>50114703</v>
          </cell>
          <cell r="N342">
            <v>38737</v>
          </cell>
          <cell r="P342" t="str">
            <v>FN6120D1M658301</v>
          </cell>
          <cell r="Q342" t="str">
            <v>แผ่นรองและสายรัดเป็นสนิม</v>
          </cell>
        </row>
        <row r="343">
          <cell r="A343">
            <v>50135254</v>
          </cell>
          <cell r="B343">
            <v>342</v>
          </cell>
          <cell r="C343" t="str">
            <v>CF01/2</v>
          </cell>
          <cell r="D343" t="str">
            <v>SPCC-SD</v>
          </cell>
          <cell r="E343" t="str">
            <v>AF1</v>
          </cell>
          <cell r="F343">
            <v>1.2</v>
          </cell>
          <cell r="G343">
            <v>168</v>
          </cell>
          <cell r="H343">
            <v>1219</v>
          </cell>
          <cell r="I343" t="str">
            <v>A</v>
          </cell>
          <cell r="K343">
            <v>300</v>
          </cell>
          <cell r="L343">
            <v>580</v>
          </cell>
          <cell r="M343">
            <v>50135254</v>
          </cell>
          <cell r="N343">
            <v>38901</v>
          </cell>
          <cell r="P343" t="str">
            <v>FN6703D1M167001</v>
          </cell>
          <cell r="Q343" t="str">
            <v>แผ่นรองและสายรัดเป็นสนิม</v>
          </cell>
        </row>
        <row r="344">
          <cell r="A344">
            <v>50135255</v>
          </cell>
          <cell r="B344">
            <v>343</v>
          </cell>
          <cell r="C344" t="str">
            <v>CF01/2</v>
          </cell>
          <cell r="D344" t="str">
            <v>SPCC-SD</v>
          </cell>
          <cell r="E344" t="str">
            <v>AF1</v>
          </cell>
          <cell r="F344">
            <v>1.2</v>
          </cell>
          <cell r="G344">
            <v>168</v>
          </cell>
          <cell r="H344">
            <v>1219</v>
          </cell>
          <cell r="I344" t="str">
            <v>A</v>
          </cell>
          <cell r="K344">
            <v>40</v>
          </cell>
          <cell r="L344">
            <v>77</v>
          </cell>
          <cell r="M344">
            <v>50135255</v>
          </cell>
          <cell r="N344">
            <v>38901</v>
          </cell>
          <cell r="P344" t="str">
            <v>FN6703D1M167002</v>
          </cell>
          <cell r="Q344" t="str">
            <v>แผ่นรองและสายรัดเป็นสนิม</v>
          </cell>
        </row>
        <row r="345">
          <cell r="A345">
            <v>50135426</v>
          </cell>
          <cell r="B345">
            <v>344</v>
          </cell>
          <cell r="C345" t="str">
            <v>CF01/2</v>
          </cell>
          <cell r="D345" t="str">
            <v>SPCC-SD</v>
          </cell>
          <cell r="E345" t="str">
            <v>AF1</v>
          </cell>
          <cell r="F345">
            <v>1.2</v>
          </cell>
          <cell r="G345">
            <v>168</v>
          </cell>
          <cell r="H345">
            <v>1219</v>
          </cell>
          <cell r="I345" t="str">
            <v>A</v>
          </cell>
          <cell r="K345">
            <v>75</v>
          </cell>
          <cell r="L345">
            <v>145</v>
          </cell>
          <cell r="M345">
            <v>50135426</v>
          </cell>
          <cell r="N345">
            <v>38902</v>
          </cell>
          <cell r="P345" t="str">
            <v>FN6703D1M167003</v>
          </cell>
          <cell r="Q345" t="str">
            <v>แผ่นรองและสายรัดเป็นสนิม</v>
          </cell>
        </row>
        <row r="346">
          <cell r="A346">
            <v>50120069</v>
          </cell>
          <cell r="B346">
            <v>345</v>
          </cell>
          <cell r="C346" t="str">
            <v>CF01/2</v>
          </cell>
          <cell r="D346" t="str">
            <v>SPCC-SD</v>
          </cell>
          <cell r="E346" t="str">
            <v>AF1</v>
          </cell>
          <cell r="F346">
            <v>1.2</v>
          </cell>
          <cell r="G346">
            <v>345</v>
          </cell>
          <cell r="H346">
            <v>384</v>
          </cell>
          <cell r="I346" t="str">
            <v>A</v>
          </cell>
          <cell r="K346">
            <v>265</v>
          </cell>
          <cell r="L346">
            <v>331</v>
          </cell>
          <cell r="M346">
            <v>50120069</v>
          </cell>
          <cell r="N346">
            <v>38778</v>
          </cell>
          <cell r="P346" t="str">
            <v>FN6302N1M771401</v>
          </cell>
          <cell r="Q346" t="str">
            <v>แผ่นรองและสายรัดเป็นสนิม</v>
          </cell>
        </row>
        <row r="347">
          <cell r="A347">
            <v>50118444</v>
          </cell>
          <cell r="B347">
            <v>346</v>
          </cell>
          <cell r="C347" t="str">
            <v>CF01/2</v>
          </cell>
          <cell r="D347" t="str">
            <v>SPCC-SD</v>
          </cell>
          <cell r="E347" t="str">
            <v>AF1</v>
          </cell>
          <cell r="F347">
            <v>1.2</v>
          </cell>
          <cell r="G347">
            <v>380</v>
          </cell>
          <cell r="H347">
            <v>400</v>
          </cell>
          <cell r="I347" t="str">
            <v>A</v>
          </cell>
          <cell r="K347">
            <v>442</v>
          </cell>
          <cell r="L347">
            <v>633</v>
          </cell>
          <cell r="M347">
            <v>50118444</v>
          </cell>
          <cell r="N347">
            <v>38769</v>
          </cell>
          <cell r="P347" t="str">
            <v>FN6221N3M756201</v>
          </cell>
          <cell r="Q347" t="str">
            <v>แผ่นรองและสายรัดเป็นสนิม</v>
          </cell>
        </row>
        <row r="348">
          <cell r="A348">
            <v>50130321</v>
          </cell>
          <cell r="B348">
            <v>347</v>
          </cell>
          <cell r="C348" t="str">
            <v>CF01/2</v>
          </cell>
          <cell r="D348" t="str">
            <v>SPCC-SD</v>
          </cell>
          <cell r="E348" t="str">
            <v>AF1</v>
          </cell>
          <cell r="F348">
            <v>1.2</v>
          </cell>
          <cell r="G348">
            <v>380</v>
          </cell>
          <cell r="H348">
            <v>400</v>
          </cell>
          <cell r="I348" t="str">
            <v>A</v>
          </cell>
          <cell r="K348">
            <v>254</v>
          </cell>
          <cell r="L348">
            <v>365</v>
          </cell>
          <cell r="M348">
            <v>50130321</v>
          </cell>
          <cell r="N348">
            <v>38862</v>
          </cell>
          <cell r="P348" t="str">
            <v>FN6525D3M018402</v>
          </cell>
          <cell r="Q348" t="str">
            <v>กระดาษฉีกขาด</v>
          </cell>
        </row>
        <row r="349">
          <cell r="A349">
            <v>50121568</v>
          </cell>
          <cell r="B349">
            <v>348</v>
          </cell>
          <cell r="C349" t="str">
            <v>CF01/2</v>
          </cell>
          <cell r="D349" t="str">
            <v>SPCC-SD</v>
          </cell>
          <cell r="E349" t="str">
            <v>AF1</v>
          </cell>
          <cell r="F349">
            <v>1.2</v>
          </cell>
          <cell r="G349">
            <v>388</v>
          </cell>
          <cell r="H349">
            <v>1160</v>
          </cell>
          <cell r="I349" t="str">
            <v>A</v>
          </cell>
          <cell r="K349">
            <v>41</v>
          </cell>
          <cell r="L349">
            <v>174</v>
          </cell>
          <cell r="M349">
            <v>50121568</v>
          </cell>
          <cell r="N349">
            <v>38786</v>
          </cell>
          <cell r="P349" t="str">
            <v>FN6310D1R823601</v>
          </cell>
          <cell r="Q349" t="str">
            <v>แผ่นรองและสายรัดเป็นสนิม</v>
          </cell>
        </row>
        <row r="350">
          <cell r="A350">
            <v>50128601</v>
          </cell>
          <cell r="B350">
            <v>349</v>
          </cell>
          <cell r="C350" t="str">
            <v>CF01/2</v>
          </cell>
          <cell r="D350" t="str">
            <v>SPCC-SD</v>
          </cell>
          <cell r="E350" t="str">
            <v>AF1</v>
          </cell>
          <cell r="F350">
            <v>1.2</v>
          </cell>
          <cell r="G350">
            <v>405</v>
          </cell>
          <cell r="H350">
            <v>418</v>
          </cell>
          <cell r="I350" t="str">
            <v>A</v>
          </cell>
          <cell r="K350">
            <v>274</v>
          </cell>
          <cell r="L350">
            <v>437</v>
          </cell>
          <cell r="M350">
            <v>50128601</v>
          </cell>
          <cell r="N350">
            <v>38852</v>
          </cell>
          <cell r="P350" t="str">
            <v>FN6515D1RSSSS01</v>
          </cell>
          <cell r="Q350" t="str">
            <v>แผ่นรองและสายรัดเป็นสนิม</v>
          </cell>
        </row>
        <row r="351">
          <cell r="A351">
            <v>50105015</v>
          </cell>
          <cell r="B351">
            <v>350</v>
          </cell>
          <cell r="C351" t="str">
            <v>CF01/2</v>
          </cell>
          <cell r="D351" t="str">
            <v>SPCC-SD</v>
          </cell>
          <cell r="E351" t="str">
            <v>AF1</v>
          </cell>
          <cell r="F351">
            <v>1.4</v>
          </cell>
          <cell r="G351">
            <v>203</v>
          </cell>
          <cell r="H351">
            <v>1219</v>
          </cell>
          <cell r="I351" t="str">
            <v>A</v>
          </cell>
          <cell r="K351">
            <v>94</v>
          </cell>
          <cell r="L351">
            <v>256</v>
          </cell>
          <cell r="M351">
            <v>50105015</v>
          </cell>
          <cell r="N351" t="str">
            <v>4/B/2005</v>
          </cell>
          <cell r="P351" t="str">
            <v>FN5B04D1D443501</v>
          </cell>
          <cell r="Q351" t="str">
            <v>กระดาษฉีกขาดและเป็นสนิม</v>
          </cell>
        </row>
        <row r="352">
          <cell r="A352">
            <v>50106735</v>
          </cell>
          <cell r="B352">
            <v>351</v>
          </cell>
          <cell r="C352" t="str">
            <v>CF01/2</v>
          </cell>
          <cell r="D352" t="str">
            <v>SPCC-SD</v>
          </cell>
          <cell r="E352" t="str">
            <v>AF1</v>
          </cell>
          <cell r="F352">
            <v>1.4</v>
          </cell>
          <cell r="G352">
            <v>203</v>
          </cell>
          <cell r="H352">
            <v>1219</v>
          </cell>
          <cell r="I352" t="str">
            <v>A</v>
          </cell>
          <cell r="K352">
            <v>139</v>
          </cell>
          <cell r="L352">
            <v>378</v>
          </cell>
          <cell r="M352">
            <v>50106735</v>
          </cell>
          <cell r="N352" t="str">
            <v>18/B/2005</v>
          </cell>
          <cell r="P352" t="str">
            <v>FN5B18D2D482802</v>
          </cell>
          <cell r="Q352" t="str">
            <v>แผ่นรองและสายรัดเป็นสนิม</v>
          </cell>
        </row>
        <row r="353">
          <cell r="A353">
            <v>50139928</v>
          </cell>
          <cell r="B353">
            <v>352</v>
          </cell>
          <cell r="C353" t="str">
            <v>CF01/2</v>
          </cell>
          <cell r="D353" t="str">
            <v>SPCC-SD</v>
          </cell>
          <cell r="E353" t="str">
            <v>AF1</v>
          </cell>
          <cell r="F353">
            <v>1.4</v>
          </cell>
          <cell r="G353">
            <v>240</v>
          </cell>
          <cell r="H353">
            <v>1219</v>
          </cell>
          <cell r="I353" t="str">
            <v>A</v>
          </cell>
          <cell r="K353">
            <v>146</v>
          </cell>
          <cell r="L353">
            <v>460</v>
          </cell>
          <cell r="M353">
            <v>50139928</v>
          </cell>
          <cell r="N353">
            <v>38943</v>
          </cell>
          <cell r="P353" t="str">
            <v>FN6814D3RQQQQ01</v>
          </cell>
          <cell r="Q353" t="str">
            <v>แผ่นรองและสายรัดเป็นสนิม</v>
          </cell>
        </row>
        <row r="354">
          <cell r="A354">
            <v>50129422</v>
          </cell>
          <cell r="B354">
            <v>353</v>
          </cell>
          <cell r="C354" t="str">
            <v>CF01/2</v>
          </cell>
          <cell r="D354" t="str">
            <v>SPCC-SD</v>
          </cell>
          <cell r="E354" t="str">
            <v>AF1</v>
          </cell>
          <cell r="F354">
            <v>1.4</v>
          </cell>
          <cell r="G354">
            <v>280</v>
          </cell>
          <cell r="H354">
            <v>400</v>
          </cell>
          <cell r="I354" t="str">
            <v>A</v>
          </cell>
          <cell r="K354">
            <v>38</v>
          </cell>
          <cell r="L354">
            <v>47</v>
          </cell>
          <cell r="M354">
            <v>50129422</v>
          </cell>
          <cell r="N354">
            <v>38854</v>
          </cell>
          <cell r="P354" t="str">
            <v>FN6517N2M016901</v>
          </cell>
          <cell r="Q354" t="str">
            <v>แผ่นรองและสายรัดเป็นสนิม</v>
          </cell>
        </row>
        <row r="355">
          <cell r="A355">
            <v>50101068</v>
          </cell>
          <cell r="B355">
            <v>354</v>
          </cell>
          <cell r="C355" t="str">
            <v>CF01/2</v>
          </cell>
          <cell r="D355" t="str">
            <v>SPCC-SD</v>
          </cell>
          <cell r="E355" t="str">
            <v>AF1</v>
          </cell>
          <cell r="F355">
            <v>1.4</v>
          </cell>
          <cell r="G355">
            <v>280</v>
          </cell>
          <cell r="H355">
            <v>1385</v>
          </cell>
          <cell r="I355" t="str">
            <v>A</v>
          </cell>
          <cell r="K355">
            <v>98</v>
          </cell>
          <cell r="L355">
            <v>417</v>
          </cell>
          <cell r="M355">
            <v>50101068</v>
          </cell>
          <cell r="N355" t="str">
            <v>8/A/2005</v>
          </cell>
          <cell r="P355" t="str">
            <v>FN5A08D1R297501</v>
          </cell>
          <cell r="Q355" t="str">
            <v>แผ่นรองและสายรัดเป็นสนิม</v>
          </cell>
        </row>
        <row r="356">
          <cell r="A356">
            <v>50083213</v>
          </cell>
          <cell r="B356">
            <v>355</v>
          </cell>
          <cell r="C356" t="str">
            <v>CF01/2</v>
          </cell>
          <cell r="D356" t="str">
            <v>SPCC-SD</v>
          </cell>
          <cell r="E356" t="str">
            <v>AF1</v>
          </cell>
          <cell r="F356">
            <v>1.6</v>
          </cell>
          <cell r="G356">
            <v>80</v>
          </cell>
          <cell r="H356">
            <v>1219</v>
          </cell>
          <cell r="I356" t="str">
            <v>A</v>
          </cell>
          <cell r="K356">
            <v>27</v>
          </cell>
          <cell r="L356">
            <v>33</v>
          </cell>
          <cell r="M356">
            <v>50083213</v>
          </cell>
          <cell r="N356">
            <v>38486</v>
          </cell>
          <cell r="O356" t="str">
            <v>124C20TCD007</v>
          </cell>
          <cell r="P356" t="str">
            <v>FN5514D1M953201</v>
          </cell>
          <cell r="Q356" t="str">
            <v>แผ่นรองและสายรัดเป็นสนิม</v>
          </cell>
        </row>
        <row r="357">
          <cell r="A357">
            <v>50095868</v>
          </cell>
          <cell r="B357">
            <v>356</v>
          </cell>
          <cell r="C357" t="str">
            <v>CF01/2</v>
          </cell>
          <cell r="D357" t="str">
            <v>SPCC-SD</v>
          </cell>
          <cell r="E357" t="str">
            <v>AF1</v>
          </cell>
          <cell r="F357">
            <v>1.6</v>
          </cell>
          <cell r="G357">
            <v>80</v>
          </cell>
          <cell r="H357">
            <v>1219</v>
          </cell>
          <cell r="I357" t="str">
            <v>A</v>
          </cell>
          <cell r="K357">
            <v>18</v>
          </cell>
          <cell r="L357">
            <v>22</v>
          </cell>
          <cell r="M357">
            <v>50095868</v>
          </cell>
          <cell r="N357">
            <v>38586</v>
          </cell>
          <cell r="P357" t="str">
            <v>FN5822D1R230202</v>
          </cell>
          <cell r="Q357" t="str">
            <v>แผ่นรองและสายรัดเป็นสนิม</v>
          </cell>
        </row>
        <row r="358">
          <cell r="A358">
            <v>50136362</v>
          </cell>
          <cell r="B358">
            <v>357</v>
          </cell>
          <cell r="C358" t="str">
            <v>CF01/2</v>
          </cell>
          <cell r="D358" t="str">
            <v>SPCC-SD</v>
          </cell>
          <cell r="E358" t="str">
            <v>AF1</v>
          </cell>
          <cell r="F358">
            <v>1.6</v>
          </cell>
          <cell r="G358">
            <v>82</v>
          </cell>
          <cell r="H358">
            <v>1219</v>
          </cell>
          <cell r="I358" t="str">
            <v>A</v>
          </cell>
          <cell r="K358">
            <v>60</v>
          </cell>
          <cell r="L358">
            <v>76</v>
          </cell>
          <cell r="M358">
            <v>50136362</v>
          </cell>
          <cell r="N358">
            <v>38910</v>
          </cell>
          <cell r="P358" t="str">
            <v>FN6712D1R194001</v>
          </cell>
          <cell r="Q358" t="str">
            <v>แผ่นรองและสายรัดเป็นสนิม</v>
          </cell>
        </row>
        <row r="359">
          <cell r="A359">
            <v>50129790</v>
          </cell>
          <cell r="B359">
            <v>358</v>
          </cell>
          <cell r="C359" t="str">
            <v>CF01/2</v>
          </cell>
          <cell r="D359" t="str">
            <v>SPCC-SD</v>
          </cell>
          <cell r="E359" t="str">
            <v>AF1</v>
          </cell>
          <cell r="F359">
            <v>1.6</v>
          </cell>
          <cell r="G359">
            <v>135</v>
          </cell>
          <cell r="H359">
            <v>1219</v>
          </cell>
          <cell r="I359" t="str">
            <v>A</v>
          </cell>
          <cell r="K359">
            <v>50</v>
          </cell>
          <cell r="L359">
            <v>104</v>
          </cell>
          <cell r="M359">
            <v>50129790</v>
          </cell>
          <cell r="N359">
            <v>38949</v>
          </cell>
          <cell r="P359" t="str">
            <v>FN6820D1R030301</v>
          </cell>
          <cell r="Q359" t="str">
            <v>แผ่นรองและสายรัดเป็นสนิม</v>
          </cell>
        </row>
        <row r="360">
          <cell r="A360">
            <v>50085354</v>
          </cell>
          <cell r="B360">
            <v>359</v>
          </cell>
          <cell r="C360" t="str">
            <v>CF01/2</v>
          </cell>
          <cell r="D360" t="str">
            <v>SPCC-SD</v>
          </cell>
          <cell r="E360" t="str">
            <v>AF1</v>
          </cell>
          <cell r="F360">
            <v>1.6</v>
          </cell>
          <cell r="G360">
            <v>140</v>
          </cell>
          <cell r="H360">
            <v>410</v>
          </cell>
          <cell r="I360" t="str">
            <v>A</v>
          </cell>
          <cell r="K360">
            <v>45</v>
          </cell>
          <cell r="L360">
            <v>32</v>
          </cell>
          <cell r="M360">
            <v>50085354</v>
          </cell>
          <cell r="N360">
            <v>38503</v>
          </cell>
          <cell r="P360" t="str">
            <v>FN5531N1M015401</v>
          </cell>
          <cell r="Q360" t="str">
            <v>แผ่นรองและสายรัดเป็นสนิม</v>
          </cell>
        </row>
        <row r="361">
          <cell r="A361">
            <v>50109493</v>
          </cell>
          <cell r="B361">
            <v>360</v>
          </cell>
          <cell r="C361" t="str">
            <v>CF01/2</v>
          </cell>
          <cell r="D361" t="str">
            <v>SPCC-SD</v>
          </cell>
          <cell r="E361" t="str">
            <v>AF1</v>
          </cell>
          <cell r="F361">
            <v>1.6</v>
          </cell>
          <cell r="G361">
            <v>145</v>
          </cell>
          <cell r="H361">
            <v>1219</v>
          </cell>
          <cell r="I361" t="str">
            <v>A</v>
          </cell>
          <cell r="K361">
            <v>10</v>
          </cell>
          <cell r="L361">
            <v>22</v>
          </cell>
          <cell r="M361">
            <v>50109493</v>
          </cell>
          <cell r="N361" t="str">
            <v>9/C/2005</v>
          </cell>
          <cell r="P361" t="str">
            <v>FN5C09D1R539901</v>
          </cell>
          <cell r="Q361" t="str">
            <v>แผ่นรองและสายรัดเป็นสนิม</v>
          </cell>
        </row>
        <row r="362">
          <cell r="A362">
            <v>50085686</v>
          </cell>
          <cell r="B362">
            <v>361</v>
          </cell>
          <cell r="C362" t="str">
            <v>CF01/2</v>
          </cell>
          <cell r="D362" t="str">
            <v>SPCC-SD</v>
          </cell>
          <cell r="E362" t="str">
            <v>AF1</v>
          </cell>
          <cell r="F362">
            <v>1.6</v>
          </cell>
          <cell r="G362">
            <v>150</v>
          </cell>
          <cell r="H362">
            <v>390</v>
          </cell>
          <cell r="I362" t="str">
            <v>A</v>
          </cell>
          <cell r="K362">
            <v>213</v>
          </cell>
          <cell r="L362">
            <v>155</v>
          </cell>
          <cell r="M362">
            <v>50085686</v>
          </cell>
          <cell r="N362">
            <v>38505</v>
          </cell>
          <cell r="P362" t="str">
            <v>FN5602D1M015201</v>
          </cell>
          <cell r="Q362" t="str">
            <v>แผ่นรองและสายรัดเป็นสนิม</v>
          </cell>
        </row>
        <row r="363">
          <cell r="A363">
            <v>50084692</v>
          </cell>
          <cell r="B363">
            <v>362</v>
          </cell>
          <cell r="C363" t="str">
            <v>CF01/2</v>
          </cell>
          <cell r="D363" t="str">
            <v>SPCC-SD</v>
          </cell>
          <cell r="E363" t="str">
            <v>AF1</v>
          </cell>
          <cell r="F363">
            <v>1.6</v>
          </cell>
          <cell r="G363">
            <v>152</v>
          </cell>
          <cell r="H363">
            <v>1219</v>
          </cell>
          <cell r="I363" t="str">
            <v>A</v>
          </cell>
          <cell r="K363">
            <v>50</v>
          </cell>
          <cell r="L363">
            <v>117</v>
          </cell>
          <cell r="M363">
            <v>50084692</v>
          </cell>
          <cell r="N363">
            <v>38524</v>
          </cell>
          <cell r="P363" t="str">
            <v>FN5621N2D998401</v>
          </cell>
          <cell r="Q363" t="str">
            <v>แผ่นรองและสายรัดเป็นสนิม</v>
          </cell>
        </row>
        <row r="364">
          <cell r="A364">
            <v>50104008</v>
          </cell>
          <cell r="B364">
            <v>363</v>
          </cell>
          <cell r="C364" t="str">
            <v>CF01/2</v>
          </cell>
          <cell r="D364" t="str">
            <v>SPCC-SD</v>
          </cell>
          <cell r="E364" t="str">
            <v>AF1</v>
          </cell>
          <cell r="F364">
            <v>1.6</v>
          </cell>
          <cell r="G364">
            <v>160</v>
          </cell>
          <cell r="H364">
            <v>1149</v>
          </cell>
          <cell r="I364" t="str">
            <v>A</v>
          </cell>
          <cell r="K364">
            <v>45</v>
          </cell>
          <cell r="L364">
            <v>104</v>
          </cell>
          <cell r="M364">
            <v>50104008</v>
          </cell>
          <cell r="N364" t="str">
            <v>28/A/2005</v>
          </cell>
          <cell r="P364" t="str">
            <v>FN5A28D1D411901</v>
          </cell>
          <cell r="Q364" t="str">
            <v>แผ่นรองและสายรัดเป็นสนิม</v>
          </cell>
        </row>
        <row r="365">
          <cell r="A365">
            <v>50138770</v>
          </cell>
          <cell r="B365">
            <v>364</v>
          </cell>
          <cell r="C365" t="str">
            <v>CF01/2</v>
          </cell>
          <cell r="D365" t="str">
            <v>SPCC-SD</v>
          </cell>
          <cell r="E365" t="str">
            <v>AF1</v>
          </cell>
          <cell r="F365">
            <v>1.6</v>
          </cell>
          <cell r="G365">
            <v>177</v>
          </cell>
          <cell r="H365">
            <v>331</v>
          </cell>
          <cell r="I365" t="str">
            <v>A</v>
          </cell>
          <cell r="K365">
            <v>30</v>
          </cell>
          <cell r="L365">
            <v>22</v>
          </cell>
          <cell r="M365">
            <v>50138770</v>
          </cell>
          <cell r="N365">
            <v>38931</v>
          </cell>
          <cell r="P365" t="str">
            <v>FN6802D1R252501</v>
          </cell>
          <cell r="Q365" t="str">
            <v>แผ่นรองและสายรัดเป็นสนิม</v>
          </cell>
        </row>
        <row r="366">
          <cell r="A366">
            <v>50128717</v>
          </cell>
          <cell r="B366">
            <v>365</v>
          </cell>
          <cell r="C366" t="str">
            <v>CF01/2</v>
          </cell>
          <cell r="D366" t="str">
            <v>SPCC-SD</v>
          </cell>
          <cell r="E366" t="str">
            <v>AF1</v>
          </cell>
          <cell r="F366">
            <v>1.6</v>
          </cell>
          <cell r="G366">
            <v>181</v>
          </cell>
          <cell r="H366">
            <v>1100</v>
          </cell>
          <cell r="I366" t="str">
            <v>A</v>
          </cell>
          <cell r="K366">
            <v>135</v>
          </cell>
          <cell r="L366">
            <v>338</v>
          </cell>
          <cell r="M366">
            <v>50128717</v>
          </cell>
          <cell r="N366">
            <v>38846</v>
          </cell>
          <cell r="P366" t="str">
            <v>FN6509D1M997401</v>
          </cell>
          <cell r="Q366" t="str">
            <v>แผ่นรองและสายรัดเป็นสนิม</v>
          </cell>
        </row>
        <row r="367">
          <cell r="A367">
            <v>50129397</v>
          </cell>
          <cell r="B367">
            <v>366</v>
          </cell>
          <cell r="C367" t="str">
            <v>CF01/2</v>
          </cell>
          <cell r="D367" t="str">
            <v>SPCC-SD</v>
          </cell>
          <cell r="E367" t="str">
            <v>AF1</v>
          </cell>
          <cell r="F367">
            <v>1.6</v>
          </cell>
          <cell r="G367">
            <v>181</v>
          </cell>
          <cell r="H367">
            <v>1100</v>
          </cell>
          <cell r="I367" t="str">
            <v>A</v>
          </cell>
          <cell r="K367">
            <v>207</v>
          </cell>
          <cell r="L367">
            <v>518</v>
          </cell>
          <cell r="M367">
            <v>50129397</v>
          </cell>
          <cell r="N367">
            <v>38854</v>
          </cell>
          <cell r="P367" t="str">
            <v>FN6517N1D010902</v>
          </cell>
          <cell r="Q367" t="str">
            <v>แผ่นรองและสายรัดเป็นสนิม</v>
          </cell>
        </row>
        <row r="368">
          <cell r="A368">
            <v>50132424</v>
          </cell>
          <cell r="B368">
            <v>367</v>
          </cell>
          <cell r="C368" t="str">
            <v>CF01/2</v>
          </cell>
          <cell r="D368" t="str">
            <v>SPCC-SD</v>
          </cell>
          <cell r="E368" t="str">
            <v>AF1</v>
          </cell>
          <cell r="F368">
            <v>1.6</v>
          </cell>
          <cell r="G368">
            <v>181</v>
          </cell>
          <cell r="H368">
            <v>1100</v>
          </cell>
          <cell r="I368" t="str">
            <v>A</v>
          </cell>
          <cell r="K368">
            <v>100</v>
          </cell>
          <cell r="L368">
            <v>250</v>
          </cell>
          <cell r="M368">
            <v>50132424</v>
          </cell>
          <cell r="N368">
            <v>38876</v>
          </cell>
          <cell r="P368" t="str">
            <v>FN6608N2L089403</v>
          </cell>
          <cell r="Q368" t="str">
            <v>แผ่นรองและสายรัดเป็นสนิม</v>
          </cell>
        </row>
        <row r="369">
          <cell r="A369">
            <v>50130150</v>
          </cell>
          <cell r="B369">
            <v>368</v>
          </cell>
          <cell r="C369" t="str">
            <v>CF01/2</v>
          </cell>
          <cell r="D369" t="str">
            <v>SPCC-SD</v>
          </cell>
          <cell r="E369" t="str">
            <v>AF1</v>
          </cell>
          <cell r="F369">
            <v>1.6</v>
          </cell>
          <cell r="G369">
            <v>213</v>
          </cell>
          <cell r="H369">
            <v>1219</v>
          </cell>
          <cell r="I369" t="str">
            <v>A</v>
          </cell>
          <cell r="K369">
            <v>80</v>
          </cell>
          <cell r="L369">
            <v>260</v>
          </cell>
          <cell r="M369">
            <v>50130150</v>
          </cell>
          <cell r="N369">
            <v>38861</v>
          </cell>
          <cell r="P369" t="str">
            <v>FN6524D1M030901</v>
          </cell>
          <cell r="Q369" t="str">
            <v>แผ่นรองและสายรัดเป็นสนิม</v>
          </cell>
        </row>
        <row r="370">
          <cell r="A370">
            <v>50089259</v>
          </cell>
          <cell r="B370">
            <v>369</v>
          </cell>
          <cell r="C370" t="str">
            <v>CF01/2</v>
          </cell>
          <cell r="D370" t="str">
            <v>SPCC-SD</v>
          </cell>
          <cell r="E370" t="str">
            <v>AF1</v>
          </cell>
          <cell r="F370">
            <v>1.6</v>
          </cell>
          <cell r="G370">
            <v>250</v>
          </cell>
          <cell r="H370">
            <v>1219</v>
          </cell>
          <cell r="I370" t="str">
            <v>A</v>
          </cell>
          <cell r="K370">
            <v>80</v>
          </cell>
          <cell r="L370">
            <v>30</v>
          </cell>
          <cell r="M370">
            <v>50089259</v>
          </cell>
          <cell r="N370">
            <v>38534</v>
          </cell>
          <cell r="P370" t="str">
            <v>FN5701D1RSSSS01</v>
          </cell>
          <cell r="Q370" t="str">
            <v>แผ่นรองและสายรัดเป็นสนิม</v>
          </cell>
        </row>
        <row r="371">
          <cell r="A371">
            <v>50077171</v>
          </cell>
          <cell r="B371">
            <v>370</v>
          </cell>
          <cell r="C371" t="str">
            <v>CF01/2</v>
          </cell>
          <cell r="D371" t="str">
            <v>SPCC-SD</v>
          </cell>
          <cell r="E371" t="str">
            <v>AF1</v>
          </cell>
          <cell r="F371">
            <v>1.6</v>
          </cell>
          <cell r="G371">
            <v>260</v>
          </cell>
          <cell r="H371">
            <v>1040</v>
          </cell>
          <cell r="I371" t="str">
            <v>A</v>
          </cell>
          <cell r="K371">
            <v>62</v>
          </cell>
          <cell r="L371">
            <v>209</v>
          </cell>
          <cell r="M371">
            <v>50077171</v>
          </cell>
          <cell r="N371">
            <v>38443</v>
          </cell>
          <cell r="P371" t="str">
            <v>FN5401D3M822601</v>
          </cell>
          <cell r="Q371" t="str">
            <v>แผ่นรองและสายรัดเป็นสนิม</v>
          </cell>
        </row>
        <row r="372">
          <cell r="A372">
            <v>50133729</v>
          </cell>
          <cell r="B372">
            <v>371</v>
          </cell>
          <cell r="C372" t="str">
            <v>CF01/2</v>
          </cell>
          <cell r="D372" t="str">
            <v>SPCC-SD</v>
          </cell>
          <cell r="E372" t="str">
            <v>AF1</v>
          </cell>
          <cell r="F372">
            <v>1.6</v>
          </cell>
          <cell r="G372">
            <v>585</v>
          </cell>
          <cell r="H372">
            <v>585</v>
          </cell>
          <cell r="I372" t="str">
            <v>A</v>
          </cell>
          <cell r="K372">
            <v>85</v>
          </cell>
          <cell r="L372">
            <v>366</v>
          </cell>
          <cell r="M372">
            <v>50133729</v>
          </cell>
          <cell r="N372">
            <v>38886</v>
          </cell>
          <cell r="O372" t="str">
            <v>126116SUD001</v>
          </cell>
          <cell r="P372" t="str">
            <v>FN6618N1M116001</v>
          </cell>
          <cell r="Q372" t="str">
            <v>แผ่นรองและสายรัดเป็นสนิม</v>
          </cell>
        </row>
        <row r="373">
          <cell r="A373">
            <v>50134015</v>
          </cell>
          <cell r="B373">
            <v>372</v>
          </cell>
          <cell r="C373" t="str">
            <v>CF01/2</v>
          </cell>
          <cell r="D373" t="str">
            <v>SPCC-SD</v>
          </cell>
          <cell r="E373" t="str">
            <v>AF1</v>
          </cell>
          <cell r="F373">
            <v>1.6</v>
          </cell>
          <cell r="G373">
            <v>585</v>
          </cell>
          <cell r="H373">
            <v>585</v>
          </cell>
          <cell r="I373" t="str">
            <v>A</v>
          </cell>
          <cell r="K373">
            <v>86</v>
          </cell>
          <cell r="L373">
            <v>372</v>
          </cell>
          <cell r="M373">
            <v>50134015</v>
          </cell>
          <cell r="N373">
            <v>38889</v>
          </cell>
          <cell r="O373" t="str">
            <v>124C20TCD010</v>
          </cell>
          <cell r="P373" t="str">
            <v>FN6621D2M116101</v>
          </cell>
          <cell r="Q373" t="str">
            <v>แผ่นรองและสายรัดเป็นสนิม</v>
          </cell>
        </row>
        <row r="374">
          <cell r="A374">
            <v>50105853</v>
          </cell>
          <cell r="B374">
            <v>373</v>
          </cell>
          <cell r="C374" t="str">
            <v>CF01/2</v>
          </cell>
          <cell r="D374" t="str">
            <v>SPCC-SD</v>
          </cell>
          <cell r="E374" t="str">
            <v>AF1</v>
          </cell>
          <cell r="F374">
            <v>2</v>
          </cell>
          <cell r="G374">
            <v>70</v>
          </cell>
          <cell r="H374">
            <v>1219</v>
          </cell>
          <cell r="I374" t="str">
            <v>A</v>
          </cell>
          <cell r="K374">
            <v>75</v>
          </cell>
          <cell r="L374">
            <v>103</v>
          </cell>
          <cell r="M374">
            <v>50105853</v>
          </cell>
          <cell r="N374" t="str">
            <v>11/B/2005</v>
          </cell>
          <cell r="P374" t="str">
            <v>FN5B11D1M444401</v>
          </cell>
          <cell r="Q374" t="str">
            <v>แผ่นรองและสายรัดเป็นสนิม</v>
          </cell>
        </row>
        <row r="375">
          <cell r="A375">
            <v>50135221</v>
          </cell>
          <cell r="B375">
            <v>374</v>
          </cell>
          <cell r="C375" t="str">
            <v>CF01/2</v>
          </cell>
          <cell r="D375" t="str">
            <v>SPCC-SD</v>
          </cell>
          <cell r="E375" t="str">
            <v>AF1</v>
          </cell>
          <cell r="F375">
            <v>2</v>
          </cell>
          <cell r="G375">
            <v>92</v>
          </cell>
          <cell r="H375">
            <v>1219</v>
          </cell>
          <cell r="I375" t="str">
            <v>A</v>
          </cell>
          <cell r="K375">
            <v>27</v>
          </cell>
          <cell r="L375">
            <v>48</v>
          </cell>
          <cell r="M375">
            <v>50135221</v>
          </cell>
          <cell r="N375">
            <v>38901</v>
          </cell>
          <cell r="P375" t="str">
            <v>FN6703D1M162901</v>
          </cell>
          <cell r="Q375" t="str">
            <v>แผ่นรองและสายรัดเป็นสนิม</v>
          </cell>
        </row>
        <row r="376">
          <cell r="A376">
            <v>50117932</v>
          </cell>
          <cell r="B376">
            <v>375</v>
          </cell>
          <cell r="C376" t="str">
            <v>CF01/2</v>
          </cell>
          <cell r="D376" t="str">
            <v>SPCC-SD</v>
          </cell>
          <cell r="E376" t="str">
            <v>AF1</v>
          </cell>
          <cell r="F376">
            <v>2</v>
          </cell>
          <cell r="G376">
            <v>107</v>
          </cell>
          <cell r="H376">
            <v>1219</v>
          </cell>
          <cell r="I376" t="str">
            <v>A</v>
          </cell>
          <cell r="K376">
            <v>105</v>
          </cell>
          <cell r="L376">
            <v>215</v>
          </cell>
          <cell r="M376">
            <v>50117932</v>
          </cell>
          <cell r="N376">
            <v>38765</v>
          </cell>
          <cell r="P376" t="str">
            <v>FN6217N2M744101</v>
          </cell>
          <cell r="Q376" t="str">
            <v>แผ่นรองและสายรัดเป็นสนิม</v>
          </cell>
        </row>
        <row r="377">
          <cell r="A377">
            <v>50122615</v>
          </cell>
          <cell r="B377">
            <v>376</v>
          </cell>
          <cell r="C377" t="str">
            <v>CF01/2</v>
          </cell>
          <cell r="D377" t="str">
            <v>SPCC-SD</v>
          </cell>
          <cell r="E377" t="str">
            <v>AF1</v>
          </cell>
          <cell r="F377">
            <v>2</v>
          </cell>
          <cell r="G377">
            <v>140</v>
          </cell>
          <cell r="H377">
            <v>1110</v>
          </cell>
          <cell r="I377" t="str">
            <v>A</v>
          </cell>
          <cell r="K377">
            <v>70</v>
          </cell>
          <cell r="L377">
            <v>170</v>
          </cell>
          <cell r="M377">
            <v>50122615</v>
          </cell>
          <cell r="N377">
            <v>38792</v>
          </cell>
          <cell r="P377" t="str">
            <v>FN6316D1M847001</v>
          </cell>
          <cell r="Q377" t="str">
            <v>แผ่นรองและสายรัดเป็นสนิม</v>
          </cell>
        </row>
        <row r="378">
          <cell r="A378">
            <v>50137648</v>
          </cell>
          <cell r="B378">
            <v>377</v>
          </cell>
          <cell r="C378" t="str">
            <v>CF01/2</v>
          </cell>
          <cell r="D378" t="str">
            <v>SPCC-SD</v>
          </cell>
          <cell r="E378" t="str">
            <v>AF1</v>
          </cell>
          <cell r="F378">
            <v>2</v>
          </cell>
          <cell r="G378">
            <v>140</v>
          </cell>
          <cell r="H378">
            <v>1110</v>
          </cell>
          <cell r="I378" t="str">
            <v>A</v>
          </cell>
          <cell r="K378">
            <v>27</v>
          </cell>
          <cell r="L378">
            <v>60</v>
          </cell>
          <cell r="M378">
            <v>50137648</v>
          </cell>
          <cell r="N378">
            <v>38922</v>
          </cell>
          <cell r="P378" t="str">
            <v>FN6724D1M228402</v>
          </cell>
          <cell r="Q378" t="str">
            <v>แผ่นรองและสายรัดเป็นสนิม</v>
          </cell>
        </row>
        <row r="379">
          <cell r="A379">
            <v>50130691</v>
          </cell>
          <cell r="B379">
            <v>378</v>
          </cell>
          <cell r="C379" t="str">
            <v>CF01/2</v>
          </cell>
          <cell r="D379" t="str">
            <v>SPCC-SD</v>
          </cell>
          <cell r="E379" t="str">
            <v>AF1</v>
          </cell>
          <cell r="F379">
            <v>2</v>
          </cell>
          <cell r="G379">
            <v>164</v>
          </cell>
          <cell r="H379">
            <v>1150</v>
          </cell>
          <cell r="I379" t="str">
            <v>A</v>
          </cell>
          <cell r="K379">
            <v>17</v>
          </cell>
          <cell r="L379">
            <v>50</v>
          </cell>
          <cell r="M379">
            <v>50130691</v>
          </cell>
          <cell r="N379">
            <v>38866</v>
          </cell>
          <cell r="P379" t="str">
            <v>FN6529D2M049801</v>
          </cell>
          <cell r="Q379" t="str">
            <v>แผ่นรองและสายรัดเป็นสนิม</v>
          </cell>
        </row>
        <row r="380">
          <cell r="A380">
            <v>50110312</v>
          </cell>
          <cell r="B380">
            <v>379</v>
          </cell>
          <cell r="C380" t="str">
            <v>CF01/2</v>
          </cell>
          <cell r="D380" t="str">
            <v>SPCC-SD</v>
          </cell>
          <cell r="E380" t="str">
            <v>AF1</v>
          </cell>
          <cell r="F380">
            <v>2</v>
          </cell>
          <cell r="G380">
            <v>165</v>
          </cell>
          <cell r="H380">
            <v>1149</v>
          </cell>
          <cell r="I380" t="str">
            <v>A</v>
          </cell>
          <cell r="K380">
            <v>65</v>
          </cell>
          <cell r="L380">
            <v>195</v>
          </cell>
          <cell r="M380">
            <v>50110312</v>
          </cell>
          <cell r="N380" t="str">
            <v>15/C/2005</v>
          </cell>
          <cell r="P380" t="str">
            <v>FN5C15D1M569601</v>
          </cell>
          <cell r="Q380" t="str">
            <v>แผ่นรองและสายรัดเป็นสนิม</v>
          </cell>
        </row>
        <row r="381">
          <cell r="A381">
            <v>50124858</v>
          </cell>
          <cell r="B381">
            <v>380</v>
          </cell>
          <cell r="C381" t="str">
            <v>CF01/2</v>
          </cell>
          <cell r="D381" t="str">
            <v>SPCC-SD</v>
          </cell>
          <cell r="E381" t="str">
            <v>AF1</v>
          </cell>
          <cell r="F381">
            <v>2</v>
          </cell>
          <cell r="G381">
            <v>204</v>
          </cell>
          <cell r="H381">
            <v>1219</v>
          </cell>
          <cell r="I381" t="str">
            <v>A</v>
          </cell>
          <cell r="K381">
            <v>35</v>
          </cell>
          <cell r="L381">
            <v>137</v>
          </cell>
          <cell r="M381">
            <v>50124858</v>
          </cell>
          <cell r="N381">
            <v>38806</v>
          </cell>
          <cell r="P381" t="str">
            <v>FN6330D1M855101</v>
          </cell>
          <cell r="Q381" t="str">
            <v>แผ่นรองและสายรัดเป็นสนิม</v>
          </cell>
        </row>
        <row r="382">
          <cell r="A382">
            <v>50141086</v>
          </cell>
          <cell r="B382">
            <v>381</v>
          </cell>
          <cell r="C382" t="str">
            <v>CF01/2</v>
          </cell>
          <cell r="D382" t="str">
            <v>SPCC-SD</v>
          </cell>
          <cell r="E382" t="str">
            <v>AF1</v>
          </cell>
          <cell r="F382">
            <v>2</v>
          </cell>
          <cell r="G382">
            <v>365</v>
          </cell>
          <cell r="H382">
            <v>1080</v>
          </cell>
          <cell r="I382" t="str">
            <v>A</v>
          </cell>
          <cell r="K382">
            <v>39</v>
          </cell>
          <cell r="L382">
            <v>241</v>
          </cell>
          <cell r="M382">
            <v>50141086</v>
          </cell>
          <cell r="N382">
            <v>38954</v>
          </cell>
          <cell r="P382" t="str">
            <v>FN6825D1M324201</v>
          </cell>
          <cell r="Q382" t="str">
            <v>แผ่นรองและสายรัดเป็นสนิม</v>
          </cell>
        </row>
        <row r="383">
          <cell r="A383">
            <v>50110371</v>
          </cell>
          <cell r="B383">
            <v>382</v>
          </cell>
          <cell r="C383" t="str">
            <v>CF01/2</v>
          </cell>
          <cell r="D383" t="str">
            <v>SPCC-SD</v>
          </cell>
          <cell r="E383" t="str">
            <v>AF1</v>
          </cell>
          <cell r="F383">
            <v>2</v>
          </cell>
          <cell r="G383">
            <v>470</v>
          </cell>
          <cell r="H383">
            <v>1060</v>
          </cell>
          <cell r="I383" t="str">
            <v>A</v>
          </cell>
          <cell r="L383">
            <v>164</v>
          </cell>
          <cell r="M383">
            <v>50110371</v>
          </cell>
          <cell r="N383" t="str">
            <v>15/C/2005</v>
          </cell>
          <cell r="P383" t="str">
            <v>FN5C15D3M527201</v>
          </cell>
          <cell r="Q383" t="str">
            <v>แผ่นรองและสายรัดเป็นสนิม</v>
          </cell>
        </row>
        <row r="384">
          <cell r="A384">
            <v>50060351</v>
          </cell>
          <cell r="B384">
            <v>383</v>
          </cell>
          <cell r="C384" t="str">
            <v>CF01/2</v>
          </cell>
          <cell r="D384" t="str">
            <v>SPCC-SD</v>
          </cell>
          <cell r="E384" t="str">
            <v>AF1</v>
          </cell>
          <cell r="F384">
            <v>2</v>
          </cell>
          <cell r="G384">
            <v>510</v>
          </cell>
          <cell r="H384">
            <v>510</v>
          </cell>
          <cell r="I384" t="str">
            <v>A</v>
          </cell>
          <cell r="K384">
            <v>130</v>
          </cell>
          <cell r="L384">
            <v>530</v>
          </cell>
          <cell r="M384">
            <v>50060351</v>
          </cell>
          <cell r="N384" t="str">
            <v>8/B/2004</v>
          </cell>
          <cell r="P384" t="str">
            <v>FN4B08D1M459501</v>
          </cell>
          <cell r="Q384" t="str">
            <v>แผ่นรองและสายรัดเป็นสนิม</v>
          </cell>
        </row>
        <row r="385">
          <cell r="A385">
            <v>50102423</v>
          </cell>
          <cell r="B385">
            <v>384</v>
          </cell>
          <cell r="C385" t="str">
            <v>CF01/2</v>
          </cell>
          <cell r="D385" t="str">
            <v>SPCC-SD</v>
          </cell>
          <cell r="E385" t="str">
            <v>AF1</v>
          </cell>
          <cell r="F385">
            <v>2.2999999999999998</v>
          </cell>
          <cell r="G385">
            <v>44</v>
          </cell>
          <cell r="H385">
            <v>1219</v>
          </cell>
          <cell r="I385" t="str">
            <v>A</v>
          </cell>
          <cell r="K385">
            <v>10</v>
          </cell>
          <cell r="L385">
            <v>10</v>
          </cell>
          <cell r="M385">
            <v>50102423</v>
          </cell>
          <cell r="N385" t="str">
            <v>17/A/2005</v>
          </cell>
          <cell r="P385" t="str">
            <v>FN5A17D1R390401</v>
          </cell>
          <cell r="Q385" t="str">
            <v>สภาพปกติ</v>
          </cell>
        </row>
        <row r="386">
          <cell r="A386">
            <v>50093316</v>
          </cell>
          <cell r="B386">
            <v>385</v>
          </cell>
          <cell r="C386" t="str">
            <v>CF01/2</v>
          </cell>
          <cell r="D386" t="str">
            <v>SPCC-SD</v>
          </cell>
          <cell r="E386" t="str">
            <v>AF1</v>
          </cell>
          <cell r="F386">
            <v>2.2999999999999998</v>
          </cell>
          <cell r="G386">
            <v>88</v>
          </cell>
          <cell r="H386">
            <v>1219</v>
          </cell>
          <cell r="I386" t="str">
            <v>A</v>
          </cell>
          <cell r="K386">
            <v>80</v>
          </cell>
          <cell r="L386">
            <v>161</v>
          </cell>
          <cell r="M386">
            <v>50093316</v>
          </cell>
          <cell r="N386">
            <v>38567</v>
          </cell>
          <cell r="P386" t="str">
            <v>FN5803D1R178501</v>
          </cell>
          <cell r="Q386" t="str">
            <v>แผ่นรองและสายรัดเป็นสนิม</v>
          </cell>
        </row>
        <row r="387">
          <cell r="A387">
            <v>50109497</v>
          </cell>
          <cell r="B387">
            <v>386</v>
          </cell>
          <cell r="C387" t="str">
            <v>CF01/2</v>
          </cell>
          <cell r="D387" t="str">
            <v>SPCC-SD</v>
          </cell>
          <cell r="E387" t="str">
            <v>AF1</v>
          </cell>
          <cell r="F387">
            <v>2.2999999999999998</v>
          </cell>
          <cell r="G387">
            <v>88</v>
          </cell>
          <cell r="H387">
            <v>1219</v>
          </cell>
          <cell r="I387" t="str">
            <v>A</v>
          </cell>
          <cell r="K387">
            <v>47</v>
          </cell>
          <cell r="L387">
            <v>91</v>
          </cell>
          <cell r="M387">
            <v>50109497</v>
          </cell>
          <cell r="N387" t="str">
            <v>9/C/2005</v>
          </cell>
          <cell r="P387" t="str">
            <v>FN5C09D1R556602</v>
          </cell>
          <cell r="Q387" t="str">
            <v>แผ่นรองและสายรัดเป็นสนิม</v>
          </cell>
        </row>
        <row r="388">
          <cell r="A388">
            <v>50141224</v>
          </cell>
          <cell r="B388">
            <v>387</v>
          </cell>
          <cell r="C388" t="str">
            <v>CF01/2</v>
          </cell>
          <cell r="D388" t="str">
            <v>SPCC-SD</v>
          </cell>
          <cell r="E388" t="str">
            <v>AF1</v>
          </cell>
          <cell r="F388">
            <v>2.2999999999999998</v>
          </cell>
          <cell r="G388">
            <v>106</v>
          </cell>
          <cell r="H388">
            <v>1219</v>
          </cell>
          <cell r="I388" t="str">
            <v>A</v>
          </cell>
          <cell r="K388">
            <v>35</v>
          </cell>
          <cell r="L388">
            <v>82</v>
          </cell>
          <cell r="M388">
            <v>50141224</v>
          </cell>
          <cell r="N388">
            <v>38957</v>
          </cell>
          <cell r="P388" t="str">
            <v>FN6828D1M328402</v>
          </cell>
          <cell r="Q388" t="str">
            <v>สภาพปกติ</v>
          </cell>
        </row>
        <row r="389">
          <cell r="A389">
            <v>50141085</v>
          </cell>
          <cell r="B389">
            <v>388</v>
          </cell>
          <cell r="C389" t="str">
            <v>CF01/2</v>
          </cell>
          <cell r="D389" t="str">
            <v>SPCC-SD</v>
          </cell>
          <cell r="E389" t="str">
            <v>AF1</v>
          </cell>
          <cell r="F389">
            <v>2.2999999999999998</v>
          </cell>
          <cell r="G389">
            <v>163</v>
          </cell>
          <cell r="H389">
            <v>1219</v>
          </cell>
          <cell r="I389" t="str">
            <v>A</v>
          </cell>
          <cell r="K389">
            <v>16</v>
          </cell>
          <cell r="L389">
            <v>57</v>
          </cell>
          <cell r="M389">
            <v>50141085</v>
          </cell>
          <cell r="N389">
            <v>38954</v>
          </cell>
          <cell r="P389" t="str">
            <v>FN6825D2M322801</v>
          </cell>
          <cell r="Q389" t="str">
            <v>สภาพปกติ</v>
          </cell>
        </row>
        <row r="390">
          <cell r="A390">
            <v>50140940</v>
          </cell>
          <cell r="B390">
            <v>389</v>
          </cell>
          <cell r="C390" t="str">
            <v>CF01/2</v>
          </cell>
          <cell r="D390" t="str">
            <v>SPCC-SD</v>
          </cell>
          <cell r="E390" t="str">
            <v>AF1</v>
          </cell>
          <cell r="F390">
            <v>2.2999999999999998</v>
          </cell>
          <cell r="G390">
            <v>375</v>
          </cell>
          <cell r="H390">
            <v>1219</v>
          </cell>
          <cell r="I390" t="str">
            <v>A</v>
          </cell>
          <cell r="K390">
            <v>7</v>
          </cell>
          <cell r="L390">
            <v>58</v>
          </cell>
          <cell r="M390">
            <v>50140940</v>
          </cell>
          <cell r="N390">
            <v>38953</v>
          </cell>
          <cell r="P390" t="str">
            <v>FN6824D1M322801</v>
          </cell>
          <cell r="Q390" t="str">
            <v>แผ่นรองและสายรัดเป็นสนิม</v>
          </cell>
        </row>
        <row r="391">
          <cell r="A391">
            <v>50088123</v>
          </cell>
          <cell r="B391">
            <v>390</v>
          </cell>
          <cell r="C391" t="str">
            <v>CF01/2</v>
          </cell>
          <cell r="D391" t="str">
            <v>SPCC-SD</v>
          </cell>
          <cell r="E391" t="str">
            <v>AF1</v>
          </cell>
          <cell r="F391">
            <v>2.6</v>
          </cell>
          <cell r="G391">
            <v>75</v>
          </cell>
          <cell r="H391">
            <v>1219</v>
          </cell>
          <cell r="I391" t="str">
            <v>A</v>
          </cell>
          <cell r="K391">
            <v>3</v>
          </cell>
          <cell r="L391">
            <v>5</v>
          </cell>
          <cell r="M391">
            <v>50088123</v>
          </cell>
          <cell r="N391">
            <v>38523</v>
          </cell>
          <cell r="P391" t="str">
            <v>FN5620D1RSSSS01</v>
          </cell>
          <cell r="Q391" t="str">
            <v>สภาพปกติ</v>
          </cell>
        </row>
        <row r="392">
          <cell r="A392">
            <v>50065364</v>
          </cell>
          <cell r="B392">
            <v>391</v>
          </cell>
          <cell r="C392" t="str">
            <v>CF01/2</v>
          </cell>
          <cell r="D392" t="str">
            <v>SPCC-SD</v>
          </cell>
          <cell r="E392" t="str">
            <v>AF1</v>
          </cell>
          <cell r="F392">
            <v>2.6</v>
          </cell>
          <cell r="G392">
            <v>105</v>
          </cell>
          <cell r="H392">
            <v>1219</v>
          </cell>
          <cell r="I392" t="str">
            <v>A</v>
          </cell>
          <cell r="K392">
            <v>136</v>
          </cell>
          <cell r="L392">
            <v>352</v>
          </cell>
          <cell r="M392">
            <v>50065364</v>
          </cell>
          <cell r="N392" t="str">
            <v>22/C/2004</v>
          </cell>
          <cell r="P392" t="str">
            <v>FN4C22D1RSSSS01</v>
          </cell>
          <cell r="Q392" t="str">
            <v>กระดาษฉีกขาดและเป็นสนิม</v>
          </cell>
        </row>
        <row r="393">
          <cell r="A393">
            <v>50133976</v>
          </cell>
          <cell r="B393">
            <v>392</v>
          </cell>
          <cell r="C393" t="str">
            <v>CF01/2</v>
          </cell>
          <cell r="D393" t="str">
            <v>SPCC-SD</v>
          </cell>
          <cell r="E393" t="str">
            <v>AF1</v>
          </cell>
          <cell r="F393">
            <v>2.6</v>
          </cell>
          <cell r="G393">
            <v>366</v>
          </cell>
          <cell r="H393">
            <v>660</v>
          </cell>
          <cell r="I393" t="str">
            <v>A</v>
          </cell>
          <cell r="K393">
            <v>58</v>
          </cell>
          <cell r="L393">
            <v>287</v>
          </cell>
          <cell r="M393">
            <v>50133976</v>
          </cell>
          <cell r="N393">
            <v>38888</v>
          </cell>
          <cell r="P393" t="str">
            <v>FN6620D2M115401</v>
          </cell>
          <cell r="Q393" t="str">
            <v>แผ่นรองและสายรัดเป็นสนิม</v>
          </cell>
        </row>
        <row r="394">
          <cell r="A394">
            <v>50112714</v>
          </cell>
          <cell r="B394">
            <v>393</v>
          </cell>
          <cell r="C394" t="str">
            <v>CF01/2</v>
          </cell>
          <cell r="D394" t="str">
            <v>SPCC-SD</v>
          </cell>
          <cell r="E394" t="str">
            <v>AF1</v>
          </cell>
          <cell r="F394">
            <v>3</v>
          </cell>
          <cell r="G394">
            <v>78</v>
          </cell>
          <cell r="H394">
            <v>1219</v>
          </cell>
          <cell r="I394" t="str">
            <v>A</v>
          </cell>
          <cell r="K394">
            <v>20</v>
          </cell>
          <cell r="L394">
            <v>45</v>
          </cell>
          <cell r="M394">
            <v>50112714</v>
          </cell>
          <cell r="N394">
            <v>38723</v>
          </cell>
          <cell r="P394" t="str">
            <v>FN6106D1R617601</v>
          </cell>
          <cell r="Q394" t="str">
            <v>แผ่นรองและสายรัดเป็นสนิม</v>
          </cell>
        </row>
        <row r="395">
          <cell r="A395">
            <v>50119105</v>
          </cell>
          <cell r="B395">
            <v>394</v>
          </cell>
          <cell r="C395" t="str">
            <v>CF01/2</v>
          </cell>
          <cell r="D395" t="str">
            <v>SPCC-SD</v>
          </cell>
          <cell r="E395" t="str">
            <v>AF1</v>
          </cell>
          <cell r="F395">
            <v>3</v>
          </cell>
          <cell r="G395">
            <v>78</v>
          </cell>
          <cell r="H395">
            <v>1219</v>
          </cell>
          <cell r="I395" t="str">
            <v>A</v>
          </cell>
          <cell r="K395">
            <v>76</v>
          </cell>
          <cell r="L395">
            <v>168</v>
          </cell>
          <cell r="M395">
            <v>50119105</v>
          </cell>
          <cell r="N395">
            <v>38772</v>
          </cell>
          <cell r="P395" t="str">
            <v>FN6224D2M764902</v>
          </cell>
          <cell r="Q395" t="str">
            <v>แผ่นรองและสายรัดเป็นสนิม</v>
          </cell>
        </row>
        <row r="396">
          <cell r="A396">
            <v>50104168</v>
          </cell>
          <cell r="B396">
            <v>395</v>
          </cell>
          <cell r="C396" t="str">
            <v>CF01/2</v>
          </cell>
          <cell r="D396" t="str">
            <v>SPCC-SD</v>
          </cell>
          <cell r="E396" t="str">
            <v>AF1</v>
          </cell>
          <cell r="F396">
            <v>3</v>
          </cell>
          <cell r="G396">
            <v>284</v>
          </cell>
          <cell r="H396">
            <v>1219</v>
          </cell>
          <cell r="I396" t="str">
            <v>A</v>
          </cell>
          <cell r="K396">
            <v>28</v>
          </cell>
          <cell r="L396">
            <v>228</v>
          </cell>
          <cell r="M396">
            <v>50104168</v>
          </cell>
          <cell r="N396" t="str">
            <v>29/A/2005</v>
          </cell>
          <cell r="P396" t="str">
            <v>FN5A29D2M414001</v>
          </cell>
          <cell r="Q396" t="str">
            <v>แผ่นรองและสายรัดเป็นสนิม</v>
          </cell>
        </row>
        <row r="397">
          <cell r="A397">
            <v>50102385</v>
          </cell>
          <cell r="B397">
            <v>396</v>
          </cell>
          <cell r="C397" t="str">
            <v>CF01/2</v>
          </cell>
          <cell r="D397" t="str">
            <v>SPCC-SD</v>
          </cell>
          <cell r="E397" t="str">
            <v>AF1</v>
          </cell>
          <cell r="F397">
            <v>3</v>
          </cell>
          <cell r="G397">
            <v>290</v>
          </cell>
          <cell r="H397">
            <v>1219</v>
          </cell>
          <cell r="I397" t="str">
            <v>A</v>
          </cell>
          <cell r="K397">
            <v>22</v>
          </cell>
          <cell r="L397">
            <v>185</v>
          </cell>
          <cell r="M397">
            <v>50102385</v>
          </cell>
          <cell r="N397" t="str">
            <v>17/A/2005</v>
          </cell>
          <cell r="P397" t="str">
            <v>FN5A17D2M361101</v>
          </cell>
          <cell r="Q397" t="str">
            <v>แผ่นรองและสายรัดเป็นสนิม</v>
          </cell>
        </row>
        <row r="398">
          <cell r="A398">
            <v>50123530</v>
          </cell>
          <cell r="B398">
            <v>397</v>
          </cell>
          <cell r="C398" t="str">
            <v>CF01/2</v>
          </cell>
          <cell r="D398" t="str">
            <v>SPCC-SD</v>
          </cell>
          <cell r="E398" t="str">
            <v>AF1</v>
          </cell>
          <cell r="F398">
            <v>3</v>
          </cell>
          <cell r="G398">
            <v>290</v>
          </cell>
          <cell r="H398">
            <v>1219</v>
          </cell>
          <cell r="I398" t="str">
            <v>A</v>
          </cell>
          <cell r="K398">
            <v>52</v>
          </cell>
          <cell r="L398">
            <v>433</v>
          </cell>
          <cell r="M398">
            <v>50123530</v>
          </cell>
          <cell r="N398">
            <v>38798</v>
          </cell>
          <cell r="P398" t="str">
            <v>FN6322D3R873802</v>
          </cell>
          <cell r="Q398" t="str">
            <v>แผ่นรองและสายรัดเป็นสนิม</v>
          </cell>
        </row>
        <row r="399">
          <cell r="A399">
            <v>50112928</v>
          </cell>
          <cell r="B399">
            <v>398</v>
          </cell>
          <cell r="C399" t="str">
            <v>CF01/2</v>
          </cell>
          <cell r="D399" t="str">
            <v>SPCC-SD</v>
          </cell>
          <cell r="E399" t="str">
            <v>AF1</v>
          </cell>
          <cell r="F399">
            <v>3</v>
          </cell>
          <cell r="G399">
            <v>233.2</v>
          </cell>
          <cell r="H399">
            <v>462</v>
          </cell>
          <cell r="I399" t="str">
            <v>A</v>
          </cell>
          <cell r="K399">
            <v>112</v>
          </cell>
          <cell r="L399">
            <v>284</v>
          </cell>
          <cell r="M399">
            <v>50112928</v>
          </cell>
          <cell r="N399">
            <v>38724</v>
          </cell>
          <cell r="P399" t="str">
            <v>FN6107D1M608202</v>
          </cell>
          <cell r="Q399" t="str">
            <v>แผ่นรองและสายรัดเป็นสนิม</v>
          </cell>
        </row>
        <row r="400">
          <cell r="A400">
            <v>50113514</v>
          </cell>
          <cell r="B400">
            <v>399</v>
          </cell>
          <cell r="C400" t="str">
            <v>CF01/2</v>
          </cell>
          <cell r="D400" t="str">
            <v>SPCC-SD</v>
          </cell>
          <cell r="E400" t="str">
            <v>AF1</v>
          </cell>
          <cell r="F400">
            <v>3</v>
          </cell>
          <cell r="G400">
            <v>233.2</v>
          </cell>
          <cell r="H400">
            <v>462</v>
          </cell>
          <cell r="I400" t="str">
            <v>A</v>
          </cell>
          <cell r="K400">
            <v>134</v>
          </cell>
          <cell r="L400">
            <v>340</v>
          </cell>
          <cell r="M400">
            <v>50113514</v>
          </cell>
          <cell r="N400">
            <v>38728</v>
          </cell>
          <cell r="P400" t="str">
            <v>FN6111D1M608201</v>
          </cell>
          <cell r="Q400" t="str">
            <v>แผ่นรองและสายรัดเป็นสนิม</v>
          </cell>
        </row>
        <row r="401">
          <cell r="A401">
            <v>50102937</v>
          </cell>
          <cell r="B401">
            <v>400</v>
          </cell>
          <cell r="C401" t="str">
            <v>CF01/2</v>
          </cell>
          <cell r="D401" t="str">
            <v>SPCC-SD</v>
          </cell>
          <cell r="E401" t="str">
            <v>AF1</v>
          </cell>
          <cell r="F401">
            <v>3</v>
          </cell>
          <cell r="G401">
            <v>462.4</v>
          </cell>
          <cell r="H401">
            <v>1170</v>
          </cell>
          <cell r="I401" t="str">
            <v>A</v>
          </cell>
          <cell r="K401">
            <v>67</v>
          </cell>
          <cell r="L401">
            <v>848</v>
          </cell>
          <cell r="M401">
            <v>50102937</v>
          </cell>
          <cell r="N401" t="str">
            <v>20/A/2005</v>
          </cell>
          <cell r="P401" t="str">
            <v>FN5A20D1D392101</v>
          </cell>
          <cell r="Q401" t="str">
            <v>แผ่นรองและสายรัดเป็นสนิม</v>
          </cell>
        </row>
        <row r="402">
          <cell r="A402">
            <v>50139032</v>
          </cell>
          <cell r="B402">
            <v>401</v>
          </cell>
          <cell r="C402" t="str">
            <v>CF01/2</v>
          </cell>
          <cell r="D402" t="str">
            <v>SPCC-SD</v>
          </cell>
          <cell r="E402" t="str">
            <v>AF1</v>
          </cell>
          <cell r="F402">
            <v>3.2</v>
          </cell>
          <cell r="G402">
            <v>148</v>
          </cell>
          <cell r="H402">
            <v>1219</v>
          </cell>
          <cell r="I402" t="str">
            <v>A</v>
          </cell>
          <cell r="K402">
            <v>46</v>
          </cell>
          <cell r="L402">
            <v>208</v>
          </cell>
          <cell r="M402">
            <v>50139032</v>
          </cell>
          <cell r="N402">
            <v>38932</v>
          </cell>
          <cell r="P402" t="str">
            <v>FN6803D1D249101</v>
          </cell>
          <cell r="Q402" t="str">
            <v>สภาพปกติ</v>
          </cell>
        </row>
        <row r="403">
          <cell r="A403">
            <v>50114740</v>
          </cell>
          <cell r="B403">
            <v>402</v>
          </cell>
          <cell r="C403" t="str">
            <v>CF01/2</v>
          </cell>
          <cell r="D403" t="str">
            <v>SPCC-SD</v>
          </cell>
          <cell r="E403" t="str">
            <v>AF1</v>
          </cell>
          <cell r="F403">
            <v>3.2</v>
          </cell>
          <cell r="G403">
            <v>150</v>
          </cell>
          <cell r="H403">
            <v>1219</v>
          </cell>
          <cell r="I403" t="str">
            <v>A</v>
          </cell>
          <cell r="K403">
            <v>50</v>
          </cell>
          <cell r="L403">
            <v>231</v>
          </cell>
          <cell r="M403">
            <v>50114740</v>
          </cell>
          <cell r="N403">
            <v>38737</v>
          </cell>
          <cell r="O403" t="str">
            <v>125C01TCD002</v>
          </cell>
          <cell r="P403" t="str">
            <v>FN6120D1R661301</v>
          </cell>
          <cell r="Q403" t="str">
            <v>สภาพปกติ</v>
          </cell>
        </row>
        <row r="404">
          <cell r="A404">
            <v>50134709</v>
          </cell>
          <cell r="B404">
            <v>403</v>
          </cell>
          <cell r="C404" t="str">
            <v>CF01/2</v>
          </cell>
          <cell r="D404" t="str">
            <v>SPCC-SD</v>
          </cell>
          <cell r="E404" t="str">
            <v>AF1</v>
          </cell>
          <cell r="F404">
            <v>3.2</v>
          </cell>
          <cell r="G404">
            <v>170</v>
          </cell>
          <cell r="H404">
            <v>1133</v>
          </cell>
          <cell r="I404" t="str">
            <v>A</v>
          </cell>
          <cell r="K404">
            <v>100</v>
          </cell>
          <cell r="L404">
            <v>485</v>
          </cell>
          <cell r="M404">
            <v>50134709</v>
          </cell>
          <cell r="N404">
            <v>38896</v>
          </cell>
          <cell r="P404" t="str">
            <v>FN6628D2M148001</v>
          </cell>
          <cell r="Q404" t="str">
            <v>สภาพปกติ</v>
          </cell>
        </row>
        <row r="405">
          <cell r="A405">
            <v>50114091</v>
          </cell>
          <cell r="B405">
            <v>404</v>
          </cell>
          <cell r="C405" t="str">
            <v>CF01/2</v>
          </cell>
          <cell r="D405" t="str">
            <v>SPCC-SD</v>
          </cell>
          <cell r="E405" t="str">
            <v>AF1</v>
          </cell>
          <cell r="F405">
            <v>3.2</v>
          </cell>
          <cell r="G405">
            <v>206</v>
          </cell>
          <cell r="H405">
            <v>560</v>
          </cell>
          <cell r="I405" t="str">
            <v>A</v>
          </cell>
          <cell r="K405">
            <v>92</v>
          </cell>
          <cell r="L405">
            <v>267</v>
          </cell>
          <cell r="M405">
            <v>50114091</v>
          </cell>
          <cell r="N405">
            <v>38733</v>
          </cell>
          <cell r="P405" t="str">
            <v>FN6116N2M646501</v>
          </cell>
          <cell r="Q405" t="str">
            <v>แผ่นรองและสายรัดเป็นสนิม</v>
          </cell>
        </row>
        <row r="406">
          <cell r="A406">
            <v>50038811</v>
          </cell>
          <cell r="B406">
            <v>405</v>
          </cell>
          <cell r="C406" t="str">
            <v>CF01/2</v>
          </cell>
          <cell r="D406" t="str">
            <v>SPCC-SD</v>
          </cell>
          <cell r="E406" t="str">
            <v>AF1</v>
          </cell>
          <cell r="F406">
            <v>3.2</v>
          </cell>
          <cell r="G406">
            <v>214</v>
          </cell>
          <cell r="H406">
            <v>1219</v>
          </cell>
          <cell r="I406" t="str">
            <v>A</v>
          </cell>
          <cell r="K406">
            <v>10</v>
          </cell>
          <cell r="L406">
            <v>70</v>
          </cell>
          <cell r="M406">
            <v>50038811</v>
          </cell>
          <cell r="N406">
            <v>38919</v>
          </cell>
          <cell r="P406" t="str">
            <v>FN6721N2L040101</v>
          </cell>
          <cell r="Q406" t="str">
            <v>แผ่นรองและสายรัดเป็นสนิม</v>
          </cell>
        </row>
        <row r="407">
          <cell r="A407">
            <v>50062884</v>
          </cell>
          <cell r="B407">
            <v>406</v>
          </cell>
          <cell r="C407" t="str">
            <v>CF01/2</v>
          </cell>
          <cell r="D407" t="str">
            <v>SPCD-SD</v>
          </cell>
          <cell r="E407" t="str">
            <v>AF2</v>
          </cell>
          <cell r="F407">
            <v>1.4</v>
          </cell>
          <cell r="G407">
            <v>215</v>
          </cell>
          <cell r="H407">
            <v>235</v>
          </cell>
          <cell r="I407" t="str">
            <v>A</v>
          </cell>
          <cell r="K407">
            <v>300</v>
          </cell>
          <cell r="L407">
            <v>168</v>
          </cell>
          <cell r="M407">
            <v>50062884</v>
          </cell>
          <cell r="N407" t="str">
            <v>3/C/2004</v>
          </cell>
          <cell r="P407" t="str">
            <v>FN4C03D1M524501</v>
          </cell>
          <cell r="Q407" t="str">
            <v>แผ่นรองและสายรัดเป็นสนิม</v>
          </cell>
        </row>
        <row r="408">
          <cell r="A408">
            <v>50071842</v>
          </cell>
          <cell r="B408">
            <v>407</v>
          </cell>
          <cell r="C408" t="str">
            <v>CF01/2</v>
          </cell>
          <cell r="D408" t="str">
            <v>SPCD-SD</v>
          </cell>
          <cell r="E408" t="str">
            <v>AF2</v>
          </cell>
          <cell r="F408">
            <v>1.4</v>
          </cell>
          <cell r="G408">
            <v>215</v>
          </cell>
          <cell r="H408">
            <v>235</v>
          </cell>
          <cell r="I408" t="str">
            <v>A</v>
          </cell>
          <cell r="K408">
            <v>300</v>
          </cell>
          <cell r="L408">
            <v>168</v>
          </cell>
          <cell r="M408">
            <v>50071842</v>
          </cell>
          <cell r="N408">
            <v>38405</v>
          </cell>
          <cell r="P408" t="str">
            <v>FN5222D1M681902</v>
          </cell>
          <cell r="Q408" t="str">
            <v>แผ่นรองและสายรัดเป็นสนิม</v>
          </cell>
        </row>
        <row r="409">
          <cell r="A409">
            <v>50071843</v>
          </cell>
          <cell r="B409">
            <v>408</v>
          </cell>
          <cell r="C409" t="str">
            <v>CF01/2</v>
          </cell>
          <cell r="D409" t="str">
            <v>SPCD-SD</v>
          </cell>
          <cell r="E409" t="str">
            <v>AF2</v>
          </cell>
          <cell r="F409">
            <v>1.4</v>
          </cell>
          <cell r="G409">
            <v>215</v>
          </cell>
          <cell r="H409">
            <v>235</v>
          </cell>
          <cell r="I409" t="str">
            <v>A</v>
          </cell>
          <cell r="K409">
            <v>300</v>
          </cell>
          <cell r="L409">
            <v>168</v>
          </cell>
          <cell r="M409">
            <v>50071843</v>
          </cell>
          <cell r="N409">
            <v>38405</v>
          </cell>
          <cell r="P409" t="str">
            <v>FN5222D1M681903</v>
          </cell>
          <cell r="Q409" t="str">
            <v>แผ่นรองและสายรัดเป็นสนิม</v>
          </cell>
        </row>
        <row r="410">
          <cell r="A410">
            <v>50071844</v>
          </cell>
          <cell r="B410">
            <v>409</v>
          </cell>
          <cell r="C410" t="str">
            <v>CF01/2</v>
          </cell>
          <cell r="D410" t="str">
            <v>SPCD-SD</v>
          </cell>
          <cell r="E410" t="str">
            <v>AF2</v>
          </cell>
          <cell r="F410">
            <v>1.4</v>
          </cell>
          <cell r="G410">
            <v>215</v>
          </cell>
          <cell r="H410">
            <v>235</v>
          </cell>
          <cell r="I410" t="str">
            <v>A</v>
          </cell>
          <cell r="K410">
            <v>300</v>
          </cell>
          <cell r="L410">
            <v>168</v>
          </cell>
          <cell r="M410">
            <v>50071844</v>
          </cell>
          <cell r="N410">
            <v>38405</v>
          </cell>
          <cell r="P410" t="str">
            <v>FN5222D1M681904</v>
          </cell>
          <cell r="Q410" t="str">
            <v>แผ่นรองและสายรัดเป็นสนิม</v>
          </cell>
        </row>
        <row r="411">
          <cell r="A411">
            <v>50071845</v>
          </cell>
          <cell r="B411">
            <v>410</v>
          </cell>
          <cell r="C411" t="str">
            <v>CF01/2</v>
          </cell>
          <cell r="D411" t="str">
            <v>SPCD-SD</v>
          </cell>
          <cell r="E411" t="str">
            <v>AF2</v>
          </cell>
          <cell r="F411">
            <v>1.4</v>
          </cell>
          <cell r="G411">
            <v>215</v>
          </cell>
          <cell r="H411">
            <v>235</v>
          </cell>
          <cell r="I411" t="str">
            <v>A</v>
          </cell>
          <cell r="K411">
            <v>300</v>
          </cell>
          <cell r="L411">
            <v>168</v>
          </cell>
          <cell r="M411">
            <v>50071845</v>
          </cell>
          <cell r="N411">
            <v>38405</v>
          </cell>
          <cell r="P411" t="str">
            <v>FN5222D1M681905</v>
          </cell>
          <cell r="Q411" t="str">
            <v>แผ่นรองและสายรัดเป็นสนิม</v>
          </cell>
        </row>
        <row r="412">
          <cell r="A412">
            <v>50071846</v>
          </cell>
          <cell r="B412">
            <v>411</v>
          </cell>
          <cell r="C412" t="str">
            <v>CF01/2</v>
          </cell>
          <cell r="D412" t="str">
            <v>SPCD-SD</v>
          </cell>
          <cell r="E412" t="str">
            <v>AF2</v>
          </cell>
          <cell r="F412">
            <v>1.4</v>
          </cell>
          <cell r="G412">
            <v>215</v>
          </cell>
          <cell r="H412">
            <v>235</v>
          </cell>
          <cell r="I412" t="str">
            <v>A</v>
          </cell>
          <cell r="K412">
            <v>300</v>
          </cell>
          <cell r="L412">
            <v>168</v>
          </cell>
          <cell r="M412">
            <v>50071846</v>
          </cell>
          <cell r="N412">
            <v>38405</v>
          </cell>
          <cell r="P412" t="str">
            <v>FN5222D1M681906</v>
          </cell>
          <cell r="Q412" t="str">
            <v>แผ่นรองและสายรัดเป็นสนิม</v>
          </cell>
        </row>
        <row r="413">
          <cell r="A413">
            <v>50071847</v>
          </cell>
          <cell r="B413">
            <v>412</v>
          </cell>
          <cell r="C413" t="str">
            <v>CF01/2</v>
          </cell>
          <cell r="D413" t="str">
            <v>SPCD-SD</v>
          </cell>
          <cell r="E413" t="str">
            <v>AF2</v>
          </cell>
          <cell r="F413">
            <v>1.4</v>
          </cell>
          <cell r="G413">
            <v>215</v>
          </cell>
          <cell r="H413">
            <v>235</v>
          </cell>
          <cell r="I413" t="str">
            <v>A</v>
          </cell>
          <cell r="K413">
            <v>300</v>
          </cell>
          <cell r="L413">
            <v>168</v>
          </cell>
          <cell r="M413">
            <v>50071847</v>
          </cell>
          <cell r="N413">
            <v>38405</v>
          </cell>
          <cell r="P413" t="str">
            <v>FN5222D1M681907</v>
          </cell>
          <cell r="Q413" t="str">
            <v>แผ่นรองและสายรัดเป็นสนิม</v>
          </cell>
        </row>
        <row r="414">
          <cell r="A414">
            <v>50071848</v>
          </cell>
          <cell r="B414">
            <v>413</v>
          </cell>
          <cell r="C414" t="str">
            <v>CF01/2</v>
          </cell>
          <cell r="D414" t="str">
            <v>SPCD-SD</v>
          </cell>
          <cell r="E414" t="str">
            <v>AF2</v>
          </cell>
          <cell r="F414">
            <v>1.4</v>
          </cell>
          <cell r="G414">
            <v>215</v>
          </cell>
          <cell r="H414">
            <v>235</v>
          </cell>
          <cell r="I414" t="str">
            <v>A</v>
          </cell>
          <cell r="K414">
            <v>300</v>
          </cell>
          <cell r="L414">
            <v>168</v>
          </cell>
          <cell r="M414">
            <v>50071848</v>
          </cell>
          <cell r="N414">
            <v>38405</v>
          </cell>
          <cell r="P414" t="str">
            <v>FN5222D1M681908</v>
          </cell>
          <cell r="Q414" t="str">
            <v>แผ่นรองและสายรัดเป็นสนิม</v>
          </cell>
        </row>
        <row r="415">
          <cell r="A415">
            <v>50071849</v>
          </cell>
          <cell r="B415">
            <v>414</v>
          </cell>
          <cell r="C415" t="str">
            <v>CF01/2</v>
          </cell>
          <cell r="D415" t="str">
            <v>SPCD-SD</v>
          </cell>
          <cell r="E415" t="str">
            <v>AF2</v>
          </cell>
          <cell r="F415">
            <v>1.4</v>
          </cell>
          <cell r="G415">
            <v>215</v>
          </cell>
          <cell r="H415">
            <v>235</v>
          </cell>
          <cell r="I415" t="str">
            <v>A</v>
          </cell>
          <cell r="K415">
            <v>300</v>
          </cell>
          <cell r="L415">
            <v>168</v>
          </cell>
          <cell r="M415">
            <v>50071849</v>
          </cell>
          <cell r="N415">
            <v>38405</v>
          </cell>
          <cell r="P415" t="str">
            <v>FN5222D1M681909</v>
          </cell>
          <cell r="Q415" t="str">
            <v>แผ่นรองและสายรัดเป็นสนิม</v>
          </cell>
        </row>
        <row r="416">
          <cell r="A416">
            <v>50086607</v>
          </cell>
          <cell r="B416">
            <v>415</v>
          </cell>
          <cell r="C416" t="str">
            <v>CF01/2</v>
          </cell>
          <cell r="D416" t="str">
            <v>SPCEN-SD</v>
          </cell>
          <cell r="E416" t="str">
            <v>AF3</v>
          </cell>
          <cell r="F416">
            <v>0.7</v>
          </cell>
          <cell r="G416">
            <v>260</v>
          </cell>
          <cell r="H416">
            <v>1230</v>
          </cell>
          <cell r="I416" t="str">
            <v>A</v>
          </cell>
          <cell r="K416">
            <v>405</v>
          </cell>
          <cell r="L416">
            <v>713</v>
          </cell>
          <cell r="M416">
            <v>50086607</v>
          </cell>
          <cell r="N416">
            <v>38512</v>
          </cell>
          <cell r="P416" t="str">
            <v>FN5609D1M029401</v>
          </cell>
          <cell r="Q416" t="str">
            <v>แผ่นรองและสายรัดเป็นสนิม</v>
          </cell>
        </row>
        <row r="417">
          <cell r="A417">
            <v>50140919</v>
          </cell>
          <cell r="B417">
            <v>416</v>
          </cell>
          <cell r="C417" t="str">
            <v>CF01/2</v>
          </cell>
          <cell r="D417" t="str">
            <v>SPCEN-SD</v>
          </cell>
          <cell r="E417" t="str">
            <v>AF3</v>
          </cell>
          <cell r="F417">
            <v>0.7</v>
          </cell>
          <cell r="G417">
            <v>345</v>
          </cell>
          <cell r="H417">
            <v>375</v>
          </cell>
          <cell r="I417" t="str">
            <v>A</v>
          </cell>
          <cell r="K417">
            <v>137</v>
          </cell>
          <cell r="L417">
            <v>97</v>
          </cell>
          <cell r="M417">
            <v>50140919</v>
          </cell>
          <cell r="N417">
            <v>38953</v>
          </cell>
          <cell r="P417" t="str">
            <v>FN6824D1R320703</v>
          </cell>
          <cell r="Q417" t="str">
            <v>สภาพปกติ</v>
          </cell>
        </row>
        <row r="418">
          <cell r="A418">
            <v>50139562</v>
          </cell>
          <cell r="B418">
            <v>417</v>
          </cell>
          <cell r="C418" t="str">
            <v>CF01/2</v>
          </cell>
          <cell r="D418" t="str">
            <v>SPCEN-SD</v>
          </cell>
          <cell r="E418" t="str">
            <v>AF3</v>
          </cell>
          <cell r="F418">
            <v>0.7</v>
          </cell>
          <cell r="G418">
            <v>410</v>
          </cell>
          <cell r="H418">
            <v>460</v>
          </cell>
          <cell r="I418" t="str">
            <v>A</v>
          </cell>
          <cell r="K418">
            <v>117</v>
          </cell>
          <cell r="L418">
            <v>122</v>
          </cell>
          <cell r="M418">
            <v>50139562</v>
          </cell>
          <cell r="N418">
            <v>38938</v>
          </cell>
          <cell r="P418" t="str">
            <v>FN6809D3M280401</v>
          </cell>
          <cell r="Q418" t="str">
            <v>แผ่นรองและสายรัดเป็นสนิม</v>
          </cell>
        </row>
        <row r="419">
          <cell r="A419">
            <v>50122580</v>
          </cell>
          <cell r="B419">
            <v>418</v>
          </cell>
          <cell r="C419" t="str">
            <v>CF01/2</v>
          </cell>
          <cell r="D419" t="str">
            <v>SPCEN-SD</v>
          </cell>
          <cell r="E419" t="str">
            <v>AF3</v>
          </cell>
          <cell r="F419">
            <v>0.8</v>
          </cell>
          <cell r="G419">
            <v>85</v>
          </cell>
          <cell r="H419">
            <v>1219</v>
          </cell>
          <cell r="I419" t="str">
            <v>A</v>
          </cell>
          <cell r="K419">
            <v>43</v>
          </cell>
          <cell r="L419">
            <v>28</v>
          </cell>
          <cell r="M419">
            <v>50122580</v>
          </cell>
          <cell r="N419">
            <v>38792</v>
          </cell>
          <cell r="P419" t="str">
            <v>FN6316D1R830201</v>
          </cell>
          <cell r="Q419" t="str">
            <v>แผ่นรองและสายรัดเป็นสนิม</v>
          </cell>
        </row>
        <row r="420">
          <cell r="A420">
            <v>50131634</v>
          </cell>
          <cell r="B420">
            <v>419</v>
          </cell>
          <cell r="C420" t="str">
            <v>CF01/2</v>
          </cell>
          <cell r="D420" t="str">
            <v>SPCEN-SD</v>
          </cell>
          <cell r="E420" t="str">
            <v>AF3</v>
          </cell>
          <cell r="F420">
            <v>0.8</v>
          </cell>
          <cell r="G420">
            <v>85</v>
          </cell>
          <cell r="H420">
            <v>1219</v>
          </cell>
          <cell r="I420" t="str">
            <v>A</v>
          </cell>
          <cell r="K420">
            <v>105</v>
          </cell>
          <cell r="L420">
            <v>66</v>
          </cell>
          <cell r="M420">
            <v>50131634</v>
          </cell>
          <cell r="N420">
            <v>38871</v>
          </cell>
          <cell r="P420" t="str">
            <v>FN6603D1M057202</v>
          </cell>
          <cell r="Q420" t="str">
            <v>แผ่นรองและสายรัดเป็นสนิม</v>
          </cell>
        </row>
        <row r="421">
          <cell r="A421">
            <v>50127516</v>
          </cell>
          <cell r="B421">
            <v>420</v>
          </cell>
          <cell r="C421" t="str">
            <v>CF01/2</v>
          </cell>
          <cell r="D421" t="str">
            <v>SPCEN-SD</v>
          </cell>
          <cell r="E421" t="str">
            <v>AF3</v>
          </cell>
          <cell r="F421">
            <v>0.8</v>
          </cell>
          <cell r="G421">
            <v>136</v>
          </cell>
          <cell r="H421">
            <v>1219</v>
          </cell>
          <cell r="I421" t="str">
            <v>A</v>
          </cell>
          <cell r="K421">
            <v>547</v>
          </cell>
          <cell r="L421">
            <v>572</v>
          </cell>
          <cell r="M421">
            <v>50127516</v>
          </cell>
          <cell r="N421">
            <v>38834</v>
          </cell>
          <cell r="P421" t="str">
            <v>FN6427D3R965101</v>
          </cell>
          <cell r="Q421" t="str">
            <v>แผ่นรองและสายรัดเป็นสนิม</v>
          </cell>
        </row>
        <row r="422">
          <cell r="A422">
            <v>50122765</v>
          </cell>
          <cell r="B422">
            <v>421</v>
          </cell>
          <cell r="C422" t="str">
            <v>CF01/2</v>
          </cell>
          <cell r="D422" t="str">
            <v>SPCEN-SD</v>
          </cell>
          <cell r="E422" t="str">
            <v>AF3</v>
          </cell>
          <cell r="F422">
            <v>0.8</v>
          </cell>
          <cell r="G422">
            <v>160</v>
          </cell>
          <cell r="H422">
            <v>1124</v>
          </cell>
          <cell r="I422" t="str">
            <v>A</v>
          </cell>
          <cell r="K422">
            <v>15</v>
          </cell>
          <cell r="L422">
            <v>17</v>
          </cell>
          <cell r="M422">
            <v>50122765</v>
          </cell>
          <cell r="N422">
            <v>38793</v>
          </cell>
          <cell r="P422" t="str">
            <v>FN6317D1R841901</v>
          </cell>
          <cell r="Q422" t="str">
            <v>แผ่นรองและสายรัดเป็นสนิม</v>
          </cell>
        </row>
        <row r="423">
          <cell r="A423">
            <v>50133292</v>
          </cell>
          <cell r="B423">
            <v>422</v>
          </cell>
          <cell r="C423" t="str">
            <v>CF01/2</v>
          </cell>
          <cell r="D423" t="str">
            <v>SPCEN-SD</v>
          </cell>
          <cell r="E423" t="str">
            <v>AF3</v>
          </cell>
          <cell r="F423">
            <v>0.8</v>
          </cell>
          <cell r="G423">
            <v>190</v>
          </cell>
          <cell r="H423">
            <v>190</v>
          </cell>
          <cell r="I423" t="str">
            <v>A</v>
          </cell>
          <cell r="K423">
            <v>380</v>
          </cell>
          <cell r="L423">
            <v>83</v>
          </cell>
          <cell r="M423">
            <v>50133292</v>
          </cell>
          <cell r="N423">
            <v>38883</v>
          </cell>
          <cell r="P423" t="str">
            <v>FN6615D1R103801</v>
          </cell>
          <cell r="Q423" t="str">
            <v>แผ่นรองและสายรัดเป็นสนิม</v>
          </cell>
        </row>
        <row r="424">
          <cell r="A424">
            <v>50139124</v>
          </cell>
          <cell r="B424">
            <v>423</v>
          </cell>
          <cell r="C424" t="str">
            <v>CF01/2</v>
          </cell>
          <cell r="D424" t="str">
            <v>SPCEN-SD</v>
          </cell>
          <cell r="E424" t="str">
            <v>AF3</v>
          </cell>
          <cell r="F424">
            <v>0.8</v>
          </cell>
          <cell r="G424">
            <v>310</v>
          </cell>
          <cell r="H424">
            <v>355</v>
          </cell>
          <cell r="I424" t="str">
            <v>A</v>
          </cell>
          <cell r="K424">
            <v>495</v>
          </cell>
          <cell r="L424">
            <v>342</v>
          </cell>
          <cell r="M424">
            <v>50139124</v>
          </cell>
          <cell r="N424">
            <v>38933</v>
          </cell>
          <cell r="P424" t="str">
            <v>FN6804D1RSSSS01</v>
          </cell>
          <cell r="Q424" t="str">
            <v>แผ่นรองและสายรัดเป็นสนิม</v>
          </cell>
        </row>
        <row r="425">
          <cell r="A425">
            <v>50140212</v>
          </cell>
          <cell r="B425">
            <v>424</v>
          </cell>
          <cell r="C425" t="str">
            <v>CF01/2</v>
          </cell>
          <cell r="D425" t="str">
            <v>SPCEN-SD</v>
          </cell>
          <cell r="E425" t="str">
            <v>AF3</v>
          </cell>
          <cell r="F425">
            <v>0.8</v>
          </cell>
          <cell r="G425">
            <v>375</v>
          </cell>
          <cell r="H425">
            <v>390</v>
          </cell>
          <cell r="I425" t="str">
            <v>A</v>
          </cell>
          <cell r="K425">
            <v>19</v>
          </cell>
          <cell r="L425">
            <v>17</v>
          </cell>
          <cell r="M425">
            <v>50140212</v>
          </cell>
          <cell r="N425">
            <v>38947</v>
          </cell>
          <cell r="P425" t="str">
            <v>FN6818N2R300101</v>
          </cell>
          <cell r="Q425" t="str">
            <v>แผ่นรองและสายรัดเป็นสนิม</v>
          </cell>
        </row>
        <row r="426">
          <cell r="A426">
            <v>50140333</v>
          </cell>
          <cell r="B426">
            <v>425</v>
          </cell>
          <cell r="C426" t="str">
            <v>CF01/2</v>
          </cell>
          <cell r="D426" t="str">
            <v>SPCEN-SD</v>
          </cell>
          <cell r="E426" t="str">
            <v>AF3</v>
          </cell>
          <cell r="F426">
            <v>0.8</v>
          </cell>
          <cell r="G426">
            <v>390</v>
          </cell>
          <cell r="H426">
            <v>420</v>
          </cell>
          <cell r="I426" t="str">
            <v>A</v>
          </cell>
          <cell r="K426">
            <v>65</v>
          </cell>
          <cell r="L426">
            <v>67</v>
          </cell>
          <cell r="M426">
            <v>50140333</v>
          </cell>
          <cell r="N426">
            <v>38947</v>
          </cell>
          <cell r="O426" t="str">
            <v>125315SUD007</v>
          </cell>
          <cell r="P426" t="str">
            <v>FN6818D3M300306</v>
          </cell>
          <cell r="Q426" t="str">
            <v>สภาพปกติ</v>
          </cell>
        </row>
        <row r="427">
          <cell r="A427">
            <v>50134588</v>
          </cell>
          <cell r="B427">
            <v>426</v>
          </cell>
          <cell r="C427" t="str">
            <v>CF01/2</v>
          </cell>
          <cell r="D427" t="str">
            <v>SPCEN-SD</v>
          </cell>
          <cell r="E427" t="str">
            <v>AF3</v>
          </cell>
          <cell r="F427">
            <v>0.8</v>
          </cell>
          <cell r="G427">
            <v>390</v>
          </cell>
          <cell r="H427">
            <v>435</v>
          </cell>
          <cell r="I427" t="str">
            <v>A</v>
          </cell>
          <cell r="K427">
            <v>270</v>
          </cell>
          <cell r="L427">
            <v>288</v>
          </cell>
          <cell r="M427">
            <v>50134588</v>
          </cell>
          <cell r="N427">
            <v>38895</v>
          </cell>
          <cell r="P427" t="str">
            <v>FN6627D1M138401</v>
          </cell>
          <cell r="Q427" t="str">
            <v>แผ่นรองและสายรัดเป็นสนิม</v>
          </cell>
        </row>
        <row r="428">
          <cell r="A428">
            <v>50069441</v>
          </cell>
          <cell r="B428">
            <v>427</v>
          </cell>
          <cell r="C428" t="str">
            <v>CF01/2</v>
          </cell>
          <cell r="D428" t="str">
            <v>SPCEN-SD</v>
          </cell>
          <cell r="E428" t="str">
            <v>AF3</v>
          </cell>
          <cell r="F428">
            <v>0.8</v>
          </cell>
          <cell r="G428">
            <v>420</v>
          </cell>
          <cell r="H428">
            <v>420</v>
          </cell>
          <cell r="I428" t="str">
            <v>A</v>
          </cell>
          <cell r="K428">
            <v>364</v>
          </cell>
          <cell r="L428">
            <v>405</v>
          </cell>
          <cell r="M428">
            <v>50069441</v>
          </cell>
          <cell r="N428">
            <v>38384</v>
          </cell>
          <cell r="P428" t="str">
            <v>FN5201D1RSSSS01</v>
          </cell>
          <cell r="Q428" t="str">
            <v>แผ่นรองและสายรัดเป็นสนิม</v>
          </cell>
        </row>
        <row r="429">
          <cell r="A429">
            <v>50069777</v>
          </cell>
          <cell r="B429">
            <v>428</v>
          </cell>
          <cell r="C429" t="str">
            <v>CF01/2</v>
          </cell>
          <cell r="D429" t="str">
            <v>SPCEN-SD</v>
          </cell>
          <cell r="E429" t="str">
            <v>AF3</v>
          </cell>
          <cell r="F429">
            <v>0.8</v>
          </cell>
          <cell r="G429">
            <v>430</v>
          </cell>
          <cell r="H429">
            <v>430</v>
          </cell>
          <cell r="I429" t="str">
            <v>A</v>
          </cell>
          <cell r="K429">
            <v>340</v>
          </cell>
          <cell r="L429">
            <v>394</v>
          </cell>
          <cell r="M429">
            <v>50069777</v>
          </cell>
          <cell r="N429">
            <v>38386</v>
          </cell>
          <cell r="P429" t="str">
            <v>FN5203D1M693301</v>
          </cell>
          <cell r="Q429" t="str">
            <v>กระดาษฉีกขาดและเป็นสนิม</v>
          </cell>
        </row>
        <row r="430">
          <cell r="A430">
            <v>50124540</v>
          </cell>
          <cell r="B430">
            <v>429</v>
          </cell>
          <cell r="C430" t="str">
            <v>CF01/2</v>
          </cell>
          <cell r="D430" t="str">
            <v>SPCEN-SD</v>
          </cell>
          <cell r="E430" t="str">
            <v>AF3</v>
          </cell>
          <cell r="F430">
            <v>0.8</v>
          </cell>
          <cell r="G430">
            <v>153.5</v>
          </cell>
          <cell r="H430">
            <v>12</v>
          </cell>
          <cell r="I430" t="str">
            <v>A</v>
          </cell>
          <cell r="K430">
            <v>82</v>
          </cell>
          <cell r="L430">
            <v>97</v>
          </cell>
          <cell r="M430">
            <v>50124540</v>
          </cell>
          <cell r="N430">
            <v>38804</v>
          </cell>
          <cell r="P430" t="str">
            <v>FN6328D1M850701</v>
          </cell>
          <cell r="Q430" t="str">
            <v>แผ่นรองและสายรัดเป็นสนิม</v>
          </cell>
        </row>
        <row r="431">
          <cell r="A431">
            <v>50133051</v>
          </cell>
          <cell r="B431">
            <v>430</v>
          </cell>
          <cell r="C431" t="str">
            <v>CF01/2</v>
          </cell>
          <cell r="D431" t="str">
            <v>SPCEN-SD</v>
          </cell>
          <cell r="E431" t="str">
            <v>AF3</v>
          </cell>
          <cell r="F431">
            <v>0.9</v>
          </cell>
          <cell r="G431">
            <v>150</v>
          </cell>
          <cell r="H431">
            <v>1219</v>
          </cell>
          <cell r="I431" t="str">
            <v>A</v>
          </cell>
          <cell r="K431">
            <v>19</v>
          </cell>
          <cell r="L431">
            <v>24</v>
          </cell>
          <cell r="M431">
            <v>50133051</v>
          </cell>
          <cell r="N431">
            <v>38881</v>
          </cell>
          <cell r="P431" t="str">
            <v>FN6613D1R102001</v>
          </cell>
          <cell r="Q431" t="str">
            <v>แผ่นรองและสายรัดเป็นสนิม</v>
          </cell>
        </row>
        <row r="432">
          <cell r="A432">
            <v>50111035</v>
          </cell>
          <cell r="B432">
            <v>431</v>
          </cell>
          <cell r="C432" t="str">
            <v>CF01/2</v>
          </cell>
          <cell r="D432" t="str">
            <v>SPCEN-SD</v>
          </cell>
          <cell r="E432" t="str">
            <v>AF3</v>
          </cell>
          <cell r="F432">
            <v>0.9</v>
          </cell>
          <cell r="G432">
            <v>445</v>
          </cell>
          <cell r="H432">
            <v>560</v>
          </cell>
          <cell r="I432" t="str">
            <v>A</v>
          </cell>
          <cell r="K432">
            <v>160</v>
          </cell>
          <cell r="L432">
            <v>282</v>
          </cell>
          <cell r="M432">
            <v>50111035</v>
          </cell>
          <cell r="N432" t="str">
            <v>20/ฉ/2005</v>
          </cell>
          <cell r="P432" t="str">
            <v>FN5C20N3M581801</v>
          </cell>
          <cell r="Q432" t="str">
            <v>แผ่นรองและสายรัดเป็นสนิม</v>
          </cell>
        </row>
        <row r="433">
          <cell r="A433">
            <v>50126575</v>
          </cell>
          <cell r="B433">
            <v>432</v>
          </cell>
          <cell r="C433" t="str">
            <v>CF01/2</v>
          </cell>
          <cell r="D433" t="str">
            <v>SPCEN-SD</v>
          </cell>
          <cell r="E433" t="str">
            <v>AF3</v>
          </cell>
          <cell r="F433">
            <v>0.9</v>
          </cell>
          <cell r="G433">
            <v>530</v>
          </cell>
          <cell r="H433">
            <v>900</v>
          </cell>
          <cell r="I433" t="str">
            <v>A</v>
          </cell>
          <cell r="K433">
            <v>195</v>
          </cell>
          <cell r="L433">
            <v>660</v>
          </cell>
          <cell r="M433">
            <v>50126575</v>
          </cell>
          <cell r="N433">
            <v>38832</v>
          </cell>
          <cell r="P433" t="str">
            <v>FN6425D3R946701</v>
          </cell>
          <cell r="Q433" t="str">
            <v>แผ่นรองและสายรัดเป็นสนิม</v>
          </cell>
        </row>
        <row r="434">
          <cell r="A434">
            <v>50128605</v>
          </cell>
          <cell r="B434">
            <v>433</v>
          </cell>
          <cell r="C434" t="str">
            <v>CF01/2</v>
          </cell>
          <cell r="D434" t="str">
            <v>SPCEN-SD</v>
          </cell>
          <cell r="E434" t="str">
            <v>AF3</v>
          </cell>
          <cell r="F434">
            <v>1</v>
          </cell>
          <cell r="G434">
            <v>320</v>
          </cell>
          <cell r="H434">
            <v>360</v>
          </cell>
          <cell r="I434" t="str">
            <v>A</v>
          </cell>
          <cell r="K434">
            <v>79</v>
          </cell>
          <cell r="L434">
            <v>71</v>
          </cell>
          <cell r="M434">
            <v>50128605</v>
          </cell>
          <cell r="N434">
            <v>38845</v>
          </cell>
          <cell r="P434" t="str">
            <v>FN6508D1RSSSS01</v>
          </cell>
          <cell r="Q434" t="str">
            <v>แผ่นรองและสายรัดเป็นสนิม</v>
          </cell>
        </row>
        <row r="435">
          <cell r="A435">
            <v>50140546</v>
          </cell>
          <cell r="B435">
            <v>434</v>
          </cell>
          <cell r="C435" t="str">
            <v>CF01/2</v>
          </cell>
          <cell r="D435" t="str">
            <v>SPCEN-SD</v>
          </cell>
          <cell r="E435" t="str">
            <v>AF3</v>
          </cell>
          <cell r="F435">
            <v>1</v>
          </cell>
          <cell r="G435">
            <v>342</v>
          </cell>
          <cell r="H435">
            <v>342</v>
          </cell>
          <cell r="I435" t="str">
            <v>A</v>
          </cell>
          <cell r="K435">
            <v>10</v>
          </cell>
          <cell r="L435">
            <v>10</v>
          </cell>
          <cell r="M435">
            <v>50140546</v>
          </cell>
          <cell r="N435">
            <v>38950</v>
          </cell>
          <cell r="P435" t="str">
            <v>FN6821D3R307801</v>
          </cell>
          <cell r="Q435" t="str">
            <v>สภาพปกติ</v>
          </cell>
        </row>
        <row r="436">
          <cell r="A436">
            <v>50098623</v>
          </cell>
          <cell r="B436">
            <v>435</v>
          </cell>
          <cell r="C436" t="str">
            <v>CF01/2</v>
          </cell>
          <cell r="D436" t="str">
            <v>SPCEN-SD</v>
          </cell>
          <cell r="E436" t="str">
            <v>AF3</v>
          </cell>
          <cell r="F436">
            <v>1</v>
          </cell>
          <cell r="G436">
            <v>370</v>
          </cell>
          <cell r="H436">
            <v>1470</v>
          </cell>
          <cell r="I436" t="str">
            <v>A</v>
          </cell>
          <cell r="K436">
            <v>108</v>
          </cell>
          <cell r="L436">
            <v>462</v>
          </cell>
          <cell r="M436">
            <v>50098623</v>
          </cell>
          <cell r="N436">
            <v>38607</v>
          </cell>
          <cell r="P436" t="str">
            <v>FN5912D2R285701</v>
          </cell>
          <cell r="Q436" t="str">
            <v>แผ่นรองและสายรัดเป็นสนิม</v>
          </cell>
        </row>
        <row r="437">
          <cell r="A437">
            <v>50097930</v>
          </cell>
          <cell r="B437">
            <v>436</v>
          </cell>
          <cell r="C437" t="str">
            <v>CF01/2</v>
          </cell>
          <cell r="D437" t="str">
            <v>SPCEN-SD</v>
          </cell>
          <cell r="E437" t="str">
            <v>AF3</v>
          </cell>
          <cell r="F437">
            <v>1</v>
          </cell>
          <cell r="G437">
            <v>390</v>
          </cell>
          <cell r="H437">
            <v>1490</v>
          </cell>
          <cell r="I437" t="str">
            <v>A</v>
          </cell>
          <cell r="K437">
            <v>9</v>
          </cell>
          <cell r="L437">
            <v>41</v>
          </cell>
          <cell r="M437">
            <v>50097930</v>
          </cell>
          <cell r="N437">
            <v>38602</v>
          </cell>
          <cell r="P437" t="str">
            <v>FN5707D2R274301</v>
          </cell>
          <cell r="Q437" t="str">
            <v>แผ่นรองและสายรัดเป็นสนิม</v>
          </cell>
        </row>
        <row r="438">
          <cell r="A438">
            <v>50141022</v>
          </cell>
          <cell r="B438">
            <v>437</v>
          </cell>
          <cell r="C438" t="str">
            <v>CF01/2</v>
          </cell>
          <cell r="D438" t="str">
            <v>SPCEN-SD</v>
          </cell>
          <cell r="E438" t="str">
            <v>AF3</v>
          </cell>
          <cell r="F438">
            <v>1</v>
          </cell>
          <cell r="G438">
            <v>390</v>
          </cell>
          <cell r="H438">
            <v>1490</v>
          </cell>
          <cell r="I438" t="str">
            <v>A</v>
          </cell>
          <cell r="K438">
            <v>21</v>
          </cell>
          <cell r="L438">
            <v>96</v>
          </cell>
          <cell r="M438">
            <v>50141022</v>
          </cell>
          <cell r="N438">
            <v>38954</v>
          </cell>
          <cell r="P438" t="str">
            <v>FN6825N1D324901</v>
          </cell>
          <cell r="Q438" t="str">
            <v>สภาพปกติ</v>
          </cell>
        </row>
        <row r="439">
          <cell r="A439">
            <v>50129602</v>
          </cell>
          <cell r="B439">
            <v>438</v>
          </cell>
          <cell r="C439" t="str">
            <v>CF01/2</v>
          </cell>
          <cell r="D439" t="str">
            <v>SPCEN-SD</v>
          </cell>
          <cell r="E439" t="str">
            <v>AF3</v>
          </cell>
          <cell r="F439">
            <v>1</v>
          </cell>
          <cell r="G439">
            <v>420</v>
          </cell>
          <cell r="H439">
            <v>420</v>
          </cell>
          <cell r="I439" t="str">
            <v>A</v>
          </cell>
          <cell r="K439">
            <v>45</v>
          </cell>
          <cell r="L439">
            <v>62</v>
          </cell>
          <cell r="M439">
            <v>50129602</v>
          </cell>
          <cell r="N439">
            <v>38856</v>
          </cell>
          <cell r="P439" t="str">
            <v>FN6519N1M019301</v>
          </cell>
          <cell r="Q439" t="str">
            <v>แผ่นรองและสายรัดเป็นสนิม</v>
          </cell>
        </row>
        <row r="440">
          <cell r="A440">
            <v>50126178</v>
          </cell>
          <cell r="B440">
            <v>439</v>
          </cell>
          <cell r="C440" t="str">
            <v>CF01/2</v>
          </cell>
          <cell r="D440" t="str">
            <v>SPCEN-SD</v>
          </cell>
          <cell r="E440" t="str">
            <v>AF3</v>
          </cell>
          <cell r="F440">
            <v>1</v>
          </cell>
          <cell r="G440">
            <v>510</v>
          </cell>
          <cell r="H440">
            <v>525</v>
          </cell>
          <cell r="I440" t="str">
            <v>A</v>
          </cell>
          <cell r="K440">
            <v>260</v>
          </cell>
          <cell r="L440">
            <v>546</v>
          </cell>
          <cell r="M440">
            <v>50126178</v>
          </cell>
          <cell r="N440">
            <v>38824</v>
          </cell>
          <cell r="P440" t="str">
            <v>FN6417D3M928401</v>
          </cell>
          <cell r="Q440" t="str">
            <v>แผ่นรองและสายรัดเป็นสนิม</v>
          </cell>
        </row>
        <row r="441">
          <cell r="A441">
            <v>50125755</v>
          </cell>
          <cell r="B441">
            <v>440</v>
          </cell>
          <cell r="C441" t="str">
            <v>CF01/2</v>
          </cell>
          <cell r="D441" t="str">
            <v>SPCEN-SD</v>
          </cell>
          <cell r="E441" t="str">
            <v>AF3</v>
          </cell>
          <cell r="F441">
            <v>1.2</v>
          </cell>
          <cell r="G441">
            <v>380</v>
          </cell>
          <cell r="H441">
            <v>400</v>
          </cell>
          <cell r="I441" t="str">
            <v>A</v>
          </cell>
          <cell r="K441">
            <v>411</v>
          </cell>
          <cell r="L441">
            <v>588</v>
          </cell>
          <cell r="M441">
            <v>50125755</v>
          </cell>
          <cell r="N441">
            <v>38813</v>
          </cell>
          <cell r="P441" t="str">
            <v>FN6406D3M927101</v>
          </cell>
          <cell r="Q441" t="str">
            <v>แผ่นรองและสายรัดเป็นสนิม</v>
          </cell>
        </row>
        <row r="442">
          <cell r="A442">
            <v>50131380</v>
          </cell>
          <cell r="B442">
            <v>441</v>
          </cell>
          <cell r="C442" t="str">
            <v>CF01/2</v>
          </cell>
          <cell r="D442" t="str">
            <v>SPCEN-SD</v>
          </cell>
          <cell r="E442" t="str">
            <v>AF3</v>
          </cell>
          <cell r="F442">
            <v>1.6</v>
          </cell>
          <cell r="G442">
            <v>105</v>
          </cell>
          <cell r="H442">
            <v>1219</v>
          </cell>
          <cell r="I442" t="str">
            <v>A</v>
          </cell>
          <cell r="K442">
            <v>80</v>
          </cell>
          <cell r="L442">
            <v>131</v>
          </cell>
          <cell r="M442">
            <v>50131380</v>
          </cell>
          <cell r="N442">
            <v>38870</v>
          </cell>
          <cell r="P442" t="str">
            <v>FN6602N1M064401</v>
          </cell>
          <cell r="Q442" t="str">
            <v>แผ่นรองและสายรัดเป็นสนิม</v>
          </cell>
        </row>
        <row r="443">
          <cell r="A443">
            <v>50134477</v>
          </cell>
          <cell r="B443">
            <v>442</v>
          </cell>
          <cell r="C443" t="str">
            <v>CF01/2</v>
          </cell>
          <cell r="D443" t="str">
            <v>SPCEN-SD</v>
          </cell>
          <cell r="E443" t="str">
            <v>AF3</v>
          </cell>
          <cell r="F443">
            <v>2</v>
          </cell>
          <cell r="G443">
            <v>105</v>
          </cell>
          <cell r="H443">
            <v>810</v>
          </cell>
          <cell r="I443" t="str">
            <v>A</v>
          </cell>
          <cell r="K443">
            <v>61</v>
          </cell>
          <cell r="L443">
            <v>83</v>
          </cell>
          <cell r="M443">
            <v>50134477</v>
          </cell>
          <cell r="N443">
            <v>38894</v>
          </cell>
          <cell r="P443" t="str">
            <v>FN6626D2R136501</v>
          </cell>
          <cell r="Q443" t="str">
            <v>แผ่นรองและสายรัดเป็นสนิม</v>
          </cell>
        </row>
        <row r="444">
          <cell r="A444">
            <v>50121509</v>
          </cell>
          <cell r="B444">
            <v>443</v>
          </cell>
          <cell r="C444" t="str">
            <v>CF01/2</v>
          </cell>
          <cell r="D444" t="str">
            <v>SPCEN-SD</v>
          </cell>
          <cell r="E444" t="str">
            <v>AF3</v>
          </cell>
          <cell r="F444">
            <v>2</v>
          </cell>
          <cell r="G444">
            <v>148</v>
          </cell>
          <cell r="H444">
            <v>1219</v>
          </cell>
          <cell r="I444" t="str">
            <v>A</v>
          </cell>
          <cell r="K444">
            <v>70</v>
          </cell>
          <cell r="L444">
            <v>198</v>
          </cell>
          <cell r="M444">
            <v>50121509</v>
          </cell>
          <cell r="N444">
            <v>38786</v>
          </cell>
          <cell r="P444" t="str">
            <v>FN6310D1R828301</v>
          </cell>
          <cell r="Q444" t="str">
            <v>แผ่นรองและสายรัดเป็นสนิม</v>
          </cell>
        </row>
        <row r="445">
          <cell r="A445">
            <v>50126275</v>
          </cell>
          <cell r="B445">
            <v>444</v>
          </cell>
          <cell r="C445" t="str">
            <v>CF01/2</v>
          </cell>
          <cell r="D445" t="str">
            <v>SPCEN-SD</v>
          </cell>
          <cell r="E445" t="str">
            <v>AF3</v>
          </cell>
          <cell r="F445">
            <v>2</v>
          </cell>
          <cell r="G445">
            <v>148</v>
          </cell>
          <cell r="H445">
            <v>1219</v>
          </cell>
          <cell r="I445" t="str">
            <v>A</v>
          </cell>
          <cell r="K445">
            <v>18</v>
          </cell>
          <cell r="L445">
            <v>51</v>
          </cell>
          <cell r="M445">
            <v>50126275</v>
          </cell>
          <cell r="N445">
            <v>38825</v>
          </cell>
          <cell r="P445" t="str">
            <v>FN6418D3RQQQQ01</v>
          </cell>
          <cell r="Q445" t="str">
            <v>แผ่นรองและสายรัดเป็นสนิม</v>
          </cell>
        </row>
        <row r="446">
          <cell r="A446">
            <v>50124817</v>
          </cell>
          <cell r="B446">
            <v>445</v>
          </cell>
          <cell r="C446" t="str">
            <v>CF01/2</v>
          </cell>
          <cell r="D446" t="str">
            <v>SPHC P/O</v>
          </cell>
          <cell r="E446" t="str">
            <v>CA1</v>
          </cell>
          <cell r="F446">
            <v>1.2</v>
          </cell>
          <cell r="G446">
            <v>60</v>
          </cell>
          <cell r="H446">
            <v>1219</v>
          </cell>
          <cell r="I446" t="str">
            <v>A</v>
          </cell>
          <cell r="K446">
            <v>20</v>
          </cell>
          <cell r="L446">
            <v>14</v>
          </cell>
          <cell r="M446">
            <v>50124817</v>
          </cell>
          <cell r="N446">
            <v>38806</v>
          </cell>
          <cell r="P446" t="str">
            <v>FN6330D1R886701</v>
          </cell>
          <cell r="Q446" t="str">
            <v>แผ่นรองและสายรัดเป็นสนิม</v>
          </cell>
        </row>
        <row r="447">
          <cell r="A447">
            <v>50091000</v>
          </cell>
          <cell r="B447">
            <v>446</v>
          </cell>
          <cell r="C447" t="str">
            <v>CF01/2</v>
          </cell>
          <cell r="D447" t="str">
            <v>SPHC P/O</v>
          </cell>
          <cell r="E447" t="str">
            <v>CA1</v>
          </cell>
          <cell r="F447">
            <v>1.2</v>
          </cell>
          <cell r="G447">
            <v>175</v>
          </cell>
          <cell r="H447">
            <v>1219</v>
          </cell>
          <cell r="I447" t="str">
            <v>A</v>
          </cell>
          <cell r="K447">
            <v>15</v>
          </cell>
          <cell r="L447">
            <v>50</v>
          </cell>
          <cell r="M447">
            <v>50091000</v>
          </cell>
          <cell r="N447">
            <v>38547</v>
          </cell>
          <cell r="P447" t="str">
            <v>FN5714D1RSSSS01</v>
          </cell>
          <cell r="Q447" t="str">
            <v>แผ่นรองและสายรัดเป็นสนิม</v>
          </cell>
        </row>
        <row r="448">
          <cell r="A448">
            <v>50121415</v>
          </cell>
          <cell r="B448">
            <v>447</v>
          </cell>
          <cell r="C448" t="str">
            <v>CF01/2</v>
          </cell>
          <cell r="D448" t="str">
            <v>SPHC P/O</v>
          </cell>
          <cell r="E448" t="str">
            <v>CA1</v>
          </cell>
          <cell r="F448">
            <v>1.2</v>
          </cell>
          <cell r="G448">
            <v>305</v>
          </cell>
          <cell r="H448">
            <v>510</v>
          </cell>
          <cell r="I448" t="str">
            <v>A</v>
          </cell>
          <cell r="K448">
            <v>128</v>
          </cell>
          <cell r="L448">
            <v>188</v>
          </cell>
          <cell r="M448">
            <v>50121415</v>
          </cell>
          <cell r="N448">
            <v>38785</v>
          </cell>
          <cell r="P448" t="str">
            <v>FN6309N3M804001</v>
          </cell>
          <cell r="Q448" t="str">
            <v>แผ่นรองและสายรัดเป็นสนิม</v>
          </cell>
        </row>
        <row r="449">
          <cell r="A449">
            <v>50103995</v>
          </cell>
          <cell r="B449">
            <v>448</v>
          </cell>
          <cell r="C449" t="str">
            <v>CF01/2</v>
          </cell>
          <cell r="D449" t="str">
            <v>SPHC P/O</v>
          </cell>
          <cell r="E449" t="str">
            <v>CA1</v>
          </cell>
          <cell r="F449">
            <v>1.2</v>
          </cell>
          <cell r="G449">
            <v>370</v>
          </cell>
          <cell r="H449">
            <v>1240</v>
          </cell>
          <cell r="I449" t="str">
            <v>A</v>
          </cell>
          <cell r="K449">
            <v>125</v>
          </cell>
          <cell r="L449">
            <v>540</v>
          </cell>
          <cell r="M449">
            <v>50103995</v>
          </cell>
          <cell r="N449" t="str">
            <v>28/A/2005</v>
          </cell>
          <cell r="P449" t="str">
            <v>FN5A28D1D416101</v>
          </cell>
          <cell r="Q449" t="str">
            <v>แผ่นรองและสายรัดเป็นสนิม</v>
          </cell>
        </row>
        <row r="450">
          <cell r="A450">
            <v>50110876</v>
          </cell>
          <cell r="B450">
            <v>449</v>
          </cell>
          <cell r="C450" t="str">
            <v>CF01/2</v>
          </cell>
          <cell r="D450" t="str">
            <v>SPHC P/O</v>
          </cell>
          <cell r="E450" t="str">
            <v>CA1</v>
          </cell>
          <cell r="F450">
            <v>1.2</v>
          </cell>
          <cell r="G450">
            <v>370</v>
          </cell>
          <cell r="H450">
            <v>1240</v>
          </cell>
          <cell r="I450" t="str">
            <v>A</v>
          </cell>
          <cell r="K450">
            <v>93</v>
          </cell>
          <cell r="L450">
            <v>402</v>
          </cell>
          <cell r="M450">
            <v>50110876</v>
          </cell>
          <cell r="N450" t="str">
            <v>19/C/2005</v>
          </cell>
          <cell r="P450" t="str">
            <v>FN5C19D3RQQQQ01</v>
          </cell>
          <cell r="Q450" t="str">
            <v>แผ่นรองและสายรัดเป็นสนิม</v>
          </cell>
        </row>
        <row r="451">
          <cell r="A451">
            <v>50117018</v>
          </cell>
          <cell r="B451">
            <v>450</v>
          </cell>
          <cell r="C451" t="str">
            <v>CF01/2</v>
          </cell>
          <cell r="D451" t="str">
            <v>SPHC P/O</v>
          </cell>
          <cell r="E451" t="str">
            <v>CA1</v>
          </cell>
          <cell r="F451">
            <v>1.2</v>
          </cell>
          <cell r="G451">
            <v>370</v>
          </cell>
          <cell r="H451">
            <v>1240</v>
          </cell>
          <cell r="I451" t="str">
            <v>A</v>
          </cell>
          <cell r="K451">
            <v>208</v>
          </cell>
          <cell r="L451">
            <v>899</v>
          </cell>
          <cell r="M451">
            <v>50117018</v>
          </cell>
          <cell r="N451">
            <v>38757</v>
          </cell>
          <cell r="P451" t="str">
            <v>FN6209D1D724403</v>
          </cell>
          <cell r="Q451" t="str">
            <v>แผ่นรองและสายรัดเป็นสนิม</v>
          </cell>
        </row>
        <row r="452">
          <cell r="A452">
            <v>50133364</v>
          </cell>
          <cell r="B452">
            <v>451</v>
          </cell>
          <cell r="C452" t="str">
            <v>CF01/2</v>
          </cell>
          <cell r="D452" t="str">
            <v>SPHC P/O</v>
          </cell>
          <cell r="E452" t="str">
            <v>CA1</v>
          </cell>
          <cell r="F452">
            <v>1.4</v>
          </cell>
          <cell r="G452">
            <v>265</v>
          </cell>
          <cell r="H452">
            <v>1219</v>
          </cell>
          <cell r="I452" t="str">
            <v>A</v>
          </cell>
          <cell r="K452">
            <v>17</v>
          </cell>
          <cell r="L452">
            <v>60</v>
          </cell>
          <cell r="M452">
            <v>50133364</v>
          </cell>
          <cell r="N452">
            <v>38883</v>
          </cell>
          <cell r="P452" t="str">
            <v>FN6615D1D106801</v>
          </cell>
          <cell r="Q452" t="str">
            <v>แผ่นรองและสายรัดเป็นสนิม</v>
          </cell>
        </row>
        <row r="453">
          <cell r="A453">
            <v>50129444</v>
          </cell>
          <cell r="B453">
            <v>452</v>
          </cell>
          <cell r="C453" t="str">
            <v>CF01/2</v>
          </cell>
          <cell r="D453" t="str">
            <v>SPHC P/O</v>
          </cell>
          <cell r="E453" t="str">
            <v>CA1</v>
          </cell>
          <cell r="F453">
            <v>1.6</v>
          </cell>
          <cell r="G453">
            <v>48</v>
          </cell>
          <cell r="H453">
            <v>1219</v>
          </cell>
          <cell r="I453" t="str">
            <v>A</v>
          </cell>
          <cell r="K453">
            <v>63</v>
          </cell>
          <cell r="L453">
            <v>46</v>
          </cell>
          <cell r="M453">
            <v>50129444</v>
          </cell>
          <cell r="N453">
            <v>38854</v>
          </cell>
          <cell r="P453" t="str">
            <v>FN6517D1R001201</v>
          </cell>
          <cell r="Q453" t="str">
            <v>แผ่นรองและสายรัดเป็นสนิม</v>
          </cell>
        </row>
        <row r="454">
          <cell r="A454">
            <v>50129442</v>
          </cell>
          <cell r="B454">
            <v>453</v>
          </cell>
          <cell r="C454" t="str">
            <v>CF01/2</v>
          </cell>
          <cell r="D454" t="str">
            <v>SPHC P/O</v>
          </cell>
          <cell r="E454" t="str">
            <v>CA1</v>
          </cell>
          <cell r="F454">
            <v>1.6</v>
          </cell>
          <cell r="G454">
            <v>56</v>
          </cell>
          <cell r="H454">
            <v>1219</v>
          </cell>
          <cell r="I454" t="str">
            <v>A</v>
          </cell>
          <cell r="K454">
            <v>43</v>
          </cell>
          <cell r="L454">
            <v>37</v>
          </cell>
          <cell r="M454">
            <v>50129442</v>
          </cell>
          <cell r="N454">
            <v>38854</v>
          </cell>
          <cell r="P454" t="str">
            <v>FN6517D1R001201</v>
          </cell>
          <cell r="Q454" t="str">
            <v>แผ่นรองและสายรัดเป็นสนิม</v>
          </cell>
        </row>
        <row r="455">
          <cell r="A455">
            <v>50139971</v>
          </cell>
          <cell r="B455">
            <v>454</v>
          </cell>
          <cell r="C455" t="str">
            <v>CF01/2</v>
          </cell>
          <cell r="D455" t="str">
            <v>SPHC P/O</v>
          </cell>
          <cell r="E455" t="str">
            <v>CA1</v>
          </cell>
          <cell r="F455">
            <v>1.6</v>
          </cell>
          <cell r="G455">
            <v>64</v>
          </cell>
          <cell r="H455">
            <v>1219</v>
          </cell>
          <cell r="I455" t="str">
            <v>A</v>
          </cell>
          <cell r="K455">
            <v>57</v>
          </cell>
          <cell r="L455">
            <v>56</v>
          </cell>
          <cell r="M455">
            <v>50139971</v>
          </cell>
          <cell r="N455">
            <v>38944</v>
          </cell>
          <cell r="P455" t="str">
            <v>FN6815D1R2013301</v>
          </cell>
          <cell r="Q455" t="str">
            <v>แผ่นรองและสายรัดเป็นสนิม</v>
          </cell>
        </row>
        <row r="456">
          <cell r="A456">
            <v>50123481</v>
          </cell>
          <cell r="B456">
            <v>455</v>
          </cell>
          <cell r="C456" t="str">
            <v>CF01/2</v>
          </cell>
          <cell r="D456" t="str">
            <v>SPHC P/O</v>
          </cell>
          <cell r="E456" t="str">
            <v>CA1</v>
          </cell>
          <cell r="F456">
            <v>1.6</v>
          </cell>
          <cell r="G456">
            <v>65</v>
          </cell>
          <cell r="H456">
            <v>1219</v>
          </cell>
          <cell r="I456" t="str">
            <v>A</v>
          </cell>
          <cell r="K456">
            <v>210</v>
          </cell>
          <cell r="L456">
            <v>210</v>
          </cell>
          <cell r="M456">
            <v>50123481</v>
          </cell>
          <cell r="N456">
            <v>38798</v>
          </cell>
          <cell r="O456" t="str">
            <v>134913SSD001</v>
          </cell>
          <cell r="P456" t="str">
            <v>FN6322D1M861901</v>
          </cell>
          <cell r="Q456" t="str">
            <v>แผ่นรองและสายรัดเป็นสนิม</v>
          </cell>
        </row>
        <row r="457">
          <cell r="A457">
            <v>50069885</v>
          </cell>
          <cell r="B457">
            <v>456</v>
          </cell>
          <cell r="C457" t="str">
            <v>CF01/2</v>
          </cell>
          <cell r="D457" t="str">
            <v>SPHC P/O</v>
          </cell>
          <cell r="E457" t="str">
            <v>CA1</v>
          </cell>
          <cell r="F457">
            <v>1.6</v>
          </cell>
          <cell r="G457">
            <v>74</v>
          </cell>
          <cell r="H457">
            <v>1219</v>
          </cell>
          <cell r="I457" t="str">
            <v>A</v>
          </cell>
          <cell r="K457">
            <v>30</v>
          </cell>
          <cell r="L457">
            <v>34</v>
          </cell>
          <cell r="M457">
            <v>50069885</v>
          </cell>
          <cell r="N457">
            <v>38387</v>
          </cell>
          <cell r="P457" t="str">
            <v>FN5204D1RSSSS01</v>
          </cell>
          <cell r="Q457" t="str">
            <v>แผ่นรองและสายรัดเป็นสนิม</v>
          </cell>
        </row>
        <row r="458">
          <cell r="A458">
            <v>50060845</v>
          </cell>
          <cell r="B458">
            <v>457</v>
          </cell>
          <cell r="C458" t="str">
            <v>CF01/2</v>
          </cell>
          <cell r="D458" t="str">
            <v>SPHC P/O</v>
          </cell>
          <cell r="E458" t="str">
            <v>CA1</v>
          </cell>
          <cell r="F458">
            <v>1.6</v>
          </cell>
          <cell r="G458">
            <v>160</v>
          </cell>
          <cell r="H458">
            <v>1159</v>
          </cell>
          <cell r="I458" t="str">
            <v>A</v>
          </cell>
          <cell r="K458">
            <v>39</v>
          </cell>
          <cell r="L458">
            <v>90</v>
          </cell>
          <cell r="M458">
            <v>50060845</v>
          </cell>
          <cell r="N458" t="str">
            <v>11/B/2004</v>
          </cell>
          <cell r="P458" t="str">
            <v>FN4B11N1RSSSS01</v>
          </cell>
          <cell r="Q458" t="str">
            <v>กระดาษฉีกขาด</v>
          </cell>
        </row>
        <row r="459">
          <cell r="A459">
            <v>50115330</v>
          </cell>
          <cell r="B459">
            <v>458</v>
          </cell>
          <cell r="C459" t="str">
            <v>CF01/2</v>
          </cell>
          <cell r="D459" t="str">
            <v>SPHC P/O</v>
          </cell>
          <cell r="E459" t="str">
            <v>CA1</v>
          </cell>
          <cell r="F459">
            <v>1.6</v>
          </cell>
          <cell r="G459">
            <v>180</v>
          </cell>
          <cell r="H459">
            <v>1219</v>
          </cell>
          <cell r="I459" t="str">
            <v>A</v>
          </cell>
          <cell r="K459">
            <v>41</v>
          </cell>
          <cell r="L459">
            <v>113</v>
          </cell>
          <cell r="M459">
            <v>50115330</v>
          </cell>
          <cell r="N459">
            <v>38743</v>
          </cell>
          <cell r="P459" t="str">
            <v>FN6126D1R677001</v>
          </cell>
          <cell r="Q459" t="str">
            <v>แผ่นรองและสายรัดเป็นสนิม</v>
          </cell>
        </row>
        <row r="460">
          <cell r="A460">
            <v>50112716</v>
          </cell>
          <cell r="B460">
            <v>459</v>
          </cell>
          <cell r="C460" t="str">
            <v>CF01/2</v>
          </cell>
          <cell r="D460" t="str">
            <v>SPHC P/O</v>
          </cell>
          <cell r="E460" t="str">
            <v>CA1</v>
          </cell>
          <cell r="F460">
            <v>1.6</v>
          </cell>
          <cell r="G460">
            <v>190</v>
          </cell>
          <cell r="H460">
            <v>1219</v>
          </cell>
          <cell r="I460" t="str">
            <v>A</v>
          </cell>
          <cell r="K460">
            <v>17</v>
          </cell>
          <cell r="L460">
            <v>49</v>
          </cell>
          <cell r="M460">
            <v>50112716</v>
          </cell>
          <cell r="N460">
            <v>38723</v>
          </cell>
          <cell r="P460" t="str">
            <v>FN6106D1R609201</v>
          </cell>
          <cell r="Q460" t="str">
            <v>แผ่นรองและสายรัดเป็นสนิม</v>
          </cell>
        </row>
        <row r="461">
          <cell r="A461">
            <v>50113777</v>
          </cell>
          <cell r="B461">
            <v>460</v>
          </cell>
          <cell r="C461" t="str">
            <v>CF01/2</v>
          </cell>
          <cell r="D461" t="str">
            <v>SPHC P/O</v>
          </cell>
          <cell r="E461" t="str">
            <v>CA1</v>
          </cell>
          <cell r="F461">
            <v>1.6</v>
          </cell>
          <cell r="G461">
            <v>190</v>
          </cell>
          <cell r="H461">
            <v>1219</v>
          </cell>
          <cell r="I461" t="str">
            <v>A</v>
          </cell>
          <cell r="K461">
            <v>50</v>
          </cell>
          <cell r="L461">
            <v>145</v>
          </cell>
          <cell r="M461">
            <v>50113777</v>
          </cell>
          <cell r="N461">
            <v>38730</v>
          </cell>
          <cell r="P461" t="str">
            <v>FN6113D1R644902</v>
          </cell>
          <cell r="Q461" t="str">
            <v>แผ่นรองและสายรัดเป็นสนิม</v>
          </cell>
        </row>
        <row r="462">
          <cell r="A462">
            <v>50062588</v>
          </cell>
          <cell r="B462">
            <v>461</v>
          </cell>
          <cell r="C462" t="str">
            <v>CF01/2</v>
          </cell>
          <cell r="D462" t="str">
            <v>SPHC P/O</v>
          </cell>
          <cell r="E462" t="str">
            <v>CA1</v>
          </cell>
          <cell r="F462">
            <v>1.6</v>
          </cell>
          <cell r="G462">
            <v>285</v>
          </cell>
          <cell r="H462">
            <v>415</v>
          </cell>
          <cell r="I462" t="str">
            <v>A</v>
          </cell>
          <cell r="K462">
            <v>141</v>
          </cell>
          <cell r="L462">
            <v>210</v>
          </cell>
          <cell r="M462">
            <v>50062588</v>
          </cell>
          <cell r="N462" t="str">
            <v>29/B/2004</v>
          </cell>
          <cell r="O462" t="str">
            <v>134B16SSD001</v>
          </cell>
          <cell r="P462" t="str">
            <v>FN4B29D1M515601</v>
          </cell>
          <cell r="Q462" t="str">
            <v>แผ่นรองและสายรัดเป็นสนิม</v>
          </cell>
        </row>
        <row r="463">
          <cell r="A463">
            <v>50072781</v>
          </cell>
          <cell r="B463">
            <v>462</v>
          </cell>
          <cell r="C463" t="str">
            <v>CF01/2</v>
          </cell>
          <cell r="D463" t="str">
            <v>SPHC P/O</v>
          </cell>
          <cell r="E463" t="str">
            <v>CA1</v>
          </cell>
          <cell r="F463">
            <v>2</v>
          </cell>
          <cell r="G463">
            <v>46</v>
          </cell>
          <cell r="H463">
            <v>1219</v>
          </cell>
          <cell r="I463" t="str">
            <v>A</v>
          </cell>
          <cell r="K463">
            <v>28</v>
          </cell>
          <cell r="L463">
            <v>25</v>
          </cell>
          <cell r="M463">
            <v>50072781</v>
          </cell>
          <cell r="N463">
            <v>38410</v>
          </cell>
          <cell r="P463" t="str">
            <v>FN5227D1RSSSS01</v>
          </cell>
          <cell r="Q463" t="str">
            <v>แผ่นรองและสายรัดเป็นสนิม</v>
          </cell>
        </row>
        <row r="464">
          <cell r="A464">
            <v>50137067</v>
          </cell>
          <cell r="B464">
            <v>463</v>
          </cell>
          <cell r="C464" t="str">
            <v>CF01/2</v>
          </cell>
          <cell r="D464" t="str">
            <v>SPHC P/O</v>
          </cell>
          <cell r="E464" t="str">
            <v>CA1</v>
          </cell>
          <cell r="F464">
            <v>2</v>
          </cell>
          <cell r="G464">
            <v>65</v>
          </cell>
          <cell r="H464">
            <v>1219</v>
          </cell>
          <cell r="I464" t="str">
            <v>A</v>
          </cell>
          <cell r="K464">
            <v>35</v>
          </cell>
          <cell r="L464">
            <v>43</v>
          </cell>
          <cell r="M464">
            <v>50137067</v>
          </cell>
          <cell r="N464">
            <v>38917</v>
          </cell>
          <cell r="P464" t="str">
            <v>FN6719D1M214501</v>
          </cell>
          <cell r="Q464" t="str">
            <v>แผ่นรองและสายรัดเป็นสนิม</v>
          </cell>
        </row>
        <row r="465">
          <cell r="A465">
            <v>50062972</v>
          </cell>
          <cell r="B465">
            <v>464</v>
          </cell>
          <cell r="C465" t="str">
            <v>CF01/2</v>
          </cell>
          <cell r="D465" t="str">
            <v>SPHC P/O</v>
          </cell>
          <cell r="E465" t="str">
            <v>CA1</v>
          </cell>
          <cell r="F465">
            <v>2</v>
          </cell>
          <cell r="G465">
            <v>75</v>
          </cell>
          <cell r="H465">
            <v>1219</v>
          </cell>
          <cell r="I465" t="str">
            <v>A</v>
          </cell>
          <cell r="K465">
            <v>12</v>
          </cell>
          <cell r="L465">
            <v>17</v>
          </cell>
          <cell r="M465">
            <v>50062972</v>
          </cell>
          <cell r="N465" t="str">
            <v>2/C/2004</v>
          </cell>
          <cell r="P465" t="str">
            <v>FN4C02D1M523201</v>
          </cell>
          <cell r="Q465" t="str">
            <v>แผ่นรองและสายรัดเป็นสนิม</v>
          </cell>
        </row>
        <row r="466">
          <cell r="A466">
            <v>50063507</v>
          </cell>
          <cell r="B466">
            <v>465</v>
          </cell>
          <cell r="C466" t="str">
            <v>CF01/2</v>
          </cell>
          <cell r="D466" t="str">
            <v>SPHC P/O</v>
          </cell>
          <cell r="E466" t="str">
            <v>CA1</v>
          </cell>
          <cell r="F466">
            <v>2</v>
          </cell>
          <cell r="G466">
            <v>80</v>
          </cell>
          <cell r="H466">
            <v>1219</v>
          </cell>
          <cell r="I466" t="str">
            <v>A</v>
          </cell>
          <cell r="K466">
            <v>310</v>
          </cell>
          <cell r="L466">
            <v>474</v>
          </cell>
          <cell r="M466">
            <v>50063507</v>
          </cell>
          <cell r="N466" t="str">
            <v>8/C/2004</v>
          </cell>
          <cell r="P466" t="str">
            <v>FN4C08D1RSSSS01</v>
          </cell>
          <cell r="Q466" t="str">
            <v>กระดาษฉีกขาด</v>
          </cell>
        </row>
        <row r="467">
          <cell r="A467">
            <v>50132072</v>
          </cell>
          <cell r="B467">
            <v>466</v>
          </cell>
          <cell r="C467" t="str">
            <v>CF01/2</v>
          </cell>
          <cell r="D467" t="str">
            <v>SPHC P/O</v>
          </cell>
          <cell r="E467" t="str">
            <v>CA1</v>
          </cell>
          <cell r="F467">
            <v>2</v>
          </cell>
          <cell r="G467">
            <v>110</v>
          </cell>
          <cell r="H467">
            <v>115</v>
          </cell>
          <cell r="I467" t="str">
            <v>A</v>
          </cell>
          <cell r="K467">
            <v>450</v>
          </cell>
          <cell r="L467">
            <v>90</v>
          </cell>
          <cell r="M467">
            <v>50132072</v>
          </cell>
          <cell r="N467">
            <v>38874</v>
          </cell>
          <cell r="P467" t="str">
            <v>FN6606D1M058301</v>
          </cell>
          <cell r="Q467" t="str">
            <v>แผ่นรองและสายรัดเป็นสนิม</v>
          </cell>
        </row>
        <row r="468">
          <cell r="A468">
            <v>50125208</v>
          </cell>
          <cell r="B468">
            <v>467</v>
          </cell>
          <cell r="C468" t="str">
            <v>CF01/2</v>
          </cell>
          <cell r="D468" t="str">
            <v>SPHC P/O</v>
          </cell>
          <cell r="E468" t="str">
            <v>CA1</v>
          </cell>
          <cell r="F468">
            <v>2</v>
          </cell>
          <cell r="G468">
            <v>110</v>
          </cell>
          <cell r="H468">
            <v>1219</v>
          </cell>
          <cell r="I468" t="str">
            <v>A</v>
          </cell>
          <cell r="K468">
            <v>100</v>
          </cell>
          <cell r="L468">
            <v>212</v>
          </cell>
          <cell r="M468">
            <v>50125208</v>
          </cell>
          <cell r="N468">
            <v>38808</v>
          </cell>
          <cell r="P468" t="str">
            <v>FN6401D1R914701</v>
          </cell>
          <cell r="Q468" t="str">
            <v>แผ่นรองและสายรัดเป็นสนิม</v>
          </cell>
        </row>
        <row r="469">
          <cell r="A469">
            <v>50134906</v>
          </cell>
          <cell r="B469">
            <v>468</v>
          </cell>
          <cell r="C469" t="str">
            <v>CF01/2</v>
          </cell>
          <cell r="D469" t="str">
            <v>SPHC P/O</v>
          </cell>
          <cell r="E469" t="str">
            <v>CA1</v>
          </cell>
          <cell r="F469">
            <v>2</v>
          </cell>
          <cell r="G469">
            <v>230</v>
          </cell>
          <cell r="H469">
            <v>1219</v>
          </cell>
          <cell r="I469" t="str">
            <v>A</v>
          </cell>
          <cell r="K469">
            <v>28</v>
          </cell>
          <cell r="L469">
            <v>123</v>
          </cell>
          <cell r="M469">
            <v>50134906</v>
          </cell>
          <cell r="N469">
            <v>38897</v>
          </cell>
          <cell r="P469" t="str">
            <v>FN6629D1D151301</v>
          </cell>
          <cell r="Q469" t="str">
            <v>แผ่นรองและสายรัดเป็นสนิม</v>
          </cell>
        </row>
        <row r="470">
          <cell r="A470">
            <v>50095361</v>
          </cell>
          <cell r="B470">
            <v>469</v>
          </cell>
          <cell r="C470" t="str">
            <v>CF01/2</v>
          </cell>
          <cell r="D470" t="str">
            <v>SPHC P/O</v>
          </cell>
          <cell r="E470" t="str">
            <v>CA1</v>
          </cell>
          <cell r="F470">
            <v>2.2999999999999998</v>
          </cell>
          <cell r="G470">
            <v>77</v>
          </cell>
          <cell r="H470">
            <v>1219</v>
          </cell>
          <cell r="I470" t="str">
            <v>A</v>
          </cell>
          <cell r="K470">
            <v>20</v>
          </cell>
          <cell r="L470">
            <v>34</v>
          </cell>
          <cell r="M470">
            <v>50095361</v>
          </cell>
          <cell r="N470">
            <v>38582</v>
          </cell>
          <cell r="P470" t="str">
            <v>FN5818D1R224301</v>
          </cell>
          <cell r="Q470" t="str">
            <v>แผ่นรองและสายรัดเป็นสนิม</v>
          </cell>
        </row>
        <row r="471">
          <cell r="A471">
            <v>50117844</v>
          </cell>
          <cell r="B471">
            <v>470</v>
          </cell>
          <cell r="C471" t="str">
            <v>CF01/2</v>
          </cell>
          <cell r="D471" t="str">
            <v>SPHC P/O</v>
          </cell>
          <cell r="E471" t="str">
            <v>CA1</v>
          </cell>
          <cell r="F471">
            <v>2.2999999999999998</v>
          </cell>
          <cell r="G471">
            <v>110</v>
          </cell>
          <cell r="H471">
            <v>1219</v>
          </cell>
          <cell r="I471" t="str">
            <v>A</v>
          </cell>
          <cell r="K471">
            <v>25</v>
          </cell>
          <cell r="L471">
            <v>60</v>
          </cell>
          <cell r="M471">
            <v>50117844</v>
          </cell>
          <cell r="N471">
            <v>38764</v>
          </cell>
          <cell r="P471" t="str">
            <v>FN6216D2M740601</v>
          </cell>
          <cell r="Q471" t="str">
            <v>แผ่นรองและสายรัดเป็นสนิม</v>
          </cell>
        </row>
        <row r="472">
          <cell r="A472">
            <v>50119103</v>
          </cell>
          <cell r="B472">
            <v>471</v>
          </cell>
          <cell r="C472" t="str">
            <v>CF01/2</v>
          </cell>
          <cell r="D472" t="str">
            <v>SPHC P/O</v>
          </cell>
          <cell r="E472" t="str">
            <v>CA1</v>
          </cell>
          <cell r="F472">
            <v>2.2999999999999998</v>
          </cell>
          <cell r="G472">
            <v>110</v>
          </cell>
          <cell r="H472">
            <v>1219</v>
          </cell>
          <cell r="I472" t="str">
            <v>A</v>
          </cell>
          <cell r="K472">
            <v>40</v>
          </cell>
          <cell r="L472">
            <v>97</v>
          </cell>
          <cell r="M472">
            <v>50119103</v>
          </cell>
          <cell r="N472">
            <v>38772</v>
          </cell>
          <cell r="P472" t="str">
            <v>FN6224D2M765002</v>
          </cell>
          <cell r="Q472" t="str">
            <v>แผ่นรองและสายรัดเป็นสนิม</v>
          </cell>
        </row>
        <row r="473">
          <cell r="A473">
            <v>50108676</v>
          </cell>
          <cell r="B473">
            <v>472</v>
          </cell>
          <cell r="C473" t="str">
            <v>CF01/2</v>
          </cell>
          <cell r="D473" t="str">
            <v>SPHC P/O</v>
          </cell>
          <cell r="E473" t="str">
            <v>CA1</v>
          </cell>
          <cell r="F473">
            <v>2.2999999999999998</v>
          </cell>
          <cell r="G473">
            <v>152</v>
          </cell>
          <cell r="H473">
            <v>1219</v>
          </cell>
          <cell r="I473" t="str">
            <v>A</v>
          </cell>
          <cell r="K473">
            <v>30</v>
          </cell>
          <cell r="L473">
            <v>100</v>
          </cell>
          <cell r="M473">
            <v>50108676</v>
          </cell>
          <cell r="N473" t="str">
            <v>2/C/2005</v>
          </cell>
          <cell r="P473" t="str">
            <v>FN5C02D1R494101</v>
          </cell>
          <cell r="Q473" t="str">
            <v>แผ่นรองและสายรัดเป็นสนิม</v>
          </cell>
        </row>
        <row r="474">
          <cell r="A474">
            <v>50066384</v>
          </cell>
          <cell r="B474">
            <v>473</v>
          </cell>
          <cell r="C474" t="str">
            <v>CF01/2</v>
          </cell>
          <cell r="D474" t="str">
            <v>SPHC P/O</v>
          </cell>
          <cell r="E474" t="str">
            <v>CA1</v>
          </cell>
          <cell r="F474">
            <v>2.2999999999999998</v>
          </cell>
          <cell r="G474">
            <v>180</v>
          </cell>
          <cell r="H474">
            <v>1219</v>
          </cell>
          <cell r="I474" t="str">
            <v>A</v>
          </cell>
          <cell r="K474">
            <v>8</v>
          </cell>
          <cell r="L474">
            <v>31</v>
          </cell>
          <cell r="M474">
            <v>50066384</v>
          </cell>
          <cell r="N474">
            <v>38360</v>
          </cell>
          <cell r="P474" t="str">
            <v>FN5108D1D616701</v>
          </cell>
          <cell r="Q474" t="str">
            <v>แผ่นรองและสายรัดเป็นสนิม</v>
          </cell>
        </row>
        <row r="475">
          <cell r="A475">
            <v>50060397</v>
          </cell>
          <cell r="B475">
            <v>474</v>
          </cell>
          <cell r="C475" t="str">
            <v>CF01/2</v>
          </cell>
          <cell r="D475" t="str">
            <v>SPHC P/O</v>
          </cell>
          <cell r="E475" t="str">
            <v>CA1</v>
          </cell>
          <cell r="F475">
            <v>2.2999999999999998</v>
          </cell>
          <cell r="G475">
            <v>290</v>
          </cell>
          <cell r="H475">
            <v>1110</v>
          </cell>
          <cell r="I475" t="str">
            <v>A</v>
          </cell>
          <cell r="K475">
            <v>10</v>
          </cell>
          <cell r="L475">
            <v>58</v>
          </cell>
          <cell r="M475">
            <v>50060397</v>
          </cell>
          <cell r="N475" t="str">
            <v>8/B/2004</v>
          </cell>
          <cell r="P475" t="str">
            <v>FN4B08D1M462901</v>
          </cell>
          <cell r="Q475" t="str">
            <v>แผ่นรองและสายรัดเป็นสนิม</v>
          </cell>
        </row>
        <row r="476">
          <cell r="A476">
            <v>50110310</v>
          </cell>
          <cell r="B476">
            <v>475</v>
          </cell>
          <cell r="C476" t="str">
            <v>CF01/2</v>
          </cell>
          <cell r="D476" t="str">
            <v>SPHC P/O</v>
          </cell>
          <cell r="E476" t="str">
            <v>CA1</v>
          </cell>
          <cell r="F476">
            <v>2.6</v>
          </cell>
          <cell r="G476">
            <v>106</v>
          </cell>
          <cell r="H476">
            <v>1219</v>
          </cell>
          <cell r="I476" t="str">
            <v>A</v>
          </cell>
          <cell r="K476">
            <v>13</v>
          </cell>
          <cell r="L476">
            <v>34</v>
          </cell>
          <cell r="M476">
            <v>50110310</v>
          </cell>
          <cell r="N476" t="str">
            <v>15/C/2005</v>
          </cell>
          <cell r="P476" t="str">
            <v>FN5C15D1M566201</v>
          </cell>
          <cell r="Q476" t="str">
            <v>แผ่นรองและสายรัดเป็นสนิม</v>
          </cell>
        </row>
        <row r="477">
          <cell r="A477">
            <v>50126736</v>
          </cell>
          <cell r="B477">
            <v>476</v>
          </cell>
          <cell r="C477" t="str">
            <v>CF01/2</v>
          </cell>
          <cell r="D477" t="str">
            <v>SPHC P/O</v>
          </cell>
          <cell r="E477" t="str">
            <v>CA1</v>
          </cell>
          <cell r="F477">
            <v>2.6</v>
          </cell>
          <cell r="G477">
            <v>120</v>
          </cell>
          <cell r="H477">
            <v>1160</v>
          </cell>
          <cell r="I477" t="str">
            <v>A</v>
          </cell>
          <cell r="L477">
            <v>188</v>
          </cell>
          <cell r="M477">
            <v>50126736</v>
          </cell>
          <cell r="N477">
            <v>38828</v>
          </cell>
          <cell r="O477" t="str">
            <v>135B12NSI007</v>
          </cell>
          <cell r="P477" t="str">
            <v>FN6421D2M934301</v>
          </cell>
          <cell r="Q477" t="str">
            <v>แผ่นรองและสายรัดเป็นสนิม</v>
          </cell>
        </row>
        <row r="478">
          <cell r="A478">
            <v>50087348</v>
          </cell>
          <cell r="B478">
            <v>477</v>
          </cell>
          <cell r="C478" t="str">
            <v>CF01/2</v>
          </cell>
          <cell r="D478" t="str">
            <v>SPHC P/O</v>
          </cell>
          <cell r="E478" t="str">
            <v>CA1</v>
          </cell>
          <cell r="F478">
            <v>2.6</v>
          </cell>
          <cell r="G478">
            <v>140</v>
          </cell>
          <cell r="H478">
            <v>1219</v>
          </cell>
          <cell r="I478" t="str">
            <v>A</v>
          </cell>
          <cell r="K478">
            <v>38</v>
          </cell>
          <cell r="L478">
            <v>131</v>
          </cell>
          <cell r="M478">
            <v>50087348</v>
          </cell>
          <cell r="N478">
            <v>38516</v>
          </cell>
          <cell r="P478" t="str">
            <v>FN5613D1RSSSS01</v>
          </cell>
          <cell r="Q478" t="str">
            <v>กระดาษฉีกขาดและเป็นสนิม</v>
          </cell>
        </row>
        <row r="479">
          <cell r="A479">
            <v>50063505</v>
          </cell>
          <cell r="B479">
            <v>478</v>
          </cell>
          <cell r="C479" t="str">
            <v>CF01/2</v>
          </cell>
          <cell r="D479" t="str">
            <v>SPHC P/O</v>
          </cell>
          <cell r="E479" t="str">
            <v>CA1</v>
          </cell>
          <cell r="F479">
            <v>2.8</v>
          </cell>
          <cell r="G479">
            <v>283</v>
          </cell>
          <cell r="H479">
            <v>1219</v>
          </cell>
          <cell r="I479" t="str">
            <v>A</v>
          </cell>
          <cell r="K479">
            <v>10</v>
          </cell>
          <cell r="L479">
            <v>75</v>
          </cell>
          <cell r="M479">
            <v>50063505</v>
          </cell>
          <cell r="N479" t="str">
            <v>8/C/2004</v>
          </cell>
          <cell r="P479" t="str">
            <v>FN4C08D1RSSSS01</v>
          </cell>
          <cell r="Q479" t="str">
            <v>แผ่นรองและสายรัดเป็นสนิม</v>
          </cell>
        </row>
        <row r="480">
          <cell r="A480">
            <v>50071983</v>
          </cell>
          <cell r="B480">
            <v>479</v>
          </cell>
          <cell r="C480" t="str">
            <v>CF01/2</v>
          </cell>
          <cell r="D480" t="str">
            <v>SPHC P/O</v>
          </cell>
          <cell r="E480" t="str">
            <v>CA1</v>
          </cell>
          <cell r="F480">
            <v>3</v>
          </cell>
          <cell r="G480">
            <v>100</v>
          </cell>
          <cell r="H480">
            <v>1219</v>
          </cell>
          <cell r="I480" t="str">
            <v>A</v>
          </cell>
          <cell r="K480">
            <v>247</v>
          </cell>
          <cell r="L480">
            <v>708</v>
          </cell>
          <cell r="M480">
            <v>50071983</v>
          </cell>
          <cell r="N480">
            <v>38403</v>
          </cell>
          <cell r="P480" t="str">
            <v>FN5220D1RSSSS01</v>
          </cell>
          <cell r="Q480" t="str">
            <v>แผ่นรองและสายรัดเป็นสนิม</v>
          </cell>
        </row>
        <row r="481">
          <cell r="A481">
            <v>50062290</v>
          </cell>
          <cell r="B481">
            <v>480</v>
          </cell>
          <cell r="C481" t="str">
            <v>CF01/2</v>
          </cell>
          <cell r="D481" t="str">
            <v>SPHC P/O</v>
          </cell>
          <cell r="E481" t="str">
            <v>CA1</v>
          </cell>
          <cell r="F481">
            <v>3.2</v>
          </cell>
          <cell r="G481">
            <v>57</v>
          </cell>
          <cell r="H481">
            <v>1219</v>
          </cell>
          <cell r="I481" t="str">
            <v>A</v>
          </cell>
          <cell r="K481">
            <v>10</v>
          </cell>
          <cell r="L481">
            <v>18</v>
          </cell>
          <cell r="M481">
            <v>50062290</v>
          </cell>
          <cell r="N481" t="str">
            <v>26/B/2004</v>
          </cell>
          <cell r="P481" t="str">
            <v>FN4B26D1RSSSS01</v>
          </cell>
          <cell r="Q481" t="str">
            <v>แผ่นรองและสายรัดเป็นสนิม</v>
          </cell>
        </row>
        <row r="482">
          <cell r="A482">
            <v>50085847</v>
          </cell>
          <cell r="B482">
            <v>481</v>
          </cell>
          <cell r="C482" t="str">
            <v>CF01/2</v>
          </cell>
          <cell r="D482" t="str">
            <v>SPHC P/O</v>
          </cell>
          <cell r="E482" t="str">
            <v>CA1</v>
          </cell>
          <cell r="F482">
            <v>3.2</v>
          </cell>
          <cell r="G482">
            <v>64</v>
          </cell>
          <cell r="H482">
            <v>1219</v>
          </cell>
          <cell r="I482" t="str">
            <v>A</v>
          </cell>
          <cell r="K482">
            <v>42</v>
          </cell>
          <cell r="L482">
            <v>82</v>
          </cell>
          <cell r="M482">
            <v>50085847</v>
          </cell>
          <cell r="N482">
            <v>38506</v>
          </cell>
          <cell r="P482" t="str">
            <v>FN5603N2M024401</v>
          </cell>
          <cell r="Q482" t="str">
            <v>แผ่นรองและสายรัดเป็นสนิม</v>
          </cell>
        </row>
        <row r="483">
          <cell r="A483">
            <v>50128548</v>
          </cell>
          <cell r="B483">
            <v>482</v>
          </cell>
          <cell r="C483" t="str">
            <v>CF01/2</v>
          </cell>
          <cell r="D483" t="str">
            <v>SPHC P/O</v>
          </cell>
          <cell r="E483" t="str">
            <v>CA1</v>
          </cell>
          <cell r="F483">
            <v>3.2</v>
          </cell>
          <cell r="G483">
            <v>65</v>
          </cell>
          <cell r="H483">
            <v>1230</v>
          </cell>
          <cell r="I483" t="str">
            <v>A</v>
          </cell>
          <cell r="K483">
            <v>70</v>
          </cell>
          <cell r="L483">
            <v>141</v>
          </cell>
          <cell r="M483">
            <v>50128548</v>
          </cell>
          <cell r="N483">
            <v>38844</v>
          </cell>
          <cell r="P483" t="str">
            <v>FN6507D2M997601</v>
          </cell>
          <cell r="Q483" t="str">
            <v>แผ่นรองและสายรัดเป็นสนิม</v>
          </cell>
        </row>
        <row r="484">
          <cell r="A484">
            <v>50060038</v>
          </cell>
          <cell r="B484">
            <v>483</v>
          </cell>
          <cell r="C484" t="str">
            <v>CF01/2</v>
          </cell>
          <cell r="D484" t="str">
            <v>SPHC P/O</v>
          </cell>
          <cell r="E484" t="str">
            <v>CA1</v>
          </cell>
          <cell r="F484">
            <v>3.2</v>
          </cell>
          <cell r="G484">
            <v>101</v>
          </cell>
          <cell r="H484">
            <v>1219</v>
          </cell>
          <cell r="I484" t="str">
            <v>A</v>
          </cell>
          <cell r="K484">
            <v>50</v>
          </cell>
          <cell r="L484">
            <v>155</v>
          </cell>
          <cell r="M484">
            <v>50060038</v>
          </cell>
          <cell r="N484" t="str">
            <v>5/B/2004</v>
          </cell>
          <cell r="P484" t="str">
            <v>FN4B05N1M448701</v>
          </cell>
          <cell r="Q484" t="str">
            <v>กระดาษฉีกขาด</v>
          </cell>
        </row>
        <row r="485">
          <cell r="A485">
            <v>50064669</v>
          </cell>
          <cell r="B485">
            <v>484</v>
          </cell>
          <cell r="C485" t="str">
            <v>CF01/2</v>
          </cell>
          <cell r="D485" t="str">
            <v>SPHC P/O</v>
          </cell>
          <cell r="E485" t="str">
            <v>CA1</v>
          </cell>
          <cell r="F485">
            <v>3.2</v>
          </cell>
          <cell r="G485">
            <v>110</v>
          </cell>
          <cell r="H485">
            <v>1219</v>
          </cell>
          <cell r="I485" t="str">
            <v>A</v>
          </cell>
          <cell r="K485">
            <v>88</v>
          </cell>
          <cell r="L485">
            <v>296</v>
          </cell>
          <cell r="M485">
            <v>50064669</v>
          </cell>
          <cell r="N485" t="str">
            <v>18/C/2004</v>
          </cell>
          <cell r="P485" t="str">
            <v>FN4C181M572501</v>
          </cell>
          <cell r="Q485" t="str">
            <v>แผ่นรองและสายรัดเป็นสนิม</v>
          </cell>
        </row>
        <row r="486">
          <cell r="A486">
            <v>50104918</v>
          </cell>
          <cell r="B486">
            <v>485</v>
          </cell>
          <cell r="C486" t="str">
            <v>CF01/2</v>
          </cell>
          <cell r="D486" t="str">
            <v>SPHC P/O</v>
          </cell>
          <cell r="E486" t="str">
            <v>CA1</v>
          </cell>
          <cell r="F486">
            <v>3.2</v>
          </cell>
          <cell r="G486">
            <v>125</v>
          </cell>
          <cell r="H486">
            <v>1219</v>
          </cell>
          <cell r="I486" t="str">
            <v>A</v>
          </cell>
          <cell r="K486">
            <v>220</v>
          </cell>
          <cell r="L486">
            <v>842</v>
          </cell>
          <cell r="M486">
            <v>50104918</v>
          </cell>
          <cell r="N486" t="str">
            <v>3/B/2005</v>
          </cell>
          <cell r="P486" t="str">
            <v>FN5B03N2D428401</v>
          </cell>
          <cell r="Q486" t="str">
            <v>กระดาษฉีกขาด</v>
          </cell>
        </row>
        <row r="487">
          <cell r="A487">
            <v>50117271</v>
          </cell>
          <cell r="B487">
            <v>486</v>
          </cell>
          <cell r="C487" t="str">
            <v>CF01/2</v>
          </cell>
          <cell r="D487" t="str">
            <v>SPHC P/O</v>
          </cell>
          <cell r="E487" t="str">
            <v>CA1</v>
          </cell>
          <cell r="F487">
            <v>3.2</v>
          </cell>
          <cell r="G487">
            <v>125</v>
          </cell>
          <cell r="H487">
            <v>1219</v>
          </cell>
          <cell r="I487" t="str">
            <v>A</v>
          </cell>
          <cell r="K487">
            <v>40</v>
          </cell>
          <cell r="L487">
            <v>153</v>
          </cell>
          <cell r="M487">
            <v>50117271</v>
          </cell>
          <cell r="N487">
            <v>38758</v>
          </cell>
          <cell r="P487" t="str">
            <v>FN6210D1R729502</v>
          </cell>
          <cell r="Q487" t="str">
            <v>แผ่นรองและสายรัดเป็นสนิม</v>
          </cell>
        </row>
        <row r="488">
          <cell r="A488">
            <v>50123529</v>
          </cell>
          <cell r="B488">
            <v>487</v>
          </cell>
          <cell r="C488" t="str">
            <v>CF01/2</v>
          </cell>
          <cell r="D488" t="str">
            <v>SPHC P/O</v>
          </cell>
          <cell r="E488" t="str">
            <v>CA1</v>
          </cell>
          <cell r="F488">
            <v>3.2</v>
          </cell>
          <cell r="G488">
            <v>125</v>
          </cell>
          <cell r="H488">
            <v>1219</v>
          </cell>
          <cell r="I488" t="str">
            <v>A</v>
          </cell>
          <cell r="K488">
            <v>82</v>
          </cell>
          <cell r="L488">
            <v>315</v>
          </cell>
          <cell r="M488">
            <v>50123529</v>
          </cell>
          <cell r="N488">
            <v>38798</v>
          </cell>
          <cell r="O488" t="str">
            <v>134B05KTI028</v>
          </cell>
          <cell r="P488" t="str">
            <v>FN6322D3R873803</v>
          </cell>
          <cell r="Q488" t="str">
            <v>แผ่นรองและสายรัดเป็นสนิม</v>
          </cell>
        </row>
        <row r="489">
          <cell r="A489">
            <v>50135420</v>
          </cell>
          <cell r="B489">
            <v>488</v>
          </cell>
          <cell r="C489" t="str">
            <v>CF01/2</v>
          </cell>
          <cell r="D489" t="str">
            <v>SPHC P/O</v>
          </cell>
          <cell r="E489" t="str">
            <v>CA1</v>
          </cell>
          <cell r="F489">
            <v>3.2</v>
          </cell>
          <cell r="G489">
            <v>125</v>
          </cell>
          <cell r="H489">
            <v>1219</v>
          </cell>
          <cell r="I489" t="str">
            <v>A</v>
          </cell>
          <cell r="K489">
            <v>304</v>
          </cell>
          <cell r="L489">
            <v>1164</v>
          </cell>
          <cell r="M489">
            <v>50135420</v>
          </cell>
          <cell r="N489">
            <v>38902</v>
          </cell>
          <cell r="P489" t="str">
            <v>FN6704D1D149104</v>
          </cell>
          <cell r="Q489" t="str">
            <v>กระดาษฉีกขาด</v>
          </cell>
        </row>
        <row r="490">
          <cell r="A490">
            <v>50102748</v>
          </cell>
          <cell r="B490">
            <v>489</v>
          </cell>
          <cell r="C490" t="str">
            <v>CF01/2</v>
          </cell>
          <cell r="D490" t="str">
            <v>SPHC P/O</v>
          </cell>
          <cell r="E490" t="str">
            <v>CA1</v>
          </cell>
          <cell r="F490">
            <v>3.2</v>
          </cell>
          <cell r="G490">
            <v>130</v>
          </cell>
          <cell r="H490">
            <v>1219</v>
          </cell>
          <cell r="I490" t="str">
            <v>A</v>
          </cell>
          <cell r="K490">
            <v>16</v>
          </cell>
          <cell r="L490">
            <v>63</v>
          </cell>
          <cell r="M490">
            <v>50102748</v>
          </cell>
          <cell r="N490" t="str">
            <v>19/A/2005</v>
          </cell>
          <cell r="P490" t="str">
            <v>FN5A19D1R39531</v>
          </cell>
          <cell r="Q490" t="str">
            <v>แผ่นรองและสายรัดเป็นสนิม</v>
          </cell>
        </row>
        <row r="491">
          <cell r="A491">
            <v>50115281</v>
          </cell>
          <cell r="B491">
            <v>490</v>
          </cell>
          <cell r="C491" t="str">
            <v>CF01/2</v>
          </cell>
          <cell r="D491" t="str">
            <v>SPHC P/O</v>
          </cell>
          <cell r="E491" t="str">
            <v>CA1</v>
          </cell>
          <cell r="F491">
            <v>3.2</v>
          </cell>
          <cell r="G491">
            <v>150</v>
          </cell>
          <cell r="H491">
            <v>1219</v>
          </cell>
          <cell r="I491" t="str">
            <v>A</v>
          </cell>
          <cell r="K491">
            <v>76</v>
          </cell>
          <cell r="L491">
            <v>349</v>
          </cell>
          <cell r="M491">
            <v>50115281</v>
          </cell>
          <cell r="N491">
            <v>38743</v>
          </cell>
          <cell r="P491" t="str">
            <v>FN6126N3D680901</v>
          </cell>
          <cell r="Q491" t="str">
            <v>แผ่นรองและสายรัดเป็นสนิม</v>
          </cell>
        </row>
        <row r="492">
          <cell r="A492">
            <v>50137283</v>
          </cell>
          <cell r="B492">
            <v>491</v>
          </cell>
          <cell r="C492" t="str">
            <v>CF01/2</v>
          </cell>
          <cell r="D492" t="str">
            <v>SPHC P/O</v>
          </cell>
          <cell r="E492" t="str">
            <v>CA1</v>
          </cell>
          <cell r="F492">
            <v>3.2</v>
          </cell>
          <cell r="G492">
            <v>150</v>
          </cell>
          <cell r="H492">
            <v>1219</v>
          </cell>
          <cell r="I492" t="str">
            <v>A</v>
          </cell>
          <cell r="K492">
            <v>100</v>
          </cell>
          <cell r="L492">
            <v>459</v>
          </cell>
          <cell r="M492">
            <v>50137283</v>
          </cell>
          <cell r="N492">
            <v>38918</v>
          </cell>
          <cell r="O492" t="str">
            <v>Z34C16JFI001</v>
          </cell>
          <cell r="P492" t="str">
            <v>FN6720D1R216702</v>
          </cell>
          <cell r="Q492" t="str">
            <v>แผ่นรองและสายรัดเป็นสนิม</v>
          </cell>
        </row>
        <row r="493">
          <cell r="A493">
            <v>50128550</v>
          </cell>
          <cell r="B493">
            <v>492</v>
          </cell>
          <cell r="C493" t="str">
            <v>CF01/2</v>
          </cell>
          <cell r="D493" t="str">
            <v>SPHC P/O</v>
          </cell>
          <cell r="E493" t="str">
            <v>CA1</v>
          </cell>
          <cell r="F493">
            <v>3.2</v>
          </cell>
          <cell r="G493">
            <v>161</v>
          </cell>
          <cell r="H493">
            <v>1380</v>
          </cell>
          <cell r="I493" t="str">
            <v>A</v>
          </cell>
          <cell r="K493">
            <v>32</v>
          </cell>
          <cell r="L493">
            <v>180</v>
          </cell>
          <cell r="M493">
            <v>50128550</v>
          </cell>
          <cell r="N493">
            <v>38844</v>
          </cell>
          <cell r="P493" t="str">
            <v>FN6507D2M997601</v>
          </cell>
          <cell r="Q493" t="str">
            <v>แผ่นรองและสายรัดเป็นสนิม</v>
          </cell>
        </row>
        <row r="494">
          <cell r="A494">
            <v>50134848</v>
          </cell>
          <cell r="B494">
            <v>493</v>
          </cell>
          <cell r="C494" t="str">
            <v>CF01/2</v>
          </cell>
          <cell r="D494" t="str">
            <v>SPHC P/O</v>
          </cell>
          <cell r="E494" t="str">
            <v>CA1</v>
          </cell>
          <cell r="F494">
            <v>3.2</v>
          </cell>
          <cell r="G494">
            <v>168</v>
          </cell>
          <cell r="H494">
            <v>1130</v>
          </cell>
          <cell r="I494" t="str">
            <v>A</v>
          </cell>
          <cell r="K494">
            <v>84</v>
          </cell>
          <cell r="L494">
            <v>401</v>
          </cell>
          <cell r="M494">
            <v>50134848</v>
          </cell>
          <cell r="N494">
            <v>38897</v>
          </cell>
          <cell r="P494" t="str">
            <v>FN6629D2M129001</v>
          </cell>
          <cell r="Q494" t="str">
            <v>แผ่นรองและสายรัดเป็นสนิม</v>
          </cell>
        </row>
        <row r="495">
          <cell r="A495">
            <v>50139800</v>
          </cell>
          <cell r="B495">
            <v>494</v>
          </cell>
          <cell r="C495" t="str">
            <v>CF01/2</v>
          </cell>
          <cell r="D495" t="str">
            <v>SPHC P/O</v>
          </cell>
          <cell r="E495" t="str">
            <v>CA1</v>
          </cell>
          <cell r="F495">
            <v>3.2</v>
          </cell>
          <cell r="G495">
            <v>168</v>
          </cell>
          <cell r="H495">
            <v>1130</v>
          </cell>
          <cell r="I495" t="str">
            <v>A</v>
          </cell>
          <cell r="K495">
            <v>70</v>
          </cell>
          <cell r="L495">
            <v>334</v>
          </cell>
          <cell r="M495">
            <v>50139800</v>
          </cell>
          <cell r="N495">
            <v>38940</v>
          </cell>
          <cell r="P495" t="str">
            <v>FN6811D1D290601</v>
          </cell>
          <cell r="Q495" t="str">
            <v>แผ่นรองและสายรัดเป็นสนิม</v>
          </cell>
        </row>
        <row r="496">
          <cell r="A496">
            <v>50107014</v>
          </cell>
          <cell r="B496">
            <v>495</v>
          </cell>
          <cell r="C496" t="str">
            <v>CF01/2</v>
          </cell>
          <cell r="D496" t="str">
            <v>SPHC P/O</v>
          </cell>
          <cell r="E496" t="str">
            <v>CA1</v>
          </cell>
          <cell r="F496">
            <v>3.2</v>
          </cell>
          <cell r="G496">
            <v>240</v>
          </cell>
          <cell r="H496">
            <v>1219</v>
          </cell>
          <cell r="I496" t="str">
            <v>A</v>
          </cell>
          <cell r="K496">
            <v>77</v>
          </cell>
          <cell r="L496">
            <v>566</v>
          </cell>
          <cell r="M496">
            <v>50107014</v>
          </cell>
          <cell r="N496" t="str">
            <v>20/B/2005</v>
          </cell>
          <cell r="O496" t="str">
            <v>134B05KTI025</v>
          </cell>
          <cell r="P496" t="str">
            <v>FN5B20D1D491801</v>
          </cell>
          <cell r="Q496" t="str">
            <v>กระดาษฉีกขาดและเป็นสนิม</v>
          </cell>
        </row>
        <row r="497">
          <cell r="A497">
            <v>50122835</v>
          </cell>
          <cell r="B497">
            <v>496</v>
          </cell>
          <cell r="C497" t="str">
            <v>CF01/2</v>
          </cell>
          <cell r="D497" t="str">
            <v>SPHC P/O</v>
          </cell>
          <cell r="E497" t="str">
            <v>CA1</v>
          </cell>
          <cell r="F497">
            <v>3.2</v>
          </cell>
          <cell r="G497">
            <v>330</v>
          </cell>
          <cell r="H497">
            <v>1300</v>
          </cell>
          <cell r="I497" t="str">
            <v>A</v>
          </cell>
          <cell r="K497">
            <v>24</v>
          </cell>
          <cell r="L497">
            <v>259</v>
          </cell>
          <cell r="M497">
            <v>50122835</v>
          </cell>
          <cell r="N497">
            <v>38793</v>
          </cell>
          <cell r="P497" t="str">
            <v>FN6317D1D853701</v>
          </cell>
          <cell r="Q497" t="str">
            <v>แผ่นรองและสายรัดเป็นสนิม</v>
          </cell>
        </row>
        <row r="498">
          <cell r="A498">
            <v>50125046</v>
          </cell>
          <cell r="B498">
            <v>497</v>
          </cell>
          <cell r="C498" t="str">
            <v>CF01/2</v>
          </cell>
          <cell r="D498" t="str">
            <v>SPHC P/O</v>
          </cell>
          <cell r="E498" t="str">
            <v>CA1</v>
          </cell>
          <cell r="F498">
            <v>3.2</v>
          </cell>
          <cell r="G498">
            <v>405</v>
          </cell>
          <cell r="H498">
            <v>415</v>
          </cell>
          <cell r="I498" t="str">
            <v>A</v>
          </cell>
          <cell r="K498">
            <v>194</v>
          </cell>
          <cell r="L498">
            <v>815</v>
          </cell>
          <cell r="M498">
            <v>50125046</v>
          </cell>
          <cell r="N498">
            <v>38807</v>
          </cell>
          <cell r="P498" t="str">
            <v>FN6331D2M890401</v>
          </cell>
          <cell r="Q498" t="str">
            <v>แผ่นรองและสายรัดเป็นสนิม</v>
          </cell>
        </row>
        <row r="499">
          <cell r="A499">
            <v>50077683</v>
          </cell>
          <cell r="B499">
            <v>498</v>
          </cell>
          <cell r="C499" t="str">
            <v>CF01/2</v>
          </cell>
          <cell r="D499" t="str">
            <v>SPHC P/O</v>
          </cell>
          <cell r="E499" t="str">
            <v>CA1</v>
          </cell>
          <cell r="F499">
            <v>3.6</v>
          </cell>
          <cell r="G499">
            <v>144</v>
          </cell>
          <cell r="H499">
            <v>1219</v>
          </cell>
          <cell r="I499" t="str">
            <v>A</v>
          </cell>
          <cell r="K499">
            <v>52</v>
          </cell>
          <cell r="L499">
            <v>258</v>
          </cell>
          <cell r="M499">
            <v>50077683</v>
          </cell>
          <cell r="N499">
            <v>38446</v>
          </cell>
          <cell r="P499" t="str">
            <v>FN5404D2M865701</v>
          </cell>
          <cell r="Q499" t="str">
            <v>แผ่นรองและสายรัดเป็นสนิม</v>
          </cell>
        </row>
        <row r="500">
          <cell r="A500">
            <v>50106793</v>
          </cell>
          <cell r="B500">
            <v>499</v>
          </cell>
          <cell r="C500" t="str">
            <v>CF01/2</v>
          </cell>
          <cell r="D500" t="str">
            <v>SPHC P/O</v>
          </cell>
          <cell r="E500" t="str">
            <v>CA1</v>
          </cell>
          <cell r="F500">
            <v>4</v>
          </cell>
          <cell r="G500">
            <v>160</v>
          </cell>
          <cell r="H500">
            <v>1219</v>
          </cell>
          <cell r="I500" t="str">
            <v>A</v>
          </cell>
          <cell r="K500">
            <v>75</v>
          </cell>
          <cell r="L500">
            <v>459</v>
          </cell>
          <cell r="M500">
            <v>50106793</v>
          </cell>
          <cell r="N500" t="str">
            <v>18/B/2005</v>
          </cell>
          <cell r="P500" t="str">
            <v>FN5B18D2D487701</v>
          </cell>
          <cell r="Q500" t="str">
            <v>กระดาษฉีกขาดและเป็นสนิม</v>
          </cell>
        </row>
        <row r="501">
          <cell r="A501">
            <v>50108592</v>
          </cell>
          <cell r="B501">
            <v>500</v>
          </cell>
          <cell r="C501" t="str">
            <v>CF01/2</v>
          </cell>
          <cell r="D501" t="str">
            <v>SPHC P/O</v>
          </cell>
          <cell r="E501" t="str">
            <v>CA1</v>
          </cell>
          <cell r="F501">
            <v>4</v>
          </cell>
          <cell r="G501">
            <v>160</v>
          </cell>
          <cell r="H501">
            <v>1219</v>
          </cell>
          <cell r="I501" t="str">
            <v>A</v>
          </cell>
          <cell r="K501">
            <v>84</v>
          </cell>
          <cell r="L501">
            <v>514</v>
          </cell>
          <cell r="M501">
            <v>50108592</v>
          </cell>
          <cell r="N501" t="str">
            <v>1/C/2005</v>
          </cell>
          <cell r="P501" t="str">
            <v>FN5C01N1D528202</v>
          </cell>
          <cell r="Q501" t="str">
            <v>แผ่นรองและสายรัดเป็นสนิม</v>
          </cell>
        </row>
        <row r="502">
          <cell r="A502">
            <v>50128650</v>
          </cell>
          <cell r="B502">
            <v>501</v>
          </cell>
          <cell r="C502" t="str">
            <v>CF01/2</v>
          </cell>
          <cell r="D502" t="str">
            <v>SPHC P/O</v>
          </cell>
          <cell r="E502" t="str">
            <v>CA1</v>
          </cell>
          <cell r="F502">
            <v>4</v>
          </cell>
          <cell r="G502">
            <v>223</v>
          </cell>
          <cell r="H502">
            <v>413</v>
          </cell>
          <cell r="I502" t="str">
            <v>A</v>
          </cell>
          <cell r="K502">
            <v>345</v>
          </cell>
          <cell r="L502">
            <v>997</v>
          </cell>
          <cell r="M502">
            <v>50128650</v>
          </cell>
          <cell r="N502">
            <v>38845</v>
          </cell>
          <cell r="P502" t="str">
            <v>FN6508D2M997801</v>
          </cell>
          <cell r="Q502" t="str">
            <v>แผ่นรองและสายรัดเป็นสนิม</v>
          </cell>
        </row>
        <row r="503">
          <cell r="A503">
            <v>50055725</v>
          </cell>
          <cell r="B503">
            <v>502</v>
          </cell>
          <cell r="C503" t="str">
            <v>CF01/2</v>
          </cell>
          <cell r="D503" t="str">
            <v>SPHC P/O</v>
          </cell>
          <cell r="E503" t="str">
            <v>CA1</v>
          </cell>
          <cell r="F503">
            <v>4.5</v>
          </cell>
          <cell r="G503">
            <v>64</v>
          </cell>
          <cell r="H503">
            <v>1219</v>
          </cell>
          <cell r="I503" t="str">
            <v>A</v>
          </cell>
          <cell r="K503">
            <v>300</v>
          </cell>
          <cell r="L503">
            <v>828</v>
          </cell>
          <cell r="M503">
            <v>50055725</v>
          </cell>
          <cell r="N503">
            <v>38255</v>
          </cell>
          <cell r="P503" t="str">
            <v>FN4925D2D334901</v>
          </cell>
          <cell r="Q503" t="str">
            <v>แผ่นรองและสายรัดเป็นสนิม</v>
          </cell>
        </row>
        <row r="504">
          <cell r="A504">
            <v>50110164</v>
          </cell>
          <cell r="B504">
            <v>503</v>
          </cell>
          <cell r="C504" t="str">
            <v>CF01/2</v>
          </cell>
          <cell r="D504" t="str">
            <v>SPHC P/O</v>
          </cell>
          <cell r="E504" t="str">
            <v>CA1</v>
          </cell>
          <cell r="F504">
            <v>4.5</v>
          </cell>
          <cell r="G504">
            <v>72</v>
          </cell>
          <cell r="H504">
            <v>1219</v>
          </cell>
          <cell r="I504" t="str">
            <v>A</v>
          </cell>
          <cell r="K504">
            <v>14</v>
          </cell>
          <cell r="L504">
            <v>43</v>
          </cell>
          <cell r="M504">
            <v>50110164</v>
          </cell>
          <cell r="N504" t="str">
            <v>14/C/2005</v>
          </cell>
          <cell r="P504" t="str">
            <v>FN5C14D1R576201</v>
          </cell>
          <cell r="Q504" t="str">
            <v>แผ่นรองและสายรัดเป็นสนิม</v>
          </cell>
        </row>
        <row r="505">
          <cell r="A505">
            <v>50133932</v>
          </cell>
          <cell r="B505">
            <v>504</v>
          </cell>
          <cell r="C505" t="str">
            <v>CF01/2</v>
          </cell>
          <cell r="D505" t="str">
            <v>SPHC P/O</v>
          </cell>
          <cell r="E505" t="str">
            <v>CA1</v>
          </cell>
          <cell r="F505">
            <v>4.5</v>
          </cell>
          <cell r="G505">
            <v>72</v>
          </cell>
          <cell r="H505">
            <v>1219</v>
          </cell>
          <cell r="I505" t="str">
            <v>A</v>
          </cell>
          <cell r="K505">
            <v>50</v>
          </cell>
          <cell r="L505">
            <v>155</v>
          </cell>
          <cell r="M505">
            <v>50133932</v>
          </cell>
          <cell r="N505">
            <v>38888</v>
          </cell>
          <cell r="P505" t="str">
            <v>FN6620D1R107502</v>
          </cell>
          <cell r="Q505" t="str">
            <v>แผ่นรองและสายรัดเป็นสนิม</v>
          </cell>
        </row>
        <row r="506">
          <cell r="A506">
            <v>50133934</v>
          </cell>
          <cell r="B506">
            <v>505</v>
          </cell>
          <cell r="C506" t="str">
            <v>CF01/2</v>
          </cell>
          <cell r="D506" t="str">
            <v>SPHC P/O</v>
          </cell>
          <cell r="E506" t="str">
            <v>CA1</v>
          </cell>
          <cell r="F506">
            <v>4.5</v>
          </cell>
          <cell r="G506">
            <v>81</v>
          </cell>
          <cell r="H506">
            <v>1219</v>
          </cell>
          <cell r="I506" t="str">
            <v>A</v>
          </cell>
          <cell r="K506">
            <v>24</v>
          </cell>
          <cell r="L506">
            <v>84</v>
          </cell>
          <cell r="M506">
            <v>50133934</v>
          </cell>
          <cell r="N506">
            <v>38888</v>
          </cell>
          <cell r="P506" t="str">
            <v>FN6620D1R107601</v>
          </cell>
          <cell r="Q506" t="str">
            <v>แผ่นรองและสายรัดเป็นสนิม</v>
          </cell>
        </row>
        <row r="507">
          <cell r="A507">
            <v>50064510</v>
          </cell>
          <cell r="B507">
            <v>506</v>
          </cell>
          <cell r="C507" t="str">
            <v>CF01/2</v>
          </cell>
          <cell r="D507" t="str">
            <v>SPHC P/O</v>
          </cell>
          <cell r="E507" t="str">
            <v>CA1</v>
          </cell>
          <cell r="F507">
            <v>4.5</v>
          </cell>
          <cell r="G507">
            <v>83</v>
          </cell>
          <cell r="H507">
            <v>1219</v>
          </cell>
          <cell r="I507" t="str">
            <v>A</v>
          </cell>
          <cell r="K507">
            <v>27</v>
          </cell>
          <cell r="L507">
            <v>96</v>
          </cell>
          <cell r="M507">
            <v>50064510</v>
          </cell>
          <cell r="N507" t="str">
            <v>15/C/2004</v>
          </cell>
          <cell r="P507" t="str">
            <v>FN4C15D1RSSSS01</v>
          </cell>
          <cell r="Q507" t="str">
            <v>แผ่นรองและสายรัดเป็นสนิม</v>
          </cell>
        </row>
        <row r="508">
          <cell r="A508">
            <v>50067233</v>
          </cell>
          <cell r="B508">
            <v>507</v>
          </cell>
          <cell r="C508" t="str">
            <v>CF01/2</v>
          </cell>
          <cell r="D508" t="str">
            <v>SPHC P/O</v>
          </cell>
          <cell r="E508" t="str">
            <v>CA1</v>
          </cell>
          <cell r="F508">
            <v>4.5</v>
          </cell>
          <cell r="G508">
            <v>83</v>
          </cell>
          <cell r="H508">
            <v>1219</v>
          </cell>
          <cell r="I508" t="str">
            <v>A</v>
          </cell>
          <cell r="K508">
            <v>20</v>
          </cell>
          <cell r="L508">
            <v>72</v>
          </cell>
          <cell r="M508">
            <v>50067233</v>
          </cell>
          <cell r="N508">
            <v>38366</v>
          </cell>
          <cell r="P508" t="str">
            <v>FN5114N1RSSSS02</v>
          </cell>
          <cell r="Q508" t="str">
            <v>แผ่นรองและสายรัดเป็นสนิม</v>
          </cell>
        </row>
        <row r="509">
          <cell r="A509">
            <v>50166266</v>
          </cell>
          <cell r="B509">
            <v>508</v>
          </cell>
          <cell r="C509" t="str">
            <v>CF01/2</v>
          </cell>
          <cell r="D509" t="str">
            <v>SPHC P/O</v>
          </cell>
          <cell r="E509" t="str">
            <v>CA1</v>
          </cell>
          <cell r="F509">
            <v>4.5</v>
          </cell>
          <cell r="G509">
            <v>87</v>
          </cell>
          <cell r="H509">
            <v>1219</v>
          </cell>
          <cell r="I509" t="str">
            <v>A</v>
          </cell>
          <cell r="K509">
            <v>12</v>
          </cell>
          <cell r="L509">
            <v>45</v>
          </cell>
          <cell r="M509">
            <v>50166266</v>
          </cell>
          <cell r="N509">
            <v>38751</v>
          </cell>
          <cell r="P509" t="str">
            <v>FN6203D1R707601</v>
          </cell>
          <cell r="Q509" t="str">
            <v>สภาพปกติ</v>
          </cell>
        </row>
        <row r="510">
          <cell r="A510">
            <v>50128013</v>
          </cell>
          <cell r="B510">
            <v>509</v>
          </cell>
          <cell r="C510" t="str">
            <v>CF01/2</v>
          </cell>
          <cell r="D510" t="str">
            <v>SPHC P/O</v>
          </cell>
          <cell r="E510" t="str">
            <v>CA1</v>
          </cell>
          <cell r="F510">
            <v>4.5</v>
          </cell>
          <cell r="G510">
            <v>87</v>
          </cell>
          <cell r="H510">
            <v>1219</v>
          </cell>
          <cell r="I510" t="str">
            <v>A</v>
          </cell>
          <cell r="K510">
            <v>46</v>
          </cell>
          <cell r="L510">
            <v>173</v>
          </cell>
          <cell r="M510">
            <v>50128013</v>
          </cell>
          <cell r="N510">
            <v>38840</v>
          </cell>
          <cell r="P510" t="str">
            <v>FN6503D2M975801</v>
          </cell>
          <cell r="Q510" t="str">
            <v>แผ่นรองและสายรัดเป็นสนิม</v>
          </cell>
        </row>
        <row r="511">
          <cell r="A511">
            <v>50102903</v>
          </cell>
          <cell r="B511">
            <v>510</v>
          </cell>
          <cell r="C511" t="str">
            <v>CF01/2</v>
          </cell>
          <cell r="D511" t="str">
            <v>SPHC P/O</v>
          </cell>
          <cell r="E511" t="str">
            <v>CA1</v>
          </cell>
          <cell r="F511">
            <v>4.5</v>
          </cell>
          <cell r="G511">
            <v>99</v>
          </cell>
          <cell r="H511">
            <v>1219</v>
          </cell>
          <cell r="I511" t="str">
            <v>A</v>
          </cell>
          <cell r="K511">
            <v>27</v>
          </cell>
          <cell r="L511">
            <v>115</v>
          </cell>
          <cell r="M511">
            <v>50102903</v>
          </cell>
          <cell r="N511" t="str">
            <v>20/A/2005</v>
          </cell>
          <cell r="P511" t="str">
            <v>FN5A20D1R397001</v>
          </cell>
          <cell r="Q511" t="str">
            <v>แผ่นรองและสายรัดเป็นสนิม</v>
          </cell>
        </row>
        <row r="512">
          <cell r="A512">
            <v>50112283</v>
          </cell>
          <cell r="B512">
            <v>511</v>
          </cell>
          <cell r="C512" t="str">
            <v>CF01/2</v>
          </cell>
          <cell r="D512" t="str">
            <v>SPHC P/O</v>
          </cell>
          <cell r="E512" t="str">
            <v>CA1</v>
          </cell>
          <cell r="F512">
            <v>4.5</v>
          </cell>
          <cell r="G512">
            <v>99</v>
          </cell>
          <cell r="H512">
            <v>1219</v>
          </cell>
          <cell r="I512" t="str">
            <v>A</v>
          </cell>
          <cell r="K512">
            <v>7</v>
          </cell>
          <cell r="L512">
            <v>30</v>
          </cell>
          <cell r="M512">
            <v>50112283</v>
          </cell>
          <cell r="N512" t="str">
            <v>28/C/2005</v>
          </cell>
          <cell r="P512" t="str">
            <v>FN5028D1R605801</v>
          </cell>
          <cell r="Q512" t="str">
            <v>แผ่นรองและสายรัดเป็นสนิม</v>
          </cell>
        </row>
        <row r="513">
          <cell r="A513">
            <v>50128654</v>
          </cell>
          <cell r="B513">
            <v>512</v>
          </cell>
          <cell r="C513" t="str">
            <v>CF01/2</v>
          </cell>
          <cell r="D513" t="str">
            <v>SPHC P/O</v>
          </cell>
          <cell r="E513" t="str">
            <v>CA1</v>
          </cell>
          <cell r="F513">
            <v>4.5</v>
          </cell>
          <cell r="G513">
            <v>99</v>
          </cell>
          <cell r="H513">
            <v>1219</v>
          </cell>
          <cell r="I513" t="str">
            <v>A</v>
          </cell>
          <cell r="K513">
            <v>15</v>
          </cell>
          <cell r="L513">
            <v>64</v>
          </cell>
          <cell r="M513">
            <v>50128654</v>
          </cell>
          <cell r="N513">
            <v>38852</v>
          </cell>
          <cell r="P513" t="str">
            <v>FN6515N2M975501</v>
          </cell>
          <cell r="Q513" t="str">
            <v>แผ่นรองและสายรัดเป็นสนิม</v>
          </cell>
        </row>
        <row r="514">
          <cell r="A514">
            <v>50127862</v>
          </cell>
          <cell r="B514">
            <v>513</v>
          </cell>
          <cell r="C514" t="str">
            <v>CF01/2</v>
          </cell>
          <cell r="D514" t="str">
            <v>SPHC P/O</v>
          </cell>
          <cell r="E514" t="str">
            <v>CA1</v>
          </cell>
          <cell r="F514">
            <v>4.5</v>
          </cell>
          <cell r="G514">
            <v>124</v>
          </cell>
          <cell r="H514">
            <v>1219</v>
          </cell>
          <cell r="I514" t="str">
            <v>A</v>
          </cell>
          <cell r="K514">
            <v>24</v>
          </cell>
          <cell r="L514">
            <v>128</v>
          </cell>
          <cell r="M514">
            <v>50127862</v>
          </cell>
          <cell r="N514">
            <v>38839</v>
          </cell>
          <cell r="P514" t="str">
            <v>FN6502D1R972001</v>
          </cell>
          <cell r="Q514" t="str">
            <v>สภาพปกติ</v>
          </cell>
        </row>
        <row r="515">
          <cell r="A515">
            <v>50132111</v>
          </cell>
          <cell r="B515">
            <v>514</v>
          </cell>
          <cell r="C515" t="str">
            <v>CF01/2</v>
          </cell>
          <cell r="D515" t="str">
            <v>SPHC P/O</v>
          </cell>
          <cell r="E515" t="str">
            <v>CA1</v>
          </cell>
          <cell r="F515">
            <v>4.5</v>
          </cell>
          <cell r="G515">
            <v>124</v>
          </cell>
          <cell r="H515">
            <v>1219</v>
          </cell>
          <cell r="I515" t="str">
            <v>A</v>
          </cell>
          <cell r="K515">
            <v>20</v>
          </cell>
          <cell r="L515">
            <v>108</v>
          </cell>
          <cell r="M515">
            <v>50132111</v>
          </cell>
          <cell r="N515">
            <v>38874</v>
          </cell>
          <cell r="P515" t="str">
            <v>FN6606D2M066902</v>
          </cell>
          <cell r="Q515" t="str">
            <v>แผ่นรองและสายรัดเป็นสนิม</v>
          </cell>
        </row>
        <row r="516">
          <cell r="A516">
            <v>50137754</v>
          </cell>
          <cell r="B516">
            <v>515</v>
          </cell>
          <cell r="C516" t="str">
            <v>CF01/2</v>
          </cell>
          <cell r="D516" t="str">
            <v>SPHC P/O</v>
          </cell>
          <cell r="E516" t="str">
            <v>CA1</v>
          </cell>
          <cell r="F516">
            <v>4.5</v>
          </cell>
          <cell r="G516">
            <v>124</v>
          </cell>
          <cell r="H516">
            <v>1219</v>
          </cell>
          <cell r="I516" t="str">
            <v>A</v>
          </cell>
          <cell r="K516">
            <v>6</v>
          </cell>
          <cell r="L516">
            <v>32</v>
          </cell>
          <cell r="M516">
            <v>50137754</v>
          </cell>
          <cell r="N516">
            <v>38923</v>
          </cell>
          <cell r="P516" t="str">
            <v>FN6725D1R233703</v>
          </cell>
          <cell r="Q516" t="str">
            <v>แผ่นรองและสายรัดเป็นสนิม</v>
          </cell>
        </row>
        <row r="517">
          <cell r="A517">
            <v>50138628</v>
          </cell>
          <cell r="B517">
            <v>516</v>
          </cell>
          <cell r="C517" t="str">
            <v>CF01/2</v>
          </cell>
          <cell r="D517" t="str">
            <v>SPHC P/O</v>
          </cell>
          <cell r="E517" t="str">
            <v>CA1</v>
          </cell>
          <cell r="F517">
            <v>4.5</v>
          </cell>
          <cell r="G517">
            <v>124</v>
          </cell>
          <cell r="H517">
            <v>1219</v>
          </cell>
          <cell r="I517" t="str">
            <v>A</v>
          </cell>
          <cell r="K517">
            <v>7</v>
          </cell>
          <cell r="L517">
            <v>37</v>
          </cell>
          <cell r="M517">
            <v>50138628</v>
          </cell>
          <cell r="N517">
            <v>38930</v>
          </cell>
          <cell r="P517" t="str">
            <v>FN6801D2M255604</v>
          </cell>
          <cell r="Q517" t="str">
            <v>แผ่นรองและสายรัดเป็นสนิม</v>
          </cell>
        </row>
        <row r="518">
          <cell r="A518">
            <v>50141169</v>
          </cell>
          <cell r="B518">
            <v>517</v>
          </cell>
          <cell r="C518" t="str">
            <v>CF01/2</v>
          </cell>
          <cell r="D518" t="str">
            <v>SPHC P/O</v>
          </cell>
          <cell r="E518" t="str">
            <v>CA1</v>
          </cell>
          <cell r="F518">
            <v>4.5</v>
          </cell>
          <cell r="G518">
            <v>124</v>
          </cell>
          <cell r="H518">
            <v>1219</v>
          </cell>
          <cell r="I518" t="str">
            <v>A</v>
          </cell>
          <cell r="K518">
            <v>39</v>
          </cell>
          <cell r="L518">
            <v>207</v>
          </cell>
          <cell r="M518">
            <v>50141169</v>
          </cell>
          <cell r="N518">
            <v>38957</v>
          </cell>
          <cell r="P518" t="str">
            <v>FN6828D2M318805</v>
          </cell>
          <cell r="Q518" t="str">
            <v>แผ่นรองและสายรัดเป็นสนิม</v>
          </cell>
        </row>
        <row r="519">
          <cell r="A519">
            <v>50082397</v>
          </cell>
          <cell r="B519">
            <v>518</v>
          </cell>
          <cell r="C519" t="str">
            <v>CF01/2</v>
          </cell>
          <cell r="D519" t="str">
            <v>SPHC P/O</v>
          </cell>
          <cell r="E519" t="str">
            <v>CA1</v>
          </cell>
          <cell r="F519">
            <v>4.5</v>
          </cell>
          <cell r="G519">
            <v>130</v>
          </cell>
          <cell r="H519">
            <v>1219</v>
          </cell>
          <cell r="I519" t="str">
            <v>A</v>
          </cell>
          <cell r="K519">
            <v>87</v>
          </cell>
          <cell r="L519">
            <v>487</v>
          </cell>
          <cell r="M519">
            <v>50082397</v>
          </cell>
          <cell r="N519">
            <v>38483</v>
          </cell>
          <cell r="P519" t="str">
            <v>FN5511N2M945001</v>
          </cell>
          <cell r="Q519" t="str">
            <v>แผ่นรองและสายรัดเป็นสนิม</v>
          </cell>
        </row>
        <row r="520">
          <cell r="A520">
            <v>50082493</v>
          </cell>
          <cell r="B520">
            <v>519</v>
          </cell>
          <cell r="C520" t="str">
            <v>CF01/2</v>
          </cell>
          <cell r="D520" t="str">
            <v>SPHC P/O</v>
          </cell>
          <cell r="E520" t="str">
            <v>CA1</v>
          </cell>
          <cell r="F520">
            <v>4.5</v>
          </cell>
          <cell r="G520">
            <v>130</v>
          </cell>
          <cell r="H520">
            <v>1219</v>
          </cell>
          <cell r="I520" t="str">
            <v>A</v>
          </cell>
          <cell r="K520">
            <v>34</v>
          </cell>
          <cell r="L520">
            <v>190</v>
          </cell>
          <cell r="M520">
            <v>50082493</v>
          </cell>
          <cell r="N520">
            <v>38483</v>
          </cell>
          <cell r="P520" t="str">
            <v>FN5511D1RSSSS02</v>
          </cell>
          <cell r="Q520" t="str">
            <v>แผ่นรองและสายรัดเป็นสนิม</v>
          </cell>
        </row>
        <row r="521">
          <cell r="A521">
            <v>50099645</v>
          </cell>
          <cell r="B521">
            <v>520</v>
          </cell>
          <cell r="C521" t="str">
            <v>CF01/2</v>
          </cell>
          <cell r="D521" t="str">
            <v>SPHC P/O</v>
          </cell>
          <cell r="E521" t="str">
            <v>CA1</v>
          </cell>
          <cell r="F521">
            <v>4.5</v>
          </cell>
          <cell r="G521">
            <v>130</v>
          </cell>
          <cell r="H521">
            <v>1219</v>
          </cell>
          <cell r="I521" t="str">
            <v>A</v>
          </cell>
          <cell r="K521">
            <v>64</v>
          </cell>
          <cell r="L521">
            <v>358</v>
          </cell>
          <cell r="M521">
            <v>50099645</v>
          </cell>
          <cell r="N521">
            <v>38619</v>
          </cell>
          <cell r="P521" t="str">
            <v>FN5924D1D315901</v>
          </cell>
          <cell r="Q521" t="str">
            <v>กระดาษฉีกขาดและเป็นสนิม</v>
          </cell>
        </row>
        <row r="522">
          <cell r="A522">
            <v>50072846</v>
          </cell>
          <cell r="B522">
            <v>521</v>
          </cell>
          <cell r="C522" t="str">
            <v>CF01/2</v>
          </cell>
          <cell r="D522" t="str">
            <v>SPHC P/O</v>
          </cell>
          <cell r="E522" t="str">
            <v>CA1</v>
          </cell>
          <cell r="F522">
            <v>4.5</v>
          </cell>
          <cell r="G522">
            <v>135</v>
          </cell>
          <cell r="H522">
            <v>121</v>
          </cell>
          <cell r="I522" t="str">
            <v>A</v>
          </cell>
          <cell r="K522">
            <v>112</v>
          </cell>
          <cell r="L522">
            <v>651</v>
          </cell>
          <cell r="M522">
            <v>50072846</v>
          </cell>
          <cell r="N522">
            <v>38411</v>
          </cell>
          <cell r="P522" t="str">
            <v>FN5228D3D765701</v>
          </cell>
          <cell r="Q522" t="str">
            <v>กระดาษฉีกขาด</v>
          </cell>
        </row>
        <row r="523">
          <cell r="A523">
            <v>50096791</v>
          </cell>
          <cell r="B523">
            <v>522</v>
          </cell>
          <cell r="C523" t="str">
            <v>CF01/2</v>
          </cell>
          <cell r="D523" t="str">
            <v>SPHC P/O</v>
          </cell>
          <cell r="E523" t="str">
            <v>CA1</v>
          </cell>
          <cell r="F523">
            <v>4.5</v>
          </cell>
          <cell r="G523">
            <v>145</v>
          </cell>
          <cell r="H523">
            <v>1219</v>
          </cell>
          <cell r="I523" t="str">
            <v>A</v>
          </cell>
          <cell r="K523">
            <v>7</v>
          </cell>
          <cell r="L523">
            <v>43</v>
          </cell>
          <cell r="M523">
            <v>50096791</v>
          </cell>
          <cell r="N523">
            <v>38594</v>
          </cell>
          <cell r="P523" t="str">
            <v>FN5830D1R247801</v>
          </cell>
          <cell r="Q523" t="str">
            <v>แผ่นรองและสายรัดเป็นสนิม</v>
          </cell>
        </row>
        <row r="524">
          <cell r="A524">
            <v>50118805</v>
          </cell>
          <cell r="B524">
            <v>523</v>
          </cell>
          <cell r="C524" t="str">
            <v>CF01/2</v>
          </cell>
          <cell r="D524" t="str">
            <v>SPHC P/O</v>
          </cell>
          <cell r="E524" t="str">
            <v>CA1</v>
          </cell>
          <cell r="F524">
            <v>4.5</v>
          </cell>
          <cell r="G524">
            <v>145</v>
          </cell>
          <cell r="H524">
            <v>1219</v>
          </cell>
          <cell r="I524" t="str">
            <v>A</v>
          </cell>
          <cell r="K524">
            <v>36</v>
          </cell>
          <cell r="L524">
            <v>223</v>
          </cell>
          <cell r="M524">
            <v>50118805</v>
          </cell>
          <cell r="N524">
            <v>38771</v>
          </cell>
          <cell r="P524" t="str">
            <v>FN6223N2M771001</v>
          </cell>
          <cell r="Q524" t="str">
            <v>แผ่นรองและสายรัดเป็นสนิม</v>
          </cell>
        </row>
        <row r="525">
          <cell r="A525">
            <v>50104605</v>
          </cell>
          <cell r="B525">
            <v>524</v>
          </cell>
          <cell r="C525" t="str">
            <v>CF01/2</v>
          </cell>
          <cell r="D525" t="str">
            <v>SPHC P/O</v>
          </cell>
          <cell r="E525" t="str">
            <v>CA1</v>
          </cell>
          <cell r="F525">
            <v>4.5</v>
          </cell>
          <cell r="G525">
            <v>168</v>
          </cell>
          <cell r="H525">
            <v>1219</v>
          </cell>
          <cell r="I525" t="str">
            <v>A</v>
          </cell>
          <cell r="K525">
            <v>25</v>
          </cell>
          <cell r="L525">
            <v>179</v>
          </cell>
          <cell r="M525">
            <v>50104605</v>
          </cell>
          <cell r="N525" t="str">
            <v>2/C/2005</v>
          </cell>
          <cell r="P525" t="str">
            <v>FN5C02D2M421401</v>
          </cell>
          <cell r="Q525" t="str">
            <v>แผ่นรองและสายรัดเป็นสนิม</v>
          </cell>
        </row>
        <row r="526">
          <cell r="A526">
            <v>50128780</v>
          </cell>
          <cell r="B526">
            <v>525</v>
          </cell>
          <cell r="C526" t="str">
            <v>CF01/2</v>
          </cell>
          <cell r="D526" t="str">
            <v>SPHC P/O</v>
          </cell>
          <cell r="E526" t="str">
            <v>CA1</v>
          </cell>
          <cell r="F526">
            <v>4.5</v>
          </cell>
          <cell r="G526">
            <v>177</v>
          </cell>
          <cell r="H526">
            <v>1181</v>
          </cell>
          <cell r="I526" t="str">
            <v>A</v>
          </cell>
          <cell r="K526">
            <v>31</v>
          </cell>
          <cell r="L526">
            <v>229</v>
          </cell>
          <cell r="M526">
            <v>50128780</v>
          </cell>
          <cell r="N526">
            <v>38846</v>
          </cell>
          <cell r="P526" t="str">
            <v>FN6509D1RSSSS01</v>
          </cell>
          <cell r="Q526" t="str">
            <v>แผ่นรองและสายรัดเป็นสนิม</v>
          </cell>
        </row>
        <row r="527">
          <cell r="A527">
            <v>50134763</v>
          </cell>
          <cell r="B527">
            <v>526</v>
          </cell>
          <cell r="C527" t="str">
            <v>CF01/2</v>
          </cell>
          <cell r="D527" t="str">
            <v>SPHC P/O</v>
          </cell>
          <cell r="E527" t="str">
            <v>CA1</v>
          </cell>
          <cell r="F527">
            <v>4.5</v>
          </cell>
          <cell r="G527">
            <v>177</v>
          </cell>
          <cell r="H527">
            <v>1181</v>
          </cell>
          <cell r="I527" t="str">
            <v>A</v>
          </cell>
          <cell r="K527">
            <v>19</v>
          </cell>
          <cell r="L527">
            <v>140</v>
          </cell>
          <cell r="M527">
            <v>50134763</v>
          </cell>
          <cell r="N527">
            <v>38896</v>
          </cell>
          <cell r="O527" t="str">
            <v>136614NSI012</v>
          </cell>
          <cell r="P527" t="str">
            <v>FN6628D2M129202</v>
          </cell>
          <cell r="Q527" t="str">
            <v>แผ่นรองและสายรัดเป็นสนิม</v>
          </cell>
        </row>
        <row r="528">
          <cell r="A528">
            <v>50137973</v>
          </cell>
          <cell r="B528">
            <v>527</v>
          </cell>
          <cell r="C528" t="str">
            <v>CF01/2</v>
          </cell>
          <cell r="D528" t="str">
            <v>SPHC P/O</v>
          </cell>
          <cell r="E528" t="str">
            <v>CA1</v>
          </cell>
          <cell r="F528">
            <v>4.5</v>
          </cell>
          <cell r="G528">
            <v>177</v>
          </cell>
          <cell r="H528">
            <v>1181</v>
          </cell>
          <cell r="I528" t="str">
            <v>A</v>
          </cell>
          <cell r="K528">
            <v>70</v>
          </cell>
          <cell r="L528">
            <v>517</v>
          </cell>
          <cell r="M528">
            <v>50137973</v>
          </cell>
          <cell r="N528">
            <v>38925</v>
          </cell>
          <cell r="O528" t="str">
            <v>136710PCI041</v>
          </cell>
          <cell r="P528" t="str">
            <v>FN6727N2M238003</v>
          </cell>
          <cell r="Q528" t="str">
            <v>แผ่นรองและสายรัดเป็นสนิม</v>
          </cell>
        </row>
        <row r="529">
          <cell r="A529">
            <v>50140325</v>
          </cell>
          <cell r="B529">
            <v>528</v>
          </cell>
          <cell r="C529" t="str">
            <v>CF01/2</v>
          </cell>
          <cell r="D529" t="str">
            <v>SPHC P/O</v>
          </cell>
          <cell r="E529" t="str">
            <v>CA1</v>
          </cell>
          <cell r="F529">
            <v>4.5</v>
          </cell>
          <cell r="G529">
            <v>177</v>
          </cell>
          <cell r="H529">
            <v>1181</v>
          </cell>
          <cell r="I529" t="str">
            <v>A</v>
          </cell>
          <cell r="K529">
            <v>30</v>
          </cell>
          <cell r="L529">
            <v>221</v>
          </cell>
          <cell r="M529">
            <v>50140325</v>
          </cell>
          <cell r="N529">
            <v>38947</v>
          </cell>
          <cell r="O529" t="str">
            <v>136614NSI012</v>
          </cell>
          <cell r="P529" t="str">
            <v>FN6818D2M302604</v>
          </cell>
          <cell r="Q529" t="str">
            <v>สภาพปกติ</v>
          </cell>
        </row>
        <row r="530">
          <cell r="A530">
            <v>50140653</v>
          </cell>
          <cell r="B530">
            <v>529</v>
          </cell>
          <cell r="C530" t="str">
            <v>CF01/2</v>
          </cell>
          <cell r="D530" t="str">
            <v>SPHC P/O</v>
          </cell>
          <cell r="E530" t="str">
            <v>CA1</v>
          </cell>
          <cell r="F530">
            <v>4.5</v>
          </cell>
          <cell r="G530">
            <v>177</v>
          </cell>
          <cell r="H530">
            <v>1181</v>
          </cell>
          <cell r="I530" t="str">
            <v>A</v>
          </cell>
          <cell r="K530">
            <v>37</v>
          </cell>
          <cell r="L530">
            <v>237</v>
          </cell>
          <cell r="M530">
            <v>50140653</v>
          </cell>
          <cell r="N530">
            <v>38951</v>
          </cell>
          <cell r="O530" t="str">
            <v>136710PCI041</v>
          </cell>
          <cell r="P530" t="str">
            <v>FN6822D2M311905</v>
          </cell>
          <cell r="Q530" t="str">
            <v>สภาพปกติ</v>
          </cell>
        </row>
        <row r="531">
          <cell r="A531">
            <v>50140910</v>
          </cell>
          <cell r="B531">
            <v>530</v>
          </cell>
          <cell r="C531" t="str">
            <v>CF01/2</v>
          </cell>
          <cell r="D531" t="str">
            <v>SPHC P/O</v>
          </cell>
          <cell r="E531" t="str">
            <v>CA1</v>
          </cell>
          <cell r="F531">
            <v>4.5</v>
          </cell>
          <cell r="G531">
            <v>177</v>
          </cell>
          <cell r="H531">
            <v>1181</v>
          </cell>
          <cell r="I531" t="str">
            <v>A</v>
          </cell>
          <cell r="K531">
            <v>41</v>
          </cell>
          <cell r="L531">
            <v>303</v>
          </cell>
          <cell r="M531">
            <v>50140910</v>
          </cell>
          <cell r="N531">
            <v>38953</v>
          </cell>
          <cell r="O531" t="str">
            <v>136710PCI044</v>
          </cell>
          <cell r="P531" t="str">
            <v>FN6824D2M312106</v>
          </cell>
          <cell r="Q531" t="str">
            <v>สภาพปกติ</v>
          </cell>
        </row>
        <row r="532">
          <cell r="A532">
            <v>50133151</v>
          </cell>
          <cell r="B532">
            <v>531</v>
          </cell>
          <cell r="C532" t="str">
            <v>CF01/2</v>
          </cell>
          <cell r="D532" t="str">
            <v>SPHC P/O</v>
          </cell>
          <cell r="E532" t="str">
            <v>CA1</v>
          </cell>
          <cell r="F532">
            <v>4.5</v>
          </cell>
          <cell r="G532">
            <v>235</v>
          </cell>
          <cell r="H532">
            <v>1219</v>
          </cell>
          <cell r="I532" t="str">
            <v>A</v>
          </cell>
          <cell r="K532">
            <v>18</v>
          </cell>
          <cell r="L532">
            <v>182</v>
          </cell>
          <cell r="M532">
            <v>50133151</v>
          </cell>
          <cell r="N532">
            <v>38882</v>
          </cell>
          <cell r="P532" t="str">
            <v>FN6614D1D101701</v>
          </cell>
          <cell r="Q532" t="str">
            <v>แผ่นรองและสายรัดเป็นสนิม</v>
          </cell>
        </row>
        <row r="533">
          <cell r="A533">
            <v>50135626</v>
          </cell>
          <cell r="B533">
            <v>532</v>
          </cell>
          <cell r="C533" t="str">
            <v>CF01/2</v>
          </cell>
          <cell r="D533" t="str">
            <v>SPHC P/O</v>
          </cell>
          <cell r="E533" t="str">
            <v>CA1</v>
          </cell>
          <cell r="F533">
            <v>4.5</v>
          </cell>
          <cell r="G533">
            <v>315</v>
          </cell>
          <cell r="H533">
            <v>1219</v>
          </cell>
          <cell r="I533" t="str">
            <v>A</v>
          </cell>
          <cell r="K533">
            <v>14</v>
          </cell>
          <cell r="L533">
            <v>189</v>
          </cell>
          <cell r="M533">
            <v>50135626</v>
          </cell>
          <cell r="N533">
            <v>38903</v>
          </cell>
          <cell r="P533" t="str">
            <v>FN6705D2M175001</v>
          </cell>
          <cell r="Q533" t="str">
            <v>แผ่นรองและสายรัดเป็นสนิม</v>
          </cell>
        </row>
        <row r="534">
          <cell r="A534">
            <v>50140677</v>
          </cell>
          <cell r="B534">
            <v>533</v>
          </cell>
          <cell r="C534" t="str">
            <v>CF01/2</v>
          </cell>
          <cell r="D534" t="str">
            <v>SPHC P/O</v>
          </cell>
          <cell r="E534" t="str">
            <v>CA1</v>
          </cell>
          <cell r="F534">
            <v>4.5</v>
          </cell>
          <cell r="G534">
            <v>315</v>
          </cell>
          <cell r="H534">
            <v>1219</v>
          </cell>
          <cell r="I534" t="str">
            <v>A</v>
          </cell>
          <cell r="K534">
            <v>10</v>
          </cell>
          <cell r="L534">
            <v>134</v>
          </cell>
          <cell r="M534">
            <v>50140677</v>
          </cell>
          <cell r="N534">
            <v>38951</v>
          </cell>
          <cell r="P534" t="str">
            <v>FN6822D2M314802</v>
          </cell>
          <cell r="Q534" t="str">
            <v>สภาพปกติ</v>
          </cell>
        </row>
        <row r="535">
          <cell r="A535">
            <v>50135624</v>
          </cell>
          <cell r="B535">
            <v>534</v>
          </cell>
          <cell r="C535" t="str">
            <v>CF01/2</v>
          </cell>
          <cell r="D535" t="str">
            <v>SPHC P/O</v>
          </cell>
          <cell r="E535" t="str">
            <v>CA1</v>
          </cell>
          <cell r="F535">
            <v>4.5</v>
          </cell>
          <cell r="G535">
            <v>333</v>
          </cell>
          <cell r="H535">
            <v>1219</v>
          </cell>
          <cell r="I535" t="str">
            <v>A</v>
          </cell>
          <cell r="K535">
            <v>24</v>
          </cell>
          <cell r="L535">
            <v>340</v>
          </cell>
          <cell r="M535">
            <v>50135624</v>
          </cell>
          <cell r="N535">
            <v>38903</v>
          </cell>
          <cell r="O535" t="str">
            <v>135525PCI001</v>
          </cell>
          <cell r="P535" t="str">
            <v>FN6705D2M175001</v>
          </cell>
          <cell r="Q535" t="str">
            <v>แผ่นรองและสายรัดเป็นสนิม</v>
          </cell>
        </row>
        <row r="536">
          <cell r="A536">
            <v>50138834</v>
          </cell>
          <cell r="B536">
            <v>535</v>
          </cell>
          <cell r="C536" t="str">
            <v>CF01/2</v>
          </cell>
          <cell r="D536" t="str">
            <v>SPHC P/O</v>
          </cell>
          <cell r="E536" t="str">
            <v>CA1</v>
          </cell>
          <cell r="F536">
            <v>4.5</v>
          </cell>
          <cell r="G536">
            <v>333</v>
          </cell>
          <cell r="H536">
            <v>1219</v>
          </cell>
          <cell r="I536" t="str">
            <v>A</v>
          </cell>
          <cell r="K536">
            <v>11</v>
          </cell>
          <cell r="L536">
            <v>159</v>
          </cell>
          <cell r="M536">
            <v>50138834</v>
          </cell>
          <cell r="N536">
            <v>38931</v>
          </cell>
          <cell r="O536" t="str">
            <v>136215JFI021</v>
          </cell>
          <cell r="P536" t="str">
            <v>FN6802D2M254902</v>
          </cell>
          <cell r="Q536" t="str">
            <v>สภาพปกติ</v>
          </cell>
        </row>
        <row r="537">
          <cell r="A537">
            <v>50140519</v>
          </cell>
          <cell r="B537">
            <v>536</v>
          </cell>
          <cell r="C537" t="str">
            <v>CF01/2</v>
          </cell>
          <cell r="D537" t="str">
            <v>SPHC P/O</v>
          </cell>
          <cell r="E537" t="str">
            <v>CA1</v>
          </cell>
          <cell r="F537">
            <v>4.5</v>
          </cell>
          <cell r="G537">
            <v>333</v>
          </cell>
          <cell r="H537">
            <v>1219</v>
          </cell>
          <cell r="I537" t="str">
            <v>A</v>
          </cell>
          <cell r="K537">
            <v>22</v>
          </cell>
          <cell r="L537">
            <v>296</v>
          </cell>
          <cell r="M537">
            <v>50140519</v>
          </cell>
          <cell r="N537">
            <v>38950</v>
          </cell>
          <cell r="P537" t="str">
            <v>FN6821D2R303403</v>
          </cell>
          <cell r="Q537" t="str">
            <v>แผ่นรองและสายรัดเป็นสนิม</v>
          </cell>
        </row>
        <row r="538">
          <cell r="A538">
            <v>50134621</v>
          </cell>
          <cell r="B538">
            <v>537</v>
          </cell>
          <cell r="C538" t="str">
            <v>CF01/2</v>
          </cell>
          <cell r="D538" t="str">
            <v>SPHC P/O</v>
          </cell>
          <cell r="E538" t="str">
            <v>CA1</v>
          </cell>
          <cell r="F538">
            <v>4.5</v>
          </cell>
          <cell r="G538">
            <v>49.7</v>
          </cell>
          <cell r="H538">
            <v>121</v>
          </cell>
          <cell r="I538" t="str">
            <v>A</v>
          </cell>
          <cell r="K538">
            <v>162</v>
          </cell>
          <cell r="L538">
            <v>340</v>
          </cell>
          <cell r="M538">
            <v>50134621</v>
          </cell>
          <cell r="N538">
            <v>38895</v>
          </cell>
          <cell r="P538" t="str">
            <v>FN6627D2M130401</v>
          </cell>
          <cell r="Q538" t="str">
            <v>แผ่นรองและสายรัดเป็นสนิม</v>
          </cell>
        </row>
        <row r="539">
          <cell r="A539">
            <v>50075556</v>
          </cell>
          <cell r="B539">
            <v>538</v>
          </cell>
          <cell r="C539" t="str">
            <v>CF01/2</v>
          </cell>
          <cell r="D539" t="str">
            <v>SPHC P/O</v>
          </cell>
          <cell r="E539" t="str">
            <v>CA1</v>
          </cell>
          <cell r="F539">
            <v>5</v>
          </cell>
          <cell r="G539">
            <v>168</v>
          </cell>
          <cell r="H539">
            <v>1219</v>
          </cell>
          <cell r="I539" t="str">
            <v>A</v>
          </cell>
          <cell r="K539">
            <v>70</v>
          </cell>
          <cell r="L539">
            <v>563</v>
          </cell>
          <cell r="M539">
            <v>50075556</v>
          </cell>
          <cell r="N539">
            <v>38432</v>
          </cell>
          <cell r="P539" t="str">
            <v>FN5321D2M825801</v>
          </cell>
          <cell r="Q539" t="str">
            <v>แผ่นรองและสายรัดเป็นสนิม</v>
          </cell>
        </row>
        <row r="540">
          <cell r="A540">
            <v>50075557</v>
          </cell>
          <cell r="B540">
            <v>539</v>
          </cell>
          <cell r="C540" t="str">
            <v>CF01/2</v>
          </cell>
          <cell r="D540" t="str">
            <v>SPHC P/O</v>
          </cell>
          <cell r="E540" t="str">
            <v>CA1</v>
          </cell>
          <cell r="F540">
            <v>5</v>
          </cell>
          <cell r="G540">
            <v>168</v>
          </cell>
          <cell r="H540">
            <v>1219</v>
          </cell>
          <cell r="I540" t="str">
            <v>A</v>
          </cell>
          <cell r="K540">
            <v>60</v>
          </cell>
          <cell r="L540">
            <v>482</v>
          </cell>
          <cell r="M540">
            <v>50075557</v>
          </cell>
          <cell r="N540">
            <v>38432</v>
          </cell>
          <cell r="P540" t="str">
            <v>FN5321D2M825802</v>
          </cell>
          <cell r="Q540" t="str">
            <v>แผ่นรองและสายรัดเป็นสนิม</v>
          </cell>
        </row>
        <row r="541">
          <cell r="A541">
            <v>50071380</v>
          </cell>
          <cell r="B541">
            <v>540</v>
          </cell>
          <cell r="C541" t="str">
            <v>CF01/2</v>
          </cell>
          <cell r="D541" t="str">
            <v>SPHC P/O</v>
          </cell>
          <cell r="E541" t="str">
            <v>CA1</v>
          </cell>
          <cell r="F541">
            <v>6</v>
          </cell>
          <cell r="G541">
            <v>70</v>
          </cell>
          <cell r="H541">
            <v>1219</v>
          </cell>
          <cell r="I541" t="str">
            <v>A</v>
          </cell>
          <cell r="K541">
            <v>10</v>
          </cell>
          <cell r="L541">
            <v>41</v>
          </cell>
          <cell r="M541">
            <v>50071380</v>
          </cell>
          <cell r="N541">
            <v>38398</v>
          </cell>
          <cell r="P541" t="str">
            <v>FN5215D1RSSSS01</v>
          </cell>
          <cell r="Q541" t="str">
            <v>แผ่นรองและสายรัดเป็นสนิม</v>
          </cell>
        </row>
        <row r="542">
          <cell r="A542">
            <v>50106725</v>
          </cell>
          <cell r="B542">
            <v>541</v>
          </cell>
          <cell r="C542" t="str">
            <v>CF01/2</v>
          </cell>
          <cell r="D542" t="str">
            <v>SPHC P/O</v>
          </cell>
          <cell r="E542" t="str">
            <v>CA1</v>
          </cell>
          <cell r="F542">
            <v>6</v>
          </cell>
          <cell r="G542">
            <v>95</v>
          </cell>
          <cell r="H542">
            <v>1219</v>
          </cell>
          <cell r="I542" t="str">
            <v>A</v>
          </cell>
          <cell r="K542">
            <v>11</v>
          </cell>
          <cell r="L542">
            <v>59</v>
          </cell>
          <cell r="M542">
            <v>50106725</v>
          </cell>
          <cell r="N542" t="str">
            <v>18/B/2005</v>
          </cell>
          <cell r="P542" t="str">
            <v>FN5B18D2M488801</v>
          </cell>
          <cell r="Q542" t="str">
            <v>แผ่นรองและสายรัดเป็นสนิม</v>
          </cell>
        </row>
        <row r="543">
          <cell r="A543">
            <v>50107322</v>
          </cell>
          <cell r="B543">
            <v>542</v>
          </cell>
          <cell r="C543" t="str">
            <v>CF01/2</v>
          </cell>
          <cell r="D543" t="str">
            <v>SPHC P/O</v>
          </cell>
          <cell r="E543" t="str">
            <v>CA1</v>
          </cell>
          <cell r="F543">
            <v>6</v>
          </cell>
          <cell r="G543">
            <v>180</v>
          </cell>
          <cell r="H543">
            <v>1219</v>
          </cell>
          <cell r="I543" t="str">
            <v>A</v>
          </cell>
          <cell r="K543">
            <v>26</v>
          </cell>
          <cell r="L543">
            <v>265</v>
          </cell>
          <cell r="M543">
            <v>50107322</v>
          </cell>
          <cell r="N543" t="str">
            <v>23/B/2005</v>
          </cell>
          <cell r="P543" t="str">
            <v>FN5B23D3D503301</v>
          </cell>
          <cell r="Q543" t="str">
            <v>กระดาษฉีกขาด</v>
          </cell>
        </row>
        <row r="544">
          <cell r="A544">
            <v>50064291</v>
          </cell>
          <cell r="B544">
            <v>543</v>
          </cell>
          <cell r="C544" t="str">
            <v>CF01/2</v>
          </cell>
          <cell r="D544" t="str">
            <v>SPHC P/O</v>
          </cell>
          <cell r="E544" t="str">
            <v>CA1</v>
          </cell>
          <cell r="F544">
            <v>6</v>
          </cell>
          <cell r="G544">
            <v>340</v>
          </cell>
          <cell r="H544">
            <v>1219</v>
          </cell>
          <cell r="I544" t="str">
            <v>A</v>
          </cell>
          <cell r="K544">
            <v>5</v>
          </cell>
          <cell r="L544">
            <v>98</v>
          </cell>
          <cell r="M544">
            <v>50064291</v>
          </cell>
          <cell r="N544" t="str">
            <v>14/C/2004</v>
          </cell>
          <cell r="P544" t="str">
            <v>FN4C14D3D545001</v>
          </cell>
          <cell r="Q544" t="str">
            <v>กระดาษฉีกขาด</v>
          </cell>
        </row>
        <row r="545">
          <cell r="A545">
            <v>50103202</v>
          </cell>
          <cell r="B545">
            <v>544</v>
          </cell>
          <cell r="C545" t="str">
            <v>CF01/2</v>
          </cell>
          <cell r="D545" t="str">
            <v>SAPH440 P/O</v>
          </cell>
          <cell r="E545" t="str">
            <v>CA5</v>
          </cell>
          <cell r="F545">
            <v>1.6</v>
          </cell>
          <cell r="G545">
            <v>360</v>
          </cell>
          <cell r="H545">
            <v>1219</v>
          </cell>
          <cell r="I545" t="str">
            <v>A</v>
          </cell>
          <cell r="K545">
            <v>15</v>
          </cell>
          <cell r="L545">
            <v>83</v>
          </cell>
          <cell r="M545">
            <v>50103202</v>
          </cell>
          <cell r="N545" t="str">
            <v>22/A/2005</v>
          </cell>
          <cell r="P545" t="str">
            <v>FN5A22D1D398801</v>
          </cell>
          <cell r="Q545" t="str">
            <v>กระดาษฉีกขาด</v>
          </cell>
        </row>
        <row r="546">
          <cell r="A546">
            <v>50136109</v>
          </cell>
          <cell r="B546">
            <v>545</v>
          </cell>
          <cell r="C546" t="str">
            <v>CF01/2</v>
          </cell>
          <cell r="D546" t="str">
            <v>SAPH440 P/O</v>
          </cell>
          <cell r="E546" t="str">
            <v>CA5</v>
          </cell>
          <cell r="F546">
            <v>1.6</v>
          </cell>
          <cell r="G546">
            <v>375</v>
          </cell>
          <cell r="H546">
            <v>1219</v>
          </cell>
          <cell r="I546" t="str">
            <v>A</v>
          </cell>
          <cell r="K546">
            <v>22</v>
          </cell>
          <cell r="L546">
            <v>127</v>
          </cell>
          <cell r="M546">
            <v>50136109</v>
          </cell>
          <cell r="N546">
            <v>38906</v>
          </cell>
          <cell r="P546" t="str">
            <v>FN6708N3D190501</v>
          </cell>
          <cell r="Q546" t="str">
            <v>กระดาษฉีกขาด</v>
          </cell>
        </row>
        <row r="547">
          <cell r="A547">
            <v>50112887</v>
          </cell>
          <cell r="B547">
            <v>546</v>
          </cell>
          <cell r="C547" t="str">
            <v>CF01/2</v>
          </cell>
          <cell r="D547" t="str">
            <v>SAPH440 P/O</v>
          </cell>
          <cell r="E547" t="str">
            <v>CA5</v>
          </cell>
          <cell r="F547">
            <v>2</v>
          </cell>
          <cell r="G547">
            <v>375</v>
          </cell>
          <cell r="H547">
            <v>1</v>
          </cell>
          <cell r="I547" t="str">
            <v>A</v>
          </cell>
          <cell r="K547">
            <v>7</v>
          </cell>
          <cell r="L547">
            <v>50</v>
          </cell>
          <cell r="M547">
            <v>50112887</v>
          </cell>
          <cell r="N547">
            <v>38724</v>
          </cell>
          <cell r="P547" t="str">
            <v>FN6107D1R631301</v>
          </cell>
          <cell r="Q547" t="str">
            <v>แผ่นรองและสายรัดเป็นสนิม</v>
          </cell>
        </row>
        <row r="548">
          <cell r="A548">
            <v>50107709</v>
          </cell>
          <cell r="B548">
            <v>547</v>
          </cell>
          <cell r="C548" t="str">
            <v>CF01/2</v>
          </cell>
          <cell r="D548" t="str">
            <v>SAPH440 P/O</v>
          </cell>
          <cell r="E548" t="str">
            <v>CA5</v>
          </cell>
          <cell r="F548">
            <v>2.6</v>
          </cell>
          <cell r="G548">
            <v>56</v>
          </cell>
          <cell r="H548">
            <v>12</v>
          </cell>
          <cell r="I548" t="str">
            <v>A</v>
          </cell>
          <cell r="K548">
            <v>150</v>
          </cell>
          <cell r="L548">
            <v>207</v>
          </cell>
          <cell r="M548">
            <v>50107709</v>
          </cell>
          <cell r="N548" t="str">
            <v>25/B/2005</v>
          </cell>
          <cell r="P548" t="str">
            <v>FN5B25D1R507301</v>
          </cell>
          <cell r="Q548" t="str">
            <v>แผ่นรองและสายรัดเป็นสนิม</v>
          </cell>
        </row>
        <row r="549">
          <cell r="A549">
            <v>50101795</v>
          </cell>
          <cell r="B549">
            <v>548</v>
          </cell>
          <cell r="C549" t="str">
            <v>CF01/2</v>
          </cell>
          <cell r="D549" t="str">
            <v>SAPH440 P/O</v>
          </cell>
          <cell r="E549" t="str">
            <v>CA5</v>
          </cell>
          <cell r="F549">
            <v>2.6</v>
          </cell>
          <cell r="G549">
            <v>207</v>
          </cell>
          <cell r="H549">
            <v>1</v>
          </cell>
          <cell r="I549" t="str">
            <v>A</v>
          </cell>
          <cell r="K549">
            <v>20</v>
          </cell>
          <cell r="L549">
            <v>103</v>
          </cell>
          <cell r="M549">
            <v>50101795</v>
          </cell>
          <cell r="N549" t="str">
            <v>13/A/2005</v>
          </cell>
          <cell r="P549" t="str">
            <v>FN5A13D1D370901</v>
          </cell>
          <cell r="Q549" t="str">
            <v>แผ่นรองและสายรัดเป็นสนิม</v>
          </cell>
        </row>
        <row r="550">
          <cell r="A550">
            <v>50093621</v>
          </cell>
          <cell r="B550">
            <v>549</v>
          </cell>
          <cell r="C550" t="str">
            <v>CF01/2</v>
          </cell>
          <cell r="D550" t="str">
            <v>SAPH440 P/O</v>
          </cell>
          <cell r="E550" t="str">
            <v>CA5</v>
          </cell>
          <cell r="F550">
            <v>3</v>
          </cell>
          <cell r="G550">
            <v>310</v>
          </cell>
          <cell r="H550">
            <v>3</v>
          </cell>
          <cell r="I550" t="str">
            <v>A</v>
          </cell>
          <cell r="K550">
            <v>905</v>
          </cell>
          <cell r="L550">
            <v>235</v>
          </cell>
          <cell r="M550">
            <v>50093621</v>
          </cell>
          <cell r="N550">
            <v>38569</v>
          </cell>
          <cell r="P550" t="str">
            <v>FN5805D1R200201</v>
          </cell>
        </row>
        <row r="551">
          <cell r="A551">
            <v>50108594</v>
          </cell>
          <cell r="B551">
            <v>550</v>
          </cell>
          <cell r="C551" t="str">
            <v>CF01/2</v>
          </cell>
          <cell r="D551" t="str">
            <v>SAPH440 P/O</v>
          </cell>
          <cell r="E551" t="str">
            <v>CA5</v>
          </cell>
          <cell r="F551">
            <v>3.2</v>
          </cell>
          <cell r="G551">
            <v>128</v>
          </cell>
          <cell r="H551">
            <v>1219</v>
          </cell>
          <cell r="I551" t="str">
            <v>A</v>
          </cell>
          <cell r="K551">
            <v>99</v>
          </cell>
          <cell r="L551">
            <v>388</v>
          </cell>
          <cell r="M551">
            <v>50108594</v>
          </cell>
          <cell r="N551" t="str">
            <v>1/C/2005</v>
          </cell>
          <cell r="P551" t="str">
            <v>FN5C01N1D528501</v>
          </cell>
          <cell r="Q551" t="str">
            <v>กระดาษฉีกขาดและเป็นสนิม</v>
          </cell>
        </row>
        <row r="552">
          <cell r="A552">
            <v>50108598</v>
          </cell>
          <cell r="B552">
            <v>551</v>
          </cell>
          <cell r="C552" t="str">
            <v>CF01/2</v>
          </cell>
          <cell r="D552" t="str">
            <v>SAPH440 P/O</v>
          </cell>
          <cell r="E552" t="str">
            <v>CA5</v>
          </cell>
          <cell r="F552">
            <v>3.2</v>
          </cell>
          <cell r="G552">
            <v>210</v>
          </cell>
          <cell r="H552">
            <v>1</v>
          </cell>
          <cell r="I552" t="str">
            <v>A</v>
          </cell>
          <cell r="K552">
            <v>38</v>
          </cell>
          <cell r="L552">
            <v>244</v>
          </cell>
          <cell r="M552">
            <v>50108598</v>
          </cell>
          <cell r="N552" t="str">
            <v>1/C/2005</v>
          </cell>
          <cell r="P552" t="str">
            <v>FN5C01N1D528501</v>
          </cell>
          <cell r="Q552" t="str">
            <v>แผ่นรองและสายรัดเป็นสนิม</v>
          </cell>
        </row>
        <row r="553">
          <cell r="A553">
            <v>50123533</v>
          </cell>
          <cell r="B553">
            <v>552</v>
          </cell>
          <cell r="C553" t="str">
            <v>CF01/2</v>
          </cell>
          <cell r="D553" t="str">
            <v>SAPH440 P/O</v>
          </cell>
          <cell r="E553" t="str">
            <v>CA5</v>
          </cell>
          <cell r="F553">
            <v>3.2</v>
          </cell>
          <cell r="G553">
            <v>340</v>
          </cell>
          <cell r="H553">
            <v>1</v>
          </cell>
          <cell r="I553" t="str">
            <v>A</v>
          </cell>
          <cell r="K553">
            <v>65</v>
          </cell>
          <cell r="L553">
            <v>680</v>
          </cell>
          <cell r="M553">
            <v>50123533</v>
          </cell>
          <cell r="N553">
            <v>38798</v>
          </cell>
          <cell r="P553" t="str">
            <v>FN6322D3R873801</v>
          </cell>
          <cell r="Q553" t="str">
            <v>แผ่นรองและสายรัดเป็นสนิม</v>
          </cell>
        </row>
        <row r="554">
          <cell r="A554">
            <v>50139524</v>
          </cell>
          <cell r="B554">
            <v>553</v>
          </cell>
          <cell r="C554" t="str">
            <v>CF01/2</v>
          </cell>
          <cell r="D554" t="str">
            <v>SAPH440 P/O</v>
          </cell>
          <cell r="E554" t="str">
            <v>CA5</v>
          </cell>
          <cell r="F554">
            <v>4</v>
          </cell>
          <cell r="G554">
            <v>75</v>
          </cell>
          <cell r="H554">
            <v>1219</v>
          </cell>
          <cell r="I554" t="str">
            <v>A</v>
          </cell>
          <cell r="K554">
            <v>40</v>
          </cell>
          <cell r="L554">
            <v>114</v>
          </cell>
          <cell r="M554">
            <v>50139524</v>
          </cell>
          <cell r="N554">
            <v>38937</v>
          </cell>
          <cell r="P554" t="str">
            <v>FN6808D2M280301</v>
          </cell>
          <cell r="Q554" t="str">
            <v>สภาพปกติ</v>
          </cell>
        </row>
        <row r="555">
          <cell r="A555">
            <v>50135114</v>
          </cell>
          <cell r="B555">
            <v>554</v>
          </cell>
          <cell r="C555" t="str">
            <v>CF01/2</v>
          </cell>
          <cell r="D555" t="str">
            <v>SAPH440 P/O</v>
          </cell>
          <cell r="E555" t="str">
            <v>CA5</v>
          </cell>
          <cell r="F555">
            <v>4.5</v>
          </cell>
          <cell r="G555">
            <v>175</v>
          </cell>
          <cell r="H555">
            <v>1</v>
          </cell>
          <cell r="I555" t="str">
            <v>A</v>
          </cell>
          <cell r="K555">
            <v>38</v>
          </cell>
          <cell r="L555">
            <v>287</v>
          </cell>
          <cell r="M555">
            <v>50135114</v>
          </cell>
          <cell r="N555">
            <v>38899</v>
          </cell>
          <cell r="P555" t="str">
            <v>FN6701D2M159901</v>
          </cell>
          <cell r="Q555" t="str">
            <v>แผ่นรองและสายรัดเป็นสนิม</v>
          </cell>
        </row>
        <row r="556">
          <cell r="A556">
            <v>50134161</v>
          </cell>
          <cell r="B556">
            <v>555</v>
          </cell>
          <cell r="C556" t="str">
            <v>CF01/2</v>
          </cell>
          <cell r="D556" t="str">
            <v>SAPH440 P/O</v>
          </cell>
          <cell r="E556" t="str">
            <v>CA5</v>
          </cell>
          <cell r="F556">
            <v>4.5</v>
          </cell>
          <cell r="G556">
            <v>178</v>
          </cell>
          <cell r="H556">
            <v>1</v>
          </cell>
          <cell r="I556" t="str">
            <v>A</v>
          </cell>
          <cell r="K556">
            <v>50</v>
          </cell>
          <cell r="L556">
            <v>383</v>
          </cell>
          <cell r="M556">
            <v>50134161</v>
          </cell>
          <cell r="N556">
            <v>38891</v>
          </cell>
          <cell r="P556" t="str">
            <v>FN6623N1D131601</v>
          </cell>
          <cell r="Q556" t="str">
            <v>แผ่นรองและสายรัดเป็นสนิม</v>
          </cell>
        </row>
        <row r="557">
          <cell r="A557">
            <v>50083173</v>
          </cell>
          <cell r="B557">
            <v>556</v>
          </cell>
          <cell r="C557" t="str">
            <v>CF01/2</v>
          </cell>
          <cell r="D557" t="str">
            <v>SPHC-DS</v>
          </cell>
          <cell r="E557" t="str">
            <v>DS1</v>
          </cell>
          <cell r="F557">
            <v>1.2</v>
          </cell>
          <cell r="G557">
            <v>101</v>
          </cell>
          <cell r="H557">
            <v>1219</v>
          </cell>
          <cell r="I557" t="str">
            <v>A</v>
          </cell>
          <cell r="K557">
            <v>27</v>
          </cell>
          <cell r="L557">
            <v>27</v>
          </cell>
          <cell r="M557">
            <v>50083173</v>
          </cell>
          <cell r="N557">
            <v>38486</v>
          </cell>
          <cell r="P557" t="str">
            <v>FN5514D1RSSSS01</v>
          </cell>
          <cell r="Q557" t="str">
            <v>แผ่นรองและสายรัดเป็นสนิม</v>
          </cell>
        </row>
        <row r="558">
          <cell r="A558">
            <v>50135015</v>
          </cell>
          <cell r="B558">
            <v>557</v>
          </cell>
          <cell r="C558" t="str">
            <v>CF01/2</v>
          </cell>
          <cell r="D558" t="str">
            <v>SPHC-DS</v>
          </cell>
          <cell r="E558" t="str">
            <v>DS1</v>
          </cell>
          <cell r="F558">
            <v>1.6</v>
          </cell>
          <cell r="G558">
            <v>110</v>
          </cell>
          <cell r="H558">
            <v>110</v>
          </cell>
          <cell r="I558" t="str">
            <v>A</v>
          </cell>
          <cell r="K558">
            <v>280</v>
          </cell>
          <cell r="L558">
            <v>42</v>
          </cell>
          <cell r="M558">
            <v>50135015</v>
          </cell>
          <cell r="N558">
            <v>38898</v>
          </cell>
          <cell r="P558" t="str">
            <v>FN6630D1M156001</v>
          </cell>
          <cell r="Q558" t="str">
            <v>แผ่นรองและสายรัดเป็นสนิม</v>
          </cell>
        </row>
        <row r="559">
          <cell r="A559">
            <v>50117236</v>
          </cell>
          <cell r="B559">
            <v>558</v>
          </cell>
          <cell r="C559" t="str">
            <v>CF01/2</v>
          </cell>
          <cell r="D559" t="str">
            <v>SPHC-DS</v>
          </cell>
          <cell r="E559" t="str">
            <v>DS1</v>
          </cell>
          <cell r="F559">
            <v>2</v>
          </cell>
          <cell r="G559">
            <v>73</v>
          </cell>
          <cell r="H559">
            <v>1219</v>
          </cell>
          <cell r="I559" t="str">
            <v>A</v>
          </cell>
          <cell r="K559">
            <v>25</v>
          </cell>
          <cell r="L559">
            <v>36</v>
          </cell>
          <cell r="M559">
            <v>50117236</v>
          </cell>
          <cell r="N559">
            <v>38758</v>
          </cell>
          <cell r="P559" t="str">
            <v>FN6210D1M723601</v>
          </cell>
          <cell r="Q559" t="str">
            <v>แผ่นรองและสายรัดเป็นสนิม</v>
          </cell>
        </row>
        <row r="560">
          <cell r="A560">
            <v>50126744</v>
          </cell>
          <cell r="B560">
            <v>559</v>
          </cell>
          <cell r="C560" t="str">
            <v>CF01/2</v>
          </cell>
          <cell r="D560" t="str">
            <v>SPHC-DS</v>
          </cell>
          <cell r="E560" t="str">
            <v>DS1</v>
          </cell>
          <cell r="F560">
            <v>2.6</v>
          </cell>
          <cell r="G560">
            <v>120</v>
          </cell>
          <cell r="H560">
            <v>1160</v>
          </cell>
          <cell r="I560" t="str">
            <v>A</v>
          </cell>
          <cell r="K560">
            <v>50</v>
          </cell>
          <cell r="L560">
            <v>142</v>
          </cell>
          <cell r="M560">
            <v>50126744</v>
          </cell>
          <cell r="N560">
            <v>38828</v>
          </cell>
          <cell r="P560" t="str">
            <v>FN6421D1R945001</v>
          </cell>
          <cell r="Q560" t="str">
            <v>แผ่นรองและสายรัดเป็นสนิม</v>
          </cell>
        </row>
        <row r="561">
          <cell r="A561">
            <v>50123579</v>
          </cell>
          <cell r="B561">
            <v>560</v>
          </cell>
          <cell r="C561" t="str">
            <v>CF01/2</v>
          </cell>
          <cell r="D561" t="str">
            <v>SPHC-DS</v>
          </cell>
          <cell r="E561" t="str">
            <v>DS1</v>
          </cell>
          <cell r="F561">
            <v>3.2</v>
          </cell>
          <cell r="G561">
            <v>169</v>
          </cell>
          <cell r="H561">
            <v>1219</v>
          </cell>
          <cell r="I561" t="str">
            <v>A</v>
          </cell>
          <cell r="K561">
            <v>76</v>
          </cell>
          <cell r="L561">
            <v>393</v>
          </cell>
          <cell r="M561">
            <v>50123579</v>
          </cell>
          <cell r="N561">
            <v>38798</v>
          </cell>
          <cell r="P561" t="str">
            <v>FN6322D3RQQQQ01</v>
          </cell>
          <cell r="Q561" t="str">
            <v>แผ่นรองและสายรัดเป็นสนิม</v>
          </cell>
        </row>
        <row r="562">
          <cell r="A562">
            <v>50137750</v>
          </cell>
          <cell r="B562">
            <v>561</v>
          </cell>
          <cell r="C562" t="str">
            <v>CF01/2</v>
          </cell>
          <cell r="D562" t="str">
            <v>SPHC-DS</v>
          </cell>
          <cell r="E562" t="str">
            <v>DS1</v>
          </cell>
          <cell r="F562">
            <v>3.2</v>
          </cell>
          <cell r="G562">
            <v>174</v>
          </cell>
          <cell r="H562">
            <v>1110</v>
          </cell>
          <cell r="I562" t="str">
            <v>A</v>
          </cell>
          <cell r="K562">
            <v>29</v>
          </cell>
          <cell r="L562">
            <v>139</v>
          </cell>
          <cell r="M562">
            <v>50137750</v>
          </cell>
          <cell r="N562">
            <v>38923</v>
          </cell>
          <cell r="P562" t="str">
            <v>FN6725D1R235401</v>
          </cell>
          <cell r="Q562" t="str">
            <v>แผ่นรองและสายรัดเป็นสนิม</v>
          </cell>
        </row>
        <row r="563">
          <cell r="A563">
            <v>50141059</v>
          </cell>
          <cell r="B563">
            <v>562</v>
          </cell>
          <cell r="C563" t="str">
            <v>CF01/2</v>
          </cell>
          <cell r="D563" t="str">
            <v>SPHC-DS</v>
          </cell>
          <cell r="E563" t="str">
            <v>DS1</v>
          </cell>
          <cell r="F563">
            <v>3.2</v>
          </cell>
          <cell r="G563">
            <v>174</v>
          </cell>
          <cell r="H563">
            <v>1110</v>
          </cell>
          <cell r="I563" t="str">
            <v>A</v>
          </cell>
          <cell r="K563">
            <v>20</v>
          </cell>
          <cell r="L563">
            <v>96</v>
          </cell>
          <cell r="M563">
            <v>50141059</v>
          </cell>
          <cell r="N563">
            <v>38954</v>
          </cell>
          <cell r="P563" t="str">
            <v>FN6825D2M320302</v>
          </cell>
          <cell r="Q563" t="str">
            <v>สภาพปกติ</v>
          </cell>
        </row>
        <row r="564">
          <cell r="A564">
            <v>50089610</v>
          </cell>
          <cell r="B564">
            <v>563</v>
          </cell>
          <cell r="C564" t="str">
            <v>CF01/2</v>
          </cell>
          <cell r="D564" t="str">
            <v>SPHC-DS</v>
          </cell>
          <cell r="E564" t="str">
            <v>DS1</v>
          </cell>
          <cell r="F564">
            <v>3.2</v>
          </cell>
          <cell r="G564">
            <v>190</v>
          </cell>
          <cell r="H564">
            <v>1219</v>
          </cell>
          <cell r="I564" t="str">
            <v>A</v>
          </cell>
          <cell r="K564">
            <v>8</v>
          </cell>
          <cell r="L564">
            <v>46</v>
          </cell>
          <cell r="M564">
            <v>50089610</v>
          </cell>
          <cell r="N564">
            <v>38538</v>
          </cell>
          <cell r="P564" t="str">
            <v>FN5705D1RSSSS01</v>
          </cell>
          <cell r="Q564" t="str">
            <v>แผ่นรองและสายรัดเป็นสนิม</v>
          </cell>
        </row>
        <row r="565">
          <cell r="A565">
            <v>50137752</v>
          </cell>
          <cell r="B565">
            <v>564</v>
          </cell>
          <cell r="C565" t="str">
            <v>CF01/2</v>
          </cell>
          <cell r="D565" t="str">
            <v>SPHC-DS</v>
          </cell>
          <cell r="E565" t="str">
            <v>DS1</v>
          </cell>
          <cell r="F565">
            <v>3.2</v>
          </cell>
          <cell r="G565">
            <v>230</v>
          </cell>
          <cell r="H565">
            <v>1219</v>
          </cell>
          <cell r="I565" t="str">
            <v>A</v>
          </cell>
          <cell r="K565">
            <v>36</v>
          </cell>
          <cell r="L565">
            <v>252</v>
          </cell>
          <cell r="M565">
            <v>50137752</v>
          </cell>
          <cell r="N565">
            <v>38923</v>
          </cell>
          <cell r="P565" t="str">
            <v>FN6725D1R235401</v>
          </cell>
          <cell r="Q565" t="str">
            <v>แผ่นรองและสายรัดเป็นสนิม</v>
          </cell>
        </row>
        <row r="566">
          <cell r="A566">
            <v>50124744</v>
          </cell>
          <cell r="B566">
            <v>565</v>
          </cell>
          <cell r="C566" t="str">
            <v>CF01/2</v>
          </cell>
          <cell r="D566" t="str">
            <v>SECC-V2</v>
          </cell>
          <cell r="E566" t="str">
            <v>AH</v>
          </cell>
          <cell r="F566">
            <v>0.8</v>
          </cell>
          <cell r="G566">
            <v>259.5</v>
          </cell>
          <cell r="H566">
            <v>111</v>
          </cell>
          <cell r="I566" t="str">
            <v>A</v>
          </cell>
          <cell r="K566">
            <v>119</v>
          </cell>
          <cell r="L566">
            <v>215</v>
          </cell>
          <cell r="M566">
            <v>50124744</v>
          </cell>
          <cell r="N566">
            <v>38805</v>
          </cell>
          <cell r="P566" t="str">
            <v>FN6329N3M887701</v>
          </cell>
          <cell r="Q566" t="str">
            <v>สภาพปกติ</v>
          </cell>
        </row>
        <row r="567">
          <cell r="A567">
            <v>50127839</v>
          </cell>
          <cell r="B567">
            <v>566</v>
          </cell>
          <cell r="C567" t="str">
            <v>CF01/2</v>
          </cell>
          <cell r="D567" t="str">
            <v>SECC-V2</v>
          </cell>
          <cell r="E567" t="str">
            <v>AH</v>
          </cell>
          <cell r="F567">
            <v>0.8</v>
          </cell>
          <cell r="G567">
            <v>259.5</v>
          </cell>
          <cell r="H567">
            <v>111</v>
          </cell>
          <cell r="I567" t="str">
            <v>A</v>
          </cell>
          <cell r="K567">
            <v>150</v>
          </cell>
          <cell r="L567">
            <v>264</v>
          </cell>
          <cell r="M567">
            <v>50127839</v>
          </cell>
          <cell r="N567">
            <v>38839</v>
          </cell>
          <cell r="P567" t="str">
            <v>FN6502D1L954301</v>
          </cell>
          <cell r="Q567" t="str">
            <v>แผ่นรองและสายรัดเป็นสนิม</v>
          </cell>
        </row>
        <row r="568">
          <cell r="A568">
            <v>20049236</v>
          </cell>
          <cell r="B568">
            <v>567</v>
          </cell>
          <cell r="C568" t="str">
            <v>CW01/2</v>
          </cell>
          <cell r="D568" t="str">
            <v>SPCC-SD</v>
          </cell>
          <cell r="E568" t="str">
            <v>AF1</v>
          </cell>
          <cell r="F568">
            <v>0.9</v>
          </cell>
          <cell r="G568">
            <v>1219</v>
          </cell>
          <cell r="H568">
            <v>2438</v>
          </cell>
          <cell r="I568" t="str">
            <v>A</v>
          </cell>
          <cell r="K568">
            <v>71</v>
          </cell>
          <cell r="L568">
            <v>1476</v>
          </cell>
          <cell r="M568">
            <v>20049236</v>
          </cell>
          <cell r="N568">
            <v>38809</v>
          </cell>
          <cell r="P568" t="str">
            <v>IN6402D2RBBBB01</v>
          </cell>
          <cell r="Q568" t="str">
            <v>กระดาษฉีกขาด</v>
          </cell>
        </row>
        <row r="569">
          <cell r="A569">
            <v>20050683</v>
          </cell>
          <cell r="B569">
            <v>568</v>
          </cell>
          <cell r="C569" t="str">
            <v>CW01/2</v>
          </cell>
          <cell r="D569" t="str">
            <v>SPCC-SD</v>
          </cell>
          <cell r="E569" t="str">
            <v>AF1</v>
          </cell>
          <cell r="F569">
            <v>1.2</v>
          </cell>
          <cell r="G569">
            <v>1219</v>
          </cell>
          <cell r="H569">
            <v>2438</v>
          </cell>
          <cell r="I569" t="str">
            <v>A</v>
          </cell>
          <cell r="K569">
            <v>6</v>
          </cell>
          <cell r="L569">
            <v>168</v>
          </cell>
          <cell r="M569">
            <v>20050683</v>
          </cell>
          <cell r="N569">
            <v>38882</v>
          </cell>
          <cell r="P569" t="str">
            <v>IN6614N3D104701</v>
          </cell>
          <cell r="Q569" t="str">
            <v>กระดาษฉีกขาด</v>
          </cell>
        </row>
        <row r="570">
          <cell r="A570">
            <v>20050740</v>
          </cell>
          <cell r="B570">
            <v>569</v>
          </cell>
          <cell r="C570" t="str">
            <v>CW01/2</v>
          </cell>
          <cell r="D570" t="str">
            <v>SPCC-SD</v>
          </cell>
          <cell r="E570" t="str">
            <v>AF1</v>
          </cell>
          <cell r="F570">
            <v>1.2</v>
          </cell>
          <cell r="G570">
            <v>1219</v>
          </cell>
          <cell r="H570">
            <v>2438</v>
          </cell>
          <cell r="I570" t="str">
            <v>A</v>
          </cell>
          <cell r="K570">
            <v>1</v>
          </cell>
          <cell r="L570">
            <v>28</v>
          </cell>
          <cell r="M570">
            <v>20050740</v>
          </cell>
          <cell r="N570">
            <v>38884</v>
          </cell>
          <cell r="P570" t="str">
            <v>IN6616N3D112501</v>
          </cell>
          <cell r="Q570" t="str">
            <v>กระดาษฉีกขาดและเป็นสนิม</v>
          </cell>
        </row>
        <row r="571">
          <cell r="A571">
            <v>20050798</v>
          </cell>
          <cell r="B571">
            <v>570</v>
          </cell>
          <cell r="C571" t="str">
            <v>CW01/2</v>
          </cell>
          <cell r="D571" t="str">
            <v>SPCC-SD</v>
          </cell>
          <cell r="E571" t="str">
            <v>AF1</v>
          </cell>
          <cell r="F571">
            <v>1.2</v>
          </cell>
          <cell r="G571">
            <v>1219</v>
          </cell>
          <cell r="H571">
            <v>2438</v>
          </cell>
          <cell r="I571" t="str">
            <v>A</v>
          </cell>
          <cell r="K571">
            <v>3</v>
          </cell>
          <cell r="L571">
            <v>84</v>
          </cell>
          <cell r="M571">
            <v>20050798</v>
          </cell>
          <cell r="N571">
            <v>38888</v>
          </cell>
          <cell r="P571" t="str">
            <v>IN6620N3D125501</v>
          </cell>
          <cell r="Q571" t="str">
            <v>กระดาษฉีกขาดและเป็นสนิม</v>
          </cell>
        </row>
        <row r="572">
          <cell r="A572">
            <v>20050909</v>
          </cell>
          <cell r="B572">
            <v>571</v>
          </cell>
          <cell r="C572" t="str">
            <v>CW01/2</v>
          </cell>
          <cell r="D572" t="str">
            <v>SPCC-SD</v>
          </cell>
          <cell r="E572" t="str">
            <v>AF1</v>
          </cell>
          <cell r="F572">
            <v>1.2</v>
          </cell>
          <cell r="G572">
            <v>1219</v>
          </cell>
          <cell r="H572">
            <v>2438</v>
          </cell>
          <cell r="I572" t="str">
            <v>A</v>
          </cell>
          <cell r="K572">
            <v>8</v>
          </cell>
          <cell r="L572">
            <v>224</v>
          </cell>
          <cell r="M572">
            <v>20050909</v>
          </cell>
          <cell r="N572">
            <v>38890</v>
          </cell>
          <cell r="P572" t="str">
            <v>IN6622D1D127901</v>
          </cell>
          <cell r="Q572" t="str">
            <v>กระดาษฉีกขาดและเป็นสนิม</v>
          </cell>
        </row>
        <row r="573">
          <cell r="A573">
            <v>20051177</v>
          </cell>
          <cell r="B573">
            <v>572</v>
          </cell>
          <cell r="C573" t="str">
            <v>CW01/2</v>
          </cell>
          <cell r="D573" t="str">
            <v>SPCC-SD</v>
          </cell>
          <cell r="E573" t="str">
            <v>AF1</v>
          </cell>
          <cell r="F573">
            <v>1.2</v>
          </cell>
          <cell r="G573">
            <v>1219</v>
          </cell>
          <cell r="H573">
            <v>2438</v>
          </cell>
          <cell r="I573" t="str">
            <v>A</v>
          </cell>
          <cell r="K573">
            <v>9</v>
          </cell>
          <cell r="L573">
            <v>253</v>
          </cell>
          <cell r="M573">
            <v>20051177</v>
          </cell>
          <cell r="N573">
            <v>38902</v>
          </cell>
          <cell r="P573" t="str">
            <v>IN6704N1D168301</v>
          </cell>
          <cell r="Q573" t="str">
            <v>กระดาษฉีกขาดและเป็นสนิม</v>
          </cell>
        </row>
        <row r="574">
          <cell r="A574">
            <v>20051309</v>
          </cell>
          <cell r="B574">
            <v>573</v>
          </cell>
          <cell r="C574" t="str">
            <v>CW01/2</v>
          </cell>
          <cell r="D574" t="str">
            <v>SPCC-SD</v>
          </cell>
          <cell r="E574" t="str">
            <v>AF1</v>
          </cell>
          <cell r="F574">
            <v>1.2</v>
          </cell>
          <cell r="G574">
            <v>1219</v>
          </cell>
          <cell r="H574">
            <v>2438</v>
          </cell>
          <cell r="I574" t="str">
            <v>A</v>
          </cell>
          <cell r="K574">
            <v>8</v>
          </cell>
          <cell r="L574">
            <v>225</v>
          </cell>
          <cell r="M574">
            <v>20051309</v>
          </cell>
          <cell r="N574">
            <v>38906</v>
          </cell>
          <cell r="P574" t="str">
            <v>IN6708D1R177001</v>
          </cell>
          <cell r="Q574" t="str">
            <v>กระดาษฉีกขาดและเป็นสนิม</v>
          </cell>
        </row>
        <row r="575">
          <cell r="A575">
            <v>20051344</v>
          </cell>
          <cell r="B575">
            <v>574</v>
          </cell>
          <cell r="C575" t="str">
            <v>CW01/2</v>
          </cell>
          <cell r="D575" t="str">
            <v>SPCC-SD</v>
          </cell>
          <cell r="E575" t="str">
            <v>AF1</v>
          </cell>
          <cell r="F575">
            <v>1.2</v>
          </cell>
          <cell r="G575">
            <v>1219</v>
          </cell>
          <cell r="H575">
            <v>2438</v>
          </cell>
          <cell r="I575" t="str">
            <v>A</v>
          </cell>
          <cell r="K575">
            <v>11</v>
          </cell>
          <cell r="L575">
            <v>308</v>
          </cell>
          <cell r="M575">
            <v>20051344</v>
          </cell>
          <cell r="N575">
            <v>38911</v>
          </cell>
          <cell r="O575" t="str">
            <v>126320TCD001</v>
          </cell>
          <cell r="P575" t="str">
            <v>IN6713N1D191101</v>
          </cell>
          <cell r="Q575" t="str">
            <v>สภาพปกติ</v>
          </cell>
        </row>
        <row r="576">
          <cell r="A576">
            <v>20051573</v>
          </cell>
          <cell r="B576">
            <v>575</v>
          </cell>
          <cell r="C576" t="str">
            <v>CW01/2</v>
          </cell>
          <cell r="D576" t="str">
            <v>SPCC-SD</v>
          </cell>
          <cell r="E576" t="str">
            <v>AF1</v>
          </cell>
          <cell r="F576">
            <v>1.2</v>
          </cell>
          <cell r="G576">
            <v>1219</v>
          </cell>
          <cell r="H576">
            <v>2438</v>
          </cell>
          <cell r="I576" t="str">
            <v>A</v>
          </cell>
          <cell r="K576">
            <v>9</v>
          </cell>
          <cell r="L576">
            <v>244</v>
          </cell>
          <cell r="M576">
            <v>20051573</v>
          </cell>
          <cell r="N576">
            <v>38920</v>
          </cell>
          <cell r="P576" t="str">
            <v>IN6722D1D225001</v>
          </cell>
          <cell r="Q576" t="str">
            <v>กระดาษฉีกขาด</v>
          </cell>
        </row>
        <row r="577">
          <cell r="A577">
            <v>20051828</v>
          </cell>
          <cell r="B577">
            <v>576</v>
          </cell>
          <cell r="C577" t="str">
            <v>CW01/2</v>
          </cell>
          <cell r="D577" t="str">
            <v>SPCC-SD</v>
          </cell>
          <cell r="E577" t="str">
            <v>AF1</v>
          </cell>
          <cell r="F577">
            <v>1.2</v>
          </cell>
          <cell r="G577">
            <v>1219</v>
          </cell>
          <cell r="H577">
            <v>2438</v>
          </cell>
          <cell r="I577" t="str">
            <v>A</v>
          </cell>
          <cell r="K577">
            <v>20</v>
          </cell>
          <cell r="L577">
            <v>560</v>
          </cell>
          <cell r="M577">
            <v>20051828</v>
          </cell>
          <cell r="N577">
            <v>38932</v>
          </cell>
          <cell r="P577" t="str">
            <v>IN6803D3D264401</v>
          </cell>
          <cell r="Q577" t="str">
            <v>กระดาษฉีกขาด</v>
          </cell>
        </row>
        <row r="578">
          <cell r="A578">
            <v>20051888</v>
          </cell>
          <cell r="B578">
            <v>577</v>
          </cell>
          <cell r="C578" t="str">
            <v>CW01/2</v>
          </cell>
          <cell r="D578" t="str">
            <v>SPCC-SD</v>
          </cell>
          <cell r="E578" t="str">
            <v>AF1</v>
          </cell>
          <cell r="F578">
            <v>1.2</v>
          </cell>
          <cell r="G578">
            <v>1219</v>
          </cell>
          <cell r="H578">
            <v>2438</v>
          </cell>
          <cell r="I578" t="str">
            <v>A</v>
          </cell>
          <cell r="K578">
            <v>7</v>
          </cell>
          <cell r="L578">
            <v>196</v>
          </cell>
          <cell r="M578">
            <v>20051888</v>
          </cell>
          <cell r="N578">
            <v>38936</v>
          </cell>
          <cell r="P578" t="str">
            <v>IN6807D1D279801</v>
          </cell>
          <cell r="Q578" t="str">
            <v>กระดาษฉีกขาด</v>
          </cell>
        </row>
        <row r="579">
          <cell r="A579">
            <v>50058886</v>
          </cell>
          <cell r="B579">
            <v>578</v>
          </cell>
          <cell r="C579" t="str">
            <v>CF01/1</v>
          </cell>
          <cell r="D579" t="str">
            <v>HR SPHC</v>
          </cell>
          <cell r="E579" t="str">
            <v>AA1</v>
          </cell>
          <cell r="F579">
            <v>7</v>
          </cell>
          <cell r="G579">
            <v>160</v>
          </cell>
          <cell r="H579">
            <v>609</v>
          </cell>
          <cell r="I579" t="str">
            <v>A</v>
          </cell>
          <cell r="K579">
            <v>100</v>
          </cell>
          <cell r="L579">
            <v>537</v>
          </cell>
          <cell r="M579">
            <v>50058886</v>
          </cell>
          <cell r="N579">
            <v>38287</v>
          </cell>
          <cell r="P579" t="str">
            <v>IN4A27D6E404101</v>
          </cell>
          <cell r="Q579" t="str">
            <v>แผ่นรองและสายรัดเป็นสนิม</v>
          </cell>
        </row>
        <row r="580">
          <cell r="A580">
            <v>50062810</v>
          </cell>
          <cell r="B580">
            <v>579</v>
          </cell>
          <cell r="C580" t="str">
            <v>CF01/1</v>
          </cell>
          <cell r="D580" t="str">
            <v>HR SPHC</v>
          </cell>
          <cell r="E580" t="str">
            <v>AA1</v>
          </cell>
          <cell r="F580">
            <v>7</v>
          </cell>
          <cell r="G580">
            <v>160</v>
          </cell>
          <cell r="H580">
            <v>609</v>
          </cell>
          <cell r="I580" t="str">
            <v>A</v>
          </cell>
          <cell r="K580">
            <v>80</v>
          </cell>
          <cell r="L580">
            <v>429</v>
          </cell>
          <cell r="M580">
            <v>50062810</v>
          </cell>
          <cell r="N580">
            <v>38322</v>
          </cell>
          <cell r="P580" t="str">
            <v>IN4C01D1RSSS01</v>
          </cell>
          <cell r="Q580" t="str">
            <v>แผ่นรองและสายรัดเป็นสนิม</v>
          </cell>
        </row>
        <row r="581">
          <cell r="A581">
            <v>50066753</v>
          </cell>
          <cell r="B581">
            <v>580</v>
          </cell>
          <cell r="C581" t="str">
            <v>CF01/1</v>
          </cell>
          <cell r="D581" t="str">
            <v>HR SPHC</v>
          </cell>
          <cell r="E581" t="str">
            <v>AA1</v>
          </cell>
          <cell r="F581">
            <v>7</v>
          </cell>
          <cell r="G581">
            <v>160</v>
          </cell>
          <cell r="H581">
            <v>609</v>
          </cell>
          <cell r="I581" t="str">
            <v>A</v>
          </cell>
          <cell r="K581">
            <v>5</v>
          </cell>
          <cell r="L581">
            <v>27</v>
          </cell>
          <cell r="M581">
            <v>50066753</v>
          </cell>
          <cell r="N581" t="str">
            <v>11/01//05</v>
          </cell>
          <cell r="P581" t="str">
            <v>IN5111D1RSSS01</v>
          </cell>
          <cell r="Q581" t="str">
            <v>แผ่นรองและสายรัดเป็นสนิม</v>
          </cell>
        </row>
        <row r="582">
          <cell r="A582">
            <v>50138157</v>
          </cell>
          <cell r="B582">
            <v>581</v>
          </cell>
          <cell r="C582" t="str">
            <v>CF01/1</v>
          </cell>
          <cell r="D582" t="str">
            <v>HR SAPH400</v>
          </cell>
          <cell r="E582" t="str">
            <v>AA4</v>
          </cell>
          <cell r="F582">
            <v>8</v>
          </cell>
          <cell r="G582">
            <v>88</v>
          </cell>
          <cell r="H582">
            <v>135</v>
          </cell>
          <cell r="I582" t="str">
            <v>A</v>
          </cell>
          <cell r="K582">
            <v>54</v>
          </cell>
          <cell r="L582">
            <v>39</v>
          </cell>
          <cell r="M582">
            <v>50138157</v>
          </cell>
          <cell r="N582">
            <v>38926</v>
          </cell>
          <cell r="P582" t="str">
            <v>IN6728D1R248501</v>
          </cell>
          <cell r="Q582" t="str">
            <v>แผ่นรองและสายรัดเป็นสนิม</v>
          </cell>
        </row>
        <row r="583">
          <cell r="A583">
            <v>50073608</v>
          </cell>
          <cell r="B583">
            <v>582</v>
          </cell>
          <cell r="C583" t="str">
            <v>CF01/1</v>
          </cell>
          <cell r="D583" t="str">
            <v>HR SAPH401</v>
          </cell>
          <cell r="E583" t="str">
            <v>AA4</v>
          </cell>
          <cell r="F583">
            <v>8</v>
          </cell>
          <cell r="G583">
            <v>140</v>
          </cell>
          <cell r="H583">
            <v>1219</v>
          </cell>
          <cell r="I583" t="str">
            <v>A</v>
          </cell>
          <cell r="K583">
            <v>1</v>
          </cell>
          <cell r="L583">
            <v>11</v>
          </cell>
          <cell r="M583">
            <v>50073608</v>
          </cell>
          <cell r="N583">
            <v>38418</v>
          </cell>
          <cell r="P583" t="str">
            <v>IN5307D1RSSS01</v>
          </cell>
          <cell r="Q583" t="str">
            <v>แผ่นรองและสายรัดเป็นสนิม</v>
          </cell>
        </row>
        <row r="584">
          <cell r="A584">
            <v>50100188</v>
          </cell>
          <cell r="B584">
            <v>583</v>
          </cell>
          <cell r="C584" t="str">
            <v>CF01/1</v>
          </cell>
          <cell r="D584" t="str">
            <v>SPCC-SD</v>
          </cell>
          <cell r="E584" t="str">
            <v>AF1</v>
          </cell>
          <cell r="F584">
            <v>0.5</v>
          </cell>
          <cell r="G584">
            <v>103</v>
          </cell>
          <cell r="H584">
            <v>352</v>
          </cell>
          <cell r="I584" t="str">
            <v>A</v>
          </cell>
          <cell r="K584">
            <v>2500</v>
          </cell>
          <cell r="L584">
            <v>360</v>
          </cell>
          <cell r="M584">
            <v>50100188</v>
          </cell>
          <cell r="N584">
            <v>38623</v>
          </cell>
          <cell r="P584" t="str">
            <v>FN5928D1M328401</v>
          </cell>
          <cell r="Q584" t="str">
            <v>แผ่นรองและสายรัดเป็นสนิม</v>
          </cell>
        </row>
        <row r="585">
          <cell r="A585">
            <v>50100260</v>
          </cell>
          <cell r="B585">
            <v>584</v>
          </cell>
          <cell r="C585" t="str">
            <v>CF01/1</v>
          </cell>
          <cell r="D585" t="str">
            <v>SPCC-SD</v>
          </cell>
          <cell r="E585" t="str">
            <v>AF1</v>
          </cell>
          <cell r="F585">
            <v>0.5</v>
          </cell>
          <cell r="G585">
            <v>103</v>
          </cell>
          <cell r="H585">
            <v>352</v>
          </cell>
          <cell r="I585" t="str">
            <v>A</v>
          </cell>
          <cell r="K585">
            <v>2500</v>
          </cell>
          <cell r="L585">
            <v>360</v>
          </cell>
          <cell r="M585">
            <v>50100260</v>
          </cell>
          <cell r="N585">
            <v>38623</v>
          </cell>
          <cell r="P585" t="str">
            <v>FN5928D1M328401</v>
          </cell>
          <cell r="Q585" t="str">
            <v>แผ่นรองและสายรัดเป็นสนิม</v>
          </cell>
        </row>
        <row r="586">
          <cell r="A586">
            <v>50101003</v>
          </cell>
          <cell r="B586">
            <v>585</v>
          </cell>
          <cell r="C586" t="str">
            <v>CF01/1</v>
          </cell>
          <cell r="D586" t="str">
            <v>SPCC-SD</v>
          </cell>
          <cell r="E586" t="str">
            <v>AF1</v>
          </cell>
          <cell r="F586">
            <v>0.5</v>
          </cell>
          <cell r="G586">
            <v>128</v>
          </cell>
          <cell r="H586">
            <v>900</v>
          </cell>
          <cell r="I586" t="str">
            <v>A</v>
          </cell>
          <cell r="K586">
            <v>570</v>
          </cell>
          <cell r="L586">
            <v>258</v>
          </cell>
          <cell r="M586">
            <v>50101003</v>
          </cell>
          <cell r="N586">
            <v>38632</v>
          </cell>
          <cell r="P586" t="str">
            <v>FN5A07D1M339601</v>
          </cell>
          <cell r="Q586" t="str">
            <v>แผ่นรองและสายรัดเป็นสนิม</v>
          </cell>
        </row>
        <row r="587">
          <cell r="A587">
            <v>50099230</v>
          </cell>
          <cell r="B587">
            <v>586</v>
          </cell>
          <cell r="C587" t="str">
            <v>CF01/1</v>
          </cell>
          <cell r="D587" t="str">
            <v>SPCC-SD</v>
          </cell>
          <cell r="E587" t="str">
            <v>AF1</v>
          </cell>
          <cell r="F587">
            <v>0.5</v>
          </cell>
          <cell r="G587">
            <v>320</v>
          </cell>
          <cell r="H587">
            <v>650</v>
          </cell>
          <cell r="I587" t="str">
            <v>A</v>
          </cell>
          <cell r="K587">
            <v>220</v>
          </cell>
          <cell r="L587">
            <v>180</v>
          </cell>
          <cell r="M587">
            <v>50099230</v>
          </cell>
          <cell r="N587">
            <v>38612</v>
          </cell>
          <cell r="P587" t="str">
            <v>FN5917D1D305101</v>
          </cell>
          <cell r="Q587" t="str">
            <v>แผ่นรองและสายรัดเป็นสนิม</v>
          </cell>
        </row>
        <row r="588">
          <cell r="A588">
            <v>50113312</v>
          </cell>
          <cell r="B588">
            <v>587</v>
          </cell>
          <cell r="C588" t="str">
            <v>CF01/1</v>
          </cell>
          <cell r="D588" t="str">
            <v>SPCC-SD</v>
          </cell>
          <cell r="E588" t="str">
            <v>AF1</v>
          </cell>
          <cell r="F588">
            <v>0.5</v>
          </cell>
          <cell r="G588">
            <v>320</v>
          </cell>
          <cell r="H588">
            <v>650</v>
          </cell>
          <cell r="I588" t="str">
            <v>A</v>
          </cell>
          <cell r="K588">
            <v>286</v>
          </cell>
          <cell r="L588">
            <v>235</v>
          </cell>
          <cell r="M588">
            <v>50113312</v>
          </cell>
          <cell r="N588">
            <v>38727</v>
          </cell>
          <cell r="P588" t="str">
            <v>IN6110D1R295201</v>
          </cell>
          <cell r="Q588" t="str">
            <v>แผ่นรองและสายรัดเป็นสนิม</v>
          </cell>
        </row>
        <row r="589">
          <cell r="A589">
            <v>50127650</v>
          </cell>
          <cell r="B589">
            <v>588</v>
          </cell>
          <cell r="C589" t="str">
            <v>CF01/1</v>
          </cell>
          <cell r="D589" t="str">
            <v>SPCC-SD</v>
          </cell>
          <cell r="E589" t="str">
            <v>AF1</v>
          </cell>
          <cell r="F589">
            <v>0.5</v>
          </cell>
          <cell r="G589">
            <v>356</v>
          </cell>
          <cell r="H589">
            <v>484</v>
          </cell>
          <cell r="I589" t="str">
            <v>A</v>
          </cell>
          <cell r="K589">
            <v>357</v>
          </cell>
          <cell r="L589">
            <v>245</v>
          </cell>
          <cell r="M589">
            <v>50127650</v>
          </cell>
          <cell r="N589">
            <v>38835</v>
          </cell>
          <cell r="P589" t="str">
            <v>IN6428D3R974201</v>
          </cell>
          <cell r="Q589" t="str">
            <v>แผ่นรองและสายรัดเป็นสนิม</v>
          </cell>
        </row>
        <row r="590">
          <cell r="A590">
            <v>50103584</v>
          </cell>
          <cell r="B590">
            <v>589</v>
          </cell>
          <cell r="C590" t="str">
            <v>CF01/1</v>
          </cell>
          <cell r="D590" t="str">
            <v>SPCC-SD</v>
          </cell>
          <cell r="E590" t="str">
            <v>AF1</v>
          </cell>
          <cell r="F590">
            <v>0.5</v>
          </cell>
          <cell r="G590">
            <v>380</v>
          </cell>
          <cell r="H590">
            <v>485</v>
          </cell>
          <cell r="I590" t="str">
            <v>A</v>
          </cell>
          <cell r="K590">
            <v>142</v>
          </cell>
          <cell r="L590">
            <v>103</v>
          </cell>
          <cell r="M590">
            <v>50103584</v>
          </cell>
          <cell r="N590">
            <v>38650</v>
          </cell>
          <cell r="P590" t="str">
            <v>FN5A25D3D368401</v>
          </cell>
          <cell r="Q590" t="str">
            <v>แผ่นรองและสายรัดเป็นสนิม</v>
          </cell>
        </row>
        <row r="591">
          <cell r="A591">
            <v>50066693</v>
          </cell>
          <cell r="B591">
            <v>590</v>
          </cell>
          <cell r="C591" t="str">
            <v>CF01/1</v>
          </cell>
          <cell r="D591" t="str">
            <v>SPCC-SD</v>
          </cell>
          <cell r="E591" t="str">
            <v>AF1</v>
          </cell>
          <cell r="F591">
            <v>0.5</v>
          </cell>
          <cell r="G591">
            <v>462</v>
          </cell>
          <cell r="H591">
            <v>905</v>
          </cell>
          <cell r="I591" t="str">
            <v>A</v>
          </cell>
          <cell r="K591">
            <v>142</v>
          </cell>
          <cell r="L591">
            <v>233</v>
          </cell>
          <cell r="M591">
            <v>50066693</v>
          </cell>
          <cell r="N591">
            <v>38362</v>
          </cell>
          <cell r="P591" t="str">
            <v>FN5110D1M593401</v>
          </cell>
          <cell r="Q591" t="str">
            <v>แผ่นรองและสายรัดเป็นสนิม</v>
          </cell>
        </row>
        <row r="592">
          <cell r="A592">
            <v>50101948</v>
          </cell>
          <cell r="B592">
            <v>591</v>
          </cell>
          <cell r="C592" t="str">
            <v>CF01/1</v>
          </cell>
          <cell r="D592" t="str">
            <v>SPCC-SD</v>
          </cell>
          <cell r="E592" t="str">
            <v>AF1</v>
          </cell>
          <cell r="F592">
            <v>0.5</v>
          </cell>
          <cell r="G592">
            <v>474</v>
          </cell>
          <cell r="H592">
            <v>966</v>
          </cell>
          <cell r="I592" t="str">
            <v>A</v>
          </cell>
          <cell r="K592">
            <v>105</v>
          </cell>
          <cell r="L592">
            <v>189</v>
          </cell>
          <cell r="M592">
            <v>50101948</v>
          </cell>
          <cell r="N592">
            <v>38639</v>
          </cell>
          <cell r="P592" t="str">
            <v>IN5A14D3M381401</v>
          </cell>
          <cell r="Q592" t="str">
            <v>แผ่นรองและสายรัดเป็นสนิม</v>
          </cell>
        </row>
        <row r="593">
          <cell r="A593">
            <v>50082903</v>
          </cell>
          <cell r="B593">
            <v>592</v>
          </cell>
          <cell r="C593" t="str">
            <v>CF01/1</v>
          </cell>
          <cell r="D593" t="str">
            <v>SPCC-SD</v>
          </cell>
          <cell r="E593" t="str">
            <v>AF1</v>
          </cell>
          <cell r="F593">
            <v>0.5</v>
          </cell>
          <cell r="G593">
            <v>481</v>
          </cell>
          <cell r="H593">
            <v>495</v>
          </cell>
          <cell r="I593" t="str">
            <v>A</v>
          </cell>
          <cell r="K593">
            <v>212</v>
          </cell>
          <cell r="L593">
            <v>198</v>
          </cell>
          <cell r="M593">
            <v>50082903</v>
          </cell>
          <cell r="N593">
            <v>38485</v>
          </cell>
          <cell r="P593" t="str">
            <v>FN5513D1D956501</v>
          </cell>
          <cell r="Q593" t="str">
            <v>แผ่นรองและสายรัดเป็นสนิม</v>
          </cell>
        </row>
        <row r="594">
          <cell r="A594">
            <v>50094862</v>
          </cell>
          <cell r="B594">
            <v>593</v>
          </cell>
          <cell r="C594" t="str">
            <v>CF01/1</v>
          </cell>
          <cell r="D594" t="str">
            <v>SPCC-SD</v>
          </cell>
          <cell r="E594" t="str">
            <v>AF1</v>
          </cell>
          <cell r="F594">
            <v>0.6</v>
          </cell>
          <cell r="G594">
            <v>105</v>
          </cell>
          <cell r="H594">
            <v>1219</v>
          </cell>
          <cell r="I594" t="str">
            <v>A</v>
          </cell>
          <cell r="K594">
            <v>12</v>
          </cell>
          <cell r="L594">
            <v>7</v>
          </cell>
          <cell r="M594">
            <v>50094862</v>
          </cell>
          <cell r="N594">
            <v>38579</v>
          </cell>
          <cell r="P594" t="str">
            <v>IN5815D1R21690101</v>
          </cell>
          <cell r="Q594" t="str">
            <v>แผ่นรองและสายรัดเป็นสนิม</v>
          </cell>
        </row>
        <row r="595">
          <cell r="A595">
            <v>50104714</v>
          </cell>
          <cell r="B595">
            <v>594</v>
          </cell>
          <cell r="C595" t="str">
            <v>CF01/1</v>
          </cell>
          <cell r="D595" t="str">
            <v>SPCC-SD</v>
          </cell>
          <cell r="E595" t="str">
            <v>AF1</v>
          </cell>
          <cell r="F595">
            <v>0.6</v>
          </cell>
          <cell r="G595">
            <v>123</v>
          </cell>
          <cell r="H595">
            <v>540</v>
          </cell>
          <cell r="I595" t="str">
            <v>A</v>
          </cell>
          <cell r="K595">
            <v>627</v>
          </cell>
          <cell r="L595">
            <v>197</v>
          </cell>
          <cell r="M595">
            <v>50104714</v>
          </cell>
          <cell r="N595">
            <v>38658</v>
          </cell>
          <cell r="P595" t="str">
            <v>FN5B02N2R417201</v>
          </cell>
          <cell r="Q595" t="str">
            <v>สภาพปกติ</v>
          </cell>
        </row>
        <row r="596">
          <cell r="A596">
            <v>50131545</v>
          </cell>
          <cell r="B596">
            <v>595</v>
          </cell>
          <cell r="C596" t="str">
            <v>CF01/1</v>
          </cell>
          <cell r="D596" t="str">
            <v>SPCC-SD</v>
          </cell>
          <cell r="E596" t="str">
            <v>AF1</v>
          </cell>
          <cell r="F596">
            <v>0.6</v>
          </cell>
          <cell r="G596">
            <v>123</v>
          </cell>
          <cell r="H596">
            <v>540</v>
          </cell>
          <cell r="I596" t="str">
            <v>A</v>
          </cell>
          <cell r="K596">
            <v>787</v>
          </cell>
          <cell r="L596">
            <v>244</v>
          </cell>
          <cell r="M596">
            <v>50131545</v>
          </cell>
          <cell r="N596">
            <v>38871</v>
          </cell>
          <cell r="P596" t="str">
            <v>FN6603N1M062702</v>
          </cell>
          <cell r="Q596" t="str">
            <v>สภาพปกติ</v>
          </cell>
        </row>
        <row r="597">
          <cell r="A597">
            <v>50113221</v>
          </cell>
          <cell r="B597">
            <v>596</v>
          </cell>
          <cell r="C597" t="str">
            <v>CF01/1</v>
          </cell>
          <cell r="D597" t="str">
            <v>SPCC-SD</v>
          </cell>
          <cell r="E597" t="str">
            <v>AF1</v>
          </cell>
          <cell r="F597">
            <v>0.6</v>
          </cell>
          <cell r="G597">
            <v>170</v>
          </cell>
          <cell r="H597">
            <v>260</v>
          </cell>
          <cell r="I597" t="str">
            <v>A</v>
          </cell>
          <cell r="K597">
            <v>108</v>
          </cell>
          <cell r="L597">
            <v>227</v>
          </cell>
          <cell r="M597">
            <v>50113221</v>
          </cell>
          <cell r="N597">
            <v>38727</v>
          </cell>
          <cell r="P597" t="str">
            <v>FN6110D1R295301</v>
          </cell>
          <cell r="Q597" t="str">
            <v>แผ่นรองและสายรัดเป็นสนิม</v>
          </cell>
        </row>
        <row r="598">
          <cell r="A598">
            <v>50115270</v>
          </cell>
          <cell r="B598">
            <v>597</v>
          </cell>
          <cell r="C598" t="str">
            <v>CF01/1</v>
          </cell>
          <cell r="D598" t="str">
            <v>SPCC-SD</v>
          </cell>
          <cell r="E598" t="str">
            <v>AF1</v>
          </cell>
          <cell r="F598">
            <v>0.6</v>
          </cell>
          <cell r="G598">
            <v>205</v>
          </cell>
          <cell r="H598">
            <v>1130</v>
          </cell>
          <cell r="I598" t="str">
            <v>A</v>
          </cell>
          <cell r="K598">
            <v>50</v>
          </cell>
          <cell r="L598">
            <v>54</v>
          </cell>
          <cell r="M598">
            <v>50115270</v>
          </cell>
          <cell r="N598">
            <v>38743</v>
          </cell>
          <cell r="P598" t="str">
            <v>IN6126N3D671801</v>
          </cell>
          <cell r="Q598" t="str">
            <v>แผ่นรองและสายรัดเป็นสนิม</v>
          </cell>
        </row>
        <row r="599">
          <cell r="A599">
            <v>50084630</v>
          </cell>
          <cell r="B599">
            <v>598</v>
          </cell>
          <cell r="C599" t="str">
            <v>CF01/1</v>
          </cell>
          <cell r="D599" t="str">
            <v>SPCC-SD</v>
          </cell>
          <cell r="E599" t="str">
            <v>AF1</v>
          </cell>
          <cell r="F599">
            <v>0.6</v>
          </cell>
          <cell r="G599">
            <v>220</v>
          </cell>
          <cell r="H599">
            <v>320</v>
          </cell>
          <cell r="I599" t="str">
            <v>A</v>
          </cell>
          <cell r="K599">
            <v>70</v>
          </cell>
          <cell r="L599">
            <v>23</v>
          </cell>
          <cell r="M599">
            <v>50084630</v>
          </cell>
          <cell r="N599">
            <v>38497</v>
          </cell>
          <cell r="P599" t="str">
            <v>FN5525D1RSSSS01</v>
          </cell>
          <cell r="Q599" t="str">
            <v>สภาพปกติ</v>
          </cell>
        </row>
        <row r="600">
          <cell r="A600">
            <v>50090075</v>
          </cell>
          <cell r="B600">
            <v>599</v>
          </cell>
          <cell r="C600" t="str">
            <v>CF01/1</v>
          </cell>
          <cell r="D600" t="str">
            <v>SPCC-SD</v>
          </cell>
          <cell r="E600" t="str">
            <v>AF1</v>
          </cell>
          <cell r="F600">
            <v>0.6</v>
          </cell>
          <cell r="G600">
            <v>220</v>
          </cell>
          <cell r="H600">
            <v>320</v>
          </cell>
          <cell r="I600" t="str">
            <v>A</v>
          </cell>
          <cell r="K600">
            <v>20</v>
          </cell>
          <cell r="L600">
            <v>6</v>
          </cell>
          <cell r="M600">
            <v>50090075</v>
          </cell>
          <cell r="N600">
            <v>38541</v>
          </cell>
          <cell r="P600" t="str">
            <v>IN5708D1RSSSS01</v>
          </cell>
          <cell r="Q600" t="str">
            <v>แผ่นรองและสายรัดเป็นสนิม, กระดาษฉีกขาด</v>
          </cell>
        </row>
        <row r="601">
          <cell r="A601">
            <v>50139509</v>
          </cell>
          <cell r="B601">
            <v>600</v>
          </cell>
          <cell r="C601" t="str">
            <v>CF01/1</v>
          </cell>
          <cell r="D601" t="str">
            <v>SPCC-SD</v>
          </cell>
          <cell r="E601" t="str">
            <v>AF1</v>
          </cell>
          <cell r="F601">
            <v>0.6</v>
          </cell>
          <cell r="G601">
            <v>260</v>
          </cell>
          <cell r="H601">
            <v>565</v>
          </cell>
          <cell r="I601" t="str">
            <v>A</v>
          </cell>
          <cell r="K601">
            <v>576</v>
          </cell>
          <cell r="L601">
            <v>397</v>
          </cell>
          <cell r="M601">
            <v>50139509</v>
          </cell>
          <cell r="N601">
            <v>38937</v>
          </cell>
          <cell r="P601" t="str">
            <v>FN6808D3M279601</v>
          </cell>
          <cell r="Q601" t="str">
            <v>สภาพปกติ</v>
          </cell>
        </row>
        <row r="602">
          <cell r="A602">
            <v>50139914</v>
          </cell>
          <cell r="B602">
            <v>601</v>
          </cell>
          <cell r="C602" t="str">
            <v>CF01/1</v>
          </cell>
          <cell r="D602" t="str">
            <v>SPCC-SD</v>
          </cell>
          <cell r="E602" t="str">
            <v>AF1</v>
          </cell>
          <cell r="F602">
            <v>0.6</v>
          </cell>
          <cell r="G602">
            <v>270</v>
          </cell>
          <cell r="H602">
            <v>580</v>
          </cell>
          <cell r="I602" t="str">
            <v>A</v>
          </cell>
          <cell r="K602">
            <v>222</v>
          </cell>
          <cell r="L602">
            <v>164</v>
          </cell>
          <cell r="M602">
            <v>50139914</v>
          </cell>
          <cell r="N602">
            <v>38943</v>
          </cell>
          <cell r="O602" t="str">
            <v>126417SUD002</v>
          </cell>
          <cell r="P602" t="str">
            <v>IN6814D3M286201</v>
          </cell>
          <cell r="Q602" t="str">
            <v>สภาพปกติ</v>
          </cell>
        </row>
        <row r="603">
          <cell r="A603">
            <v>50105439</v>
          </cell>
          <cell r="B603">
            <v>602</v>
          </cell>
          <cell r="C603" t="str">
            <v>CF01/1</v>
          </cell>
          <cell r="D603" t="str">
            <v>SPCC-SD</v>
          </cell>
          <cell r="E603" t="str">
            <v>AF1</v>
          </cell>
          <cell r="F603">
            <v>0.6</v>
          </cell>
          <cell r="G603">
            <v>285</v>
          </cell>
          <cell r="H603">
            <v>565</v>
          </cell>
          <cell r="I603" t="str">
            <v>A</v>
          </cell>
          <cell r="K603">
            <v>546</v>
          </cell>
          <cell r="L603">
            <v>414</v>
          </cell>
          <cell r="M603">
            <v>50105439</v>
          </cell>
          <cell r="N603">
            <v>38664</v>
          </cell>
          <cell r="P603" t="str">
            <v>FN5B08D1R457901</v>
          </cell>
          <cell r="Q603" t="str">
            <v>แผ่นรองและสายรัดเป็นสนิม</v>
          </cell>
        </row>
        <row r="604">
          <cell r="A604">
            <v>50134007</v>
          </cell>
          <cell r="B604">
            <v>603</v>
          </cell>
          <cell r="C604" t="str">
            <v>CF01/1</v>
          </cell>
          <cell r="D604" t="str">
            <v>SPCC-SD</v>
          </cell>
          <cell r="E604" t="str">
            <v>AF1</v>
          </cell>
          <cell r="F604">
            <v>0.6</v>
          </cell>
          <cell r="G604">
            <v>285</v>
          </cell>
          <cell r="H604">
            <v>565</v>
          </cell>
          <cell r="I604" t="str">
            <v>A</v>
          </cell>
          <cell r="K604">
            <v>494</v>
          </cell>
          <cell r="L604">
            <v>375</v>
          </cell>
          <cell r="M604">
            <v>50134007</v>
          </cell>
          <cell r="N604">
            <v>38891</v>
          </cell>
          <cell r="P604" t="str">
            <v>FN6623D3R121202</v>
          </cell>
          <cell r="Q604" t="str">
            <v>สภาพปกติ</v>
          </cell>
        </row>
        <row r="605">
          <cell r="A605">
            <v>50139935</v>
          </cell>
          <cell r="B605">
            <v>604</v>
          </cell>
          <cell r="C605" t="str">
            <v>CF01/1</v>
          </cell>
          <cell r="D605" t="str">
            <v>SPCC-SD</v>
          </cell>
          <cell r="E605" t="str">
            <v>AF1</v>
          </cell>
          <cell r="F605">
            <v>0.6</v>
          </cell>
          <cell r="G605">
            <v>285</v>
          </cell>
          <cell r="H605">
            <v>565</v>
          </cell>
          <cell r="I605" t="str">
            <v>A</v>
          </cell>
          <cell r="K605">
            <v>733</v>
          </cell>
          <cell r="L605">
            <v>557</v>
          </cell>
          <cell r="M605">
            <v>50139935</v>
          </cell>
          <cell r="N605">
            <v>38943</v>
          </cell>
          <cell r="P605" t="str">
            <v>FN6814D1D266303</v>
          </cell>
          <cell r="Q605" t="str">
            <v>สภาพปกติ</v>
          </cell>
        </row>
        <row r="606">
          <cell r="A606">
            <v>50139343</v>
          </cell>
          <cell r="B606">
            <v>605</v>
          </cell>
          <cell r="C606" t="str">
            <v>CF01/1</v>
          </cell>
          <cell r="D606" t="str">
            <v>SPCC-SD</v>
          </cell>
          <cell r="E606" t="str">
            <v>AF1</v>
          </cell>
          <cell r="F606">
            <v>0.6</v>
          </cell>
          <cell r="G606">
            <v>300</v>
          </cell>
          <cell r="H606">
            <v>565</v>
          </cell>
          <cell r="I606" t="str">
            <v>A</v>
          </cell>
          <cell r="K606">
            <v>235</v>
          </cell>
          <cell r="L606">
            <v>188</v>
          </cell>
          <cell r="M606">
            <v>50139343</v>
          </cell>
          <cell r="N606">
            <v>38935</v>
          </cell>
          <cell r="P606" t="str">
            <v>FN6806N3M268101</v>
          </cell>
          <cell r="Q606" t="str">
            <v>สภาพปกติ</v>
          </cell>
        </row>
        <row r="607">
          <cell r="A607">
            <v>50140385</v>
          </cell>
          <cell r="B607">
            <v>606</v>
          </cell>
          <cell r="C607" t="str">
            <v>CF01/1</v>
          </cell>
          <cell r="D607" t="str">
            <v>SPCC-SD</v>
          </cell>
          <cell r="E607" t="str">
            <v>AF1</v>
          </cell>
          <cell r="F607">
            <v>0.6</v>
          </cell>
          <cell r="G607">
            <v>300</v>
          </cell>
          <cell r="H607">
            <v>565</v>
          </cell>
          <cell r="I607" t="str">
            <v>A</v>
          </cell>
          <cell r="K607">
            <v>157</v>
          </cell>
          <cell r="L607">
            <v>125</v>
          </cell>
          <cell r="M607">
            <v>50140385</v>
          </cell>
          <cell r="N607">
            <v>38948</v>
          </cell>
          <cell r="P607" t="str">
            <v>FN6819D3M305302</v>
          </cell>
          <cell r="Q607" t="str">
            <v>สภาพปกติ</v>
          </cell>
        </row>
        <row r="608">
          <cell r="A608">
            <v>50139273</v>
          </cell>
          <cell r="B608">
            <v>607</v>
          </cell>
          <cell r="C608" t="str">
            <v>CF01/1</v>
          </cell>
          <cell r="D608" t="str">
            <v>SPCC-SD</v>
          </cell>
          <cell r="E608" t="str">
            <v>AF1</v>
          </cell>
          <cell r="F608">
            <v>0.6</v>
          </cell>
          <cell r="G608">
            <v>300</v>
          </cell>
          <cell r="H608">
            <v>580</v>
          </cell>
          <cell r="I608" t="str">
            <v>A</v>
          </cell>
          <cell r="K608">
            <v>265</v>
          </cell>
          <cell r="L608">
            <v>217</v>
          </cell>
          <cell r="M608">
            <v>50139273</v>
          </cell>
          <cell r="N608">
            <v>38934</v>
          </cell>
          <cell r="P608" t="str">
            <v>FN6805D3M275201</v>
          </cell>
          <cell r="Q608" t="str">
            <v>สภาพปกติ</v>
          </cell>
        </row>
        <row r="609">
          <cell r="A609">
            <v>50140155</v>
          </cell>
          <cell r="B609">
            <v>608</v>
          </cell>
          <cell r="C609" t="str">
            <v>CF01/1</v>
          </cell>
          <cell r="D609" t="str">
            <v>SPCC-SD</v>
          </cell>
          <cell r="E609" t="str">
            <v>AF1</v>
          </cell>
          <cell r="F609">
            <v>0.6</v>
          </cell>
          <cell r="G609">
            <v>300</v>
          </cell>
          <cell r="H609">
            <v>580</v>
          </cell>
          <cell r="I609" t="str">
            <v>A</v>
          </cell>
          <cell r="K609">
            <v>138</v>
          </cell>
          <cell r="L609">
            <v>113</v>
          </cell>
          <cell r="M609">
            <v>50140155</v>
          </cell>
          <cell r="N609">
            <v>38946</v>
          </cell>
          <cell r="P609" t="str">
            <v>FN6817D3M295202</v>
          </cell>
          <cell r="Q609" t="str">
            <v>สภาพปกติ</v>
          </cell>
        </row>
        <row r="610">
          <cell r="A610">
            <v>50123178</v>
          </cell>
          <cell r="B610">
            <v>609</v>
          </cell>
          <cell r="C610" t="str">
            <v>CF01/1</v>
          </cell>
          <cell r="D610" t="str">
            <v>SPCC-SD</v>
          </cell>
          <cell r="E610" t="str">
            <v>AF1</v>
          </cell>
          <cell r="F610">
            <v>0.6</v>
          </cell>
          <cell r="G610">
            <v>300</v>
          </cell>
          <cell r="H610">
            <v>605</v>
          </cell>
          <cell r="I610" t="str">
            <v>A</v>
          </cell>
          <cell r="K610">
            <v>344</v>
          </cell>
          <cell r="L610">
            <v>294</v>
          </cell>
          <cell r="M610">
            <v>50123178</v>
          </cell>
          <cell r="N610">
            <v>38796</v>
          </cell>
          <cell r="P610" t="str">
            <v>FN6320D1RSSSS01</v>
          </cell>
          <cell r="Q610" t="str">
            <v>แผ่นรองและสายรัดเป็นสนิม</v>
          </cell>
        </row>
        <row r="611">
          <cell r="A611">
            <v>50140865</v>
          </cell>
          <cell r="B611">
            <v>610</v>
          </cell>
          <cell r="C611" t="str">
            <v>CF01/1</v>
          </cell>
          <cell r="D611" t="str">
            <v>SPCC-SD</v>
          </cell>
          <cell r="E611" t="str">
            <v>AF1</v>
          </cell>
          <cell r="F611">
            <v>0.6</v>
          </cell>
          <cell r="G611">
            <v>305</v>
          </cell>
          <cell r="H611">
            <v>605</v>
          </cell>
          <cell r="I611" t="str">
            <v>A</v>
          </cell>
          <cell r="K611">
            <v>179</v>
          </cell>
          <cell r="L611">
            <v>156</v>
          </cell>
          <cell r="M611">
            <v>50140865</v>
          </cell>
          <cell r="N611">
            <v>38953</v>
          </cell>
          <cell r="P611" t="str">
            <v>FN6824N3M320201</v>
          </cell>
          <cell r="Q611" t="str">
            <v>สภาพปกติ</v>
          </cell>
        </row>
        <row r="612">
          <cell r="A612">
            <v>50140916</v>
          </cell>
          <cell r="B612">
            <v>611</v>
          </cell>
          <cell r="C612" t="str">
            <v>CF01/1</v>
          </cell>
          <cell r="D612" t="str">
            <v>SPCC-SD</v>
          </cell>
          <cell r="E612" t="str">
            <v>AF1</v>
          </cell>
          <cell r="F612">
            <v>0.6</v>
          </cell>
          <cell r="G612">
            <v>305</v>
          </cell>
          <cell r="H612">
            <v>605</v>
          </cell>
          <cell r="I612" t="str">
            <v>A</v>
          </cell>
          <cell r="K612">
            <v>60</v>
          </cell>
          <cell r="L612">
            <v>52</v>
          </cell>
          <cell r="M612">
            <v>50140916</v>
          </cell>
          <cell r="N612">
            <v>38953</v>
          </cell>
          <cell r="P612" t="str">
            <v>FN6824D1R319802</v>
          </cell>
          <cell r="Q612" t="str">
            <v>สภาพปกติ</v>
          </cell>
        </row>
        <row r="613">
          <cell r="A613">
            <v>50132949</v>
          </cell>
          <cell r="B613">
            <v>612</v>
          </cell>
          <cell r="C613" t="str">
            <v>CF01/1</v>
          </cell>
          <cell r="D613" t="str">
            <v>SPCC-SD</v>
          </cell>
          <cell r="E613" t="str">
            <v>AF1</v>
          </cell>
          <cell r="F613">
            <v>0.6</v>
          </cell>
          <cell r="G613">
            <v>310</v>
          </cell>
          <cell r="H613">
            <v>605</v>
          </cell>
          <cell r="I613" t="str">
            <v>A</v>
          </cell>
          <cell r="K613">
            <v>670</v>
          </cell>
          <cell r="L613">
            <v>590</v>
          </cell>
          <cell r="M613">
            <v>50132949</v>
          </cell>
          <cell r="N613">
            <v>38881</v>
          </cell>
          <cell r="P613" t="str">
            <v>FN6613D3M085501</v>
          </cell>
          <cell r="Q613" t="str">
            <v>แผ่นรองและสายรัดเป็นสนิม</v>
          </cell>
        </row>
        <row r="614">
          <cell r="A614">
            <v>50088912</v>
          </cell>
          <cell r="B614">
            <v>613</v>
          </cell>
          <cell r="C614" t="str">
            <v>CF01/1</v>
          </cell>
          <cell r="D614" t="str">
            <v>SPCC-SD</v>
          </cell>
          <cell r="E614" t="str">
            <v>AF1</v>
          </cell>
          <cell r="F614">
            <v>0.6</v>
          </cell>
          <cell r="G614">
            <v>310</v>
          </cell>
          <cell r="H614">
            <v>620</v>
          </cell>
          <cell r="I614" t="str">
            <v>A</v>
          </cell>
          <cell r="K614">
            <v>10</v>
          </cell>
          <cell r="L614">
            <v>9</v>
          </cell>
          <cell r="M614">
            <v>50088912</v>
          </cell>
          <cell r="N614">
            <v>38532</v>
          </cell>
          <cell r="O614" t="str">
            <v>124A04SUD001</v>
          </cell>
          <cell r="P614" t="str">
            <v>FN5629D2RBBBB01</v>
          </cell>
          <cell r="Q614" t="str">
            <v>แผ่นรองและสายรัดเป็นสนิม</v>
          </cell>
        </row>
        <row r="615">
          <cell r="A615">
            <v>50139775</v>
          </cell>
          <cell r="B615">
            <v>614</v>
          </cell>
          <cell r="C615" t="str">
            <v>CF01/1</v>
          </cell>
          <cell r="D615" t="str">
            <v>SPCC-SD</v>
          </cell>
          <cell r="E615" t="str">
            <v>AF1</v>
          </cell>
          <cell r="F615">
            <v>0.6</v>
          </cell>
          <cell r="G615">
            <v>310</v>
          </cell>
          <cell r="H615">
            <v>620</v>
          </cell>
          <cell r="I615" t="str">
            <v>A</v>
          </cell>
          <cell r="K615">
            <v>150</v>
          </cell>
          <cell r="L615">
            <v>137</v>
          </cell>
          <cell r="M615">
            <v>50139775</v>
          </cell>
          <cell r="N615" t="str">
            <v>11//08/06</v>
          </cell>
          <cell r="O615" t="str">
            <v>124930TCD003</v>
          </cell>
          <cell r="P615" t="str">
            <v>FN6811N1D288502</v>
          </cell>
          <cell r="Q615" t="str">
            <v>สภาพปกติ</v>
          </cell>
        </row>
        <row r="616">
          <cell r="A616">
            <v>50134679</v>
          </cell>
          <cell r="B616">
            <v>615</v>
          </cell>
          <cell r="C616" t="str">
            <v>CF01/1</v>
          </cell>
          <cell r="D616" t="str">
            <v>SPCC-SD</v>
          </cell>
          <cell r="E616" t="str">
            <v>AF1</v>
          </cell>
          <cell r="F616">
            <v>0.6</v>
          </cell>
          <cell r="G616">
            <v>335</v>
          </cell>
          <cell r="H616">
            <v>620</v>
          </cell>
          <cell r="I616" t="str">
            <v>A</v>
          </cell>
          <cell r="K616">
            <v>200</v>
          </cell>
          <cell r="L616">
            <v>196</v>
          </cell>
          <cell r="M616">
            <v>50134679</v>
          </cell>
          <cell r="N616">
            <v>38896</v>
          </cell>
          <cell r="O616" t="str">
            <v>126619SUD015</v>
          </cell>
          <cell r="P616" t="str">
            <v>IN6628N3M147701</v>
          </cell>
          <cell r="Q616" t="str">
            <v>แผ่นรองและสายรัดเป็นสนิม</v>
          </cell>
        </row>
        <row r="617">
          <cell r="A617">
            <v>50137007</v>
          </cell>
          <cell r="B617">
            <v>616</v>
          </cell>
          <cell r="C617" t="str">
            <v>CF01/1</v>
          </cell>
          <cell r="D617" t="str">
            <v>SPCC-SD</v>
          </cell>
          <cell r="E617" t="str">
            <v>AF1</v>
          </cell>
          <cell r="F617">
            <v>0.6</v>
          </cell>
          <cell r="G617">
            <v>360</v>
          </cell>
          <cell r="H617">
            <v>520</v>
          </cell>
          <cell r="I617" t="str">
            <v>A</v>
          </cell>
          <cell r="K617">
            <v>85</v>
          </cell>
          <cell r="L617">
            <v>75</v>
          </cell>
          <cell r="M617">
            <v>50137007</v>
          </cell>
          <cell r="N617">
            <v>38916</v>
          </cell>
          <cell r="P617" t="str">
            <v>FN6718N3M210401</v>
          </cell>
          <cell r="Q617" t="str">
            <v>สภาพปกติ</v>
          </cell>
        </row>
        <row r="618">
          <cell r="A618">
            <v>50104216</v>
          </cell>
          <cell r="B618">
            <v>617</v>
          </cell>
          <cell r="C618" t="str">
            <v>CF01/1</v>
          </cell>
          <cell r="D618" t="str">
            <v>SPCC-SD</v>
          </cell>
          <cell r="E618" t="str">
            <v>AF1</v>
          </cell>
          <cell r="F618">
            <v>0.6</v>
          </cell>
          <cell r="G618">
            <v>492</v>
          </cell>
          <cell r="H618">
            <v>974</v>
          </cell>
          <cell r="I618" t="str">
            <v>A</v>
          </cell>
          <cell r="K618">
            <v>70</v>
          </cell>
          <cell r="L618">
            <v>158</v>
          </cell>
          <cell r="M618">
            <v>50104216</v>
          </cell>
          <cell r="N618">
            <v>38654</v>
          </cell>
          <cell r="P618" t="str">
            <v>FN5A29D1M386201</v>
          </cell>
          <cell r="Q618" t="str">
            <v>แผ่นรองและสายรัดเป็นสนิม</v>
          </cell>
        </row>
        <row r="619">
          <cell r="A619">
            <v>50114165</v>
          </cell>
          <cell r="B619">
            <v>618</v>
          </cell>
          <cell r="C619" t="str">
            <v>CF01/1</v>
          </cell>
          <cell r="D619" t="str">
            <v>SPCC-SD</v>
          </cell>
          <cell r="E619" t="str">
            <v>AF1</v>
          </cell>
          <cell r="F619">
            <v>0.6</v>
          </cell>
          <cell r="G619">
            <v>492</v>
          </cell>
          <cell r="H619">
            <v>974</v>
          </cell>
          <cell r="I619" t="str">
            <v>A</v>
          </cell>
          <cell r="K619">
            <v>75</v>
          </cell>
          <cell r="L619">
            <v>175</v>
          </cell>
          <cell r="M619">
            <v>50114165</v>
          </cell>
          <cell r="N619">
            <v>38734</v>
          </cell>
          <cell r="P619" t="str">
            <v>IN6117D1M641702</v>
          </cell>
          <cell r="Q619" t="str">
            <v>แผ่นรองและสายรัดเป็นสนิม</v>
          </cell>
        </row>
        <row r="620">
          <cell r="A620">
            <v>50134924</v>
          </cell>
          <cell r="B620">
            <v>619</v>
          </cell>
          <cell r="C620" t="str">
            <v>CF01/1</v>
          </cell>
          <cell r="D620" t="str">
            <v>SPCC-SD</v>
          </cell>
          <cell r="E620" t="str">
            <v>AF1</v>
          </cell>
          <cell r="F620">
            <v>0.6</v>
          </cell>
          <cell r="G620">
            <v>500</v>
          </cell>
          <cell r="H620">
            <v>535</v>
          </cell>
          <cell r="I620" t="str">
            <v>A</v>
          </cell>
          <cell r="K620">
            <v>50</v>
          </cell>
          <cell r="L620">
            <v>63</v>
          </cell>
          <cell r="M620">
            <v>50134924</v>
          </cell>
          <cell r="N620">
            <v>38894</v>
          </cell>
          <cell r="P620" t="str">
            <v>FN6629D1M147701</v>
          </cell>
          <cell r="Q620" t="str">
            <v>แผ่นรองและสายรัดเป็นสนิม</v>
          </cell>
        </row>
        <row r="621">
          <cell r="A621">
            <v>50135723</v>
          </cell>
          <cell r="B621">
            <v>620</v>
          </cell>
          <cell r="C621" t="str">
            <v>CF01/1</v>
          </cell>
          <cell r="D621" t="str">
            <v>SPCC-SD</v>
          </cell>
          <cell r="E621" t="str">
            <v>AF1</v>
          </cell>
          <cell r="F621">
            <v>0.6</v>
          </cell>
          <cell r="G621">
            <v>500</v>
          </cell>
          <cell r="H621">
            <v>535</v>
          </cell>
          <cell r="I621" t="str">
            <v>A</v>
          </cell>
          <cell r="K621">
            <v>325</v>
          </cell>
          <cell r="L621">
            <v>410</v>
          </cell>
          <cell r="M621">
            <v>50135723</v>
          </cell>
          <cell r="N621">
            <v>38904</v>
          </cell>
          <cell r="P621" t="str">
            <v>FN6706D3M176902</v>
          </cell>
          <cell r="Q621" t="str">
            <v>สภาพปกติ</v>
          </cell>
        </row>
        <row r="622">
          <cell r="A622">
            <v>50101121</v>
          </cell>
          <cell r="B622">
            <v>621</v>
          </cell>
          <cell r="C622" t="str">
            <v>CF01/1</v>
          </cell>
          <cell r="D622" t="str">
            <v>SPCC-SD</v>
          </cell>
          <cell r="E622" t="str">
            <v>AF1</v>
          </cell>
          <cell r="F622">
            <v>0.6</v>
          </cell>
          <cell r="G622">
            <v>508</v>
          </cell>
          <cell r="H622">
            <v>687</v>
          </cell>
          <cell r="I622" t="str">
            <v>A</v>
          </cell>
          <cell r="K622">
            <v>40</v>
          </cell>
          <cell r="L622">
            <v>66</v>
          </cell>
          <cell r="M622">
            <v>50101121</v>
          </cell>
          <cell r="N622">
            <v>38633</v>
          </cell>
          <cell r="P622" t="str">
            <v>FN5A08D1M345201</v>
          </cell>
          <cell r="Q622" t="str">
            <v>แผ่นรองและสายรัดเป็นสนิม</v>
          </cell>
        </row>
        <row r="623">
          <cell r="A623">
            <v>50100886</v>
          </cell>
          <cell r="B623">
            <v>622</v>
          </cell>
          <cell r="C623" t="str">
            <v>CF01/1</v>
          </cell>
          <cell r="D623" t="str">
            <v>SPCC-SD</v>
          </cell>
          <cell r="E623" t="str">
            <v>AF1</v>
          </cell>
          <cell r="F623">
            <v>0.6</v>
          </cell>
          <cell r="G623">
            <v>543</v>
          </cell>
          <cell r="H623">
            <v>952</v>
          </cell>
          <cell r="I623" t="str">
            <v>A</v>
          </cell>
          <cell r="K623">
            <v>166</v>
          </cell>
          <cell r="L623">
            <v>404</v>
          </cell>
          <cell r="M623">
            <v>50100886</v>
          </cell>
          <cell r="N623">
            <v>38631</v>
          </cell>
          <cell r="P623" t="str">
            <v>FN5A06D1M345201</v>
          </cell>
          <cell r="Q623" t="str">
            <v>แผ่นรองและสายรัดเป็นสนิม</v>
          </cell>
        </row>
        <row r="624">
          <cell r="A624">
            <v>50077381</v>
          </cell>
          <cell r="B624">
            <v>623</v>
          </cell>
          <cell r="C624" t="str">
            <v>CF01/1</v>
          </cell>
          <cell r="D624" t="str">
            <v>SPCC-SD</v>
          </cell>
          <cell r="E624" t="str">
            <v>AF1</v>
          </cell>
          <cell r="F624">
            <v>0.6</v>
          </cell>
          <cell r="G624">
            <v>610</v>
          </cell>
          <cell r="H624">
            <v>620</v>
          </cell>
          <cell r="I624" t="str">
            <v>A</v>
          </cell>
          <cell r="K624">
            <v>42</v>
          </cell>
          <cell r="L624">
            <v>75</v>
          </cell>
          <cell r="M624">
            <v>50077381</v>
          </cell>
          <cell r="N624">
            <v>38568</v>
          </cell>
          <cell r="P624" t="str">
            <v>FN5804D3M823801</v>
          </cell>
          <cell r="Q624" t="str">
            <v>แผ่นรองและสายรัดเป็นสนิม</v>
          </cell>
        </row>
        <row r="625">
          <cell r="A625">
            <v>50099364</v>
          </cell>
          <cell r="B625">
            <v>624</v>
          </cell>
          <cell r="C625" t="str">
            <v>CF01/1</v>
          </cell>
          <cell r="D625" t="str">
            <v>SPCC-SD</v>
          </cell>
          <cell r="E625" t="str">
            <v>AF1</v>
          </cell>
          <cell r="F625">
            <v>0.7</v>
          </cell>
          <cell r="G625">
            <v>225</v>
          </cell>
          <cell r="H625">
            <v>970</v>
          </cell>
          <cell r="I625" t="str">
            <v>A</v>
          </cell>
          <cell r="K625">
            <v>190</v>
          </cell>
          <cell r="L625">
            <v>228</v>
          </cell>
          <cell r="M625">
            <v>50099364</v>
          </cell>
          <cell r="N625">
            <v>38615</v>
          </cell>
          <cell r="P625" t="str">
            <v>IN5920D2R286401</v>
          </cell>
          <cell r="Q625" t="str">
            <v>แผ่นรองและสายรัดเป็นสนิม</v>
          </cell>
        </row>
        <row r="626">
          <cell r="A626">
            <v>50125909</v>
          </cell>
          <cell r="B626">
            <v>625</v>
          </cell>
          <cell r="C626" t="str">
            <v>CF01/1</v>
          </cell>
          <cell r="D626" t="str">
            <v>SPCC-SD</v>
          </cell>
          <cell r="E626" t="str">
            <v>AF1</v>
          </cell>
          <cell r="F626">
            <v>0.7</v>
          </cell>
          <cell r="G626">
            <v>268</v>
          </cell>
          <cell r="H626">
            <v>498</v>
          </cell>
          <cell r="I626" t="str">
            <v>A</v>
          </cell>
          <cell r="K626">
            <v>450</v>
          </cell>
          <cell r="L626">
            <v>330</v>
          </cell>
          <cell r="M626">
            <v>50125909</v>
          </cell>
          <cell r="N626">
            <v>38814</v>
          </cell>
          <cell r="P626" t="str">
            <v>IN6407D3M918901</v>
          </cell>
          <cell r="Q626" t="str">
            <v>แผ่นรองและสายรัดเป็นสนิม</v>
          </cell>
        </row>
        <row r="627">
          <cell r="A627">
            <v>50114739</v>
          </cell>
          <cell r="B627">
            <v>626</v>
          </cell>
          <cell r="C627" t="str">
            <v>CF01/1</v>
          </cell>
          <cell r="D627" t="str">
            <v>SPCC-SD</v>
          </cell>
          <cell r="E627" t="str">
            <v>AF1</v>
          </cell>
          <cell r="F627">
            <v>0.7</v>
          </cell>
          <cell r="G627">
            <v>385</v>
          </cell>
          <cell r="H627">
            <v>987</v>
          </cell>
          <cell r="I627" t="str">
            <v>A</v>
          </cell>
          <cell r="K627">
            <v>90</v>
          </cell>
          <cell r="L627">
            <v>190</v>
          </cell>
          <cell r="M627">
            <v>50114739</v>
          </cell>
          <cell r="N627">
            <v>38737</v>
          </cell>
          <cell r="P627" t="str">
            <v>IN6120D1M661501</v>
          </cell>
          <cell r="Q627" t="str">
            <v>แผ่นรองและสายรัดเป็นสนิม</v>
          </cell>
        </row>
        <row r="628">
          <cell r="A628">
            <v>50125860</v>
          </cell>
          <cell r="B628">
            <v>627</v>
          </cell>
          <cell r="C628" t="str">
            <v>CF01/1</v>
          </cell>
          <cell r="D628" t="str">
            <v>SPCC-SD</v>
          </cell>
          <cell r="E628" t="str">
            <v>AF1</v>
          </cell>
          <cell r="F628">
            <v>0.7</v>
          </cell>
          <cell r="G628">
            <v>554</v>
          </cell>
          <cell r="H628">
            <v>884</v>
          </cell>
          <cell r="I628" t="str">
            <v>A</v>
          </cell>
          <cell r="K628">
            <v>95</v>
          </cell>
          <cell r="L628">
            <v>256</v>
          </cell>
          <cell r="M628">
            <v>50125860</v>
          </cell>
          <cell r="N628">
            <v>38814</v>
          </cell>
          <cell r="P628" t="str">
            <v>IN6407D3M918901</v>
          </cell>
          <cell r="Q628" t="str">
            <v>แผ่นรองและสายรัดเป็นสนิม</v>
          </cell>
        </row>
        <row r="629">
          <cell r="A629">
            <v>50132389</v>
          </cell>
          <cell r="B629">
            <v>628</v>
          </cell>
          <cell r="C629" t="str">
            <v>CF01/1</v>
          </cell>
          <cell r="D629" t="str">
            <v>SPCC-SD</v>
          </cell>
          <cell r="E629" t="str">
            <v>AF1</v>
          </cell>
          <cell r="F629">
            <v>0.7</v>
          </cell>
          <cell r="G629">
            <v>590</v>
          </cell>
          <cell r="H629">
            <v>670</v>
          </cell>
          <cell r="I629" t="str">
            <v>A</v>
          </cell>
          <cell r="K629">
            <v>102</v>
          </cell>
          <cell r="L629">
            <v>221</v>
          </cell>
          <cell r="M629">
            <v>50132389</v>
          </cell>
          <cell r="N629">
            <v>38876</v>
          </cell>
          <cell r="P629" t="str">
            <v>FN6608N3M061501</v>
          </cell>
          <cell r="Q629" t="str">
            <v>แผ่นรองและสายรัดเป็นสนิม</v>
          </cell>
        </row>
        <row r="630">
          <cell r="A630">
            <v>50134195</v>
          </cell>
          <cell r="B630">
            <v>629</v>
          </cell>
          <cell r="C630" t="str">
            <v>CF01/1</v>
          </cell>
          <cell r="D630" t="str">
            <v>SPCC-SD</v>
          </cell>
          <cell r="E630" t="str">
            <v>AF1</v>
          </cell>
          <cell r="F630">
            <v>0.7</v>
          </cell>
          <cell r="G630">
            <v>590</v>
          </cell>
          <cell r="H630">
            <v>670</v>
          </cell>
          <cell r="I630" t="str">
            <v>A</v>
          </cell>
          <cell r="K630">
            <v>273</v>
          </cell>
          <cell r="L630">
            <v>592</v>
          </cell>
          <cell r="M630">
            <v>50134195</v>
          </cell>
          <cell r="N630">
            <v>38891</v>
          </cell>
          <cell r="P630" t="str">
            <v>FN6623D3M135502</v>
          </cell>
          <cell r="Q630" t="str">
            <v>แผ่นรองและสายรัดเป็นสนิม</v>
          </cell>
        </row>
        <row r="631">
          <cell r="A631">
            <v>50112832</v>
          </cell>
          <cell r="B631">
            <v>630</v>
          </cell>
          <cell r="C631" t="str">
            <v>CF01/1</v>
          </cell>
          <cell r="D631" t="str">
            <v>SPCC-SD</v>
          </cell>
          <cell r="E631" t="str">
            <v>AF1</v>
          </cell>
          <cell r="F631">
            <v>0.7</v>
          </cell>
          <cell r="G631">
            <v>648</v>
          </cell>
          <cell r="H631">
            <v>1055</v>
          </cell>
          <cell r="I631" t="str">
            <v>A</v>
          </cell>
          <cell r="K631">
            <v>140</v>
          </cell>
          <cell r="L631">
            <v>526</v>
          </cell>
          <cell r="M631">
            <v>50112832</v>
          </cell>
          <cell r="N631">
            <v>38724</v>
          </cell>
          <cell r="P631" t="str">
            <v>IN6107N1L624001</v>
          </cell>
          <cell r="Q631" t="str">
            <v>แผ่นรองและสายรัดเป็นสนิม</v>
          </cell>
        </row>
        <row r="632">
          <cell r="A632">
            <v>50125952</v>
          </cell>
          <cell r="B632">
            <v>631</v>
          </cell>
          <cell r="C632" t="str">
            <v>CF01/1</v>
          </cell>
          <cell r="D632" t="str">
            <v>SPCC-SD</v>
          </cell>
          <cell r="E632" t="str">
            <v>AF1</v>
          </cell>
          <cell r="F632">
            <v>0.7</v>
          </cell>
          <cell r="G632">
            <v>696</v>
          </cell>
          <cell r="H632">
            <v>913</v>
          </cell>
          <cell r="I632" t="str">
            <v>A</v>
          </cell>
          <cell r="K632">
            <v>85</v>
          </cell>
          <cell r="L632">
            <v>301</v>
          </cell>
          <cell r="M632">
            <v>50125952</v>
          </cell>
          <cell r="N632">
            <v>38814</v>
          </cell>
          <cell r="P632" t="str">
            <v>IN6407D1M918901</v>
          </cell>
          <cell r="Q632" t="str">
            <v>แผ่นรองและสายรัดเป็นสนิม</v>
          </cell>
        </row>
        <row r="633">
          <cell r="A633">
            <v>50122802</v>
          </cell>
          <cell r="B633">
            <v>632</v>
          </cell>
          <cell r="C633" t="str">
            <v>CF01/1</v>
          </cell>
          <cell r="D633" t="str">
            <v>SPCC-SD</v>
          </cell>
          <cell r="E633" t="str">
            <v>AF1</v>
          </cell>
          <cell r="F633">
            <v>0.8</v>
          </cell>
          <cell r="G633">
            <v>110</v>
          </cell>
          <cell r="H633">
            <v>390</v>
          </cell>
          <cell r="I633" t="str">
            <v>A</v>
          </cell>
          <cell r="K633">
            <v>356</v>
          </cell>
          <cell r="L633">
            <v>96</v>
          </cell>
          <cell r="M633">
            <v>50122802</v>
          </cell>
          <cell r="N633">
            <v>38793</v>
          </cell>
          <cell r="O633" t="str">
            <v>125928SUD015</v>
          </cell>
          <cell r="P633" t="str">
            <v>IN6317D1M844301</v>
          </cell>
          <cell r="Q633" t="str">
            <v>แผ่นรองและสายรัดเป็นสนิม</v>
          </cell>
        </row>
        <row r="634">
          <cell r="A634">
            <v>50113225</v>
          </cell>
          <cell r="B634">
            <v>633</v>
          </cell>
          <cell r="C634" t="str">
            <v>CF01/1</v>
          </cell>
          <cell r="D634" t="str">
            <v>SPCC-SD</v>
          </cell>
          <cell r="E634" t="str">
            <v>AF1</v>
          </cell>
          <cell r="F634">
            <v>0.8</v>
          </cell>
          <cell r="G634">
            <v>125</v>
          </cell>
          <cell r="H634">
            <v>390</v>
          </cell>
          <cell r="I634" t="str">
            <v>A</v>
          </cell>
          <cell r="K634">
            <v>1000</v>
          </cell>
          <cell r="L634">
            <v>310</v>
          </cell>
          <cell r="M634">
            <v>50113225</v>
          </cell>
          <cell r="N634">
            <v>38727</v>
          </cell>
          <cell r="O634" t="str">
            <v>124721TCD001</v>
          </cell>
          <cell r="P634" t="str">
            <v>IN6110D1R296101</v>
          </cell>
          <cell r="Q634" t="str">
            <v>แผ่นรองและสายรัดเป็นสนิม</v>
          </cell>
        </row>
        <row r="635">
          <cell r="A635">
            <v>50113226</v>
          </cell>
          <cell r="B635">
            <v>634</v>
          </cell>
          <cell r="C635" t="str">
            <v>CF01/1</v>
          </cell>
          <cell r="D635" t="str">
            <v>SPCC-SD</v>
          </cell>
          <cell r="E635" t="str">
            <v>AF1</v>
          </cell>
          <cell r="F635">
            <v>0.8</v>
          </cell>
          <cell r="G635">
            <v>125</v>
          </cell>
          <cell r="H635">
            <v>390</v>
          </cell>
          <cell r="I635" t="str">
            <v>A</v>
          </cell>
          <cell r="K635">
            <v>911</v>
          </cell>
          <cell r="L635">
            <v>282</v>
          </cell>
          <cell r="M635">
            <v>50113226</v>
          </cell>
          <cell r="N635">
            <v>38727</v>
          </cell>
          <cell r="O635" t="str">
            <v>124A20TCD001</v>
          </cell>
          <cell r="P635" t="str">
            <v>IN6110D1R296102</v>
          </cell>
          <cell r="Q635" t="str">
            <v>แผ่นรองและสายรัดเป็นสนิม</v>
          </cell>
        </row>
        <row r="636">
          <cell r="A636">
            <v>50075521</v>
          </cell>
          <cell r="B636">
            <v>635</v>
          </cell>
          <cell r="C636" t="str">
            <v>CF01/1</v>
          </cell>
          <cell r="D636" t="str">
            <v>SPCC-SD</v>
          </cell>
          <cell r="E636" t="str">
            <v>AF1</v>
          </cell>
          <cell r="F636">
            <v>0.8</v>
          </cell>
          <cell r="G636">
            <v>150</v>
          </cell>
          <cell r="H636">
            <v>420</v>
          </cell>
          <cell r="I636" t="str">
            <v>A</v>
          </cell>
          <cell r="K636">
            <v>250</v>
          </cell>
          <cell r="L636">
            <v>493</v>
          </cell>
          <cell r="M636">
            <v>50075521</v>
          </cell>
          <cell r="N636">
            <v>38432</v>
          </cell>
          <cell r="P636" t="str">
            <v>FN5321D1RSSSS01</v>
          </cell>
          <cell r="Q636" t="str">
            <v>แผ่นรองและสายรัดเป็นสนิม</v>
          </cell>
        </row>
        <row r="637">
          <cell r="A637">
            <v>50133180</v>
          </cell>
          <cell r="B637">
            <v>636</v>
          </cell>
          <cell r="C637" t="str">
            <v>CF01/1</v>
          </cell>
          <cell r="D637" t="str">
            <v>SPCC-SD</v>
          </cell>
          <cell r="E637" t="str">
            <v>AF1</v>
          </cell>
          <cell r="F637">
            <v>0.8</v>
          </cell>
          <cell r="G637">
            <v>150</v>
          </cell>
          <cell r="H637">
            <v>420</v>
          </cell>
          <cell r="I637" t="str">
            <v>A</v>
          </cell>
          <cell r="K637">
            <v>690</v>
          </cell>
          <cell r="L637">
            <v>273</v>
          </cell>
          <cell r="M637">
            <v>50133180</v>
          </cell>
          <cell r="N637">
            <v>38882</v>
          </cell>
          <cell r="P637" t="str">
            <v>IN6614D3D103902</v>
          </cell>
          <cell r="Q637" t="str">
            <v>แผ่นรองและสายรัดเป็นสนิม</v>
          </cell>
        </row>
        <row r="638">
          <cell r="A638">
            <v>50139995</v>
          </cell>
          <cell r="B638">
            <v>637</v>
          </cell>
          <cell r="C638" t="str">
            <v>CF01/1</v>
          </cell>
          <cell r="D638" t="str">
            <v>SPCC-SD</v>
          </cell>
          <cell r="E638" t="str">
            <v>AF1</v>
          </cell>
          <cell r="F638">
            <v>0.8</v>
          </cell>
          <cell r="G638">
            <v>173</v>
          </cell>
          <cell r="H638">
            <v>522</v>
          </cell>
          <cell r="I638" t="str">
            <v>A</v>
          </cell>
          <cell r="K638">
            <v>130</v>
          </cell>
          <cell r="L638">
            <v>72</v>
          </cell>
          <cell r="M638">
            <v>50139995</v>
          </cell>
          <cell r="N638">
            <v>38944</v>
          </cell>
          <cell r="P638" t="str">
            <v>FN6815D3M285801</v>
          </cell>
          <cell r="Q638" t="str">
            <v>แผ่นรองและสายรัดเป็นสนิม</v>
          </cell>
        </row>
        <row r="639">
          <cell r="A639">
            <v>50138389</v>
          </cell>
          <cell r="B639">
            <v>638</v>
          </cell>
          <cell r="C639" t="str">
            <v>CF01/1</v>
          </cell>
          <cell r="D639" t="str">
            <v>SPCC-SD</v>
          </cell>
          <cell r="E639" t="str">
            <v>AF1</v>
          </cell>
          <cell r="F639">
            <v>0.8</v>
          </cell>
          <cell r="G639">
            <v>180</v>
          </cell>
          <cell r="H639">
            <v>1219</v>
          </cell>
          <cell r="I639" t="str">
            <v>A</v>
          </cell>
          <cell r="K639">
            <v>345</v>
          </cell>
          <cell r="L639">
            <v>476</v>
          </cell>
          <cell r="M639">
            <v>50138389</v>
          </cell>
          <cell r="N639">
            <v>38929</v>
          </cell>
          <cell r="P639" t="str">
            <v>IN6731D1R244301</v>
          </cell>
          <cell r="Q639" t="str">
            <v>แผ่นรองและสายรัดเป็นสนิม</v>
          </cell>
        </row>
        <row r="640">
          <cell r="A640">
            <v>50139802</v>
          </cell>
          <cell r="B640">
            <v>639</v>
          </cell>
          <cell r="C640" t="str">
            <v>CF01/1</v>
          </cell>
          <cell r="D640" t="str">
            <v>SPCC-SD</v>
          </cell>
          <cell r="E640" t="str">
            <v>AF1</v>
          </cell>
          <cell r="F640">
            <v>0.8</v>
          </cell>
          <cell r="G640">
            <v>185</v>
          </cell>
          <cell r="H640">
            <v>220</v>
          </cell>
          <cell r="I640" t="str">
            <v>A</v>
          </cell>
          <cell r="K640">
            <v>585</v>
          </cell>
          <cell r="L640">
            <v>151</v>
          </cell>
          <cell r="M640">
            <v>50139802</v>
          </cell>
          <cell r="N640">
            <v>38940</v>
          </cell>
          <cell r="P640" t="str">
            <v>FN6811D1R279101</v>
          </cell>
          <cell r="Q640" t="str">
            <v>แผ่นรองและสายรัดเป็นสนิม</v>
          </cell>
        </row>
        <row r="641">
          <cell r="A641">
            <v>50115515</v>
          </cell>
          <cell r="B641">
            <v>640</v>
          </cell>
          <cell r="C641" t="str">
            <v>CF01/1</v>
          </cell>
          <cell r="D641" t="str">
            <v>SPCC-SD</v>
          </cell>
          <cell r="E641" t="str">
            <v>AF1</v>
          </cell>
          <cell r="F641">
            <v>0.8</v>
          </cell>
          <cell r="G641">
            <v>200</v>
          </cell>
          <cell r="H641">
            <v>430</v>
          </cell>
          <cell r="I641" t="str">
            <v>A</v>
          </cell>
          <cell r="K641">
            <v>225</v>
          </cell>
          <cell r="L641">
            <v>123</v>
          </cell>
          <cell r="M641">
            <v>50115515</v>
          </cell>
          <cell r="N641">
            <v>38744</v>
          </cell>
          <cell r="P641" t="str">
            <v>FN6127D1M689001</v>
          </cell>
          <cell r="Q641" t="str">
            <v>แผ่นรองและสายรัดเป็นสนิม</v>
          </cell>
        </row>
        <row r="642">
          <cell r="A642">
            <v>50125992</v>
          </cell>
          <cell r="B642">
            <v>641</v>
          </cell>
          <cell r="C642" t="str">
            <v>CF01/1</v>
          </cell>
          <cell r="D642" t="str">
            <v>SPCC-SD</v>
          </cell>
          <cell r="E642" t="str">
            <v>AF1</v>
          </cell>
          <cell r="F642">
            <v>0.8</v>
          </cell>
          <cell r="G642">
            <v>200</v>
          </cell>
          <cell r="H642">
            <v>500</v>
          </cell>
          <cell r="I642" t="str">
            <v>A</v>
          </cell>
          <cell r="K642">
            <v>94</v>
          </cell>
          <cell r="L642">
            <v>59</v>
          </cell>
          <cell r="M642">
            <v>50125992</v>
          </cell>
          <cell r="N642">
            <v>38821</v>
          </cell>
          <cell r="P642" t="str">
            <v>IN6414D3M931901</v>
          </cell>
          <cell r="Q642" t="str">
            <v>แผ่นรองและสายรัดเป็นสนิม</v>
          </cell>
        </row>
        <row r="643">
          <cell r="A643">
            <v>50129394</v>
          </cell>
          <cell r="B643">
            <v>642</v>
          </cell>
          <cell r="C643" t="str">
            <v>CF01/1</v>
          </cell>
          <cell r="D643" t="str">
            <v>SPCC-SD</v>
          </cell>
          <cell r="E643" t="str">
            <v>AF1</v>
          </cell>
          <cell r="F643">
            <v>0.8</v>
          </cell>
          <cell r="G643">
            <v>205</v>
          </cell>
          <cell r="H643">
            <v>1550</v>
          </cell>
          <cell r="I643" t="str">
            <v>A</v>
          </cell>
          <cell r="K643">
            <v>48</v>
          </cell>
          <cell r="L643">
            <v>96</v>
          </cell>
          <cell r="M643">
            <v>50129394</v>
          </cell>
          <cell r="N643">
            <v>38854</v>
          </cell>
          <cell r="P643" t="str">
            <v>FN6517N1D010601</v>
          </cell>
          <cell r="Q643" t="str">
            <v>แผ่นรองและสายรัดเป็นสนิม</v>
          </cell>
        </row>
        <row r="644">
          <cell r="A644">
            <v>50131624</v>
          </cell>
          <cell r="B644">
            <v>643</v>
          </cell>
          <cell r="C644" t="str">
            <v>CF01/1</v>
          </cell>
          <cell r="D644" t="str">
            <v>SPCC-SD</v>
          </cell>
          <cell r="E644" t="str">
            <v>AF1</v>
          </cell>
          <cell r="F644">
            <v>0.8</v>
          </cell>
          <cell r="G644">
            <v>340</v>
          </cell>
          <cell r="H644">
            <v>390</v>
          </cell>
          <cell r="I644" t="str">
            <v>A</v>
          </cell>
          <cell r="K644">
            <v>45</v>
          </cell>
          <cell r="L644">
            <v>37</v>
          </cell>
          <cell r="M644">
            <v>50131624</v>
          </cell>
          <cell r="N644">
            <v>38871</v>
          </cell>
          <cell r="P644" t="str">
            <v>IN6603D1R459001</v>
          </cell>
          <cell r="Q644" t="str">
            <v>แผ่นรองและสายรัดเป็นสนิม</v>
          </cell>
        </row>
        <row r="645">
          <cell r="A645">
            <v>50082925</v>
          </cell>
          <cell r="B645">
            <v>644</v>
          </cell>
          <cell r="C645" t="str">
            <v>CF01/1</v>
          </cell>
          <cell r="D645" t="str">
            <v>SPCC-SD</v>
          </cell>
          <cell r="E645" t="str">
            <v>AF1</v>
          </cell>
          <cell r="F645">
            <v>0.8</v>
          </cell>
          <cell r="G645">
            <v>420</v>
          </cell>
          <cell r="H645">
            <v>1440</v>
          </cell>
          <cell r="I645" t="str">
            <v>A</v>
          </cell>
          <cell r="K645">
            <v>199</v>
          </cell>
          <cell r="L645">
            <v>756</v>
          </cell>
          <cell r="M645">
            <v>50082925</v>
          </cell>
          <cell r="N645">
            <v>38485</v>
          </cell>
          <cell r="O645" t="str">
            <v>126121TCD001</v>
          </cell>
          <cell r="P645" t="str">
            <v>FN5513D1D957001</v>
          </cell>
          <cell r="Q645" t="str">
            <v>แผ่นรองและสายรัดเป็นสนิม</v>
          </cell>
        </row>
        <row r="646">
          <cell r="A646">
            <v>50126225</v>
          </cell>
          <cell r="B646">
            <v>645</v>
          </cell>
          <cell r="C646" t="str">
            <v>CF01/1</v>
          </cell>
          <cell r="D646" t="str">
            <v>SPCC-SD</v>
          </cell>
          <cell r="E646" t="str">
            <v>AF1</v>
          </cell>
          <cell r="F646">
            <v>0.8</v>
          </cell>
          <cell r="G646">
            <v>487</v>
          </cell>
          <cell r="H646">
            <v>747</v>
          </cell>
          <cell r="I646" t="str">
            <v>A</v>
          </cell>
          <cell r="K646">
            <v>100</v>
          </cell>
          <cell r="L646">
            <v>228</v>
          </cell>
          <cell r="M646">
            <v>50126225</v>
          </cell>
          <cell r="N646">
            <v>38824</v>
          </cell>
          <cell r="P646" t="str">
            <v>FN6417N1L929301</v>
          </cell>
          <cell r="Q646" t="str">
            <v>แผ่นรองและสายรัดเป็นสนิม</v>
          </cell>
        </row>
        <row r="647">
          <cell r="A647">
            <v>50136901</v>
          </cell>
          <cell r="B647">
            <v>646</v>
          </cell>
          <cell r="C647" t="str">
            <v>CF01/1</v>
          </cell>
          <cell r="D647" t="str">
            <v>SPCC-SD</v>
          </cell>
          <cell r="E647" t="str">
            <v>AF1</v>
          </cell>
          <cell r="F647">
            <v>0.8</v>
          </cell>
          <cell r="G647">
            <v>540</v>
          </cell>
          <cell r="H647">
            <v>540</v>
          </cell>
          <cell r="I647" t="str">
            <v>A</v>
          </cell>
          <cell r="K647">
            <v>150</v>
          </cell>
          <cell r="L647">
            <v>275</v>
          </cell>
          <cell r="M647">
            <v>50136901</v>
          </cell>
          <cell r="N647">
            <v>38915</v>
          </cell>
          <cell r="P647" t="str">
            <v>FN6717N3M200901</v>
          </cell>
          <cell r="Q647" t="str">
            <v>แผ่นรองและสายรัดเป็นสนิม</v>
          </cell>
        </row>
        <row r="648">
          <cell r="A648" t="str">
            <v/>
          </cell>
          <cell r="B648">
            <v>647</v>
          </cell>
          <cell r="C648" t="str">
            <v>CF01/1</v>
          </cell>
          <cell r="D648" t="str">
            <v>SPCC-SD</v>
          </cell>
          <cell r="E648" t="str">
            <v>AF1</v>
          </cell>
          <cell r="F648">
            <v>0.8</v>
          </cell>
          <cell r="G648">
            <v>564</v>
          </cell>
          <cell r="H648">
            <v>978</v>
          </cell>
          <cell r="I648" t="str">
            <v>A</v>
          </cell>
          <cell r="K648">
            <v>250</v>
          </cell>
          <cell r="L648">
            <v>865</v>
          </cell>
          <cell r="M648" t="str">
            <v/>
          </cell>
          <cell r="N648">
            <v>38735</v>
          </cell>
          <cell r="P648" t="str">
            <v>IN6118D1L641901</v>
          </cell>
          <cell r="Q648" t="str">
            <v>แผ่นรองและสายรัดเป็นสนิม</v>
          </cell>
        </row>
        <row r="649">
          <cell r="A649">
            <v>50125177</v>
          </cell>
          <cell r="B649">
            <v>648</v>
          </cell>
          <cell r="C649" t="str">
            <v>CF01/1</v>
          </cell>
          <cell r="D649" t="str">
            <v>SPCC-SD</v>
          </cell>
          <cell r="E649" t="str">
            <v>AF1</v>
          </cell>
          <cell r="F649">
            <v>0.8</v>
          </cell>
          <cell r="G649">
            <v>564</v>
          </cell>
          <cell r="H649">
            <v>978</v>
          </cell>
          <cell r="I649" t="str">
            <v>A</v>
          </cell>
          <cell r="K649">
            <v>202</v>
          </cell>
          <cell r="L649">
            <v>700</v>
          </cell>
          <cell r="M649">
            <v>50125177</v>
          </cell>
          <cell r="N649">
            <v>38808</v>
          </cell>
          <cell r="P649" t="str">
            <v>IN6401D1RSSSS02</v>
          </cell>
          <cell r="Q649" t="str">
            <v>กระดาษฉีกขาด</v>
          </cell>
        </row>
        <row r="650">
          <cell r="A650">
            <v>50103942</v>
          </cell>
          <cell r="B650">
            <v>649</v>
          </cell>
          <cell r="C650" t="str">
            <v>CF01/1</v>
          </cell>
          <cell r="D650" t="str">
            <v>SPCC-SD</v>
          </cell>
          <cell r="E650" t="str">
            <v>AF1</v>
          </cell>
          <cell r="F650">
            <v>0.8</v>
          </cell>
          <cell r="G650">
            <v>600</v>
          </cell>
          <cell r="H650">
            <v>780</v>
          </cell>
          <cell r="I650" t="str">
            <v>A</v>
          </cell>
          <cell r="K650">
            <v>48</v>
          </cell>
          <cell r="L650">
            <v>141</v>
          </cell>
          <cell r="M650">
            <v>50103942</v>
          </cell>
          <cell r="N650">
            <v>38652</v>
          </cell>
          <cell r="P650" t="str">
            <v>IN5A27N1D405801</v>
          </cell>
          <cell r="Q650" t="str">
            <v>แผ่นรองและสายรัดเป็นสนิม</v>
          </cell>
        </row>
        <row r="651">
          <cell r="A651">
            <v>50124491</v>
          </cell>
          <cell r="B651">
            <v>650</v>
          </cell>
          <cell r="C651" t="str">
            <v>CF01/1</v>
          </cell>
          <cell r="D651" t="str">
            <v>SPCC-SD</v>
          </cell>
          <cell r="E651" t="str">
            <v>AF1</v>
          </cell>
          <cell r="F651">
            <v>0.9</v>
          </cell>
          <cell r="G651">
            <v>190</v>
          </cell>
          <cell r="H651">
            <v>464</v>
          </cell>
          <cell r="I651" t="str">
            <v>A</v>
          </cell>
          <cell r="K651">
            <v>230</v>
          </cell>
          <cell r="L651">
            <v>145</v>
          </cell>
          <cell r="M651">
            <v>50124491</v>
          </cell>
          <cell r="N651">
            <v>38804</v>
          </cell>
          <cell r="O651" t="str">
            <v>R24130TCD002</v>
          </cell>
          <cell r="P651" t="str">
            <v>FN6328D1M885101</v>
          </cell>
          <cell r="Q651" t="str">
            <v>แผ่นรองและสายรัดเป็นสนิม</v>
          </cell>
        </row>
        <row r="652">
          <cell r="A652">
            <v>50129873</v>
          </cell>
          <cell r="B652">
            <v>651</v>
          </cell>
          <cell r="C652" t="str">
            <v>CF01/1</v>
          </cell>
          <cell r="D652" t="str">
            <v>SPCC-SD</v>
          </cell>
          <cell r="E652" t="str">
            <v>AF1</v>
          </cell>
          <cell r="F652">
            <v>0.9</v>
          </cell>
          <cell r="G652">
            <v>190</v>
          </cell>
          <cell r="H652">
            <v>464</v>
          </cell>
          <cell r="I652" t="str">
            <v>A</v>
          </cell>
          <cell r="K652">
            <v>750</v>
          </cell>
          <cell r="L652">
            <v>465</v>
          </cell>
          <cell r="M652">
            <v>50129873</v>
          </cell>
          <cell r="N652">
            <v>38859</v>
          </cell>
          <cell r="P652" t="str">
            <v>IN6522D1M032401</v>
          </cell>
          <cell r="Q652" t="str">
            <v>แผ่นรองและสายรัดเป็นสนิม</v>
          </cell>
        </row>
        <row r="653">
          <cell r="A653">
            <v>50125178</v>
          </cell>
          <cell r="B653">
            <v>652</v>
          </cell>
          <cell r="C653" t="str">
            <v>CF01/1</v>
          </cell>
          <cell r="D653" t="str">
            <v>SPCC-SD</v>
          </cell>
          <cell r="E653" t="str">
            <v>AF1</v>
          </cell>
          <cell r="F653">
            <v>0.9</v>
          </cell>
          <cell r="G653">
            <v>500</v>
          </cell>
          <cell r="H653">
            <v>960</v>
          </cell>
          <cell r="I653" t="str">
            <v>A</v>
          </cell>
          <cell r="K653">
            <v>217</v>
          </cell>
          <cell r="L653">
            <v>736</v>
          </cell>
          <cell r="M653">
            <v>50125178</v>
          </cell>
          <cell r="N653">
            <v>38808</v>
          </cell>
          <cell r="P653" t="str">
            <v>IN6401D1RSSSS01</v>
          </cell>
          <cell r="Q653" t="str">
            <v>แผ่นรองและสายรัดเป็นสนิม</v>
          </cell>
        </row>
        <row r="654">
          <cell r="A654">
            <v>50140642</v>
          </cell>
          <cell r="B654">
            <v>653</v>
          </cell>
          <cell r="C654" t="str">
            <v>CF01/1</v>
          </cell>
          <cell r="D654" t="str">
            <v>SPCC-SD</v>
          </cell>
          <cell r="E654" t="str">
            <v>AF1</v>
          </cell>
          <cell r="F654">
            <v>1</v>
          </cell>
          <cell r="G654">
            <v>106</v>
          </cell>
          <cell r="H654">
            <v>1000</v>
          </cell>
          <cell r="I654" t="str">
            <v>A</v>
          </cell>
          <cell r="K654">
            <v>36</v>
          </cell>
          <cell r="L654">
            <v>30</v>
          </cell>
          <cell r="M654">
            <v>50140642</v>
          </cell>
          <cell r="N654">
            <v>38951</v>
          </cell>
          <cell r="P654" t="str">
            <v>IN6822D1R318101</v>
          </cell>
          <cell r="Q654" t="str">
            <v>แผ่นรองและสายรัดเป็นสนิม</v>
          </cell>
        </row>
        <row r="655">
          <cell r="A655">
            <v>50122914</v>
          </cell>
          <cell r="B655">
            <v>654</v>
          </cell>
          <cell r="C655" t="str">
            <v>CF01/1</v>
          </cell>
          <cell r="D655" t="str">
            <v>SPCC-SD</v>
          </cell>
          <cell r="E655" t="str">
            <v>AF1</v>
          </cell>
          <cell r="F655">
            <v>1</v>
          </cell>
          <cell r="G655">
            <v>135</v>
          </cell>
          <cell r="H655">
            <v>790</v>
          </cell>
          <cell r="I655" t="str">
            <v>A</v>
          </cell>
          <cell r="K655">
            <v>230</v>
          </cell>
          <cell r="L655">
            <v>193</v>
          </cell>
          <cell r="M655">
            <v>50122914</v>
          </cell>
          <cell r="N655">
            <v>38794</v>
          </cell>
          <cell r="P655" t="str">
            <v>IN6318N3M846101</v>
          </cell>
          <cell r="Q655" t="str">
            <v>แผ่นรองและสายรัดเป็นสนิม</v>
          </cell>
        </row>
        <row r="656">
          <cell r="A656">
            <v>50124031</v>
          </cell>
          <cell r="B656">
            <v>655</v>
          </cell>
          <cell r="C656" t="str">
            <v>CF01/1</v>
          </cell>
          <cell r="D656" t="str">
            <v>SPCC-SD</v>
          </cell>
          <cell r="E656" t="str">
            <v>AF1</v>
          </cell>
          <cell r="F656">
            <v>1</v>
          </cell>
          <cell r="G656">
            <v>160</v>
          </cell>
          <cell r="H656">
            <v>430</v>
          </cell>
          <cell r="I656" t="str">
            <v>A</v>
          </cell>
          <cell r="K656">
            <v>290</v>
          </cell>
          <cell r="L656">
            <v>158</v>
          </cell>
          <cell r="M656">
            <v>50124031</v>
          </cell>
          <cell r="N656">
            <v>38800</v>
          </cell>
          <cell r="P656" t="str">
            <v>FN6324N1M875301</v>
          </cell>
          <cell r="Q656" t="str">
            <v>แผ่นรองและสายรัดเป็นสนิม</v>
          </cell>
        </row>
        <row r="657">
          <cell r="A657">
            <v>50128421</v>
          </cell>
          <cell r="B657">
            <v>656</v>
          </cell>
          <cell r="C657" t="str">
            <v>CF01/1</v>
          </cell>
          <cell r="D657" t="str">
            <v>SPCC-SD</v>
          </cell>
          <cell r="E657" t="str">
            <v>AF1</v>
          </cell>
          <cell r="F657">
            <v>1</v>
          </cell>
          <cell r="G657">
            <v>160</v>
          </cell>
          <cell r="H657">
            <v>430</v>
          </cell>
          <cell r="I657" t="str">
            <v>A</v>
          </cell>
          <cell r="K657">
            <v>205</v>
          </cell>
          <cell r="L657">
            <v>111</v>
          </cell>
          <cell r="M657">
            <v>50128421</v>
          </cell>
          <cell r="N657">
            <v>38843</v>
          </cell>
          <cell r="P657" t="str">
            <v>FN6506D1M986002</v>
          </cell>
          <cell r="Q657" t="str">
            <v>แผ่นรองและสายรัดเป็นสนิม</v>
          </cell>
        </row>
        <row r="658">
          <cell r="A658">
            <v>50138796</v>
          </cell>
          <cell r="B658">
            <v>657</v>
          </cell>
          <cell r="C658" t="str">
            <v>CF01/1</v>
          </cell>
          <cell r="D658" t="str">
            <v>SPCC-SD</v>
          </cell>
          <cell r="E658" t="str">
            <v>AF1</v>
          </cell>
          <cell r="F658">
            <v>1</v>
          </cell>
          <cell r="G658">
            <v>177</v>
          </cell>
          <cell r="H658">
            <v>268</v>
          </cell>
          <cell r="I658" t="str">
            <v>A</v>
          </cell>
          <cell r="K658">
            <v>200</v>
          </cell>
          <cell r="L658">
            <v>72</v>
          </cell>
          <cell r="M658">
            <v>50138796</v>
          </cell>
          <cell r="N658">
            <v>38931</v>
          </cell>
          <cell r="O658" t="str">
            <v>126216SUD023</v>
          </cell>
          <cell r="P658" t="str">
            <v>FN6802D1M252301</v>
          </cell>
          <cell r="Q658" t="str">
            <v>สภาพปกติ</v>
          </cell>
        </row>
        <row r="659">
          <cell r="A659">
            <v>50128596</v>
          </cell>
          <cell r="B659">
            <v>658</v>
          </cell>
          <cell r="C659" t="str">
            <v>CF01/1</v>
          </cell>
          <cell r="D659" t="str">
            <v>SPCC-SD</v>
          </cell>
          <cell r="E659" t="str">
            <v>AF1</v>
          </cell>
          <cell r="F659">
            <v>1</v>
          </cell>
          <cell r="G659">
            <v>180</v>
          </cell>
          <cell r="H659">
            <v>380</v>
          </cell>
          <cell r="I659" t="str">
            <v>A</v>
          </cell>
          <cell r="K659">
            <v>104</v>
          </cell>
          <cell r="L659">
            <v>56</v>
          </cell>
          <cell r="M659">
            <v>50128596</v>
          </cell>
          <cell r="N659">
            <v>38845</v>
          </cell>
          <cell r="P659" t="str">
            <v>FN6508D1RSSS01</v>
          </cell>
          <cell r="Q659" t="str">
            <v>แผ่นรองและสายรัดเป็นสนิม</v>
          </cell>
        </row>
        <row r="660">
          <cell r="A660">
            <v>50116575</v>
          </cell>
          <cell r="B660">
            <v>659</v>
          </cell>
          <cell r="C660" t="str">
            <v>CF01/1</v>
          </cell>
          <cell r="D660" t="str">
            <v>SPCC-SD</v>
          </cell>
          <cell r="E660" t="str">
            <v>AF1</v>
          </cell>
          <cell r="F660">
            <v>1</v>
          </cell>
          <cell r="G660">
            <v>185</v>
          </cell>
          <cell r="H660">
            <v>270</v>
          </cell>
          <cell r="I660" t="str">
            <v>A</v>
          </cell>
          <cell r="K660">
            <v>35</v>
          </cell>
          <cell r="L660">
            <v>14</v>
          </cell>
          <cell r="M660">
            <v>50116575</v>
          </cell>
          <cell r="N660">
            <v>38754</v>
          </cell>
          <cell r="P660" t="str">
            <v>FN6206D1R711101</v>
          </cell>
          <cell r="Q660" t="str">
            <v>แผ่นรองและสายรัดเป็นสนิม</v>
          </cell>
        </row>
        <row r="661">
          <cell r="A661">
            <v>50126930</v>
          </cell>
          <cell r="B661">
            <v>660</v>
          </cell>
          <cell r="C661" t="str">
            <v>CF01/1</v>
          </cell>
          <cell r="D661" t="str">
            <v>SPCC-SD</v>
          </cell>
          <cell r="E661" t="str">
            <v>AF1</v>
          </cell>
          <cell r="F661">
            <v>1</v>
          </cell>
          <cell r="G661">
            <v>185</v>
          </cell>
          <cell r="H661">
            <v>270</v>
          </cell>
          <cell r="I661" t="str">
            <v>A</v>
          </cell>
          <cell r="K661">
            <v>250</v>
          </cell>
          <cell r="L661">
            <v>98</v>
          </cell>
          <cell r="M661">
            <v>50126930</v>
          </cell>
          <cell r="N661">
            <v>38829</v>
          </cell>
          <cell r="P661" t="str">
            <v>IN6422D1M918801</v>
          </cell>
          <cell r="Q661" t="str">
            <v>แผ่นรองและสายรัดเป็นสนิม</v>
          </cell>
        </row>
        <row r="662">
          <cell r="A662">
            <v>50138813</v>
          </cell>
          <cell r="B662">
            <v>661</v>
          </cell>
          <cell r="C662" t="str">
            <v>CF01/1</v>
          </cell>
          <cell r="D662" t="str">
            <v>SPCC-SD</v>
          </cell>
          <cell r="E662" t="str">
            <v>AF1</v>
          </cell>
          <cell r="F662">
            <v>1</v>
          </cell>
          <cell r="G662">
            <v>185</v>
          </cell>
          <cell r="H662">
            <v>270</v>
          </cell>
          <cell r="I662" t="str">
            <v>A</v>
          </cell>
          <cell r="K662">
            <v>650</v>
          </cell>
          <cell r="L662">
            <v>253</v>
          </cell>
          <cell r="M662">
            <v>50138813</v>
          </cell>
          <cell r="N662">
            <v>38931</v>
          </cell>
          <cell r="P662" t="str">
            <v>FN6802D1M252203</v>
          </cell>
          <cell r="Q662" t="str">
            <v>สภาพปกติ</v>
          </cell>
        </row>
        <row r="663">
          <cell r="A663">
            <v>50136970</v>
          </cell>
          <cell r="B663">
            <v>662</v>
          </cell>
          <cell r="C663" t="str">
            <v>CF01/1</v>
          </cell>
          <cell r="D663" t="str">
            <v>SPCC-SD</v>
          </cell>
          <cell r="E663" t="str">
            <v>AF1</v>
          </cell>
          <cell r="F663">
            <v>1</v>
          </cell>
          <cell r="G663">
            <v>190</v>
          </cell>
          <cell r="H663">
            <v>285</v>
          </cell>
          <cell r="I663" t="str">
            <v>A</v>
          </cell>
          <cell r="K663">
            <v>430</v>
          </cell>
          <cell r="L663">
            <v>185</v>
          </cell>
          <cell r="M663">
            <v>50136970</v>
          </cell>
          <cell r="N663">
            <v>38916</v>
          </cell>
          <cell r="P663" t="str">
            <v>IN6718D1M209501</v>
          </cell>
          <cell r="Q663" t="str">
            <v>แผ่นรองและสายรัดเป็นสนิม</v>
          </cell>
        </row>
        <row r="664">
          <cell r="A664">
            <v>50103572</v>
          </cell>
          <cell r="B664">
            <v>663</v>
          </cell>
          <cell r="C664" t="str">
            <v>CF01/1</v>
          </cell>
          <cell r="D664" t="str">
            <v>SPCC-SD</v>
          </cell>
          <cell r="E664" t="str">
            <v>AF1</v>
          </cell>
          <cell r="F664">
            <v>1</v>
          </cell>
          <cell r="G664">
            <v>190</v>
          </cell>
          <cell r="H664">
            <v>1165</v>
          </cell>
          <cell r="I664" t="str">
            <v>A</v>
          </cell>
          <cell r="K664">
            <v>120</v>
          </cell>
          <cell r="L664">
            <v>211</v>
          </cell>
          <cell r="M664">
            <v>50103572</v>
          </cell>
          <cell r="N664">
            <v>38650</v>
          </cell>
          <cell r="P664" t="str">
            <v>IN5A25D1M404401</v>
          </cell>
          <cell r="Q664" t="str">
            <v>แผ่นรองและสายรัดเป็นสนิม</v>
          </cell>
        </row>
        <row r="665">
          <cell r="A665">
            <v>50139903</v>
          </cell>
          <cell r="B665">
            <v>664</v>
          </cell>
          <cell r="C665" t="str">
            <v>CF01/1</v>
          </cell>
          <cell r="D665" t="str">
            <v>SPCC-SD</v>
          </cell>
          <cell r="E665" t="str">
            <v>AF1</v>
          </cell>
          <cell r="F665">
            <v>1</v>
          </cell>
          <cell r="G665">
            <v>200</v>
          </cell>
          <cell r="H665">
            <v>810</v>
          </cell>
          <cell r="I665" t="str">
            <v>A</v>
          </cell>
          <cell r="K665">
            <v>191</v>
          </cell>
          <cell r="L665">
            <v>243</v>
          </cell>
          <cell r="M665">
            <v>50139903</v>
          </cell>
          <cell r="N665">
            <v>38943</v>
          </cell>
          <cell r="P665" t="str">
            <v>IN6814D2R290101</v>
          </cell>
          <cell r="Q665" t="str">
            <v>แผ่นรองและสายรัดเป็นสนิม</v>
          </cell>
        </row>
        <row r="666">
          <cell r="A666">
            <v>50131620</v>
          </cell>
          <cell r="B666">
            <v>665</v>
          </cell>
          <cell r="C666" t="str">
            <v>CF01/1</v>
          </cell>
          <cell r="D666" t="str">
            <v>SPCC-SD</v>
          </cell>
          <cell r="E666" t="str">
            <v>AF1</v>
          </cell>
          <cell r="F666">
            <v>1</v>
          </cell>
          <cell r="G666">
            <v>203</v>
          </cell>
          <cell r="H666">
            <v>510</v>
          </cell>
          <cell r="I666" t="str">
            <v>A</v>
          </cell>
          <cell r="K666">
            <v>175</v>
          </cell>
          <cell r="L666">
            <v>142</v>
          </cell>
          <cell r="M666">
            <v>50131620</v>
          </cell>
          <cell r="N666">
            <v>38871</v>
          </cell>
          <cell r="P666" t="str">
            <v>FN6603D3M039201</v>
          </cell>
          <cell r="Q666" t="str">
            <v>แผ่นรองและสายรัดเป็นสนิม</v>
          </cell>
        </row>
        <row r="667">
          <cell r="A667">
            <v>50132021</v>
          </cell>
          <cell r="B667">
            <v>666</v>
          </cell>
          <cell r="C667" t="str">
            <v>CF01/1</v>
          </cell>
          <cell r="D667" t="str">
            <v>SPCC-SD</v>
          </cell>
          <cell r="E667" t="str">
            <v>AF1</v>
          </cell>
          <cell r="F667">
            <v>1</v>
          </cell>
          <cell r="G667">
            <v>203</v>
          </cell>
          <cell r="H667">
            <v>510</v>
          </cell>
          <cell r="I667" t="str">
            <v>A</v>
          </cell>
          <cell r="K667">
            <v>471</v>
          </cell>
          <cell r="L667">
            <v>382</v>
          </cell>
          <cell r="M667">
            <v>50132021</v>
          </cell>
          <cell r="N667">
            <v>38874</v>
          </cell>
          <cell r="P667" t="str">
            <v>FN6606N3M062502</v>
          </cell>
          <cell r="Q667" t="str">
            <v>แผ่นรองและสายรัดเป็นสนิม</v>
          </cell>
        </row>
        <row r="668">
          <cell r="A668">
            <v>50124251</v>
          </cell>
          <cell r="B668">
            <v>667</v>
          </cell>
          <cell r="C668" t="str">
            <v>CF01/1</v>
          </cell>
          <cell r="D668" t="str">
            <v>SPCC-SD</v>
          </cell>
          <cell r="E668" t="str">
            <v>AF1</v>
          </cell>
          <cell r="F668">
            <v>1</v>
          </cell>
          <cell r="G668">
            <v>250</v>
          </cell>
          <cell r="H668">
            <v>250</v>
          </cell>
          <cell r="I668" t="str">
            <v>A</v>
          </cell>
          <cell r="K668">
            <v>200</v>
          </cell>
          <cell r="L668">
            <v>99</v>
          </cell>
          <cell r="M668">
            <v>50124251</v>
          </cell>
          <cell r="N668">
            <v>38802</v>
          </cell>
          <cell r="P668" t="str">
            <v>IN6326D1M871801</v>
          </cell>
          <cell r="Q668" t="str">
            <v>แผ่นรองและสายรัดเป็นสนิม</v>
          </cell>
        </row>
        <row r="669">
          <cell r="A669">
            <v>50138208</v>
          </cell>
          <cell r="B669">
            <v>668</v>
          </cell>
          <cell r="C669" t="str">
            <v>CF01/1</v>
          </cell>
          <cell r="D669" t="str">
            <v>SPCC-SD</v>
          </cell>
          <cell r="E669" t="str">
            <v>AF1</v>
          </cell>
          <cell r="F669">
            <v>1</v>
          </cell>
          <cell r="G669">
            <v>250</v>
          </cell>
          <cell r="H669">
            <v>250</v>
          </cell>
          <cell r="I669" t="str">
            <v>A</v>
          </cell>
          <cell r="K669">
            <v>162</v>
          </cell>
          <cell r="L669">
            <v>79</v>
          </cell>
          <cell r="M669">
            <v>50138208</v>
          </cell>
          <cell r="N669">
            <v>38927</v>
          </cell>
          <cell r="P669" t="str">
            <v>FN6729N3M235002</v>
          </cell>
          <cell r="Q669" t="str">
            <v>แผ่นรองและสายรัดเป็นสนิม</v>
          </cell>
        </row>
        <row r="670">
          <cell r="A670">
            <v>50139901</v>
          </cell>
          <cell r="B670">
            <v>669</v>
          </cell>
          <cell r="C670" t="str">
            <v>CF01/1</v>
          </cell>
          <cell r="D670" t="str">
            <v>SPCC-SD</v>
          </cell>
          <cell r="E670" t="str">
            <v>AF1</v>
          </cell>
          <cell r="F670">
            <v>1</v>
          </cell>
          <cell r="G670">
            <v>250</v>
          </cell>
          <cell r="H670">
            <v>570</v>
          </cell>
          <cell r="I670" t="str">
            <v>A</v>
          </cell>
          <cell r="K670">
            <v>355</v>
          </cell>
          <cell r="L670">
            <v>430</v>
          </cell>
          <cell r="M670">
            <v>50139901</v>
          </cell>
          <cell r="N670">
            <v>38943</v>
          </cell>
          <cell r="P670" t="str">
            <v>FN6814D3M290801</v>
          </cell>
          <cell r="Q670" t="str">
            <v>สภาพปกติ</v>
          </cell>
        </row>
        <row r="671">
          <cell r="A671">
            <v>50141049</v>
          </cell>
          <cell r="B671">
            <v>670</v>
          </cell>
          <cell r="C671" t="str">
            <v>CF01/1</v>
          </cell>
          <cell r="D671" t="str">
            <v>SPCC-SD</v>
          </cell>
          <cell r="E671" t="str">
            <v>AF1</v>
          </cell>
          <cell r="F671">
            <v>1</v>
          </cell>
          <cell r="G671">
            <v>250</v>
          </cell>
          <cell r="H671">
            <v>570</v>
          </cell>
          <cell r="I671" t="str">
            <v>A</v>
          </cell>
          <cell r="K671">
            <v>95</v>
          </cell>
          <cell r="L671">
            <v>115</v>
          </cell>
          <cell r="M671">
            <v>50141049</v>
          </cell>
          <cell r="N671">
            <v>38954</v>
          </cell>
          <cell r="P671" t="str">
            <v>IN6825D3M324002</v>
          </cell>
          <cell r="Q671" t="str">
            <v>สภาพปกติ</v>
          </cell>
        </row>
        <row r="672">
          <cell r="A672">
            <v>50138483</v>
          </cell>
          <cell r="B672">
            <v>671</v>
          </cell>
          <cell r="C672" t="str">
            <v>CF01/1</v>
          </cell>
          <cell r="D672" t="str">
            <v>SPCC-SD</v>
          </cell>
          <cell r="E672" t="str">
            <v>AF1</v>
          </cell>
          <cell r="F672">
            <v>1</v>
          </cell>
          <cell r="G672">
            <v>280</v>
          </cell>
          <cell r="H672">
            <v>280</v>
          </cell>
          <cell r="I672" t="str">
            <v>A</v>
          </cell>
          <cell r="K672">
            <v>182</v>
          </cell>
          <cell r="L672">
            <v>113</v>
          </cell>
          <cell r="M672">
            <v>50138483</v>
          </cell>
          <cell r="N672">
            <v>38929</v>
          </cell>
          <cell r="P672" t="str">
            <v>IN6731N3M253002</v>
          </cell>
          <cell r="Q672" t="str">
            <v>แผ่นรองและสายรัดเป็นสนิม</v>
          </cell>
        </row>
        <row r="673">
          <cell r="A673">
            <v>50125207</v>
          </cell>
          <cell r="B673">
            <v>672</v>
          </cell>
          <cell r="C673" t="str">
            <v>CF01/1</v>
          </cell>
          <cell r="D673" t="str">
            <v>SPCC-SD</v>
          </cell>
          <cell r="E673" t="str">
            <v>AF1</v>
          </cell>
          <cell r="F673">
            <v>1</v>
          </cell>
          <cell r="G673">
            <v>289</v>
          </cell>
          <cell r="H673">
            <v>914</v>
          </cell>
          <cell r="I673" t="str">
            <v>A</v>
          </cell>
          <cell r="K673">
            <v>15</v>
          </cell>
          <cell r="L673">
            <v>31</v>
          </cell>
          <cell r="M673">
            <v>50125207</v>
          </cell>
          <cell r="N673">
            <v>38808</v>
          </cell>
          <cell r="P673" t="str">
            <v>IN6401D1R913801</v>
          </cell>
          <cell r="Q673" t="str">
            <v>แผ่นรองและสายรัดเป็นสนิม</v>
          </cell>
        </row>
        <row r="674">
          <cell r="A674">
            <v>50120610</v>
          </cell>
          <cell r="B674">
            <v>673</v>
          </cell>
          <cell r="C674" t="str">
            <v>CF01/1</v>
          </cell>
          <cell r="D674" t="str">
            <v>SPCC-SD</v>
          </cell>
          <cell r="E674" t="str">
            <v>AF1</v>
          </cell>
          <cell r="F674">
            <v>1</v>
          </cell>
          <cell r="G674">
            <v>290</v>
          </cell>
          <cell r="H674">
            <v>710</v>
          </cell>
          <cell r="I674" t="str">
            <v>A</v>
          </cell>
          <cell r="K674">
            <v>252</v>
          </cell>
          <cell r="L674">
            <v>408</v>
          </cell>
          <cell r="M674">
            <v>50120610</v>
          </cell>
          <cell r="N674">
            <v>38781</v>
          </cell>
          <cell r="P674" t="str">
            <v>FN6305N1M809101</v>
          </cell>
          <cell r="Q674" t="str">
            <v>แผ่นรองและสายรัดเป็นสนิม</v>
          </cell>
        </row>
        <row r="675">
          <cell r="A675">
            <v>50130686</v>
          </cell>
          <cell r="B675">
            <v>674</v>
          </cell>
          <cell r="C675" t="str">
            <v>CF01/1</v>
          </cell>
          <cell r="D675" t="str">
            <v>SPCC-SD</v>
          </cell>
          <cell r="E675" t="str">
            <v>AF1</v>
          </cell>
          <cell r="F675">
            <v>1</v>
          </cell>
          <cell r="G675">
            <v>290</v>
          </cell>
          <cell r="H675">
            <v>710</v>
          </cell>
          <cell r="I675" t="str">
            <v>A</v>
          </cell>
          <cell r="K675">
            <v>178</v>
          </cell>
          <cell r="L675">
            <v>280</v>
          </cell>
          <cell r="M675">
            <v>50130686</v>
          </cell>
          <cell r="N675">
            <v>38866</v>
          </cell>
          <cell r="P675" t="str">
            <v>FN6529D1M043501</v>
          </cell>
          <cell r="Q675" t="str">
            <v>แผ่นรองและสายรัดเป็นสนิม, กระดาษฉีกขาด</v>
          </cell>
        </row>
        <row r="676">
          <cell r="A676">
            <v>50131082</v>
          </cell>
          <cell r="B676">
            <v>675</v>
          </cell>
          <cell r="C676" t="str">
            <v>CF01/1</v>
          </cell>
          <cell r="D676" t="str">
            <v>SPCC-SD</v>
          </cell>
          <cell r="E676" t="str">
            <v>AF1</v>
          </cell>
          <cell r="F676">
            <v>1</v>
          </cell>
          <cell r="G676">
            <v>295</v>
          </cell>
          <cell r="H676">
            <v>415</v>
          </cell>
          <cell r="I676" t="str">
            <v>A</v>
          </cell>
          <cell r="K676">
            <v>260</v>
          </cell>
          <cell r="L676">
            <v>250</v>
          </cell>
          <cell r="M676">
            <v>50131082</v>
          </cell>
          <cell r="N676">
            <v>38868</v>
          </cell>
          <cell r="P676" t="str">
            <v>FN6531D1M057701</v>
          </cell>
          <cell r="Q676" t="str">
            <v>แผ่นรองและสายรัดเป็นสนิม</v>
          </cell>
        </row>
        <row r="677">
          <cell r="A677">
            <v>50132356</v>
          </cell>
          <cell r="B677">
            <v>676</v>
          </cell>
          <cell r="C677" t="str">
            <v>CF01/1</v>
          </cell>
          <cell r="D677" t="str">
            <v>SPCC-SD</v>
          </cell>
          <cell r="E677" t="str">
            <v>AF1</v>
          </cell>
          <cell r="F677">
            <v>1</v>
          </cell>
          <cell r="G677">
            <v>295</v>
          </cell>
          <cell r="H677">
            <v>415</v>
          </cell>
          <cell r="I677" t="str">
            <v>A</v>
          </cell>
          <cell r="K677">
            <v>178</v>
          </cell>
          <cell r="L677">
            <v>171</v>
          </cell>
          <cell r="M677">
            <v>50132356</v>
          </cell>
          <cell r="N677">
            <v>38875</v>
          </cell>
          <cell r="P677" t="str">
            <v>IN6607N1M075002</v>
          </cell>
          <cell r="Q677" t="str">
            <v>แผ่นรองและสายรัดเป็นสนิม</v>
          </cell>
        </row>
        <row r="678">
          <cell r="A678">
            <v>50117715</v>
          </cell>
          <cell r="B678">
            <v>677</v>
          </cell>
          <cell r="C678" t="str">
            <v>CF01/1</v>
          </cell>
          <cell r="D678" t="str">
            <v>SPCC-SD</v>
          </cell>
          <cell r="E678" t="str">
            <v>AF1</v>
          </cell>
          <cell r="F678">
            <v>1</v>
          </cell>
          <cell r="G678">
            <v>300</v>
          </cell>
          <cell r="H678">
            <v>1219</v>
          </cell>
          <cell r="I678" t="str">
            <v>A</v>
          </cell>
          <cell r="K678">
            <v>93</v>
          </cell>
          <cell r="L678">
            <v>267</v>
          </cell>
          <cell r="M678">
            <v>50117715</v>
          </cell>
          <cell r="N678">
            <v>38763</v>
          </cell>
          <cell r="P678" t="str">
            <v>IN6215D1D741301</v>
          </cell>
          <cell r="Q678" t="str">
            <v>แผ่นรองและสายรัดเป็นสนิม</v>
          </cell>
        </row>
        <row r="679">
          <cell r="A679">
            <v>50138990</v>
          </cell>
          <cell r="B679">
            <v>678</v>
          </cell>
          <cell r="C679" t="str">
            <v>CF01/1</v>
          </cell>
          <cell r="D679" t="str">
            <v>SPCC-SD</v>
          </cell>
          <cell r="E679" t="str">
            <v>AF1</v>
          </cell>
          <cell r="F679">
            <v>1</v>
          </cell>
          <cell r="G679">
            <v>320</v>
          </cell>
          <cell r="H679">
            <v>555</v>
          </cell>
          <cell r="I679" t="str">
            <v>A</v>
          </cell>
          <cell r="K679">
            <v>206</v>
          </cell>
          <cell r="L679">
            <v>288</v>
          </cell>
          <cell r="M679">
            <v>50138990</v>
          </cell>
          <cell r="N679">
            <v>38932</v>
          </cell>
          <cell r="P679" t="str">
            <v>IN6803D1RSSSS01</v>
          </cell>
          <cell r="Q679" t="str">
            <v>แผ่นรองและสายรัดเป็นสนิม</v>
          </cell>
        </row>
        <row r="680">
          <cell r="A680">
            <v>50120896</v>
          </cell>
          <cell r="B680">
            <v>679</v>
          </cell>
          <cell r="C680" t="str">
            <v>CF01/1</v>
          </cell>
          <cell r="D680" t="str">
            <v>SPCC-SD</v>
          </cell>
          <cell r="E680" t="str">
            <v>AF1</v>
          </cell>
          <cell r="F680">
            <v>1</v>
          </cell>
          <cell r="G680">
            <v>365</v>
          </cell>
          <cell r="H680">
            <v>830</v>
          </cell>
          <cell r="I680" t="str">
            <v>A</v>
          </cell>
          <cell r="K680">
            <v>94</v>
          </cell>
          <cell r="L680">
            <v>224</v>
          </cell>
          <cell r="M680">
            <v>50120896</v>
          </cell>
          <cell r="N680">
            <v>38783</v>
          </cell>
          <cell r="P680" t="str">
            <v>FN6307N2R804401</v>
          </cell>
          <cell r="Q680" t="str">
            <v>แผ่นรองและสายรัดเป็นสนิม</v>
          </cell>
        </row>
        <row r="681">
          <cell r="A681">
            <v>50128600</v>
          </cell>
          <cell r="B681">
            <v>680</v>
          </cell>
          <cell r="C681" t="str">
            <v>CF01/1</v>
          </cell>
          <cell r="D681" t="str">
            <v>SPCC-SD</v>
          </cell>
          <cell r="E681" t="str">
            <v>AF1</v>
          </cell>
          <cell r="F681">
            <v>1</v>
          </cell>
          <cell r="G681">
            <v>370</v>
          </cell>
          <cell r="H681">
            <v>450</v>
          </cell>
          <cell r="I681" t="str">
            <v>A</v>
          </cell>
          <cell r="K681">
            <v>104</v>
          </cell>
          <cell r="L681">
            <v>136</v>
          </cell>
          <cell r="M681">
            <v>50128600</v>
          </cell>
          <cell r="N681">
            <v>38845</v>
          </cell>
          <cell r="P681" t="str">
            <v>FN6508D1RSSSS01</v>
          </cell>
          <cell r="Q681" t="str">
            <v>แผ่นรองและสายรัดเป็นสนิม</v>
          </cell>
        </row>
        <row r="682">
          <cell r="A682">
            <v>50131142</v>
          </cell>
          <cell r="B682">
            <v>681</v>
          </cell>
          <cell r="C682" t="str">
            <v>CF01/1</v>
          </cell>
          <cell r="D682" t="str">
            <v>SPCC-SD</v>
          </cell>
          <cell r="E682" t="str">
            <v>AF1</v>
          </cell>
          <cell r="F682">
            <v>1</v>
          </cell>
          <cell r="G682">
            <v>370</v>
          </cell>
          <cell r="H682">
            <v>450</v>
          </cell>
          <cell r="I682" t="str">
            <v>A</v>
          </cell>
          <cell r="K682">
            <v>270</v>
          </cell>
          <cell r="L682">
            <v>354</v>
          </cell>
          <cell r="M682">
            <v>50131142</v>
          </cell>
          <cell r="N682">
            <v>38869</v>
          </cell>
          <cell r="P682" t="str">
            <v>IN6601N3M042202</v>
          </cell>
          <cell r="Q682" t="str">
            <v>แผ่นรองและสายรัดเป็นสนิม</v>
          </cell>
        </row>
        <row r="683">
          <cell r="A683">
            <v>50124280</v>
          </cell>
          <cell r="B683">
            <v>682</v>
          </cell>
          <cell r="C683" t="str">
            <v>CF01/1</v>
          </cell>
          <cell r="D683" t="str">
            <v>SPCC-SD</v>
          </cell>
          <cell r="E683" t="str">
            <v>AF1</v>
          </cell>
          <cell r="F683">
            <v>1</v>
          </cell>
          <cell r="G683">
            <v>380</v>
          </cell>
          <cell r="H683">
            <v>720</v>
          </cell>
          <cell r="I683" t="str">
            <v>A</v>
          </cell>
          <cell r="K683">
            <v>42</v>
          </cell>
          <cell r="L683">
            <v>90</v>
          </cell>
          <cell r="M683">
            <v>50124280</v>
          </cell>
          <cell r="N683">
            <v>38803</v>
          </cell>
          <cell r="P683" t="str">
            <v>IN6327D1RSSS01</v>
          </cell>
          <cell r="Q683" t="str">
            <v>แผ่นรองและสายรัดเป็นสนิม</v>
          </cell>
        </row>
        <row r="684">
          <cell r="A684">
            <v>50120579</v>
          </cell>
          <cell r="B684">
            <v>683</v>
          </cell>
          <cell r="C684" t="str">
            <v>CF01/1</v>
          </cell>
          <cell r="D684" t="str">
            <v>SPCC-SD</v>
          </cell>
          <cell r="E684" t="str">
            <v>AF1</v>
          </cell>
          <cell r="F684">
            <v>1</v>
          </cell>
          <cell r="G684">
            <v>380</v>
          </cell>
          <cell r="H684">
            <v>1600</v>
          </cell>
          <cell r="I684" t="str">
            <v>A</v>
          </cell>
          <cell r="K684">
            <v>92</v>
          </cell>
          <cell r="L684">
            <v>439</v>
          </cell>
          <cell r="M684">
            <v>50120579</v>
          </cell>
          <cell r="N684">
            <v>38781</v>
          </cell>
          <cell r="P684" t="str">
            <v>FN6305N3M809401</v>
          </cell>
          <cell r="Q684" t="str">
            <v>แผ่นรองและสายรัดเป็นสนิม</v>
          </cell>
        </row>
        <row r="685">
          <cell r="A685">
            <v>50134309</v>
          </cell>
          <cell r="B685">
            <v>684</v>
          </cell>
          <cell r="C685" t="str">
            <v>CF01/1</v>
          </cell>
          <cell r="D685" t="str">
            <v>SPCC-SD</v>
          </cell>
          <cell r="E685" t="str">
            <v>AF1</v>
          </cell>
          <cell r="F685">
            <v>1</v>
          </cell>
          <cell r="G685">
            <v>390</v>
          </cell>
          <cell r="H685">
            <v>390</v>
          </cell>
          <cell r="I685" t="str">
            <v>A</v>
          </cell>
          <cell r="K685">
            <v>104</v>
          </cell>
          <cell r="L685">
            <v>127</v>
          </cell>
          <cell r="M685">
            <v>50134309</v>
          </cell>
          <cell r="N685">
            <v>38892</v>
          </cell>
          <cell r="P685" t="str">
            <v>IN6624D3R120501</v>
          </cell>
          <cell r="Q685" t="str">
            <v>แผ่นรองและสายรัดเป็นสนิม</v>
          </cell>
        </row>
        <row r="686">
          <cell r="A686">
            <v>50138488</v>
          </cell>
          <cell r="B686">
            <v>685</v>
          </cell>
          <cell r="C686" t="str">
            <v>CF01/1</v>
          </cell>
          <cell r="D686" t="str">
            <v>SPCC-SD</v>
          </cell>
          <cell r="E686" t="str">
            <v>AF1</v>
          </cell>
          <cell r="F686">
            <v>1</v>
          </cell>
          <cell r="G686">
            <v>390</v>
          </cell>
          <cell r="H686">
            <v>390</v>
          </cell>
          <cell r="I686" t="str">
            <v>A</v>
          </cell>
          <cell r="K686">
            <v>658</v>
          </cell>
          <cell r="L686">
            <v>783</v>
          </cell>
          <cell r="M686">
            <v>50138488</v>
          </cell>
          <cell r="N686">
            <v>38929</v>
          </cell>
          <cell r="P686" t="str">
            <v>IN6731N3M235001</v>
          </cell>
          <cell r="Q686" t="str">
            <v>แผ่นรองและสายรัดเป็นสนิม</v>
          </cell>
        </row>
        <row r="687">
          <cell r="A687">
            <v>50139978</v>
          </cell>
          <cell r="B687">
            <v>686</v>
          </cell>
          <cell r="C687" t="str">
            <v>CF01/1</v>
          </cell>
          <cell r="D687" t="str">
            <v>SPCC-SD</v>
          </cell>
          <cell r="E687" t="str">
            <v>AF1</v>
          </cell>
          <cell r="F687">
            <v>1</v>
          </cell>
          <cell r="G687">
            <v>390</v>
          </cell>
          <cell r="H687">
            <v>390</v>
          </cell>
          <cell r="I687" t="str">
            <v>A</v>
          </cell>
          <cell r="K687">
            <v>186</v>
          </cell>
          <cell r="L687">
            <v>221</v>
          </cell>
          <cell r="M687">
            <v>50139978</v>
          </cell>
          <cell r="N687">
            <v>38944</v>
          </cell>
          <cell r="P687" t="str">
            <v>IN6815D2M279203</v>
          </cell>
          <cell r="Q687" t="str">
            <v>แผ่นรองและสายรัดเป็นสนิม</v>
          </cell>
        </row>
        <row r="688">
          <cell r="A688">
            <v>50088542</v>
          </cell>
          <cell r="B688">
            <v>687</v>
          </cell>
          <cell r="C688" t="str">
            <v>CF01/1</v>
          </cell>
          <cell r="D688" t="str">
            <v>SPCC-SD</v>
          </cell>
          <cell r="E688" t="str">
            <v>AF1</v>
          </cell>
          <cell r="F688">
            <v>1</v>
          </cell>
          <cell r="G688">
            <v>496</v>
          </cell>
          <cell r="H688">
            <v>546</v>
          </cell>
          <cell r="I688" t="str">
            <v>A</v>
          </cell>
          <cell r="K688">
            <v>15</v>
          </cell>
          <cell r="L688">
            <v>32</v>
          </cell>
          <cell r="M688">
            <v>50088542</v>
          </cell>
          <cell r="N688">
            <v>38527</v>
          </cell>
          <cell r="P688" t="str">
            <v>FN5624D1RSSS01</v>
          </cell>
          <cell r="Q688" t="str">
            <v>แผ่นรองและสายรัดเป็นสนิม</v>
          </cell>
        </row>
        <row r="689">
          <cell r="A689">
            <v>50125012</v>
          </cell>
          <cell r="B689">
            <v>688</v>
          </cell>
          <cell r="C689" t="str">
            <v>CF01/1</v>
          </cell>
          <cell r="D689" t="str">
            <v>SPCC-SD</v>
          </cell>
          <cell r="E689" t="str">
            <v>AF1</v>
          </cell>
          <cell r="F689">
            <v>1</v>
          </cell>
          <cell r="G689">
            <v>520</v>
          </cell>
          <cell r="H689">
            <v>600</v>
          </cell>
          <cell r="I689" t="str">
            <v>A</v>
          </cell>
          <cell r="K689">
            <v>99</v>
          </cell>
          <cell r="L689">
            <v>243</v>
          </cell>
          <cell r="M689">
            <v>50125012</v>
          </cell>
          <cell r="N689">
            <v>38807</v>
          </cell>
          <cell r="P689" t="str">
            <v>FN6331D3M891301</v>
          </cell>
          <cell r="Q689" t="str">
            <v>แผ่นรองและสายรัดเป็นสนิม</v>
          </cell>
        </row>
        <row r="690">
          <cell r="A690">
            <v>50125621</v>
          </cell>
          <cell r="B690">
            <v>689</v>
          </cell>
          <cell r="C690" t="str">
            <v>CF01/1</v>
          </cell>
          <cell r="D690" t="str">
            <v>SPCC-SD</v>
          </cell>
          <cell r="E690" t="str">
            <v>AF1</v>
          </cell>
          <cell r="F690">
            <v>1</v>
          </cell>
          <cell r="G690">
            <v>550</v>
          </cell>
          <cell r="H690">
            <v>660</v>
          </cell>
          <cell r="I690" t="str">
            <v>A</v>
          </cell>
          <cell r="K690">
            <v>44</v>
          </cell>
          <cell r="L690">
            <v>125</v>
          </cell>
          <cell r="M690">
            <v>50125621</v>
          </cell>
          <cell r="N690">
            <v>38812</v>
          </cell>
          <cell r="P690" t="str">
            <v>IN6405D1R904801</v>
          </cell>
          <cell r="Q690" t="str">
            <v>แผ่นรองและสายรัดเป็นสนิม</v>
          </cell>
        </row>
        <row r="691">
          <cell r="A691">
            <v>50088421</v>
          </cell>
          <cell r="B691">
            <v>690</v>
          </cell>
          <cell r="C691" t="str">
            <v>CF01/1</v>
          </cell>
          <cell r="D691" t="str">
            <v>SPCC-SD</v>
          </cell>
          <cell r="E691" t="str">
            <v>AF1</v>
          </cell>
          <cell r="F691">
            <v>1</v>
          </cell>
          <cell r="G691">
            <v>526.5</v>
          </cell>
          <cell r="H691">
            <v>640</v>
          </cell>
          <cell r="I691" t="str">
            <v>A</v>
          </cell>
          <cell r="K691">
            <v>82</v>
          </cell>
          <cell r="L691">
            <v>217</v>
          </cell>
          <cell r="M691">
            <v>50088421</v>
          </cell>
          <cell r="N691">
            <v>38526</v>
          </cell>
          <cell r="P691" t="str">
            <v>FN5623N1D738001</v>
          </cell>
          <cell r="Q691" t="str">
            <v>แผ่นรองและสายรัดเป็นสนิม</v>
          </cell>
        </row>
        <row r="692">
          <cell r="A692">
            <v>50132478</v>
          </cell>
          <cell r="B692">
            <v>691</v>
          </cell>
          <cell r="C692" t="str">
            <v>CF01/1</v>
          </cell>
          <cell r="D692" t="str">
            <v>SPCC-SD</v>
          </cell>
          <cell r="E692" t="str">
            <v>AF1</v>
          </cell>
          <cell r="F692">
            <v>1.2</v>
          </cell>
          <cell r="G692">
            <v>120</v>
          </cell>
          <cell r="H692">
            <v>132</v>
          </cell>
          <cell r="I692" t="str">
            <v>A</v>
          </cell>
          <cell r="K692">
            <v>780</v>
          </cell>
          <cell r="L692">
            <v>117</v>
          </cell>
          <cell r="M692">
            <v>50132478</v>
          </cell>
          <cell r="N692">
            <v>38876</v>
          </cell>
          <cell r="P692" t="str">
            <v>IN6608D1M081301</v>
          </cell>
          <cell r="Q692" t="str">
            <v>แผ่นรองและสายรัดเป็นสนิม</v>
          </cell>
        </row>
        <row r="693">
          <cell r="A693">
            <v>50140055</v>
          </cell>
          <cell r="B693">
            <v>692</v>
          </cell>
          <cell r="C693" t="str">
            <v>CF01/1</v>
          </cell>
          <cell r="D693" t="str">
            <v>SPCC-SD</v>
          </cell>
          <cell r="E693" t="str">
            <v>AF1</v>
          </cell>
          <cell r="F693">
            <v>1.2</v>
          </cell>
          <cell r="G693">
            <v>120</v>
          </cell>
          <cell r="H693">
            <v>132</v>
          </cell>
          <cell r="I693" t="str">
            <v>A</v>
          </cell>
          <cell r="K693">
            <v>420</v>
          </cell>
          <cell r="L693">
            <v>64</v>
          </cell>
          <cell r="M693">
            <v>50140055</v>
          </cell>
          <cell r="N693">
            <v>38945</v>
          </cell>
          <cell r="P693" t="str">
            <v>IN6816D1M277802</v>
          </cell>
          <cell r="Q693" t="str">
            <v>สภาพปกติ</v>
          </cell>
        </row>
        <row r="694">
          <cell r="A694">
            <v>50139014</v>
          </cell>
          <cell r="B694">
            <v>693</v>
          </cell>
          <cell r="C694" t="str">
            <v>CF01/1</v>
          </cell>
          <cell r="D694" t="str">
            <v>SPCC-SD</v>
          </cell>
          <cell r="E694" t="str">
            <v>AF1</v>
          </cell>
          <cell r="F694">
            <v>1.2</v>
          </cell>
          <cell r="G694">
            <v>130</v>
          </cell>
          <cell r="H694">
            <v>150</v>
          </cell>
          <cell r="I694" t="str">
            <v>A</v>
          </cell>
          <cell r="K694">
            <v>1180</v>
          </cell>
          <cell r="L694">
            <v>220</v>
          </cell>
          <cell r="M694">
            <v>50139014</v>
          </cell>
          <cell r="N694">
            <v>38932</v>
          </cell>
          <cell r="P694" t="str">
            <v>IN6803D1M227901</v>
          </cell>
          <cell r="Q694" t="str">
            <v>แผ่นรองและสายรัดเป็นสนิม</v>
          </cell>
        </row>
        <row r="695">
          <cell r="A695">
            <v>50140397</v>
          </cell>
          <cell r="B695">
            <v>694</v>
          </cell>
          <cell r="C695" t="str">
            <v>CF01/1</v>
          </cell>
          <cell r="D695" t="str">
            <v>SPCC-SD</v>
          </cell>
          <cell r="E695" t="str">
            <v>AF1</v>
          </cell>
          <cell r="F695">
            <v>1.2</v>
          </cell>
          <cell r="G695">
            <v>130</v>
          </cell>
          <cell r="H695">
            <v>150</v>
          </cell>
          <cell r="I695" t="str">
            <v>A</v>
          </cell>
          <cell r="K695">
            <v>880</v>
          </cell>
          <cell r="L695">
            <v>161</v>
          </cell>
          <cell r="M695">
            <v>50140397</v>
          </cell>
          <cell r="N695">
            <v>38948</v>
          </cell>
          <cell r="P695" t="str">
            <v>FN6819D1M277903</v>
          </cell>
          <cell r="Q695" t="str">
            <v>สภาพปกติ</v>
          </cell>
        </row>
        <row r="696">
          <cell r="A696">
            <v>50138046</v>
          </cell>
          <cell r="B696">
            <v>695</v>
          </cell>
          <cell r="C696" t="str">
            <v>CF01/1</v>
          </cell>
          <cell r="D696" t="str">
            <v>SPCC-SD</v>
          </cell>
          <cell r="E696" t="str">
            <v>AF1</v>
          </cell>
          <cell r="F696">
            <v>1.2</v>
          </cell>
          <cell r="G696">
            <v>138</v>
          </cell>
          <cell r="H696">
            <v>360</v>
          </cell>
          <cell r="I696" t="str">
            <v>A</v>
          </cell>
          <cell r="K696">
            <v>341</v>
          </cell>
          <cell r="L696">
            <v>160</v>
          </cell>
          <cell r="M696">
            <v>50138046</v>
          </cell>
          <cell r="N696">
            <v>38925</v>
          </cell>
          <cell r="P696" t="str">
            <v>IN6727D2R236301</v>
          </cell>
          <cell r="Q696" t="str">
            <v>แผ่นรองและสายรัดเป็นสนิม</v>
          </cell>
        </row>
        <row r="697">
          <cell r="A697">
            <v>50138784</v>
          </cell>
          <cell r="B697">
            <v>696</v>
          </cell>
          <cell r="C697" t="str">
            <v>CF01/1</v>
          </cell>
          <cell r="D697" t="str">
            <v>SPCC-SD</v>
          </cell>
          <cell r="E697" t="str">
            <v>AF1</v>
          </cell>
          <cell r="F697">
            <v>1.2</v>
          </cell>
          <cell r="G697">
            <v>138</v>
          </cell>
          <cell r="H697">
            <v>360</v>
          </cell>
          <cell r="I697" t="str">
            <v>A</v>
          </cell>
          <cell r="K697">
            <v>450</v>
          </cell>
          <cell r="L697">
            <v>212</v>
          </cell>
          <cell r="M697">
            <v>50138784</v>
          </cell>
          <cell r="N697">
            <v>38931</v>
          </cell>
          <cell r="P697" t="str">
            <v>IN6802D3M242602</v>
          </cell>
          <cell r="Q697" t="str">
            <v>สภาพปกติ</v>
          </cell>
        </row>
        <row r="698">
          <cell r="A698">
            <v>50124395</v>
          </cell>
          <cell r="B698">
            <v>697</v>
          </cell>
          <cell r="C698" t="str">
            <v>CF01/1</v>
          </cell>
          <cell r="D698" t="str">
            <v>SPCC-SD</v>
          </cell>
          <cell r="E698" t="str">
            <v>AF1</v>
          </cell>
          <cell r="F698">
            <v>1.2</v>
          </cell>
          <cell r="G698">
            <v>146</v>
          </cell>
          <cell r="H698">
            <v>525</v>
          </cell>
          <cell r="I698" t="str">
            <v>A</v>
          </cell>
          <cell r="K698">
            <v>600</v>
          </cell>
          <cell r="L698">
            <v>433</v>
          </cell>
          <cell r="M698">
            <v>50124395</v>
          </cell>
          <cell r="N698">
            <v>38803</v>
          </cell>
          <cell r="P698" t="str">
            <v>IN6327N1M884201</v>
          </cell>
          <cell r="Q698" t="str">
            <v>แผ่นรองและสายรัดเป็นสนิม</v>
          </cell>
        </row>
        <row r="699">
          <cell r="A699">
            <v>50132711</v>
          </cell>
          <cell r="B699">
            <v>698</v>
          </cell>
          <cell r="C699" t="str">
            <v>CF01/1</v>
          </cell>
          <cell r="D699" t="str">
            <v>SPCC-SD</v>
          </cell>
          <cell r="E699" t="str">
            <v>AF1</v>
          </cell>
          <cell r="F699">
            <v>1.2</v>
          </cell>
          <cell r="G699">
            <v>146</v>
          </cell>
          <cell r="H699">
            <v>525</v>
          </cell>
          <cell r="I699" t="str">
            <v>A</v>
          </cell>
          <cell r="K699">
            <v>115</v>
          </cell>
          <cell r="L699">
            <v>83</v>
          </cell>
          <cell r="M699">
            <v>50132711</v>
          </cell>
          <cell r="N699">
            <v>38878</v>
          </cell>
          <cell r="P699" t="str">
            <v>FN6610N1M096201</v>
          </cell>
          <cell r="Q699" t="str">
            <v>แผ่นรองและสายรัดเป็นสนิม</v>
          </cell>
        </row>
        <row r="700">
          <cell r="A700">
            <v>50132767</v>
          </cell>
          <cell r="B700">
            <v>699</v>
          </cell>
          <cell r="C700" t="str">
            <v>CF01/1</v>
          </cell>
          <cell r="D700" t="str">
            <v>SPCC-SD</v>
          </cell>
          <cell r="E700" t="str">
            <v>AF1</v>
          </cell>
          <cell r="F700">
            <v>1.2</v>
          </cell>
          <cell r="G700">
            <v>150</v>
          </cell>
          <cell r="H700">
            <v>265</v>
          </cell>
          <cell r="I700" t="str">
            <v>A</v>
          </cell>
          <cell r="K700">
            <v>30</v>
          </cell>
          <cell r="L700">
            <v>11</v>
          </cell>
          <cell r="M700">
            <v>50132767</v>
          </cell>
          <cell r="N700">
            <v>38880</v>
          </cell>
          <cell r="P700" t="str">
            <v>IN6612D1R048701</v>
          </cell>
          <cell r="Q700" t="str">
            <v>แผ่นรองและสายรัดเป็นสนิม</v>
          </cell>
        </row>
        <row r="701">
          <cell r="A701">
            <v>50128695</v>
          </cell>
          <cell r="B701">
            <v>700</v>
          </cell>
          <cell r="C701" t="str">
            <v>CF01/1</v>
          </cell>
          <cell r="D701" t="str">
            <v>SPCC-SD</v>
          </cell>
          <cell r="E701" t="str">
            <v>AF1</v>
          </cell>
          <cell r="F701">
            <v>1.2</v>
          </cell>
          <cell r="G701">
            <v>150</v>
          </cell>
          <cell r="H701">
            <v>695</v>
          </cell>
          <cell r="I701" t="str">
            <v>A</v>
          </cell>
          <cell r="K701">
            <v>210</v>
          </cell>
          <cell r="L701">
            <v>206</v>
          </cell>
          <cell r="M701">
            <v>50128695</v>
          </cell>
          <cell r="N701">
            <v>38846</v>
          </cell>
          <cell r="O701" t="str">
            <v>125C15SUD002</v>
          </cell>
          <cell r="P701" t="str">
            <v>FN6509D1RSSS01</v>
          </cell>
          <cell r="Q701" t="str">
            <v>แผ่นรองและสายรัดเป็นสนิม</v>
          </cell>
        </row>
        <row r="702">
          <cell r="A702">
            <v>50133610</v>
          </cell>
          <cell r="B702">
            <v>701</v>
          </cell>
          <cell r="C702" t="str">
            <v>CF01/1</v>
          </cell>
          <cell r="D702" t="str">
            <v>SPCC-SD</v>
          </cell>
          <cell r="E702" t="str">
            <v>AF1</v>
          </cell>
          <cell r="F702">
            <v>1.2</v>
          </cell>
          <cell r="G702">
            <v>150</v>
          </cell>
          <cell r="H702">
            <v>695</v>
          </cell>
          <cell r="I702" t="str">
            <v>A</v>
          </cell>
          <cell r="K702">
            <v>240</v>
          </cell>
          <cell r="L702">
            <v>235</v>
          </cell>
          <cell r="M702">
            <v>50133610</v>
          </cell>
          <cell r="N702">
            <v>38885</v>
          </cell>
          <cell r="P702" t="str">
            <v>IN6617D2M102601</v>
          </cell>
          <cell r="Q702" t="str">
            <v>แผ่นรองและสายรัดเป็นสนิม</v>
          </cell>
        </row>
        <row r="703">
          <cell r="A703">
            <v>50140626</v>
          </cell>
          <cell r="B703">
            <v>702</v>
          </cell>
          <cell r="C703" t="str">
            <v>CF01/1</v>
          </cell>
          <cell r="D703" t="str">
            <v>SPCC-SD</v>
          </cell>
          <cell r="E703" t="str">
            <v>AF1</v>
          </cell>
          <cell r="F703">
            <v>1.2</v>
          </cell>
          <cell r="G703">
            <v>197</v>
          </cell>
          <cell r="H703">
            <v>210</v>
          </cell>
          <cell r="I703" t="str">
            <v>A</v>
          </cell>
          <cell r="K703">
            <v>843</v>
          </cell>
          <cell r="L703">
            <v>329</v>
          </cell>
          <cell r="M703">
            <v>50140626</v>
          </cell>
          <cell r="N703">
            <v>38951</v>
          </cell>
          <cell r="P703" t="str">
            <v>FN6822D2R321501</v>
          </cell>
          <cell r="Q703" t="str">
            <v>สภาพปกติ</v>
          </cell>
        </row>
        <row r="704">
          <cell r="A704">
            <v>50106089</v>
          </cell>
          <cell r="B704">
            <v>703</v>
          </cell>
          <cell r="C704" t="str">
            <v>CF01/1</v>
          </cell>
          <cell r="D704" t="str">
            <v>SPCC-SD</v>
          </cell>
          <cell r="E704" t="str">
            <v>AF1</v>
          </cell>
          <cell r="F704">
            <v>1.2</v>
          </cell>
          <cell r="G704">
            <v>215</v>
          </cell>
          <cell r="H704">
            <v>654</v>
          </cell>
          <cell r="I704" t="str">
            <v>A</v>
          </cell>
          <cell r="K704">
            <v>300</v>
          </cell>
          <cell r="L704">
            <v>398</v>
          </cell>
          <cell r="M704">
            <v>50106089</v>
          </cell>
          <cell r="N704">
            <v>38669</v>
          </cell>
          <cell r="P704" t="str">
            <v>IN5B13D1M462401</v>
          </cell>
          <cell r="Q704" t="str">
            <v>แผ่นรองและสายรัดเป็นสนิม</v>
          </cell>
        </row>
        <row r="705">
          <cell r="A705">
            <v>50108670</v>
          </cell>
          <cell r="B705">
            <v>704</v>
          </cell>
          <cell r="C705" t="str">
            <v>CF01/1</v>
          </cell>
          <cell r="D705" t="str">
            <v>SPCC-SD</v>
          </cell>
          <cell r="E705" t="str">
            <v>AF1</v>
          </cell>
          <cell r="F705">
            <v>1.2</v>
          </cell>
          <cell r="G705">
            <v>215</v>
          </cell>
          <cell r="H705">
            <v>654</v>
          </cell>
          <cell r="I705" t="str">
            <v>A</v>
          </cell>
          <cell r="K705">
            <v>300</v>
          </cell>
          <cell r="L705">
            <v>395</v>
          </cell>
          <cell r="M705">
            <v>50108670</v>
          </cell>
          <cell r="N705">
            <v>38688</v>
          </cell>
          <cell r="P705" t="str">
            <v>FN5C02D1M480601</v>
          </cell>
          <cell r="Q705" t="str">
            <v>แผ่นรองและสายรัดเป็นสนิม</v>
          </cell>
        </row>
        <row r="706">
          <cell r="A706">
            <v>50112323</v>
          </cell>
          <cell r="B706">
            <v>705</v>
          </cell>
          <cell r="C706" t="str">
            <v>CF01/1</v>
          </cell>
          <cell r="D706" t="str">
            <v>SPCC-SD</v>
          </cell>
          <cell r="E706" t="str">
            <v>AF1</v>
          </cell>
          <cell r="F706">
            <v>1.2</v>
          </cell>
          <cell r="G706">
            <v>215</v>
          </cell>
          <cell r="H706">
            <v>654</v>
          </cell>
          <cell r="I706" t="str">
            <v>A</v>
          </cell>
          <cell r="K706">
            <v>175</v>
          </cell>
          <cell r="L706">
            <v>227</v>
          </cell>
          <cell r="M706">
            <v>50112323</v>
          </cell>
          <cell r="N706">
            <v>38714</v>
          </cell>
          <cell r="P706" t="str">
            <v>IN5C28D1M601303</v>
          </cell>
          <cell r="Q706" t="str">
            <v>แผ่นรองและสายรัดเป็นสนิม</v>
          </cell>
        </row>
        <row r="707">
          <cell r="A707">
            <v>50104000</v>
          </cell>
          <cell r="B707">
            <v>706</v>
          </cell>
          <cell r="C707" t="str">
            <v>CF01/1</v>
          </cell>
          <cell r="D707" t="str">
            <v>SPCC-SD</v>
          </cell>
          <cell r="E707" t="str">
            <v>AF1</v>
          </cell>
          <cell r="F707">
            <v>1.2</v>
          </cell>
          <cell r="G707">
            <v>227</v>
          </cell>
          <cell r="H707">
            <v>615</v>
          </cell>
          <cell r="I707" t="str">
            <v>A</v>
          </cell>
          <cell r="K707">
            <v>172</v>
          </cell>
          <cell r="L707">
            <v>226</v>
          </cell>
          <cell r="M707">
            <v>50104000</v>
          </cell>
          <cell r="N707">
            <v>38653</v>
          </cell>
          <cell r="O707" t="str">
            <v>125A14SUD008</v>
          </cell>
          <cell r="P707" t="str">
            <v>IN5A28D1M408801</v>
          </cell>
          <cell r="Q707" t="str">
            <v>แผ่นรองและสายรัดเป็นสนิม</v>
          </cell>
        </row>
        <row r="708">
          <cell r="A708">
            <v>50121473</v>
          </cell>
          <cell r="B708">
            <v>707</v>
          </cell>
          <cell r="C708" t="str">
            <v>CF01/1</v>
          </cell>
          <cell r="D708" t="str">
            <v>SPCC-SD</v>
          </cell>
          <cell r="E708" t="str">
            <v>AF1</v>
          </cell>
          <cell r="F708">
            <v>1.2</v>
          </cell>
          <cell r="G708">
            <v>227</v>
          </cell>
          <cell r="H708">
            <v>615</v>
          </cell>
          <cell r="I708" t="str">
            <v>A</v>
          </cell>
          <cell r="K708">
            <v>36</v>
          </cell>
          <cell r="L708">
            <v>48</v>
          </cell>
          <cell r="M708">
            <v>50121473</v>
          </cell>
          <cell r="N708">
            <v>38786</v>
          </cell>
          <cell r="O708" t="str">
            <v>125C28SUD014</v>
          </cell>
          <cell r="P708" t="str">
            <v>FN6310D3M827602</v>
          </cell>
          <cell r="Q708" t="str">
            <v>แผ่นรองและสายรัดเป็นสนิม</v>
          </cell>
        </row>
        <row r="709">
          <cell r="A709">
            <v>50134095</v>
          </cell>
          <cell r="B709">
            <v>708</v>
          </cell>
          <cell r="C709" t="str">
            <v>CF01/1</v>
          </cell>
          <cell r="D709" t="str">
            <v>SPCC-SD</v>
          </cell>
          <cell r="E709" t="str">
            <v>AF1</v>
          </cell>
          <cell r="F709">
            <v>1.2</v>
          </cell>
          <cell r="G709">
            <v>227</v>
          </cell>
          <cell r="H709">
            <v>615</v>
          </cell>
          <cell r="I709" t="str">
            <v>A</v>
          </cell>
          <cell r="K709">
            <v>208</v>
          </cell>
          <cell r="L709">
            <v>270</v>
          </cell>
          <cell r="M709">
            <v>50134095</v>
          </cell>
          <cell r="N709">
            <v>38890</v>
          </cell>
          <cell r="O709" t="str">
            <v>125C28SUD014</v>
          </cell>
          <cell r="P709" t="str">
            <v>FN6622D2M127104</v>
          </cell>
          <cell r="Q709" t="str">
            <v>แผ่นรองและสายรัดเป็นสนิม</v>
          </cell>
        </row>
        <row r="710">
          <cell r="A710">
            <v>50129860</v>
          </cell>
          <cell r="B710">
            <v>709</v>
          </cell>
          <cell r="C710" t="str">
            <v>CF01/1</v>
          </cell>
          <cell r="D710" t="str">
            <v>SPCC-SD</v>
          </cell>
          <cell r="E710" t="str">
            <v>AF1</v>
          </cell>
          <cell r="F710">
            <v>1.2</v>
          </cell>
          <cell r="G710">
            <v>244</v>
          </cell>
          <cell r="H710">
            <v>597</v>
          </cell>
          <cell r="I710" t="str">
            <v>A</v>
          </cell>
          <cell r="K710">
            <v>195</v>
          </cell>
          <cell r="L710">
            <v>266</v>
          </cell>
          <cell r="M710">
            <v>50129860</v>
          </cell>
          <cell r="N710">
            <v>38858</v>
          </cell>
          <cell r="P710" t="str">
            <v>FN6521N1M032601</v>
          </cell>
          <cell r="Q710" t="str">
            <v>แผ่นรองและสายรัดเป็นสนิม</v>
          </cell>
        </row>
        <row r="711">
          <cell r="A711">
            <v>50136177</v>
          </cell>
          <cell r="B711">
            <v>710</v>
          </cell>
          <cell r="C711" t="str">
            <v>CF01/1</v>
          </cell>
          <cell r="D711" t="str">
            <v>SPCC-SD</v>
          </cell>
          <cell r="E711" t="str">
            <v>AF1</v>
          </cell>
          <cell r="F711">
            <v>1.2</v>
          </cell>
          <cell r="G711">
            <v>244</v>
          </cell>
          <cell r="H711">
            <v>597</v>
          </cell>
          <cell r="I711" t="str">
            <v>A</v>
          </cell>
          <cell r="K711">
            <v>151</v>
          </cell>
          <cell r="L711">
            <v>205</v>
          </cell>
          <cell r="M711">
            <v>50136177</v>
          </cell>
          <cell r="N711">
            <v>38908</v>
          </cell>
          <cell r="P711" t="str">
            <v>FN6710D3M187602</v>
          </cell>
          <cell r="Q711" t="str">
            <v>แผ่นรองและสายรัดเป็นสนิม</v>
          </cell>
        </row>
        <row r="712">
          <cell r="A712">
            <v>50138222</v>
          </cell>
          <cell r="B712">
            <v>711</v>
          </cell>
          <cell r="C712" t="str">
            <v>CF01/1</v>
          </cell>
          <cell r="D712" t="str">
            <v>SPCC-SD</v>
          </cell>
          <cell r="E712" t="str">
            <v>AF1</v>
          </cell>
          <cell r="F712">
            <v>1.2</v>
          </cell>
          <cell r="G712">
            <v>244</v>
          </cell>
          <cell r="H712">
            <v>597</v>
          </cell>
          <cell r="I712" t="str">
            <v>A</v>
          </cell>
          <cell r="K712">
            <v>376</v>
          </cell>
          <cell r="L712">
            <v>515</v>
          </cell>
          <cell r="M712">
            <v>50138222</v>
          </cell>
          <cell r="N712">
            <v>38927</v>
          </cell>
          <cell r="P712" t="str">
            <v>FN6729N3M237503</v>
          </cell>
          <cell r="Q712" t="str">
            <v>แผ่นรองและสายรัดเป็นสนิม</v>
          </cell>
        </row>
        <row r="713">
          <cell r="A713">
            <v>50070468</v>
          </cell>
          <cell r="B713">
            <v>712</v>
          </cell>
          <cell r="C713" t="str">
            <v>CF01/1</v>
          </cell>
          <cell r="D713" t="str">
            <v>SPCC-SD</v>
          </cell>
          <cell r="E713" t="str">
            <v>AF1</v>
          </cell>
          <cell r="F713">
            <v>1.2</v>
          </cell>
          <cell r="G713">
            <v>250</v>
          </cell>
          <cell r="H713">
            <v>710</v>
          </cell>
          <cell r="I713" t="str">
            <v>A</v>
          </cell>
          <cell r="K713">
            <v>22</v>
          </cell>
          <cell r="L713">
            <v>37</v>
          </cell>
          <cell r="M713">
            <v>50070468</v>
          </cell>
          <cell r="N713">
            <v>38758</v>
          </cell>
          <cell r="P713" t="str">
            <v>IN5210D1M704001</v>
          </cell>
          <cell r="Q713" t="str">
            <v>แผ่นรองและสายรัดเป็นสนิม</v>
          </cell>
        </row>
        <row r="714">
          <cell r="A714">
            <v>50104647</v>
          </cell>
          <cell r="B714">
            <v>713</v>
          </cell>
          <cell r="C714" t="str">
            <v>CF01/1</v>
          </cell>
          <cell r="D714" t="str">
            <v>SPCC-SD</v>
          </cell>
          <cell r="E714" t="str">
            <v>AF1</v>
          </cell>
          <cell r="F714">
            <v>1.2</v>
          </cell>
          <cell r="G714">
            <v>250</v>
          </cell>
          <cell r="H714">
            <v>710</v>
          </cell>
          <cell r="I714" t="str">
            <v>A</v>
          </cell>
          <cell r="K714">
            <v>70</v>
          </cell>
          <cell r="L714">
            <v>117</v>
          </cell>
          <cell r="M714">
            <v>50104647</v>
          </cell>
          <cell r="N714">
            <v>38658</v>
          </cell>
          <cell r="P714" t="str">
            <v>IN5B02D1D439402</v>
          </cell>
          <cell r="Q714" t="str">
            <v>แผ่นรองและสายรัดเป็นสนิม</v>
          </cell>
        </row>
        <row r="715">
          <cell r="A715">
            <v>50130735</v>
          </cell>
          <cell r="B715">
            <v>714</v>
          </cell>
          <cell r="C715" t="str">
            <v>CF01/1</v>
          </cell>
          <cell r="D715" t="str">
            <v>SPCC-SD</v>
          </cell>
          <cell r="E715" t="str">
            <v>AF1</v>
          </cell>
          <cell r="F715">
            <v>1.2</v>
          </cell>
          <cell r="G715">
            <v>258</v>
          </cell>
          <cell r="H715">
            <v>680</v>
          </cell>
          <cell r="I715" t="str">
            <v>A</v>
          </cell>
          <cell r="K715">
            <v>165</v>
          </cell>
          <cell r="L715">
            <v>273</v>
          </cell>
          <cell r="M715">
            <v>50130735</v>
          </cell>
          <cell r="N715">
            <v>38866</v>
          </cell>
          <cell r="P715" t="str">
            <v>FN6529D1M042801</v>
          </cell>
          <cell r="Q715" t="str">
            <v>แผ่นรองและสายรัดเป็นสนิม, กระดาษฉีกขาด</v>
          </cell>
        </row>
        <row r="716">
          <cell r="A716">
            <v>50116666</v>
          </cell>
          <cell r="B716">
            <v>715</v>
          </cell>
          <cell r="C716" t="str">
            <v>CF01/1</v>
          </cell>
          <cell r="D716" t="str">
            <v>SPCC-SD</v>
          </cell>
          <cell r="E716" t="str">
            <v>AF1</v>
          </cell>
          <cell r="F716">
            <v>1.2</v>
          </cell>
          <cell r="G716">
            <v>270</v>
          </cell>
          <cell r="H716">
            <v>1090</v>
          </cell>
          <cell r="I716" t="str">
            <v>A</v>
          </cell>
          <cell r="K716">
            <v>22</v>
          </cell>
          <cell r="L716">
            <v>61</v>
          </cell>
          <cell r="M716">
            <v>50116666</v>
          </cell>
          <cell r="N716">
            <v>38755</v>
          </cell>
          <cell r="P716" t="str">
            <v>IN6207N2R066501</v>
          </cell>
          <cell r="Q716" t="str">
            <v>แผ่นรองและสายรัดเป็นสนิม</v>
          </cell>
        </row>
        <row r="717">
          <cell r="A717">
            <v>50130760</v>
          </cell>
          <cell r="B717">
            <v>716</v>
          </cell>
          <cell r="C717" t="str">
            <v>CF01/1</v>
          </cell>
          <cell r="D717" t="str">
            <v>SPCC-SD</v>
          </cell>
          <cell r="E717" t="str">
            <v>AF1</v>
          </cell>
          <cell r="F717">
            <v>1.2</v>
          </cell>
          <cell r="G717">
            <v>280</v>
          </cell>
          <cell r="H717">
            <v>680</v>
          </cell>
          <cell r="I717" t="str">
            <v>A</v>
          </cell>
          <cell r="K717">
            <v>85</v>
          </cell>
          <cell r="L717">
            <v>152</v>
          </cell>
          <cell r="M717">
            <v>50130760</v>
          </cell>
          <cell r="N717">
            <v>38866</v>
          </cell>
          <cell r="P717" t="str">
            <v>IN6529N3M0428001</v>
          </cell>
          <cell r="Q717" t="str">
            <v>แผ่นรองและสายรัดเป็นสนิม</v>
          </cell>
        </row>
        <row r="718">
          <cell r="A718">
            <v>50060474</v>
          </cell>
          <cell r="B718">
            <v>717</v>
          </cell>
          <cell r="C718" t="str">
            <v>CF01/1</v>
          </cell>
          <cell r="D718" t="str">
            <v>SPCC-SD</v>
          </cell>
          <cell r="E718" t="str">
            <v>AF1</v>
          </cell>
          <cell r="F718">
            <v>1.2</v>
          </cell>
          <cell r="G718">
            <v>280</v>
          </cell>
          <cell r="H718">
            <v>880</v>
          </cell>
          <cell r="I718" t="str">
            <v>A</v>
          </cell>
          <cell r="K718">
            <v>94</v>
          </cell>
          <cell r="L718">
            <v>218</v>
          </cell>
          <cell r="M718">
            <v>50060474</v>
          </cell>
          <cell r="N718">
            <v>38330</v>
          </cell>
          <cell r="P718" t="str">
            <v>FN4C09N1M465501</v>
          </cell>
          <cell r="Q718" t="str">
            <v>แผ่นรองและสายรัดเป็นสนิม</v>
          </cell>
        </row>
        <row r="719">
          <cell r="A719">
            <v>50086757</v>
          </cell>
          <cell r="B719">
            <v>718</v>
          </cell>
          <cell r="C719" t="str">
            <v>CF01/1</v>
          </cell>
          <cell r="D719" t="str">
            <v>SPCC-SD</v>
          </cell>
          <cell r="E719" t="str">
            <v>AF1</v>
          </cell>
          <cell r="F719">
            <v>1.2</v>
          </cell>
          <cell r="G719">
            <v>280</v>
          </cell>
          <cell r="H719">
            <v>880</v>
          </cell>
          <cell r="I719" t="str">
            <v>A</v>
          </cell>
          <cell r="K719">
            <v>148</v>
          </cell>
          <cell r="L719">
            <v>343</v>
          </cell>
          <cell r="M719">
            <v>50086757</v>
          </cell>
          <cell r="N719">
            <v>38512</v>
          </cell>
          <cell r="P719" t="str">
            <v>IN5609N3D036902</v>
          </cell>
          <cell r="Q719" t="str">
            <v>แผ่นรองและสายรัดเป็นสนิม</v>
          </cell>
        </row>
        <row r="720">
          <cell r="A720">
            <v>50115091</v>
          </cell>
          <cell r="B720">
            <v>719</v>
          </cell>
          <cell r="C720" t="str">
            <v>CF01/1</v>
          </cell>
          <cell r="D720" t="str">
            <v>SPCC-SD</v>
          </cell>
          <cell r="E720" t="str">
            <v>AF1</v>
          </cell>
          <cell r="F720">
            <v>1.2</v>
          </cell>
          <cell r="G720">
            <v>285</v>
          </cell>
          <cell r="H720">
            <v>385</v>
          </cell>
          <cell r="I720" t="str">
            <v>A</v>
          </cell>
          <cell r="K720">
            <v>14</v>
          </cell>
          <cell r="L720">
            <v>15</v>
          </cell>
          <cell r="M720">
            <v>50115091</v>
          </cell>
          <cell r="N720">
            <v>38741</v>
          </cell>
          <cell r="P720" t="str">
            <v>FN6124N3RQQQ01</v>
          </cell>
          <cell r="Q720" t="str">
            <v>แผ่นรองและสายรัดเป็นสนิม</v>
          </cell>
        </row>
        <row r="721">
          <cell r="A721">
            <v>50140944</v>
          </cell>
          <cell r="B721">
            <v>720</v>
          </cell>
          <cell r="C721" t="str">
            <v>CF01/1</v>
          </cell>
          <cell r="D721" t="str">
            <v>SPCC-SD</v>
          </cell>
          <cell r="E721" t="str">
            <v>AF1</v>
          </cell>
          <cell r="F721">
            <v>1.2</v>
          </cell>
          <cell r="G721">
            <v>310</v>
          </cell>
          <cell r="H721">
            <v>385</v>
          </cell>
          <cell r="I721" t="str">
            <v>A</v>
          </cell>
          <cell r="K721">
            <v>230</v>
          </cell>
          <cell r="L721">
            <v>258</v>
          </cell>
          <cell r="M721">
            <v>50140944</v>
          </cell>
          <cell r="N721">
            <v>38953</v>
          </cell>
          <cell r="P721" t="str">
            <v>FN6824D2M321901</v>
          </cell>
          <cell r="Q721" t="str">
            <v>แผ่นรองและสายรัดเป็นสนิม</v>
          </cell>
        </row>
        <row r="722">
          <cell r="A722">
            <v>50137951</v>
          </cell>
          <cell r="B722">
            <v>721</v>
          </cell>
          <cell r="C722" t="str">
            <v>CF01/1</v>
          </cell>
          <cell r="D722" t="str">
            <v>SPCC-SD</v>
          </cell>
          <cell r="E722" t="str">
            <v>AF1</v>
          </cell>
          <cell r="F722">
            <v>1.2</v>
          </cell>
          <cell r="G722">
            <v>335</v>
          </cell>
          <cell r="H722">
            <v>835</v>
          </cell>
          <cell r="I722" t="str">
            <v>A</v>
          </cell>
          <cell r="K722">
            <v>116</v>
          </cell>
          <cell r="L722">
            <v>304</v>
          </cell>
          <cell r="M722">
            <v>50137951</v>
          </cell>
          <cell r="N722">
            <v>38924</v>
          </cell>
          <cell r="P722" t="str">
            <v>FN6726D3M225901</v>
          </cell>
          <cell r="Q722" t="str">
            <v>แผ่นรองและสายรัดเป็นสนิม</v>
          </cell>
        </row>
        <row r="723">
          <cell r="A723">
            <v>50114700</v>
          </cell>
          <cell r="B723">
            <v>722</v>
          </cell>
          <cell r="C723" t="str">
            <v>CF01/1</v>
          </cell>
          <cell r="D723" t="str">
            <v>SPCC-SD</v>
          </cell>
          <cell r="E723" t="str">
            <v>AF1</v>
          </cell>
          <cell r="F723">
            <v>1.2</v>
          </cell>
          <cell r="G723">
            <v>345</v>
          </cell>
          <cell r="H723">
            <v>384</v>
          </cell>
          <cell r="I723" t="str">
            <v>A</v>
          </cell>
          <cell r="K723">
            <v>58</v>
          </cell>
          <cell r="L723">
            <v>72</v>
          </cell>
          <cell r="M723">
            <v>50114700</v>
          </cell>
          <cell r="N723">
            <v>38737</v>
          </cell>
          <cell r="P723" t="str">
            <v>FN6120D1R660801</v>
          </cell>
          <cell r="Q723" t="str">
            <v>แผ่นรองและสายรัดเป็นสนิม</v>
          </cell>
        </row>
        <row r="724">
          <cell r="A724">
            <v>50139376</v>
          </cell>
          <cell r="B724">
            <v>723</v>
          </cell>
          <cell r="C724" t="str">
            <v>CF01/1</v>
          </cell>
          <cell r="D724" t="str">
            <v>SPCC-SD</v>
          </cell>
          <cell r="E724" t="str">
            <v>AF1</v>
          </cell>
          <cell r="F724">
            <v>1.2</v>
          </cell>
          <cell r="G724">
            <v>352</v>
          </cell>
          <cell r="H724">
            <v>556</v>
          </cell>
          <cell r="I724" t="str">
            <v>A</v>
          </cell>
          <cell r="K724">
            <v>158</v>
          </cell>
          <cell r="L724">
            <v>292</v>
          </cell>
          <cell r="M724">
            <v>50139376</v>
          </cell>
          <cell r="N724">
            <v>38936</v>
          </cell>
          <cell r="P724" t="str">
            <v>IN6807D3M937602</v>
          </cell>
          <cell r="Q724" t="str">
            <v>แผ่นรองและสายรัดเป็นสนิม</v>
          </cell>
        </row>
        <row r="725">
          <cell r="A725">
            <v>50138995</v>
          </cell>
          <cell r="B725">
            <v>724</v>
          </cell>
          <cell r="C725" t="str">
            <v>CF01/1</v>
          </cell>
          <cell r="D725" t="str">
            <v>SPCC-SD</v>
          </cell>
          <cell r="E725" t="str">
            <v>AF1</v>
          </cell>
          <cell r="F725">
            <v>1.2</v>
          </cell>
          <cell r="G725">
            <v>355</v>
          </cell>
          <cell r="H725">
            <v>562</v>
          </cell>
          <cell r="I725" t="str">
            <v>A</v>
          </cell>
          <cell r="K725">
            <v>42</v>
          </cell>
          <cell r="L725">
            <v>79</v>
          </cell>
          <cell r="M725">
            <v>50138995</v>
          </cell>
          <cell r="N725">
            <v>38932</v>
          </cell>
          <cell r="P725" t="str">
            <v>FN6803D1RSSSS01</v>
          </cell>
          <cell r="Q725" t="str">
            <v>สภาพปกติ</v>
          </cell>
        </row>
        <row r="726">
          <cell r="A726">
            <v>50123190</v>
          </cell>
          <cell r="B726">
            <v>725</v>
          </cell>
          <cell r="C726" t="str">
            <v>CF01/1</v>
          </cell>
          <cell r="D726" t="str">
            <v>SPCC-SD</v>
          </cell>
          <cell r="E726" t="str">
            <v>AF1</v>
          </cell>
          <cell r="F726">
            <v>1.2</v>
          </cell>
          <cell r="G726">
            <v>380</v>
          </cell>
          <cell r="H726">
            <v>400</v>
          </cell>
          <cell r="I726" t="str">
            <v>A</v>
          </cell>
          <cell r="K726">
            <v>500</v>
          </cell>
          <cell r="L726">
            <v>716</v>
          </cell>
          <cell r="M726">
            <v>50123190</v>
          </cell>
          <cell r="N726">
            <v>38796</v>
          </cell>
          <cell r="P726" t="str">
            <v>IN6320D1RSSSS01</v>
          </cell>
          <cell r="Q726" t="str">
            <v>แผ่นรองและสายรัดเป็นสนิม</v>
          </cell>
        </row>
        <row r="727">
          <cell r="A727">
            <v>50123191</v>
          </cell>
          <cell r="B727">
            <v>726</v>
          </cell>
          <cell r="C727" t="str">
            <v>CF01/1</v>
          </cell>
          <cell r="D727" t="str">
            <v>SPCC-SD</v>
          </cell>
          <cell r="E727" t="str">
            <v>AF1</v>
          </cell>
          <cell r="F727">
            <v>1.2</v>
          </cell>
          <cell r="G727">
            <v>380</v>
          </cell>
          <cell r="H727">
            <v>400</v>
          </cell>
          <cell r="I727" t="str">
            <v>A</v>
          </cell>
          <cell r="K727">
            <v>500</v>
          </cell>
          <cell r="L727">
            <v>716</v>
          </cell>
          <cell r="M727">
            <v>50123191</v>
          </cell>
          <cell r="N727">
            <v>38796</v>
          </cell>
          <cell r="P727" t="str">
            <v>IN6320D1RSSSS02</v>
          </cell>
          <cell r="Q727" t="str">
            <v>แผ่นรองและสายรัดเป็นสนิม</v>
          </cell>
        </row>
        <row r="728">
          <cell r="A728">
            <v>50123192</v>
          </cell>
          <cell r="B728">
            <v>727</v>
          </cell>
          <cell r="C728" t="str">
            <v>CF01/1</v>
          </cell>
          <cell r="D728" t="str">
            <v>SPCC-SD</v>
          </cell>
          <cell r="E728" t="str">
            <v>AF1</v>
          </cell>
          <cell r="F728">
            <v>1.2</v>
          </cell>
          <cell r="G728">
            <v>380</v>
          </cell>
          <cell r="H728">
            <v>400</v>
          </cell>
          <cell r="I728" t="str">
            <v>A</v>
          </cell>
          <cell r="K728">
            <v>396</v>
          </cell>
          <cell r="L728">
            <v>567</v>
          </cell>
          <cell r="M728">
            <v>50123192</v>
          </cell>
          <cell r="N728">
            <v>38796</v>
          </cell>
          <cell r="P728" t="str">
            <v>IN6320D1RSSSS03</v>
          </cell>
          <cell r="Q728" t="str">
            <v>แผ่นรองและสายรัดเป็นสนิม</v>
          </cell>
        </row>
        <row r="729">
          <cell r="A729">
            <v>50135034</v>
          </cell>
          <cell r="B729">
            <v>728</v>
          </cell>
          <cell r="C729" t="str">
            <v>CF01/1</v>
          </cell>
          <cell r="D729" t="str">
            <v>SPCC-SD</v>
          </cell>
          <cell r="E729" t="str">
            <v>AF1</v>
          </cell>
          <cell r="F729">
            <v>1.2</v>
          </cell>
          <cell r="G729">
            <v>406</v>
          </cell>
          <cell r="H729">
            <v>430</v>
          </cell>
          <cell r="I729" t="str">
            <v>A</v>
          </cell>
          <cell r="K729">
            <v>43</v>
          </cell>
          <cell r="L729">
            <v>71</v>
          </cell>
          <cell r="M729">
            <v>50135034</v>
          </cell>
          <cell r="N729">
            <v>38898</v>
          </cell>
          <cell r="P729" t="str">
            <v>FN6630D3M155201</v>
          </cell>
          <cell r="Q729" t="str">
            <v>แผ่นรองและสายรัดเป็นสนิม</v>
          </cell>
        </row>
        <row r="730">
          <cell r="A730">
            <v>50122443</v>
          </cell>
          <cell r="B730">
            <v>729</v>
          </cell>
          <cell r="C730" t="str">
            <v>CF01/1</v>
          </cell>
          <cell r="D730" t="str">
            <v>SPCC-SD</v>
          </cell>
          <cell r="E730" t="str">
            <v>AF1</v>
          </cell>
          <cell r="F730">
            <v>1.2</v>
          </cell>
          <cell r="G730">
            <v>508</v>
          </cell>
          <cell r="H730">
            <v>990</v>
          </cell>
          <cell r="I730" t="str">
            <v>A</v>
          </cell>
          <cell r="K730">
            <v>200</v>
          </cell>
          <cell r="L730">
            <v>950</v>
          </cell>
          <cell r="M730">
            <v>50122443</v>
          </cell>
          <cell r="N730">
            <v>38791</v>
          </cell>
          <cell r="P730" t="str">
            <v>IN6315D1L845301</v>
          </cell>
          <cell r="Q730" t="str">
            <v>แผ่นรองและสายรัดเป็นสนิม</v>
          </cell>
        </row>
        <row r="731">
          <cell r="A731">
            <v>50098484</v>
          </cell>
          <cell r="B731">
            <v>730</v>
          </cell>
          <cell r="C731" t="str">
            <v>CF01/1</v>
          </cell>
          <cell r="D731" t="str">
            <v>SPCC-SD</v>
          </cell>
          <cell r="E731" t="str">
            <v>AF1</v>
          </cell>
          <cell r="F731">
            <v>1.2</v>
          </cell>
          <cell r="G731">
            <v>600</v>
          </cell>
          <cell r="H731">
            <v>950</v>
          </cell>
          <cell r="I731" t="str">
            <v>A</v>
          </cell>
          <cell r="K731">
            <v>49</v>
          </cell>
          <cell r="L731">
            <v>263</v>
          </cell>
          <cell r="M731">
            <v>50098484</v>
          </cell>
          <cell r="N731">
            <v>38605</v>
          </cell>
          <cell r="P731" t="str">
            <v>FN5910D1M249301</v>
          </cell>
          <cell r="Q731" t="str">
            <v>แผ่นรองและสายรัดเป็นสนิม</v>
          </cell>
        </row>
        <row r="732">
          <cell r="A732">
            <v>50063299</v>
          </cell>
          <cell r="B732">
            <v>731</v>
          </cell>
          <cell r="C732" t="str">
            <v>CF01/1</v>
          </cell>
          <cell r="D732" t="str">
            <v>SPCC-SD</v>
          </cell>
          <cell r="E732" t="str">
            <v>AF1</v>
          </cell>
          <cell r="F732">
            <v>1.4</v>
          </cell>
          <cell r="G732">
            <v>203</v>
          </cell>
          <cell r="H732">
            <v>1219</v>
          </cell>
          <cell r="I732" t="str">
            <v>A</v>
          </cell>
          <cell r="K732">
            <v>150</v>
          </cell>
          <cell r="L732">
            <v>409</v>
          </cell>
          <cell r="M732">
            <v>50063299</v>
          </cell>
          <cell r="N732">
            <v>38328</v>
          </cell>
          <cell r="P732" t="str">
            <v>IN4C07D2RBBBB01</v>
          </cell>
          <cell r="Q732" t="str">
            <v>แผ่นรองและสายรัดเป็นสนิม</v>
          </cell>
        </row>
        <row r="733">
          <cell r="A733">
            <v>50063300</v>
          </cell>
          <cell r="B733">
            <v>732</v>
          </cell>
          <cell r="C733" t="str">
            <v>CF01/1</v>
          </cell>
          <cell r="D733" t="str">
            <v>SPCC-SD</v>
          </cell>
          <cell r="E733" t="str">
            <v>AF1</v>
          </cell>
          <cell r="F733">
            <v>1.4</v>
          </cell>
          <cell r="G733">
            <v>203</v>
          </cell>
          <cell r="H733">
            <v>1219</v>
          </cell>
          <cell r="I733" t="str">
            <v>A</v>
          </cell>
          <cell r="K733">
            <v>150</v>
          </cell>
          <cell r="L733">
            <v>409</v>
          </cell>
          <cell r="M733">
            <v>50063300</v>
          </cell>
          <cell r="N733">
            <v>38328</v>
          </cell>
          <cell r="P733" t="str">
            <v>IN4C07D2RBBBB02</v>
          </cell>
          <cell r="Q733" t="str">
            <v>แผ่นรองและสายรัดเป็นสนิม</v>
          </cell>
        </row>
        <row r="734">
          <cell r="A734">
            <v>50114964</v>
          </cell>
          <cell r="B734">
            <v>733</v>
          </cell>
          <cell r="C734" t="str">
            <v>CF01/1</v>
          </cell>
          <cell r="D734" t="str">
            <v>SPCC-SD</v>
          </cell>
          <cell r="E734" t="str">
            <v>AF1</v>
          </cell>
          <cell r="F734">
            <v>1.4</v>
          </cell>
          <cell r="G734">
            <v>440</v>
          </cell>
          <cell r="H734">
            <v>920</v>
          </cell>
          <cell r="I734" t="str">
            <v>A</v>
          </cell>
          <cell r="K734">
            <v>132</v>
          </cell>
          <cell r="L734">
            <v>587</v>
          </cell>
          <cell r="M734">
            <v>50114964</v>
          </cell>
          <cell r="N734">
            <v>38740</v>
          </cell>
          <cell r="P734" t="str">
            <v>FN6123D1M664701</v>
          </cell>
          <cell r="Q734" t="str">
            <v>แผ่นรองและสายรัดเป็นสนิม</v>
          </cell>
        </row>
        <row r="735">
          <cell r="A735">
            <v>50112906</v>
          </cell>
          <cell r="B735">
            <v>734</v>
          </cell>
          <cell r="C735" t="str">
            <v>CF01/1</v>
          </cell>
          <cell r="D735" t="str">
            <v>SPCC-SD</v>
          </cell>
          <cell r="E735" t="str">
            <v>AF1</v>
          </cell>
          <cell r="F735">
            <v>1.6</v>
          </cell>
          <cell r="G735">
            <v>40</v>
          </cell>
          <cell r="H735">
            <v>1219</v>
          </cell>
          <cell r="I735" t="str">
            <v>A</v>
          </cell>
          <cell r="K735">
            <v>400</v>
          </cell>
          <cell r="L735">
            <v>244</v>
          </cell>
          <cell r="M735">
            <v>50112906</v>
          </cell>
          <cell r="N735">
            <v>38724</v>
          </cell>
          <cell r="P735" t="str">
            <v>IN6107D1R297701</v>
          </cell>
          <cell r="Q735" t="str">
            <v>แผ่นรองและสายรัดเป็นสนิม</v>
          </cell>
        </row>
        <row r="736">
          <cell r="A736">
            <v>50105618</v>
          </cell>
          <cell r="B736">
            <v>735</v>
          </cell>
          <cell r="C736" t="str">
            <v>CF01/1</v>
          </cell>
          <cell r="D736" t="str">
            <v>SPCC-SD</v>
          </cell>
          <cell r="E736" t="str">
            <v>AF1</v>
          </cell>
          <cell r="F736">
            <v>1.6</v>
          </cell>
          <cell r="G736">
            <v>90</v>
          </cell>
          <cell r="H736">
            <v>250</v>
          </cell>
          <cell r="I736" t="str">
            <v>A</v>
          </cell>
          <cell r="K736">
            <v>270</v>
          </cell>
          <cell r="L736">
            <v>77</v>
          </cell>
          <cell r="M736">
            <v>50105618</v>
          </cell>
          <cell r="N736">
            <v>38665</v>
          </cell>
          <cell r="P736" t="str">
            <v>FN5B09D1M451701</v>
          </cell>
          <cell r="Q736" t="str">
            <v>แผ่นรองและสายรัดเป็นสนิม</v>
          </cell>
        </row>
        <row r="737">
          <cell r="A737">
            <v>50073978</v>
          </cell>
          <cell r="B737">
            <v>736</v>
          </cell>
          <cell r="C737" t="str">
            <v>CF01/1</v>
          </cell>
          <cell r="D737" t="str">
            <v>SPCC-SD</v>
          </cell>
          <cell r="E737" t="str">
            <v>AF1</v>
          </cell>
          <cell r="F737">
            <v>1.6</v>
          </cell>
          <cell r="G737">
            <v>115</v>
          </cell>
          <cell r="H737">
            <v>1219</v>
          </cell>
          <cell r="I737" t="str">
            <v>A</v>
          </cell>
          <cell r="K737">
            <v>18</v>
          </cell>
          <cell r="L737">
            <v>32</v>
          </cell>
          <cell r="M737">
            <v>50073978</v>
          </cell>
          <cell r="N737">
            <v>38420</v>
          </cell>
          <cell r="P737" t="str">
            <v>IN5309N1M171701</v>
          </cell>
          <cell r="Q737" t="str">
            <v>แผ่นรองและสายรัดเป็นสนิม</v>
          </cell>
        </row>
        <row r="738">
          <cell r="A738">
            <v>50125508</v>
          </cell>
          <cell r="B738">
            <v>737</v>
          </cell>
          <cell r="C738" t="str">
            <v>CF01/1</v>
          </cell>
          <cell r="D738" t="str">
            <v>SPCC-SD</v>
          </cell>
          <cell r="E738" t="str">
            <v>AF1</v>
          </cell>
          <cell r="F738">
            <v>1.6</v>
          </cell>
          <cell r="G738">
            <v>126</v>
          </cell>
          <cell r="H738">
            <v>136</v>
          </cell>
          <cell r="I738" t="str">
            <v>A</v>
          </cell>
          <cell r="K738">
            <v>250</v>
          </cell>
          <cell r="L738">
            <v>50</v>
          </cell>
          <cell r="M738">
            <v>50125508</v>
          </cell>
          <cell r="N738">
            <v>38811</v>
          </cell>
          <cell r="P738" t="str">
            <v>IN6404D1M916501</v>
          </cell>
          <cell r="Q738" t="str">
            <v>แผ่นรองและสายรัดเป็นสนิม</v>
          </cell>
        </row>
        <row r="739">
          <cell r="A739">
            <v>50139141</v>
          </cell>
          <cell r="B739">
            <v>738</v>
          </cell>
          <cell r="C739" t="str">
            <v>CF01/1</v>
          </cell>
          <cell r="D739" t="str">
            <v>SPCC-SD</v>
          </cell>
          <cell r="E739" t="str">
            <v>AF1</v>
          </cell>
          <cell r="F739">
            <v>1.6</v>
          </cell>
          <cell r="G739">
            <v>126</v>
          </cell>
          <cell r="H739">
            <v>136</v>
          </cell>
          <cell r="I739" t="str">
            <v>A</v>
          </cell>
          <cell r="K739">
            <v>830</v>
          </cell>
          <cell r="L739">
            <v>181</v>
          </cell>
          <cell r="M739">
            <v>50139141</v>
          </cell>
          <cell r="N739">
            <v>38933</v>
          </cell>
          <cell r="P739" t="str">
            <v>FN6804D1M265602</v>
          </cell>
          <cell r="Q739" t="str">
            <v>แผ่นรองและสายรัดเป็นสนิม</v>
          </cell>
        </row>
        <row r="740">
          <cell r="A740">
            <v>50123143</v>
          </cell>
          <cell r="B740">
            <v>739</v>
          </cell>
          <cell r="C740" t="str">
            <v>CF01/1</v>
          </cell>
          <cell r="D740" t="str">
            <v>SPCC-SD</v>
          </cell>
          <cell r="E740" t="str">
            <v>AF1</v>
          </cell>
          <cell r="F740">
            <v>1.6</v>
          </cell>
          <cell r="G740">
            <v>150</v>
          </cell>
          <cell r="H740">
            <v>190</v>
          </cell>
          <cell r="I740" t="str">
            <v>A</v>
          </cell>
          <cell r="K740">
            <v>310</v>
          </cell>
          <cell r="L740">
            <v>110</v>
          </cell>
          <cell r="M740">
            <v>50123143</v>
          </cell>
          <cell r="N740">
            <v>38795</v>
          </cell>
          <cell r="P740" t="str">
            <v>IN6319D1M847501</v>
          </cell>
          <cell r="Q740" t="str">
            <v>แผ่นรองและสายรัดเป็นสนิม</v>
          </cell>
        </row>
        <row r="741">
          <cell r="A741">
            <v>50135380</v>
          </cell>
          <cell r="B741">
            <v>740</v>
          </cell>
          <cell r="C741" t="str">
            <v>CF01/1</v>
          </cell>
          <cell r="D741" t="str">
            <v>SPCC-SD</v>
          </cell>
          <cell r="E741" t="str">
            <v>AF1</v>
          </cell>
          <cell r="F741">
            <v>1.6</v>
          </cell>
          <cell r="G741">
            <v>160</v>
          </cell>
          <cell r="H741">
            <v>960</v>
          </cell>
          <cell r="I741" t="str">
            <v>A</v>
          </cell>
          <cell r="K741">
            <v>110</v>
          </cell>
          <cell r="L741">
            <v>214</v>
          </cell>
          <cell r="M741">
            <v>50135380</v>
          </cell>
          <cell r="N741">
            <v>38902</v>
          </cell>
          <cell r="P741" t="str">
            <v>IN6704N1M167801</v>
          </cell>
          <cell r="Q741" t="str">
            <v>แผ่นรองและสายรัดเป็นสนิม</v>
          </cell>
        </row>
        <row r="742">
          <cell r="A742">
            <v>50133471</v>
          </cell>
          <cell r="B742">
            <v>741</v>
          </cell>
          <cell r="C742" t="str">
            <v>CF01/1</v>
          </cell>
          <cell r="D742" t="str">
            <v>SPCC-SD</v>
          </cell>
          <cell r="E742" t="str">
            <v>AF1</v>
          </cell>
          <cell r="F742">
            <v>1.6</v>
          </cell>
          <cell r="G742">
            <v>177</v>
          </cell>
          <cell r="H742">
            <v>331</v>
          </cell>
          <cell r="I742" t="str">
            <v>A</v>
          </cell>
          <cell r="K742">
            <v>70</v>
          </cell>
          <cell r="L742">
            <v>52</v>
          </cell>
          <cell r="M742">
            <v>50133471</v>
          </cell>
          <cell r="N742">
            <v>38884</v>
          </cell>
          <cell r="P742" t="str">
            <v>FN6616D1M111101</v>
          </cell>
          <cell r="Q742" t="str">
            <v>แผ่นรองและสายรัดเป็นสนิม</v>
          </cell>
        </row>
        <row r="743">
          <cell r="A743">
            <v>50139281</v>
          </cell>
          <cell r="B743">
            <v>742</v>
          </cell>
          <cell r="C743" t="str">
            <v>CF01/1</v>
          </cell>
          <cell r="D743" t="str">
            <v>SPCC-SD</v>
          </cell>
          <cell r="E743" t="str">
            <v>AF1</v>
          </cell>
          <cell r="F743">
            <v>1.6</v>
          </cell>
          <cell r="G743">
            <v>177</v>
          </cell>
          <cell r="H743">
            <v>331</v>
          </cell>
          <cell r="I743" t="str">
            <v>A</v>
          </cell>
          <cell r="K743">
            <v>150</v>
          </cell>
          <cell r="L743">
            <v>111</v>
          </cell>
          <cell r="M743">
            <v>50139281</v>
          </cell>
          <cell r="N743">
            <v>38934</v>
          </cell>
          <cell r="P743" t="str">
            <v>FN6805D2R260201</v>
          </cell>
          <cell r="Q743" t="str">
            <v>สภาพปกติ</v>
          </cell>
        </row>
        <row r="744">
          <cell r="A744">
            <v>50124432</v>
          </cell>
          <cell r="B744">
            <v>743</v>
          </cell>
          <cell r="C744" t="str">
            <v>CF01/1</v>
          </cell>
          <cell r="D744" t="str">
            <v>SPCC-SD</v>
          </cell>
          <cell r="E744" t="str">
            <v>AF1</v>
          </cell>
          <cell r="F744">
            <v>1.6</v>
          </cell>
          <cell r="G744">
            <v>214</v>
          </cell>
          <cell r="H744">
            <v>1219</v>
          </cell>
          <cell r="I744" t="str">
            <v>A</v>
          </cell>
          <cell r="K744">
            <v>47</v>
          </cell>
          <cell r="L744">
            <v>154</v>
          </cell>
          <cell r="M744">
            <v>50124432</v>
          </cell>
          <cell r="N744">
            <v>38804</v>
          </cell>
          <cell r="P744" t="str">
            <v>FN6328N2R886801</v>
          </cell>
          <cell r="Q744" t="str">
            <v>แผ่นรองและสายรัดเป็นสนิม</v>
          </cell>
        </row>
        <row r="745">
          <cell r="A745">
            <v>50138405</v>
          </cell>
          <cell r="B745">
            <v>744</v>
          </cell>
          <cell r="C745" t="str">
            <v>CF01/1</v>
          </cell>
          <cell r="D745" t="str">
            <v>SPCC-SD</v>
          </cell>
          <cell r="E745" t="str">
            <v>AF1</v>
          </cell>
          <cell r="F745">
            <v>1.6</v>
          </cell>
          <cell r="G745">
            <v>215</v>
          </cell>
          <cell r="H745">
            <v>1080</v>
          </cell>
          <cell r="I745" t="str">
            <v>A</v>
          </cell>
          <cell r="K745">
            <v>120</v>
          </cell>
          <cell r="L745">
            <v>350</v>
          </cell>
          <cell r="M745">
            <v>50138405</v>
          </cell>
          <cell r="N745">
            <v>38929</v>
          </cell>
          <cell r="P745" t="str">
            <v>IN6731D2M238501</v>
          </cell>
          <cell r="Q745" t="str">
            <v>แผ่นรองและสายรัดเป็นสนิม</v>
          </cell>
        </row>
        <row r="746">
          <cell r="A746">
            <v>50128679</v>
          </cell>
          <cell r="B746">
            <v>745</v>
          </cell>
          <cell r="C746" t="str">
            <v>CF01/1</v>
          </cell>
          <cell r="D746" t="str">
            <v>SPCC-SD</v>
          </cell>
          <cell r="E746" t="str">
            <v>AF1</v>
          </cell>
          <cell r="F746">
            <v>1.6</v>
          </cell>
          <cell r="G746">
            <v>280</v>
          </cell>
          <cell r="H746">
            <v>840</v>
          </cell>
          <cell r="I746" t="str">
            <v>A</v>
          </cell>
          <cell r="K746">
            <v>114</v>
          </cell>
          <cell r="L746">
            <v>336</v>
          </cell>
          <cell r="M746">
            <v>50128679</v>
          </cell>
          <cell r="N746">
            <v>38846</v>
          </cell>
          <cell r="O746" t="str">
            <v>125423SUD004</v>
          </cell>
          <cell r="P746" t="str">
            <v>IN6509N3M997401</v>
          </cell>
          <cell r="Q746" t="str">
            <v>แผ่นรองและสายรัดเป็นสนิม</v>
          </cell>
        </row>
        <row r="747">
          <cell r="A747">
            <v>50137481</v>
          </cell>
          <cell r="B747">
            <v>746</v>
          </cell>
          <cell r="C747" t="str">
            <v>CF01/1</v>
          </cell>
          <cell r="D747" t="str">
            <v>SPCC-SD</v>
          </cell>
          <cell r="E747" t="str">
            <v>AF1</v>
          </cell>
          <cell r="F747">
            <v>1.6</v>
          </cell>
          <cell r="G747">
            <v>385</v>
          </cell>
          <cell r="H747">
            <v>770</v>
          </cell>
          <cell r="I747" t="str">
            <v>A</v>
          </cell>
          <cell r="K747">
            <v>55</v>
          </cell>
          <cell r="L747">
            <v>205</v>
          </cell>
          <cell r="M747">
            <v>50137481</v>
          </cell>
          <cell r="N747">
            <v>38919</v>
          </cell>
          <cell r="P747" t="str">
            <v>FN6721N3M231701</v>
          </cell>
          <cell r="Q747" t="str">
            <v>สภาพปกติ</v>
          </cell>
        </row>
        <row r="748">
          <cell r="A748">
            <v>50134218</v>
          </cell>
          <cell r="B748">
            <v>747</v>
          </cell>
          <cell r="C748" t="str">
            <v>CF01/1</v>
          </cell>
          <cell r="D748" t="str">
            <v>SPCC-SD</v>
          </cell>
          <cell r="E748" t="str">
            <v>AF1</v>
          </cell>
          <cell r="F748">
            <v>1.6</v>
          </cell>
          <cell r="G748">
            <v>390</v>
          </cell>
          <cell r="H748">
            <v>400</v>
          </cell>
          <cell r="I748" t="str">
            <v>A</v>
          </cell>
          <cell r="K748">
            <v>250</v>
          </cell>
          <cell r="L748">
            <v>503</v>
          </cell>
          <cell r="M748">
            <v>50134218</v>
          </cell>
          <cell r="N748">
            <v>38891</v>
          </cell>
          <cell r="P748" t="str">
            <v>IN6623D2M119501</v>
          </cell>
          <cell r="Q748" t="str">
            <v>แผ่นรองและสายรัดเป็นสนิม</v>
          </cell>
        </row>
        <row r="749">
          <cell r="A749">
            <v>50124897</v>
          </cell>
          <cell r="B749">
            <v>748</v>
          </cell>
          <cell r="C749" t="str">
            <v>CF01/1</v>
          </cell>
          <cell r="D749" t="str">
            <v>SPCC-SD</v>
          </cell>
          <cell r="E749" t="str">
            <v>AF1</v>
          </cell>
          <cell r="F749">
            <v>1.6</v>
          </cell>
          <cell r="G749">
            <v>530</v>
          </cell>
          <cell r="H749">
            <v>595</v>
          </cell>
          <cell r="I749" t="str">
            <v>A</v>
          </cell>
          <cell r="K749">
            <v>43</v>
          </cell>
          <cell r="L749">
            <v>170</v>
          </cell>
          <cell r="M749">
            <v>50124897</v>
          </cell>
          <cell r="N749">
            <v>38806</v>
          </cell>
          <cell r="P749" t="str">
            <v>FN6330D2R886201</v>
          </cell>
          <cell r="Q749" t="str">
            <v>แผ่นรองและสายรัดเป็นสนิม</v>
          </cell>
        </row>
        <row r="750">
          <cell r="A750">
            <v>50139518</v>
          </cell>
          <cell r="B750">
            <v>749</v>
          </cell>
          <cell r="C750" t="str">
            <v>CF01/1</v>
          </cell>
          <cell r="D750" t="str">
            <v>SPCC-SD</v>
          </cell>
          <cell r="E750" t="str">
            <v>AF1</v>
          </cell>
          <cell r="F750">
            <v>1.6</v>
          </cell>
          <cell r="G750">
            <v>585</v>
          </cell>
          <cell r="H750">
            <v>585</v>
          </cell>
          <cell r="I750" t="str">
            <v>A</v>
          </cell>
          <cell r="K750">
            <v>33</v>
          </cell>
          <cell r="L750">
            <v>143</v>
          </cell>
          <cell r="M750">
            <v>50139518</v>
          </cell>
          <cell r="N750">
            <v>38937</v>
          </cell>
          <cell r="O750" t="str">
            <v>126726TCD013</v>
          </cell>
          <cell r="P750" t="str">
            <v>FN6808D2M273101</v>
          </cell>
          <cell r="Q750" t="str">
            <v>แผ่นรองและสายรัดเป็นสนิม</v>
          </cell>
        </row>
        <row r="751">
          <cell r="A751">
            <v>50131454</v>
          </cell>
          <cell r="B751">
            <v>750</v>
          </cell>
          <cell r="C751" t="str">
            <v>CF01/1</v>
          </cell>
          <cell r="D751" t="str">
            <v>SPCC-SD</v>
          </cell>
          <cell r="E751" t="str">
            <v>AF1</v>
          </cell>
          <cell r="F751">
            <v>1.6</v>
          </cell>
          <cell r="G751">
            <v>203.2</v>
          </cell>
          <cell r="H751">
            <v>203</v>
          </cell>
          <cell r="I751" t="str">
            <v>A</v>
          </cell>
          <cell r="K751">
            <v>200</v>
          </cell>
          <cell r="L751">
            <v>105</v>
          </cell>
          <cell r="M751">
            <v>50131454</v>
          </cell>
          <cell r="N751">
            <v>38870</v>
          </cell>
          <cell r="P751" t="str">
            <v>IN6602D2M062101</v>
          </cell>
          <cell r="Q751" t="str">
            <v>แผ่นรองและสายรัดเป็นสนิม</v>
          </cell>
        </row>
        <row r="752">
          <cell r="A752">
            <v>50100271</v>
          </cell>
          <cell r="B752">
            <v>751</v>
          </cell>
          <cell r="C752" t="str">
            <v>CF01/1</v>
          </cell>
          <cell r="D752" t="str">
            <v>SPCC-SD</v>
          </cell>
          <cell r="E752" t="str">
            <v>AF1</v>
          </cell>
          <cell r="F752">
            <v>2</v>
          </cell>
          <cell r="G752">
            <v>98</v>
          </cell>
          <cell r="H752">
            <v>180</v>
          </cell>
          <cell r="I752" t="str">
            <v>A</v>
          </cell>
          <cell r="K752">
            <v>62</v>
          </cell>
          <cell r="L752">
            <v>17</v>
          </cell>
          <cell r="M752">
            <v>50100271</v>
          </cell>
          <cell r="N752">
            <v>38985</v>
          </cell>
          <cell r="P752" t="str">
            <v>IN5925D1R297901</v>
          </cell>
          <cell r="Q752" t="str">
            <v>แผ่นรองและสายรัดเป็นสนิม</v>
          </cell>
        </row>
        <row r="753">
          <cell r="A753">
            <v>50100272</v>
          </cell>
          <cell r="B753">
            <v>752</v>
          </cell>
          <cell r="C753" t="str">
            <v>CF01/1</v>
          </cell>
          <cell r="D753" t="str">
            <v>SPCC-SD</v>
          </cell>
          <cell r="E753" t="str">
            <v>AF1</v>
          </cell>
          <cell r="F753">
            <v>2</v>
          </cell>
          <cell r="G753">
            <v>98</v>
          </cell>
          <cell r="H753">
            <v>180</v>
          </cell>
          <cell r="I753" t="str">
            <v>A</v>
          </cell>
          <cell r="K753">
            <v>1000</v>
          </cell>
          <cell r="L753">
            <v>277</v>
          </cell>
          <cell r="M753">
            <v>50100272</v>
          </cell>
          <cell r="N753">
            <v>38620</v>
          </cell>
          <cell r="P753" t="str">
            <v>IN5925D1R297902</v>
          </cell>
          <cell r="Q753" t="str">
            <v>แผ่นรองและสายรัดเป็นสนิม</v>
          </cell>
        </row>
        <row r="754">
          <cell r="A754">
            <v>50134696</v>
          </cell>
          <cell r="B754">
            <v>753</v>
          </cell>
          <cell r="C754" t="str">
            <v>CF01/1</v>
          </cell>
          <cell r="D754" t="str">
            <v>SPCC-SD</v>
          </cell>
          <cell r="E754" t="str">
            <v>AF1</v>
          </cell>
          <cell r="F754">
            <v>2</v>
          </cell>
          <cell r="G754">
            <v>158</v>
          </cell>
          <cell r="H754">
            <v>1000</v>
          </cell>
          <cell r="I754" t="str">
            <v>A</v>
          </cell>
          <cell r="K754">
            <v>5</v>
          </cell>
          <cell r="L754">
            <v>12</v>
          </cell>
          <cell r="M754">
            <v>50134696</v>
          </cell>
          <cell r="N754">
            <v>38896</v>
          </cell>
          <cell r="P754" t="str">
            <v>IN6628D1M142501</v>
          </cell>
          <cell r="Q754" t="str">
            <v>แผ่นรองและสายรัดเป็นสนิม</v>
          </cell>
        </row>
        <row r="755">
          <cell r="A755">
            <v>50096087</v>
          </cell>
          <cell r="B755">
            <v>754</v>
          </cell>
          <cell r="C755" t="str">
            <v>CF01/1</v>
          </cell>
          <cell r="D755" t="str">
            <v>SPCC-SD</v>
          </cell>
          <cell r="E755" t="str">
            <v>AF1</v>
          </cell>
          <cell r="F755">
            <v>2</v>
          </cell>
          <cell r="G755">
            <v>255</v>
          </cell>
          <cell r="H755">
            <v>545</v>
          </cell>
          <cell r="I755" t="str">
            <v>A</v>
          </cell>
          <cell r="K755">
            <v>28</v>
          </cell>
          <cell r="L755">
            <v>61</v>
          </cell>
          <cell r="M755">
            <v>50096087</v>
          </cell>
          <cell r="N755">
            <v>38587</v>
          </cell>
          <cell r="P755" t="str">
            <v>FN5823N3M151001</v>
          </cell>
          <cell r="Q755" t="str">
            <v>แผ่นรองและสายรัดเป็นสนิม</v>
          </cell>
        </row>
        <row r="756">
          <cell r="A756">
            <v>50125370</v>
          </cell>
          <cell r="B756">
            <v>755</v>
          </cell>
          <cell r="C756" t="str">
            <v>CF01/1</v>
          </cell>
          <cell r="D756" t="str">
            <v>SPCC-SD</v>
          </cell>
          <cell r="E756" t="str">
            <v>AF1</v>
          </cell>
          <cell r="F756">
            <v>2</v>
          </cell>
          <cell r="G756">
            <v>270</v>
          </cell>
          <cell r="H756">
            <v>400</v>
          </cell>
          <cell r="I756" t="str">
            <v>A</v>
          </cell>
          <cell r="K756">
            <v>210</v>
          </cell>
          <cell r="L756">
            <v>355</v>
          </cell>
          <cell r="M756">
            <v>50125370</v>
          </cell>
          <cell r="N756">
            <v>38810</v>
          </cell>
          <cell r="P756" t="str">
            <v>IN6403D1M896401</v>
          </cell>
          <cell r="Q756" t="str">
            <v>แผ่นรองและสายรัดเป็นสนิม</v>
          </cell>
        </row>
        <row r="757">
          <cell r="A757">
            <v>50070968</v>
          </cell>
          <cell r="B757">
            <v>756</v>
          </cell>
          <cell r="C757" t="str">
            <v>CF01/1</v>
          </cell>
          <cell r="D757" t="str">
            <v>SPCC-SD</v>
          </cell>
          <cell r="E757" t="str">
            <v>AF1</v>
          </cell>
          <cell r="F757">
            <v>2.2999999999999998</v>
          </cell>
          <cell r="G757">
            <v>50</v>
          </cell>
          <cell r="H757">
            <v>1219</v>
          </cell>
          <cell r="I757" t="str">
            <v>A</v>
          </cell>
          <cell r="K757">
            <v>20</v>
          </cell>
          <cell r="L757">
            <v>22</v>
          </cell>
          <cell r="M757">
            <v>50070968</v>
          </cell>
          <cell r="N757">
            <v>38396</v>
          </cell>
          <cell r="P757" t="str">
            <v>IN5213D1RSSSS01</v>
          </cell>
          <cell r="Q757" t="str">
            <v>แผ่นรองและสายรัดเป็นสนิม</v>
          </cell>
        </row>
        <row r="758">
          <cell r="A758">
            <v>50066192</v>
          </cell>
          <cell r="B758">
            <v>757</v>
          </cell>
          <cell r="C758" t="str">
            <v>CF01/1</v>
          </cell>
          <cell r="D758" t="str">
            <v>SPCC-SD</v>
          </cell>
          <cell r="E758" t="str">
            <v>AF1</v>
          </cell>
          <cell r="F758">
            <v>2.2999999999999998</v>
          </cell>
          <cell r="G758">
            <v>94</v>
          </cell>
          <cell r="H758">
            <v>1219</v>
          </cell>
          <cell r="I758" t="str">
            <v>A</v>
          </cell>
          <cell r="K758">
            <v>105</v>
          </cell>
          <cell r="L758">
            <v>221</v>
          </cell>
          <cell r="M758">
            <v>50066192</v>
          </cell>
          <cell r="N758">
            <v>38373</v>
          </cell>
          <cell r="P758" t="str">
            <v>IN5121D2L615201</v>
          </cell>
          <cell r="Q758" t="str">
            <v>แผ่นรองและสายรัดเป็นสนิม</v>
          </cell>
        </row>
        <row r="759">
          <cell r="A759">
            <v>50098961</v>
          </cell>
          <cell r="B759">
            <v>758</v>
          </cell>
          <cell r="C759" t="str">
            <v>CF01/1</v>
          </cell>
          <cell r="D759" t="str">
            <v>SPCC-SD</v>
          </cell>
          <cell r="E759" t="str">
            <v>AF1</v>
          </cell>
          <cell r="F759">
            <v>2.2999999999999998</v>
          </cell>
          <cell r="G759">
            <v>110</v>
          </cell>
          <cell r="H759">
            <v>1219</v>
          </cell>
          <cell r="I759" t="str">
            <v>A</v>
          </cell>
          <cell r="K759">
            <v>19</v>
          </cell>
          <cell r="L759">
            <v>46</v>
          </cell>
          <cell r="M759">
            <v>50098961</v>
          </cell>
          <cell r="N759">
            <v>38610</v>
          </cell>
          <cell r="P759" t="str">
            <v>IN5915D1D288801</v>
          </cell>
          <cell r="Q759" t="str">
            <v>แผ่นรองและสายรัดเป็นสนิม</v>
          </cell>
        </row>
        <row r="760">
          <cell r="A760">
            <v>50105897</v>
          </cell>
          <cell r="B760">
            <v>759</v>
          </cell>
          <cell r="C760" t="str">
            <v>CF01/1</v>
          </cell>
          <cell r="D760" t="str">
            <v>SPCC-SD</v>
          </cell>
          <cell r="E760" t="str">
            <v>AF1</v>
          </cell>
          <cell r="F760">
            <v>2.2999999999999998</v>
          </cell>
          <cell r="G760">
            <v>185</v>
          </cell>
          <cell r="H760">
            <v>502</v>
          </cell>
          <cell r="I760" t="str">
            <v>A</v>
          </cell>
          <cell r="K760">
            <v>50</v>
          </cell>
          <cell r="L760">
            <v>81</v>
          </cell>
          <cell r="M760">
            <v>50105897</v>
          </cell>
          <cell r="N760">
            <v>38697</v>
          </cell>
          <cell r="P760" t="str">
            <v>FN5C11D1M460101</v>
          </cell>
          <cell r="Q760" t="str">
            <v>แผ่นรองและสายรัดเป็นสนิม</v>
          </cell>
        </row>
        <row r="761">
          <cell r="A761">
            <v>50101045</v>
          </cell>
          <cell r="B761">
            <v>760</v>
          </cell>
          <cell r="C761" t="str">
            <v>CF01/1</v>
          </cell>
          <cell r="D761" t="str">
            <v>SPCC-SD</v>
          </cell>
          <cell r="E761" t="str">
            <v>AF1</v>
          </cell>
          <cell r="F761">
            <v>2.2999999999999998</v>
          </cell>
          <cell r="G761">
            <v>192</v>
          </cell>
          <cell r="H761">
            <v>449</v>
          </cell>
          <cell r="I761" t="str">
            <v>A</v>
          </cell>
          <cell r="K761">
            <v>110</v>
          </cell>
          <cell r="L761">
            <v>173</v>
          </cell>
          <cell r="M761">
            <v>50101045</v>
          </cell>
          <cell r="N761">
            <v>38633</v>
          </cell>
          <cell r="P761" t="str">
            <v>FN5A08D1M345101</v>
          </cell>
          <cell r="Q761" t="str">
            <v>แผ่นรองและสายรัดเป็นสนิม</v>
          </cell>
        </row>
        <row r="762">
          <cell r="A762">
            <v>50100880</v>
          </cell>
          <cell r="B762">
            <v>761</v>
          </cell>
          <cell r="C762" t="str">
            <v>CF01/1</v>
          </cell>
          <cell r="D762" t="str">
            <v>SPCC-SD</v>
          </cell>
          <cell r="E762" t="str">
            <v>AF1</v>
          </cell>
          <cell r="F762">
            <v>2.2999999999999998</v>
          </cell>
          <cell r="G762">
            <v>195</v>
          </cell>
          <cell r="H762">
            <v>502</v>
          </cell>
          <cell r="I762" t="str">
            <v>A</v>
          </cell>
          <cell r="K762">
            <v>65</v>
          </cell>
          <cell r="L762">
            <v>115</v>
          </cell>
          <cell r="M762">
            <v>50100880</v>
          </cell>
          <cell r="N762">
            <v>38631</v>
          </cell>
          <cell r="P762" t="str">
            <v>FN5A06D1M345101</v>
          </cell>
          <cell r="Q762" t="str">
            <v>แผ่นรองและสายรัดเป็นสนิม</v>
          </cell>
        </row>
        <row r="763">
          <cell r="A763">
            <v>50138426</v>
          </cell>
          <cell r="B763">
            <v>762</v>
          </cell>
          <cell r="C763" t="str">
            <v>CF01/1</v>
          </cell>
          <cell r="D763" t="str">
            <v>SPCC-SD</v>
          </cell>
          <cell r="E763" t="str">
            <v>AF1</v>
          </cell>
          <cell r="F763">
            <v>2.2999999999999998</v>
          </cell>
          <cell r="G763">
            <v>122.5</v>
          </cell>
          <cell r="H763">
            <v>216</v>
          </cell>
          <cell r="I763" t="str">
            <v>A</v>
          </cell>
          <cell r="K763">
            <v>150</v>
          </cell>
          <cell r="L763">
            <v>72</v>
          </cell>
          <cell r="M763">
            <v>50138426</v>
          </cell>
          <cell r="N763">
            <v>38929</v>
          </cell>
          <cell r="P763" t="str">
            <v>FN6731D1M252101</v>
          </cell>
          <cell r="Q763" t="str">
            <v>แผ่นรองและสายรัดเป็นสนิม</v>
          </cell>
        </row>
        <row r="764">
          <cell r="A764">
            <v>50137279</v>
          </cell>
          <cell r="B764">
            <v>763</v>
          </cell>
          <cell r="C764" t="str">
            <v>CF01/1</v>
          </cell>
          <cell r="D764" t="str">
            <v>SPCC-SD</v>
          </cell>
          <cell r="E764" t="str">
            <v>AF1</v>
          </cell>
          <cell r="F764">
            <v>2.6</v>
          </cell>
          <cell r="G764">
            <v>366</v>
          </cell>
          <cell r="H764">
            <v>660</v>
          </cell>
          <cell r="I764" t="str">
            <v>A</v>
          </cell>
          <cell r="K764">
            <v>60</v>
          </cell>
          <cell r="L764">
            <v>290</v>
          </cell>
          <cell r="M764">
            <v>50137279</v>
          </cell>
          <cell r="N764">
            <v>38918</v>
          </cell>
          <cell r="P764" t="str">
            <v>FN6720D1M223201</v>
          </cell>
          <cell r="Q764" t="str">
            <v>สภาพปกติ</v>
          </cell>
        </row>
        <row r="765">
          <cell r="A765">
            <v>50119857</v>
          </cell>
          <cell r="B765">
            <v>764</v>
          </cell>
          <cell r="C765" t="str">
            <v>CF01/1</v>
          </cell>
          <cell r="D765" t="str">
            <v>SPCC-SD</v>
          </cell>
          <cell r="E765" t="str">
            <v>AF1</v>
          </cell>
          <cell r="F765">
            <v>3</v>
          </cell>
          <cell r="G765">
            <v>310</v>
          </cell>
          <cell r="H765">
            <v>340</v>
          </cell>
          <cell r="I765" t="str">
            <v>A</v>
          </cell>
          <cell r="K765">
            <v>50</v>
          </cell>
          <cell r="L765">
            <v>124</v>
          </cell>
          <cell r="M765">
            <v>50119857</v>
          </cell>
          <cell r="N765">
            <v>38777</v>
          </cell>
          <cell r="P765" t="str">
            <v>IN6301N2M783001</v>
          </cell>
          <cell r="Q765" t="str">
            <v>แผ่นรองและสายรัดเป็นสนิม</v>
          </cell>
        </row>
        <row r="766">
          <cell r="A766">
            <v>50125096</v>
          </cell>
          <cell r="B766">
            <v>765</v>
          </cell>
          <cell r="C766" t="str">
            <v>CF01/1</v>
          </cell>
          <cell r="D766" t="str">
            <v>SPCC-SD</v>
          </cell>
          <cell r="E766" t="str">
            <v>AF1</v>
          </cell>
          <cell r="F766">
            <v>3</v>
          </cell>
          <cell r="G766">
            <v>310</v>
          </cell>
          <cell r="H766">
            <v>340</v>
          </cell>
          <cell r="I766" t="str">
            <v>A</v>
          </cell>
          <cell r="K766">
            <v>96</v>
          </cell>
          <cell r="L766">
            <v>239</v>
          </cell>
          <cell r="M766">
            <v>50125096</v>
          </cell>
          <cell r="N766">
            <v>38807</v>
          </cell>
          <cell r="P766" t="str">
            <v>IN6331D2M889802</v>
          </cell>
          <cell r="Q766" t="str">
            <v>แผ่นรองและสายรัดเป็นสนิม</v>
          </cell>
        </row>
        <row r="767">
          <cell r="A767">
            <v>50129679</v>
          </cell>
          <cell r="B767">
            <v>766</v>
          </cell>
          <cell r="C767" t="str">
            <v>CF01/1</v>
          </cell>
          <cell r="D767" t="str">
            <v>SPCC-SD</v>
          </cell>
          <cell r="E767" t="str">
            <v>AF1</v>
          </cell>
          <cell r="F767">
            <v>3</v>
          </cell>
          <cell r="G767">
            <v>310</v>
          </cell>
          <cell r="H767">
            <v>340</v>
          </cell>
          <cell r="I767" t="str">
            <v>A</v>
          </cell>
          <cell r="K767">
            <v>202</v>
          </cell>
          <cell r="L767">
            <v>505</v>
          </cell>
          <cell r="M767">
            <v>50129679</v>
          </cell>
          <cell r="N767">
            <v>38847</v>
          </cell>
          <cell r="P767" t="str">
            <v>IN6510D3R980003</v>
          </cell>
          <cell r="Q767" t="str">
            <v>แผ่นรองและสายรัดเป็นสนิม</v>
          </cell>
        </row>
        <row r="768">
          <cell r="A768">
            <v>50101591</v>
          </cell>
          <cell r="B768">
            <v>767</v>
          </cell>
          <cell r="C768" t="str">
            <v>CF01/1</v>
          </cell>
          <cell r="D768" t="str">
            <v>SPCC-SD</v>
          </cell>
          <cell r="E768" t="str">
            <v>AF1</v>
          </cell>
          <cell r="F768">
            <v>3</v>
          </cell>
          <cell r="G768">
            <v>462</v>
          </cell>
          <cell r="H768">
            <v>1170</v>
          </cell>
          <cell r="I768" t="str">
            <v>A</v>
          </cell>
          <cell r="K768">
            <v>16</v>
          </cell>
          <cell r="L768">
            <v>204</v>
          </cell>
          <cell r="M768">
            <v>50101591</v>
          </cell>
          <cell r="N768">
            <v>38637</v>
          </cell>
          <cell r="P768" t="str">
            <v>IN5A12D3D159101</v>
          </cell>
          <cell r="Q768" t="str">
            <v>แผ่นรองและสายรัดเป็นสนิม</v>
          </cell>
        </row>
        <row r="769">
          <cell r="A769">
            <v>50109241</v>
          </cell>
          <cell r="B769">
            <v>768</v>
          </cell>
          <cell r="C769" t="str">
            <v>CF01/1</v>
          </cell>
          <cell r="D769" t="str">
            <v>SPCC-SD</v>
          </cell>
          <cell r="E769" t="str">
            <v>AF1</v>
          </cell>
          <cell r="F769">
            <v>3</v>
          </cell>
          <cell r="G769">
            <v>462</v>
          </cell>
          <cell r="H769">
            <v>1170</v>
          </cell>
          <cell r="I769" t="str">
            <v>A</v>
          </cell>
          <cell r="K769">
            <v>12</v>
          </cell>
          <cell r="L769">
            <v>153</v>
          </cell>
          <cell r="M769">
            <v>50109241</v>
          </cell>
          <cell r="N769">
            <v>38693</v>
          </cell>
          <cell r="P769" t="str">
            <v>IN5C07D1D540302</v>
          </cell>
          <cell r="Q769" t="str">
            <v>แผ่นรองและสายรัดเป็นสนิม</v>
          </cell>
        </row>
        <row r="770">
          <cell r="A770">
            <v>50114528</v>
          </cell>
          <cell r="B770">
            <v>769</v>
          </cell>
          <cell r="C770" t="str">
            <v>CF01/1</v>
          </cell>
          <cell r="D770" t="str">
            <v>SPCC-SD</v>
          </cell>
          <cell r="E770" t="str">
            <v>AF1</v>
          </cell>
          <cell r="F770">
            <v>3</v>
          </cell>
          <cell r="G770">
            <v>75.099999999999994</v>
          </cell>
          <cell r="H770">
            <v>960</v>
          </cell>
          <cell r="I770" t="str">
            <v>A</v>
          </cell>
          <cell r="K770">
            <v>172</v>
          </cell>
          <cell r="L770">
            <v>292</v>
          </cell>
          <cell r="M770">
            <v>50114528</v>
          </cell>
          <cell r="N770">
            <v>38736</v>
          </cell>
          <cell r="P770" t="str">
            <v>IN6119D1R661901</v>
          </cell>
          <cell r="Q770" t="str">
            <v>แผ่นรองและสายรัดเป็นสนิม</v>
          </cell>
        </row>
        <row r="771">
          <cell r="A771">
            <v>50113729</v>
          </cell>
          <cell r="B771">
            <v>770</v>
          </cell>
          <cell r="C771" t="str">
            <v>CF01/1</v>
          </cell>
          <cell r="D771" t="str">
            <v>SPCC-SD</v>
          </cell>
          <cell r="E771" t="str">
            <v>AF1</v>
          </cell>
          <cell r="F771">
            <v>3</v>
          </cell>
          <cell r="G771">
            <v>80.099999999999994</v>
          </cell>
          <cell r="H771">
            <v>970</v>
          </cell>
          <cell r="I771" t="str">
            <v>A</v>
          </cell>
          <cell r="K771">
            <v>28</v>
          </cell>
          <cell r="L771">
            <v>52</v>
          </cell>
          <cell r="M771">
            <v>50113729</v>
          </cell>
          <cell r="N771">
            <v>38730</v>
          </cell>
          <cell r="P771" t="str">
            <v>IN6113D2M635801</v>
          </cell>
          <cell r="Q771" t="str">
            <v>แผ่นรองและสายรัดเป็นสนิม</v>
          </cell>
        </row>
        <row r="772">
          <cell r="A772">
            <v>50104734</v>
          </cell>
          <cell r="B772">
            <v>771</v>
          </cell>
          <cell r="C772" t="str">
            <v>CF01/1</v>
          </cell>
          <cell r="D772" t="str">
            <v>SPCC-SD</v>
          </cell>
          <cell r="E772" t="str">
            <v>AF1</v>
          </cell>
          <cell r="F772">
            <v>3</v>
          </cell>
          <cell r="G772">
            <v>90.1</v>
          </cell>
          <cell r="H772">
            <v>845</v>
          </cell>
          <cell r="I772" t="str">
            <v>A</v>
          </cell>
          <cell r="K772">
            <v>95</v>
          </cell>
          <cell r="L772">
            <v>168</v>
          </cell>
          <cell r="M772">
            <v>50104734</v>
          </cell>
          <cell r="N772">
            <v>38658</v>
          </cell>
          <cell r="P772" t="str">
            <v>FN5B02D2M435901</v>
          </cell>
          <cell r="Q772" t="str">
            <v>แผ่นรองและสายรัดเป็นสนิม</v>
          </cell>
        </row>
        <row r="773">
          <cell r="A773">
            <v>50113020</v>
          </cell>
          <cell r="B773">
            <v>772</v>
          </cell>
          <cell r="C773" t="str">
            <v>CF01/1</v>
          </cell>
          <cell r="D773" t="str">
            <v>SPCC-SD</v>
          </cell>
          <cell r="E773" t="str">
            <v>AF1</v>
          </cell>
          <cell r="F773">
            <v>3</v>
          </cell>
          <cell r="G773">
            <v>90.1</v>
          </cell>
          <cell r="H773">
            <v>845</v>
          </cell>
          <cell r="I773" t="str">
            <v>A</v>
          </cell>
          <cell r="K773">
            <v>57</v>
          </cell>
          <cell r="L773">
            <v>102</v>
          </cell>
          <cell r="M773">
            <v>50113020</v>
          </cell>
          <cell r="N773">
            <v>38725</v>
          </cell>
          <cell r="P773" t="str">
            <v>IN6108D1M609002</v>
          </cell>
          <cell r="Q773" t="str">
            <v>แผ่นรองและสายรัดเป็นสนิม</v>
          </cell>
        </row>
        <row r="774">
          <cell r="A774">
            <v>50133825</v>
          </cell>
          <cell r="B774">
            <v>773</v>
          </cell>
          <cell r="C774" t="str">
            <v>CF01/1</v>
          </cell>
          <cell r="D774" t="str">
            <v>SPCC-SD</v>
          </cell>
          <cell r="E774" t="str">
            <v>AF1</v>
          </cell>
          <cell r="F774">
            <v>3</v>
          </cell>
          <cell r="G774">
            <v>90.1</v>
          </cell>
          <cell r="H774">
            <v>845</v>
          </cell>
          <cell r="I774" t="str">
            <v>A</v>
          </cell>
          <cell r="K774">
            <v>300</v>
          </cell>
          <cell r="L774">
            <v>538</v>
          </cell>
          <cell r="M774">
            <v>50133825</v>
          </cell>
          <cell r="N774">
            <v>38887</v>
          </cell>
          <cell r="P774" t="str">
            <v>IN6619N3R98003</v>
          </cell>
          <cell r="Q774" t="str">
            <v>แผ่นรองและสายรัดเป็นสนิม</v>
          </cell>
        </row>
        <row r="775">
          <cell r="A775">
            <v>50113624</v>
          </cell>
          <cell r="B775">
            <v>774</v>
          </cell>
          <cell r="C775" t="str">
            <v>CF01/1</v>
          </cell>
          <cell r="D775" t="str">
            <v>SPCC-SD</v>
          </cell>
          <cell r="E775" t="str">
            <v>AF1</v>
          </cell>
          <cell r="F775">
            <v>3</v>
          </cell>
          <cell r="G775">
            <v>150.5</v>
          </cell>
          <cell r="H775">
            <v>845</v>
          </cell>
          <cell r="I775" t="str">
            <v>A</v>
          </cell>
          <cell r="K775">
            <v>70</v>
          </cell>
          <cell r="L775">
            <v>208</v>
          </cell>
          <cell r="M775">
            <v>50113624</v>
          </cell>
          <cell r="N775">
            <v>38729</v>
          </cell>
          <cell r="P775" t="str">
            <v>IN6112D2M635801</v>
          </cell>
          <cell r="Q775" t="str">
            <v>แผ่นรองและสายรัดเป็นสนิม</v>
          </cell>
        </row>
        <row r="776">
          <cell r="A776">
            <v>50114526</v>
          </cell>
          <cell r="B776">
            <v>775</v>
          </cell>
          <cell r="C776" t="str">
            <v>CF01/1</v>
          </cell>
          <cell r="D776" t="str">
            <v>SPCC-SD</v>
          </cell>
          <cell r="E776" t="str">
            <v>AF1</v>
          </cell>
          <cell r="F776">
            <v>3</v>
          </cell>
          <cell r="G776">
            <v>220.2</v>
          </cell>
          <cell r="H776">
            <v>462</v>
          </cell>
          <cell r="I776" t="str">
            <v>A</v>
          </cell>
          <cell r="K776">
            <v>42</v>
          </cell>
          <cell r="L776">
            <v>101</v>
          </cell>
          <cell r="M776">
            <v>50114526</v>
          </cell>
          <cell r="N776">
            <v>38736</v>
          </cell>
          <cell r="P776" t="str">
            <v>FN6119D1R662001</v>
          </cell>
          <cell r="Q776" t="str">
            <v>แผ่นรองและสายรัดเป็นสนิม</v>
          </cell>
        </row>
        <row r="777">
          <cell r="A777">
            <v>50114524</v>
          </cell>
          <cell r="B777">
            <v>776</v>
          </cell>
          <cell r="C777" t="str">
            <v>CF01/1</v>
          </cell>
          <cell r="D777" t="str">
            <v>SPCC-SD</v>
          </cell>
          <cell r="E777" t="str">
            <v>AF1</v>
          </cell>
          <cell r="F777">
            <v>3</v>
          </cell>
          <cell r="G777">
            <v>233.2</v>
          </cell>
          <cell r="H777">
            <v>462</v>
          </cell>
          <cell r="I777" t="str">
            <v>A</v>
          </cell>
          <cell r="K777">
            <v>122</v>
          </cell>
          <cell r="L777">
            <v>311</v>
          </cell>
          <cell r="M777">
            <v>50114524</v>
          </cell>
          <cell r="N777">
            <v>38736</v>
          </cell>
          <cell r="P777" t="str">
            <v>FN6119D1R662201</v>
          </cell>
          <cell r="Q777" t="str">
            <v>แผ่นรองและสายรัดเป็นสนิม</v>
          </cell>
        </row>
        <row r="778">
          <cell r="A778">
            <v>50104553</v>
          </cell>
          <cell r="B778">
            <v>777</v>
          </cell>
          <cell r="C778" t="str">
            <v>CF01/1</v>
          </cell>
          <cell r="D778" t="str">
            <v>SPCC-SD</v>
          </cell>
          <cell r="E778" t="str">
            <v>AF1</v>
          </cell>
          <cell r="F778">
            <v>3</v>
          </cell>
          <cell r="G778">
            <v>268.7</v>
          </cell>
          <cell r="H778">
            <v>1240</v>
          </cell>
          <cell r="I778" t="str">
            <v>A</v>
          </cell>
          <cell r="K778">
            <v>100</v>
          </cell>
          <cell r="L778">
            <v>789</v>
          </cell>
          <cell r="M778">
            <v>50104553</v>
          </cell>
          <cell r="N778">
            <v>38658</v>
          </cell>
          <cell r="P778" t="str">
            <v>IN5B02N2M414501</v>
          </cell>
          <cell r="Q778" t="str">
            <v>แผ่นรองและสายรัดเป็นสนิม</v>
          </cell>
        </row>
        <row r="779">
          <cell r="A779">
            <v>50113163</v>
          </cell>
          <cell r="B779">
            <v>778</v>
          </cell>
          <cell r="C779" t="str">
            <v>CF01/1</v>
          </cell>
          <cell r="D779" t="str">
            <v>SPCC-SD</v>
          </cell>
          <cell r="E779" t="str">
            <v>AF1</v>
          </cell>
          <cell r="F779">
            <v>3</v>
          </cell>
          <cell r="G779">
            <v>268.7</v>
          </cell>
          <cell r="H779">
            <v>1240</v>
          </cell>
          <cell r="I779" t="str">
            <v>A</v>
          </cell>
          <cell r="K779">
            <v>106</v>
          </cell>
          <cell r="L779">
            <v>832</v>
          </cell>
          <cell r="M779">
            <v>50113163</v>
          </cell>
          <cell r="N779">
            <v>38726</v>
          </cell>
          <cell r="P779" t="str">
            <v>IN6109N1M608102</v>
          </cell>
          <cell r="Q779" t="str">
            <v>แผ่นรองและสายรัดเป็นสนิม</v>
          </cell>
        </row>
        <row r="780">
          <cell r="A780">
            <v>50129300</v>
          </cell>
          <cell r="B780">
            <v>779</v>
          </cell>
          <cell r="C780" t="str">
            <v>CF01/1</v>
          </cell>
          <cell r="D780" t="str">
            <v>SPCC-SD</v>
          </cell>
          <cell r="E780" t="str">
            <v>AF1</v>
          </cell>
          <cell r="F780">
            <v>3.2</v>
          </cell>
          <cell r="G780">
            <v>92</v>
          </cell>
          <cell r="H780">
            <v>1219</v>
          </cell>
          <cell r="I780" t="str">
            <v>A</v>
          </cell>
          <cell r="K780">
            <v>15</v>
          </cell>
          <cell r="L780">
            <v>42</v>
          </cell>
          <cell r="M780">
            <v>50129300</v>
          </cell>
          <cell r="N780">
            <v>38853</v>
          </cell>
          <cell r="P780" t="str">
            <v>IN6516D3R011301</v>
          </cell>
          <cell r="Q780" t="str">
            <v>สภาพปกติ</v>
          </cell>
        </row>
        <row r="781">
          <cell r="A781">
            <v>50115664</v>
          </cell>
          <cell r="B781">
            <v>780</v>
          </cell>
          <cell r="C781" t="str">
            <v>CF01/1</v>
          </cell>
          <cell r="D781" t="str">
            <v>SPCC-SD</v>
          </cell>
          <cell r="E781" t="str">
            <v>AF1</v>
          </cell>
          <cell r="F781">
            <v>3.2</v>
          </cell>
          <cell r="G781">
            <v>206</v>
          </cell>
          <cell r="H781">
            <v>560</v>
          </cell>
          <cell r="I781" t="str">
            <v>A</v>
          </cell>
          <cell r="K781">
            <v>114</v>
          </cell>
          <cell r="L781">
            <v>333</v>
          </cell>
          <cell r="M781">
            <v>50115664</v>
          </cell>
          <cell r="N781">
            <v>38747</v>
          </cell>
          <cell r="P781" t="str">
            <v>IN6130D2M689601</v>
          </cell>
          <cell r="Q781" t="str">
            <v>แผ่นรองและสายรัดเป็นสนิม</v>
          </cell>
        </row>
        <row r="782">
          <cell r="A782">
            <v>50128775</v>
          </cell>
          <cell r="B782">
            <v>781</v>
          </cell>
          <cell r="C782" t="str">
            <v>CF01/1</v>
          </cell>
          <cell r="D782" t="str">
            <v>SPCC-SD</v>
          </cell>
          <cell r="E782" t="str">
            <v>AF1</v>
          </cell>
          <cell r="F782">
            <v>3.2</v>
          </cell>
          <cell r="G782">
            <v>340</v>
          </cell>
          <cell r="H782">
            <v>370</v>
          </cell>
          <cell r="I782" t="str">
            <v>A</v>
          </cell>
          <cell r="K782">
            <v>144</v>
          </cell>
          <cell r="L782">
            <v>455</v>
          </cell>
          <cell r="M782">
            <v>50128775</v>
          </cell>
          <cell r="N782">
            <v>38846</v>
          </cell>
          <cell r="P782" t="str">
            <v>FN6509D1RSSS01</v>
          </cell>
          <cell r="Q782" t="str">
            <v>แผ่นรองและสายรัดเป็นสนิม</v>
          </cell>
        </row>
        <row r="783">
          <cell r="A783">
            <v>50128777</v>
          </cell>
          <cell r="B783">
            <v>782</v>
          </cell>
          <cell r="C783" t="str">
            <v>CF01/1</v>
          </cell>
          <cell r="D783" t="str">
            <v>SPCC-SD</v>
          </cell>
          <cell r="E783" t="str">
            <v>AF1</v>
          </cell>
          <cell r="F783">
            <v>3.2</v>
          </cell>
          <cell r="G783">
            <v>353</v>
          </cell>
          <cell r="H783">
            <v>565</v>
          </cell>
          <cell r="I783" t="str">
            <v>A</v>
          </cell>
          <cell r="K783">
            <v>74</v>
          </cell>
          <cell r="L783">
            <v>370</v>
          </cell>
          <cell r="M783">
            <v>50128777</v>
          </cell>
          <cell r="N783">
            <v>38846</v>
          </cell>
          <cell r="P783" t="str">
            <v>FN6509D1RSSS01</v>
          </cell>
          <cell r="Q783" t="str">
            <v>แผ่นรองและสายรัดเป็นสนิม</v>
          </cell>
        </row>
        <row r="784">
          <cell r="A784">
            <v>50128741</v>
          </cell>
          <cell r="B784">
            <v>783</v>
          </cell>
          <cell r="C784" t="str">
            <v>CF01/1</v>
          </cell>
          <cell r="D784" t="str">
            <v>SPCC-SD</v>
          </cell>
          <cell r="E784" t="str">
            <v>AF1</v>
          </cell>
          <cell r="F784">
            <v>3.2</v>
          </cell>
          <cell r="G784">
            <v>364</v>
          </cell>
          <cell r="H784">
            <v>580</v>
          </cell>
          <cell r="I784" t="str">
            <v>A</v>
          </cell>
          <cell r="K784">
            <v>11</v>
          </cell>
          <cell r="L784">
            <v>58</v>
          </cell>
          <cell r="M784">
            <v>50128741</v>
          </cell>
          <cell r="N784">
            <v>38846</v>
          </cell>
          <cell r="P784" t="str">
            <v>FN6509D2R997101</v>
          </cell>
          <cell r="Q784" t="str">
            <v>แผ่นรองและสายรัดเป็นสนิม</v>
          </cell>
        </row>
        <row r="785">
          <cell r="A785">
            <v>50141064</v>
          </cell>
          <cell r="B785">
            <v>784</v>
          </cell>
          <cell r="C785" t="str">
            <v>CF01/1</v>
          </cell>
          <cell r="D785" t="str">
            <v>SPCC-SD</v>
          </cell>
          <cell r="E785" t="str">
            <v>AF1</v>
          </cell>
          <cell r="F785">
            <v>3.2</v>
          </cell>
          <cell r="G785">
            <v>364</v>
          </cell>
          <cell r="H785">
            <v>580</v>
          </cell>
          <cell r="I785" t="str">
            <v>A</v>
          </cell>
          <cell r="K785">
            <v>31</v>
          </cell>
          <cell r="L785">
            <v>164</v>
          </cell>
          <cell r="M785">
            <v>50141064</v>
          </cell>
          <cell r="N785">
            <v>38954</v>
          </cell>
          <cell r="P785" t="str">
            <v>IN6825D2R323002</v>
          </cell>
          <cell r="Q785" t="str">
            <v>แผ่นรองและสายรัดเป็นสนิม</v>
          </cell>
        </row>
        <row r="786">
          <cell r="A786">
            <v>50127533</v>
          </cell>
          <cell r="B786">
            <v>785</v>
          </cell>
          <cell r="C786" t="str">
            <v>CF01/1</v>
          </cell>
          <cell r="D786" t="str">
            <v>SPCC-SD</v>
          </cell>
          <cell r="E786" t="str">
            <v>AF1</v>
          </cell>
          <cell r="F786">
            <v>3.2</v>
          </cell>
          <cell r="G786">
            <v>365</v>
          </cell>
          <cell r="H786">
            <v>395</v>
          </cell>
          <cell r="I786" t="str">
            <v>A</v>
          </cell>
          <cell r="K786">
            <v>200</v>
          </cell>
          <cell r="L786">
            <v>724</v>
          </cell>
          <cell r="M786">
            <v>50127533</v>
          </cell>
          <cell r="N786">
            <v>38834</v>
          </cell>
          <cell r="P786" t="str">
            <v>IN6427D1RSSSS01</v>
          </cell>
          <cell r="Q786" t="str">
            <v>แผ่นรองและสายรัดเป็นสนิม</v>
          </cell>
        </row>
        <row r="787">
          <cell r="A787">
            <v>50070859</v>
          </cell>
          <cell r="B787">
            <v>786</v>
          </cell>
          <cell r="C787" t="str">
            <v>CF01/1</v>
          </cell>
          <cell r="D787" t="str">
            <v>SPCD-SD</v>
          </cell>
          <cell r="E787" t="str">
            <v>AF2</v>
          </cell>
          <cell r="F787">
            <v>1.4</v>
          </cell>
          <cell r="G787">
            <v>215</v>
          </cell>
          <cell r="H787">
            <v>235</v>
          </cell>
          <cell r="I787" t="str">
            <v>A</v>
          </cell>
          <cell r="K787">
            <v>300</v>
          </cell>
          <cell r="L787">
            <v>168</v>
          </cell>
          <cell r="M787">
            <v>50070859</v>
          </cell>
          <cell r="N787">
            <v>38395</v>
          </cell>
          <cell r="P787" t="str">
            <v>IN5212D1M681701</v>
          </cell>
          <cell r="Q787" t="str">
            <v>แผ่นรองและสายรัดเป็นสนิม</v>
          </cell>
        </row>
        <row r="788">
          <cell r="A788">
            <v>50113313</v>
          </cell>
          <cell r="B788">
            <v>787</v>
          </cell>
          <cell r="C788" t="str">
            <v>CF01/1</v>
          </cell>
          <cell r="D788" t="str">
            <v>SPCD-SD</v>
          </cell>
          <cell r="E788" t="str">
            <v>AF2</v>
          </cell>
          <cell r="F788">
            <v>1.4</v>
          </cell>
          <cell r="G788">
            <v>215</v>
          </cell>
          <cell r="H788">
            <v>235</v>
          </cell>
          <cell r="I788" t="str">
            <v>A</v>
          </cell>
          <cell r="K788">
            <v>300</v>
          </cell>
          <cell r="L788">
            <v>168</v>
          </cell>
          <cell r="M788">
            <v>50113313</v>
          </cell>
          <cell r="N788">
            <v>38727</v>
          </cell>
          <cell r="P788" t="str">
            <v>FN6110D1R298802</v>
          </cell>
          <cell r="Q788" t="str">
            <v>แผ่นรองและสายรัดเป็นสนิม</v>
          </cell>
        </row>
        <row r="789">
          <cell r="A789">
            <v>50113314</v>
          </cell>
          <cell r="B789">
            <v>788</v>
          </cell>
          <cell r="C789" t="str">
            <v>CF01/1</v>
          </cell>
          <cell r="D789" t="str">
            <v>SPCD-SD</v>
          </cell>
          <cell r="E789" t="str">
            <v>AF2</v>
          </cell>
          <cell r="F789">
            <v>1.4</v>
          </cell>
          <cell r="G789">
            <v>215</v>
          </cell>
          <cell r="H789">
            <v>235</v>
          </cell>
          <cell r="I789" t="str">
            <v>A</v>
          </cell>
          <cell r="K789">
            <v>245</v>
          </cell>
          <cell r="L789">
            <v>137</v>
          </cell>
          <cell r="M789">
            <v>50113314</v>
          </cell>
          <cell r="N789">
            <v>38727</v>
          </cell>
          <cell r="P789" t="str">
            <v>FN6110D1R298803</v>
          </cell>
          <cell r="Q789" t="str">
            <v>แผ่นรองและสายรัดเป็นสนิม</v>
          </cell>
        </row>
        <row r="790">
          <cell r="A790">
            <v>50079643</v>
          </cell>
          <cell r="B790">
            <v>789</v>
          </cell>
          <cell r="C790" t="str">
            <v>CF01/1</v>
          </cell>
          <cell r="D790" t="str">
            <v>SPCD-SD</v>
          </cell>
          <cell r="E790" t="str">
            <v>AF2</v>
          </cell>
          <cell r="F790">
            <v>1.4</v>
          </cell>
          <cell r="G790">
            <v>330</v>
          </cell>
          <cell r="H790">
            <v>430</v>
          </cell>
          <cell r="I790" t="str">
            <v>A</v>
          </cell>
          <cell r="K790">
            <v>460</v>
          </cell>
          <cell r="L790">
            <v>717</v>
          </cell>
          <cell r="M790">
            <v>50079643</v>
          </cell>
          <cell r="N790">
            <v>38464</v>
          </cell>
          <cell r="P790" t="str">
            <v>FN5422D1RSSSS01</v>
          </cell>
          <cell r="Q790" t="str">
            <v>แผ่นรองและสายรัดเป็นสนิม</v>
          </cell>
        </row>
        <row r="791">
          <cell r="A791">
            <v>50138198</v>
          </cell>
          <cell r="B791">
            <v>790</v>
          </cell>
          <cell r="C791" t="str">
            <v>CF01/1</v>
          </cell>
          <cell r="D791" t="str">
            <v>SPCEN-SD</v>
          </cell>
          <cell r="E791" t="str">
            <v>AF3</v>
          </cell>
          <cell r="F791">
            <v>0.6</v>
          </cell>
          <cell r="G791">
            <v>130</v>
          </cell>
          <cell r="H791">
            <v>150</v>
          </cell>
          <cell r="I791" t="str">
            <v>A</v>
          </cell>
          <cell r="K791">
            <v>330</v>
          </cell>
          <cell r="L791">
            <v>30</v>
          </cell>
          <cell r="M791">
            <v>50138198</v>
          </cell>
          <cell r="N791">
            <v>38927</v>
          </cell>
          <cell r="P791" t="str">
            <v>FN6729N1M236201</v>
          </cell>
          <cell r="Q791" t="str">
            <v>แผ่นรองและสายรัดเป็นสนิม</v>
          </cell>
        </row>
        <row r="792">
          <cell r="A792">
            <v>50140771</v>
          </cell>
          <cell r="B792">
            <v>791</v>
          </cell>
          <cell r="C792" t="str">
            <v>CF01/1</v>
          </cell>
          <cell r="D792" t="str">
            <v>SPCEN-SD</v>
          </cell>
          <cell r="E792" t="str">
            <v>AF3</v>
          </cell>
          <cell r="F792">
            <v>1.6</v>
          </cell>
          <cell r="G792">
            <v>140</v>
          </cell>
          <cell r="H792">
            <v>250</v>
          </cell>
          <cell r="I792" t="str">
            <v>A</v>
          </cell>
          <cell r="K792">
            <v>265</v>
          </cell>
          <cell r="L792">
            <v>44</v>
          </cell>
          <cell r="M792">
            <v>50140771</v>
          </cell>
          <cell r="N792">
            <v>38952</v>
          </cell>
          <cell r="P792" t="str">
            <v>FN6823D2R313001</v>
          </cell>
          <cell r="Q792" t="str">
            <v>แผ่นรองและสายรัดเป็นสนิม</v>
          </cell>
        </row>
        <row r="793">
          <cell r="A793">
            <v>50115341</v>
          </cell>
          <cell r="B793">
            <v>792</v>
          </cell>
          <cell r="C793" t="str">
            <v>CF01/1</v>
          </cell>
          <cell r="D793" t="str">
            <v>SPCEN-SD</v>
          </cell>
          <cell r="E793" t="str">
            <v>AF3</v>
          </cell>
          <cell r="F793">
            <v>0.6</v>
          </cell>
          <cell r="G793">
            <v>150</v>
          </cell>
          <cell r="H793">
            <v>150</v>
          </cell>
          <cell r="I793" t="str">
            <v>A</v>
          </cell>
          <cell r="K793">
            <v>1000</v>
          </cell>
          <cell r="L793">
            <v>105</v>
          </cell>
          <cell r="M793">
            <v>50115341</v>
          </cell>
          <cell r="N793">
            <v>38743</v>
          </cell>
          <cell r="P793" t="str">
            <v>FN6126D1M672701</v>
          </cell>
          <cell r="Q793" t="str">
            <v>แผ่นรองและสายรัดเป็นสนิม</v>
          </cell>
        </row>
        <row r="794">
          <cell r="A794">
            <v>50113427</v>
          </cell>
          <cell r="B794">
            <v>793</v>
          </cell>
          <cell r="C794" t="str">
            <v>CF01/1</v>
          </cell>
          <cell r="D794" t="str">
            <v>SPCEN-SD</v>
          </cell>
          <cell r="E794" t="str">
            <v>AF3</v>
          </cell>
          <cell r="F794">
            <v>0.6</v>
          </cell>
          <cell r="G794">
            <v>170</v>
          </cell>
          <cell r="H794">
            <v>260</v>
          </cell>
          <cell r="I794" t="str">
            <v>A</v>
          </cell>
          <cell r="K794">
            <v>299</v>
          </cell>
          <cell r="L794">
            <v>63</v>
          </cell>
          <cell r="M794">
            <v>50113427</v>
          </cell>
          <cell r="N794">
            <v>38728</v>
          </cell>
          <cell r="P794" t="str">
            <v>FN6110D1R298901</v>
          </cell>
          <cell r="Q794" t="str">
            <v>แผ่นรองและสายรัดเป็นสนิม</v>
          </cell>
        </row>
        <row r="795">
          <cell r="A795">
            <v>50123908</v>
          </cell>
          <cell r="B795">
            <v>794</v>
          </cell>
          <cell r="C795" t="str">
            <v>CF01/1</v>
          </cell>
          <cell r="D795" t="str">
            <v>SPCEN-SD</v>
          </cell>
          <cell r="E795" t="str">
            <v>AF3</v>
          </cell>
          <cell r="F795">
            <v>0.6</v>
          </cell>
          <cell r="G795">
            <v>175</v>
          </cell>
          <cell r="H795">
            <v>290</v>
          </cell>
          <cell r="I795" t="str">
            <v>A</v>
          </cell>
          <cell r="K795">
            <v>50</v>
          </cell>
          <cell r="L795">
            <v>12</v>
          </cell>
          <cell r="M795">
            <v>50123908</v>
          </cell>
          <cell r="N795">
            <v>38800</v>
          </cell>
          <cell r="P795" t="str">
            <v>IN6324D1R875701</v>
          </cell>
          <cell r="Q795" t="str">
            <v>แผ่นรองและสายรัดเป็นสนิม</v>
          </cell>
        </row>
        <row r="796">
          <cell r="A796">
            <v>50140628</v>
          </cell>
          <cell r="B796">
            <v>795</v>
          </cell>
          <cell r="C796" t="str">
            <v>CF01/1</v>
          </cell>
          <cell r="D796" t="str">
            <v>SPCEN-SD</v>
          </cell>
          <cell r="E796" t="str">
            <v>AF3</v>
          </cell>
          <cell r="F796">
            <v>0.6</v>
          </cell>
          <cell r="G796">
            <v>180</v>
          </cell>
          <cell r="H796">
            <v>255</v>
          </cell>
          <cell r="I796" t="str">
            <v>A</v>
          </cell>
          <cell r="K796">
            <v>172</v>
          </cell>
          <cell r="L796">
            <v>32</v>
          </cell>
          <cell r="M796">
            <v>50140628</v>
          </cell>
          <cell r="N796">
            <v>38951</v>
          </cell>
          <cell r="P796" t="str">
            <v>FN6822D1R312701</v>
          </cell>
          <cell r="Q796" t="str">
            <v>แผ่นรองและสายรัดเป็นสนิม</v>
          </cell>
        </row>
        <row r="797">
          <cell r="A797">
            <v>50140725</v>
          </cell>
          <cell r="B797">
            <v>796</v>
          </cell>
          <cell r="C797" t="str">
            <v>CF01/1</v>
          </cell>
          <cell r="D797" t="str">
            <v>SPCEN-SD</v>
          </cell>
          <cell r="E797" t="str">
            <v>AF3</v>
          </cell>
          <cell r="F797">
            <v>0.6</v>
          </cell>
          <cell r="G797">
            <v>180</v>
          </cell>
          <cell r="H797">
            <v>255</v>
          </cell>
          <cell r="I797" t="str">
            <v>A</v>
          </cell>
          <cell r="K797">
            <v>1008</v>
          </cell>
          <cell r="L797">
            <v>222</v>
          </cell>
          <cell r="M797">
            <v>50140725</v>
          </cell>
          <cell r="N797">
            <v>38952</v>
          </cell>
          <cell r="P797" t="str">
            <v>FN6823N3M313002</v>
          </cell>
          <cell r="Q797" t="str">
            <v>สภาพปกติ</v>
          </cell>
        </row>
        <row r="798">
          <cell r="A798">
            <v>50138033</v>
          </cell>
          <cell r="B798">
            <v>797</v>
          </cell>
          <cell r="C798" t="str">
            <v>CF01/1</v>
          </cell>
          <cell r="D798" t="str">
            <v>SPCEN-SD</v>
          </cell>
          <cell r="E798" t="str">
            <v>AF3</v>
          </cell>
          <cell r="F798">
            <v>0.6</v>
          </cell>
          <cell r="G798">
            <v>225</v>
          </cell>
          <cell r="H798">
            <v>225</v>
          </cell>
          <cell r="I798" t="str">
            <v>A</v>
          </cell>
          <cell r="K798">
            <v>145</v>
          </cell>
          <cell r="L798">
            <v>36</v>
          </cell>
          <cell r="M798">
            <v>50138033</v>
          </cell>
          <cell r="N798">
            <v>38925</v>
          </cell>
          <cell r="P798" t="str">
            <v>FN6727D1M236501</v>
          </cell>
          <cell r="Q798" t="str">
            <v>สภาพปกติ</v>
          </cell>
        </row>
        <row r="799">
          <cell r="A799">
            <v>50116297</v>
          </cell>
          <cell r="B799">
            <v>798</v>
          </cell>
          <cell r="C799" t="str">
            <v>CF01/1</v>
          </cell>
          <cell r="D799" t="str">
            <v>SPCEN-SD</v>
          </cell>
          <cell r="E799" t="str">
            <v>AF3</v>
          </cell>
          <cell r="F799">
            <v>0.7</v>
          </cell>
          <cell r="G799">
            <v>345</v>
          </cell>
          <cell r="H799">
            <v>390</v>
          </cell>
          <cell r="I799" t="str">
            <v>A</v>
          </cell>
          <cell r="K799">
            <v>400</v>
          </cell>
          <cell r="L799">
            <v>295</v>
          </cell>
          <cell r="M799">
            <v>50116297</v>
          </cell>
          <cell r="N799">
            <v>38751</v>
          </cell>
          <cell r="P799" t="str">
            <v>FN6203D1M706001</v>
          </cell>
          <cell r="Q799" t="str">
            <v>แผ่นรองและสายรัดเป็นสนิม</v>
          </cell>
        </row>
        <row r="800">
          <cell r="A800">
            <v>50131890</v>
          </cell>
          <cell r="B800">
            <v>799</v>
          </cell>
          <cell r="C800" t="str">
            <v>CF01/1</v>
          </cell>
          <cell r="D800" t="str">
            <v>SPCEN-SD</v>
          </cell>
          <cell r="E800" t="str">
            <v>AF3</v>
          </cell>
          <cell r="F800">
            <v>0.7</v>
          </cell>
          <cell r="G800">
            <v>410</v>
          </cell>
          <cell r="H800">
            <v>460</v>
          </cell>
          <cell r="I800" t="str">
            <v>A</v>
          </cell>
          <cell r="K800">
            <v>39</v>
          </cell>
          <cell r="L800">
            <v>41</v>
          </cell>
          <cell r="M800">
            <v>50131890</v>
          </cell>
          <cell r="N800">
            <v>38873</v>
          </cell>
          <cell r="P800" t="str">
            <v>IN6605N3M079002</v>
          </cell>
          <cell r="Q800" t="str">
            <v>แผ่นรองและสายรัดเป็นสนิม</v>
          </cell>
        </row>
        <row r="801">
          <cell r="A801">
            <v>50139757</v>
          </cell>
          <cell r="B801">
            <v>800</v>
          </cell>
          <cell r="C801" t="str">
            <v>CF01/1</v>
          </cell>
          <cell r="D801" t="str">
            <v>SPCEN-SD</v>
          </cell>
          <cell r="E801" t="str">
            <v>AF3</v>
          </cell>
          <cell r="F801">
            <v>0.7</v>
          </cell>
          <cell r="G801">
            <v>410</v>
          </cell>
          <cell r="H801">
            <v>460</v>
          </cell>
          <cell r="I801" t="str">
            <v>A</v>
          </cell>
          <cell r="K801">
            <v>340</v>
          </cell>
          <cell r="L801">
            <v>352</v>
          </cell>
          <cell r="M801">
            <v>50139757</v>
          </cell>
          <cell r="N801">
            <v>38940</v>
          </cell>
          <cell r="P801" t="str">
            <v>IN6811N3M283604</v>
          </cell>
          <cell r="Q801" t="str">
            <v>แผ่นรองและสายรัดเป็นสนิม</v>
          </cell>
        </row>
        <row r="802">
          <cell r="A802">
            <v>50139640</v>
          </cell>
          <cell r="B802">
            <v>801</v>
          </cell>
          <cell r="C802" t="str">
            <v>CF01/1</v>
          </cell>
          <cell r="D802" t="str">
            <v>SPCEN-SD</v>
          </cell>
          <cell r="E802" t="str">
            <v>AF3</v>
          </cell>
          <cell r="F802">
            <v>0.7</v>
          </cell>
          <cell r="G802">
            <v>430</v>
          </cell>
          <cell r="H802">
            <v>520</v>
          </cell>
          <cell r="I802" t="str">
            <v>A</v>
          </cell>
          <cell r="K802">
            <v>190</v>
          </cell>
          <cell r="L802">
            <v>234</v>
          </cell>
          <cell r="M802">
            <v>50139640</v>
          </cell>
          <cell r="N802">
            <v>38939</v>
          </cell>
          <cell r="P802" t="str">
            <v>FN6810D3R285901</v>
          </cell>
          <cell r="Q802" t="str">
            <v>สภาพปกติ</v>
          </cell>
        </row>
        <row r="803">
          <cell r="A803">
            <v>50140681</v>
          </cell>
          <cell r="B803">
            <v>802</v>
          </cell>
          <cell r="C803" t="str">
            <v>CF01/1</v>
          </cell>
          <cell r="D803" t="str">
            <v>SPCEN-SD</v>
          </cell>
          <cell r="E803" t="str">
            <v>AF3</v>
          </cell>
          <cell r="F803">
            <v>0.7</v>
          </cell>
          <cell r="G803">
            <v>430</v>
          </cell>
          <cell r="H803">
            <v>520</v>
          </cell>
          <cell r="I803" t="str">
            <v>A</v>
          </cell>
          <cell r="K803">
            <v>34</v>
          </cell>
          <cell r="L803">
            <v>42</v>
          </cell>
          <cell r="M803">
            <v>50140681</v>
          </cell>
          <cell r="N803">
            <v>38951</v>
          </cell>
          <cell r="P803" t="str">
            <v>FN6822D3R317703</v>
          </cell>
          <cell r="Q803" t="str">
            <v>แผ่นรองและสายรัดเป็นสนิม</v>
          </cell>
        </row>
        <row r="804">
          <cell r="A804">
            <v>50140936</v>
          </cell>
          <cell r="B804">
            <v>803</v>
          </cell>
          <cell r="C804" t="str">
            <v>CF01/1</v>
          </cell>
          <cell r="D804" t="str">
            <v>SPCEN-SD</v>
          </cell>
          <cell r="E804" t="str">
            <v>AF3</v>
          </cell>
          <cell r="F804">
            <v>0.7</v>
          </cell>
          <cell r="G804">
            <v>430</v>
          </cell>
          <cell r="H804">
            <v>520</v>
          </cell>
          <cell r="I804" t="str">
            <v>A</v>
          </cell>
          <cell r="K804">
            <v>500</v>
          </cell>
          <cell r="L804">
            <v>615</v>
          </cell>
          <cell r="M804">
            <v>50140936</v>
          </cell>
          <cell r="N804">
            <v>38953</v>
          </cell>
          <cell r="P804" t="str">
            <v>FN6824D3R325404</v>
          </cell>
          <cell r="Q804" t="str">
            <v>แผ่นรองและสายรัดเป็นสนิม</v>
          </cell>
        </row>
        <row r="805">
          <cell r="A805">
            <v>50139782</v>
          </cell>
          <cell r="B805">
            <v>804</v>
          </cell>
          <cell r="C805" t="str">
            <v>CF01/1</v>
          </cell>
          <cell r="D805" t="str">
            <v>SPCEN-SD</v>
          </cell>
          <cell r="E805" t="str">
            <v>AF3</v>
          </cell>
          <cell r="F805">
            <v>0.7</v>
          </cell>
          <cell r="G805">
            <v>635</v>
          </cell>
          <cell r="H805">
            <v>635</v>
          </cell>
          <cell r="I805" t="str">
            <v>A</v>
          </cell>
          <cell r="K805">
            <v>100</v>
          </cell>
          <cell r="L805">
            <v>222</v>
          </cell>
          <cell r="M805">
            <v>50139782</v>
          </cell>
          <cell r="N805">
            <v>38940</v>
          </cell>
          <cell r="P805" t="str">
            <v>FN6811N3M284201</v>
          </cell>
          <cell r="Q805" t="str">
            <v>แผ่นรองและสายรัดเป็นสนิม</v>
          </cell>
        </row>
        <row r="806">
          <cell r="A806">
            <v>50132986</v>
          </cell>
          <cell r="B806">
            <v>805</v>
          </cell>
          <cell r="C806" t="str">
            <v>CF01/1</v>
          </cell>
          <cell r="D806" t="str">
            <v>SPCEN-SD</v>
          </cell>
          <cell r="E806" t="str">
            <v>AF3</v>
          </cell>
          <cell r="F806">
            <v>0.8</v>
          </cell>
          <cell r="G806">
            <v>170</v>
          </cell>
          <cell r="H806">
            <v>170</v>
          </cell>
          <cell r="I806" t="str">
            <v>A</v>
          </cell>
          <cell r="K806">
            <v>204</v>
          </cell>
          <cell r="L806">
            <v>37</v>
          </cell>
          <cell r="M806">
            <v>50132986</v>
          </cell>
          <cell r="N806">
            <v>38881</v>
          </cell>
          <cell r="P806" t="str">
            <v>FN6613D1R098301</v>
          </cell>
          <cell r="Q806" t="str">
            <v>แผ่นรองและสายรัดเป็นสนิม</v>
          </cell>
        </row>
        <row r="807">
          <cell r="A807">
            <v>50140573</v>
          </cell>
          <cell r="B807">
            <v>806</v>
          </cell>
          <cell r="C807" t="str">
            <v>CF01/1</v>
          </cell>
          <cell r="D807" t="str">
            <v>SPCEN-SD</v>
          </cell>
          <cell r="E807" t="str">
            <v>AF3</v>
          </cell>
          <cell r="F807">
            <v>0.8</v>
          </cell>
          <cell r="G807">
            <v>170</v>
          </cell>
          <cell r="H807">
            <v>170</v>
          </cell>
          <cell r="I807" t="str">
            <v>A</v>
          </cell>
          <cell r="K807">
            <v>80</v>
          </cell>
          <cell r="L807">
            <v>14</v>
          </cell>
          <cell r="M807">
            <v>50140573</v>
          </cell>
          <cell r="N807">
            <v>38950</v>
          </cell>
          <cell r="P807" t="str">
            <v>FN6821N1M310903</v>
          </cell>
          <cell r="Q807" t="str">
            <v>สภาพปกติ</v>
          </cell>
        </row>
        <row r="808">
          <cell r="A808">
            <v>50116000</v>
          </cell>
          <cell r="B808">
            <v>807</v>
          </cell>
          <cell r="C808" t="str">
            <v>CF01/1</v>
          </cell>
          <cell r="D808" t="str">
            <v>SPCEN-SD</v>
          </cell>
          <cell r="E808" t="str">
            <v>AF3</v>
          </cell>
          <cell r="F808">
            <v>0.8</v>
          </cell>
          <cell r="G808">
            <v>190</v>
          </cell>
          <cell r="H808">
            <v>190</v>
          </cell>
          <cell r="I808" t="str">
            <v>A</v>
          </cell>
          <cell r="K808">
            <v>500</v>
          </cell>
          <cell r="L808">
            <v>112</v>
          </cell>
          <cell r="M808">
            <v>50116000</v>
          </cell>
          <cell r="N808">
            <v>38749</v>
          </cell>
          <cell r="P808" t="str">
            <v>IN6201D1M695001</v>
          </cell>
          <cell r="Q808" t="str">
            <v>แผ่นรองและสายรัดเป็นสนิม</v>
          </cell>
        </row>
        <row r="809">
          <cell r="A809">
            <v>50121220</v>
          </cell>
          <cell r="B809">
            <v>808</v>
          </cell>
          <cell r="C809" t="str">
            <v>CF01/1</v>
          </cell>
          <cell r="D809" t="str">
            <v>SPCEN-SD</v>
          </cell>
          <cell r="E809" t="str">
            <v>AF3</v>
          </cell>
          <cell r="F809">
            <v>0.8</v>
          </cell>
          <cell r="G809">
            <v>190</v>
          </cell>
          <cell r="H809">
            <v>190</v>
          </cell>
          <cell r="I809" t="str">
            <v>A</v>
          </cell>
          <cell r="K809">
            <v>380</v>
          </cell>
          <cell r="L809">
            <v>87</v>
          </cell>
          <cell r="M809">
            <v>50121220</v>
          </cell>
          <cell r="N809">
            <v>38784</v>
          </cell>
          <cell r="P809" t="str">
            <v>FN6308N1M810302</v>
          </cell>
          <cell r="Q809" t="str">
            <v>แผ่นรองและสายรัดเป็นสนิม</v>
          </cell>
        </row>
        <row r="810">
          <cell r="A810">
            <v>50131908</v>
          </cell>
          <cell r="B810">
            <v>809</v>
          </cell>
          <cell r="C810" t="str">
            <v>CF01/1</v>
          </cell>
          <cell r="D810" t="str">
            <v>SPCEN-SD</v>
          </cell>
          <cell r="E810" t="str">
            <v>AF3</v>
          </cell>
          <cell r="F810">
            <v>0.8</v>
          </cell>
          <cell r="G810">
            <v>230</v>
          </cell>
          <cell r="H810">
            <v>230</v>
          </cell>
          <cell r="I810" t="str">
            <v>A</v>
          </cell>
          <cell r="K810">
            <v>78</v>
          </cell>
          <cell r="L810">
            <v>26</v>
          </cell>
          <cell r="M810">
            <v>50131908</v>
          </cell>
          <cell r="N810">
            <v>38873</v>
          </cell>
          <cell r="P810" t="str">
            <v>IN6605D1R072201</v>
          </cell>
          <cell r="Q810" t="str">
            <v>แผ่นรองและสายรัดเป็นสนิม</v>
          </cell>
        </row>
        <row r="811">
          <cell r="A811">
            <v>50133636</v>
          </cell>
          <cell r="B811">
            <v>810</v>
          </cell>
          <cell r="C811" t="str">
            <v>CF01/1</v>
          </cell>
          <cell r="D811" t="str">
            <v>SPCEN-SD</v>
          </cell>
          <cell r="E811" t="str">
            <v>AF3</v>
          </cell>
          <cell r="F811">
            <v>0.8</v>
          </cell>
          <cell r="G811">
            <v>230</v>
          </cell>
          <cell r="H811">
            <v>230</v>
          </cell>
          <cell r="I811" t="str">
            <v>A</v>
          </cell>
          <cell r="K811">
            <v>190</v>
          </cell>
          <cell r="L811">
            <v>63</v>
          </cell>
          <cell r="M811">
            <v>50133636</v>
          </cell>
          <cell r="N811">
            <v>38885</v>
          </cell>
          <cell r="P811" t="str">
            <v>FN6617D1M116402</v>
          </cell>
          <cell r="Q811" t="str">
            <v>แผ่นรองและสายรัดเป็นสนิม</v>
          </cell>
        </row>
        <row r="812">
          <cell r="A812">
            <v>50140602</v>
          </cell>
          <cell r="B812">
            <v>811</v>
          </cell>
          <cell r="C812" t="str">
            <v>CF01/1</v>
          </cell>
          <cell r="D812" t="str">
            <v>SPCEN-SD</v>
          </cell>
          <cell r="E812" t="str">
            <v>AF3</v>
          </cell>
          <cell r="F812">
            <v>0.8</v>
          </cell>
          <cell r="G812">
            <v>233</v>
          </cell>
          <cell r="H812">
            <v>260</v>
          </cell>
          <cell r="I812" t="str">
            <v>A</v>
          </cell>
          <cell r="K812">
            <v>615</v>
          </cell>
          <cell r="L812">
            <v>234</v>
          </cell>
          <cell r="M812">
            <v>50140602</v>
          </cell>
          <cell r="N812">
            <v>38951</v>
          </cell>
          <cell r="P812" t="str">
            <v>IN6822N3M312501</v>
          </cell>
          <cell r="Q812" t="str">
            <v>แผ่นรองและสายรัดเป็นสนิม</v>
          </cell>
        </row>
        <row r="813">
          <cell r="A813">
            <v>50113227</v>
          </cell>
          <cell r="B813">
            <v>812</v>
          </cell>
          <cell r="C813" t="str">
            <v>CF01/1</v>
          </cell>
          <cell r="D813" t="str">
            <v>SPCEN-SD</v>
          </cell>
          <cell r="E813" t="str">
            <v>AF3</v>
          </cell>
          <cell r="F813">
            <v>0.8</v>
          </cell>
          <cell r="G813">
            <v>244</v>
          </cell>
          <cell r="H813">
            <v>360</v>
          </cell>
          <cell r="I813" t="str">
            <v>A</v>
          </cell>
          <cell r="K813">
            <v>354</v>
          </cell>
          <cell r="L813">
            <v>195</v>
          </cell>
          <cell r="M813">
            <v>50113227</v>
          </cell>
          <cell r="N813">
            <v>38727</v>
          </cell>
          <cell r="P813" t="str">
            <v>FN6110D1R302901</v>
          </cell>
          <cell r="Q813" t="str">
            <v>แผ่นรองและสายรัดเป็นสนิม</v>
          </cell>
        </row>
        <row r="814">
          <cell r="A814">
            <v>50113228</v>
          </cell>
          <cell r="B814">
            <v>813</v>
          </cell>
          <cell r="C814" t="str">
            <v>CF01/1</v>
          </cell>
          <cell r="D814" t="str">
            <v>SPCEN-SD</v>
          </cell>
          <cell r="E814" t="str">
            <v>AF3</v>
          </cell>
          <cell r="F814">
            <v>0.8</v>
          </cell>
          <cell r="G814">
            <v>244</v>
          </cell>
          <cell r="H814">
            <v>365</v>
          </cell>
          <cell r="I814" t="str">
            <v>A</v>
          </cell>
          <cell r="K814">
            <v>531</v>
          </cell>
          <cell r="L814">
            <v>297</v>
          </cell>
          <cell r="M814">
            <v>50113228</v>
          </cell>
          <cell r="N814">
            <v>38727</v>
          </cell>
          <cell r="P814" t="str">
            <v>IN6110D1R303001</v>
          </cell>
          <cell r="Q814" t="str">
            <v>แผ่นรองและสายรัดเป็นสนิม</v>
          </cell>
        </row>
        <row r="815">
          <cell r="A815">
            <v>50136992</v>
          </cell>
          <cell r="B815">
            <v>814</v>
          </cell>
          <cell r="C815" t="str">
            <v>CF01/1</v>
          </cell>
          <cell r="D815" t="str">
            <v>SPCEN-SD</v>
          </cell>
          <cell r="E815" t="str">
            <v>AF3</v>
          </cell>
          <cell r="F815">
            <v>0.8</v>
          </cell>
          <cell r="G815">
            <v>244</v>
          </cell>
          <cell r="H815">
            <v>365</v>
          </cell>
          <cell r="I815" t="str">
            <v>A</v>
          </cell>
          <cell r="K815">
            <v>341</v>
          </cell>
          <cell r="L815">
            <v>191</v>
          </cell>
          <cell r="M815">
            <v>50136992</v>
          </cell>
          <cell r="N815">
            <v>38916</v>
          </cell>
          <cell r="P815" t="str">
            <v>IN6718D3M209102</v>
          </cell>
          <cell r="Q815" t="str">
            <v>แผ่นรองและสายรัดเป็นสนิม</v>
          </cell>
        </row>
        <row r="816">
          <cell r="A816">
            <v>50113315</v>
          </cell>
          <cell r="B816">
            <v>815</v>
          </cell>
          <cell r="C816" t="str">
            <v>CF01/1</v>
          </cell>
          <cell r="D816" t="str">
            <v>SPCEN-SD</v>
          </cell>
          <cell r="E816" t="str">
            <v>AF3</v>
          </cell>
          <cell r="F816">
            <v>0.8</v>
          </cell>
          <cell r="G816">
            <v>260</v>
          </cell>
          <cell r="H816">
            <v>320</v>
          </cell>
          <cell r="I816" t="str">
            <v>A</v>
          </cell>
          <cell r="K816">
            <v>594</v>
          </cell>
          <cell r="L816">
            <v>309</v>
          </cell>
          <cell r="M816">
            <v>50113315</v>
          </cell>
          <cell r="N816">
            <v>38727</v>
          </cell>
          <cell r="P816" t="str">
            <v>FN6110D1R303101</v>
          </cell>
          <cell r="Q816" t="str">
            <v>แผ่นรองและสายรัดเป็นสนิม</v>
          </cell>
        </row>
        <row r="817">
          <cell r="A817">
            <v>50063338</v>
          </cell>
          <cell r="B817">
            <v>816</v>
          </cell>
          <cell r="C817" t="str">
            <v>CF01/1</v>
          </cell>
          <cell r="D817" t="str">
            <v>SPCEN-SD</v>
          </cell>
          <cell r="E817" t="str">
            <v>AF3</v>
          </cell>
          <cell r="F817">
            <v>0.8</v>
          </cell>
          <cell r="G817">
            <v>285</v>
          </cell>
          <cell r="H817">
            <v>375</v>
          </cell>
          <cell r="I817" t="str">
            <v>A</v>
          </cell>
          <cell r="K817">
            <v>216</v>
          </cell>
          <cell r="L817">
            <v>144</v>
          </cell>
          <cell r="M817">
            <v>50063338</v>
          </cell>
          <cell r="N817">
            <v>38328</v>
          </cell>
          <cell r="P817" t="str">
            <v>FN4C07D2RSSSS01</v>
          </cell>
          <cell r="Q817" t="str">
            <v>แผ่นรองและสายรัดเป็นสนิม</v>
          </cell>
        </row>
        <row r="818">
          <cell r="A818">
            <v>50129272</v>
          </cell>
          <cell r="B818">
            <v>817</v>
          </cell>
          <cell r="C818" t="str">
            <v>CF01/1</v>
          </cell>
          <cell r="D818" t="str">
            <v>SPCEN-SD</v>
          </cell>
          <cell r="E818" t="str">
            <v>AF3</v>
          </cell>
          <cell r="F818">
            <v>0.8</v>
          </cell>
          <cell r="G818">
            <v>290</v>
          </cell>
          <cell r="H818">
            <v>290</v>
          </cell>
          <cell r="I818" t="str">
            <v>A</v>
          </cell>
          <cell r="K818">
            <v>300</v>
          </cell>
          <cell r="L818">
            <v>159</v>
          </cell>
          <cell r="M818">
            <v>50129272</v>
          </cell>
          <cell r="N818">
            <v>38853</v>
          </cell>
          <cell r="P818" t="str">
            <v>IN6516D3M011801</v>
          </cell>
          <cell r="Q818" t="str">
            <v>แผ่นรองและสายรัดเป็นสนิม</v>
          </cell>
        </row>
        <row r="819">
          <cell r="A819">
            <v>50079042</v>
          </cell>
          <cell r="B819">
            <v>818</v>
          </cell>
          <cell r="C819" t="str">
            <v>CF01/1</v>
          </cell>
          <cell r="D819" t="str">
            <v>SPCEN-SD</v>
          </cell>
          <cell r="E819" t="str">
            <v>AF3</v>
          </cell>
          <cell r="F819">
            <v>0.8</v>
          </cell>
          <cell r="G819">
            <v>300</v>
          </cell>
          <cell r="H819">
            <v>455</v>
          </cell>
          <cell r="I819" t="str">
            <v>A</v>
          </cell>
          <cell r="K819">
            <v>28</v>
          </cell>
          <cell r="L819">
            <v>24</v>
          </cell>
          <cell r="M819">
            <v>50079042</v>
          </cell>
          <cell r="N819">
            <v>38461</v>
          </cell>
          <cell r="P819" t="str">
            <v>IN5419D1RSSSS01</v>
          </cell>
          <cell r="Q819" t="str">
            <v>แผ่นรองและสายรัดเป็นสนิม</v>
          </cell>
        </row>
        <row r="820">
          <cell r="A820">
            <v>50139503</v>
          </cell>
          <cell r="B820">
            <v>819</v>
          </cell>
          <cell r="C820" t="str">
            <v>CF01/1</v>
          </cell>
          <cell r="D820" t="str">
            <v>SPCEN-SD</v>
          </cell>
          <cell r="E820" t="str">
            <v>AF3</v>
          </cell>
          <cell r="F820">
            <v>0.8</v>
          </cell>
          <cell r="G820">
            <v>300</v>
          </cell>
          <cell r="H820">
            <v>455</v>
          </cell>
          <cell r="I820" t="str">
            <v>A</v>
          </cell>
          <cell r="K820">
            <v>180</v>
          </cell>
          <cell r="L820">
            <v>155</v>
          </cell>
          <cell r="M820">
            <v>50139503</v>
          </cell>
          <cell r="N820">
            <v>38937</v>
          </cell>
          <cell r="P820" t="str">
            <v>IN6808D3M278802</v>
          </cell>
          <cell r="Q820" t="str">
            <v>แผ่นรองและสายรัดเป็นสนิม</v>
          </cell>
        </row>
        <row r="821">
          <cell r="A821">
            <v>50124283</v>
          </cell>
          <cell r="B821">
            <v>820</v>
          </cell>
          <cell r="C821" t="str">
            <v>CF01/1</v>
          </cell>
          <cell r="D821" t="str">
            <v>SPCEN-SD</v>
          </cell>
          <cell r="E821" t="str">
            <v>AF3</v>
          </cell>
          <cell r="F821">
            <v>0.8</v>
          </cell>
          <cell r="G821">
            <v>330</v>
          </cell>
          <cell r="H821">
            <v>375</v>
          </cell>
          <cell r="I821" t="str">
            <v>A</v>
          </cell>
          <cell r="K821">
            <v>261</v>
          </cell>
          <cell r="L821">
            <v>203</v>
          </cell>
          <cell r="M821">
            <v>50124283</v>
          </cell>
          <cell r="N821">
            <v>38803</v>
          </cell>
          <cell r="P821" t="str">
            <v>IN6327D1R882201</v>
          </cell>
          <cell r="Q821" t="str">
            <v>แผ่นรองและสายรัดเป็นสนิม</v>
          </cell>
        </row>
        <row r="822">
          <cell r="A822">
            <v>50101522</v>
          </cell>
          <cell r="B822">
            <v>821</v>
          </cell>
          <cell r="C822" t="str">
            <v>CF01/1</v>
          </cell>
          <cell r="D822" t="str">
            <v>SPCEN-SD</v>
          </cell>
          <cell r="E822" t="str">
            <v>AF3</v>
          </cell>
          <cell r="F822">
            <v>0.8</v>
          </cell>
          <cell r="G822">
            <v>340</v>
          </cell>
          <cell r="H822">
            <v>390</v>
          </cell>
          <cell r="I822" t="str">
            <v>A</v>
          </cell>
          <cell r="K822">
            <v>71</v>
          </cell>
          <cell r="L822">
            <v>59</v>
          </cell>
          <cell r="M822">
            <v>50101522</v>
          </cell>
          <cell r="N822">
            <v>38637</v>
          </cell>
          <cell r="P822" t="str">
            <v>IN5A12D1D356201</v>
          </cell>
          <cell r="Q822" t="str">
            <v>แผ่นรองและสายรัดเป็นสนิม</v>
          </cell>
        </row>
        <row r="823">
          <cell r="A823">
            <v>50139119</v>
          </cell>
          <cell r="B823">
            <v>822</v>
          </cell>
          <cell r="C823" t="str">
            <v>CF01/1</v>
          </cell>
          <cell r="D823" t="str">
            <v>SPCEN-SD</v>
          </cell>
          <cell r="E823" t="str">
            <v>AF3</v>
          </cell>
          <cell r="F823">
            <v>0.8</v>
          </cell>
          <cell r="G823">
            <v>375</v>
          </cell>
          <cell r="H823">
            <v>400</v>
          </cell>
          <cell r="I823" t="str">
            <v>A</v>
          </cell>
          <cell r="K823">
            <v>760</v>
          </cell>
          <cell r="L823">
            <v>717</v>
          </cell>
          <cell r="M823">
            <v>50139119</v>
          </cell>
          <cell r="N823">
            <v>38933</v>
          </cell>
          <cell r="O823" t="str">
            <v>125817SUD007</v>
          </cell>
          <cell r="P823" t="str">
            <v>FN6804D1RSSSS01</v>
          </cell>
          <cell r="Q823" t="str">
            <v>แผ่นรองและสายรัดเป็นสนิม</v>
          </cell>
        </row>
        <row r="824">
          <cell r="A824">
            <v>50140885</v>
          </cell>
          <cell r="B824">
            <v>823</v>
          </cell>
          <cell r="C824" t="str">
            <v>CF01/1</v>
          </cell>
          <cell r="D824" t="str">
            <v>SPCEN-SD</v>
          </cell>
          <cell r="E824" t="str">
            <v>AF3</v>
          </cell>
          <cell r="F824">
            <v>0.8</v>
          </cell>
          <cell r="G824">
            <v>390</v>
          </cell>
          <cell r="H824">
            <v>420</v>
          </cell>
          <cell r="I824" t="str">
            <v>A</v>
          </cell>
          <cell r="K824">
            <v>500</v>
          </cell>
          <cell r="L824">
            <v>515</v>
          </cell>
          <cell r="M824">
            <v>50140885</v>
          </cell>
          <cell r="N824">
            <v>38952</v>
          </cell>
          <cell r="O824" t="str">
            <v>F26816SUD009</v>
          </cell>
          <cell r="P824" t="str">
            <v>FN6823N3M321501</v>
          </cell>
          <cell r="Q824" t="str">
            <v>สภาพปกติ</v>
          </cell>
        </row>
        <row r="825">
          <cell r="A825">
            <v>50109698</v>
          </cell>
          <cell r="B825">
            <v>824</v>
          </cell>
          <cell r="C825" t="str">
            <v>CF01/1</v>
          </cell>
          <cell r="D825" t="str">
            <v>SPCEN-SD</v>
          </cell>
          <cell r="E825" t="str">
            <v>AF3</v>
          </cell>
          <cell r="F825">
            <v>0.8</v>
          </cell>
          <cell r="G825">
            <v>390</v>
          </cell>
          <cell r="H825">
            <v>435</v>
          </cell>
          <cell r="I825" t="str">
            <v>A</v>
          </cell>
          <cell r="K825">
            <v>87</v>
          </cell>
          <cell r="L825">
            <v>93</v>
          </cell>
          <cell r="M825">
            <v>50109698</v>
          </cell>
          <cell r="N825">
            <v>38697</v>
          </cell>
          <cell r="P825" t="str">
            <v>IN5C11D3M539701</v>
          </cell>
          <cell r="Q825" t="str">
            <v>แผ่นรองและสายรัดเป็นสนิม</v>
          </cell>
        </row>
        <row r="826">
          <cell r="A826">
            <v>50128180</v>
          </cell>
          <cell r="B826">
            <v>825</v>
          </cell>
          <cell r="C826" t="str">
            <v>CF01/1</v>
          </cell>
          <cell r="D826" t="str">
            <v>SPCEN-SD</v>
          </cell>
          <cell r="E826" t="str">
            <v>AF3</v>
          </cell>
          <cell r="F826">
            <v>0.8</v>
          </cell>
          <cell r="G826">
            <v>400</v>
          </cell>
          <cell r="H826">
            <v>485</v>
          </cell>
          <cell r="I826" t="str">
            <v>A</v>
          </cell>
          <cell r="K826">
            <v>14</v>
          </cell>
          <cell r="L826">
            <v>17</v>
          </cell>
          <cell r="M826">
            <v>50128180</v>
          </cell>
          <cell r="N826">
            <v>38842</v>
          </cell>
          <cell r="P826" t="str">
            <v>IN6505N3M987301</v>
          </cell>
          <cell r="Q826" t="str">
            <v>แผ่นรองและสายรัดเป็นสนิม</v>
          </cell>
        </row>
        <row r="827">
          <cell r="A827">
            <v>50120177</v>
          </cell>
          <cell r="B827">
            <v>826</v>
          </cell>
          <cell r="C827" t="str">
            <v>CF01/1</v>
          </cell>
          <cell r="D827" t="str">
            <v>SPCEN-SD</v>
          </cell>
          <cell r="E827" t="str">
            <v>AF3</v>
          </cell>
          <cell r="F827">
            <v>0.8</v>
          </cell>
          <cell r="G827">
            <v>450</v>
          </cell>
          <cell r="H827">
            <v>480</v>
          </cell>
          <cell r="I827" t="str">
            <v>A</v>
          </cell>
          <cell r="K827">
            <v>170</v>
          </cell>
          <cell r="L827">
            <v>231</v>
          </cell>
          <cell r="M827">
            <v>50120177</v>
          </cell>
          <cell r="N827">
            <v>38778</v>
          </cell>
          <cell r="P827" t="str">
            <v>IN6302D3M789401</v>
          </cell>
          <cell r="Q827" t="str">
            <v>แผ่นรองและสายรัดเป็นสนิม</v>
          </cell>
        </row>
        <row r="828">
          <cell r="A828">
            <v>50139120</v>
          </cell>
          <cell r="B828">
            <v>827</v>
          </cell>
          <cell r="C828" t="str">
            <v>CF01/1</v>
          </cell>
          <cell r="D828" t="str">
            <v>SPCEN-SD</v>
          </cell>
          <cell r="E828" t="str">
            <v>AF3</v>
          </cell>
          <cell r="F828">
            <v>0.8</v>
          </cell>
          <cell r="G828">
            <v>540</v>
          </cell>
          <cell r="H828">
            <v>580</v>
          </cell>
          <cell r="I828" t="str">
            <v>A</v>
          </cell>
          <cell r="K828">
            <v>241</v>
          </cell>
          <cell r="L828">
            <v>475</v>
          </cell>
          <cell r="M828">
            <v>50139120</v>
          </cell>
          <cell r="N828">
            <v>38933</v>
          </cell>
          <cell r="P828" t="str">
            <v>FN6804D1RSSSS01</v>
          </cell>
          <cell r="Q828" t="str">
            <v>สภาพปกติ</v>
          </cell>
        </row>
        <row r="829">
          <cell r="A829">
            <v>50134599</v>
          </cell>
          <cell r="B829">
            <v>828</v>
          </cell>
          <cell r="C829" t="str">
            <v>CF01/1</v>
          </cell>
          <cell r="D829" t="str">
            <v>SPCEN-SD</v>
          </cell>
          <cell r="E829" t="str">
            <v>AF3</v>
          </cell>
          <cell r="F829">
            <v>0.8</v>
          </cell>
          <cell r="G829">
            <v>600</v>
          </cell>
          <cell r="H829">
            <v>600</v>
          </cell>
          <cell r="I829" t="str">
            <v>A</v>
          </cell>
          <cell r="K829">
            <v>94</v>
          </cell>
          <cell r="L829">
            <v>212</v>
          </cell>
          <cell r="M829">
            <v>50134599</v>
          </cell>
          <cell r="N829">
            <v>38895</v>
          </cell>
          <cell r="P829" t="str">
            <v>FN6627D3M143201</v>
          </cell>
          <cell r="Q829" t="str">
            <v>แผ่นรองและสายรัดเป็นสนิม</v>
          </cell>
        </row>
        <row r="830">
          <cell r="A830">
            <v>50136708</v>
          </cell>
          <cell r="B830">
            <v>829</v>
          </cell>
          <cell r="C830" t="str">
            <v>CF01/1</v>
          </cell>
          <cell r="D830" t="str">
            <v>SPCEN-SD</v>
          </cell>
          <cell r="E830" t="str">
            <v>AF3</v>
          </cell>
          <cell r="F830">
            <v>0.8</v>
          </cell>
          <cell r="G830">
            <v>620</v>
          </cell>
          <cell r="H830">
            <v>620</v>
          </cell>
          <cell r="I830" t="str">
            <v>A</v>
          </cell>
          <cell r="K830">
            <v>290</v>
          </cell>
          <cell r="L830">
            <v>699</v>
          </cell>
          <cell r="M830">
            <v>50136708</v>
          </cell>
          <cell r="N830">
            <v>38913</v>
          </cell>
          <cell r="P830" t="str">
            <v>IN6715D3M205701</v>
          </cell>
          <cell r="Q830" t="str">
            <v>แผ่นรองและสายรัดเป็นสนิม</v>
          </cell>
        </row>
        <row r="831">
          <cell r="A831">
            <v>50130819</v>
          </cell>
          <cell r="B831">
            <v>830</v>
          </cell>
          <cell r="C831" t="str">
            <v>CF01/1</v>
          </cell>
          <cell r="D831" t="str">
            <v>SPCEN-SD</v>
          </cell>
          <cell r="E831" t="str">
            <v>AF3</v>
          </cell>
          <cell r="F831">
            <v>0.8</v>
          </cell>
          <cell r="G831">
            <v>630</v>
          </cell>
          <cell r="H831">
            <v>650</v>
          </cell>
          <cell r="I831" t="str">
            <v>A</v>
          </cell>
          <cell r="K831">
            <v>203</v>
          </cell>
          <cell r="L831">
            <v>522</v>
          </cell>
          <cell r="M831">
            <v>50130819</v>
          </cell>
          <cell r="N831">
            <v>38867</v>
          </cell>
          <cell r="P831" t="str">
            <v>IN6530D3M055601</v>
          </cell>
          <cell r="Q831" t="str">
            <v>แผ่นรองและสายรัดเป็นสนิม</v>
          </cell>
        </row>
        <row r="832">
          <cell r="A832">
            <v>50138015</v>
          </cell>
          <cell r="B832">
            <v>831</v>
          </cell>
          <cell r="C832" t="str">
            <v>CF01/1</v>
          </cell>
          <cell r="D832" t="str">
            <v>SPCEN-SD</v>
          </cell>
          <cell r="E832" t="str">
            <v>AF3</v>
          </cell>
          <cell r="F832">
            <v>0.9</v>
          </cell>
          <cell r="G832">
            <v>110</v>
          </cell>
          <cell r="H832">
            <v>220</v>
          </cell>
          <cell r="I832" t="str">
            <v>A</v>
          </cell>
          <cell r="K832">
            <v>389</v>
          </cell>
          <cell r="L832">
            <v>65</v>
          </cell>
          <cell r="M832">
            <v>50138015</v>
          </cell>
          <cell r="N832">
            <v>38925</v>
          </cell>
          <cell r="P832" t="str">
            <v>FN6727D1M240601</v>
          </cell>
          <cell r="Q832" t="str">
            <v>สภาพปกติ</v>
          </cell>
        </row>
        <row r="833">
          <cell r="A833">
            <v>50124818</v>
          </cell>
          <cell r="B833">
            <v>832</v>
          </cell>
          <cell r="C833" t="str">
            <v>CF01/1</v>
          </cell>
          <cell r="D833" t="str">
            <v>SPCEN-SD</v>
          </cell>
          <cell r="E833" t="str">
            <v>AF3</v>
          </cell>
          <cell r="F833">
            <v>0.9</v>
          </cell>
          <cell r="G833">
            <v>360</v>
          </cell>
          <cell r="H833">
            <v>550</v>
          </cell>
          <cell r="I833" t="str">
            <v>A</v>
          </cell>
          <cell r="K833">
            <v>78</v>
          </cell>
          <cell r="L833">
            <v>109</v>
          </cell>
          <cell r="M833">
            <v>50124818</v>
          </cell>
          <cell r="N833">
            <v>38806</v>
          </cell>
          <cell r="P833" t="str">
            <v>FN6330D1R899901</v>
          </cell>
          <cell r="Q833" t="str">
            <v>แผ่นรองและสายรัดเป็นสนิม</v>
          </cell>
        </row>
        <row r="834">
          <cell r="A834">
            <v>50118304</v>
          </cell>
          <cell r="B834">
            <v>833</v>
          </cell>
          <cell r="C834" t="str">
            <v>CF01/1</v>
          </cell>
          <cell r="D834" t="str">
            <v>SPCEN-SD</v>
          </cell>
          <cell r="E834" t="str">
            <v>AF3</v>
          </cell>
          <cell r="F834">
            <v>0.9</v>
          </cell>
          <cell r="G834">
            <v>445</v>
          </cell>
          <cell r="H834">
            <v>560</v>
          </cell>
          <cell r="I834" t="str">
            <v>A</v>
          </cell>
          <cell r="K834">
            <v>196</v>
          </cell>
          <cell r="L834">
            <v>345</v>
          </cell>
          <cell r="M834">
            <v>50118304</v>
          </cell>
          <cell r="N834">
            <v>38767</v>
          </cell>
          <cell r="P834" t="str">
            <v>IN6219N3M747801</v>
          </cell>
          <cell r="Q834" t="str">
            <v>แผ่นรองและสายรัดเป็นสนิม</v>
          </cell>
        </row>
        <row r="835">
          <cell r="A835">
            <v>50127517</v>
          </cell>
          <cell r="B835">
            <v>834</v>
          </cell>
          <cell r="C835" t="str">
            <v>CF01/1</v>
          </cell>
          <cell r="D835" t="str">
            <v>SPCEN-SD</v>
          </cell>
          <cell r="E835" t="str">
            <v>AF3</v>
          </cell>
          <cell r="F835">
            <v>0.9</v>
          </cell>
          <cell r="G835">
            <v>445</v>
          </cell>
          <cell r="H835">
            <v>560</v>
          </cell>
          <cell r="I835" t="str">
            <v>A</v>
          </cell>
          <cell r="K835">
            <v>122</v>
          </cell>
          <cell r="L835">
            <v>214</v>
          </cell>
          <cell r="M835">
            <v>50127517</v>
          </cell>
          <cell r="N835">
            <v>38834</v>
          </cell>
          <cell r="P835" t="str">
            <v>IN6427N3R965102</v>
          </cell>
          <cell r="Q835" t="str">
            <v>สภาพปกติ</v>
          </cell>
        </row>
        <row r="836">
          <cell r="A836">
            <v>50046452</v>
          </cell>
          <cell r="B836">
            <v>835</v>
          </cell>
          <cell r="C836" t="str">
            <v>CF01/1</v>
          </cell>
          <cell r="D836" t="str">
            <v>SPCEN-SD</v>
          </cell>
          <cell r="E836" t="str">
            <v>AF3</v>
          </cell>
          <cell r="F836">
            <v>0.9</v>
          </cell>
          <cell r="G836">
            <v>530</v>
          </cell>
          <cell r="H836">
            <v>900</v>
          </cell>
          <cell r="I836" t="str">
            <v>A</v>
          </cell>
          <cell r="K836">
            <v>110</v>
          </cell>
          <cell r="L836">
            <v>370</v>
          </cell>
          <cell r="M836">
            <v>50046452</v>
          </cell>
          <cell r="N836">
            <v>38162</v>
          </cell>
          <cell r="P836" t="str">
            <v>IN4624N1M062401</v>
          </cell>
          <cell r="Q836" t="str">
            <v>แผ่นรองและสายรัดเป็นสนิม</v>
          </cell>
        </row>
        <row r="837">
          <cell r="A837">
            <v>50105465</v>
          </cell>
          <cell r="B837">
            <v>836</v>
          </cell>
          <cell r="C837" t="str">
            <v>CF01/1</v>
          </cell>
          <cell r="D837" t="str">
            <v>SPCEN-SD</v>
          </cell>
          <cell r="E837" t="str">
            <v>AF3</v>
          </cell>
          <cell r="F837">
            <v>0.9</v>
          </cell>
          <cell r="G837">
            <v>530</v>
          </cell>
          <cell r="H837">
            <v>900</v>
          </cell>
          <cell r="I837" t="str">
            <v>A</v>
          </cell>
          <cell r="K837">
            <v>23</v>
          </cell>
          <cell r="L837">
            <v>78</v>
          </cell>
          <cell r="M837">
            <v>50105465</v>
          </cell>
          <cell r="N837">
            <v>38664</v>
          </cell>
          <cell r="P837" t="str">
            <v>IN5B08D3D457702</v>
          </cell>
          <cell r="Q837" t="str">
            <v>แผ่นรองและสายรัดเป็นสนิม</v>
          </cell>
        </row>
        <row r="838">
          <cell r="A838">
            <v>50136570</v>
          </cell>
          <cell r="B838">
            <v>837</v>
          </cell>
          <cell r="C838" t="str">
            <v>CF01/1</v>
          </cell>
          <cell r="D838" t="str">
            <v>SPCEN-SD</v>
          </cell>
          <cell r="E838" t="str">
            <v>AF3</v>
          </cell>
          <cell r="F838">
            <v>0.9</v>
          </cell>
          <cell r="G838">
            <v>595</v>
          </cell>
          <cell r="H838">
            <v>915</v>
          </cell>
          <cell r="I838" t="str">
            <v>A</v>
          </cell>
          <cell r="K838">
            <v>37</v>
          </cell>
          <cell r="L838">
            <v>142</v>
          </cell>
          <cell r="M838">
            <v>50136570</v>
          </cell>
          <cell r="N838">
            <v>38912</v>
          </cell>
          <cell r="P838" t="str">
            <v>IN6714D3R203701</v>
          </cell>
          <cell r="Q838" t="str">
            <v>แผ่นรองและสายรัดเป็นสนิม</v>
          </cell>
        </row>
        <row r="839">
          <cell r="A839">
            <v>50138998</v>
          </cell>
          <cell r="B839">
            <v>838</v>
          </cell>
          <cell r="C839" t="str">
            <v>CF01/1</v>
          </cell>
          <cell r="D839" t="str">
            <v>SPCEN-SD</v>
          </cell>
          <cell r="E839" t="str">
            <v>AF3</v>
          </cell>
          <cell r="F839">
            <v>0.9</v>
          </cell>
          <cell r="G839">
            <v>595</v>
          </cell>
          <cell r="H839">
            <v>915</v>
          </cell>
          <cell r="I839" t="str">
            <v>A</v>
          </cell>
          <cell r="K839">
            <v>32</v>
          </cell>
          <cell r="L839">
            <v>132</v>
          </cell>
          <cell r="M839">
            <v>50138998</v>
          </cell>
          <cell r="N839">
            <v>38932</v>
          </cell>
          <cell r="P839" t="str">
            <v>IN6803D3M267202</v>
          </cell>
          <cell r="Q839" t="str">
            <v>แผ่นรองและสายรัดเป็นสนิม</v>
          </cell>
        </row>
        <row r="840">
          <cell r="A840">
            <v>50125646</v>
          </cell>
          <cell r="B840">
            <v>839</v>
          </cell>
          <cell r="C840" t="str">
            <v>CF01/1</v>
          </cell>
          <cell r="D840" t="str">
            <v>SPCEN-SD</v>
          </cell>
          <cell r="E840" t="str">
            <v>AF3</v>
          </cell>
          <cell r="F840">
            <v>0.9</v>
          </cell>
          <cell r="G840">
            <v>675</v>
          </cell>
          <cell r="H840">
            <v>865</v>
          </cell>
          <cell r="I840" t="str">
            <v>A</v>
          </cell>
          <cell r="K840">
            <v>51</v>
          </cell>
          <cell r="L840">
            <v>210</v>
          </cell>
          <cell r="M840">
            <v>50125646</v>
          </cell>
          <cell r="N840">
            <v>38812</v>
          </cell>
          <cell r="P840" t="str">
            <v>IN6405D3M917402</v>
          </cell>
          <cell r="Q840" t="str">
            <v>แผ่นรองและสายรัดเป็นสนิม</v>
          </cell>
        </row>
        <row r="841">
          <cell r="A841">
            <v>50139002</v>
          </cell>
          <cell r="B841">
            <v>840</v>
          </cell>
          <cell r="C841" t="str">
            <v>CF01/1</v>
          </cell>
          <cell r="D841" t="str">
            <v>SPCEN-SD</v>
          </cell>
          <cell r="E841" t="str">
            <v>AF3</v>
          </cell>
          <cell r="F841">
            <v>0.9</v>
          </cell>
          <cell r="G841">
            <v>675</v>
          </cell>
          <cell r="H841">
            <v>865</v>
          </cell>
          <cell r="I841" t="str">
            <v>A</v>
          </cell>
          <cell r="K841">
            <v>19</v>
          </cell>
          <cell r="L841">
            <v>78</v>
          </cell>
          <cell r="M841">
            <v>50139002</v>
          </cell>
          <cell r="N841">
            <v>38932</v>
          </cell>
          <cell r="P841" t="str">
            <v>IN6803D3M267203</v>
          </cell>
          <cell r="Q841" t="str">
            <v>แผ่นรองและสายรัดเป็นสนิม</v>
          </cell>
        </row>
        <row r="842">
          <cell r="A842">
            <v>50130677</v>
          </cell>
          <cell r="B842">
            <v>841</v>
          </cell>
          <cell r="C842" t="str">
            <v>CF01/1</v>
          </cell>
          <cell r="D842" t="str">
            <v>SPCEN-SD</v>
          </cell>
          <cell r="E842" t="str">
            <v>AF3</v>
          </cell>
          <cell r="F842">
            <v>0.9</v>
          </cell>
          <cell r="G842">
            <v>750</v>
          </cell>
          <cell r="H842">
            <v>1115</v>
          </cell>
          <cell r="I842" t="str">
            <v>A</v>
          </cell>
          <cell r="K842">
            <v>2271</v>
          </cell>
          <cell r="L842">
            <v>1342</v>
          </cell>
          <cell r="M842">
            <v>50130677</v>
          </cell>
          <cell r="N842">
            <v>38866</v>
          </cell>
          <cell r="P842" t="str">
            <v>IN6529D3RQQQQ01</v>
          </cell>
          <cell r="Q842" t="str">
            <v>แผ่นรองและสายรัดเป็นสนิม</v>
          </cell>
        </row>
        <row r="843">
          <cell r="A843">
            <v>50139017</v>
          </cell>
          <cell r="B843">
            <v>842</v>
          </cell>
          <cell r="C843" t="str">
            <v>CF01/1</v>
          </cell>
          <cell r="D843" t="str">
            <v>SPCEN-SD</v>
          </cell>
          <cell r="E843" t="str">
            <v>AF3</v>
          </cell>
          <cell r="F843">
            <v>1</v>
          </cell>
          <cell r="G843">
            <v>127</v>
          </cell>
          <cell r="H843">
            <v>137</v>
          </cell>
          <cell r="I843" t="str">
            <v>A</v>
          </cell>
          <cell r="K843">
            <v>436</v>
          </cell>
          <cell r="L843">
            <v>59</v>
          </cell>
          <cell r="M843">
            <v>50139017</v>
          </cell>
          <cell r="N843">
            <v>38932</v>
          </cell>
          <cell r="P843" t="str">
            <v>IN6803D1M263001</v>
          </cell>
          <cell r="Q843" t="str">
            <v>แผ่นรองและสายรัดเป็นสนิม</v>
          </cell>
        </row>
        <row r="844">
          <cell r="A844">
            <v>50135910</v>
          </cell>
          <cell r="B844">
            <v>843</v>
          </cell>
          <cell r="C844" t="str">
            <v>CF01/1</v>
          </cell>
          <cell r="D844" t="str">
            <v>SPCEN-SD</v>
          </cell>
          <cell r="E844" t="str">
            <v>AF3</v>
          </cell>
          <cell r="F844">
            <v>1</v>
          </cell>
          <cell r="G844">
            <v>230</v>
          </cell>
          <cell r="H844">
            <v>1500</v>
          </cell>
          <cell r="I844" t="str">
            <v>A</v>
          </cell>
          <cell r="K844">
            <v>66</v>
          </cell>
          <cell r="L844">
            <v>179</v>
          </cell>
          <cell r="M844">
            <v>50135910</v>
          </cell>
          <cell r="N844">
            <v>38905</v>
          </cell>
          <cell r="P844" t="str">
            <v>FN6707D3D181601</v>
          </cell>
          <cell r="Q844" t="str">
            <v>แผ่นรองและสายรัดเป็นสนิม</v>
          </cell>
        </row>
        <row r="845">
          <cell r="A845">
            <v>50127233</v>
          </cell>
          <cell r="B845">
            <v>844</v>
          </cell>
          <cell r="C845" t="str">
            <v>CF01/1</v>
          </cell>
          <cell r="D845" t="str">
            <v>SPCEN-SD</v>
          </cell>
          <cell r="E845" t="str">
            <v>AF3</v>
          </cell>
          <cell r="F845">
            <v>1</v>
          </cell>
          <cell r="G845">
            <v>266</v>
          </cell>
          <cell r="H845">
            <v>640</v>
          </cell>
          <cell r="I845" t="str">
            <v>A</v>
          </cell>
          <cell r="K845">
            <v>150</v>
          </cell>
          <cell r="L845">
            <v>200</v>
          </cell>
          <cell r="M845">
            <v>50127233</v>
          </cell>
          <cell r="N845">
            <v>38832</v>
          </cell>
          <cell r="P845" t="str">
            <v>IN6425D1M955201</v>
          </cell>
          <cell r="Q845" t="str">
            <v>แผ่นรองและสายรัดเป็นสนิม</v>
          </cell>
        </row>
        <row r="846">
          <cell r="A846">
            <v>50128659</v>
          </cell>
          <cell r="B846">
            <v>845</v>
          </cell>
          <cell r="C846" t="str">
            <v>CF01/1</v>
          </cell>
          <cell r="D846" t="str">
            <v>SPCEN-SD</v>
          </cell>
          <cell r="E846" t="str">
            <v>AF3</v>
          </cell>
          <cell r="F846">
            <v>1</v>
          </cell>
          <cell r="G846">
            <v>266</v>
          </cell>
          <cell r="H846">
            <v>640</v>
          </cell>
          <cell r="I846" t="str">
            <v>A</v>
          </cell>
          <cell r="K846">
            <v>199</v>
          </cell>
          <cell r="L846">
            <v>267</v>
          </cell>
          <cell r="M846">
            <v>50128659</v>
          </cell>
          <cell r="N846">
            <v>38846</v>
          </cell>
          <cell r="O846" t="str">
            <v>125B28SUD011</v>
          </cell>
          <cell r="P846" t="str">
            <v>FN6509N3M993002</v>
          </cell>
          <cell r="Q846" t="str">
            <v>แผ่นรองและสายรัดเป็นสนิม</v>
          </cell>
        </row>
        <row r="847">
          <cell r="A847">
            <v>50130189</v>
          </cell>
          <cell r="B847">
            <v>846</v>
          </cell>
          <cell r="C847" t="str">
            <v>CF01/1</v>
          </cell>
          <cell r="D847" t="str">
            <v>SPCEN-SD</v>
          </cell>
          <cell r="E847" t="str">
            <v>AF3</v>
          </cell>
          <cell r="F847">
            <v>1</v>
          </cell>
          <cell r="G847">
            <v>266</v>
          </cell>
          <cell r="H847">
            <v>640</v>
          </cell>
          <cell r="I847" t="str">
            <v>A</v>
          </cell>
          <cell r="K847">
            <v>512</v>
          </cell>
          <cell r="L847">
            <v>686</v>
          </cell>
          <cell r="M847">
            <v>50130189</v>
          </cell>
          <cell r="N847">
            <v>38861</v>
          </cell>
          <cell r="O847" t="str">
            <v>126216SUD020</v>
          </cell>
          <cell r="P847" t="str">
            <v>FN6524D3M036103</v>
          </cell>
          <cell r="Q847" t="str">
            <v>แผ่นรองและสายรัดเป็นสนิม</v>
          </cell>
        </row>
        <row r="848">
          <cell r="A848">
            <v>50138350</v>
          </cell>
          <cell r="B848">
            <v>847</v>
          </cell>
          <cell r="C848" t="str">
            <v>CF01/1</v>
          </cell>
          <cell r="D848" t="str">
            <v>SPCEN-SD</v>
          </cell>
          <cell r="E848" t="str">
            <v>AF3</v>
          </cell>
          <cell r="F848">
            <v>1</v>
          </cell>
          <cell r="G848">
            <v>266</v>
          </cell>
          <cell r="H848">
            <v>640</v>
          </cell>
          <cell r="I848" t="str">
            <v>A</v>
          </cell>
          <cell r="K848">
            <v>313</v>
          </cell>
          <cell r="L848">
            <v>419</v>
          </cell>
          <cell r="M848">
            <v>50138350</v>
          </cell>
          <cell r="N848">
            <v>38928</v>
          </cell>
          <cell r="P848" t="str">
            <v>IN6730N3M251004</v>
          </cell>
          <cell r="Q848" t="str">
            <v>แผ่นรองและสายรัดเป็นสนิม</v>
          </cell>
        </row>
        <row r="849">
          <cell r="A849">
            <v>50136986</v>
          </cell>
          <cell r="B849">
            <v>848</v>
          </cell>
          <cell r="C849" t="str">
            <v>CF01/1</v>
          </cell>
          <cell r="D849" t="str">
            <v>SPCEN-SD</v>
          </cell>
          <cell r="E849" t="str">
            <v>AF3</v>
          </cell>
          <cell r="F849">
            <v>1</v>
          </cell>
          <cell r="G849">
            <v>300</v>
          </cell>
          <cell r="H849">
            <v>400</v>
          </cell>
          <cell r="I849" t="str">
            <v>A</v>
          </cell>
          <cell r="K849">
            <v>104</v>
          </cell>
          <cell r="L849">
            <v>98</v>
          </cell>
          <cell r="M849">
            <v>50136986</v>
          </cell>
          <cell r="N849">
            <v>38916</v>
          </cell>
          <cell r="P849" t="str">
            <v>IN6718D1R213701</v>
          </cell>
          <cell r="Q849" t="str">
            <v>แผ่นรองและสายรัดเป็นสนิม</v>
          </cell>
        </row>
        <row r="850">
          <cell r="A850">
            <v>50138645</v>
          </cell>
          <cell r="B850">
            <v>849</v>
          </cell>
          <cell r="C850" t="str">
            <v>CF01/1</v>
          </cell>
          <cell r="D850" t="str">
            <v>SPCEN-SD</v>
          </cell>
          <cell r="E850" t="str">
            <v>AF3</v>
          </cell>
          <cell r="F850">
            <v>1</v>
          </cell>
          <cell r="G850">
            <v>300</v>
          </cell>
          <cell r="H850">
            <v>400</v>
          </cell>
          <cell r="I850" t="str">
            <v>A</v>
          </cell>
          <cell r="K850">
            <v>190</v>
          </cell>
          <cell r="L850">
            <v>179</v>
          </cell>
          <cell r="M850">
            <v>50138645</v>
          </cell>
          <cell r="N850" t="str">
            <v>01/88/6</v>
          </cell>
          <cell r="P850" t="str">
            <v>IN6801D3M256402</v>
          </cell>
          <cell r="Q850" t="str">
            <v>แผ่นรองและสายรัดเป็นสนิม</v>
          </cell>
        </row>
        <row r="851">
          <cell r="A851">
            <v>50134586</v>
          </cell>
          <cell r="B851">
            <v>850</v>
          </cell>
          <cell r="C851" t="str">
            <v>CF01/1</v>
          </cell>
          <cell r="D851" t="str">
            <v>SPCEN-SD</v>
          </cell>
          <cell r="E851" t="str">
            <v>AF3</v>
          </cell>
          <cell r="F851">
            <v>1</v>
          </cell>
          <cell r="G851">
            <v>320</v>
          </cell>
          <cell r="H851">
            <v>360</v>
          </cell>
          <cell r="I851" t="str">
            <v>A</v>
          </cell>
          <cell r="K851">
            <v>115</v>
          </cell>
          <cell r="L851">
            <v>104</v>
          </cell>
          <cell r="M851">
            <v>50134586</v>
          </cell>
          <cell r="N851">
            <v>38895</v>
          </cell>
          <cell r="P851" t="str">
            <v>IN6627D3M139201</v>
          </cell>
          <cell r="Q851" t="str">
            <v>แผ่นรองและสายรัดเป็นสนิม</v>
          </cell>
        </row>
        <row r="852">
          <cell r="A852">
            <v>50138617</v>
          </cell>
          <cell r="B852">
            <v>851</v>
          </cell>
          <cell r="C852" t="str">
            <v>CF01/1</v>
          </cell>
          <cell r="D852" t="str">
            <v>SPCEN-SD</v>
          </cell>
          <cell r="E852" t="str">
            <v>AF3</v>
          </cell>
          <cell r="F852">
            <v>1</v>
          </cell>
          <cell r="G852">
            <v>320</v>
          </cell>
          <cell r="H852">
            <v>360</v>
          </cell>
          <cell r="I852" t="str">
            <v>A</v>
          </cell>
          <cell r="K852">
            <v>195</v>
          </cell>
          <cell r="L852">
            <v>176</v>
          </cell>
          <cell r="M852">
            <v>50138617</v>
          </cell>
          <cell r="N852">
            <v>38930</v>
          </cell>
          <cell r="P852" t="str">
            <v>IN6801D3M256402</v>
          </cell>
          <cell r="Q852" t="str">
            <v>แผ่นรองและสายรัดเป็นสนิม</v>
          </cell>
        </row>
        <row r="853">
          <cell r="A853">
            <v>50137742</v>
          </cell>
          <cell r="B853">
            <v>852</v>
          </cell>
          <cell r="C853" t="str">
            <v>CF01/1</v>
          </cell>
          <cell r="D853" t="str">
            <v>SPCEN-SD</v>
          </cell>
          <cell r="E853" t="str">
            <v>AF3</v>
          </cell>
          <cell r="F853">
            <v>1</v>
          </cell>
          <cell r="G853">
            <v>320</v>
          </cell>
          <cell r="H853">
            <v>420</v>
          </cell>
          <cell r="I853" t="str">
            <v>A</v>
          </cell>
          <cell r="K853">
            <v>289</v>
          </cell>
          <cell r="L853">
            <v>305</v>
          </cell>
          <cell r="M853">
            <v>50137742</v>
          </cell>
          <cell r="N853">
            <v>38923</v>
          </cell>
          <cell r="P853" t="str">
            <v>FN6725D2R230701</v>
          </cell>
          <cell r="Q853" t="str">
            <v>แผ่นรองและสายรัดเป็นสนิม</v>
          </cell>
        </row>
        <row r="854">
          <cell r="A854">
            <v>50139092</v>
          </cell>
          <cell r="B854">
            <v>853</v>
          </cell>
          <cell r="C854" t="str">
            <v>CF01/1</v>
          </cell>
          <cell r="D854" t="str">
            <v>SPCEN-SD</v>
          </cell>
          <cell r="E854" t="str">
            <v>AF3</v>
          </cell>
          <cell r="F854">
            <v>1</v>
          </cell>
          <cell r="G854">
            <v>320</v>
          </cell>
          <cell r="H854">
            <v>420</v>
          </cell>
          <cell r="I854" t="str">
            <v>A</v>
          </cell>
          <cell r="K854">
            <v>185</v>
          </cell>
          <cell r="L854">
            <v>196</v>
          </cell>
          <cell r="M854">
            <v>50139092</v>
          </cell>
          <cell r="N854">
            <v>38933</v>
          </cell>
          <cell r="P854" t="str">
            <v>IN6804N3M226402</v>
          </cell>
          <cell r="Q854" t="str">
            <v>แผ่นรองและสายรัดเป็นสนิม</v>
          </cell>
        </row>
        <row r="855">
          <cell r="A855">
            <v>50139813</v>
          </cell>
          <cell r="B855">
            <v>854</v>
          </cell>
          <cell r="C855" t="str">
            <v>CF01/1</v>
          </cell>
          <cell r="D855" t="str">
            <v>SPCEN-SD</v>
          </cell>
          <cell r="E855" t="str">
            <v>AF3</v>
          </cell>
          <cell r="F855">
            <v>1</v>
          </cell>
          <cell r="G855">
            <v>320</v>
          </cell>
          <cell r="H855">
            <v>420</v>
          </cell>
          <cell r="I855" t="str">
            <v>A</v>
          </cell>
          <cell r="K855">
            <v>220</v>
          </cell>
          <cell r="L855">
            <v>232</v>
          </cell>
          <cell r="M855">
            <v>50139813</v>
          </cell>
          <cell r="N855">
            <v>38940</v>
          </cell>
          <cell r="P855" t="str">
            <v>IN6811D2M286303</v>
          </cell>
          <cell r="Q855" t="str">
            <v>แผ่นรองและสายรัดเป็นสนิม</v>
          </cell>
        </row>
        <row r="856">
          <cell r="A856">
            <v>50140440</v>
          </cell>
          <cell r="B856">
            <v>855</v>
          </cell>
          <cell r="C856" t="str">
            <v>CF01/1</v>
          </cell>
          <cell r="D856" t="str">
            <v>SPCEN-SD</v>
          </cell>
          <cell r="E856" t="str">
            <v>AF3</v>
          </cell>
          <cell r="F856">
            <v>1</v>
          </cell>
          <cell r="G856">
            <v>380</v>
          </cell>
          <cell r="H856">
            <v>420</v>
          </cell>
          <cell r="I856" t="str">
            <v>A</v>
          </cell>
          <cell r="K856">
            <v>230</v>
          </cell>
          <cell r="L856">
            <v>288</v>
          </cell>
          <cell r="M856">
            <v>50140440</v>
          </cell>
          <cell r="N856">
            <v>38948</v>
          </cell>
          <cell r="P856" t="str">
            <v>FN6819N3M305701</v>
          </cell>
          <cell r="Q856" t="str">
            <v>สภาพปกติ</v>
          </cell>
        </row>
        <row r="857">
          <cell r="A857">
            <v>50110649</v>
          </cell>
          <cell r="B857">
            <v>856</v>
          </cell>
          <cell r="C857" t="str">
            <v>CF01/1</v>
          </cell>
          <cell r="D857" t="str">
            <v>SPCEN-SD</v>
          </cell>
          <cell r="E857" t="str">
            <v>AF3</v>
          </cell>
          <cell r="F857">
            <v>1</v>
          </cell>
          <cell r="G857">
            <v>400</v>
          </cell>
          <cell r="H857">
            <v>400</v>
          </cell>
          <cell r="I857" t="str">
            <v>A</v>
          </cell>
          <cell r="K857">
            <v>260</v>
          </cell>
          <cell r="L857">
            <v>329</v>
          </cell>
          <cell r="M857">
            <v>50110649</v>
          </cell>
          <cell r="N857">
            <v>38703</v>
          </cell>
          <cell r="P857" t="str">
            <v>FN5C17D1M570101</v>
          </cell>
          <cell r="Q857" t="str">
            <v>แผ่นรองและสายรัดเป็นสนิม</v>
          </cell>
        </row>
        <row r="858">
          <cell r="A858">
            <v>50090204</v>
          </cell>
          <cell r="B858">
            <v>857</v>
          </cell>
          <cell r="C858" t="str">
            <v>CF01/1</v>
          </cell>
          <cell r="D858" t="str">
            <v>SPCEN-SD</v>
          </cell>
          <cell r="E858" t="str">
            <v>AF3</v>
          </cell>
          <cell r="F858">
            <v>1</v>
          </cell>
          <cell r="G858">
            <v>405</v>
          </cell>
          <cell r="H858">
            <v>715</v>
          </cell>
          <cell r="I858" t="str">
            <v>A</v>
          </cell>
          <cell r="K858">
            <v>40</v>
          </cell>
          <cell r="L858">
            <v>90</v>
          </cell>
          <cell r="M858">
            <v>50090204</v>
          </cell>
          <cell r="N858">
            <v>38907</v>
          </cell>
          <cell r="P858" t="str">
            <v>IN5709D1RSSSS01</v>
          </cell>
          <cell r="Q858" t="str">
            <v>แผ่นรองและสายรัดเป็นสนิม</v>
          </cell>
        </row>
        <row r="859">
          <cell r="A859">
            <v>50109522</v>
          </cell>
          <cell r="B859">
            <v>858</v>
          </cell>
          <cell r="C859" t="str">
            <v>CF01/1</v>
          </cell>
          <cell r="D859" t="str">
            <v>SPCEN-SD</v>
          </cell>
          <cell r="E859" t="str">
            <v>AF3</v>
          </cell>
          <cell r="F859">
            <v>1</v>
          </cell>
          <cell r="G859">
            <v>405</v>
          </cell>
          <cell r="H859">
            <v>715</v>
          </cell>
          <cell r="I859" t="str">
            <v>A</v>
          </cell>
          <cell r="K859">
            <v>89</v>
          </cell>
          <cell r="L859">
            <v>200</v>
          </cell>
          <cell r="M859">
            <v>50109522</v>
          </cell>
          <cell r="N859">
            <v>38695</v>
          </cell>
          <cell r="P859" t="str">
            <v>IN5C09D1M548102</v>
          </cell>
          <cell r="Q859" t="str">
            <v>แผ่นรองและสายรัดเป็นสนิม</v>
          </cell>
        </row>
        <row r="860">
          <cell r="A860">
            <v>50139960</v>
          </cell>
          <cell r="B860">
            <v>859</v>
          </cell>
          <cell r="C860" t="str">
            <v>CF01/1</v>
          </cell>
          <cell r="D860" t="str">
            <v>SPCEN-SD</v>
          </cell>
          <cell r="E860" t="str">
            <v>AF3</v>
          </cell>
          <cell r="F860">
            <v>1</v>
          </cell>
          <cell r="G860">
            <v>405</v>
          </cell>
          <cell r="H860">
            <v>715</v>
          </cell>
          <cell r="I860" t="str">
            <v>A</v>
          </cell>
          <cell r="K860">
            <v>40</v>
          </cell>
          <cell r="L860">
            <v>91</v>
          </cell>
          <cell r="M860">
            <v>50139960</v>
          </cell>
          <cell r="N860">
            <v>38944</v>
          </cell>
          <cell r="P860" t="str">
            <v>IN6815N3M286303</v>
          </cell>
          <cell r="Q860" t="str">
            <v>แผ่นรองและสายรัดเป็นสนิม</v>
          </cell>
        </row>
        <row r="861">
          <cell r="A861">
            <v>50110400</v>
          </cell>
          <cell r="B861">
            <v>860</v>
          </cell>
          <cell r="C861" t="str">
            <v>CF01/1</v>
          </cell>
          <cell r="D861" t="str">
            <v>SPCEN-SD</v>
          </cell>
          <cell r="E861" t="str">
            <v>AF3</v>
          </cell>
          <cell r="F861">
            <v>1</v>
          </cell>
          <cell r="G861">
            <v>410</v>
          </cell>
          <cell r="H861">
            <v>420</v>
          </cell>
          <cell r="I861" t="str">
            <v>A</v>
          </cell>
          <cell r="K861">
            <v>50</v>
          </cell>
          <cell r="L861">
            <v>68</v>
          </cell>
          <cell r="M861">
            <v>50110400</v>
          </cell>
          <cell r="N861">
            <v>38701</v>
          </cell>
          <cell r="P861" t="str">
            <v>IN5C15D3D574001</v>
          </cell>
          <cell r="Q861" t="str">
            <v>แผ่นรองและสายรัดเป็นสนิม</v>
          </cell>
        </row>
        <row r="862">
          <cell r="A862">
            <v>50136891</v>
          </cell>
          <cell r="B862">
            <v>861</v>
          </cell>
          <cell r="C862" t="str">
            <v>CF01/1</v>
          </cell>
          <cell r="D862" t="str">
            <v>SPCEN-SD</v>
          </cell>
          <cell r="E862" t="str">
            <v>AF3</v>
          </cell>
          <cell r="F862">
            <v>1</v>
          </cell>
          <cell r="G862">
            <v>420</v>
          </cell>
          <cell r="H862">
            <v>420</v>
          </cell>
          <cell r="I862" t="str">
            <v>A</v>
          </cell>
          <cell r="K862">
            <v>105</v>
          </cell>
          <cell r="L862">
            <v>145</v>
          </cell>
          <cell r="M862">
            <v>50136891</v>
          </cell>
          <cell r="N862">
            <v>38915</v>
          </cell>
          <cell r="P862" t="str">
            <v>IN6717D3M202901</v>
          </cell>
          <cell r="Q862" t="str">
            <v>แผ่นรองและสายรัดเป็นสนิม</v>
          </cell>
        </row>
        <row r="863">
          <cell r="A863">
            <v>50111076</v>
          </cell>
          <cell r="B863">
            <v>862</v>
          </cell>
          <cell r="C863" t="str">
            <v>CF01/1</v>
          </cell>
          <cell r="D863" t="str">
            <v>SPCEN-SD</v>
          </cell>
          <cell r="E863" t="str">
            <v>AF3</v>
          </cell>
          <cell r="F863">
            <v>1</v>
          </cell>
          <cell r="G863">
            <v>420</v>
          </cell>
          <cell r="H863">
            <v>480</v>
          </cell>
          <cell r="I863" t="str">
            <v>A</v>
          </cell>
          <cell r="K863">
            <v>52</v>
          </cell>
          <cell r="L863">
            <v>82</v>
          </cell>
          <cell r="M863">
            <v>50111076</v>
          </cell>
          <cell r="N863">
            <v>38706</v>
          </cell>
          <cell r="P863" t="str">
            <v>IN5C20D3M582401</v>
          </cell>
          <cell r="Q863" t="str">
            <v>แผ่นรองและสายรัดเป็นสนิม</v>
          </cell>
        </row>
        <row r="864">
          <cell r="A864">
            <v>50138862</v>
          </cell>
          <cell r="B864">
            <v>863</v>
          </cell>
          <cell r="C864" t="str">
            <v>CF01/1</v>
          </cell>
          <cell r="D864" t="str">
            <v>SPCEN-SD</v>
          </cell>
          <cell r="E864" t="str">
            <v>AF3</v>
          </cell>
          <cell r="F864">
            <v>1</v>
          </cell>
          <cell r="G864">
            <v>420</v>
          </cell>
          <cell r="H864">
            <v>480</v>
          </cell>
          <cell r="I864" t="str">
            <v>A</v>
          </cell>
          <cell r="K864">
            <v>125</v>
          </cell>
          <cell r="L864">
            <v>198</v>
          </cell>
          <cell r="M864">
            <v>50138862</v>
          </cell>
          <cell r="N864">
            <v>38932</v>
          </cell>
          <cell r="P864" t="str">
            <v>FN6803D3R263601</v>
          </cell>
          <cell r="Q864" t="str">
            <v>แผ่นรองและสายรัดเป็นสนิม</v>
          </cell>
        </row>
        <row r="865">
          <cell r="A865">
            <v>50120574</v>
          </cell>
          <cell r="B865">
            <v>864</v>
          </cell>
          <cell r="C865" t="str">
            <v>CF01/1</v>
          </cell>
          <cell r="D865" t="str">
            <v>SPCEN-SD</v>
          </cell>
          <cell r="E865" t="str">
            <v>AF3</v>
          </cell>
          <cell r="F865">
            <v>1</v>
          </cell>
          <cell r="G865">
            <v>430</v>
          </cell>
          <cell r="H865">
            <v>460</v>
          </cell>
          <cell r="I865" t="str">
            <v>A</v>
          </cell>
          <cell r="K865">
            <v>252</v>
          </cell>
          <cell r="L865">
            <v>391</v>
          </cell>
          <cell r="M865">
            <v>50120574</v>
          </cell>
          <cell r="N865">
            <v>38781</v>
          </cell>
          <cell r="P865" t="str">
            <v>FN6305N3M804901</v>
          </cell>
          <cell r="Q865" t="str">
            <v>แผ่นรองและสายรัดเป็นสนิม</v>
          </cell>
        </row>
        <row r="866">
          <cell r="A866">
            <v>50140469</v>
          </cell>
          <cell r="B866">
            <v>865</v>
          </cell>
          <cell r="C866" t="str">
            <v>CF01/1</v>
          </cell>
          <cell r="D866" t="str">
            <v>SPCEN-SD</v>
          </cell>
          <cell r="E866" t="str">
            <v>AF3</v>
          </cell>
          <cell r="F866">
            <v>1</v>
          </cell>
          <cell r="G866">
            <v>460</v>
          </cell>
          <cell r="H866">
            <v>910</v>
          </cell>
          <cell r="I866" t="str">
            <v>A</v>
          </cell>
          <cell r="K866">
            <v>43</v>
          </cell>
          <cell r="L866">
            <v>141</v>
          </cell>
          <cell r="M866">
            <v>50140469</v>
          </cell>
          <cell r="N866">
            <v>38949</v>
          </cell>
          <cell r="P866" t="str">
            <v>FN6820N3M305701</v>
          </cell>
          <cell r="Q866" t="str">
            <v>สภาพปกติ</v>
          </cell>
        </row>
        <row r="867">
          <cell r="A867">
            <v>50123975</v>
          </cell>
          <cell r="B867">
            <v>866</v>
          </cell>
          <cell r="C867" t="str">
            <v>CF01/1</v>
          </cell>
          <cell r="D867" t="str">
            <v>SPCEN-SD</v>
          </cell>
          <cell r="E867" t="str">
            <v>AF3</v>
          </cell>
          <cell r="F867">
            <v>1</v>
          </cell>
          <cell r="G867">
            <v>510</v>
          </cell>
          <cell r="H867">
            <v>525</v>
          </cell>
          <cell r="I867" t="str">
            <v>A</v>
          </cell>
          <cell r="K867">
            <v>243</v>
          </cell>
          <cell r="L867">
            <v>116</v>
          </cell>
          <cell r="M867">
            <v>50123975</v>
          </cell>
          <cell r="N867">
            <v>38800</v>
          </cell>
          <cell r="P867" t="str">
            <v>FN6324D2R864601</v>
          </cell>
          <cell r="Q867" t="str">
            <v>แผ่นรองและสายรัดเป็นสนิม</v>
          </cell>
        </row>
        <row r="868">
          <cell r="A868">
            <v>50063073</v>
          </cell>
          <cell r="B868">
            <v>867</v>
          </cell>
          <cell r="C868" t="str">
            <v>CF01/1</v>
          </cell>
          <cell r="D868" t="str">
            <v>SPCEN-SD</v>
          </cell>
          <cell r="E868" t="str">
            <v>AF3</v>
          </cell>
          <cell r="F868">
            <v>1</v>
          </cell>
          <cell r="G868">
            <v>520</v>
          </cell>
          <cell r="H868">
            <v>740</v>
          </cell>
          <cell r="I868" t="str">
            <v>A</v>
          </cell>
          <cell r="K868">
            <v>30</v>
          </cell>
          <cell r="L868">
            <v>90</v>
          </cell>
          <cell r="M868">
            <v>50063073</v>
          </cell>
          <cell r="N868">
            <v>38324</v>
          </cell>
          <cell r="P868" t="str">
            <v>FN4C03D1M530801</v>
          </cell>
          <cell r="Q868" t="str">
            <v>แผ่นรองและสายรัดเป็นสนิม</v>
          </cell>
        </row>
        <row r="869">
          <cell r="A869">
            <v>50134319</v>
          </cell>
          <cell r="B869">
            <v>868</v>
          </cell>
          <cell r="C869" t="str">
            <v>CF01/1</v>
          </cell>
          <cell r="D869" t="str">
            <v>SPCEN-SD</v>
          </cell>
          <cell r="E869" t="str">
            <v>AF3</v>
          </cell>
          <cell r="F869">
            <v>1</v>
          </cell>
          <cell r="G869">
            <v>550</v>
          </cell>
          <cell r="H869">
            <v>560</v>
          </cell>
          <cell r="I869" t="str">
            <v>A</v>
          </cell>
          <cell r="K869">
            <v>212</v>
          </cell>
          <cell r="L869">
            <v>513</v>
          </cell>
          <cell r="M869">
            <v>50134319</v>
          </cell>
          <cell r="N869">
            <v>38892</v>
          </cell>
          <cell r="P869" t="str">
            <v>IN6624D1R133001</v>
          </cell>
          <cell r="Q869" t="str">
            <v>แผ่นรองและสายรัดเป็นสนิม</v>
          </cell>
        </row>
        <row r="870">
          <cell r="A870">
            <v>50139670</v>
          </cell>
          <cell r="B870">
            <v>869</v>
          </cell>
          <cell r="C870" t="str">
            <v>CF01/1</v>
          </cell>
          <cell r="D870" t="str">
            <v>SPCEN-SD</v>
          </cell>
          <cell r="E870" t="str">
            <v>AF3</v>
          </cell>
          <cell r="F870">
            <v>1</v>
          </cell>
          <cell r="G870">
            <v>550</v>
          </cell>
          <cell r="H870">
            <v>560</v>
          </cell>
          <cell r="I870" t="str">
            <v>A</v>
          </cell>
          <cell r="K870">
            <v>11</v>
          </cell>
          <cell r="L870">
            <v>27</v>
          </cell>
          <cell r="M870">
            <v>50139670</v>
          </cell>
          <cell r="N870">
            <v>38939</v>
          </cell>
          <cell r="P870" t="str">
            <v>IN6810D3R285902</v>
          </cell>
          <cell r="Q870" t="str">
            <v>แผ่นรองและสายรัดเป็นสนิม</v>
          </cell>
        </row>
        <row r="871">
          <cell r="A871">
            <v>50132598</v>
          </cell>
          <cell r="B871">
            <v>870</v>
          </cell>
          <cell r="C871" t="str">
            <v>CF01/1</v>
          </cell>
          <cell r="D871" t="str">
            <v>SPCEN-SD</v>
          </cell>
          <cell r="E871" t="str">
            <v>AF3</v>
          </cell>
          <cell r="F871">
            <v>1.2</v>
          </cell>
          <cell r="G871">
            <v>120</v>
          </cell>
          <cell r="H871">
            <v>132</v>
          </cell>
          <cell r="I871" t="str">
            <v>A</v>
          </cell>
          <cell r="K871">
            <v>1330</v>
          </cell>
          <cell r="L871">
            <v>199</v>
          </cell>
          <cell r="M871">
            <v>50132598</v>
          </cell>
          <cell r="N871">
            <v>38879</v>
          </cell>
          <cell r="P871" t="str">
            <v>FN6611N1M081301</v>
          </cell>
          <cell r="Q871" t="str">
            <v>แผ่นรองและสายรัดเป็นสนิม</v>
          </cell>
        </row>
        <row r="872">
          <cell r="A872">
            <v>50085875</v>
          </cell>
          <cell r="B872">
            <v>871</v>
          </cell>
          <cell r="C872" t="str">
            <v>CF01/1</v>
          </cell>
          <cell r="D872" t="str">
            <v>SPCEN-SD</v>
          </cell>
          <cell r="E872" t="str">
            <v>AF3</v>
          </cell>
          <cell r="F872">
            <v>1.2</v>
          </cell>
          <cell r="G872">
            <v>345</v>
          </cell>
          <cell r="H872">
            <v>384</v>
          </cell>
          <cell r="I872" t="str">
            <v>A</v>
          </cell>
          <cell r="K872">
            <v>50</v>
          </cell>
          <cell r="L872">
            <v>62</v>
          </cell>
          <cell r="M872">
            <v>50085875</v>
          </cell>
          <cell r="N872">
            <v>38506</v>
          </cell>
          <cell r="P872" t="str">
            <v>IN5603N2M020301</v>
          </cell>
          <cell r="Q872" t="str">
            <v>แผ่นรองและสายรัดเป็นสนิม</v>
          </cell>
        </row>
        <row r="873">
          <cell r="A873">
            <v>50135926</v>
          </cell>
          <cell r="B873">
            <v>872</v>
          </cell>
          <cell r="C873" t="str">
            <v>CF01/1</v>
          </cell>
          <cell r="D873" t="str">
            <v>SPCEN-SD</v>
          </cell>
          <cell r="E873" t="str">
            <v>AF3</v>
          </cell>
          <cell r="F873">
            <v>1.2</v>
          </cell>
          <cell r="G873">
            <v>352</v>
          </cell>
          <cell r="H873">
            <v>556</v>
          </cell>
          <cell r="I873" t="str">
            <v>A</v>
          </cell>
          <cell r="K873">
            <v>69</v>
          </cell>
          <cell r="L873">
            <v>127</v>
          </cell>
          <cell r="M873">
            <v>50135926</v>
          </cell>
          <cell r="N873">
            <v>38905</v>
          </cell>
          <cell r="P873" t="str">
            <v>IN6707D2R174701</v>
          </cell>
          <cell r="Q873" t="str">
            <v>แผ่นรองและสายรัดเป็นสนิม</v>
          </cell>
        </row>
        <row r="874">
          <cell r="A874">
            <v>50126052</v>
          </cell>
          <cell r="B874">
            <v>873</v>
          </cell>
          <cell r="C874" t="str">
            <v>CF01/1</v>
          </cell>
          <cell r="D874" t="str">
            <v>SPCEN-SD</v>
          </cell>
          <cell r="E874" t="str">
            <v>AF3</v>
          </cell>
          <cell r="F874">
            <v>1.2</v>
          </cell>
          <cell r="G874">
            <v>425</v>
          </cell>
          <cell r="H874">
            <v>465</v>
          </cell>
          <cell r="I874" t="str">
            <v>A</v>
          </cell>
          <cell r="K874">
            <v>70</v>
          </cell>
          <cell r="L874">
            <v>130</v>
          </cell>
          <cell r="M874">
            <v>50126052</v>
          </cell>
          <cell r="N874">
            <v>38822</v>
          </cell>
          <cell r="P874" t="str">
            <v>IN6415D3M928001</v>
          </cell>
          <cell r="Q874" t="str">
            <v>แผ่นรองและสายรัดเป็นสนิม</v>
          </cell>
        </row>
        <row r="875">
          <cell r="A875">
            <v>50139283</v>
          </cell>
          <cell r="B875">
            <v>874</v>
          </cell>
          <cell r="C875" t="str">
            <v>CF01/1</v>
          </cell>
          <cell r="D875" t="str">
            <v>SPCEN-SD</v>
          </cell>
          <cell r="E875" t="str">
            <v>AF3</v>
          </cell>
          <cell r="F875">
            <v>1.2</v>
          </cell>
          <cell r="G875">
            <v>465</v>
          </cell>
          <cell r="H875">
            <v>580</v>
          </cell>
          <cell r="I875" t="str">
            <v>A</v>
          </cell>
          <cell r="K875">
            <v>60</v>
          </cell>
          <cell r="L875">
            <v>150</v>
          </cell>
          <cell r="M875">
            <v>50139283</v>
          </cell>
          <cell r="N875">
            <v>38934</v>
          </cell>
          <cell r="P875" t="str">
            <v>FN6805D1M268601</v>
          </cell>
          <cell r="Q875" t="str">
            <v>สภาพปกติ</v>
          </cell>
        </row>
        <row r="876">
          <cell r="A876">
            <v>50134999</v>
          </cell>
          <cell r="B876">
            <v>875</v>
          </cell>
          <cell r="C876" t="str">
            <v>CF01/1</v>
          </cell>
          <cell r="D876" t="str">
            <v>SPCEN-SD</v>
          </cell>
          <cell r="E876" t="str">
            <v>AF3</v>
          </cell>
          <cell r="F876">
            <v>1.2</v>
          </cell>
          <cell r="G876">
            <v>530</v>
          </cell>
          <cell r="H876">
            <v>775</v>
          </cell>
          <cell r="I876" t="str">
            <v>A</v>
          </cell>
          <cell r="K876">
            <v>55</v>
          </cell>
          <cell r="L876">
            <v>213</v>
          </cell>
          <cell r="M876">
            <v>50134999</v>
          </cell>
          <cell r="N876">
            <v>38898</v>
          </cell>
          <cell r="P876" t="str">
            <v>IN6630D3M155101</v>
          </cell>
          <cell r="Q876" t="str">
            <v>แผ่นรองและสายรัดเป็นสนิม</v>
          </cell>
        </row>
        <row r="877">
          <cell r="A877">
            <v>50139204</v>
          </cell>
          <cell r="B877">
            <v>876</v>
          </cell>
          <cell r="C877" t="str">
            <v>CF01/1</v>
          </cell>
          <cell r="D877" t="str">
            <v>SPCEN-SD</v>
          </cell>
          <cell r="E877" t="str">
            <v>AF3</v>
          </cell>
          <cell r="F877">
            <v>1.2</v>
          </cell>
          <cell r="G877">
            <v>530</v>
          </cell>
          <cell r="H877">
            <v>775</v>
          </cell>
          <cell r="I877" t="str">
            <v>A</v>
          </cell>
          <cell r="K877">
            <v>31</v>
          </cell>
          <cell r="L877">
            <v>120</v>
          </cell>
          <cell r="M877">
            <v>50139204</v>
          </cell>
          <cell r="N877">
            <v>38933</v>
          </cell>
          <cell r="P877" t="str">
            <v>IN6804D3R262502</v>
          </cell>
          <cell r="Q877" t="str">
            <v>แผ่นรองและสายรัดเป็นสนิม</v>
          </cell>
        </row>
        <row r="878">
          <cell r="A878">
            <v>50089194</v>
          </cell>
          <cell r="B878">
            <v>877</v>
          </cell>
          <cell r="C878" t="str">
            <v>CF01/1</v>
          </cell>
          <cell r="D878" t="str">
            <v>SPCEN-SD</v>
          </cell>
          <cell r="E878" t="str">
            <v>AF3</v>
          </cell>
          <cell r="F878">
            <v>1.6</v>
          </cell>
          <cell r="G878">
            <v>130</v>
          </cell>
          <cell r="H878">
            <v>130</v>
          </cell>
          <cell r="I878" t="str">
            <v>A</v>
          </cell>
          <cell r="K878">
            <v>636</v>
          </cell>
          <cell r="L878">
            <v>134</v>
          </cell>
          <cell r="M878">
            <v>50089194</v>
          </cell>
          <cell r="N878">
            <v>38534</v>
          </cell>
          <cell r="P878" t="str">
            <v>IN5701D2RBBBB01</v>
          </cell>
          <cell r="Q878" t="str">
            <v>แผ่นรองและสายรัดเป็นสนิม</v>
          </cell>
        </row>
        <row r="879">
          <cell r="A879">
            <v>50122099</v>
          </cell>
          <cell r="B879">
            <v>878</v>
          </cell>
          <cell r="C879" t="str">
            <v>CF01/1</v>
          </cell>
          <cell r="D879" t="str">
            <v>SPCEN-SD</v>
          </cell>
          <cell r="E879" t="str">
            <v>AF3</v>
          </cell>
          <cell r="F879">
            <v>1.6</v>
          </cell>
          <cell r="G879">
            <v>215</v>
          </cell>
          <cell r="H879">
            <v>555</v>
          </cell>
          <cell r="I879" t="str">
            <v>A</v>
          </cell>
          <cell r="K879">
            <v>90</v>
          </cell>
          <cell r="L879">
            <v>135</v>
          </cell>
          <cell r="M879">
            <v>50122099</v>
          </cell>
          <cell r="N879">
            <v>38790</v>
          </cell>
          <cell r="P879" t="str">
            <v>IN6314D1RSSSS01</v>
          </cell>
          <cell r="Q879" t="str">
            <v>แผ่นรองและสายรัดเป็นสนิม</v>
          </cell>
        </row>
        <row r="880">
          <cell r="A880">
            <v>50140499</v>
          </cell>
          <cell r="B880">
            <v>879</v>
          </cell>
          <cell r="C880" t="str">
            <v>CF01/1</v>
          </cell>
          <cell r="D880" t="str">
            <v>SPCEN-SD</v>
          </cell>
          <cell r="E880" t="str">
            <v>AF3</v>
          </cell>
          <cell r="F880">
            <v>1.6</v>
          </cell>
          <cell r="G880">
            <v>215</v>
          </cell>
          <cell r="H880">
            <v>555</v>
          </cell>
          <cell r="I880" t="str">
            <v>A</v>
          </cell>
          <cell r="K880">
            <v>57</v>
          </cell>
          <cell r="L880">
            <v>85</v>
          </cell>
          <cell r="M880">
            <v>50140499</v>
          </cell>
          <cell r="N880">
            <v>38950</v>
          </cell>
          <cell r="P880" t="str">
            <v>IN6821D1R306302</v>
          </cell>
          <cell r="Q880" t="str">
            <v>แผ่นรองและสายรัดเป็นสนิม</v>
          </cell>
        </row>
        <row r="881">
          <cell r="A881">
            <v>50140505</v>
          </cell>
          <cell r="B881">
            <v>880</v>
          </cell>
          <cell r="C881" t="str">
            <v>CF01/1</v>
          </cell>
          <cell r="D881" t="str">
            <v>SPCEN-SD</v>
          </cell>
          <cell r="E881" t="str">
            <v>AF3</v>
          </cell>
          <cell r="F881">
            <v>1.6</v>
          </cell>
          <cell r="G881">
            <v>215</v>
          </cell>
          <cell r="H881">
            <v>555</v>
          </cell>
          <cell r="I881" t="str">
            <v>A</v>
          </cell>
          <cell r="K881">
            <v>200</v>
          </cell>
          <cell r="L881">
            <v>300</v>
          </cell>
          <cell r="M881">
            <v>50140505</v>
          </cell>
          <cell r="N881">
            <v>38950</v>
          </cell>
          <cell r="P881" t="str">
            <v>IN6821D1M306203</v>
          </cell>
          <cell r="Q881" t="str">
            <v>แผ่นรองและสายรัดเป็นสนิม</v>
          </cell>
        </row>
        <row r="882">
          <cell r="A882">
            <v>50136962</v>
          </cell>
          <cell r="B882">
            <v>881</v>
          </cell>
          <cell r="C882" t="str">
            <v>CF01/1</v>
          </cell>
          <cell r="D882" t="str">
            <v>SPCEN-SD</v>
          </cell>
          <cell r="E882" t="str">
            <v>AF3</v>
          </cell>
          <cell r="F882">
            <v>1.6</v>
          </cell>
          <cell r="G882">
            <v>230</v>
          </cell>
          <cell r="H882">
            <v>320</v>
          </cell>
          <cell r="I882" t="str">
            <v>A</v>
          </cell>
          <cell r="K882">
            <v>159</v>
          </cell>
          <cell r="L882">
            <v>146</v>
          </cell>
          <cell r="M882">
            <v>50136962</v>
          </cell>
          <cell r="N882">
            <v>38916</v>
          </cell>
          <cell r="P882" t="str">
            <v>FN6718D2M211101</v>
          </cell>
          <cell r="Q882" t="str">
            <v>แผ่นรองและสายรัดเป็นสนิม</v>
          </cell>
        </row>
        <row r="883">
          <cell r="A883">
            <v>50089530</v>
          </cell>
          <cell r="B883">
            <v>882</v>
          </cell>
          <cell r="C883" t="str">
            <v>CF01/1</v>
          </cell>
          <cell r="D883" t="str">
            <v>SPCEN-SD</v>
          </cell>
          <cell r="E883" t="str">
            <v>AF3</v>
          </cell>
          <cell r="F883">
            <v>1.6</v>
          </cell>
          <cell r="G883">
            <v>440</v>
          </cell>
          <cell r="H883">
            <v>440</v>
          </cell>
          <cell r="I883" t="str">
            <v>A</v>
          </cell>
          <cell r="K883">
            <v>54</v>
          </cell>
          <cell r="L883">
            <v>131</v>
          </cell>
          <cell r="M883">
            <v>50089530</v>
          </cell>
          <cell r="N883">
            <v>38538</v>
          </cell>
          <cell r="P883" t="str">
            <v>IN5705N1M096402</v>
          </cell>
          <cell r="Q883" t="str">
            <v>แผ่นรองและสายรัดเป็นสนิม</v>
          </cell>
        </row>
        <row r="884">
          <cell r="A884">
            <v>50139672</v>
          </cell>
          <cell r="B884">
            <v>883</v>
          </cell>
          <cell r="C884" t="str">
            <v>CF01/1</v>
          </cell>
          <cell r="D884" t="str">
            <v>SPCEN-SD</v>
          </cell>
          <cell r="E884" t="str">
            <v>AF3</v>
          </cell>
          <cell r="F884">
            <v>1.6</v>
          </cell>
          <cell r="G884">
            <v>440</v>
          </cell>
          <cell r="H884">
            <v>440</v>
          </cell>
          <cell r="I884" t="str">
            <v>A</v>
          </cell>
          <cell r="K884">
            <v>16</v>
          </cell>
          <cell r="L884">
            <v>39</v>
          </cell>
          <cell r="M884">
            <v>50139672</v>
          </cell>
          <cell r="N884">
            <v>38939</v>
          </cell>
          <cell r="P884" t="str">
            <v>FN6810D1R288403</v>
          </cell>
          <cell r="Q884" t="str">
            <v>แผ่นรองและสายรัดเป็นสนิม</v>
          </cell>
        </row>
        <row r="885">
          <cell r="A885">
            <v>50115695</v>
          </cell>
          <cell r="B885">
            <v>884</v>
          </cell>
          <cell r="C885" t="str">
            <v>CF01/1</v>
          </cell>
          <cell r="D885" t="str">
            <v>SPCEN-SD</v>
          </cell>
          <cell r="E885" t="str">
            <v>AF3</v>
          </cell>
          <cell r="F885">
            <v>1.6</v>
          </cell>
          <cell r="G885">
            <v>585</v>
          </cell>
          <cell r="H885">
            <v>585</v>
          </cell>
          <cell r="I885" t="str">
            <v>A</v>
          </cell>
          <cell r="K885">
            <v>68</v>
          </cell>
          <cell r="L885">
            <v>292</v>
          </cell>
          <cell r="M885">
            <v>50115695</v>
          </cell>
          <cell r="N885">
            <v>38747</v>
          </cell>
          <cell r="P885" t="str">
            <v>IN6130D3M685901</v>
          </cell>
          <cell r="Q885" t="str">
            <v>แผ่นรองและสายรัดเป็นสนิม</v>
          </cell>
        </row>
        <row r="886">
          <cell r="A886">
            <v>50125374</v>
          </cell>
          <cell r="B886">
            <v>885</v>
          </cell>
          <cell r="C886" t="str">
            <v>CF01/1</v>
          </cell>
          <cell r="D886" t="str">
            <v>SPCEN-SD</v>
          </cell>
          <cell r="E886" t="str">
            <v>AF3</v>
          </cell>
          <cell r="F886">
            <v>1.6</v>
          </cell>
          <cell r="G886">
            <v>585</v>
          </cell>
          <cell r="H886">
            <v>585</v>
          </cell>
          <cell r="I886" t="str">
            <v>A</v>
          </cell>
          <cell r="K886">
            <v>30</v>
          </cell>
          <cell r="L886">
            <v>130</v>
          </cell>
          <cell r="M886">
            <v>50125374</v>
          </cell>
          <cell r="N886">
            <v>38810</v>
          </cell>
          <cell r="P886" t="str">
            <v>FN6403D1M872402</v>
          </cell>
          <cell r="Q886" t="str">
            <v>แผ่นรองและสายรัดเป็นสนิม</v>
          </cell>
        </row>
        <row r="887">
          <cell r="A887">
            <v>50137619</v>
          </cell>
          <cell r="B887">
            <v>886</v>
          </cell>
          <cell r="C887" t="str">
            <v>CF01/1</v>
          </cell>
          <cell r="D887" t="str">
            <v>SPCEN-SD</v>
          </cell>
          <cell r="E887" t="str">
            <v>AF3</v>
          </cell>
          <cell r="F887">
            <v>2</v>
          </cell>
          <cell r="G887">
            <v>105</v>
          </cell>
          <cell r="H887">
            <v>810</v>
          </cell>
          <cell r="I887" t="str">
            <v>A</v>
          </cell>
          <cell r="K887">
            <v>60</v>
          </cell>
          <cell r="L887">
            <v>80</v>
          </cell>
          <cell r="M887">
            <v>50137619</v>
          </cell>
          <cell r="N887">
            <v>38922</v>
          </cell>
          <cell r="P887" t="str">
            <v>FN6724N1M228401</v>
          </cell>
          <cell r="Q887" t="str">
            <v>สภาพปกติ</v>
          </cell>
        </row>
        <row r="888">
          <cell r="A888">
            <v>50113071</v>
          </cell>
          <cell r="B888">
            <v>887</v>
          </cell>
          <cell r="C888" t="str">
            <v>CF01/1</v>
          </cell>
          <cell r="D888" t="str">
            <v>SPHC P/O</v>
          </cell>
          <cell r="E888" t="str">
            <v>CA1</v>
          </cell>
          <cell r="F888">
            <v>1.2</v>
          </cell>
          <cell r="G888">
            <v>305</v>
          </cell>
          <cell r="H888">
            <v>510</v>
          </cell>
          <cell r="I888" t="str">
            <v>A</v>
          </cell>
          <cell r="K888">
            <v>150</v>
          </cell>
          <cell r="L888">
            <v>220</v>
          </cell>
          <cell r="M888">
            <v>50113071</v>
          </cell>
          <cell r="N888">
            <v>38726</v>
          </cell>
          <cell r="P888" t="str">
            <v>IN6109D1R999901</v>
          </cell>
          <cell r="Q888" t="str">
            <v>แผ่นรองและสายรัดเป็นสนิม</v>
          </cell>
        </row>
        <row r="889">
          <cell r="A889">
            <v>50132931</v>
          </cell>
          <cell r="B889">
            <v>888</v>
          </cell>
          <cell r="C889" t="str">
            <v>CF01/1</v>
          </cell>
          <cell r="D889" t="str">
            <v>SPHC P/O</v>
          </cell>
          <cell r="E889" t="str">
            <v>CA1</v>
          </cell>
          <cell r="F889">
            <v>1.2</v>
          </cell>
          <cell r="G889">
            <v>305</v>
          </cell>
          <cell r="H889">
            <v>510</v>
          </cell>
          <cell r="I889" t="str">
            <v>A</v>
          </cell>
          <cell r="K889">
            <v>180</v>
          </cell>
          <cell r="L889">
            <v>265</v>
          </cell>
          <cell r="M889">
            <v>50132931</v>
          </cell>
          <cell r="N889">
            <v>38881</v>
          </cell>
          <cell r="P889" t="str">
            <v>IN6613N3M098002</v>
          </cell>
          <cell r="Q889" t="str">
            <v>แผ่นรองและสายรัดเป็นสนิม</v>
          </cell>
        </row>
        <row r="890">
          <cell r="A890">
            <v>50136408</v>
          </cell>
          <cell r="B890">
            <v>889</v>
          </cell>
          <cell r="C890" t="str">
            <v>CF01/1</v>
          </cell>
          <cell r="D890" t="str">
            <v>SPHC P/O</v>
          </cell>
          <cell r="E890" t="str">
            <v>CA1</v>
          </cell>
          <cell r="F890">
            <v>1.2</v>
          </cell>
          <cell r="G890">
            <v>305</v>
          </cell>
          <cell r="H890">
            <v>510</v>
          </cell>
          <cell r="I890" t="str">
            <v>A</v>
          </cell>
          <cell r="K890">
            <v>40</v>
          </cell>
          <cell r="L890">
            <v>59</v>
          </cell>
          <cell r="M890">
            <v>50136408</v>
          </cell>
          <cell r="N890">
            <v>38910</v>
          </cell>
          <cell r="P890" t="str">
            <v>IN6712N3M190703</v>
          </cell>
          <cell r="Q890" t="str">
            <v>แผ่นรองและสายรัดเป็นสนิม</v>
          </cell>
        </row>
        <row r="891">
          <cell r="A891">
            <v>50139882</v>
          </cell>
          <cell r="B891">
            <v>890</v>
          </cell>
          <cell r="C891" t="str">
            <v>CF01/1</v>
          </cell>
          <cell r="D891" t="str">
            <v>SPHC P/O</v>
          </cell>
          <cell r="E891" t="str">
            <v>CA1</v>
          </cell>
          <cell r="F891">
            <v>1.2</v>
          </cell>
          <cell r="G891">
            <v>305</v>
          </cell>
          <cell r="H891">
            <v>510</v>
          </cell>
          <cell r="I891" t="str">
            <v>A</v>
          </cell>
          <cell r="K891">
            <v>100</v>
          </cell>
          <cell r="L891">
            <v>147</v>
          </cell>
          <cell r="M891">
            <v>50139882</v>
          </cell>
          <cell r="N891">
            <v>38943</v>
          </cell>
          <cell r="P891" t="str">
            <v>IN6814D2M286604</v>
          </cell>
          <cell r="Q891" t="str">
            <v>แผ่นรองและสายรัดเป็นสนิม</v>
          </cell>
        </row>
        <row r="892">
          <cell r="A892">
            <v>50074702</v>
          </cell>
          <cell r="B892">
            <v>891</v>
          </cell>
          <cell r="C892" t="str">
            <v>CF01/1</v>
          </cell>
          <cell r="D892" t="str">
            <v>SPHC P/O</v>
          </cell>
          <cell r="E892" t="str">
            <v>CA1</v>
          </cell>
          <cell r="F892">
            <v>1.6</v>
          </cell>
          <cell r="G892">
            <v>45</v>
          </cell>
          <cell r="H892">
            <v>1219</v>
          </cell>
          <cell r="I892" t="str">
            <v>A</v>
          </cell>
          <cell r="K892">
            <v>26</v>
          </cell>
          <cell r="L892">
            <v>18</v>
          </cell>
          <cell r="M892">
            <v>50074702</v>
          </cell>
          <cell r="N892">
            <v>38426</v>
          </cell>
          <cell r="P892" t="str">
            <v>IN5315D1RSSSS01</v>
          </cell>
          <cell r="Q892" t="str">
            <v>แผ่นรองและสายรัดเป็นสนิม</v>
          </cell>
        </row>
        <row r="893">
          <cell r="A893">
            <v>50112907</v>
          </cell>
          <cell r="B893">
            <v>892</v>
          </cell>
          <cell r="C893" t="str">
            <v>CF01/1</v>
          </cell>
          <cell r="D893" t="str">
            <v>SPHC P/O</v>
          </cell>
          <cell r="E893" t="str">
            <v>CA1</v>
          </cell>
          <cell r="F893">
            <v>1.6</v>
          </cell>
          <cell r="G893">
            <v>75</v>
          </cell>
          <cell r="H893">
            <v>1219</v>
          </cell>
          <cell r="I893" t="str">
            <v>A</v>
          </cell>
          <cell r="K893">
            <v>57</v>
          </cell>
          <cell r="L893">
            <v>65</v>
          </cell>
          <cell r="M893">
            <v>50112907</v>
          </cell>
          <cell r="N893">
            <v>38724</v>
          </cell>
          <cell r="P893" t="str">
            <v>IN6107D1R304901</v>
          </cell>
          <cell r="Q893" t="str">
            <v>แผ่นรองและสายรัดเป็นสนิม</v>
          </cell>
        </row>
        <row r="894">
          <cell r="A894">
            <v>50138586</v>
          </cell>
          <cell r="B894">
            <v>893</v>
          </cell>
          <cell r="C894" t="str">
            <v>CF01/1</v>
          </cell>
          <cell r="D894" t="str">
            <v>SPHC P/O</v>
          </cell>
          <cell r="E894" t="str">
            <v>CA1</v>
          </cell>
          <cell r="F894">
            <v>1.6</v>
          </cell>
          <cell r="G894">
            <v>280</v>
          </cell>
          <cell r="H894">
            <v>325</v>
          </cell>
          <cell r="I894" t="str">
            <v>A</v>
          </cell>
          <cell r="K894">
            <v>230</v>
          </cell>
          <cell r="L894">
            <v>262</v>
          </cell>
          <cell r="M894">
            <v>50138586</v>
          </cell>
          <cell r="N894">
            <v>38930</v>
          </cell>
          <cell r="P894" t="str">
            <v>IN6801D1M255801</v>
          </cell>
          <cell r="Q894" t="str">
            <v>แผ่นรองและสายรัดเป็นสนิม</v>
          </cell>
        </row>
        <row r="895">
          <cell r="A895">
            <v>50101011</v>
          </cell>
          <cell r="B895">
            <v>894</v>
          </cell>
          <cell r="C895" t="str">
            <v>CF01/1</v>
          </cell>
          <cell r="D895" t="str">
            <v>SPHC P/O</v>
          </cell>
          <cell r="E895" t="str">
            <v>CA1</v>
          </cell>
          <cell r="F895">
            <v>1.8</v>
          </cell>
          <cell r="G895">
            <v>185</v>
          </cell>
          <cell r="H895">
            <v>1219</v>
          </cell>
          <cell r="I895" t="str">
            <v>A</v>
          </cell>
          <cell r="K895">
            <v>25</v>
          </cell>
          <cell r="L895">
            <v>80</v>
          </cell>
          <cell r="M895">
            <v>50101011</v>
          </cell>
          <cell r="N895">
            <v>38635</v>
          </cell>
          <cell r="P895" t="str">
            <v>IN5A10D2M358601</v>
          </cell>
          <cell r="Q895" t="str">
            <v>แผ่นรองและสายรัดเป็นสนิม</v>
          </cell>
        </row>
        <row r="896">
          <cell r="A896">
            <v>50067000</v>
          </cell>
          <cell r="B896">
            <v>895</v>
          </cell>
          <cell r="C896" t="str">
            <v>CF01/1</v>
          </cell>
          <cell r="D896" t="str">
            <v>SPHC P/O</v>
          </cell>
          <cell r="E896" t="str">
            <v>CA1</v>
          </cell>
          <cell r="F896">
            <v>2</v>
          </cell>
          <cell r="G896">
            <v>48</v>
          </cell>
          <cell r="H896">
            <v>1219</v>
          </cell>
          <cell r="I896" t="str">
            <v>A</v>
          </cell>
          <cell r="K896">
            <v>30</v>
          </cell>
          <cell r="L896">
            <v>28</v>
          </cell>
          <cell r="M896">
            <v>50067000</v>
          </cell>
          <cell r="N896">
            <v>38364</v>
          </cell>
          <cell r="P896" t="str">
            <v>IN5112N1RSSSS01</v>
          </cell>
          <cell r="Q896" t="str">
            <v>แผ่นรองและสายรัดเป็นสนิม</v>
          </cell>
        </row>
        <row r="897">
          <cell r="A897">
            <v>50126424</v>
          </cell>
          <cell r="B897">
            <v>896</v>
          </cell>
          <cell r="C897" t="str">
            <v>CF01/1</v>
          </cell>
          <cell r="D897" t="str">
            <v>SPHC P/O</v>
          </cell>
          <cell r="E897" t="str">
            <v>CA1</v>
          </cell>
          <cell r="F897">
            <v>2</v>
          </cell>
          <cell r="G897">
            <v>95</v>
          </cell>
          <cell r="H897">
            <v>1219</v>
          </cell>
          <cell r="I897" t="str">
            <v>A</v>
          </cell>
          <cell r="K897">
            <v>250</v>
          </cell>
          <cell r="L897">
            <v>455</v>
          </cell>
          <cell r="M897">
            <v>50126424</v>
          </cell>
          <cell r="N897">
            <v>38831</v>
          </cell>
          <cell r="P897" t="str">
            <v>IN6424D3R936401</v>
          </cell>
          <cell r="Q897" t="str">
            <v>แผ่นรองและสายรัดเป็นสนิม</v>
          </cell>
        </row>
        <row r="898">
          <cell r="A898">
            <v>50129091</v>
          </cell>
          <cell r="B898">
            <v>897</v>
          </cell>
          <cell r="C898" t="str">
            <v>CF01/1</v>
          </cell>
          <cell r="D898" t="str">
            <v>SPHC P/O</v>
          </cell>
          <cell r="E898" t="str">
            <v>CA1</v>
          </cell>
          <cell r="F898">
            <v>2</v>
          </cell>
          <cell r="G898">
            <v>110</v>
          </cell>
          <cell r="H898">
            <v>115</v>
          </cell>
          <cell r="I898" t="str">
            <v>A</v>
          </cell>
          <cell r="K898">
            <v>250</v>
          </cell>
          <cell r="L898">
            <v>50</v>
          </cell>
          <cell r="M898">
            <v>50129091</v>
          </cell>
          <cell r="N898">
            <v>38852</v>
          </cell>
          <cell r="P898" t="str">
            <v>IN6515D1M002401</v>
          </cell>
          <cell r="Q898" t="str">
            <v>แผ่นรองและสายรัดเป็นสนิม</v>
          </cell>
        </row>
        <row r="899">
          <cell r="A899">
            <v>50059638</v>
          </cell>
          <cell r="B899">
            <v>898</v>
          </cell>
          <cell r="C899" t="str">
            <v>CF01/1</v>
          </cell>
          <cell r="D899" t="str">
            <v>SPHC P/O</v>
          </cell>
          <cell r="E899" t="str">
            <v>CA1</v>
          </cell>
          <cell r="F899">
            <v>2</v>
          </cell>
          <cell r="G899">
            <v>335</v>
          </cell>
          <cell r="H899">
            <v>730</v>
          </cell>
          <cell r="I899" t="str">
            <v>A</v>
          </cell>
          <cell r="K899">
            <v>54</v>
          </cell>
          <cell r="L899">
            <v>206</v>
          </cell>
          <cell r="M899">
            <v>50059638</v>
          </cell>
          <cell r="N899">
            <v>38293</v>
          </cell>
          <cell r="O899" t="str">
            <v>134A25SSD003</v>
          </cell>
          <cell r="P899" t="str">
            <v>IN4B02D1M443101</v>
          </cell>
          <cell r="Q899" t="str">
            <v>แผ่นรองและสายรัดเป็นสนิม</v>
          </cell>
        </row>
        <row r="900">
          <cell r="A900">
            <v>50112235</v>
          </cell>
          <cell r="B900">
            <v>899</v>
          </cell>
          <cell r="C900" t="str">
            <v>CF01/1</v>
          </cell>
          <cell r="D900" t="str">
            <v>SPHC P/O</v>
          </cell>
          <cell r="E900" t="str">
            <v>CA1</v>
          </cell>
          <cell r="F900">
            <v>2.2999999999999998</v>
          </cell>
          <cell r="G900">
            <v>116</v>
          </cell>
          <cell r="H900">
            <v>820</v>
          </cell>
          <cell r="I900" t="str">
            <v>A</v>
          </cell>
          <cell r="K900">
            <v>45</v>
          </cell>
          <cell r="L900">
            <v>73</v>
          </cell>
          <cell r="M900">
            <v>50112235</v>
          </cell>
          <cell r="N900">
            <v>39078</v>
          </cell>
          <cell r="P900" t="str">
            <v>IN6C27D1M602301</v>
          </cell>
          <cell r="Q900" t="str">
            <v>แผ่นรองและสายรัดเป็นสนิม</v>
          </cell>
        </row>
        <row r="901">
          <cell r="A901">
            <v>50115577</v>
          </cell>
          <cell r="B901">
            <v>900</v>
          </cell>
          <cell r="C901" t="str">
            <v>CF01/1</v>
          </cell>
          <cell r="D901" t="str">
            <v>SPHC P/O</v>
          </cell>
          <cell r="E901" t="str">
            <v>CA1</v>
          </cell>
          <cell r="F901">
            <v>2.2999999999999998</v>
          </cell>
          <cell r="G901">
            <v>116</v>
          </cell>
          <cell r="H901">
            <v>820</v>
          </cell>
          <cell r="I901" t="str">
            <v>A</v>
          </cell>
          <cell r="K901">
            <v>125</v>
          </cell>
          <cell r="L901">
            <v>213</v>
          </cell>
          <cell r="M901">
            <v>50115577</v>
          </cell>
          <cell r="N901">
            <v>38745</v>
          </cell>
          <cell r="P901" t="str">
            <v>FN6128D2M680201</v>
          </cell>
          <cell r="Q901" t="str">
            <v>แผ่นรองและสายรัดเป็นสนิม</v>
          </cell>
        </row>
        <row r="902">
          <cell r="A902">
            <v>50067222</v>
          </cell>
          <cell r="B902">
            <v>901</v>
          </cell>
          <cell r="C902" t="str">
            <v>CF01/1</v>
          </cell>
          <cell r="D902" t="str">
            <v>SPHC P/O</v>
          </cell>
          <cell r="E902" t="str">
            <v>CA1</v>
          </cell>
          <cell r="F902">
            <v>2.2999999999999998</v>
          </cell>
          <cell r="G902">
            <v>129</v>
          </cell>
          <cell r="H902">
            <v>1219</v>
          </cell>
          <cell r="I902" t="str">
            <v>A</v>
          </cell>
          <cell r="K902">
            <v>20</v>
          </cell>
          <cell r="L902">
            <v>54</v>
          </cell>
          <cell r="M902">
            <v>50067222</v>
          </cell>
          <cell r="N902">
            <v>38366</v>
          </cell>
          <cell r="P902" t="str">
            <v>IN5114D1RSSSS01</v>
          </cell>
          <cell r="Q902" t="str">
            <v>แผ่นรองและสายรัดเป็นสนิม</v>
          </cell>
        </row>
        <row r="903">
          <cell r="A903">
            <v>50132657</v>
          </cell>
          <cell r="B903">
            <v>902</v>
          </cell>
          <cell r="C903" t="str">
            <v>CF01/1</v>
          </cell>
          <cell r="D903" t="str">
            <v>SPHC P/O</v>
          </cell>
          <cell r="E903" t="str">
            <v>CA1</v>
          </cell>
          <cell r="F903">
            <v>2.6</v>
          </cell>
          <cell r="G903">
            <v>63</v>
          </cell>
          <cell r="H903">
            <v>320</v>
          </cell>
          <cell r="I903" t="str">
            <v>A</v>
          </cell>
          <cell r="K903">
            <v>100</v>
          </cell>
          <cell r="L903">
            <v>41</v>
          </cell>
          <cell r="M903">
            <v>50132657</v>
          </cell>
          <cell r="N903">
            <v>38878</v>
          </cell>
          <cell r="P903" t="str">
            <v>FN6610D2M093601</v>
          </cell>
          <cell r="Q903" t="str">
            <v>แผ่นรองและสายรัดเป็นสนิม</v>
          </cell>
        </row>
        <row r="904">
          <cell r="A904">
            <v>50082802</v>
          </cell>
          <cell r="B904">
            <v>903</v>
          </cell>
          <cell r="C904" t="str">
            <v>CF01/1</v>
          </cell>
          <cell r="D904" t="str">
            <v>SPHC P/O</v>
          </cell>
          <cell r="E904" t="str">
            <v>CA1</v>
          </cell>
          <cell r="F904">
            <v>2.6</v>
          </cell>
          <cell r="G904">
            <v>190</v>
          </cell>
          <cell r="H904">
            <v>1219</v>
          </cell>
          <cell r="I904" t="str">
            <v>A</v>
          </cell>
          <cell r="K904">
            <v>10</v>
          </cell>
          <cell r="L904">
            <v>47</v>
          </cell>
          <cell r="M904">
            <v>50082802</v>
          </cell>
          <cell r="N904">
            <v>38484</v>
          </cell>
          <cell r="P904" t="str">
            <v>IN5512N1D947401</v>
          </cell>
          <cell r="Q904" t="str">
            <v>แผ่นรองและสายรัดเป็นสนิม</v>
          </cell>
        </row>
        <row r="905">
          <cell r="A905">
            <v>50137916</v>
          </cell>
          <cell r="B905">
            <v>904</v>
          </cell>
          <cell r="C905" t="str">
            <v>CF01/1</v>
          </cell>
          <cell r="D905" t="str">
            <v>SPHC P/O</v>
          </cell>
          <cell r="E905" t="str">
            <v>CA1</v>
          </cell>
          <cell r="F905">
            <v>2.6</v>
          </cell>
          <cell r="G905">
            <v>64.8</v>
          </cell>
          <cell r="H905">
            <v>468</v>
          </cell>
          <cell r="I905" t="str">
            <v>A</v>
          </cell>
          <cell r="K905">
            <v>185</v>
          </cell>
          <cell r="L905">
            <v>112</v>
          </cell>
          <cell r="M905">
            <v>50137916</v>
          </cell>
          <cell r="N905">
            <v>38924</v>
          </cell>
          <cell r="P905" t="str">
            <v>FN6726D1M235201</v>
          </cell>
          <cell r="Q905" t="str">
            <v>แผ่นรองและสายรัดเป็นสนิม</v>
          </cell>
        </row>
        <row r="906">
          <cell r="A906">
            <v>50072416</v>
          </cell>
          <cell r="B906">
            <v>905</v>
          </cell>
          <cell r="C906" t="str">
            <v>CF01/1</v>
          </cell>
          <cell r="D906" t="str">
            <v>SPHC P/O</v>
          </cell>
          <cell r="E906" t="str">
            <v>CA1</v>
          </cell>
          <cell r="F906">
            <v>3.2</v>
          </cell>
          <cell r="G906">
            <v>90</v>
          </cell>
          <cell r="H906">
            <v>1219</v>
          </cell>
          <cell r="I906" t="str">
            <v>A</v>
          </cell>
          <cell r="K906">
            <v>38</v>
          </cell>
          <cell r="L906">
            <v>103</v>
          </cell>
          <cell r="M906">
            <v>50072416</v>
          </cell>
          <cell r="N906">
            <v>38407</v>
          </cell>
          <cell r="P906" t="str">
            <v>IN5224D1RSSSS01</v>
          </cell>
          <cell r="Q906" t="str">
            <v>แผ่นรองและสายรัดเป็นสนิม</v>
          </cell>
        </row>
        <row r="907">
          <cell r="A907">
            <v>50101066</v>
          </cell>
          <cell r="B907">
            <v>906</v>
          </cell>
          <cell r="C907" t="str">
            <v>CF01/1</v>
          </cell>
          <cell r="D907" t="str">
            <v>SPHC P/O</v>
          </cell>
          <cell r="E907" t="str">
            <v>CA1</v>
          </cell>
          <cell r="F907">
            <v>3.2</v>
          </cell>
          <cell r="G907">
            <v>110</v>
          </cell>
          <cell r="H907">
            <v>1219</v>
          </cell>
          <cell r="I907" t="str">
            <v>A</v>
          </cell>
          <cell r="K907">
            <v>44</v>
          </cell>
          <cell r="L907">
            <v>148</v>
          </cell>
          <cell r="M907">
            <v>50101066</v>
          </cell>
          <cell r="N907">
            <v>38620</v>
          </cell>
          <cell r="P907" t="str">
            <v>IN5925D1R299401</v>
          </cell>
          <cell r="Q907" t="str">
            <v>แผ่นรองและสายรัดเป็นสนิม</v>
          </cell>
        </row>
        <row r="908">
          <cell r="A908">
            <v>50129531</v>
          </cell>
          <cell r="B908">
            <v>907</v>
          </cell>
          <cell r="C908" t="str">
            <v>CF01/1</v>
          </cell>
          <cell r="D908" t="str">
            <v>SPHC P/O</v>
          </cell>
          <cell r="E908" t="str">
            <v>CA1</v>
          </cell>
          <cell r="F908">
            <v>3.2</v>
          </cell>
          <cell r="G908">
            <v>117</v>
          </cell>
          <cell r="H908">
            <v>1219</v>
          </cell>
          <cell r="I908" t="str">
            <v>A</v>
          </cell>
          <cell r="K908">
            <v>150</v>
          </cell>
          <cell r="L908">
            <v>537</v>
          </cell>
          <cell r="M908">
            <v>50129531</v>
          </cell>
          <cell r="N908">
            <v>38855</v>
          </cell>
          <cell r="P908" t="str">
            <v>IN6518D3RQQQQ01</v>
          </cell>
          <cell r="Q908" t="str">
            <v>แผ่นรองและสายรัดเป็นสนิม</v>
          </cell>
        </row>
        <row r="909">
          <cell r="A909">
            <v>50100083</v>
          </cell>
          <cell r="B909">
            <v>908</v>
          </cell>
          <cell r="C909" t="str">
            <v>CF01/1</v>
          </cell>
          <cell r="D909" t="str">
            <v>SPHC P/O</v>
          </cell>
          <cell r="E909" t="str">
            <v>CA1</v>
          </cell>
          <cell r="F909">
            <v>3.2</v>
          </cell>
          <cell r="G909">
            <v>150</v>
          </cell>
          <cell r="H909">
            <v>1219</v>
          </cell>
          <cell r="I909" t="str">
            <v>A</v>
          </cell>
          <cell r="K909">
            <v>200</v>
          </cell>
          <cell r="L909">
            <v>919</v>
          </cell>
          <cell r="M909">
            <v>50100083</v>
          </cell>
          <cell r="N909">
            <v>38620</v>
          </cell>
          <cell r="P909" t="str">
            <v>IN5925D1R299001</v>
          </cell>
          <cell r="Q909" t="str">
            <v>แผ่นรองและสายรัดเป็นสนิม</v>
          </cell>
        </row>
        <row r="910">
          <cell r="A910">
            <v>50100085</v>
          </cell>
          <cell r="B910">
            <v>909</v>
          </cell>
          <cell r="C910" t="str">
            <v>CF01/1</v>
          </cell>
          <cell r="D910" t="str">
            <v>SPHC P/O</v>
          </cell>
          <cell r="E910" t="str">
            <v>CA1</v>
          </cell>
          <cell r="F910">
            <v>3.2</v>
          </cell>
          <cell r="G910">
            <v>150</v>
          </cell>
          <cell r="H910">
            <v>1219</v>
          </cell>
          <cell r="I910" t="str">
            <v>A</v>
          </cell>
          <cell r="K910">
            <v>200</v>
          </cell>
          <cell r="L910">
            <v>919</v>
          </cell>
          <cell r="M910">
            <v>50100085</v>
          </cell>
          <cell r="N910">
            <v>38620</v>
          </cell>
          <cell r="P910" t="str">
            <v>IN5925D1R299002</v>
          </cell>
          <cell r="Q910" t="str">
            <v>แผ่นรองและสายรัดเป็นสนิม</v>
          </cell>
        </row>
        <row r="911">
          <cell r="A911">
            <v>50100086</v>
          </cell>
          <cell r="B911">
            <v>910</v>
          </cell>
          <cell r="C911" t="str">
            <v>CF01/1</v>
          </cell>
          <cell r="D911" t="str">
            <v>SPHC P/O</v>
          </cell>
          <cell r="E911" t="str">
            <v>CA1</v>
          </cell>
          <cell r="F911">
            <v>3.2</v>
          </cell>
          <cell r="G911">
            <v>150</v>
          </cell>
          <cell r="H911">
            <v>1219</v>
          </cell>
          <cell r="I911" t="str">
            <v>A</v>
          </cell>
          <cell r="K911">
            <v>200</v>
          </cell>
          <cell r="L911">
            <v>919</v>
          </cell>
          <cell r="M911">
            <v>50100086</v>
          </cell>
          <cell r="N911">
            <v>38620</v>
          </cell>
          <cell r="P911" t="str">
            <v>IN5925D1R299003</v>
          </cell>
          <cell r="Q911" t="str">
            <v>แผ่นรองและสายรัดเป็นสนิม</v>
          </cell>
        </row>
        <row r="912">
          <cell r="A912">
            <v>50100087</v>
          </cell>
          <cell r="B912">
            <v>911</v>
          </cell>
          <cell r="C912" t="str">
            <v>CF01/1</v>
          </cell>
          <cell r="D912" t="str">
            <v>SPHC P/O</v>
          </cell>
          <cell r="E912" t="str">
            <v>CA1</v>
          </cell>
          <cell r="F912">
            <v>3.2</v>
          </cell>
          <cell r="G912">
            <v>150</v>
          </cell>
          <cell r="H912">
            <v>1219</v>
          </cell>
          <cell r="I912" t="str">
            <v>A</v>
          </cell>
          <cell r="K912">
            <v>196</v>
          </cell>
          <cell r="L912">
            <v>900</v>
          </cell>
          <cell r="M912">
            <v>50100087</v>
          </cell>
          <cell r="N912">
            <v>38620</v>
          </cell>
          <cell r="P912" t="str">
            <v>IN5925D1R299004</v>
          </cell>
          <cell r="Q912" t="str">
            <v>แผ่นรองและสายรัดเป็นสนิม</v>
          </cell>
        </row>
        <row r="913">
          <cell r="A913">
            <v>50141061</v>
          </cell>
          <cell r="B913">
            <v>912</v>
          </cell>
          <cell r="C913" t="str">
            <v>CF01/1</v>
          </cell>
          <cell r="D913" t="str">
            <v>SPHC P/O</v>
          </cell>
          <cell r="E913" t="str">
            <v>CA1</v>
          </cell>
          <cell r="F913">
            <v>3.2</v>
          </cell>
          <cell r="G913">
            <v>168</v>
          </cell>
          <cell r="H913">
            <v>1130</v>
          </cell>
          <cell r="I913" t="str">
            <v>A</v>
          </cell>
          <cell r="K913">
            <v>139</v>
          </cell>
          <cell r="L913">
            <v>663</v>
          </cell>
          <cell r="M913">
            <v>50141061</v>
          </cell>
          <cell r="N913">
            <v>38946</v>
          </cell>
          <cell r="P913" t="str">
            <v>IN6817D2M300401</v>
          </cell>
          <cell r="Q913" t="str">
            <v>สภาพปกติ</v>
          </cell>
        </row>
        <row r="914">
          <cell r="A914">
            <v>50101065</v>
          </cell>
          <cell r="B914">
            <v>913</v>
          </cell>
          <cell r="C914" t="str">
            <v>CF01/1</v>
          </cell>
          <cell r="D914" t="str">
            <v>SPHC P/O</v>
          </cell>
          <cell r="E914" t="str">
            <v>CA1</v>
          </cell>
          <cell r="F914">
            <v>4</v>
          </cell>
          <cell r="G914">
            <v>160</v>
          </cell>
          <cell r="H914">
            <v>1219</v>
          </cell>
          <cell r="I914" t="str">
            <v>A</v>
          </cell>
          <cell r="K914">
            <v>22</v>
          </cell>
          <cell r="L914">
            <v>135</v>
          </cell>
          <cell r="M914">
            <v>50101065</v>
          </cell>
          <cell r="N914">
            <v>38620</v>
          </cell>
          <cell r="P914" t="str">
            <v>IN5925D1R299301</v>
          </cell>
          <cell r="Q914" t="str">
            <v>แผ่นรองและสายรัดเป็นสนิม</v>
          </cell>
        </row>
        <row r="915">
          <cell r="A915">
            <v>50066114</v>
          </cell>
          <cell r="B915">
            <v>914</v>
          </cell>
          <cell r="C915" t="str">
            <v>CF01/1</v>
          </cell>
          <cell r="D915" t="str">
            <v>SPHC P/O</v>
          </cell>
          <cell r="E915" t="str">
            <v>CA1</v>
          </cell>
          <cell r="F915">
            <v>4</v>
          </cell>
          <cell r="G915">
            <v>171</v>
          </cell>
          <cell r="H915">
            <v>1219</v>
          </cell>
          <cell r="I915" t="str">
            <v>A</v>
          </cell>
          <cell r="K915">
            <v>75</v>
          </cell>
          <cell r="L915">
            <v>490</v>
          </cell>
          <cell r="M915">
            <v>50066114</v>
          </cell>
          <cell r="N915">
            <v>38360</v>
          </cell>
          <cell r="P915" t="str">
            <v>IN5108D2L608501</v>
          </cell>
          <cell r="Q915" t="str">
            <v>แผ่นรองและสายรัดเป็นสนิม</v>
          </cell>
        </row>
        <row r="916">
          <cell r="A916">
            <v>50066115</v>
          </cell>
          <cell r="B916">
            <v>915</v>
          </cell>
          <cell r="C916" t="str">
            <v>CF01/1</v>
          </cell>
          <cell r="D916" t="str">
            <v>SPHC P/O</v>
          </cell>
          <cell r="E916" t="str">
            <v>CA1</v>
          </cell>
          <cell r="F916">
            <v>4</v>
          </cell>
          <cell r="G916">
            <v>171</v>
          </cell>
          <cell r="H916">
            <v>1219</v>
          </cell>
          <cell r="I916" t="str">
            <v>A</v>
          </cell>
          <cell r="K916">
            <v>75</v>
          </cell>
          <cell r="L916">
            <v>490</v>
          </cell>
          <cell r="M916">
            <v>50066115</v>
          </cell>
          <cell r="N916">
            <v>38360</v>
          </cell>
          <cell r="P916" t="str">
            <v>IN5108D2L608502</v>
          </cell>
          <cell r="Q916" t="str">
            <v>แผ่นรองและสายรัดเป็นสนิม</v>
          </cell>
        </row>
        <row r="917">
          <cell r="A917">
            <v>50139289</v>
          </cell>
          <cell r="B917">
            <v>916</v>
          </cell>
          <cell r="C917" t="str">
            <v>CF01/1</v>
          </cell>
          <cell r="D917" t="str">
            <v>SPHC P/O</v>
          </cell>
          <cell r="E917" t="str">
            <v>CA1</v>
          </cell>
          <cell r="F917">
            <v>4</v>
          </cell>
          <cell r="G917">
            <v>190</v>
          </cell>
          <cell r="H917">
            <v>235</v>
          </cell>
          <cell r="I917" t="str">
            <v>A</v>
          </cell>
          <cell r="K917">
            <v>50</v>
          </cell>
          <cell r="L917">
            <v>70</v>
          </cell>
          <cell r="M917">
            <v>50139289</v>
          </cell>
          <cell r="N917">
            <v>38934</v>
          </cell>
          <cell r="P917" t="str">
            <v>IN6805D2M266701</v>
          </cell>
          <cell r="Q917" t="str">
            <v>สภาพปกติ</v>
          </cell>
        </row>
        <row r="918">
          <cell r="A918">
            <v>50136602</v>
          </cell>
          <cell r="B918">
            <v>917</v>
          </cell>
          <cell r="C918" t="str">
            <v>CF01/1</v>
          </cell>
          <cell r="D918" t="str">
            <v>SPHC P/O</v>
          </cell>
          <cell r="E918" t="str">
            <v>CA1</v>
          </cell>
          <cell r="F918">
            <v>4</v>
          </cell>
          <cell r="G918">
            <v>218</v>
          </cell>
          <cell r="H918">
            <v>632</v>
          </cell>
          <cell r="I918" t="str">
            <v>A</v>
          </cell>
          <cell r="K918">
            <v>29</v>
          </cell>
          <cell r="L918">
            <v>126</v>
          </cell>
          <cell r="M918">
            <v>50136602</v>
          </cell>
          <cell r="N918">
            <v>38912</v>
          </cell>
          <cell r="P918" t="str">
            <v>FN6714D2M197601</v>
          </cell>
          <cell r="Q918" t="str">
            <v>สภาพปกติ</v>
          </cell>
        </row>
        <row r="919">
          <cell r="A919">
            <v>50128029</v>
          </cell>
          <cell r="B919">
            <v>918</v>
          </cell>
          <cell r="C919" t="str">
            <v>CF01/1</v>
          </cell>
          <cell r="D919" t="str">
            <v>SPHC P/O</v>
          </cell>
          <cell r="E919" t="str">
            <v>CA1</v>
          </cell>
          <cell r="F919">
            <v>4</v>
          </cell>
          <cell r="G919">
            <v>300</v>
          </cell>
          <cell r="H919">
            <v>300</v>
          </cell>
          <cell r="I919" t="str">
            <v>A</v>
          </cell>
          <cell r="K919">
            <v>120</v>
          </cell>
          <cell r="L919">
            <v>338</v>
          </cell>
          <cell r="M919">
            <v>50128029</v>
          </cell>
          <cell r="N919">
            <v>38840</v>
          </cell>
          <cell r="P919" t="str">
            <v>IN6503N2M980701</v>
          </cell>
          <cell r="Q919" t="str">
            <v>แผ่นรองและสายรัดเป็นสนิม</v>
          </cell>
        </row>
        <row r="920">
          <cell r="A920">
            <v>50101101</v>
          </cell>
          <cell r="B920">
            <v>919</v>
          </cell>
          <cell r="C920" t="str">
            <v>CF01/1</v>
          </cell>
          <cell r="D920" t="str">
            <v>SPHC P/O</v>
          </cell>
          <cell r="E920" t="str">
            <v>CA1</v>
          </cell>
          <cell r="F920">
            <v>4.5</v>
          </cell>
          <cell r="G920">
            <v>64</v>
          </cell>
          <cell r="H920">
            <v>1219</v>
          </cell>
          <cell r="I920" t="str">
            <v>A</v>
          </cell>
          <cell r="K920">
            <v>224</v>
          </cell>
          <cell r="L920">
            <v>616</v>
          </cell>
          <cell r="M920">
            <v>50101101</v>
          </cell>
          <cell r="N920">
            <v>38620</v>
          </cell>
          <cell r="P920" t="str">
            <v>IN5925D1R299501</v>
          </cell>
          <cell r="Q920" t="str">
            <v>แผ่นรองและสายรัดเป็นสนิม</v>
          </cell>
        </row>
        <row r="921">
          <cell r="A921">
            <v>50099919</v>
          </cell>
          <cell r="B921">
            <v>920</v>
          </cell>
          <cell r="C921" t="str">
            <v>CF01/1</v>
          </cell>
          <cell r="D921" t="str">
            <v>SS400 P/O</v>
          </cell>
          <cell r="E921" t="str">
            <v>CA1</v>
          </cell>
          <cell r="F921">
            <v>4.5</v>
          </cell>
          <cell r="G921">
            <v>65</v>
          </cell>
          <cell r="H921">
            <v>1219</v>
          </cell>
          <cell r="I921" t="str">
            <v>A</v>
          </cell>
          <cell r="K921">
            <v>60</v>
          </cell>
          <cell r="L921">
            <v>168</v>
          </cell>
          <cell r="M921">
            <v>50099919</v>
          </cell>
          <cell r="N921">
            <v>38620</v>
          </cell>
          <cell r="P921" t="str">
            <v>IN5925D1R299601</v>
          </cell>
          <cell r="Q921" t="str">
            <v>แผ่นรองและสายรัดเป็นสนิม</v>
          </cell>
        </row>
        <row r="922">
          <cell r="A922">
            <v>50140377</v>
          </cell>
          <cell r="B922">
            <v>921</v>
          </cell>
          <cell r="C922" t="str">
            <v>CF01/1</v>
          </cell>
          <cell r="D922" t="str">
            <v>SPHC P/O</v>
          </cell>
          <cell r="E922" t="str">
            <v>CA1</v>
          </cell>
          <cell r="F922">
            <v>4.5</v>
          </cell>
          <cell r="G922">
            <v>116</v>
          </cell>
          <cell r="H922">
            <v>503</v>
          </cell>
          <cell r="I922" t="str">
            <v>A</v>
          </cell>
          <cell r="K922">
            <v>17</v>
          </cell>
          <cell r="L922">
            <v>35</v>
          </cell>
          <cell r="M922">
            <v>50140377</v>
          </cell>
          <cell r="N922">
            <v>38948</v>
          </cell>
          <cell r="P922" t="str">
            <v>FN6819D2M299401</v>
          </cell>
          <cell r="Q922" t="str">
            <v>สภาพปกติ</v>
          </cell>
        </row>
        <row r="923">
          <cell r="A923">
            <v>50109468</v>
          </cell>
          <cell r="B923">
            <v>922</v>
          </cell>
          <cell r="C923" t="str">
            <v>CF01/1</v>
          </cell>
          <cell r="D923" t="str">
            <v>SPHC P/O</v>
          </cell>
          <cell r="E923" t="str">
            <v>CA1</v>
          </cell>
          <cell r="F923">
            <v>4.5</v>
          </cell>
          <cell r="G923">
            <v>130</v>
          </cell>
          <cell r="H923">
            <v>1219</v>
          </cell>
          <cell r="I923" t="str">
            <v>A</v>
          </cell>
          <cell r="K923">
            <v>105</v>
          </cell>
          <cell r="L923">
            <v>588</v>
          </cell>
          <cell r="M923">
            <v>50109468</v>
          </cell>
          <cell r="N923">
            <v>38695</v>
          </cell>
          <cell r="P923" t="str">
            <v>IN5C09D1D559501</v>
          </cell>
          <cell r="Q923" t="str">
            <v>แผ่นรองและสายรัดเป็นสนิม</v>
          </cell>
        </row>
        <row r="924">
          <cell r="A924">
            <v>50138026</v>
          </cell>
          <cell r="B924">
            <v>923</v>
          </cell>
          <cell r="C924" t="str">
            <v>CF01/1</v>
          </cell>
          <cell r="D924" t="str">
            <v>SPHC P/O</v>
          </cell>
          <cell r="E924" t="str">
            <v>CA1</v>
          </cell>
          <cell r="F924">
            <v>6</v>
          </cell>
          <cell r="G924">
            <v>95</v>
          </cell>
          <cell r="H924">
            <v>380</v>
          </cell>
          <cell r="I924" t="str">
            <v>A</v>
          </cell>
          <cell r="K924">
            <v>40</v>
          </cell>
          <cell r="L924">
            <v>68</v>
          </cell>
          <cell r="M924">
            <v>50138026</v>
          </cell>
          <cell r="N924">
            <v>38925</v>
          </cell>
          <cell r="P924" t="str">
            <v>IN6727D2M239501</v>
          </cell>
          <cell r="Q924" t="str">
            <v>แผ่นรองและสายรัดเป็นสนิม</v>
          </cell>
        </row>
        <row r="925">
          <cell r="A925">
            <v>50100163</v>
          </cell>
          <cell r="B925">
            <v>924</v>
          </cell>
          <cell r="C925" t="str">
            <v>CF01/1</v>
          </cell>
          <cell r="D925" t="str">
            <v>SPHC P/O</v>
          </cell>
          <cell r="E925" t="str">
            <v>CA1</v>
          </cell>
          <cell r="F925">
            <v>6</v>
          </cell>
          <cell r="G925">
            <v>160</v>
          </cell>
          <cell r="H925">
            <v>1219</v>
          </cell>
          <cell r="I925" t="str">
            <v>A</v>
          </cell>
          <cell r="K925">
            <v>16</v>
          </cell>
          <cell r="L925">
            <v>147</v>
          </cell>
          <cell r="M925">
            <v>50100163</v>
          </cell>
          <cell r="N925">
            <v>38620</v>
          </cell>
          <cell r="O925" t="str">
            <v>135406JFI001</v>
          </cell>
          <cell r="P925" t="str">
            <v>IN5925D1R301601</v>
          </cell>
          <cell r="Q925" t="str">
            <v>แผ่นรองและสายรัดเป็นสนิม</v>
          </cell>
        </row>
        <row r="926">
          <cell r="A926">
            <v>50130142</v>
          </cell>
          <cell r="B926">
            <v>925</v>
          </cell>
          <cell r="C926" t="str">
            <v>CF01/1</v>
          </cell>
          <cell r="D926" t="str">
            <v>SPHC P/O</v>
          </cell>
          <cell r="E926" t="str">
            <v>CA1</v>
          </cell>
          <cell r="F926">
            <v>6</v>
          </cell>
          <cell r="G926">
            <v>160</v>
          </cell>
          <cell r="H926">
            <v>1219</v>
          </cell>
          <cell r="I926" t="str">
            <v>A</v>
          </cell>
          <cell r="K926">
            <v>20</v>
          </cell>
          <cell r="L926">
            <v>184</v>
          </cell>
          <cell r="M926">
            <v>50130142</v>
          </cell>
          <cell r="N926">
            <v>38861</v>
          </cell>
          <cell r="O926" t="str">
            <v>135406JFI001</v>
          </cell>
          <cell r="P926" t="str">
            <v>IN6524D1R034702</v>
          </cell>
          <cell r="Q926" t="str">
            <v>แผ่นรองและสายรัดเป็นสนิม</v>
          </cell>
        </row>
        <row r="927">
          <cell r="A927">
            <v>50140147</v>
          </cell>
          <cell r="B927">
            <v>926</v>
          </cell>
          <cell r="C927" t="str">
            <v>CF01/1</v>
          </cell>
          <cell r="D927" t="str">
            <v>SAPH440 P/O</v>
          </cell>
          <cell r="E927" t="str">
            <v>CA5</v>
          </cell>
          <cell r="F927">
            <v>2</v>
          </cell>
          <cell r="G927">
            <v>205</v>
          </cell>
          <cell r="H927">
            <v>420</v>
          </cell>
          <cell r="I927" t="str">
            <v>A</v>
          </cell>
          <cell r="K927">
            <v>31</v>
          </cell>
          <cell r="L927">
            <v>40</v>
          </cell>
          <cell r="M927">
            <v>50140147</v>
          </cell>
          <cell r="N927">
            <v>38946</v>
          </cell>
          <cell r="P927" t="str">
            <v>FN6817D1R297401</v>
          </cell>
          <cell r="Q927" t="str">
            <v>สภาพปกติ</v>
          </cell>
        </row>
        <row r="928">
          <cell r="A928">
            <v>50141044</v>
          </cell>
          <cell r="B928">
            <v>927</v>
          </cell>
          <cell r="C928" t="str">
            <v>CF01/1</v>
          </cell>
          <cell r="D928" t="str">
            <v>SAPH440 P/O</v>
          </cell>
          <cell r="E928" t="str">
            <v>CA5</v>
          </cell>
          <cell r="F928">
            <v>2</v>
          </cell>
          <cell r="G928">
            <v>205</v>
          </cell>
          <cell r="H928">
            <v>420</v>
          </cell>
          <cell r="I928" t="str">
            <v>A</v>
          </cell>
          <cell r="K928">
            <v>90</v>
          </cell>
          <cell r="L928">
            <v>121</v>
          </cell>
          <cell r="M928">
            <v>50141044</v>
          </cell>
          <cell r="N928">
            <v>38954</v>
          </cell>
          <cell r="P928" t="str">
            <v>FN6825D1R328302</v>
          </cell>
          <cell r="Q928" t="str">
            <v>สภาพปกติ</v>
          </cell>
        </row>
        <row r="929">
          <cell r="A929">
            <v>50141307</v>
          </cell>
          <cell r="B929">
            <v>928</v>
          </cell>
          <cell r="C929" t="str">
            <v>CF01/1</v>
          </cell>
          <cell r="D929" t="str">
            <v>SAPH440 P/O</v>
          </cell>
          <cell r="E929" t="str">
            <v>CA5</v>
          </cell>
          <cell r="F929">
            <v>2</v>
          </cell>
          <cell r="G929">
            <v>205</v>
          </cell>
          <cell r="H929">
            <v>420</v>
          </cell>
          <cell r="I929" t="str">
            <v>A</v>
          </cell>
          <cell r="K929">
            <v>82</v>
          </cell>
          <cell r="L929">
            <v>109</v>
          </cell>
          <cell r="M929">
            <v>50141307</v>
          </cell>
          <cell r="N929">
            <v>38964</v>
          </cell>
          <cell r="P929" t="str">
            <v>IN6904D2M328703</v>
          </cell>
          <cell r="Q929" t="str">
            <v>สภาพปกติ</v>
          </cell>
        </row>
        <row r="930">
          <cell r="A930">
            <v>50126425</v>
          </cell>
          <cell r="B930">
            <v>929</v>
          </cell>
          <cell r="C930" t="str">
            <v>CF01/1</v>
          </cell>
          <cell r="D930" t="str">
            <v>SAPH440 P/O</v>
          </cell>
          <cell r="E930" t="str">
            <v>CA5</v>
          </cell>
          <cell r="F930">
            <v>2.6</v>
          </cell>
          <cell r="G930">
            <v>56</v>
          </cell>
          <cell r="H930">
            <v>1219</v>
          </cell>
          <cell r="I930" t="str">
            <v>A</v>
          </cell>
          <cell r="K930">
            <v>200</v>
          </cell>
          <cell r="L930">
            <v>277</v>
          </cell>
          <cell r="M930">
            <v>50126425</v>
          </cell>
          <cell r="N930">
            <v>38831</v>
          </cell>
          <cell r="P930" t="str">
            <v>IN6424D3R936401</v>
          </cell>
          <cell r="Q930" t="str">
            <v>แผ่นรองและสายรัดเป็นสนิม</v>
          </cell>
        </row>
        <row r="931">
          <cell r="A931">
            <v>50089148</v>
          </cell>
          <cell r="B931">
            <v>930</v>
          </cell>
          <cell r="C931" t="str">
            <v>CF01/1</v>
          </cell>
          <cell r="D931" t="str">
            <v>SAPH440 P/O</v>
          </cell>
          <cell r="E931" t="str">
            <v>CA5</v>
          </cell>
          <cell r="F931">
            <v>3</v>
          </cell>
          <cell r="G931">
            <v>416</v>
          </cell>
          <cell r="H931">
            <v>1219</v>
          </cell>
          <cell r="I931" t="str">
            <v>A</v>
          </cell>
          <cell r="K931">
            <v>8</v>
          </cell>
          <cell r="L931">
            <v>96</v>
          </cell>
          <cell r="M931">
            <v>50089148</v>
          </cell>
          <cell r="N931">
            <v>38534</v>
          </cell>
          <cell r="P931" t="str">
            <v>IN5701N2M914801</v>
          </cell>
          <cell r="Q931" t="str">
            <v>แผ่นรองและสายรัดเป็นสนิม</v>
          </cell>
        </row>
        <row r="932">
          <cell r="A932">
            <v>50126428</v>
          </cell>
          <cell r="B932">
            <v>931</v>
          </cell>
          <cell r="C932" t="str">
            <v>CF01/1</v>
          </cell>
          <cell r="D932" t="str">
            <v>SAPH440 P/O</v>
          </cell>
          <cell r="E932" t="str">
            <v>CA5</v>
          </cell>
          <cell r="F932">
            <v>3.2</v>
          </cell>
          <cell r="G932">
            <v>200</v>
          </cell>
          <cell r="H932">
            <v>1219</v>
          </cell>
          <cell r="I932" t="str">
            <v>A</v>
          </cell>
          <cell r="K932">
            <v>164</v>
          </cell>
          <cell r="L932">
            <v>1016</v>
          </cell>
          <cell r="M932">
            <v>50126428</v>
          </cell>
          <cell r="N932">
            <v>38831</v>
          </cell>
          <cell r="P932" t="str">
            <v>IN6424D3R936401</v>
          </cell>
          <cell r="Q932" t="str">
            <v>แผ่นรองและสายรัดเป็นสนิม</v>
          </cell>
        </row>
        <row r="933">
          <cell r="A933">
            <v>50126325</v>
          </cell>
          <cell r="B933">
            <v>932</v>
          </cell>
          <cell r="C933" t="str">
            <v>CF01/1</v>
          </cell>
          <cell r="D933" t="str">
            <v>SAPH440 P/O</v>
          </cell>
          <cell r="E933" t="str">
            <v>CA5</v>
          </cell>
          <cell r="F933">
            <v>4.5</v>
          </cell>
          <cell r="G933">
            <v>178</v>
          </cell>
          <cell r="H933">
            <v>1219</v>
          </cell>
          <cell r="I933" t="str">
            <v>A</v>
          </cell>
          <cell r="K933">
            <v>37</v>
          </cell>
          <cell r="L933">
            <v>291</v>
          </cell>
          <cell r="M933">
            <v>50126325</v>
          </cell>
          <cell r="N933">
            <v>38810</v>
          </cell>
          <cell r="P933" t="str">
            <v>IN6403D3R912701</v>
          </cell>
          <cell r="Q933" t="str">
            <v>แผ่นรองและสายรัดเป็นสนิม</v>
          </cell>
        </row>
        <row r="934">
          <cell r="A934">
            <v>50126326</v>
          </cell>
          <cell r="B934">
            <v>933</v>
          </cell>
          <cell r="C934" t="str">
            <v>CF01/1</v>
          </cell>
          <cell r="D934" t="str">
            <v>SAPH440 P/O</v>
          </cell>
          <cell r="E934" t="str">
            <v>CA5</v>
          </cell>
          <cell r="F934">
            <v>4.5</v>
          </cell>
          <cell r="G934">
            <v>178</v>
          </cell>
          <cell r="H934">
            <v>1219</v>
          </cell>
          <cell r="I934" t="str">
            <v>A</v>
          </cell>
          <cell r="K934">
            <v>100</v>
          </cell>
          <cell r="L934">
            <v>767</v>
          </cell>
          <cell r="M934">
            <v>50126326</v>
          </cell>
          <cell r="N934">
            <v>38810</v>
          </cell>
          <cell r="P934" t="str">
            <v>IN6403D3R912702</v>
          </cell>
          <cell r="Q934" t="str">
            <v>แผ่นรองและสายรัดเป็นสนิม</v>
          </cell>
        </row>
        <row r="935">
          <cell r="A935">
            <v>50126327</v>
          </cell>
          <cell r="B935">
            <v>934</v>
          </cell>
          <cell r="C935" t="str">
            <v>CF01/1</v>
          </cell>
          <cell r="D935" t="str">
            <v>SAPH440 P/O</v>
          </cell>
          <cell r="E935" t="str">
            <v>CA5</v>
          </cell>
          <cell r="F935">
            <v>4.5</v>
          </cell>
          <cell r="G935">
            <v>178</v>
          </cell>
          <cell r="H935">
            <v>1219</v>
          </cell>
          <cell r="I935" t="str">
            <v>A</v>
          </cell>
          <cell r="K935">
            <v>97</v>
          </cell>
          <cell r="L935">
            <v>757</v>
          </cell>
          <cell r="M935">
            <v>50126327</v>
          </cell>
          <cell r="N935">
            <v>38810</v>
          </cell>
          <cell r="P935" t="str">
            <v>IN6403D3R912703</v>
          </cell>
          <cell r="Q935" t="str">
            <v>แผ่นรองและสายรัดเป็นสนิม</v>
          </cell>
        </row>
        <row r="936">
          <cell r="A936">
            <v>50126328</v>
          </cell>
          <cell r="B936">
            <v>935</v>
          </cell>
          <cell r="C936" t="str">
            <v>CF01/1</v>
          </cell>
          <cell r="D936" t="str">
            <v>SAPH440 P/O</v>
          </cell>
          <cell r="E936" t="str">
            <v>CA5</v>
          </cell>
          <cell r="F936">
            <v>4.5</v>
          </cell>
          <cell r="G936">
            <v>178</v>
          </cell>
          <cell r="H936">
            <v>1219</v>
          </cell>
          <cell r="I936" t="str">
            <v>A</v>
          </cell>
          <cell r="K936">
            <v>100</v>
          </cell>
          <cell r="L936">
            <v>780</v>
          </cell>
          <cell r="M936">
            <v>50126328</v>
          </cell>
          <cell r="N936">
            <v>38810</v>
          </cell>
          <cell r="P936" t="str">
            <v>IN6403D3R912704</v>
          </cell>
          <cell r="Q936" t="str">
            <v>แผ่นรองและสายรัดเป็นสนิม</v>
          </cell>
        </row>
        <row r="937">
          <cell r="A937">
            <v>50098636</v>
          </cell>
          <cell r="B937">
            <v>936</v>
          </cell>
          <cell r="C937" t="str">
            <v>CF01/1</v>
          </cell>
          <cell r="D937" t="str">
            <v>SAPH440 P/O</v>
          </cell>
          <cell r="E937" t="str">
            <v>CA5</v>
          </cell>
          <cell r="F937">
            <v>4.5</v>
          </cell>
          <cell r="G937">
            <v>245</v>
          </cell>
          <cell r="H937">
            <v>1219</v>
          </cell>
          <cell r="I937" t="str">
            <v>A</v>
          </cell>
          <cell r="K937">
            <v>8</v>
          </cell>
          <cell r="L937">
            <v>84</v>
          </cell>
          <cell r="M937">
            <v>50098636</v>
          </cell>
          <cell r="N937">
            <v>38607</v>
          </cell>
          <cell r="P937" t="str">
            <v>IN5912D1D287101</v>
          </cell>
          <cell r="Q937" t="str">
            <v>แผ่นรองและสายรัดเป็นสนิม</v>
          </cell>
        </row>
        <row r="938">
          <cell r="A938">
            <v>50132709</v>
          </cell>
          <cell r="B938">
            <v>937</v>
          </cell>
          <cell r="C938" t="str">
            <v>CF01/1</v>
          </cell>
          <cell r="D938" t="str">
            <v>SPHC-DS</v>
          </cell>
          <cell r="E938" t="str">
            <v>DS1</v>
          </cell>
          <cell r="F938">
            <v>1.6</v>
          </cell>
          <cell r="G938">
            <v>110</v>
          </cell>
          <cell r="H938">
            <v>110</v>
          </cell>
          <cell r="I938" t="str">
            <v>A</v>
          </cell>
          <cell r="K938">
            <v>200</v>
          </cell>
          <cell r="L938">
            <v>30</v>
          </cell>
          <cell r="M938">
            <v>50132709</v>
          </cell>
          <cell r="N938">
            <v>38878</v>
          </cell>
          <cell r="P938" t="str">
            <v>FN6610N1M088401</v>
          </cell>
          <cell r="Q938" t="str">
            <v>แผ่นรองและสายรัดเป็นสนิม</v>
          </cell>
        </row>
        <row r="939">
          <cell r="A939">
            <v>50126902</v>
          </cell>
          <cell r="B939">
            <v>938</v>
          </cell>
          <cell r="C939" t="str">
            <v>CF01/1</v>
          </cell>
          <cell r="D939" t="str">
            <v>SPHC-DS</v>
          </cell>
          <cell r="E939" t="str">
            <v>DS1</v>
          </cell>
          <cell r="F939">
            <v>2.6</v>
          </cell>
          <cell r="G939">
            <v>120</v>
          </cell>
          <cell r="H939">
            <v>1160</v>
          </cell>
          <cell r="I939" t="str">
            <v>A</v>
          </cell>
          <cell r="K939">
            <v>35</v>
          </cell>
          <cell r="L939">
            <v>99</v>
          </cell>
          <cell r="M939">
            <v>50126902</v>
          </cell>
          <cell r="N939">
            <v>38829</v>
          </cell>
          <cell r="P939" t="str">
            <v>IN6422D2R945201</v>
          </cell>
          <cell r="Q939" t="str">
            <v>แผ่นรองและสายรัดเป็นสนิม</v>
          </cell>
        </row>
        <row r="940">
          <cell r="A940">
            <v>50138571</v>
          </cell>
          <cell r="B940">
            <v>939</v>
          </cell>
          <cell r="C940" t="str">
            <v>CF01/1</v>
          </cell>
          <cell r="D940" t="str">
            <v>SPHC-DS</v>
          </cell>
          <cell r="E940" t="str">
            <v>DS1</v>
          </cell>
          <cell r="F940">
            <v>3.2</v>
          </cell>
          <cell r="G940">
            <v>174</v>
          </cell>
          <cell r="H940">
            <v>1110</v>
          </cell>
          <cell r="I940" t="str">
            <v>A</v>
          </cell>
          <cell r="K940">
            <v>39</v>
          </cell>
          <cell r="L940">
            <v>190</v>
          </cell>
          <cell r="M940">
            <v>50138571</v>
          </cell>
          <cell r="N940">
            <v>38930</v>
          </cell>
          <cell r="P940" t="str">
            <v>IN6801D2M255301</v>
          </cell>
          <cell r="Q940" t="str">
            <v>แผ่นรองและสายรัดเป็นสนิม</v>
          </cell>
        </row>
        <row r="941">
          <cell r="A941">
            <v>50124506</v>
          </cell>
          <cell r="B941">
            <v>940</v>
          </cell>
          <cell r="C941" t="str">
            <v>CF01/1</v>
          </cell>
          <cell r="D941" t="str">
            <v>EG SECC-V2</v>
          </cell>
          <cell r="E941" t="str">
            <v>AH0</v>
          </cell>
          <cell r="F941">
            <v>0.8</v>
          </cell>
          <cell r="G941">
            <v>246.5</v>
          </cell>
          <cell r="H941">
            <v>251</v>
          </cell>
          <cell r="I941" t="str">
            <v>A</v>
          </cell>
          <cell r="K941">
            <v>680</v>
          </cell>
          <cell r="L941">
            <v>259</v>
          </cell>
          <cell r="M941">
            <v>50124506</v>
          </cell>
          <cell r="N941">
            <v>38804</v>
          </cell>
          <cell r="P941" t="str">
            <v>IN6328D1M887701</v>
          </cell>
          <cell r="Q941" t="str">
            <v>แผ่นรองและสายรัดเป็นสนิม</v>
          </cell>
        </row>
        <row r="942">
          <cell r="A942">
            <v>20047818</v>
          </cell>
          <cell r="B942">
            <v>941</v>
          </cell>
          <cell r="C942" t="str">
            <v>CW01/3</v>
          </cell>
          <cell r="D942" t="str">
            <v>SPCC-SD</v>
          </cell>
          <cell r="E942" t="str">
            <v>AF1</v>
          </cell>
          <cell r="F942">
            <v>1.6</v>
          </cell>
          <cell r="G942">
            <v>1219</v>
          </cell>
          <cell r="H942">
            <v>2438</v>
          </cell>
          <cell r="I942" t="str">
            <v>A</v>
          </cell>
          <cell r="K942">
            <v>4</v>
          </cell>
          <cell r="L942">
            <v>149</v>
          </cell>
          <cell r="M942">
            <v>20047818</v>
          </cell>
          <cell r="N942">
            <v>38756</v>
          </cell>
          <cell r="P942" t="str">
            <v>IN6208N1D720301</v>
          </cell>
          <cell r="Q942" t="str">
            <v>กระดาษฉีกขาดและเป็นสนิม</v>
          </cell>
        </row>
        <row r="943">
          <cell r="A943">
            <v>20048843</v>
          </cell>
          <cell r="B943">
            <v>942</v>
          </cell>
          <cell r="C943" t="str">
            <v>CW01/3</v>
          </cell>
          <cell r="D943" t="str">
            <v>SPCC-SD</v>
          </cell>
          <cell r="E943" t="str">
            <v>AF1</v>
          </cell>
          <cell r="F943">
            <v>1.6</v>
          </cell>
          <cell r="G943">
            <v>1219</v>
          </cell>
          <cell r="H943">
            <v>2438</v>
          </cell>
          <cell r="I943" t="str">
            <v>A</v>
          </cell>
          <cell r="K943">
            <v>5</v>
          </cell>
          <cell r="L943">
            <v>182</v>
          </cell>
          <cell r="M943">
            <v>20048843</v>
          </cell>
          <cell r="N943">
            <v>38794</v>
          </cell>
          <cell r="P943" t="str">
            <v>IN6318D1R857502</v>
          </cell>
          <cell r="Q943" t="str">
            <v>กระดาษฉีกขาด</v>
          </cell>
        </row>
        <row r="944">
          <cell r="A944">
            <v>20049159</v>
          </cell>
          <cell r="B944">
            <v>943</v>
          </cell>
          <cell r="C944" t="str">
            <v>CW01/3</v>
          </cell>
          <cell r="D944" t="str">
            <v>SPCC-SD</v>
          </cell>
          <cell r="E944" t="str">
            <v>AF1</v>
          </cell>
          <cell r="F944">
            <v>1.6</v>
          </cell>
          <cell r="G944">
            <v>1219</v>
          </cell>
          <cell r="H944">
            <v>2438</v>
          </cell>
          <cell r="I944" t="str">
            <v>A</v>
          </cell>
          <cell r="K944">
            <v>9</v>
          </cell>
          <cell r="L944">
            <v>336</v>
          </cell>
          <cell r="M944">
            <v>20049159</v>
          </cell>
          <cell r="N944">
            <v>38806</v>
          </cell>
          <cell r="O944" t="str">
            <v>126224SUD003</v>
          </cell>
          <cell r="P944" t="str">
            <v>IN6330D3D904103</v>
          </cell>
          <cell r="Q944" t="str">
            <v>กระดาษฉีกขาดและเป็นสนิม</v>
          </cell>
        </row>
        <row r="945">
          <cell r="A945">
            <v>20050161</v>
          </cell>
          <cell r="B945">
            <v>944</v>
          </cell>
          <cell r="C945" t="str">
            <v>CW01/3</v>
          </cell>
          <cell r="D945" t="str">
            <v>SPCC-SD</v>
          </cell>
          <cell r="E945" t="str">
            <v>AF1</v>
          </cell>
          <cell r="F945">
            <v>1.6</v>
          </cell>
          <cell r="G945">
            <v>1219</v>
          </cell>
          <cell r="H945">
            <v>2438</v>
          </cell>
          <cell r="I945" t="str">
            <v>A</v>
          </cell>
          <cell r="K945">
            <v>2</v>
          </cell>
          <cell r="L945">
            <v>75</v>
          </cell>
          <cell r="M945">
            <v>20050161</v>
          </cell>
          <cell r="N945">
            <v>38862</v>
          </cell>
          <cell r="P945" t="str">
            <v>IN6525D1D036704</v>
          </cell>
          <cell r="Q945" t="str">
            <v>กระดาษฉีกขาด</v>
          </cell>
        </row>
        <row r="946">
          <cell r="A946">
            <v>20050245</v>
          </cell>
          <cell r="B946">
            <v>945</v>
          </cell>
          <cell r="C946" t="str">
            <v>CW01/3</v>
          </cell>
          <cell r="D946" t="str">
            <v>SPCC-SD</v>
          </cell>
          <cell r="E946" t="str">
            <v>AF1</v>
          </cell>
          <cell r="F946">
            <v>1.6</v>
          </cell>
          <cell r="G946">
            <v>1219</v>
          </cell>
          <cell r="H946">
            <v>2438</v>
          </cell>
          <cell r="I946" t="str">
            <v>A</v>
          </cell>
          <cell r="K946">
            <v>2</v>
          </cell>
          <cell r="L946">
            <v>75</v>
          </cell>
          <cell r="M946">
            <v>20050245</v>
          </cell>
          <cell r="N946">
            <v>38866</v>
          </cell>
          <cell r="P946" t="str">
            <v>IN6529D1D053805</v>
          </cell>
          <cell r="Q946" t="str">
            <v>กระดาษฉีกขาด</v>
          </cell>
        </row>
        <row r="947">
          <cell r="A947">
            <v>20050536</v>
          </cell>
          <cell r="B947">
            <v>946</v>
          </cell>
          <cell r="C947" t="str">
            <v>CW01/3</v>
          </cell>
          <cell r="D947" t="str">
            <v>SPCC-SD</v>
          </cell>
          <cell r="E947" t="str">
            <v>AF1</v>
          </cell>
          <cell r="F947">
            <v>1.6</v>
          </cell>
          <cell r="G947">
            <v>1219</v>
          </cell>
          <cell r="H947">
            <v>2438</v>
          </cell>
          <cell r="I947" t="str">
            <v>A</v>
          </cell>
          <cell r="K947">
            <v>1</v>
          </cell>
          <cell r="L947">
            <v>37</v>
          </cell>
          <cell r="M947">
            <v>20050536</v>
          </cell>
          <cell r="N947">
            <v>38875</v>
          </cell>
          <cell r="P947" t="str">
            <v>IN6607N1D089106</v>
          </cell>
          <cell r="Q947" t="str">
            <v>กระดาษฉีกขาดและเป็นสนิม</v>
          </cell>
        </row>
        <row r="948">
          <cell r="A948">
            <v>20050579</v>
          </cell>
          <cell r="B948">
            <v>947</v>
          </cell>
          <cell r="C948" t="str">
            <v>CW01/3</v>
          </cell>
          <cell r="D948" t="str">
            <v>SPCC-SD</v>
          </cell>
          <cell r="E948" t="str">
            <v>AF1</v>
          </cell>
          <cell r="F948">
            <v>1.6</v>
          </cell>
          <cell r="G948">
            <v>1219</v>
          </cell>
          <cell r="H948">
            <v>2438</v>
          </cell>
          <cell r="I948" t="str">
            <v>A</v>
          </cell>
          <cell r="K948">
            <v>5</v>
          </cell>
          <cell r="L948">
            <v>187</v>
          </cell>
          <cell r="M948">
            <v>20050579</v>
          </cell>
          <cell r="N948">
            <v>38876</v>
          </cell>
          <cell r="P948" t="str">
            <v>IN6608D3D083707</v>
          </cell>
          <cell r="Q948" t="str">
            <v>กระดาษฉีกขาด</v>
          </cell>
        </row>
        <row r="949">
          <cell r="A949">
            <v>20050738</v>
          </cell>
          <cell r="B949">
            <v>948</v>
          </cell>
          <cell r="C949" t="str">
            <v>CW01/3</v>
          </cell>
          <cell r="D949" t="str">
            <v>SPCC-SD</v>
          </cell>
          <cell r="E949" t="str">
            <v>AF1</v>
          </cell>
          <cell r="F949">
            <v>1.6</v>
          </cell>
          <cell r="G949">
            <v>1219</v>
          </cell>
          <cell r="H949">
            <v>2438</v>
          </cell>
          <cell r="I949" t="str">
            <v>A</v>
          </cell>
          <cell r="K949">
            <v>3</v>
          </cell>
          <cell r="L949">
            <v>112</v>
          </cell>
          <cell r="M949">
            <v>20050738</v>
          </cell>
          <cell r="N949">
            <v>38884</v>
          </cell>
          <cell r="P949" t="str">
            <v>IN6616N1D111408</v>
          </cell>
          <cell r="Q949" t="str">
            <v>กระดาษฉีกขาดและเป็นสนิม</v>
          </cell>
        </row>
        <row r="950">
          <cell r="A950">
            <v>20050959</v>
          </cell>
          <cell r="B950">
            <v>949</v>
          </cell>
          <cell r="C950" t="str">
            <v>CW01/3</v>
          </cell>
          <cell r="D950" t="str">
            <v>SPCC-SD</v>
          </cell>
          <cell r="E950" t="str">
            <v>AF1</v>
          </cell>
          <cell r="F950">
            <v>1.6</v>
          </cell>
          <cell r="G950">
            <v>1219</v>
          </cell>
          <cell r="H950">
            <v>2438</v>
          </cell>
          <cell r="I950" t="str">
            <v>A</v>
          </cell>
          <cell r="K950">
            <v>5</v>
          </cell>
          <cell r="L950">
            <v>187</v>
          </cell>
          <cell r="M950">
            <v>20050959</v>
          </cell>
          <cell r="N950">
            <v>38891</v>
          </cell>
          <cell r="P950" t="str">
            <v>IN6623N1D133609</v>
          </cell>
          <cell r="Q950" t="str">
            <v>กระดาษฉีกขาดและเป็นสนิม</v>
          </cell>
        </row>
        <row r="951">
          <cell r="A951">
            <v>20051134</v>
          </cell>
          <cell r="B951">
            <v>950</v>
          </cell>
          <cell r="C951" t="str">
            <v>CW01/3</v>
          </cell>
          <cell r="D951" t="str">
            <v>SPCC-SD</v>
          </cell>
          <cell r="E951" t="str">
            <v>AF1</v>
          </cell>
          <cell r="F951">
            <v>1.6</v>
          </cell>
          <cell r="G951">
            <v>1219</v>
          </cell>
          <cell r="H951">
            <v>2438</v>
          </cell>
          <cell r="I951" t="str">
            <v>A</v>
          </cell>
          <cell r="K951">
            <v>4</v>
          </cell>
          <cell r="L951">
            <v>149</v>
          </cell>
          <cell r="M951">
            <v>20051134</v>
          </cell>
          <cell r="N951">
            <v>38898</v>
          </cell>
          <cell r="P951" t="str">
            <v>IN6630N1D152910</v>
          </cell>
          <cell r="Q951" t="str">
            <v>กระดาษฉีกขาด</v>
          </cell>
        </row>
        <row r="952">
          <cell r="A952">
            <v>20051160</v>
          </cell>
          <cell r="B952">
            <v>951</v>
          </cell>
          <cell r="C952" t="str">
            <v>CW01/3</v>
          </cell>
          <cell r="D952" t="str">
            <v>SPCC-SD</v>
          </cell>
          <cell r="E952" t="str">
            <v>AF1</v>
          </cell>
          <cell r="F952">
            <v>1.6</v>
          </cell>
          <cell r="G952">
            <v>1219</v>
          </cell>
          <cell r="H952">
            <v>2438</v>
          </cell>
          <cell r="I952" t="str">
            <v>A</v>
          </cell>
          <cell r="K952">
            <v>10</v>
          </cell>
          <cell r="L952">
            <v>373</v>
          </cell>
          <cell r="M952">
            <v>20051160</v>
          </cell>
          <cell r="N952">
            <v>38901</v>
          </cell>
          <cell r="P952" t="str">
            <v>IN6703D1D257011</v>
          </cell>
          <cell r="Q952" t="str">
            <v>กระดาษฉีกขาด</v>
          </cell>
        </row>
        <row r="953">
          <cell r="A953">
            <v>20051473</v>
          </cell>
          <cell r="B953">
            <v>952</v>
          </cell>
          <cell r="C953" t="str">
            <v>CW01/3</v>
          </cell>
          <cell r="D953" t="str">
            <v>SPCC-SD</v>
          </cell>
          <cell r="E953" t="str">
            <v>AF1</v>
          </cell>
          <cell r="F953">
            <v>1.6</v>
          </cell>
          <cell r="G953">
            <v>1219</v>
          </cell>
          <cell r="H953">
            <v>2438</v>
          </cell>
          <cell r="I953" t="str">
            <v>A</v>
          </cell>
          <cell r="K953">
            <v>10</v>
          </cell>
          <cell r="L953">
            <v>374</v>
          </cell>
          <cell r="M953">
            <v>20051473</v>
          </cell>
          <cell r="N953">
            <v>38917</v>
          </cell>
          <cell r="O953" t="str">
            <v>126325SUD001</v>
          </cell>
          <cell r="P953" t="str">
            <v>IN6719D1D214312</v>
          </cell>
          <cell r="Q953" t="str">
            <v>กระดาษฉีกขาดและเป็นสนิม</v>
          </cell>
        </row>
        <row r="954">
          <cell r="A954">
            <v>20051628</v>
          </cell>
          <cell r="B954">
            <v>953</v>
          </cell>
          <cell r="C954" t="str">
            <v>CW01/3</v>
          </cell>
          <cell r="D954" t="str">
            <v>SPCC-SD</v>
          </cell>
          <cell r="E954" t="str">
            <v>AF1</v>
          </cell>
          <cell r="F954">
            <v>1.6</v>
          </cell>
          <cell r="G954">
            <v>1219</v>
          </cell>
          <cell r="H954">
            <v>2438</v>
          </cell>
          <cell r="I954" t="str">
            <v>A</v>
          </cell>
          <cell r="K954">
            <v>9</v>
          </cell>
          <cell r="L954">
            <v>337</v>
          </cell>
          <cell r="M954">
            <v>20051628</v>
          </cell>
          <cell r="N954">
            <v>38922</v>
          </cell>
          <cell r="P954" t="str">
            <v>IN6724N3D230313</v>
          </cell>
          <cell r="Q954" t="str">
            <v>กระดาษฉีกขาดและเป็นสนิม</v>
          </cell>
        </row>
        <row r="955">
          <cell r="A955">
            <v>20051652</v>
          </cell>
          <cell r="B955">
            <v>954</v>
          </cell>
          <cell r="C955" t="str">
            <v>CW01/3</v>
          </cell>
          <cell r="D955" t="str">
            <v>SPCC-SD</v>
          </cell>
          <cell r="E955" t="str">
            <v>AF1</v>
          </cell>
          <cell r="F955">
            <v>1.6</v>
          </cell>
          <cell r="G955">
            <v>1219</v>
          </cell>
          <cell r="H955">
            <v>2438</v>
          </cell>
          <cell r="I955" t="str">
            <v>A</v>
          </cell>
          <cell r="K955">
            <v>8</v>
          </cell>
          <cell r="L955">
            <v>299</v>
          </cell>
          <cell r="M955">
            <v>20051652</v>
          </cell>
          <cell r="N955">
            <v>38924</v>
          </cell>
          <cell r="P955" t="str">
            <v>IN6726N3D239414</v>
          </cell>
          <cell r="Q955" t="str">
            <v>กระดาษฉีกขาด</v>
          </cell>
        </row>
        <row r="956">
          <cell r="A956">
            <v>20051684</v>
          </cell>
          <cell r="B956">
            <v>955</v>
          </cell>
          <cell r="C956" t="str">
            <v>CW01/3</v>
          </cell>
          <cell r="D956" t="str">
            <v>SPCC-SD</v>
          </cell>
          <cell r="E956" t="str">
            <v>AF1</v>
          </cell>
          <cell r="F956">
            <v>1.6</v>
          </cell>
          <cell r="G956">
            <v>1219</v>
          </cell>
          <cell r="H956">
            <v>2438</v>
          </cell>
          <cell r="I956" t="str">
            <v>A</v>
          </cell>
          <cell r="K956">
            <v>5</v>
          </cell>
          <cell r="L956">
            <v>188</v>
          </cell>
          <cell r="M956">
            <v>20051684</v>
          </cell>
          <cell r="N956">
            <v>38925</v>
          </cell>
          <cell r="P956" t="str">
            <v>IN6727D1D241215</v>
          </cell>
          <cell r="Q956" t="str">
            <v>กระดาษฉีกขาด</v>
          </cell>
        </row>
        <row r="957">
          <cell r="A957">
            <v>20051796</v>
          </cell>
          <cell r="B957">
            <v>956</v>
          </cell>
          <cell r="C957" t="str">
            <v>CW01/3</v>
          </cell>
          <cell r="D957" t="str">
            <v>SPCC-SD</v>
          </cell>
          <cell r="E957" t="str">
            <v>AF1</v>
          </cell>
          <cell r="F957">
            <v>1.6</v>
          </cell>
          <cell r="G957">
            <v>1219</v>
          </cell>
          <cell r="H957">
            <v>2438</v>
          </cell>
          <cell r="I957" t="str">
            <v>A</v>
          </cell>
          <cell r="K957">
            <v>8</v>
          </cell>
          <cell r="L957">
            <v>300</v>
          </cell>
          <cell r="M957">
            <v>20051796</v>
          </cell>
          <cell r="N957">
            <v>38931</v>
          </cell>
          <cell r="P957" t="str">
            <v>IN6802N3D257716</v>
          </cell>
          <cell r="Q957" t="str">
            <v>กระดาษฉีกขาด</v>
          </cell>
        </row>
        <row r="958">
          <cell r="A958">
            <v>20048798</v>
          </cell>
          <cell r="B958">
            <v>957</v>
          </cell>
          <cell r="C958" t="str">
            <v>CW01/3</v>
          </cell>
          <cell r="D958" t="str">
            <v>SPCEN-SD</v>
          </cell>
          <cell r="E958" t="str">
            <v>AF3</v>
          </cell>
          <cell r="F958">
            <v>1.6</v>
          </cell>
          <cell r="G958">
            <v>1219</v>
          </cell>
          <cell r="H958">
            <v>2438</v>
          </cell>
          <cell r="I958" t="str">
            <v>A</v>
          </cell>
          <cell r="K958">
            <v>15</v>
          </cell>
          <cell r="L958">
            <v>565</v>
          </cell>
          <cell r="M958">
            <v>20048798</v>
          </cell>
          <cell r="N958">
            <v>38793</v>
          </cell>
          <cell r="P958" t="str">
            <v>IN6317D2L854901</v>
          </cell>
          <cell r="Q958" t="str">
            <v>แผ่นรองและสายรัดเป็นสนิม</v>
          </cell>
        </row>
        <row r="959">
          <cell r="A959">
            <v>20049320</v>
          </cell>
          <cell r="B959">
            <v>958</v>
          </cell>
          <cell r="C959" t="str">
            <v>CW01/3</v>
          </cell>
          <cell r="D959" t="str">
            <v>SPCEN-SD</v>
          </cell>
          <cell r="E959" t="str">
            <v>AF3</v>
          </cell>
          <cell r="F959">
            <v>1.6</v>
          </cell>
          <cell r="G959">
            <v>1219</v>
          </cell>
          <cell r="H959">
            <v>2438</v>
          </cell>
          <cell r="I959" t="str">
            <v>A</v>
          </cell>
          <cell r="K959">
            <v>13</v>
          </cell>
          <cell r="L959">
            <v>490</v>
          </cell>
          <cell r="M959">
            <v>20049320</v>
          </cell>
          <cell r="N959">
            <v>38814</v>
          </cell>
          <cell r="P959" t="str">
            <v>IN6407D2L930202</v>
          </cell>
          <cell r="Q959" t="str">
            <v>กระดาษฉีกขาด</v>
          </cell>
        </row>
        <row r="960">
          <cell r="A960">
            <v>20050267</v>
          </cell>
          <cell r="B960">
            <v>959</v>
          </cell>
          <cell r="C960" t="str">
            <v>CW01/3</v>
          </cell>
          <cell r="D960" t="str">
            <v>SPCEN-SD</v>
          </cell>
          <cell r="E960" t="str">
            <v>AF3</v>
          </cell>
          <cell r="F960">
            <v>1.6</v>
          </cell>
          <cell r="G960">
            <v>1219</v>
          </cell>
          <cell r="H960">
            <v>2438</v>
          </cell>
          <cell r="I960" t="str">
            <v>A</v>
          </cell>
          <cell r="K960">
            <v>5</v>
          </cell>
          <cell r="L960">
            <v>186</v>
          </cell>
          <cell r="M960">
            <v>20050267</v>
          </cell>
          <cell r="N960">
            <v>38866</v>
          </cell>
          <cell r="P960" t="str">
            <v>IN6529D1D053603</v>
          </cell>
          <cell r="Q960" t="str">
            <v>แผ่นรองและสายรัดเป็นสนิม</v>
          </cell>
        </row>
        <row r="961">
          <cell r="A961">
            <v>20050299</v>
          </cell>
          <cell r="B961">
            <v>960</v>
          </cell>
          <cell r="C961" t="str">
            <v>CW01/3</v>
          </cell>
          <cell r="D961" t="str">
            <v>SPCEN-SD</v>
          </cell>
          <cell r="E961" t="str">
            <v>AF3</v>
          </cell>
          <cell r="F961">
            <v>1.6</v>
          </cell>
          <cell r="G961">
            <v>1219</v>
          </cell>
          <cell r="H961">
            <v>2438</v>
          </cell>
          <cell r="I961" t="str">
            <v>A</v>
          </cell>
          <cell r="K961">
            <v>20</v>
          </cell>
          <cell r="L961">
            <v>747</v>
          </cell>
          <cell r="M961">
            <v>20050299</v>
          </cell>
          <cell r="N961">
            <v>38867</v>
          </cell>
          <cell r="P961" t="str">
            <v>IN6530D1D057004</v>
          </cell>
          <cell r="Q961" t="str">
            <v>แผ่นรองและสายรัดเป็นสนิม</v>
          </cell>
        </row>
        <row r="962">
          <cell r="A962">
            <v>20050301</v>
          </cell>
          <cell r="B962">
            <v>961</v>
          </cell>
          <cell r="C962" t="str">
            <v>CW01/3</v>
          </cell>
          <cell r="D962" t="str">
            <v>SPCEN-SD</v>
          </cell>
          <cell r="E962" t="str">
            <v>AF3</v>
          </cell>
          <cell r="F962">
            <v>1.6</v>
          </cell>
          <cell r="G962">
            <v>1219</v>
          </cell>
          <cell r="H962">
            <v>2438</v>
          </cell>
          <cell r="I962" t="str">
            <v>A</v>
          </cell>
          <cell r="K962">
            <v>19</v>
          </cell>
          <cell r="L962">
            <v>709</v>
          </cell>
          <cell r="M962">
            <v>20050301</v>
          </cell>
          <cell r="N962">
            <v>38867</v>
          </cell>
          <cell r="P962" t="str">
            <v>IN6530D1D054905</v>
          </cell>
          <cell r="Q962" t="str">
            <v>กระดาษฉีกขาด</v>
          </cell>
        </row>
        <row r="963">
          <cell r="A963">
            <v>20050372</v>
          </cell>
          <cell r="B963">
            <v>962</v>
          </cell>
          <cell r="C963" t="str">
            <v>CW01/3</v>
          </cell>
          <cell r="D963" t="str">
            <v>SPCEN-SD</v>
          </cell>
          <cell r="E963" t="str">
            <v>AF3</v>
          </cell>
          <cell r="F963">
            <v>1.6</v>
          </cell>
          <cell r="G963">
            <v>1219</v>
          </cell>
          <cell r="H963">
            <v>2438</v>
          </cell>
          <cell r="I963" t="str">
            <v>A</v>
          </cell>
          <cell r="K963">
            <v>41</v>
          </cell>
          <cell r="L963">
            <v>1536</v>
          </cell>
          <cell r="M963">
            <v>20050372</v>
          </cell>
          <cell r="N963">
            <v>38870</v>
          </cell>
          <cell r="O963" t="str">
            <v>125423SUD006</v>
          </cell>
          <cell r="P963" t="str">
            <v>IN6602D1L066106</v>
          </cell>
          <cell r="Q963" t="str">
            <v>แผ่นรองและสายรัดเป็นสนิม</v>
          </cell>
        </row>
        <row r="964">
          <cell r="A964">
            <v>20050373</v>
          </cell>
          <cell r="B964">
            <v>963</v>
          </cell>
          <cell r="C964" t="str">
            <v>CW01/3</v>
          </cell>
          <cell r="D964" t="str">
            <v>SPCEN-SD</v>
          </cell>
          <cell r="E964" t="str">
            <v>AF3</v>
          </cell>
          <cell r="F964">
            <v>1.6</v>
          </cell>
          <cell r="G964">
            <v>1219</v>
          </cell>
          <cell r="H964">
            <v>2438</v>
          </cell>
          <cell r="I964" t="str">
            <v>A</v>
          </cell>
          <cell r="K964">
            <v>43</v>
          </cell>
          <cell r="L964">
            <v>1606</v>
          </cell>
          <cell r="M964">
            <v>20050373</v>
          </cell>
          <cell r="N964">
            <v>38870</v>
          </cell>
          <cell r="P964" t="str">
            <v>IN6602D1L071007</v>
          </cell>
          <cell r="Q964" t="str">
            <v>กระดาษฉีกขาด</v>
          </cell>
        </row>
        <row r="965">
          <cell r="A965">
            <v>20050407</v>
          </cell>
          <cell r="B965">
            <v>964</v>
          </cell>
          <cell r="C965" t="str">
            <v>CW01/3</v>
          </cell>
          <cell r="D965" t="str">
            <v>SPCEN-SD</v>
          </cell>
          <cell r="E965" t="str">
            <v>AF3</v>
          </cell>
          <cell r="F965">
            <v>1.6</v>
          </cell>
          <cell r="G965">
            <v>1219</v>
          </cell>
          <cell r="H965">
            <v>2438</v>
          </cell>
          <cell r="I965" t="str">
            <v>A</v>
          </cell>
          <cell r="K965">
            <v>35</v>
          </cell>
          <cell r="L965">
            <v>1306</v>
          </cell>
          <cell r="M965">
            <v>20050407</v>
          </cell>
          <cell r="N965">
            <v>38871</v>
          </cell>
          <cell r="P965" t="str">
            <v>IN6603D1D073908</v>
          </cell>
          <cell r="Q965" t="str">
            <v>กระดาษฉีกขาด</v>
          </cell>
        </row>
        <row r="966">
          <cell r="A966">
            <v>20050564</v>
          </cell>
          <cell r="B966">
            <v>965</v>
          </cell>
          <cell r="C966" t="str">
            <v>CW01/3</v>
          </cell>
          <cell r="D966" t="str">
            <v>SPCEN-SD</v>
          </cell>
          <cell r="E966" t="str">
            <v>AF3</v>
          </cell>
          <cell r="F966">
            <v>1.6</v>
          </cell>
          <cell r="G966">
            <v>1219</v>
          </cell>
          <cell r="H966">
            <v>2438</v>
          </cell>
          <cell r="I966" t="str">
            <v>A</v>
          </cell>
          <cell r="K966">
            <v>59</v>
          </cell>
          <cell r="L966">
            <v>2212</v>
          </cell>
          <cell r="M966">
            <v>20050564</v>
          </cell>
          <cell r="N966">
            <v>38876</v>
          </cell>
          <cell r="P966" t="str">
            <v>IN6608N1L086909</v>
          </cell>
          <cell r="Q966" t="str">
            <v>แผ่นรองและสายรัดเป็นสนิม</v>
          </cell>
        </row>
        <row r="967">
          <cell r="A967">
            <v>20050815</v>
          </cell>
          <cell r="B967">
            <v>966</v>
          </cell>
          <cell r="C967" t="str">
            <v>CW01/3</v>
          </cell>
          <cell r="D967" t="str">
            <v>SPCEN-SD</v>
          </cell>
          <cell r="E967" t="str">
            <v>AF3</v>
          </cell>
          <cell r="F967">
            <v>1.6</v>
          </cell>
          <cell r="G967">
            <v>1219</v>
          </cell>
          <cell r="H967">
            <v>2438</v>
          </cell>
          <cell r="I967" t="str">
            <v>A</v>
          </cell>
          <cell r="K967">
            <v>39</v>
          </cell>
          <cell r="L967">
            <v>1462</v>
          </cell>
          <cell r="M967">
            <v>20050815</v>
          </cell>
          <cell r="N967">
            <v>38888</v>
          </cell>
          <cell r="P967" t="str">
            <v>IN6620D1L124710</v>
          </cell>
          <cell r="Q967" t="str">
            <v>แผ่นรองและสายรัดเป็นสนิม</v>
          </cell>
        </row>
        <row r="968">
          <cell r="A968">
            <v>20050829</v>
          </cell>
          <cell r="B968">
            <v>967</v>
          </cell>
          <cell r="C968" t="str">
            <v>CW01/3</v>
          </cell>
          <cell r="D968" t="str">
            <v>SPCEN-SD</v>
          </cell>
          <cell r="E968" t="str">
            <v>AF3</v>
          </cell>
          <cell r="F968">
            <v>1.6</v>
          </cell>
          <cell r="G968">
            <v>1219</v>
          </cell>
          <cell r="H968">
            <v>2438</v>
          </cell>
          <cell r="I968" t="str">
            <v>A</v>
          </cell>
          <cell r="K968">
            <v>32</v>
          </cell>
          <cell r="L968">
            <v>1200</v>
          </cell>
          <cell r="M968">
            <v>20050829</v>
          </cell>
          <cell r="N968">
            <v>38888</v>
          </cell>
          <cell r="P968" t="str">
            <v>IN6620D1L124711</v>
          </cell>
          <cell r="Q968" t="str">
            <v>แผ่นรองและสายรัดเป็นสนิม</v>
          </cell>
        </row>
        <row r="969">
          <cell r="A969">
            <v>20051155</v>
          </cell>
          <cell r="B969">
            <v>968</v>
          </cell>
          <cell r="C969" t="str">
            <v>CW01/3</v>
          </cell>
          <cell r="D969" t="str">
            <v>SPCEN-SD</v>
          </cell>
          <cell r="E969" t="str">
            <v>AF3</v>
          </cell>
          <cell r="F969">
            <v>1.6</v>
          </cell>
          <cell r="G969">
            <v>1219</v>
          </cell>
          <cell r="H969">
            <v>2438</v>
          </cell>
          <cell r="I969" t="str">
            <v>A</v>
          </cell>
          <cell r="K969">
            <v>24</v>
          </cell>
          <cell r="L969">
            <v>899</v>
          </cell>
          <cell r="M969">
            <v>20051155</v>
          </cell>
          <cell r="N969">
            <v>38901</v>
          </cell>
          <cell r="P969" t="str">
            <v>IN6703D1R166812</v>
          </cell>
          <cell r="Q969" t="str">
            <v>แผ่นรองและสายรัดเป็นสนิม</v>
          </cell>
        </row>
        <row r="970">
          <cell r="A970">
            <v>20051192</v>
          </cell>
          <cell r="B970">
            <v>969</v>
          </cell>
          <cell r="C970" t="str">
            <v>CW01/3</v>
          </cell>
          <cell r="D970" t="str">
            <v>SPCEN-SD</v>
          </cell>
          <cell r="E970" t="str">
            <v>AF3</v>
          </cell>
          <cell r="F970">
            <v>1.6</v>
          </cell>
          <cell r="G970">
            <v>1219</v>
          </cell>
          <cell r="H970">
            <v>2438</v>
          </cell>
          <cell r="I970" t="str">
            <v>A</v>
          </cell>
          <cell r="K970">
            <v>7</v>
          </cell>
          <cell r="L970">
            <v>262</v>
          </cell>
          <cell r="M970">
            <v>20051192</v>
          </cell>
          <cell r="N970">
            <v>38902</v>
          </cell>
          <cell r="P970" t="str">
            <v>IN6704D1L172313</v>
          </cell>
          <cell r="Q970" t="str">
            <v>แผ่นรองและสายรัดเป็นสนิม</v>
          </cell>
        </row>
        <row r="971">
          <cell r="A971">
            <v>20051354</v>
          </cell>
          <cell r="B971">
            <v>970</v>
          </cell>
          <cell r="C971" t="str">
            <v>CW01/3</v>
          </cell>
          <cell r="D971" t="str">
            <v>SPCEN-SD</v>
          </cell>
          <cell r="E971" t="str">
            <v>AF3</v>
          </cell>
          <cell r="F971">
            <v>1.6</v>
          </cell>
          <cell r="G971">
            <v>1219</v>
          </cell>
          <cell r="H971">
            <v>2438</v>
          </cell>
          <cell r="I971" t="str">
            <v>A</v>
          </cell>
          <cell r="K971">
            <v>53</v>
          </cell>
          <cell r="L971">
            <v>1976</v>
          </cell>
          <cell r="M971">
            <v>20051354</v>
          </cell>
          <cell r="N971">
            <v>38911</v>
          </cell>
          <cell r="P971" t="str">
            <v>IN6713D1R198914</v>
          </cell>
          <cell r="Q971" t="str">
            <v>แผ่นรองและสายรัดเป็นสนิม</v>
          </cell>
        </row>
        <row r="972">
          <cell r="A972">
            <v>20051446</v>
          </cell>
          <cell r="B972">
            <v>971</v>
          </cell>
          <cell r="C972" t="str">
            <v>CW01/3</v>
          </cell>
          <cell r="D972" t="str">
            <v>SPCEN-SD</v>
          </cell>
          <cell r="E972" t="str">
            <v>AF3</v>
          </cell>
          <cell r="F972">
            <v>1.6</v>
          </cell>
          <cell r="G972">
            <v>1219</v>
          </cell>
          <cell r="H972">
            <v>2438</v>
          </cell>
          <cell r="I972" t="str">
            <v>A</v>
          </cell>
          <cell r="K972">
            <v>36</v>
          </cell>
          <cell r="L972">
            <v>1348</v>
          </cell>
          <cell r="M972">
            <v>20051446</v>
          </cell>
          <cell r="N972">
            <v>38916</v>
          </cell>
          <cell r="P972" t="str">
            <v>IN6718D1R214015</v>
          </cell>
          <cell r="Q972" t="str">
            <v>แผ่นรองและสายรัดเป็นสนิม</v>
          </cell>
        </row>
        <row r="973">
          <cell r="A973">
            <v>20051710</v>
          </cell>
          <cell r="B973">
            <v>972</v>
          </cell>
          <cell r="C973" t="str">
            <v>CW01/3</v>
          </cell>
          <cell r="D973" t="str">
            <v>SPCEN-SD</v>
          </cell>
          <cell r="E973" t="str">
            <v>AF3</v>
          </cell>
          <cell r="F973">
            <v>1.6</v>
          </cell>
          <cell r="G973">
            <v>1219</v>
          </cell>
          <cell r="H973">
            <v>2438</v>
          </cell>
          <cell r="I973" t="str">
            <v>A</v>
          </cell>
          <cell r="K973">
            <v>26</v>
          </cell>
          <cell r="L973">
            <v>973</v>
          </cell>
          <cell r="M973">
            <v>20051710</v>
          </cell>
          <cell r="N973">
            <v>38926</v>
          </cell>
          <cell r="P973" t="str">
            <v>IN6728D1R247516</v>
          </cell>
          <cell r="Q973" t="str">
            <v>แผ่นรองและสายรัดเป็นสนิม</v>
          </cell>
        </row>
        <row r="974">
          <cell r="A974">
            <v>20051769</v>
          </cell>
          <cell r="B974">
            <v>973</v>
          </cell>
          <cell r="C974" t="str">
            <v>CW01/3</v>
          </cell>
          <cell r="D974" t="str">
            <v>SPCEN-SD</v>
          </cell>
          <cell r="E974" t="str">
            <v>AF3</v>
          </cell>
          <cell r="F974">
            <v>1.6</v>
          </cell>
          <cell r="G974">
            <v>1219</v>
          </cell>
          <cell r="H974">
            <v>2438</v>
          </cell>
          <cell r="I974" t="str">
            <v>A</v>
          </cell>
          <cell r="K974">
            <v>12</v>
          </cell>
          <cell r="L974">
            <v>449</v>
          </cell>
          <cell r="M974">
            <v>20051769</v>
          </cell>
          <cell r="N974">
            <v>38929</v>
          </cell>
          <cell r="P974" t="str">
            <v>IN6731N1D254217</v>
          </cell>
          <cell r="Q974" t="str">
            <v>กระดาษฉีกขาด</v>
          </cell>
        </row>
        <row r="975">
          <cell r="A975">
            <v>20051895</v>
          </cell>
          <cell r="B975">
            <v>974</v>
          </cell>
          <cell r="C975" t="str">
            <v>CW01/3</v>
          </cell>
          <cell r="D975" t="str">
            <v>SPCEN-SD</v>
          </cell>
          <cell r="E975" t="str">
            <v>AF3</v>
          </cell>
          <cell r="F975">
            <v>1.6</v>
          </cell>
          <cell r="G975">
            <v>1219</v>
          </cell>
          <cell r="H975">
            <v>2438</v>
          </cell>
          <cell r="I975" t="str">
            <v>A</v>
          </cell>
          <cell r="K975">
            <v>12</v>
          </cell>
          <cell r="L975">
            <v>448</v>
          </cell>
          <cell r="M975">
            <v>20051895</v>
          </cell>
          <cell r="N975">
            <v>38937</v>
          </cell>
          <cell r="P975" t="str">
            <v>IN6808D2D278218</v>
          </cell>
          <cell r="Q975" t="str">
            <v>กระดาษฉีกขาด</v>
          </cell>
        </row>
        <row r="976">
          <cell r="A976">
            <v>20052139</v>
          </cell>
          <cell r="B976">
            <v>975</v>
          </cell>
          <cell r="C976" t="str">
            <v>CW01/3</v>
          </cell>
          <cell r="D976" t="str">
            <v>SPCEN-SD</v>
          </cell>
          <cell r="E976" t="str">
            <v>AF3</v>
          </cell>
          <cell r="F976">
            <v>1.6</v>
          </cell>
          <cell r="G976">
            <v>1219</v>
          </cell>
          <cell r="H976">
            <v>2438</v>
          </cell>
          <cell r="I976" t="str">
            <v>A</v>
          </cell>
          <cell r="K976">
            <v>43</v>
          </cell>
          <cell r="L976">
            <v>1605</v>
          </cell>
          <cell r="M976">
            <v>20052139</v>
          </cell>
          <cell r="N976">
            <v>38955</v>
          </cell>
          <cell r="P976" t="str">
            <v>IN6826N1D328019</v>
          </cell>
          <cell r="Q976" t="str">
            <v>แผ่นรองและสายรัดเป็นสนิม</v>
          </cell>
        </row>
        <row r="977">
          <cell r="A977">
            <v>20051237</v>
          </cell>
          <cell r="B977">
            <v>976</v>
          </cell>
          <cell r="C977" t="str">
            <v>CW01/3</v>
          </cell>
          <cell r="D977" t="str">
            <v>SPCEN-SD</v>
          </cell>
          <cell r="E977" t="str">
            <v>AF3</v>
          </cell>
          <cell r="F977">
            <v>2</v>
          </cell>
          <cell r="G977">
            <v>1219</v>
          </cell>
          <cell r="H977">
            <v>2438</v>
          </cell>
          <cell r="I977" t="str">
            <v>A</v>
          </cell>
          <cell r="K977">
            <v>6</v>
          </cell>
          <cell r="L977">
            <v>280</v>
          </cell>
          <cell r="M977">
            <v>20051237</v>
          </cell>
          <cell r="N977">
            <v>38903</v>
          </cell>
          <cell r="P977" t="str">
            <v>IN6705D1D174501</v>
          </cell>
          <cell r="Q977" t="str">
            <v>กระดาษฉีกขาดและเป็นสนิม</v>
          </cell>
        </row>
        <row r="978">
          <cell r="A978">
            <v>20051311</v>
          </cell>
          <cell r="B978">
            <v>977</v>
          </cell>
          <cell r="C978" t="str">
            <v>CW01/3</v>
          </cell>
          <cell r="D978" t="str">
            <v>SPCEN-SD</v>
          </cell>
          <cell r="E978" t="str">
            <v>AF3</v>
          </cell>
          <cell r="F978">
            <v>2</v>
          </cell>
          <cell r="G978">
            <v>1219</v>
          </cell>
          <cell r="H978">
            <v>2438</v>
          </cell>
          <cell r="I978" t="str">
            <v>A</v>
          </cell>
          <cell r="K978">
            <v>14</v>
          </cell>
          <cell r="L978">
            <v>655</v>
          </cell>
          <cell r="M978">
            <v>20051311</v>
          </cell>
          <cell r="N978">
            <v>38906</v>
          </cell>
          <cell r="P978" t="str">
            <v>IN6708D1R177002</v>
          </cell>
          <cell r="Q978" t="str">
            <v>สภาพปกติ</v>
          </cell>
        </row>
        <row r="979">
          <cell r="A979">
            <v>20047496</v>
          </cell>
          <cell r="B979">
            <v>978</v>
          </cell>
          <cell r="C979" t="str">
            <v>CW01/3</v>
          </cell>
          <cell r="D979" t="str">
            <v>SPCC-SD</v>
          </cell>
          <cell r="E979" t="str">
            <v>AG1</v>
          </cell>
          <cell r="F979">
            <v>1.6</v>
          </cell>
          <cell r="G979">
            <v>1219</v>
          </cell>
          <cell r="H979">
            <v>2438</v>
          </cell>
          <cell r="I979" t="str">
            <v>A</v>
          </cell>
          <cell r="K979">
            <v>44</v>
          </cell>
          <cell r="L979">
            <v>1640</v>
          </cell>
          <cell r="M979">
            <v>20047496</v>
          </cell>
          <cell r="N979">
            <v>38742</v>
          </cell>
          <cell r="P979" t="str">
            <v>IN6125D3RQQQQ01</v>
          </cell>
          <cell r="Q979" t="str">
            <v>แผ่นรองและสายรัดเป็นสนิม</v>
          </cell>
        </row>
        <row r="980">
          <cell r="A980">
            <v>20049000</v>
          </cell>
          <cell r="B980">
            <v>979</v>
          </cell>
          <cell r="C980" t="str">
            <v>CW01/3</v>
          </cell>
          <cell r="D980" t="str">
            <v>SPCC-SD</v>
          </cell>
          <cell r="E980" t="str">
            <v>AG1</v>
          </cell>
          <cell r="F980">
            <v>1.6</v>
          </cell>
          <cell r="G980">
            <v>1219</v>
          </cell>
          <cell r="H980">
            <v>2438</v>
          </cell>
          <cell r="I980" t="str">
            <v>A</v>
          </cell>
          <cell r="K980">
            <v>15</v>
          </cell>
          <cell r="L980">
            <v>562</v>
          </cell>
          <cell r="M980">
            <v>20049000</v>
          </cell>
          <cell r="N980">
            <v>38799</v>
          </cell>
          <cell r="P980" t="str">
            <v>IN6323N1L876802</v>
          </cell>
          <cell r="Q980" t="str">
            <v>แผ่นรองและสายรัดเป็นสนิม</v>
          </cell>
        </row>
        <row r="981">
          <cell r="A981">
            <v>20050075</v>
          </cell>
          <cell r="B981">
            <v>980</v>
          </cell>
          <cell r="C981" t="str">
            <v>CW01/3</v>
          </cell>
          <cell r="D981" t="str">
            <v>SPCC-SD</v>
          </cell>
          <cell r="E981" t="str">
            <v>AG1</v>
          </cell>
          <cell r="F981">
            <v>1.6</v>
          </cell>
          <cell r="G981">
            <v>1219</v>
          </cell>
          <cell r="H981">
            <v>2438</v>
          </cell>
          <cell r="I981" t="str">
            <v>A</v>
          </cell>
          <cell r="K981">
            <v>4</v>
          </cell>
          <cell r="L981">
            <v>168</v>
          </cell>
          <cell r="M981">
            <v>20050075</v>
          </cell>
          <cell r="N981">
            <v>38859</v>
          </cell>
          <cell r="P981" t="str">
            <v>IN6522D1L032103</v>
          </cell>
          <cell r="Q981" t="str">
            <v>กระดาษฉีกขาด</v>
          </cell>
        </row>
        <row r="982">
          <cell r="A982">
            <v>20050555</v>
          </cell>
          <cell r="B982">
            <v>981</v>
          </cell>
          <cell r="C982" t="str">
            <v>CW01/3</v>
          </cell>
          <cell r="D982" t="str">
            <v>SPCC-SD</v>
          </cell>
          <cell r="E982" t="str">
            <v>AG1</v>
          </cell>
          <cell r="F982">
            <v>1.6</v>
          </cell>
          <cell r="G982">
            <v>1219</v>
          </cell>
          <cell r="H982">
            <v>2438</v>
          </cell>
          <cell r="I982" t="str">
            <v>A</v>
          </cell>
          <cell r="K982">
            <v>50</v>
          </cell>
          <cell r="L982">
            <v>1868</v>
          </cell>
          <cell r="M982">
            <v>20050555</v>
          </cell>
          <cell r="N982">
            <v>38875</v>
          </cell>
          <cell r="P982" t="str">
            <v>IN6607D1L054104</v>
          </cell>
          <cell r="Q982" t="str">
            <v>แผ่นรองและสายรัดเป็นสนิม</v>
          </cell>
        </row>
        <row r="983">
          <cell r="A983">
            <v>20050583</v>
          </cell>
          <cell r="B983">
            <v>982</v>
          </cell>
          <cell r="C983" t="str">
            <v>CW01/3</v>
          </cell>
          <cell r="D983" t="str">
            <v>SPCC-SD</v>
          </cell>
          <cell r="E983" t="str">
            <v>AG1</v>
          </cell>
          <cell r="F983">
            <v>1.6</v>
          </cell>
          <cell r="G983">
            <v>1219</v>
          </cell>
          <cell r="H983">
            <v>2438</v>
          </cell>
          <cell r="I983" t="str">
            <v>A</v>
          </cell>
          <cell r="K983">
            <v>55</v>
          </cell>
          <cell r="L983">
            <v>2054</v>
          </cell>
          <cell r="M983">
            <v>20050583</v>
          </cell>
          <cell r="N983">
            <v>38876</v>
          </cell>
          <cell r="P983" t="str">
            <v>IN6608D1L054005</v>
          </cell>
          <cell r="Q983" t="str">
            <v>แผ่นรองและสายรัดเป็นสนิม</v>
          </cell>
        </row>
        <row r="984">
          <cell r="A984">
            <v>20050628</v>
          </cell>
          <cell r="B984">
            <v>983</v>
          </cell>
          <cell r="C984" t="str">
            <v>CW01/3</v>
          </cell>
          <cell r="D984" t="str">
            <v>SPCC-SD</v>
          </cell>
          <cell r="E984" t="str">
            <v>AG1</v>
          </cell>
          <cell r="F984">
            <v>1.6</v>
          </cell>
          <cell r="G984">
            <v>1219</v>
          </cell>
          <cell r="H984">
            <v>2438</v>
          </cell>
          <cell r="I984" t="str">
            <v>A</v>
          </cell>
          <cell r="K984">
            <v>44</v>
          </cell>
          <cell r="L984">
            <v>1651</v>
          </cell>
          <cell r="M984">
            <v>20050628</v>
          </cell>
          <cell r="N984">
            <v>38879</v>
          </cell>
          <cell r="P984" t="str">
            <v>IN6611N1L054106</v>
          </cell>
          <cell r="Q984" t="str">
            <v>แผ่นรองและสายรัดเป็นสนิม</v>
          </cell>
        </row>
        <row r="985">
          <cell r="A985">
            <v>20051256</v>
          </cell>
          <cell r="B985">
            <v>984</v>
          </cell>
          <cell r="C985" t="str">
            <v>CW01/3</v>
          </cell>
          <cell r="D985" t="str">
            <v>SPCC-SD</v>
          </cell>
          <cell r="E985" t="str">
            <v>AG1</v>
          </cell>
          <cell r="F985">
            <v>1.6</v>
          </cell>
          <cell r="G985">
            <v>1219</v>
          </cell>
          <cell r="H985">
            <v>2438</v>
          </cell>
          <cell r="I985" t="str">
            <v>A</v>
          </cell>
          <cell r="K985">
            <v>27</v>
          </cell>
          <cell r="L985">
            <v>1012</v>
          </cell>
          <cell r="M985">
            <v>20051256</v>
          </cell>
          <cell r="N985">
            <v>38904</v>
          </cell>
          <cell r="P985" t="str">
            <v>IN6706D1R175807</v>
          </cell>
          <cell r="Q985" t="str">
            <v>สภาพปกติ</v>
          </cell>
        </row>
        <row r="986">
          <cell r="A986">
            <v>20051438</v>
          </cell>
          <cell r="B986">
            <v>985</v>
          </cell>
          <cell r="C986" t="str">
            <v>CW01/3</v>
          </cell>
          <cell r="D986" t="str">
            <v>SPCC-SD</v>
          </cell>
          <cell r="E986" t="str">
            <v>AG1</v>
          </cell>
          <cell r="F986">
            <v>1.6</v>
          </cell>
          <cell r="G986">
            <v>1219</v>
          </cell>
          <cell r="H986">
            <v>2438</v>
          </cell>
          <cell r="I986" t="str">
            <v>A</v>
          </cell>
          <cell r="K986">
            <v>43</v>
          </cell>
          <cell r="L986">
            <v>1610</v>
          </cell>
          <cell r="M986">
            <v>20051438</v>
          </cell>
          <cell r="N986">
            <v>38916</v>
          </cell>
          <cell r="P986" t="str">
            <v>IN6718N1L210208</v>
          </cell>
          <cell r="Q986" t="str">
            <v>สภาพปกติ</v>
          </cell>
        </row>
        <row r="987">
          <cell r="A987">
            <v>20051442</v>
          </cell>
          <cell r="B987">
            <v>986</v>
          </cell>
          <cell r="C987" t="str">
            <v>CW01/3</v>
          </cell>
          <cell r="D987" t="str">
            <v>SPCC-SD</v>
          </cell>
          <cell r="E987" t="str">
            <v>AG1</v>
          </cell>
          <cell r="F987">
            <v>1.6</v>
          </cell>
          <cell r="G987">
            <v>1219</v>
          </cell>
          <cell r="H987">
            <v>2438</v>
          </cell>
          <cell r="I987" t="str">
            <v>A</v>
          </cell>
          <cell r="K987">
            <v>23</v>
          </cell>
          <cell r="L987">
            <v>862</v>
          </cell>
          <cell r="M987">
            <v>20051442</v>
          </cell>
          <cell r="N987">
            <v>38916</v>
          </cell>
          <cell r="P987" t="str">
            <v>IN6718N1L210209</v>
          </cell>
          <cell r="Q987" t="str">
            <v>แผ่นรองและสายรัดเป็นสนิม</v>
          </cell>
        </row>
        <row r="988">
          <cell r="A988">
            <v>20051868</v>
          </cell>
          <cell r="B988">
            <v>987</v>
          </cell>
          <cell r="C988" t="str">
            <v>CW01/3</v>
          </cell>
          <cell r="D988" t="str">
            <v>SPCC-SD</v>
          </cell>
          <cell r="E988" t="str">
            <v>AG1</v>
          </cell>
          <cell r="F988">
            <v>1.6</v>
          </cell>
          <cell r="G988">
            <v>1219</v>
          </cell>
          <cell r="H988">
            <v>2438</v>
          </cell>
          <cell r="I988" t="str">
            <v>A</v>
          </cell>
          <cell r="K988">
            <v>43</v>
          </cell>
          <cell r="L988">
            <v>1610</v>
          </cell>
          <cell r="M988">
            <v>20051868</v>
          </cell>
          <cell r="N988">
            <v>38934</v>
          </cell>
          <cell r="P988" t="str">
            <v>IN6805N1L272710</v>
          </cell>
          <cell r="Q988" t="str">
            <v>สภาพปกติ</v>
          </cell>
        </row>
        <row r="989">
          <cell r="A989">
            <v>20051982</v>
          </cell>
          <cell r="B989">
            <v>988</v>
          </cell>
          <cell r="C989" t="str">
            <v>CW01/3</v>
          </cell>
          <cell r="D989" t="str">
            <v>SPCC-SD</v>
          </cell>
          <cell r="E989" t="str">
            <v>AG1</v>
          </cell>
          <cell r="F989">
            <v>1.6</v>
          </cell>
          <cell r="G989">
            <v>1219</v>
          </cell>
          <cell r="H989">
            <v>2438</v>
          </cell>
          <cell r="I989" t="str">
            <v>A</v>
          </cell>
          <cell r="K989">
            <v>45</v>
          </cell>
          <cell r="L989">
            <v>1686</v>
          </cell>
          <cell r="M989">
            <v>20051982</v>
          </cell>
          <cell r="N989">
            <v>38944</v>
          </cell>
          <cell r="P989" t="str">
            <v>IN6815D1R295311</v>
          </cell>
          <cell r="Q989" t="str">
            <v>สภาพปกติ</v>
          </cell>
        </row>
        <row r="990">
          <cell r="A990">
            <v>20050343</v>
          </cell>
          <cell r="B990">
            <v>989</v>
          </cell>
          <cell r="C990" t="str">
            <v>CW01/3</v>
          </cell>
          <cell r="D990" t="str">
            <v>SPCC-SD</v>
          </cell>
          <cell r="E990" t="str">
            <v>AG1</v>
          </cell>
          <cell r="F990">
            <v>2</v>
          </cell>
          <cell r="G990">
            <v>1219</v>
          </cell>
          <cell r="H990">
            <v>2438</v>
          </cell>
          <cell r="I990" t="str">
            <v>A</v>
          </cell>
          <cell r="K990">
            <v>56</v>
          </cell>
          <cell r="L990">
            <v>2624</v>
          </cell>
          <cell r="M990">
            <v>20050343</v>
          </cell>
          <cell r="N990">
            <v>38869</v>
          </cell>
          <cell r="P990" t="str">
            <v>IN6601D1L053401</v>
          </cell>
          <cell r="Q990" t="str">
            <v>แผ่นรองและสายรัดเป็นสนิม</v>
          </cell>
        </row>
        <row r="991">
          <cell r="A991">
            <v>20051783</v>
          </cell>
          <cell r="B991">
            <v>990</v>
          </cell>
          <cell r="C991" t="str">
            <v>CW01/3</v>
          </cell>
          <cell r="D991" t="str">
            <v>SPCC-SD</v>
          </cell>
          <cell r="E991" t="str">
            <v>AG1</v>
          </cell>
          <cell r="F991">
            <v>2</v>
          </cell>
          <cell r="G991">
            <v>1219</v>
          </cell>
          <cell r="H991">
            <v>2438</v>
          </cell>
          <cell r="I991" t="str">
            <v>A</v>
          </cell>
          <cell r="K991">
            <v>5</v>
          </cell>
          <cell r="L991">
            <v>234</v>
          </cell>
          <cell r="M991">
            <v>20051783</v>
          </cell>
          <cell r="N991">
            <v>38930</v>
          </cell>
          <cell r="P991" t="str">
            <v>IN6801D1R250002</v>
          </cell>
          <cell r="Q991" t="str">
            <v>กระดาษฉีกขาดและเป็นสนิม</v>
          </cell>
        </row>
        <row r="992">
          <cell r="A992">
            <v>20051866</v>
          </cell>
          <cell r="B992">
            <v>991</v>
          </cell>
          <cell r="C992" t="str">
            <v>CW01/3</v>
          </cell>
          <cell r="D992" t="str">
            <v>SPCC-SD</v>
          </cell>
          <cell r="E992" t="str">
            <v>AG1</v>
          </cell>
          <cell r="F992">
            <v>2</v>
          </cell>
          <cell r="G992">
            <v>1219</v>
          </cell>
          <cell r="H992">
            <v>2438</v>
          </cell>
          <cell r="I992" t="str">
            <v>A</v>
          </cell>
          <cell r="K992">
            <v>17</v>
          </cell>
          <cell r="L992">
            <v>795</v>
          </cell>
          <cell r="M992">
            <v>20051866</v>
          </cell>
          <cell r="N992">
            <v>38934</v>
          </cell>
          <cell r="P992" t="str">
            <v>IN6805N1L271903</v>
          </cell>
          <cell r="Q992" t="str">
            <v>แผ่นรองและสายรัดเป็นสนิม</v>
          </cell>
        </row>
        <row r="993">
          <cell r="A993">
            <v>20052217</v>
          </cell>
          <cell r="B993">
            <v>992</v>
          </cell>
          <cell r="C993" t="str">
            <v>CW01/3</v>
          </cell>
          <cell r="D993" t="str">
            <v>SPCC-SD</v>
          </cell>
          <cell r="E993" t="str">
            <v>AG1</v>
          </cell>
          <cell r="F993">
            <v>2</v>
          </cell>
          <cell r="G993">
            <v>1219</v>
          </cell>
          <cell r="H993">
            <v>2438</v>
          </cell>
          <cell r="I993" t="str">
            <v>A</v>
          </cell>
          <cell r="K993">
            <v>8</v>
          </cell>
          <cell r="L993">
            <v>373</v>
          </cell>
          <cell r="M993">
            <v>20052217</v>
          </cell>
          <cell r="N993">
            <v>38961</v>
          </cell>
          <cell r="P993" t="str">
            <v>IN6901D2D338704</v>
          </cell>
          <cell r="Q993" t="str">
            <v>แผ่นรองและสายรัดเป็นสนิม</v>
          </cell>
        </row>
        <row r="994">
          <cell r="A994">
            <v>50117440</v>
          </cell>
          <cell r="B994">
            <v>993</v>
          </cell>
          <cell r="C994" t="str">
            <v>CW01/3</v>
          </cell>
          <cell r="D994" t="str">
            <v>SPCC-SD</v>
          </cell>
          <cell r="E994" t="str">
            <v>AF1</v>
          </cell>
          <cell r="F994">
            <v>1.6</v>
          </cell>
          <cell r="G994">
            <v>1219</v>
          </cell>
          <cell r="H994">
            <v>2380</v>
          </cell>
          <cell r="I994" t="str">
            <v>A</v>
          </cell>
          <cell r="K994">
            <v>30</v>
          </cell>
          <cell r="L994">
            <v>1093</v>
          </cell>
          <cell r="M994">
            <v>50117440</v>
          </cell>
          <cell r="N994">
            <v>38769</v>
          </cell>
          <cell r="P994" t="str">
            <v>IN6221D2L734601</v>
          </cell>
          <cell r="Q994" t="str">
            <v>แผ่นรองและสายรัดเป็นสนิม</v>
          </cell>
        </row>
        <row r="995">
          <cell r="A995">
            <v>20051264</v>
          </cell>
          <cell r="B995">
            <v>994</v>
          </cell>
          <cell r="C995" t="str">
            <v>CW01/4</v>
          </cell>
          <cell r="D995" t="str">
            <v>SPHC P/O</v>
          </cell>
          <cell r="E995" t="str">
            <v>CA1</v>
          </cell>
          <cell r="F995">
            <v>4</v>
          </cell>
          <cell r="G995">
            <v>1219</v>
          </cell>
          <cell r="H995">
            <v>2438</v>
          </cell>
          <cell r="I995" t="str">
            <v>A</v>
          </cell>
          <cell r="K995">
            <v>4</v>
          </cell>
          <cell r="L995">
            <v>373</v>
          </cell>
          <cell r="M995">
            <v>20051264</v>
          </cell>
          <cell r="N995">
            <v>38904</v>
          </cell>
          <cell r="P995" t="str">
            <v>IN6706D1D183801</v>
          </cell>
          <cell r="Q995" t="str">
            <v>แผ่นรองและสายรัดเป็นสนิม, กระดาษฉีกขาด</v>
          </cell>
        </row>
        <row r="996">
          <cell r="A996">
            <v>20050626</v>
          </cell>
          <cell r="B996">
            <v>995</v>
          </cell>
          <cell r="C996" t="str">
            <v>CW01/4</v>
          </cell>
          <cell r="D996" t="str">
            <v>SPHC P/O</v>
          </cell>
          <cell r="E996" t="str">
            <v>CA1</v>
          </cell>
          <cell r="F996">
            <v>4.5</v>
          </cell>
          <cell r="G996">
            <v>1219</v>
          </cell>
          <cell r="H996">
            <v>2438</v>
          </cell>
          <cell r="I996" t="str">
            <v>A</v>
          </cell>
          <cell r="K996">
            <v>1</v>
          </cell>
          <cell r="L996">
            <v>105</v>
          </cell>
          <cell r="M996">
            <v>20050626</v>
          </cell>
          <cell r="N996">
            <v>38879</v>
          </cell>
          <cell r="P996" t="str">
            <v>IN6611N3D096701</v>
          </cell>
          <cell r="Q996" t="str">
            <v>แผ่นรองและสายรัดเป็นสนิม, กระดาษฉีกขาด</v>
          </cell>
        </row>
        <row r="997">
          <cell r="A997">
            <v>20051494</v>
          </cell>
          <cell r="B997">
            <v>996</v>
          </cell>
          <cell r="C997" t="str">
            <v>CW01/4</v>
          </cell>
          <cell r="D997" t="str">
            <v>SPHC P/O</v>
          </cell>
          <cell r="E997" t="str">
            <v>CA1</v>
          </cell>
          <cell r="F997">
            <v>4.5</v>
          </cell>
          <cell r="G997">
            <v>1219</v>
          </cell>
          <cell r="H997">
            <v>2438</v>
          </cell>
          <cell r="I997" t="str">
            <v>A</v>
          </cell>
          <cell r="K997">
            <v>11</v>
          </cell>
          <cell r="L997">
            <v>1150</v>
          </cell>
          <cell r="M997">
            <v>20051494</v>
          </cell>
          <cell r="N997">
            <v>38918</v>
          </cell>
          <cell r="O997" t="str">
            <v>136420PCI035</v>
          </cell>
          <cell r="P997" t="str">
            <v>IN6720N2D216501</v>
          </cell>
          <cell r="Q997" t="str">
            <v>แผ่นรองและสายรัดเป็นสนิม</v>
          </cell>
        </row>
        <row r="998">
          <cell r="A998">
            <v>20050572</v>
          </cell>
          <cell r="B998">
            <v>997</v>
          </cell>
          <cell r="C998" t="str">
            <v>CW01/4</v>
          </cell>
          <cell r="D998" t="str">
            <v>SPHC P/O</v>
          </cell>
          <cell r="E998" t="str">
            <v>CA1</v>
          </cell>
          <cell r="F998">
            <v>5</v>
          </cell>
          <cell r="G998">
            <v>1219</v>
          </cell>
          <cell r="H998">
            <v>2438</v>
          </cell>
          <cell r="I998" t="str">
            <v>A</v>
          </cell>
          <cell r="K998">
            <v>11</v>
          </cell>
          <cell r="L998">
            <v>1305</v>
          </cell>
          <cell r="M998">
            <v>20050572</v>
          </cell>
          <cell r="N998">
            <v>38876</v>
          </cell>
          <cell r="O998" t="str">
            <v>136324PCI001</v>
          </cell>
          <cell r="P998" t="str">
            <v>IN6608D2L076701</v>
          </cell>
          <cell r="Q998" t="str">
            <v>แผ่นรองและสายรัดเป็นสนิม</v>
          </cell>
        </row>
        <row r="999">
          <cell r="A999">
            <v>20051137</v>
          </cell>
          <cell r="B999">
            <v>998</v>
          </cell>
          <cell r="C999" t="str">
            <v>CW01/4</v>
          </cell>
          <cell r="D999" t="str">
            <v>SPHC P/O</v>
          </cell>
          <cell r="E999" t="str">
            <v>CA1</v>
          </cell>
          <cell r="F999">
            <v>5</v>
          </cell>
          <cell r="G999">
            <v>1219</v>
          </cell>
          <cell r="H999">
            <v>2438</v>
          </cell>
          <cell r="I999" t="str">
            <v>A</v>
          </cell>
          <cell r="K999">
            <v>16</v>
          </cell>
          <cell r="L999">
            <v>1866</v>
          </cell>
          <cell r="M999">
            <v>20051137</v>
          </cell>
          <cell r="N999">
            <v>38898</v>
          </cell>
          <cell r="P999" t="str">
            <v>IN6630D2D157901</v>
          </cell>
          <cell r="Q999" t="str">
            <v>แผ่นรองและสายรัดเป็นสนิม</v>
          </cell>
        </row>
        <row r="1000">
          <cell r="A1000">
            <v>20051291</v>
          </cell>
          <cell r="B1000">
            <v>999</v>
          </cell>
          <cell r="C1000" t="str">
            <v>CW01/4</v>
          </cell>
          <cell r="D1000" t="str">
            <v>SPHC P/O</v>
          </cell>
          <cell r="E1000" t="str">
            <v>CA1</v>
          </cell>
          <cell r="F1000">
            <v>5</v>
          </cell>
          <cell r="G1000">
            <v>1219</v>
          </cell>
          <cell r="H1000">
            <v>2438</v>
          </cell>
          <cell r="I1000" t="str">
            <v>A</v>
          </cell>
          <cell r="K1000">
            <v>15</v>
          </cell>
          <cell r="L1000">
            <v>1750</v>
          </cell>
          <cell r="M1000">
            <v>20051291</v>
          </cell>
          <cell r="N1000">
            <v>38906</v>
          </cell>
          <cell r="P1000" t="str">
            <v>IN6708N2L187001</v>
          </cell>
          <cell r="Q1000" t="str">
            <v>แผ่นรองและสายรัดเป็นสนิม</v>
          </cell>
        </row>
        <row r="1001">
          <cell r="A1001">
            <v>20047406</v>
          </cell>
          <cell r="B1001">
            <v>1000</v>
          </cell>
          <cell r="C1001" t="str">
            <v>CW01/4</v>
          </cell>
          <cell r="D1001" t="str">
            <v>SPHC P/O</v>
          </cell>
          <cell r="E1001" t="str">
            <v>CA1</v>
          </cell>
          <cell r="F1001">
            <v>6</v>
          </cell>
          <cell r="G1001">
            <v>1219</v>
          </cell>
          <cell r="H1001">
            <v>2438</v>
          </cell>
          <cell r="I1001" t="str">
            <v>A</v>
          </cell>
          <cell r="K1001">
            <v>2</v>
          </cell>
          <cell r="L1001">
            <v>280</v>
          </cell>
          <cell r="M1001">
            <v>20047406</v>
          </cell>
          <cell r="N1001">
            <v>38737</v>
          </cell>
          <cell r="O1001" t="str">
            <v>135A12NSI009</v>
          </cell>
          <cell r="P1001" t="str">
            <v>IN6120D2D663101</v>
          </cell>
          <cell r="Q1001" t="str">
            <v>แผ่นรองและสายรัดเป็นสนิม, กระดาษฉีกขาด</v>
          </cell>
        </row>
        <row r="1002">
          <cell r="A1002">
            <v>20049383</v>
          </cell>
          <cell r="B1002">
            <v>1001</v>
          </cell>
          <cell r="C1002" t="str">
            <v>CW01/4</v>
          </cell>
          <cell r="D1002" t="str">
            <v>SPHC P/O</v>
          </cell>
          <cell r="E1002" t="str">
            <v>CA1</v>
          </cell>
          <cell r="F1002">
            <v>6</v>
          </cell>
          <cell r="G1002">
            <v>1219</v>
          </cell>
          <cell r="H1002">
            <v>2438</v>
          </cell>
          <cell r="I1002" t="str">
            <v>A</v>
          </cell>
          <cell r="K1002">
            <v>4</v>
          </cell>
          <cell r="L1002">
            <v>560</v>
          </cell>
          <cell r="M1002">
            <v>20049383</v>
          </cell>
          <cell r="N1002">
            <v>38826</v>
          </cell>
          <cell r="P1002" t="str">
            <v>IN6419D3D935801</v>
          </cell>
          <cell r="Q1002" t="str">
            <v>แผ่นรองและสายรัดเป็นสนิม, กระดาษฉีกขาด</v>
          </cell>
        </row>
        <row r="1003">
          <cell r="A1003">
            <v>20049679</v>
          </cell>
          <cell r="B1003">
            <v>1002</v>
          </cell>
          <cell r="C1003" t="str">
            <v>CW01/4</v>
          </cell>
          <cell r="D1003" t="str">
            <v>SPHC P/O</v>
          </cell>
          <cell r="E1003" t="str">
            <v>CA1</v>
          </cell>
          <cell r="F1003">
            <v>6</v>
          </cell>
          <cell r="G1003">
            <v>1219</v>
          </cell>
          <cell r="H1003">
            <v>2438</v>
          </cell>
          <cell r="I1003" t="str">
            <v>A</v>
          </cell>
          <cell r="K1003">
            <v>8</v>
          </cell>
          <cell r="L1003">
            <v>1130</v>
          </cell>
          <cell r="M1003">
            <v>20049679</v>
          </cell>
          <cell r="N1003">
            <v>38842</v>
          </cell>
          <cell r="O1003" t="str">
            <v>136215JFI022</v>
          </cell>
          <cell r="P1003" t="str">
            <v>IN6505D2L981801</v>
          </cell>
          <cell r="Q1003" t="str">
            <v>แผ่นรองและสายรัดเป็นสนิม</v>
          </cell>
        </row>
        <row r="1004">
          <cell r="A1004">
            <v>20049721</v>
          </cell>
          <cell r="B1004">
            <v>1003</v>
          </cell>
          <cell r="C1004" t="str">
            <v>CW01/4</v>
          </cell>
          <cell r="D1004" t="str">
            <v>SPHC P/O</v>
          </cell>
          <cell r="E1004" t="str">
            <v>CA1</v>
          </cell>
          <cell r="F1004">
            <v>6</v>
          </cell>
          <cell r="G1004">
            <v>1219</v>
          </cell>
          <cell r="H1004">
            <v>2438</v>
          </cell>
          <cell r="I1004" t="str">
            <v>A</v>
          </cell>
          <cell r="K1004">
            <v>3</v>
          </cell>
          <cell r="L1004">
            <v>420</v>
          </cell>
          <cell r="M1004">
            <v>20049721</v>
          </cell>
          <cell r="N1004">
            <v>38843</v>
          </cell>
          <cell r="O1004" t="str">
            <v>135817SSD001</v>
          </cell>
          <cell r="P1004" t="str">
            <v>IN6506D1D995401</v>
          </cell>
          <cell r="Q1004" t="str">
            <v>แผ่นรองและสายรัดเป็นสนิม, กระดาษฉีกขาด</v>
          </cell>
        </row>
        <row r="1005">
          <cell r="A1005">
            <v>20050537</v>
          </cell>
          <cell r="B1005">
            <v>1004</v>
          </cell>
          <cell r="C1005" t="str">
            <v>CW01/4</v>
          </cell>
          <cell r="D1005" t="str">
            <v>SPHC P/O</v>
          </cell>
          <cell r="E1005" t="str">
            <v>CA1</v>
          </cell>
          <cell r="F1005">
            <v>6</v>
          </cell>
          <cell r="G1005">
            <v>1219</v>
          </cell>
          <cell r="H1005">
            <v>2438</v>
          </cell>
          <cell r="I1005" t="str">
            <v>A</v>
          </cell>
          <cell r="K1005">
            <v>2</v>
          </cell>
          <cell r="L1005">
            <v>280</v>
          </cell>
          <cell r="M1005">
            <v>20050537</v>
          </cell>
          <cell r="N1005">
            <v>38875</v>
          </cell>
          <cell r="O1005" t="str">
            <v>136110JFI014</v>
          </cell>
          <cell r="P1005" t="str">
            <v>IN6607N1D072701</v>
          </cell>
          <cell r="Q1005" t="str">
            <v>แผ่นรองและสายรัดเป็นสนิม, กระดาษฉีกขาด</v>
          </cell>
        </row>
        <row r="1006">
          <cell r="A1006">
            <v>20050625</v>
          </cell>
          <cell r="B1006">
            <v>1005</v>
          </cell>
          <cell r="C1006" t="str">
            <v>CW01/4</v>
          </cell>
          <cell r="D1006" t="str">
            <v>SPHC P/O</v>
          </cell>
          <cell r="E1006" t="str">
            <v>CA1</v>
          </cell>
          <cell r="F1006">
            <v>6</v>
          </cell>
          <cell r="G1006">
            <v>1219</v>
          </cell>
          <cell r="H1006">
            <v>2438</v>
          </cell>
          <cell r="I1006" t="str">
            <v>A</v>
          </cell>
          <cell r="K1006">
            <v>3</v>
          </cell>
          <cell r="L1006">
            <v>420</v>
          </cell>
          <cell r="M1006">
            <v>20050625</v>
          </cell>
          <cell r="N1006">
            <v>38879</v>
          </cell>
          <cell r="O1006" t="str">
            <v>136110JFI015</v>
          </cell>
          <cell r="P1006" t="str">
            <v>IN6611D1D096901</v>
          </cell>
          <cell r="Q1006" t="str">
            <v>แผ่นรองและสายรัดเป็นสนิม, กระดาษฉีกขาด</v>
          </cell>
        </row>
        <row r="1007">
          <cell r="A1007">
            <v>20051766</v>
          </cell>
          <cell r="B1007">
            <v>1006</v>
          </cell>
          <cell r="C1007" t="str">
            <v>CW01/4</v>
          </cell>
          <cell r="D1007" t="str">
            <v>SPHC P/O</v>
          </cell>
          <cell r="E1007" t="str">
            <v>CA1</v>
          </cell>
          <cell r="F1007">
            <v>6</v>
          </cell>
          <cell r="G1007">
            <v>1219</v>
          </cell>
          <cell r="H1007">
            <v>2438</v>
          </cell>
          <cell r="I1007" t="str">
            <v>A</v>
          </cell>
          <cell r="K1007">
            <v>10</v>
          </cell>
          <cell r="L1007">
            <v>1405</v>
          </cell>
          <cell r="M1007">
            <v>20051766</v>
          </cell>
          <cell r="N1007">
            <v>38929</v>
          </cell>
          <cell r="O1007" t="str">
            <v>136527PCI021</v>
          </cell>
          <cell r="P1007" t="str">
            <v>IN6731D1D249901</v>
          </cell>
          <cell r="Q1007" t="str">
            <v>แผ่นรองและสายรัดเป็นสนิม, กระดาษฉีกขาด</v>
          </cell>
        </row>
        <row r="1008">
          <cell r="A1008">
            <v>20051896</v>
          </cell>
          <cell r="B1008">
            <v>1007</v>
          </cell>
          <cell r="C1008" t="str">
            <v>CW01/4</v>
          </cell>
          <cell r="D1008" t="str">
            <v>SPHC P/O</v>
          </cell>
          <cell r="E1008" t="str">
            <v>CA1</v>
          </cell>
          <cell r="F1008">
            <v>6</v>
          </cell>
          <cell r="G1008">
            <v>1219</v>
          </cell>
          <cell r="H1008">
            <v>2438</v>
          </cell>
          <cell r="I1008" t="str">
            <v>A</v>
          </cell>
          <cell r="K1008">
            <v>6</v>
          </cell>
          <cell r="L1008">
            <v>840</v>
          </cell>
          <cell r="M1008">
            <v>20051896</v>
          </cell>
          <cell r="N1008">
            <v>38937</v>
          </cell>
          <cell r="O1008" t="str">
            <v>136527PCI022</v>
          </cell>
          <cell r="P1008" t="str">
            <v>IN6808D2D277401</v>
          </cell>
          <cell r="Q1008" t="str">
            <v>แผ่นรองและสายรัดเป็นสนิม, กระดาษฉีกขาด</v>
          </cell>
        </row>
        <row r="1009">
          <cell r="A1009">
            <v>20052126</v>
          </cell>
          <cell r="B1009">
            <v>1008</v>
          </cell>
          <cell r="C1009" t="str">
            <v>CW01/4</v>
          </cell>
          <cell r="D1009" t="str">
            <v>SPHC P/O</v>
          </cell>
          <cell r="E1009" t="str">
            <v>CA1</v>
          </cell>
          <cell r="F1009">
            <v>6</v>
          </cell>
          <cell r="G1009">
            <v>1219</v>
          </cell>
          <cell r="H1009">
            <v>2438</v>
          </cell>
          <cell r="I1009" t="str">
            <v>A</v>
          </cell>
          <cell r="K1009">
            <v>5</v>
          </cell>
          <cell r="L1009">
            <v>707</v>
          </cell>
          <cell r="M1009">
            <v>20052126</v>
          </cell>
          <cell r="N1009">
            <v>38953</v>
          </cell>
          <cell r="O1009" t="str">
            <v>136110JFI016</v>
          </cell>
          <cell r="P1009" t="str">
            <v>IN6824D2D318901</v>
          </cell>
          <cell r="Q1009" t="str">
            <v>แผ่นรองและสายรัดเป็นสนิม, กระดาษฉีกขาด</v>
          </cell>
        </row>
        <row r="1010">
          <cell r="A1010">
            <v>20050499</v>
          </cell>
          <cell r="B1010">
            <v>1009</v>
          </cell>
          <cell r="C1010" t="str">
            <v>CW01/4</v>
          </cell>
          <cell r="D1010" t="str">
            <v>SAPH440 P/O</v>
          </cell>
          <cell r="E1010" t="str">
            <v>CA5</v>
          </cell>
          <cell r="F1010">
            <v>2</v>
          </cell>
          <cell r="G1010">
            <v>1219</v>
          </cell>
          <cell r="H1010">
            <v>2438</v>
          </cell>
          <cell r="I1010" t="str">
            <v>A</v>
          </cell>
          <cell r="K1010">
            <v>36</v>
          </cell>
          <cell r="L1010">
            <v>1671</v>
          </cell>
          <cell r="M1010">
            <v>20050499</v>
          </cell>
          <cell r="N1010">
            <v>38874</v>
          </cell>
          <cell r="P1010" t="str">
            <v>IN6606D2L051301</v>
          </cell>
          <cell r="Q1010" t="str">
            <v>แผ่นรองและสายรัดเป็นสนิม, กระดาษฉีกขาด</v>
          </cell>
        </row>
        <row r="1011">
          <cell r="A1011">
            <v>20051201</v>
          </cell>
          <cell r="B1011">
            <v>1010</v>
          </cell>
          <cell r="C1011" t="str">
            <v>CW01/4</v>
          </cell>
          <cell r="D1011" t="str">
            <v>SAPH440 P/O</v>
          </cell>
          <cell r="E1011" t="str">
            <v>CA5</v>
          </cell>
          <cell r="F1011">
            <v>2</v>
          </cell>
          <cell r="G1011">
            <v>1219</v>
          </cell>
          <cell r="H1011">
            <v>2438</v>
          </cell>
          <cell r="I1011" t="str">
            <v>A</v>
          </cell>
          <cell r="K1011">
            <v>7</v>
          </cell>
          <cell r="L1011">
            <v>327</v>
          </cell>
          <cell r="M1011">
            <v>20051201</v>
          </cell>
          <cell r="N1011">
            <v>38902</v>
          </cell>
          <cell r="P1011" t="str">
            <v>IN6704D3D172201</v>
          </cell>
          <cell r="Q1011" t="str">
            <v>แผ่นรองและสายรัดเป็นสนิม, กระดาษฉีกขาด</v>
          </cell>
        </row>
        <row r="1012">
          <cell r="A1012">
            <v>20051915</v>
          </cell>
          <cell r="B1012">
            <v>1011</v>
          </cell>
          <cell r="C1012" t="str">
            <v>CW01/4</v>
          </cell>
          <cell r="D1012" t="str">
            <v>SAPH440 P/O</v>
          </cell>
          <cell r="E1012" t="str">
            <v>CA5</v>
          </cell>
          <cell r="F1012">
            <v>2</v>
          </cell>
          <cell r="G1012">
            <v>1219</v>
          </cell>
          <cell r="H1012">
            <v>2438</v>
          </cell>
          <cell r="I1012" t="str">
            <v>A</v>
          </cell>
          <cell r="K1012">
            <v>9</v>
          </cell>
          <cell r="L1012">
            <v>420</v>
          </cell>
          <cell r="M1012">
            <v>20051915</v>
          </cell>
          <cell r="N1012">
            <v>38938</v>
          </cell>
          <cell r="P1012" t="str">
            <v>IN6809D1D280801</v>
          </cell>
          <cell r="Q1012" t="str">
            <v>แผ่นรองและสายรัดเป็นสนิม, กระดาษฉีกขาด</v>
          </cell>
        </row>
        <row r="1013">
          <cell r="A1013">
            <v>20052019</v>
          </cell>
          <cell r="B1013">
            <v>1012</v>
          </cell>
          <cell r="C1013" t="str">
            <v>CW01/4</v>
          </cell>
          <cell r="D1013" t="str">
            <v>SAPH440 P/O</v>
          </cell>
          <cell r="E1013" t="str">
            <v>CA5</v>
          </cell>
          <cell r="F1013">
            <v>2</v>
          </cell>
          <cell r="G1013">
            <v>1219</v>
          </cell>
          <cell r="H1013">
            <v>2438</v>
          </cell>
          <cell r="I1013" t="str">
            <v>A</v>
          </cell>
          <cell r="K1013">
            <v>30</v>
          </cell>
          <cell r="L1013">
            <v>1404</v>
          </cell>
          <cell r="M1013">
            <v>20052019</v>
          </cell>
          <cell r="N1013">
            <v>38947</v>
          </cell>
          <cell r="O1013" t="str">
            <v>136814PCI011</v>
          </cell>
          <cell r="P1013" t="str">
            <v>IN6818D1L303501</v>
          </cell>
          <cell r="Q1013" t="str">
            <v>แผ่นรองและสายรัดเป็นสนิม</v>
          </cell>
        </row>
        <row r="1014">
          <cell r="A1014">
            <v>20052077</v>
          </cell>
          <cell r="B1014">
            <v>1013</v>
          </cell>
          <cell r="C1014" t="str">
            <v>CW01/4</v>
          </cell>
          <cell r="D1014" t="str">
            <v>SAPH440 P/O</v>
          </cell>
          <cell r="E1014" t="str">
            <v>CA5</v>
          </cell>
          <cell r="F1014">
            <v>2.2999999999999998</v>
          </cell>
          <cell r="G1014">
            <v>1219</v>
          </cell>
          <cell r="H1014">
            <v>2438</v>
          </cell>
          <cell r="I1014" t="str">
            <v>A</v>
          </cell>
          <cell r="K1014">
            <v>26</v>
          </cell>
          <cell r="L1014">
            <v>1395</v>
          </cell>
          <cell r="M1014">
            <v>20052077</v>
          </cell>
          <cell r="N1014">
            <v>38952</v>
          </cell>
          <cell r="P1014" t="str">
            <v>IN6823N1D316101</v>
          </cell>
          <cell r="Q1014" t="str">
            <v>แผ่นรองและสายรัดเป็นสนิม, กระดาษฉีกขาด</v>
          </cell>
        </row>
        <row r="1015">
          <cell r="A1015">
            <v>20051421</v>
          </cell>
          <cell r="B1015">
            <v>1014</v>
          </cell>
          <cell r="C1015" t="str">
            <v>CW01/4</v>
          </cell>
          <cell r="D1015" t="str">
            <v>SAPH440 P/O</v>
          </cell>
          <cell r="E1015" t="str">
            <v>CA5</v>
          </cell>
          <cell r="F1015">
            <v>3</v>
          </cell>
          <cell r="G1015">
            <v>1219</v>
          </cell>
          <cell r="H1015">
            <v>2438</v>
          </cell>
          <cell r="I1015" t="str">
            <v>A</v>
          </cell>
          <cell r="K1015">
            <v>7</v>
          </cell>
          <cell r="L1015">
            <v>493</v>
          </cell>
          <cell r="M1015">
            <v>20051421</v>
          </cell>
          <cell r="N1015">
            <v>38913</v>
          </cell>
          <cell r="P1015" t="str">
            <v>IN6715D3D206001</v>
          </cell>
          <cell r="Q1015" t="str">
            <v>แผ่นรองและสายรัดเป็นสนิม, กระดาษฉีกขาด</v>
          </cell>
        </row>
        <row r="1016">
          <cell r="A1016">
            <v>20049061</v>
          </cell>
          <cell r="B1016">
            <v>1015</v>
          </cell>
          <cell r="C1016" t="str">
            <v>CW01/4</v>
          </cell>
          <cell r="D1016" t="str">
            <v>SAPH440 P/O</v>
          </cell>
          <cell r="E1016" t="str">
            <v>CA5</v>
          </cell>
          <cell r="F1016">
            <v>3.2</v>
          </cell>
          <cell r="G1016">
            <v>1219</v>
          </cell>
          <cell r="H1016">
            <v>2438</v>
          </cell>
          <cell r="I1016" t="str">
            <v>A</v>
          </cell>
          <cell r="K1016">
            <v>1</v>
          </cell>
          <cell r="L1016">
            <v>75</v>
          </cell>
          <cell r="M1016">
            <v>20049061</v>
          </cell>
          <cell r="N1016">
            <v>38893</v>
          </cell>
          <cell r="P1016" t="str">
            <v>IN6625N1D881601</v>
          </cell>
          <cell r="Q1016" t="str">
            <v>แผ่นรองและสายรัดเป็นสนิม, กระดาษฉีกขาด</v>
          </cell>
        </row>
        <row r="1017">
          <cell r="A1017">
            <v>20051200</v>
          </cell>
          <cell r="B1017">
            <v>1016</v>
          </cell>
          <cell r="C1017" t="str">
            <v>CW01/4</v>
          </cell>
          <cell r="D1017" t="str">
            <v>SAPH440 P/O</v>
          </cell>
          <cell r="E1017" t="str">
            <v>CA5</v>
          </cell>
          <cell r="F1017">
            <v>3.2</v>
          </cell>
          <cell r="G1017">
            <v>1219</v>
          </cell>
          <cell r="H1017">
            <v>2438</v>
          </cell>
          <cell r="I1017" t="str">
            <v>A</v>
          </cell>
          <cell r="K1017">
            <v>21</v>
          </cell>
          <cell r="L1017">
            <v>1568</v>
          </cell>
          <cell r="M1017">
            <v>20051200</v>
          </cell>
          <cell r="N1017">
            <v>38902</v>
          </cell>
          <cell r="O1017" t="str">
            <v>136527PCI024</v>
          </cell>
          <cell r="P1017" t="str">
            <v>IN6704D1D172101</v>
          </cell>
          <cell r="Q1017" t="str">
            <v>แผ่นรองและสายรัดเป็นสนิม, กระดาษฉีกขาด</v>
          </cell>
        </row>
        <row r="1018">
          <cell r="A1018">
            <v>20051235</v>
          </cell>
          <cell r="B1018">
            <v>1017</v>
          </cell>
          <cell r="C1018" t="str">
            <v>CW01/4</v>
          </cell>
          <cell r="D1018" t="str">
            <v>SAPH440 P/O</v>
          </cell>
          <cell r="E1018" t="str">
            <v>CA5</v>
          </cell>
          <cell r="F1018">
            <v>3.2</v>
          </cell>
          <cell r="G1018">
            <v>1219</v>
          </cell>
          <cell r="H1018">
            <v>2438</v>
          </cell>
          <cell r="I1018" t="str">
            <v>A</v>
          </cell>
          <cell r="K1018">
            <v>20</v>
          </cell>
          <cell r="L1018">
            <v>1493</v>
          </cell>
          <cell r="M1018">
            <v>20051235</v>
          </cell>
          <cell r="N1018">
            <v>38903</v>
          </cell>
          <cell r="P1018" t="str">
            <v>IN6705D1R176301</v>
          </cell>
          <cell r="Q1018" t="str">
            <v>แผ่นรองและสายรัดเป็นสนิม, กระดาษฉีกขาด</v>
          </cell>
        </row>
        <row r="1019">
          <cell r="A1019">
            <v>20051718</v>
          </cell>
          <cell r="B1019">
            <v>1018</v>
          </cell>
          <cell r="C1019" t="str">
            <v>CW01/4</v>
          </cell>
          <cell r="D1019" t="str">
            <v>SAPH440 P/O</v>
          </cell>
          <cell r="E1019" t="str">
            <v>CA5</v>
          </cell>
          <cell r="F1019">
            <v>3.2</v>
          </cell>
          <cell r="G1019">
            <v>1219</v>
          </cell>
          <cell r="H1019">
            <v>2438</v>
          </cell>
          <cell r="I1019" t="str">
            <v>A</v>
          </cell>
          <cell r="K1019">
            <v>16</v>
          </cell>
          <cell r="L1019">
            <v>1195</v>
          </cell>
          <cell r="M1019">
            <v>20051718</v>
          </cell>
          <cell r="N1019">
            <v>38926</v>
          </cell>
          <cell r="P1019" t="str">
            <v>IN6728N1D248301</v>
          </cell>
          <cell r="Q1019" t="str">
            <v>แผ่นรองและสายรัดเป็นสนิม, กระดาษฉีกขาด</v>
          </cell>
        </row>
        <row r="1020">
          <cell r="A1020">
            <v>20052078</v>
          </cell>
          <cell r="B1020">
            <v>1019</v>
          </cell>
          <cell r="C1020" t="str">
            <v>CW01/4</v>
          </cell>
          <cell r="D1020" t="str">
            <v>SAPH440 P/O</v>
          </cell>
          <cell r="E1020" t="str">
            <v>CA5</v>
          </cell>
          <cell r="F1020">
            <v>3.2</v>
          </cell>
          <cell r="G1020">
            <v>1219</v>
          </cell>
          <cell r="H1020">
            <v>2438</v>
          </cell>
          <cell r="I1020" t="str">
            <v>A</v>
          </cell>
          <cell r="K1020">
            <v>9</v>
          </cell>
          <cell r="L1020">
            <v>672</v>
          </cell>
          <cell r="M1020">
            <v>20052078</v>
          </cell>
          <cell r="N1020">
            <v>38952</v>
          </cell>
          <cell r="P1020" t="str">
            <v>IN6823N1D316001</v>
          </cell>
          <cell r="Q1020" t="str">
            <v>แผ่นรองและสายรัดเป็นสนิม, กระดาษฉีกขาด</v>
          </cell>
        </row>
        <row r="1021">
          <cell r="A1021">
            <v>20047571</v>
          </cell>
          <cell r="B1021">
            <v>1020</v>
          </cell>
          <cell r="C1021" t="str">
            <v>CW01/4</v>
          </cell>
          <cell r="D1021" t="str">
            <v>SAPH440 P/O</v>
          </cell>
          <cell r="E1021" t="str">
            <v>CA5</v>
          </cell>
          <cell r="F1021">
            <v>4.5</v>
          </cell>
          <cell r="G1021">
            <v>1219</v>
          </cell>
          <cell r="H1021">
            <v>2438</v>
          </cell>
          <cell r="I1021" t="str">
            <v>A</v>
          </cell>
          <cell r="K1021">
            <v>1</v>
          </cell>
          <cell r="L1021">
            <v>105</v>
          </cell>
          <cell r="M1021">
            <v>20047571</v>
          </cell>
          <cell r="N1021">
            <v>38745</v>
          </cell>
          <cell r="P1021" t="str">
            <v>IN6128D2D681001</v>
          </cell>
          <cell r="Q1021" t="str">
            <v>แผ่นรองและสายรัดเป็นสนิม, กระดาษฉีกขาด</v>
          </cell>
        </row>
        <row r="1022">
          <cell r="A1022">
            <v>20051815</v>
          </cell>
          <cell r="B1022">
            <v>1021</v>
          </cell>
          <cell r="C1022" t="str">
            <v>CW01/4</v>
          </cell>
          <cell r="D1022" t="str">
            <v>SPHC P/O</v>
          </cell>
          <cell r="E1022" t="str">
            <v>CA1</v>
          </cell>
          <cell r="F1022">
            <v>1.2</v>
          </cell>
          <cell r="G1022">
            <v>1219</v>
          </cell>
          <cell r="H1022">
            <v>2438</v>
          </cell>
          <cell r="I1022" t="str">
            <v>A</v>
          </cell>
          <cell r="K1022">
            <v>24</v>
          </cell>
          <cell r="L1022">
            <v>672</v>
          </cell>
          <cell r="M1022">
            <v>20051815</v>
          </cell>
          <cell r="N1022">
            <v>38931</v>
          </cell>
          <cell r="P1022" t="str">
            <v>IN6802D3D263401</v>
          </cell>
          <cell r="Q1022" t="str">
            <v>แผ่นรองและสายรัดเป็นสนิม, กระดาษฉีกขาด</v>
          </cell>
        </row>
        <row r="1023">
          <cell r="A1023">
            <v>20049526</v>
          </cell>
          <cell r="B1023">
            <v>1022</v>
          </cell>
          <cell r="C1023" t="str">
            <v>CW01/4</v>
          </cell>
          <cell r="D1023" t="str">
            <v>SPHC P/O</v>
          </cell>
          <cell r="E1023" t="str">
            <v>CA1</v>
          </cell>
          <cell r="F1023">
            <v>1.4</v>
          </cell>
          <cell r="G1023">
            <v>1219</v>
          </cell>
          <cell r="H1023">
            <v>2438</v>
          </cell>
          <cell r="I1023" t="str">
            <v>A</v>
          </cell>
          <cell r="K1023">
            <v>2</v>
          </cell>
          <cell r="L1023">
            <v>65</v>
          </cell>
          <cell r="M1023">
            <v>20049526</v>
          </cell>
          <cell r="N1023">
            <v>38831</v>
          </cell>
          <cell r="P1023" t="str">
            <v>IN6424D1D956901</v>
          </cell>
          <cell r="Q1023" t="str">
            <v>แผ่นรองและสายรัดเป็นสนิม, กระดาษฉีกขาด</v>
          </cell>
        </row>
        <row r="1024">
          <cell r="A1024">
            <v>20052178</v>
          </cell>
          <cell r="B1024">
            <v>1023</v>
          </cell>
          <cell r="C1024" t="str">
            <v>CW01/4</v>
          </cell>
          <cell r="D1024" t="str">
            <v>SPHC P/O</v>
          </cell>
          <cell r="E1024" t="str">
            <v>CA1</v>
          </cell>
          <cell r="F1024">
            <v>1.4</v>
          </cell>
          <cell r="G1024">
            <v>1219</v>
          </cell>
          <cell r="H1024">
            <v>2438</v>
          </cell>
          <cell r="I1024" t="str">
            <v>A</v>
          </cell>
          <cell r="K1024">
            <v>29</v>
          </cell>
          <cell r="L1024">
            <v>947</v>
          </cell>
          <cell r="M1024">
            <v>20052178</v>
          </cell>
          <cell r="N1024">
            <v>38958</v>
          </cell>
          <cell r="O1024" t="str">
            <v>175514SSD001</v>
          </cell>
          <cell r="P1024" t="str">
            <v>IN6829D2D333101</v>
          </cell>
          <cell r="Q1024" t="str">
            <v>แผ่นรองและสายรัดเป็นสนิม, กระดาษฉีกขาด</v>
          </cell>
        </row>
        <row r="1025">
          <cell r="A1025">
            <v>20050680</v>
          </cell>
          <cell r="B1025">
            <v>1024</v>
          </cell>
          <cell r="C1025" t="str">
            <v>CW01/4</v>
          </cell>
          <cell r="D1025" t="str">
            <v>SPHC P/O</v>
          </cell>
          <cell r="E1025" t="str">
            <v>CA1</v>
          </cell>
          <cell r="F1025">
            <v>2</v>
          </cell>
          <cell r="G1025">
            <v>1219</v>
          </cell>
          <cell r="H1025">
            <v>2438</v>
          </cell>
          <cell r="I1025" t="str">
            <v>A</v>
          </cell>
          <cell r="K1025">
            <v>2</v>
          </cell>
          <cell r="L1025">
            <v>93</v>
          </cell>
          <cell r="M1025">
            <v>20050680</v>
          </cell>
          <cell r="N1025">
            <v>38882</v>
          </cell>
          <cell r="P1025" t="str">
            <v>IN6614N1D103401</v>
          </cell>
          <cell r="Q1025" t="str">
            <v>แผ่นรองและสายรัดเป็นสนิม, กระดาษฉีกขาด</v>
          </cell>
        </row>
        <row r="1026">
          <cell r="A1026">
            <v>20051946</v>
          </cell>
          <cell r="B1026">
            <v>1025</v>
          </cell>
          <cell r="C1026" t="str">
            <v>CW01/4</v>
          </cell>
          <cell r="D1026" t="str">
            <v>SPHC P/O</v>
          </cell>
          <cell r="E1026" t="str">
            <v>CA1</v>
          </cell>
          <cell r="F1026">
            <v>2</v>
          </cell>
          <cell r="G1026">
            <v>1219</v>
          </cell>
          <cell r="H1026">
            <v>2438</v>
          </cell>
          <cell r="I1026" t="str">
            <v>A</v>
          </cell>
          <cell r="K1026">
            <v>2</v>
          </cell>
          <cell r="L1026">
            <v>113</v>
          </cell>
          <cell r="M1026">
            <v>20051946</v>
          </cell>
          <cell r="N1026">
            <v>38939</v>
          </cell>
          <cell r="P1026" t="str">
            <v>IN6810N3D287901</v>
          </cell>
          <cell r="Q1026" t="str">
            <v>แผ่นรองและสายรัดเป็นสนิม, กระดาษฉีกขาด</v>
          </cell>
        </row>
        <row r="1027">
          <cell r="A1027">
            <v>20050736</v>
          </cell>
          <cell r="B1027">
            <v>1026</v>
          </cell>
          <cell r="C1027" t="str">
            <v>CW01/4</v>
          </cell>
          <cell r="D1027" t="str">
            <v>SPHC P/O</v>
          </cell>
          <cell r="E1027" t="str">
            <v>CA1</v>
          </cell>
          <cell r="F1027">
            <v>2.2999999999999998</v>
          </cell>
          <cell r="G1027">
            <v>1219</v>
          </cell>
          <cell r="H1027">
            <v>2438</v>
          </cell>
          <cell r="I1027" t="str">
            <v>A</v>
          </cell>
          <cell r="K1027">
            <v>4</v>
          </cell>
          <cell r="L1027">
            <v>215</v>
          </cell>
          <cell r="M1027">
            <v>20050736</v>
          </cell>
          <cell r="N1027">
            <v>38883</v>
          </cell>
          <cell r="O1027" t="str">
            <v>136323PCI004</v>
          </cell>
          <cell r="P1027" t="str">
            <v>IN6615N1D108901</v>
          </cell>
          <cell r="Q1027" t="str">
            <v>แผ่นรองและสายรัดเป็นสนิม, กระดาษฉีกขาด</v>
          </cell>
        </row>
        <row r="1028">
          <cell r="A1028">
            <v>20050758</v>
          </cell>
          <cell r="B1028">
            <v>1027</v>
          </cell>
          <cell r="C1028" t="str">
            <v>CW01/4</v>
          </cell>
          <cell r="D1028" t="str">
            <v>SPHC P/O</v>
          </cell>
          <cell r="E1028" t="str">
            <v>CA1</v>
          </cell>
          <cell r="F1028">
            <v>2.2999999999999998</v>
          </cell>
          <cell r="G1028">
            <v>1219</v>
          </cell>
          <cell r="H1028">
            <v>2438</v>
          </cell>
          <cell r="I1028" t="str">
            <v>A</v>
          </cell>
          <cell r="K1028">
            <v>7</v>
          </cell>
          <cell r="L1028">
            <v>376</v>
          </cell>
          <cell r="M1028">
            <v>20050758</v>
          </cell>
          <cell r="N1028">
            <v>38885</v>
          </cell>
          <cell r="O1028" t="str">
            <v>136420PCI029</v>
          </cell>
          <cell r="P1028" t="str">
            <v>IN6617N1D115901</v>
          </cell>
          <cell r="Q1028" t="str">
            <v>แผ่นรองและสายรัดเป็นสนิม, กระดาษฉีกขาด</v>
          </cell>
        </row>
        <row r="1029">
          <cell r="A1029">
            <v>20050893</v>
          </cell>
          <cell r="B1029">
            <v>1028</v>
          </cell>
          <cell r="C1029" t="str">
            <v>CW01/4</v>
          </cell>
          <cell r="D1029" t="str">
            <v>SPHC P/O</v>
          </cell>
          <cell r="E1029" t="str">
            <v>CA1</v>
          </cell>
          <cell r="F1029">
            <v>2.2999999999999998</v>
          </cell>
          <cell r="G1029">
            <v>1219</v>
          </cell>
          <cell r="H1029">
            <v>2438</v>
          </cell>
          <cell r="I1029" t="str">
            <v>A</v>
          </cell>
          <cell r="K1029">
            <v>3</v>
          </cell>
          <cell r="L1029">
            <v>161</v>
          </cell>
          <cell r="M1029">
            <v>20050893</v>
          </cell>
          <cell r="N1029">
            <v>38890</v>
          </cell>
          <cell r="O1029" t="str">
            <v>135C12NSI002</v>
          </cell>
          <cell r="P1029" t="str">
            <v>IN6622N1D128801</v>
          </cell>
          <cell r="Q1029" t="str">
            <v>แผ่นรองและสายรัดเป็นสนิม, กระดาษฉีกขาด</v>
          </cell>
        </row>
        <row r="1030">
          <cell r="A1030">
            <v>20050906</v>
          </cell>
          <cell r="B1030">
            <v>1029</v>
          </cell>
          <cell r="C1030" t="str">
            <v>CW01/4</v>
          </cell>
          <cell r="D1030" t="str">
            <v>SPHC P/O</v>
          </cell>
          <cell r="E1030" t="str">
            <v>CA1</v>
          </cell>
          <cell r="F1030">
            <v>2.2999999999999998</v>
          </cell>
          <cell r="G1030">
            <v>1219</v>
          </cell>
          <cell r="H1030">
            <v>2438</v>
          </cell>
          <cell r="I1030" t="str">
            <v>A</v>
          </cell>
          <cell r="K1030">
            <v>12</v>
          </cell>
          <cell r="L1030">
            <v>646</v>
          </cell>
          <cell r="M1030">
            <v>20050906</v>
          </cell>
          <cell r="N1030">
            <v>38890</v>
          </cell>
          <cell r="O1030" t="str">
            <v>136510NSI020</v>
          </cell>
          <cell r="P1030" t="str">
            <v>IN6622D2D132101</v>
          </cell>
          <cell r="Q1030" t="str">
            <v>แผ่นรองและสายรัดเป็นสนิม</v>
          </cell>
        </row>
        <row r="1031">
          <cell r="A1031">
            <v>20052075</v>
          </cell>
          <cell r="B1031">
            <v>1030</v>
          </cell>
          <cell r="C1031" t="str">
            <v>CW01/4</v>
          </cell>
          <cell r="D1031" t="str">
            <v>SPHC P/O</v>
          </cell>
          <cell r="E1031" t="str">
            <v>CA1</v>
          </cell>
          <cell r="F1031">
            <v>2.2999999999999998</v>
          </cell>
          <cell r="G1031">
            <v>1219</v>
          </cell>
          <cell r="H1031">
            <v>2438</v>
          </cell>
          <cell r="I1031" t="str">
            <v>A</v>
          </cell>
          <cell r="K1031">
            <v>2</v>
          </cell>
          <cell r="L1031">
            <v>107</v>
          </cell>
          <cell r="M1031">
            <v>20052075</v>
          </cell>
          <cell r="N1031">
            <v>38952</v>
          </cell>
          <cell r="O1031" t="str">
            <v>136314CSI001</v>
          </cell>
          <cell r="P1031" t="str">
            <v>IN6823N1D316701</v>
          </cell>
          <cell r="Q1031" t="str">
            <v>แผ่นรองและสายรัดเป็นสนิม, กระดาษฉีกขาด</v>
          </cell>
        </row>
        <row r="1032">
          <cell r="A1032">
            <v>20051198</v>
          </cell>
          <cell r="B1032">
            <v>1031</v>
          </cell>
          <cell r="C1032" t="str">
            <v>CW01/4</v>
          </cell>
          <cell r="D1032" t="str">
            <v>SPHC P/O</v>
          </cell>
          <cell r="E1032" t="str">
            <v>CA1</v>
          </cell>
          <cell r="F1032">
            <v>2.6</v>
          </cell>
          <cell r="G1032">
            <v>1219</v>
          </cell>
          <cell r="H1032">
            <v>2438</v>
          </cell>
          <cell r="I1032" t="str">
            <v>A</v>
          </cell>
          <cell r="K1032">
            <v>5</v>
          </cell>
          <cell r="L1032">
            <v>303</v>
          </cell>
          <cell r="M1032">
            <v>20051198</v>
          </cell>
          <cell r="N1032">
            <v>38902</v>
          </cell>
          <cell r="P1032" t="str">
            <v>IN6704D3D172001</v>
          </cell>
          <cell r="Q1032" t="str">
            <v>แผ่นรองและสายรัดเป็นสนิม, กระดาษฉีกขาด</v>
          </cell>
        </row>
        <row r="1033">
          <cell r="A1033">
            <v>20051491</v>
          </cell>
          <cell r="B1033">
            <v>1032</v>
          </cell>
          <cell r="C1033" t="str">
            <v>CW01/4</v>
          </cell>
          <cell r="D1033" t="str">
            <v>SPHC P/O</v>
          </cell>
          <cell r="E1033" t="str">
            <v>CA1</v>
          </cell>
          <cell r="F1033">
            <v>2.6</v>
          </cell>
          <cell r="G1033">
            <v>1219</v>
          </cell>
          <cell r="H1033">
            <v>2438</v>
          </cell>
          <cell r="I1033" t="str">
            <v>A</v>
          </cell>
          <cell r="K1033">
            <v>11</v>
          </cell>
          <cell r="L1033">
            <v>673</v>
          </cell>
          <cell r="M1033">
            <v>20051491</v>
          </cell>
          <cell r="N1033">
            <v>38917</v>
          </cell>
          <cell r="P1033" t="str">
            <v>IN6719D1D212701</v>
          </cell>
          <cell r="Q1033" t="str">
            <v>แผ่นรองและสายรัดเป็นสนิม, กระดาษฉีกขาด</v>
          </cell>
        </row>
        <row r="1034">
          <cell r="A1034">
            <v>20051662</v>
          </cell>
          <cell r="B1034">
            <v>1033</v>
          </cell>
          <cell r="C1034" t="str">
            <v>CW01/4</v>
          </cell>
          <cell r="D1034" t="str">
            <v>SPHC P/O</v>
          </cell>
          <cell r="E1034" t="str">
            <v>CA1</v>
          </cell>
          <cell r="F1034">
            <v>2.6</v>
          </cell>
          <cell r="G1034">
            <v>1219</v>
          </cell>
          <cell r="H1034">
            <v>2438</v>
          </cell>
          <cell r="I1034" t="str">
            <v>A</v>
          </cell>
          <cell r="K1034">
            <v>8</v>
          </cell>
          <cell r="L1034">
            <v>486</v>
          </cell>
          <cell r="M1034">
            <v>20051662</v>
          </cell>
          <cell r="N1034">
            <v>38924</v>
          </cell>
          <cell r="P1034" t="str">
            <v>IN6726D2D216001</v>
          </cell>
          <cell r="Q1034" t="str">
            <v>แผ่นรองและสายรัดเป็นสนิม, กระดาษฉีกขาด</v>
          </cell>
        </row>
        <row r="1035">
          <cell r="A1035">
            <v>20051788</v>
          </cell>
          <cell r="B1035">
            <v>1034</v>
          </cell>
          <cell r="C1035" t="str">
            <v>CW01/4</v>
          </cell>
          <cell r="D1035" t="str">
            <v>SPHC P/O</v>
          </cell>
          <cell r="E1035" t="str">
            <v>CA1</v>
          </cell>
          <cell r="F1035">
            <v>2.6</v>
          </cell>
          <cell r="G1035">
            <v>1219</v>
          </cell>
          <cell r="H1035">
            <v>2438</v>
          </cell>
          <cell r="I1035" t="str">
            <v>A</v>
          </cell>
          <cell r="K1035">
            <v>11</v>
          </cell>
          <cell r="L1035">
            <v>667</v>
          </cell>
          <cell r="M1035">
            <v>20051788</v>
          </cell>
          <cell r="N1035">
            <v>38930</v>
          </cell>
          <cell r="P1035" t="str">
            <v>IN6801D3D257601</v>
          </cell>
          <cell r="Q1035" t="str">
            <v>แผ่นรองและสายรัดเป็นสนิม</v>
          </cell>
        </row>
        <row r="1036">
          <cell r="A1036">
            <v>20051883</v>
          </cell>
          <cell r="B1036">
            <v>1035</v>
          </cell>
          <cell r="C1036" t="str">
            <v>CW01/4</v>
          </cell>
          <cell r="D1036" t="str">
            <v>SPHC P/O</v>
          </cell>
          <cell r="E1036" t="str">
            <v>CA1</v>
          </cell>
          <cell r="F1036">
            <v>2.6</v>
          </cell>
          <cell r="G1036">
            <v>1219</v>
          </cell>
          <cell r="H1036">
            <v>2438</v>
          </cell>
          <cell r="I1036" t="str">
            <v>A</v>
          </cell>
          <cell r="K1036">
            <v>6</v>
          </cell>
          <cell r="L1036">
            <v>365</v>
          </cell>
          <cell r="M1036">
            <v>20051883</v>
          </cell>
          <cell r="N1036">
            <v>38935</v>
          </cell>
          <cell r="P1036" t="str">
            <v>IN6806N3D275801</v>
          </cell>
          <cell r="Q1036" t="str">
            <v>แผ่นรองและสายรัดเป็นสนิม, กระดาษฉีกขาด</v>
          </cell>
        </row>
        <row r="1037">
          <cell r="A1037">
            <v>20052071</v>
          </cell>
          <cell r="B1037">
            <v>1036</v>
          </cell>
          <cell r="C1037" t="str">
            <v>CW01/4</v>
          </cell>
          <cell r="D1037" t="str">
            <v>SPHC P/O</v>
          </cell>
          <cell r="E1037" t="str">
            <v>CA1</v>
          </cell>
          <cell r="F1037">
            <v>2.6</v>
          </cell>
          <cell r="G1037">
            <v>1219</v>
          </cell>
          <cell r="H1037">
            <v>2438</v>
          </cell>
          <cell r="I1037" t="str">
            <v>A</v>
          </cell>
          <cell r="K1037">
            <v>14</v>
          </cell>
          <cell r="L1037">
            <v>853</v>
          </cell>
          <cell r="M1037">
            <v>20052071</v>
          </cell>
          <cell r="N1037">
            <v>38951</v>
          </cell>
          <cell r="P1037" t="str">
            <v>IN6822D3D312201</v>
          </cell>
          <cell r="Q1037" t="str">
            <v>แผ่นรองและสายรัดเป็นสนิม, กระดาษฉีกขาด</v>
          </cell>
        </row>
        <row r="1038">
          <cell r="A1038">
            <v>20052074</v>
          </cell>
          <cell r="B1038">
            <v>1037</v>
          </cell>
          <cell r="C1038" t="str">
            <v>CW01/4</v>
          </cell>
          <cell r="D1038" t="str">
            <v>SPHC P/O</v>
          </cell>
          <cell r="E1038" t="str">
            <v>CA1</v>
          </cell>
          <cell r="F1038">
            <v>2.6</v>
          </cell>
          <cell r="G1038">
            <v>1219</v>
          </cell>
          <cell r="H1038">
            <v>2438</v>
          </cell>
          <cell r="I1038" t="str">
            <v>A</v>
          </cell>
          <cell r="K1038">
            <v>11</v>
          </cell>
          <cell r="L1038">
            <v>667</v>
          </cell>
          <cell r="M1038">
            <v>20052074</v>
          </cell>
          <cell r="N1038">
            <v>38952</v>
          </cell>
          <cell r="P1038" t="str">
            <v>IN6823N1D316401</v>
          </cell>
          <cell r="Q1038" t="str">
            <v>แผ่นรองและสายรัดเป็นสนิม, กระดาษฉีกขาด</v>
          </cell>
        </row>
        <row r="1039">
          <cell r="A1039">
            <v>20052015</v>
          </cell>
          <cell r="B1039">
            <v>1038</v>
          </cell>
          <cell r="C1039" t="str">
            <v>CW01/4</v>
          </cell>
          <cell r="D1039" t="str">
            <v>SPHC P/O</v>
          </cell>
          <cell r="E1039" t="str">
            <v>CA1</v>
          </cell>
          <cell r="F1039">
            <v>2.8</v>
          </cell>
          <cell r="G1039">
            <v>1219</v>
          </cell>
          <cell r="H1039">
            <v>2438</v>
          </cell>
          <cell r="I1039" t="str">
            <v>A</v>
          </cell>
          <cell r="K1039">
            <v>25</v>
          </cell>
          <cell r="L1039">
            <v>1632</v>
          </cell>
          <cell r="M1039">
            <v>20052015</v>
          </cell>
          <cell r="N1039">
            <v>38946</v>
          </cell>
          <cell r="O1039" t="str">
            <v>136710PCI022</v>
          </cell>
          <cell r="P1039" t="str">
            <v>IN6817N1L304701</v>
          </cell>
          <cell r="Q1039" t="str">
            <v>แผ่นรองและสายรัดเป็นสนิม, กระดาษฉีกขาด</v>
          </cell>
        </row>
        <row r="1040">
          <cell r="A1040">
            <v>20052080</v>
          </cell>
          <cell r="B1040">
            <v>1039</v>
          </cell>
          <cell r="C1040" t="str">
            <v>CW01/4</v>
          </cell>
          <cell r="D1040" t="str">
            <v>SPHC P/O</v>
          </cell>
          <cell r="E1040" t="str">
            <v>CA1</v>
          </cell>
          <cell r="F1040">
            <v>2.8</v>
          </cell>
          <cell r="G1040">
            <v>1219</v>
          </cell>
          <cell r="H1040">
            <v>2438</v>
          </cell>
          <cell r="I1040" t="str">
            <v>A</v>
          </cell>
          <cell r="K1040">
            <v>12</v>
          </cell>
          <cell r="L1040">
            <v>784</v>
          </cell>
          <cell r="M1040">
            <v>20052080</v>
          </cell>
          <cell r="N1040">
            <v>38952</v>
          </cell>
          <cell r="P1040" t="str">
            <v>IN6823D1D315601</v>
          </cell>
          <cell r="Q1040" t="str">
            <v>แผ่นรองและสายรัดเป็นสนิม, กระดาษฉีกขาด</v>
          </cell>
        </row>
        <row r="1041">
          <cell r="A1041">
            <v>20051489</v>
          </cell>
          <cell r="B1041">
            <v>1040</v>
          </cell>
          <cell r="C1041" t="str">
            <v>CW01/4</v>
          </cell>
          <cell r="D1041" t="str">
            <v>SPHC P/O</v>
          </cell>
          <cell r="E1041" t="str">
            <v>CA1</v>
          </cell>
          <cell r="F1041">
            <v>2.9</v>
          </cell>
          <cell r="G1041">
            <v>1219</v>
          </cell>
          <cell r="H1041">
            <v>2438</v>
          </cell>
          <cell r="I1041" t="str">
            <v>A</v>
          </cell>
          <cell r="K1041">
            <v>5</v>
          </cell>
          <cell r="L1041">
            <v>328</v>
          </cell>
          <cell r="M1041">
            <v>20051489</v>
          </cell>
          <cell r="N1041">
            <v>38917</v>
          </cell>
          <cell r="P1041" t="str">
            <v>IN6719D1D207701</v>
          </cell>
          <cell r="Q1041" t="str">
            <v>แผ่นรองและสายรัดเป็นสนิม, กระดาษฉีกขาด</v>
          </cell>
        </row>
        <row r="1042">
          <cell r="A1042">
            <v>20051172</v>
          </cell>
          <cell r="B1042">
            <v>1041</v>
          </cell>
          <cell r="C1042" t="str">
            <v>CW01/4</v>
          </cell>
          <cell r="D1042" t="str">
            <v>SPHC P/O</v>
          </cell>
          <cell r="E1042" t="str">
            <v>CA1</v>
          </cell>
          <cell r="F1042">
            <v>3</v>
          </cell>
          <cell r="G1042">
            <v>1219</v>
          </cell>
          <cell r="H1042">
            <v>2438</v>
          </cell>
          <cell r="I1042" t="str">
            <v>A</v>
          </cell>
          <cell r="K1042">
            <v>9</v>
          </cell>
          <cell r="L1042">
            <v>633</v>
          </cell>
          <cell r="M1042">
            <v>20051172</v>
          </cell>
          <cell r="N1042">
            <v>38901</v>
          </cell>
          <cell r="P1042" t="str">
            <v>IN6703N2D168501</v>
          </cell>
          <cell r="Q1042" t="str">
            <v>แผ่นรองและสายรัดเป็นสนิม, กระดาษฉีกขาด</v>
          </cell>
        </row>
        <row r="1043">
          <cell r="A1043">
            <v>20051661</v>
          </cell>
          <cell r="B1043">
            <v>1042</v>
          </cell>
          <cell r="C1043" t="str">
            <v>CW01/4</v>
          </cell>
          <cell r="D1043" t="str">
            <v>SPHC P/O</v>
          </cell>
          <cell r="E1043" t="str">
            <v>CA1</v>
          </cell>
          <cell r="F1043">
            <v>3</v>
          </cell>
          <cell r="G1043">
            <v>1219</v>
          </cell>
          <cell r="H1043">
            <v>2438</v>
          </cell>
          <cell r="I1043" t="str">
            <v>A</v>
          </cell>
          <cell r="K1043">
            <v>2</v>
          </cell>
          <cell r="L1043">
            <v>140</v>
          </cell>
          <cell r="M1043">
            <v>20051661</v>
          </cell>
          <cell r="N1043">
            <v>38924</v>
          </cell>
          <cell r="P1043" t="str">
            <v>IN6726D1D221101</v>
          </cell>
          <cell r="Q1043" t="str">
            <v>แผ่นรองและสายรัดเป็นสนิม, กระดาษฉีกขาด</v>
          </cell>
        </row>
        <row r="1044">
          <cell r="A1044">
            <v>20052064</v>
          </cell>
          <cell r="B1044">
            <v>1043</v>
          </cell>
          <cell r="C1044" t="str">
            <v>CW01/4</v>
          </cell>
          <cell r="D1044" t="str">
            <v>SPHC P/O</v>
          </cell>
          <cell r="E1044" t="str">
            <v>CA1</v>
          </cell>
          <cell r="F1044">
            <v>3</v>
          </cell>
          <cell r="G1044">
            <v>1219</v>
          </cell>
          <cell r="H1044">
            <v>2438</v>
          </cell>
          <cell r="I1044" t="str">
            <v>A</v>
          </cell>
          <cell r="K1044">
            <v>4</v>
          </cell>
          <cell r="L1044">
            <v>285</v>
          </cell>
          <cell r="M1044">
            <v>20052064</v>
          </cell>
          <cell r="N1044">
            <v>38951</v>
          </cell>
          <cell r="P1044" t="str">
            <v>IN6822D3D311601</v>
          </cell>
          <cell r="Q1044" t="str">
            <v>แผ่นรองและสายรัดเป็นสนิม, กระดาษฉีกขาด</v>
          </cell>
        </row>
        <row r="1045">
          <cell r="A1045">
            <v>20052076</v>
          </cell>
          <cell r="B1045">
            <v>1044</v>
          </cell>
          <cell r="C1045" t="str">
            <v>CW01/4</v>
          </cell>
          <cell r="D1045" t="str">
            <v>SPHC P/O</v>
          </cell>
          <cell r="E1045" t="str">
            <v>CA1</v>
          </cell>
          <cell r="F1045">
            <v>3.2</v>
          </cell>
          <cell r="G1045">
            <v>1219</v>
          </cell>
          <cell r="H1045">
            <v>2438</v>
          </cell>
          <cell r="I1045" t="str">
            <v>A</v>
          </cell>
          <cell r="K1045">
            <v>5</v>
          </cell>
          <cell r="L1045">
            <v>373</v>
          </cell>
          <cell r="M1045">
            <v>20052076</v>
          </cell>
          <cell r="N1045">
            <v>38952</v>
          </cell>
          <cell r="P1045" t="str">
            <v>IN6823N1D316601</v>
          </cell>
          <cell r="Q1045" t="str">
            <v>แผ่นรองและสายรัดเป็นสนิม, กระดาษฉีกขาด</v>
          </cell>
        </row>
        <row r="1046">
          <cell r="A1046">
            <v>20049734</v>
          </cell>
          <cell r="B1046">
            <v>1045</v>
          </cell>
          <cell r="C1046" t="str">
            <v>CW01/4</v>
          </cell>
          <cell r="D1046" t="str">
            <v>SPHC P/O</v>
          </cell>
          <cell r="E1046" t="str">
            <v>CA1</v>
          </cell>
          <cell r="F1046">
            <v>4</v>
          </cell>
          <cell r="G1046">
            <v>1219</v>
          </cell>
          <cell r="H1046">
            <v>2438</v>
          </cell>
          <cell r="I1046" t="str">
            <v>A</v>
          </cell>
          <cell r="K1046">
            <v>5</v>
          </cell>
          <cell r="L1046">
            <v>477</v>
          </cell>
          <cell r="M1046">
            <v>20049734</v>
          </cell>
          <cell r="N1046">
            <v>38843</v>
          </cell>
          <cell r="P1046" t="str">
            <v>IN6506D2L995201</v>
          </cell>
          <cell r="Q1046" t="str">
            <v>แผ่นรองและสายรัดเป็นสนิม, กระดาษฉีกขาด</v>
          </cell>
        </row>
        <row r="1047">
          <cell r="A1047">
            <v>20050735</v>
          </cell>
          <cell r="B1047">
            <v>1046</v>
          </cell>
          <cell r="C1047" t="str">
            <v>CW01/5</v>
          </cell>
          <cell r="D1047" t="str">
            <v>EG SECC-V2</v>
          </cell>
          <cell r="E1047" t="str">
            <v>AH0</v>
          </cell>
          <cell r="F1047">
            <v>0.8</v>
          </cell>
          <cell r="G1047">
            <v>1219</v>
          </cell>
          <cell r="H1047">
            <v>2438</v>
          </cell>
          <cell r="I1047" t="str">
            <v>A</v>
          </cell>
          <cell r="K1047">
            <v>44</v>
          </cell>
          <cell r="L1047">
            <v>821</v>
          </cell>
          <cell r="M1047">
            <v>20050735</v>
          </cell>
          <cell r="N1047">
            <v>38883</v>
          </cell>
          <cell r="P1047" t="str">
            <v>IN6615N3D085701</v>
          </cell>
          <cell r="Q1047" t="str">
            <v>แผ่นรองและสายรัดเป็นสนิม, กระดาษฉีกขาด</v>
          </cell>
        </row>
        <row r="1048">
          <cell r="A1048">
            <v>20048072</v>
          </cell>
          <cell r="B1048">
            <v>1047</v>
          </cell>
          <cell r="C1048" t="str">
            <v>CW01/5</v>
          </cell>
          <cell r="D1048" t="str">
            <v>EG SECC-V2</v>
          </cell>
          <cell r="E1048" t="str">
            <v>AH0</v>
          </cell>
          <cell r="F1048">
            <v>1.6</v>
          </cell>
          <cell r="G1048">
            <v>1219</v>
          </cell>
          <cell r="H1048">
            <v>2438</v>
          </cell>
          <cell r="I1048" t="str">
            <v>A</v>
          </cell>
          <cell r="K1048">
            <v>33</v>
          </cell>
          <cell r="L1048">
            <v>1185</v>
          </cell>
          <cell r="M1048">
            <v>20048072</v>
          </cell>
          <cell r="N1048">
            <v>38768</v>
          </cell>
          <cell r="P1048" t="str">
            <v>IN6220D1RSSSS01</v>
          </cell>
          <cell r="Q1048" t="str">
            <v>แผ่นรองและสายรัดเป็นสนิม, กระดาษฉีกขาด</v>
          </cell>
        </row>
        <row r="1049">
          <cell r="A1049">
            <v>20043226</v>
          </cell>
          <cell r="B1049">
            <v>1048</v>
          </cell>
          <cell r="C1049" t="str">
            <v>CW01/5</v>
          </cell>
          <cell r="D1049" t="str">
            <v>EG SECC</v>
          </cell>
          <cell r="E1049" t="str">
            <v>AI1</v>
          </cell>
          <cell r="F1049">
            <v>0.5</v>
          </cell>
          <cell r="G1049">
            <v>1219</v>
          </cell>
          <cell r="H1049">
            <v>2438</v>
          </cell>
          <cell r="I1049" t="str">
            <v>A</v>
          </cell>
          <cell r="K1049">
            <v>76</v>
          </cell>
          <cell r="L1049">
            <v>887</v>
          </cell>
          <cell r="M1049">
            <v>20043226</v>
          </cell>
          <cell r="N1049">
            <v>38575</v>
          </cell>
          <cell r="P1049" t="str">
            <v>IN5811N1D206701</v>
          </cell>
          <cell r="Q1049" t="str">
            <v>แผ่นรองและสายรัดเป็นสนิม, กระดาษฉีกขาด</v>
          </cell>
        </row>
        <row r="1050">
          <cell r="A1050">
            <v>20043613</v>
          </cell>
          <cell r="B1050">
            <v>1049</v>
          </cell>
          <cell r="C1050" t="str">
            <v>CW01/5</v>
          </cell>
          <cell r="D1050" t="str">
            <v>EG SECC</v>
          </cell>
          <cell r="E1050" t="str">
            <v>AI1</v>
          </cell>
          <cell r="F1050">
            <v>0.7</v>
          </cell>
          <cell r="G1050">
            <v>1219</v>
          </cell>
          <cell r="H1050">
            <v>2438</v>
          </cell>
          <cell r="I1050" t="str">
            <v>A</v>
          </cell>
          <cell r="K1050">
            <v>71</v>
          </cell>
          <cell r="L1050">
            <v>1173</v>
          </cell>
          <cell r="M1050">
            <v>20043613</v>
          </cell>
          <cell r="N1050">
            <v>38590</v>
          </cell>
          <cell r="P1050" t="str">
            <v>IN5826D1L239801</v>
          </cell>
          <cell r="Q1050" t="str">
            <v>แผ่นรองและสายรัดเป็นสนิม, กระดาษฉีกขาด</v>
          </cell>
        </row>
        <row r="1051">
          <cell r="A1051">
            <v>20047977</v>
          </cell>
          <cell r="B1051">
            <v>1050</v>
          </cell>
          <cell r="C1051" t="str">
            <v>CW01/5</v>
          </cell>
          <cell r="D1051" t="str">
            <v>EG SECC</v>
          </cell>
          <cell r="E1051" t="str">
            <v>AI1</v>
          </cell>
          <cell r="F1051">
            <v>0.7</v>
          </cell>
          <cell r="G1051">
            <v>1219</v>
          </cell>
          <cell r="H1051">
            <v>2438</v>
          </cell>
          <cell r="I1051" t="str">
            <v>A</v>
          </cell>
          <cell r="K1051">
            <v>123</v>
          </cell>
          <cell r="L1051">
            <v>2124</v>
          </cell>
          <cell r="M1051">
            <v>20047977</v>
          </cell>
          <cell r="N1051">
            <v>38764</v>
          </cell>
          <cell r="P1051" t="str">
            <v>IN6216D1RSSSS01</v>
          </cell>
          <cell r="Q1051" t="str">
            <v>แผ่นรองและสายรัดเป็นสนิม, กระดาษฉีกขาด</v>
          </cell>
        </row>
        <row r="1052">
          <cell r="A1052">
            <v>20041917</v>
          </cell>
          <cell r="B1052">
            <v>1051</v>
          </cell>
          <cell r="C1052" t="str">
            <v>CW01/5</v>
          </cell>
          <cell r="D1052" t="str">
            <v>EG SECC</v>
          </cell>
          <cell r="E1052" t="str">
            <v>AI1</v>
          </cell>
          <cell r="F1052">
            <v>0.8</v>
          </cell>
          <cell r="G1052">
            <v>1219</v>
          </cell>
          <cell r="H1052">
            <v>2438</v>
          </cell>
          <cell r="I1052" t="str">
            <v>A</v>
          </cell>
          <cell r="K1052">
            <v>86</v>
          </cell>
          <cell r="L1052">
            <v>1605</v>
          </cell>
          <cell r="M1052">
            <v>20041917</v>
          </cell>
          <cell r="N1052">
            <v>38521</v>
          </cell>
          <cell r="P1052" t="str">
            <v>IN5618D1RSSSS01</v>
          </cell>
          <cell r="Q1052" t="str">
            <v>แผ่นรองและสายรัดเป็นสนิม, กระดาษฉีกขาด</v>
          </cell>
        </row>
        <row r="1053">
          <cell r="A1053">
            <v>20044577</v>
          </cell>
          <cell r="B1053">
            <v>1052</v>
          </cell>
          <cell r="C1053" t="str">
            <v>CW01/5</v>
          </cell>
          <cell r="D1053" t="str">
            <v>EG SECC</v>
          </cell>
          <cell r="E1053" t="str">
            <v>AI1</v>
          </cell>
          <cell r="F1053">
            <v>0.8</v>
          </cell>
          <cell r="G1053">
            <v>1219</v>
          </cell>
          <cell r="H1053">
            <v>2438</v>
          </cell>
          <cell r="I1053" t="str">
            <v>A</v>
          </cell>
          <cell r="K1053">
            <v>109</v>
          </cell>
          <cell r="L1053">
            <v>1798</v>
          </cell>
          <cell r="M1053">
            <v>20044577</v>
          </cell>
          <cell r="N1053">
            <v>38635</v>
          </cell>
          <cell r="P1053" t="str">
            <v>IN5A10N1L368301</v>
          </cell>
          <cell r="Q1053" t="str">
            <v>แผ่นรองและสายรัดเป็นสนิม, กระดาษฉีกขาด</v>
          </cell>
        </row>
        <row r="1054">
          <cell r="A1054">
            <v>20047991</v>
          </cell>
          <cell r="B1054">
            <v>1053</v>
          </cell>
          <cell r="C1054" t="str">
            <v>CW01/5</v>
          </cell>
          <cell r="D1054" t="str">
            <v>EG SECC</v>
          </cell>
          <cell r="E1054" t="str">
            <v>AI1</v>
          </cell>
          <cell r="F1054">
            <v>0.8</v>
          </cell>
          <cell r="G1054">
            <v>1219</v>
          </cell>
          <cell r="H1054">
            <v>2438</v>
          </cell>
          <cell r="I1054" t="str">
            <v>A</v>
          </cell>
          <cell r="K1054">
            <v>26</v>
          </cell>
          <cell r="L1054">
            <v>484</v>
          </cell>
          <cell r="M1054">
            <v>20047991</v>
          </cell>
          <cell r="N1054">
            <v>38764</v>
          </cell>
          <cell r="P1054" t="str">
            <v>IN6216D1RSSSS01</v>
          </cell>
          <cell r="Q1054" t="str">
            <v>แผ่นรองและสายรัดเป็นสนิม, กระดาษฉีกขาด</v>
          </cell>
        </row>
        <row r="1055">
          <cell r="A1055">
            <v>20051850</v>
          </cell>
          <cell r="B1055">
            <v>1054</v>
          </cell>
          <cell r="C1055" t="str">
            <v>CW01/5</v>
          </cell>
          <cell r="D1055" t="str">
            <v>EG SECC</v>
          </cell>
          <cell r="E1055" t="str">
            <v>AI1</v>
          </cell>
          <cell r="F1055">
            <v>0.9</v>
          </cell>
          <cell r="G1055">
            <v>1219</v>
          </cell>
          <cell r="H1055">
            <v>2438</v>
          </cell>
          <cell r="I1055" t="str">
            <v>A</v>
          </cell>
          <cell r="K1055">
            <v>31</v>
          </cell>
          <cell r="L1055">
            <v>653</v>
          </cell>
          <cell r="M1055">
            <v>20051850</v>
          </cell>
          <cell r="N1055">
            <v>38933</v>
          </cell>
          <cell r="P1055" t="str">
            <v>IN6804N3D265701</v>
          </cell>
          <cell r="Q1055" t="str">
            <v>แผ่นรองและสายรัดเป็นสนิม, กระดาษฉีกขาด</v>
          </cell>
        </row>
        <row r="1056">
          <cell r="A1056">
            <v>20047979</v>
          </cell>
          <cell r="B1056">
            <v>1055</v>
          </cell>
          <cell r="C1056" t="str">
            <v>CW01/5</v>
          </cell>
          <cell r="D1056" t="str">
            <v>EG SECC</v>
          </cell>
          <cell r="E1056" t="str">
            <v>AI1</v>
          </cell>
          <cell r="F1056">
            <v>1.2</v>
          </cell>
          <cell r="G1056">
            <v>1219</v>
          </cell>
          <cell r="H1056">
            <v>2438</v>
          </cell>
          <cell r="I1056" t="str">
            <v>A</v>
          </cell>
          <cell r="K1056">
            <v>70</v>
          </cell>
          <cell r="L1056">
            <v>1970</v>
          </cell>
          <cell r="M1056">
            <v>20047979</v>
          </cell>
          <cell r="N1056">
            <v>38764</v>
          </cell>
          <cell r="P1056" t="str">
            <v>IN6216D1RSSSS01</v>
          </cell>
          <cell r="Q1056" t="str">
            <v>แผ่นรองและสายรัดเป็นสนิม, กระดาษฉีกขาด</v>
          </cell>
        </row>
        <row r="1057">
          <cell r="A1057">
            <v>20047980</v>
          </cell>
          <cell r="B1057">
            <v>1056</v>
          </cell>
          <cell r="C1057" t="str">
            <v>CW01/5</v>
          </cell>
          <cell r="D1057" t="str">
            <v>EG SECC</v>
          </cell>
          <cell r="E1057" t="str">
            <v>AI1</v>
          </cell>
          <cell r="F1057">
            <v>1.2</v>
          </cell>
          <cell r="G1057">
            <v>1219</v>
          </cell>
          <cell r="H1057">
            <v>2438</v>
          </cell>
          <cell r="I1057" t="str">
            <v>A</v>
          </cell>
          <cell r="K1057">
            <v>70</v>
          </cell>
          <cell r="L1057">
            <v>1962</v>
          </cell>
          <cell r="M1057">
            <v>20047980</v>
          </cell>
          <cell r="N1057">
            <v>38764</v>
          </cell>
          <cell r="P1057" t="str">
            <v>IN6216D1RSSSS02</v>
          </cell>
          <cell r="Q1057" t="str">
            <v>แผ่นรองและสายรัดเป็นสนิม, กระดาษฉีกขาด</v>
          </cell>
        </row>
        <row r="1058">
          <cell r="A1058">
            <v>20047981</v>
          </cell>
          <cell r="B1058">
            <v>1057</v>
          </cell>
          <cell r="C1058" t="str">
            <v>CW01/5</v>
          </cell>
          <cell r="D1058" t="str">
            <v>EG SECC</v>
          </cell>
          <cell r="E1058" t="str">
            <v>AI1</v>
          </cell>
          <cell r="F1058">
            <v>1.2</v>
          </cell>
          <cell r="G1058">
            <v>1219</v>
          </cell>
          <cell r="H1058">
            <v>2438</v>
          </cell>
          <cell r="I1058" t="str">
            <v>A</v>
          </cell>
          <cell r="K1058">
            <v>70</v>
          </cell>
          <cell r="L1058">
            <v>1968</v>
          </cell>
          <cell r="M1058">
            <v>20047981</v>
          </cell>
          <cell r="N1058">
            <v>38764</v>
          </cell>
          <cell r="P1058" t="str">
            <v>IN6216D1RSSSS03</v>
          </cell>
          <cell r="Q1058" t="str">
            <v>แผ่นรองและสายรัดเป็นสนิม, กระดาษฉีกขาด</v>
          </cell>
        </row>
        <row r="1059">
          <cell r="A1059">
            <v>20047982</v>
          </cell>
          <cell r="B1059">
            <v>1058</v>
          </cell>
          <cell r="C1059" t="str">
            <v>CW01/5</v>
          </cell>
          <cell r="D1059" t="str">
            <v>EG SECC</v>
          </cell>
          <cell r="E1059" t="str">
            <v>AI1</v>
          </cell>
          <cell r="F1059">
            <v>1.2</v>
          </cell>
          <cell r="G1059">
            <v>1219</v>
          </cell>
          <cell r="H1059">
            <v>2438</v>
          </cell>
          <cell r="I1059" t="str">
            <v>A</v>
          </cell>
          <cell r="K1059">
            <v>63</v>
          </cell>
          <cell r="L1059">
            <v>1774</v>
          </cell>
          <cell r="M1059">
            <v>20047982</v>
          </cell>
          <cell r="N1059">
            <v>38764</v>
          </cell>
          <cell r="P1059" t="str">
            <v>IN6216D1RSSSS04</v>
          </cell>
          <cell r="Q1059" t="str">
            <v>แผ่นรองและสายรัดเป็นสนิม, กระดาษฉีกขาด</v>
          </cell>
        </row>
        <row r="1060">
          <cell r="A1060">
            <v>20047978</v>
          </cell>
          <cell r="B1060">
            <v>1059</v>
          </cell>
          <cell r="C1060" t="str">
            <v>CW01/5</v>
          </cell>
          <cell r="D1060" t="str">
            <v>EG SECC</v>
          </cell>
          <cell r="E1060" t="str">
            <v>AI1</v>
          </cell>
          <cell r="F1060">
            <v>1.4</v>
          </cell>
          <cell r="G1060">
            <v>1219</v>
          </cell>
          <cell r="H1060">
            <v>2438</v>
          </cell>
          <cell r="I1060" t="str">
            <v>A</v>
          </cell>
          <cell r="K1060">
            <v>6</v>
          </cell>
          <cell r="L1060">
            <v>192</v>
          </cell>
          <cell r="M1060">
            <v>20047978</v>
          </cell>
          <cell r="N1060">
            <v>38764</v>
          </cell>
          <cell r="P1060" t="str">
            <v>IN6216D1RSSSS01</v>
          </cell>
          <cell r="Q1060" t="str">
            <v>แผ่นรองและสายรัดเป็นสนิม</v>
          </cell>
        </row>
        <row r="1061">
          <cell r="A1061">
            <v>20048078</v>
          </cell>
          <cell r="B1061">
            <v>1060</v>
          </cell>
          <cell r="C1061" t="str">
            <v>CW01/5</v>
          </cell>
          <cell r="D1061" t="str">
            <v>EG SECC</v>
          </cell>
          <cell r="E1061" t="str">
            <v>AI1</v>
          </cell>
          <cell r="F1061">
            <v>1.5</v>
          </cell>
          <cell r="G1061">
            <v>1219</v>
          </cell>
          <cell r="H1061">
            <v>2438</v>
          </cell>
          <cell r="I1061" t="str">
            <v>A</v>
          </cell>
          <cell r="K1061">
            <v>34</v>
          </cell>
          <cell r="L1061">
            <v>1196</v>
          </cell>
          <cell r="M1061">
            <v>20048078</v>
          </cell>
          <cell r="N1061">
            <v>38768</v>
          </cell>
          <cell r="P1061" t="str">
            <v>IN6220D1RSSSS01</v>
          </cell>
          <cell r="Q1061" t="str">
            <v>แผ่นรองและสายรัดเป็นสนิม, กระดาษฉีกขาด</v>
          </cell>
        </row>
        <row r="1062">
          <cell r="A1062">
            <v>20048079</v>
          </cell>
          <cell r="B1062">
            <v>1061</v>
          </cell>
          <cell r="C1062" t="str">
            <v>CW01/5</v>
          </cell>
          <cell r="D1062" t="str">
            <v>EG SECC</v>
          </cell>
          <cell r="E1062" t="str">
            <v>AI1</v>
          </cell>
          <cell r="F1062">
            <v>1.5</v>
          </cell>
          <cell r="G1062">
            <v>1219</v>
          </cell>
          <cell r="H1062">
            <v>2438</v>
          </cell>
          <cell r="I1062" t="str">
            <v>A</v>
          </cell>
          <cell r="K1062">
            <v>50</v>
          </cell>
          <cell r="L1062">
            <v>1744</v>
          </cell>
          <cell r="M1062">
            <v>20048079</v>
          </cell>
          <cell r="N1062">
            <v>38768</v>
          </cell>
          <cell r="P1062" t="str">
            <v>IN6220D1RSSSS02</v>
          </cell>
          <cell r="Q1062" t="str">
            <v>แผ่นรองและสายรัดเป็นสนิม, กระดาษฉีกขาด</v>
          </cell>
        </row>
        <row r="1063">
          <cell r="A1063">
            <v>20048080</v>
          </cell>
          <cell r="B1063">
            <v>1062</v>
          </cell>
          <cell r="C1063" t="str">
            <v>CW01/5</v>
          </cell>
          <cell r="D1063" t="str">
            <v>EG SECC</v>
          </cell>
          <cell r="E1063" t="str">
            <v>AI1</v>
          </cell>
          <cell r="F1063">
            <v>1.5</v>
          </cell>
          <cell r="G1063">
            <v>1219</v>
          </cell>
          <cell r="H1063">
            <v>2438</v>
          </cell>
          <cell r="I1063" t="str">
            <v>A</v>
          </cell>
          <cell r="K1063">
            <v>50</v>
          </cell>
          <cell r="L1063">
            <v>1752</v>
          </cell>
          <cell r="M1063">
            <v>20048080</v>
          </cell>
          <cell r="N1063">
            <v>38768</v>
          </cell>
          <cell r="P1063" t="str">
            <v>IN6220D1RSSSS03</v>
          </cell>
          <cell r="Q1063" t="str">
            <v>แผ่นรองและสายรัดเป็นสนิม, กระดาษฉีกขาด</v>
          </cell>
        </row>
        <row r="1064">
          <cell r="A1064">
            <v>20048081</v>
          </cell>
          <cell r="B1064">
            <v>1063</v>
          </cell>
          <cell r="C1064" t="str">
            <v>CW01/5</v>
          </cell>
          <cell r="D1064" t="str">
            <v>EG SECC</v>
          </cell>
          <cell r="E1064" t="str">
            <v>AI1</v>
          </cell>
          <cell r="F1064">
            <v>1.5</v>
          </cell>
          <cell r="G1064">
            <v>1219</v>
          </cell>
          <cell r="H1064">
            <v>2438</v>
          </cell>
          <cell r="I1064" t="str">
            <v>A</v>
          </cell>
          <cell r="K1064">
            <v>50</v>
          </cell>
          <cell r="L1064">
            <v>1758</v>
          </cell>
          <cell r="M1064">
            <v>20048081</v>
          </cell>
          <cell r="N1064">
            <v>38768</v>
          </cell>
          <cell r="P1064" t="str">
            <v>IN6220D1RSSSS04</v>
          </cell>
          <cell r="Q1064" t="str">
            <v>แผ่นรองและสายรัดเป็นสนิม, กระดาษฉีกขาด</v>
          </cell>
        </row>
        <row r="1065">
          <cell r="A1065">
            <v>20048082</v>
          </cell>
          <cell r="B1065">
            <v>1064</v>
          </cell>
          <cell r="C1065" t="str">
            <v>CW01/5</v>
          </cell>
          <cell r="D1065" t="str">
            <v>EG SECC</v>
          </cell>
          <cell r="E1065" t="str">
            <v>AI1</v>
          </cell>
          <cell r="F1065">
            <v>1.5</v>
          </cell>
          <cell r="G1065">
            <v>1219</v>
          </cell>
          <cell r="H1065">
            <v>2438</v>
          </cell>
          <cell r="I1065" t="str">
            <v>A</v>
          </cell>
          <cell r="K1065">
            <v>50</v>
          </cell>
          <cell r="L1065">
            <v>1754</v>
          </cell>
          <cell r="M1065">
            <v>20048082</v>
          </cell>
          <cell r="N1065">
            <v>38768</v>
          </cell>
          <cell r="P1065" t="str">
            <v>IN6220D1RSSSS05</v>
          </cell>
          <cell r="Q1065" t="str">
            <v>แผ่นรองและสายรัดเป็นสนิม, กระดาษฉีกขาด</v>
          </cell>
        </row>
        <row r="1066">
          <cell r="A1066">
            <v>20035994</v>
          </cell>
          <cell r="B1066">
            <v>1065</v>
          </cell>
          <cell r="C1066" t="str">
            <v>CW01/5</v>
          </cell>
          <cell r="D1066" t="str">
            <v>EG SECC</v>
          </cell>
          <cell r="E1066" t="str">
            <v>AI1</v>
          </cell>
          <cell r="F1066">
            <v>1.6</v>
          </cell>
          <cell r="G1066">
            <v>1219</v>
          </cell>
          <cell r="H1066">
            <v>2438</v>
          </cell>
          <cell r="I1066" t="str">
            <v>A</v>
          </cell>
          <cell r="K1066">
            <v>65</v>
          </cell>
          <cell r="L1066">
            <v>2432</v>
          </cell>
          <cell r="M1066">
            <v>20035994</v>
          </cell>
          <cell r="N1066">
            <v>38384</v>
          </cell>
          <cell r="P1066" t="str">
            <v>IN5201D1RSSSS01</v>
          </cell>
          <cell r="Q1066" t="str">
            <v>แผ่นรองและสายรัดเป็นสนิม, กระดาษฉีกขาด</v>
          </cell>
        </row>
        <row r="1067">
          <cell r="A1067">
            <v>20048074</v>
          </cell>
          <cell r="B1067">
            <v>1066</v>
          </cell>
          <cell r="C1067" t="str">
            <v>CW01/5</v>
          </cell>
          <cell r="D1067" t="str">
            <v>EG SECC</v>
          </cell>
          <cell r="E1067" t="str">
            <v>AI1</v>
          </cell>
          <cell r="F1067">
            <v>1.6</v>
          </cell>
          <cell r="G1067">
            <v>1219</v>
          </cell>
          <cell r="H1067">
            <v>2438</v>
          </cell>
          <cell r="I1067" t="str">
            <v>A</v>
          </cell>
          <cell r="K1067">
            <v>21</v>
          </cell>
          <cell r="L1067">
            <v>782</v>
          </cell>
          <cell r="M1067">
            <v>20048074</v>
          </cell>
          <cell r="N1067">
            <v>38768</v>
          </cell>
          <cell r="P1067" t="str">
            <v>IN6220D1RSSSS01</v>
          </cell>
          <cell r="Q1067" t="str">
            <v>แผ่นรองและสายรัดเป็นสนิม, กระดาษฉีกขาด</v>
          </cell>
        </row>
        <row r="1068">
          <cell r="A1068">
            <v>20048075</v>
          </cell>
          <cell r="B1068">
            <v>1067</v>
          </cell>
          <cell r="C1068" t="str">
            <v>CW01/5</v>
          </cell>
          <cell r="D1068" t="str">
            <v>EG SECC</v>
          </cell>
          <cell r="E1068" t="str">
            <v>AI1</v>
          </cell>
          <cell r="F1068">
            <v>1.6</v>
          </cell>
          <cell r="G1068">
            <v>1219</v>
          </cell>
          <cell r="H1068">
            <v>2438</v>
          </cell>
          <cell r="I1068" t="str">
            <v>A</v>
          </cell>
          <cell r="K1068">
            <v>50</v>
          </cell>
          <cell r="L1068">
            <v>1876</v>
          </cell>
          <cell r="M1068">
            <v>20048075</v>
          </cell>
          <cell r="N1068">
            <v>38768</v>
          </cell>
          <cell r="P1068" t="str">
            <v>IN6220D1RSSSS02</v>
          </cell>
          <cell r="Q1068" t="str">
            <v>แผ่นรองและสายรัดเป็นสนิม, กระดาษฉีกขาด</v>
          </cell>
        </row>
        <row r="1069">
          <cell r="A1069">
            <v>20048076</v>
          </cell>
          <cell r="B1069">
            <v>1068</v>
          </cell>
          <cell r="C1069" t="str">
            <v>CW01/5</v>
          </cell>
          <cell r="D1069" t="str">
            <v>EG SECC</v>
          </cell>
          <cell r="E1069" t="str">
            <v>AI1</v>
          </cell>
          <cell r="F1069">
            <v>1.6</v>
          </cell>
          <cell r="G1069">
            <v>1219</v>
          </cell>
          <cell r="H1069">
            <v>2438</v>
          </cell>
          <cell r="I1069" t="str">
            <v>A</v>
          </cell>
          <cell r="K1069">
            <v>50</v>
          </cell>
          <cell r="L1069">
            <v>1874</v>
          </cell>
          <cell r="M1069">
            <v>20048076</v>
          </cell>
          <cell r="N1069">
            <v>38768</v>
          </cell>
          <cell r="P1069" t="str">
            <v>IN6220D1RSSSS03</v>
          </cell>
          <cell r="Q1069" t="str">
            <v>แผ่นรองและสายรัดเป็นสนิม, กระดาษฉีกขาด</v>
          </cell>
        </row>
        <row r="1070">
          <cell r="A1070">
            <v>20048077</v>
          </cell>
          <cell r="B1070">
            <v>1069</v>
          </cell>
          <cell r="C1070" t="str">
            <v>CW01/5</v>
          </cell>
          <cell r="D1070" t="str">
            <v>EG SECC</v>
          </cell>
          <cell r="E1070" t="str">
            <v>AI1</v>
          </cell>
          <cell r="F1070">
            <v>1.6</v>
          </cell>
          <cell r="G1070">
            <v>1219</v>
          </cell>
          <cell r="H1070">
            <v>2438</v>
          </cell>
          <cell r="I1070" t="str">
            <v>A</v>
          </cell>
          <cell r="K1070">
            <v>50</v>
          </cell>
          <cell r="L1070">
            <v>1882</v>
          </cell>
          <cell r="M1070">
            <v>20048077</v>
          </cell>
          <cell r="N1070">
            <v>38768</v>
          </cell>
          <cell r="P1070" t="str">
            <v>IN6220D1RSSSS04</v>
          </cell>
          <cell r="Q1070" t="str">
            <v>แผ่นรองและสายรัดเป็นสนิม, กระดาษฉีกขาด</v>
          </cell>
        </row>
        <row r="1071">
          <cell r="A1071">
            <v>20048073</v>
          </cell>
          <cell r="B1071">
            <v>1070</v>
          </cell>
          <cell r="C1071" t="str">
            <v>CW01/5</v>
          </cell>
          <cell r="D1071" t="str">
            <v>EG SECC</v>
          </cell>
          <cell r="E1071" t="str">
            <v>AI1</v>
          </cell>
          <cell r="F1071">
            <v>2.2999999999999998</v>
          </cell>
          <cell r="G1071">
            <v>1219</v>
          </cell>
          <cell r="H1071">
            <v>2438</v>
          </cell>
          <cell r="I1071" t="str">
            <v>A</v>
          </cell>
          <cell r="K1071">
            <v>59</v>
          </cell>
          <cell r="L1071">
            <v>3184</v>
          </cell>
          <cell r="M1071">
            <v>20048073</v>
          </cell>
          <cell r="N1071">
            <v>38768</v>
          </cell>
          <cell r="P1071" t="str">
            <v>IN6220D1RSSSS01</v>
          </cell>
          <cell r="Q1071" t="str">
            <v>แผ่นรองและสายรัดเป็นสนิม, กระดาษฉีกขาด</v>
          </cell>
        </row>
        <row r="1072">
          <cell r="A1072">
            <v>20051288</v>
          </cell>
          <cell r="B1072">
            <v>1071</v>
          </cell>
          <cell r="C1072" t="str">
            <v>CW01/1</v>
          </cell>
          <cell r="D1072" t="str">
            <v xml:space="preserve">SPCC -SD </v>
          </cell>
          <cell r="E1072" t="str">
            <v>AF1</v>
          </cell>
          <cell r="F1072">
            <v>0.5</v>
          </cell>
          <cell r="G1072">
            <v>1219</v>
          </cell>
          <cell r="H1072">
            <v>2438</v>
          </cell>
          <cell r="I1072" t="str">
            <v>A</v>
          </cell>
          <cell r="K1072">
            <v>10</v>
          </cell>
          <cell r="L1072">
            <v>117</v>
          </cell>
          <cell r="M1072">
            <v>20051288</v>
          </cell>
          <cell r="N1072">
            <v>38905</v>
          </cell>
          <cell r="P1072" t="str">
            <v>IN6707D3D178501</v>
          </cell>
          <cell r="Q1072" t="str">
            <v>กระดาษฉีกขาดและเป็นสนิม</v>
          </cell>
        </row>
        <row r="1073">
          <cell r="A1073">
            <v>20051869</v>
          </cell>
          <cell r="B1073">
            <v>1072</v>
          </cell>
          <cell r="C1073" t="str">
            <v>CW01/1</v>
          </cell>
          <cell r="D1073" t="str">
            <v xml:space="preserve">SPCC -SD </v>
          </cell>
          <cell r="E1073" t="str">
            <v>AF1</v>
          </cell>
          <cell r="F1073">
            <v>0.5</v>
          </cell>
          <cell r="G1073">
            <v>1219</v>
          </cell>
          <cell r="H1073">
            <v>2438</v>
          </cell>
          <cell r="I1073" t="str">
            <v>A</v>
          </cell>
          <cell r="K1073">
            <v>35</v>
          </cell>
          <cell r="L1073">
            <v>408</v>
          </cell>
          <cell r="M1073">
            <v>20051869</v>
          </cell>
          <cell r="N1073">
            <v>38934</v>
          </cell>
          <cell r="P1073" t="str">
            <v>IN6805D1D276001</v>
          </cell>
          <cell r="Q1073" t="str">
            <v>กระดาษฉีกขาด</v>
          </cell>
        </row>
        <row r="1074">
          <cell r="A1074">
            <v>20052049</v>
          </cell>
          <cell r="B1074">
            <v>1073</v>
          </cell>
          <cell r="C1074" t="str">
            <v>CW01/1</v>
          </cell>
          <cell r="D1074" t="str">
            <v xml:space="preserve">SPCC -SD </v>
          </cell>
          <cell r="E1074" t="str">
            <v>AF1</v>
          </cell>
          <cell r="F1074">
            <v>0.5</v>
          </cell>
          <cell r="G1074">
            <v>1219</v>
          </cell>
          <cell r="H1074">
            <v>2438</v>
          </cell>
          <cell r="I1074" t="str">
            <v>A</v>
          </cell>
          <cell r="K1074">
            <v>54</v>
          </cell>
          <cell r="L1074">
            <v>637</v>
          </cell>
          <cell r="M1074">
            <v>20052049</v>
          </cell>
          <cell r="N1074">
            <v>38948</v>
          </cell>
          <cell r="P1074" t="str">
            <v>IN6819D1L304801</v>
          </cell>
          <cell r="Q1074" t="str">
            <v>สภาพปกติ</v>
          </cell>
        </row>
        <row r="1075">
          <cell r="A1075">
            <v>20049833</v>
          </cell>
          <cell r="B1075">
            <v>1074</v>
          </cell>
          <cell r="C1075" t="str">
            <v>CW01/1</v>
          </cell>
          <cell r="D1075" t="str">
            <v xml:space="preserve">SPCC -SD </v>
          </cell>
          <cell r="E1075" t="str">
            <v>AF1</v>
          </cell>
          <cell r="F1075">
            <v>0.55000000000000004</v>
          </cell>
          <cell r="G1075">
            <v>1219</v>
          </cell>
          <cell r="H1075">
            <v>2438</v>
          </cell>
          <cell r="I1075" t="str">
            <v>A</v>
          </cell>
          <cell r="K1075">
            <v>71</v>
          </cell>
          <cell r="L1075">
            <v>914</v>
          </cell>
          <cell r="M1075">
            <v>20049833</v>
          </cell>
          <cell r="N1075">
            <v>38846</v>
          </cell>
          <cell r="P1075" t="str">
            <v>IN6509D1L983401</v>
          </cell>
          <cell r="Q1075" t="str">
            <v>กระดาษฉีกขาด</v>
          </cell>
        </row>
        <row r="1076">
          <cell r="A1076">
            <v>20050879</v>
          </cell>
          <cell r="B1076">
            <v>1075</v>
          </cell>
          <cell r="C1076" t="str">
            <v>CW01/1</v>
          </cell>
          <cell r="D1076" t="str">
            <v xml:space="preserve">SPCC -SD </v>
          </cell>
          <cell r="E1076" t="str">
            <v>AF1</v>
          </cell>
          <cell r="F1076">
            <v>0.7</v>
          </cell>
          <cell r="G1076">
            <v>1219</v>
          </cell>
          <cell r="H1076">
            <v>2438</v>
          </cell>
          <cell r="I1076" t="str">
            <v>A</v>
          </cell>
          <cell r="K1076">
            <v>13</v>
          </cell>
          <cell r="L1076">
            <v>214</v>
          </cell>
          <cell r="M1076">
            <v>20050879</v>
          </cell>
          <cell r="N1076">
            <v>38889</v>
          </cell>
          <cell r="O1076" t="str">
            <v>124B27SUD009</v>
          </cell>
          <cell r="P1076" t="str">
            <v>IN6621N1L130201</v>
          </cell>
          <cell r="Q1076" t="str">
            <v>กระดาษฉีกขาด</v>
          </cell>
        </row>
        <row r="1077">
          <cell r="A1077">
            <v>20050901</v>
          </cell>
          <cell r="B1077">
            <v>1076</v>
          </cell>
          <cell r="C1077" t="str">
            <v>CW01/1</v>
          </cell>
          <cell r="D1077" t="str">
            <v xml:space="preserve">SPCC -SD </v>
          </cell>
          <cell r="E1077" t="str">
            <v>AF1</v>
          </cell>
          <cell r="F1077">
            <v>0.7</v>
          </cell>
          <cell r="G1077">
            <v>1219</v>
          </cell>
          <cell r="H1077">
            <v>2438</v>
          </cell>
          <cell r="I1077" t="str">
            <v>A</v>
          </cell>
          <cell r="K1077">
            <v>40</v>
          </cell>
          <cell r="L1077">
            <v>638</v>
          </cell>
          <cell r="M1077">
            <v>20050901</v>
          </cell>
          <cell r="N1077">
            <v>38890</v>
          </cell>
          <cell r="P1077" t="str">
            <v>IN6622N1L132501</v>
          </cell>
          <cell r="Q1077" t="str">
            <v>กระดาษฉีกขาด</v>
          </cell>
        </row>
        <row r="1078">
          <cell r="A1078">
            <v>20051785</v>
          </cell>
          <cell r="B1078">
            <v>1077</v>
          </cell>
          <cell r="C1078" t="str">
            <v>CW01/1</v>
          </cell>
          <cell r="D1078" t="str">
            <v xml:space="preserve">SPCC -SD </v>
          </cell>
          <cell r="E1078" t="str">
            <v>AF1</v>
          </cell>
          <cell r="F1078">
            <v>0.7</v>
          </cell>
          <cell r="G1078">
            <v>1219</v>
          </cell>
          <cell r="H1078">
            <v>2438</v>
          </cell>
          <cell r="I1078" t="str">
            <v>A</v>
          </cell>
          <cell r="K1078">
            <v>3</v>
          </cell>
          <cell r="L1078">
            <v>49</v>
          </cell>
          <cell r="M1078">
            <v>20051785</v>
          </cell>
          <cell r="N1078">
            <v>38930</v>
          </cell>
          <cell r="P1078" t="str">
            <v>IN6801D1R250001</v>
          </cell>
          <cell r="Q1078" t="str">
            <v>กระดาษฉีกขาด</v>
          </cell>
        </row>
        <row r="1079">
          <cell r="A1079">
            <v>20048705</v>
          </cell>
          <cell r="B1079">
            <v>1078</v>
          </cell>
          <cell r="C1079" t="str">
            <v>CW01/1</v>
          </cell>
          <cell r="D1079" t="str">
            <v xml:space="preserve">SPCC -SD </v>
          </cell>
          <cell r="E1079" t="str">
            <v>AF1</v>
          </cell>
          <cell r="F1079">
            <v>0.8</v>
          </cell>
          <cell r="G1079">
            <v>1219</v>
          </cell>
          <cell r="H1079">
            <v>2438</v>
          </cell>
          <cell r="I1079" t="str">
            <v>A</v>
          </cell>
          <cell r="K1079">
            <v>8</v>
          </cell>
          <cell r="L1079">
            <v>149</v>
          </cell>
          <cell r="M1079">
            <v>20048705</v>
          </cell>
          <cell r="N1079">
            <v>38791</v>
          </cell>
          <cell r="P1079" t="str">
            <v>IN6315D1D843301</v>
          </cell>
          <cell r="Q1079" t="str">
            <v>กระดาษฉีกขาดและเป็นสนิม</v>
          </cell>
        </row>
        <row r="1080">
          <cell r="A1080">
            <v>20049523</v>
          </cell>
          <cell r="B1080">
            <v>1079</v>
          </cell>
          <cell r="C1080" t="str">
            <v>CW01/1</v>
          </cell>
          <cell r="D1080" t="str">
            <v xml:space="preserve">SPCC -SD </v>
          </cell>
          <cell r="E1080" t="str">
            <v>AF1</v>
          </cell>
          <cell r="F1080">
            <v>0.8</v>
          </cell>
          <cell r="G1080">
            <v>1219</v>
          </cell>
          <cell r="H1080">
            <v>2438</v>
          </cell>
          <cell r="I1080" t="str">
            <v>A</v>
          </cell>
          <cell r="K1080">
            <v>4</v>
          </cell>
          <cell r="L1080">
            <v>75</v>
          </cell>
          <cell r="M1080">
            <v>20049523</v>
          </cell>
          <cell r="N1080">
            <v>38831</v>
          </cell>
          <cell r="P1080" t="str">
            <v>IN6424D3D953001</v>
          </cell>
          <cell r="Q1080" t="str">
            <v>กระดาษฉีกขาดและเป็นสนิม</v>
          </cell>
        </row>
        <row r="1081">
          <cell r="A1081">
            <v>20051246</v>
          </cell>
          <cell r="B1081">
            <v>1080</v>
          </cell>
          <cell r="C1081" t="str">
            <v>CW01/1</v>
          </cell>
          <cell r="D1081" t="str">
            <v xml:space="preserve">SPCC -SD </v>
          </cell>
          <cell r="E1081" t="str">
            <v>AF1</v>
          </cell>
          <cell r="F1081">
            <v>0.8</v>
          </cell>
          <cell r="G1081">
            <v>1219</v>
          </cell>
          <cell r="H1081">
            <v>2438</v>
          </cell>
          <cell r="I1081" t="str">
            <v>A</v>
          </cell>
          <cell r="K1081">
            <v>7</v>
          </cell>
          <cell r="L1081">
            <v>131</v>
          </cell>
          <cell r="M1081">
            <v>20051246</v>
          </cell>
          <cell r="N1081">
            <v>38904</v>
          </cell>
          <cell r="P1081" t="str">
            <v>IN6706N3D176001</v>
          </cell>
          <cell r="Q1081" t="str">
            <v>กระดาษฉีกขาดและเป็นสนิม,ขอบบุบ</v>
          </cell>
        </row>
        <row r="1082">
          <cell r="A1082">
            <v>20051931</v>
          </cell>
          <cell r="B1082">
            <v>1081</v>
          </cell>
          <cell r="C1082" t="str">
            <v>CW01/1</v>
          </cell>
          <cell r="D1082" t="str">
            <v xml:space="preserve">SPCC -SD </v>
          </cell>
          <cell r="E1082" t="str">
            <v>AF1</v>
          </cell>
          <cell r="F1082">
            <v>0.8</v>
          </cell>
          <cell r="G1082">
            <v>1219</v>
          </cell>
          <cell r="H1082">
            <v>2438</v>
          </cell>
          <cell r="I1082" t="str">
            <v>A</v>
          </cell>
          <cell r="K1082">
            <v>8</v>
          </cell>
          <cell r="L1082">
            <v>149</v>
          </cell>
          <cell r="M1082">
            <v>20051931</v>
          </cell>
          <cell r="N1082">
            <v>38939</v>
          </cell>
          <cell r="P1082" t="str">
            <v>IN6810N3D287301</v>
          </cell>
          <cell r="Q1082" t="str">
            <v>กระดาษฉีกขาด</v>
          </cell>
        </row>
        <row r="1083">
          <cell r="A1083">
            <v>20052017</v>
          </cell>
          <cell r="B1083">
            <v>1082</v>
          </cell>
          <cell r="C1083" t="str">
            <v>CW01/1</v>
          </cell>
          <cell r="D1083" t="str">
            <v xml:space="preserve">SPCC -SD </v>
          </cell>
          <cell r="E1083" t="str">
            <v>AF1</v>
          </cell>
          <cell r="F1083">
            <v>0.8</v>
          </cell>
          <cell r="G1083">
            <v>1219</v>
          </cell>
          <cell r="H1083">
            <v>2438</v>
          </cell>
          <cell r="I1083" t="str">
            <v>A</v>
          </cell>
          <cell r="K1083">
            <v>14</v>
          </cell>
          <cell r="L1083">
            <v>260</v>
          </cell>
          <cell r="M1083">
            <v>20052017</v>
          </cell>
          <cell r="N1083">
            <v>38947</v>
          </cell>
          <cell r="P1083" t="str">
            <v>IN6818N1D302401</v>
          </cell>
          <cell r="Q1083" t="str">
            <v>กระดาษฉีกขาด</v>
          </cell>
        </row>
        <row r="1084">
          <cell r="A1084">
            <v>20047989</v>
          </cell>
          <cell r="B1084">
            <v>1083</v>
          </cell>
          <cell r="C1084" t="str">
            <v>CW01/1</v>
          </cell>
          <cell r="D1084" t="str">
            <v xml:space="preserve">SPCC -SD </v>
          </cell>
          <cell r="E1084" t="str">
            <v>AF1</v>
          </cell>
          <cell r="F1084">
            <v>0.9</v>
          </cell>
          <cell r="G1084">
            <v>1219</v>
          </cell>
          <cell r="H1084">
            <v>2438</v>
          </cell>
          <cell r="I1084" t="str">
            <v>A</v>
          </cell>
          <cell r="K1084">
            <v>3</v>
          </cell>
          <cell r="L1084">
            <v>63</v>
          </cell>
          <cell r="M1084">
            <v>20047989</v>
          </cell>
          <cell r="N1084">
            <v>38764</v>
          </cell>
          <cell r="P1084" t="str">
            <v>IN6216D1R747401</v>
          </cell>
          <cell r="Q1084" t="str">
            <v>กระดาษฉีกขาด</v>
          </cell>
        </row>
        <row r="1085">
          <cell r="A1085">
            <v>20048561</v>
          </cell>
          <cell r="B1085">
            <v>1084</v>
          </cell>
          <cell r="C1085" t="str">
            <v>CW01/1</v>
          </cell>
          <cell r="D1085" t="str">
            <v xml:space="preserve">SPCC -SD </v>
          </cell>
          <cell r="E1085" t="str">
            <v>AF1</v>
          </cell>
          <cell r="F1085">
            <v>0.9</v>
          </cell>
          <cell r="G1085">
            <v>1219</v>
          </cell>
          <cell r="H1085">
            <v>2438</v>
          </cell>
          <cell r="I1085" t="str">
            <v>A</v>
          </cell>
          <cell r="K1085">
            <v>53</v>
          </cell>
          <cell r="L1085">
            <v>1114</v>
          </cell>
          <cell r="M1085">
            <v>20048561</v>
          </cell>
          <cell r="N1085">
            <v>38786</v>
          </cell>
          <cell r="P1085" t="str">
            <v>IN6310N1L827701</v>
          </cell>
          <cell r="Q1085" t="str">
            <v>กระดาษฉีกขาด</v>
          </cell>
        </row>
        <row r="1086">
          <cell r="A1086">
            <v>20048960</v>
          </cell>
          <cell r="B1086">
            <v>1085</v>
          </cell>
          <cell r="C1086" t="str">
            <v>CW01/1</v>
          </cell>
          <cell r="D1086" t="str">
            <v xml:space="preserve">SPCC -SD </v>
          </cell>
          <cell r="E1086" t="str">
            <v>AF1</v>
          </cell>
          <cell r="F1086">
            <v>0.9</v>
          </cell>
          <cell r="G1086">
            <v>1219</v>
          </cell>
          <cell r="H1086">
            <v>2438</v>
          </cell>
          <cell r="I1086" t="str">
            <v>A</v>
          </cell>
          <cell r="K1086">
            <v>19</v>
          </cell>
          <cell r="L1086">
            <v>399</v>
          </cell>
          <cell r="M1086">
            <v>20048960</v>
          </cell>
          <cell r="N1086">
            <v>38798</v>
          </cell>
          <cell r="P1086" t="str">
            <v>IN6322D1R871201</v>
          </cell>
          <cell r="Q1086" t="str">
            <v>กระดาษฉีกขาด</v>
          </cell>
        </row>
        <row r="1087">
          <cell r="A1087">
            <v>20049119</v>
          </cell>
          <cell r="B1087">
            <v>1086</v>
          </cell>
          <cell r="C1087" t="str">
            <v>CW01/1</v>
          </cell>
          <cell r="D1087" t="str">
            <v xml:space="preserve">SPCC -SD </v>
          </cell>
          <cell r="E1087" t="str">
            <v>AF1</v>
          </cell>
          <cell r="F1087">
            <v>0.9</v>
          </cell>
          <cell r="G1087">
            <v>1219</v>
          </cell>
          <cell r="H1087">
            <v>2438</v>
          </cell>
          <cell r="I1087" t="str">
            <v>A</v>
          </cell>
          <cell r="K1087">
            <v>58</v>
          </cell>
          <cell r="L1087">
            <v>1220</v>
          </cell>
          <cell r="M1087">
            <v>20049119</v>
          </cell>
          <cell r="N1087">
            <v>38804</v>
          </cell>
          <cell r="P1087" t="str">
            <v>IN6328D1L891001</v>
          </cell>
          <cell r="Q1087" t="str">
            <v>กระดาษฉีกขาดและเป็นสนิม</v>
          </cell>
        </row>
        <row r="1088">
          <cell r="A1088">
            <v>20050253</v>
          </cell>
          <cell r="B1088">
            <v>1087</v>
          </cell>
          <cell r="C1088" t="str">
            <v>CW01/1</v>
          </cell>
          <cell r="D1088" t="str">
            <v xml:space="preserve">SPCC -SD </v>
          </cell>
          <cell r="E1088" t="str">
            <v>AF1</v>
          </cell>
          <cell r="F1088">
            <v>0.9</v>
          </cell>
          <cell r="G1088">
            <v>1219</v>
          </cell>
          <cell r="H1088">
            <v>2438</v>
          </cell>
          <cell r="I1088" t="str">
            <v>A</v>
          </cell>
          <cell r="K1088">
            <v>21</v>
          </cell>
          <cell r="L1088">
            <v>441</v>
          </cell>
          <cell r="M1088">
            <v>20050253</v>
          </cell>
          <cell r="N1088">
            <v>38866</v>
          </cell>
          <cell r="P1088" t="str">
            <v>IN6529D1D052601</v>
          </cell>
          <cell r="Q1088" t="str">
            <v>กระดาษฉีกขาดและเป็นสนิม</v>
          </cell>
        </row>
        <row r="1089">
          <cell r="A1089">
            <v>20051478</v>
          </cell>
          <cell r="B1089">
            <v>1088</v>
          </cell>
          <cell r="C1089" t="str">
            <v>CW01/1</v>
          </cell>
          <cell r="D1089" t="str">
            <v xml:space="preserve">SPCC -SD </v>
          </cell>
          <cell r="E1089" t="str">
            <v>AF1</v>
          </cell>
          <cell r="F1089">
            <v>0.9</v>
          </cell>
          <cell r="G1089">
            <v>1219</v>
          </cell>
          <cell r="H1089">
            <v>2438</v>
          </cell>
          <cell r="I1089" t="str">
            <v>A</v>
          </cell>
          <cell r="K1089">
            <v>33</v>
          </cell>
          <cell r="L1089">
            <v>689</v>
          </cell>
          <cell r="M1089">
            <v>20051478</v>
          </cell>
          <cell r="N1089">
            <v>38917</v>
          </cell>
          <cell r="P1089" t="str">
            <v>IN6719D1R217401</v>
          </cell>
          <cell r="Q1089" t="str">
            <v>สภาพปกติ</v>
          </cell>
        </row>
        <row r="1090">
          <cell r="A1090">
            <v>20051917</v>
          </cell>
          <cell r="B1090">
            <v>1089</v>
          </cell>
          <cell r="C1090" t="str">
            <v>CW01/1</v>
          </cell>
          <cell r="D1090" t="str">
            <v xml:space="preserve">SPCC -SD </v>
          </cell>
          <cell r="E1090" t="str">
            <v>AF1</v>
          </cell>
          <cell r="F1090">
            <v>0.9</v>
          </cell>
          <cell r="G1090">
            <v>1219</v>
          </cell>
          <cell r="H1090">
            <v>2438</v>
          </cell>
          <cell r="I1090" t="str">
            <v>A</v>
          </cell>
          <cell r="K1090">
            <v>40</v>
          </cell>
          <cell r="L1090">
            <v>842</v>
          </cell>
          <cell r="M1090">
            <v>20051917</v>
          </cell>
          <cell r="N1090">
            <v>38938</v>
          </cell>
          <cell r="P1090" t="str">
            <v>IN6809D1R284501</v>
          </cell>
          <cell r="Q1090" t="str">
            <v>สภาพปกติ</v>
          </cell>
        </row>
        <row r="1091">
          <cell r="A1091">
            <v>20051681</v>
          </cell>
          <cell r="B1091">
            <v>1090</v>
          </cell>
          <cell r="C1091" t="str">
            <v>CW01/1</v>
          </cell>
          <cell r="D1091" t="str">
            <v xml:space="preserve">SPCC -SD </v>
          </cell>
          <cell r="E1091" t="str">
            <v>AF1</v>
          </cell>
          <cell r="F1091">
            <v>1.4</v>
          </cell>
          <cell r="G1091">
            <v>1219</v>
          </cell>
          <cell r="H1091">
            <v>2438</v>
          </cell>
          <cell r="I1091" t="str">
            <v>A</v>
          </cell>
          <cell r="K1091">
            <v>50</v>
          </cell>
          <cell r="L1091">
            <v>1633</v>
          </cell>
          <cell r="M1091">
            <v>20051681</v>
          </cell>
          <cell r="N1091">
            <v>38925</v>
          </cell>
          <cell r="P1091" t="str">
            <v>IN6727D1RSSSS01</v>
          </cell>
          <cell r="Q1091" t="str">
            <v>แผ่นรองและสายรัดเป็นสนิม</v>
          </cell>
        </row>
        <row r="1092">
          <cell r="A1092">
            <v>20051939</v>
          </cell>
          <cell r="B1092">
            <v>1091</v>
          </cell>
          <cell r="C1092" t="str">
            <v>CW01/1</v>
          </cell>
          <cell r="D1092" t="str">
            <v xml:space="preserve">SPCC -SD </v>
          </cell>
          <cell r="E1092" t="str">
            <v>AF1</v>
          </cell>
          <cell r="F1092">
            <v>1.4</v>
          </cell>
          <cell r="G1092">
            <v>1219</v>
          </cell>
          <cell r="H1092">
            <v>2438</v>
          </cell>
          <cell r="I1092" t="str">
            <v>A</v>
          </cell>
          <cell r="K1092">
            <v>24</v>
          </cell>
          <cell r="L1092">
            <v>783</v>
          </cell>
          <cell r="M1092">
            <v>20051939</v>
          </cell>
          <cell r="N1092">
            <v>38939</v>
          </cell>
          <cell r="P1092" t="str">
            <v>IN6810D1R288801</v>
          </cell>
          <cell r="Q1092" t="str">
            <v>แผ่นรองและสายรัดเป็นสนิม</v>
          </cell>
        </row>
        <row r="1093">
          <cell r="A1093">
            <v>20051151</v>
          </cell>
          <cell r="B1093">
            <v>1092</v>
          </cell>
          <cell r="C1093" t="str">
            <v>CW01/1</v>
          </cell>
          <cell r="D1093" t="str">
            <v>SPCEN-SD</v>
          </cell>
          <cell r="E1093" t="str">
            <v>AF3</v>
          </cell>
          <cell r="F1093">
            <v>0.7</v>
          </cell>
          <cell r="G1093">
            <v>1219</v>
          </cell>
          <cell r="H1093">
            <v>2438</v>
          </cell>
          <cell r="I1093" t="str">
            <v>A</v>
          </cell>
          <cell r="K1093">
            <v>27</v>
          </cell>
          <cell r="L1093">
            <v>441</v>
          </cell>
          <cell r="M1093">
            <v>20051151</v>
          </cell>
          <cell r="N1093">
            <v>38899</v>
          </cell>
          <cell r="P1093" t="str">
            <v>IN6701D3D165201</v>
          </cell>
          <cell r="Q1093" t="str">
            <v>กระดาษฉีกขาด</v>
          </cell>
        </row>
        <row r="1094">
          <cell r="A1094">
            <v>20051417</v>
          </cell>
          <cell r="B1094">
            <v>1093</v>
          </cell>
          <cell r="C1094" t="str">
            <v>CW01/1</v>
          </cell>
          <cell r="D1094" t="str">
            <v>SPCEN-SD</v>
          </cell>
          <cell r="E1094" t="str">
            <v>AF3</v>
          </cell>
          <cell r="F1094">
            <v>0.7</v>
          </cell>
          <cell r="G1094">
            <v>1219</v>
          </cell>
          <cell r="H1094">
            <v>2438</v>
          </cell>
          <cell r="I1094" t="str">
            <v>A</v>
          </cell>
          <cell r="K1094">
            <v>30</v>
          </cell>
          <cell r="L1094">
            <v>495</v>
          </cell>
          <cell r="M1094">
            <v>20051417</v>
          </cell>
          <cell r="N1094">
            <v>38913</v>
          </cell>
          <cell r="P1094" t="str">
            <v>IN6715D1R201901</v>
          </cell>
          <cell r="Q1094" t="str">
            <v>กระดาษฉีกขาดและเป็นสนิม</v>
          </cell>
        </row>
        <row r="1095">
          <cell r="A1095">
            <v>20049209</v>
          </cell>
          <cell r="B1095">
            <v>1094</v>
          </cell>
          <cell r="C1095" t="str">
            <v>CW01/1</v>
          </cell>
          <cell r="D1095" t="str">
            <v>SPCEN-SD</v>
          </cell>
          <cell r="E1095" t="str">
            <v>AF3</v>
          </cell>
          <cell r="F1095">
            <v>0.8</v>
          </cell>
          <cell r="G1095">
            <v>1219</v>
          </cell>
          <cell r="H1095">
            <v>2438</v>
          </cell>
          <cell r="I1095" t="str">
            <v>A</v>
          </cell>
          <cell r="K1095">
            <v>6</v>
          </cell>
          <cell r="L1095">
            <v>112</v>
          </cell>
          <cell r="M1095">
            <v>20049209</v>
          </cell>
          <cell r="N1095">
            <v>38808</v>
          </cell>
          <cell r="P1095" t="str">
            <v>IN6401N1D902201</v>
          </cell>
          <cell r="Q1095" t="str">
            <v>กระดาษฉีกขาดและเป็นสนิม,ขอบบุบ</v>
          </cell>
        </row>
        <row r="1096">
          <cell r="A1096">
            <v>20051992</v>
          </cell>
          <cell r="B1096">
            <v>1095</v>
          </cell>
          <cell r="C1096" t="str">
            <v>CW01/1</v>
          </cell>
          <cell r="D1096" t="str">
            <v>SPCEN-SD</v>
          </cell>
          <cell r="E1096" t="str">
            <v>AF3</v>
          </cell>
          <cell r="F1096">
            <v>0.8</v>
          </cell>
          <cell r="G1096">
            <v>1219</v>
          </cell>
          <cell r="H1096">
            <v>2438</v>
          </cell>
          <cell r="I1096" t="str">
            <v>A</v>
          </cell>
          <cell r="K1096">
            <v>11</v>
          </cell>
          <cell r="L1096">
            <v>205</v>
          </cell>
          <cell r="M1096">
            <v>20051992</v>
          </cell>
          <cell r="N1096">
            <v>38945</v>
          </cell>
          <cell r="P1096" t="str">
            <v>IN6816N3D297001</v>
          </cell>
          <cell r="Q1096" t="str">
            <v>กระดาษฉีกขาด</v>
          </cell>
        </row>
        <row r="1097">
          <cell r="A1097">
            <v>20052091</v>
          </cell>
          <cell r="B1097">
            <v>1096</v>
          </cell>
          <cell r="C1097" t="str">
            <v>CW01/1</v>
          </cell>
          <cell r="D1097" t="str">
            <v>SPCEN-SD</v>
          </cell>
          <cell r="E1097" t="str">
            <v>AF3</v>
          </cell>
          <cell r="F1097">
            <v>0.8</v>
          </cell>
          <cell r="G1097">
            <v>1219</v>
          </cell>
          <cell r="H1097">
            <v>2438</v>
          </cell>
          <cell r="I1097" t="str">
            <v>A</v>
          </cell>
          <cell r="K1097">
            <v>7</v>
          </cell>
          <cell r="L1097">
            <v>135</v>
          </cell>
          <cell r="M1097">
            <v>20052091</v>
          </cell>
          <cell r="N1097">
            <v>38952</v>
          </cell>
          <cell r="P1097" t="str">
            <v>IN6823D1D311001</v>
          </cell>
          <cell r="Q1097" t="str">
            <v>กระดาษฉีกขาด</v>
          </cell>
        </row>
        <row r="1098">
          <cell r="A1098">
            <v>20049365</v>
          </cell>
          <cell r="B1098">
            <v>1097</v>
          </cell>
          <cell r="C1098" t="str">
            <v>CW01/1</v>
          </cell>
          <cell r="D1098" t="str">
            <v>SPCEN-SD</v>
          </cell>
          <cell r="E1098" t="str">
            <v>AF3</v>
          </cell>
          <cell r="F1098">
            <v>0.9</v>
          </cell>
          <cell r="G1098">
            <v>1219</v>
          </cell>
          <cell r="H1098">
            <v>2438</v>
          </cell>
          <cell r="I1098" t="str">
            <v>A</v>
          </cell>
          <cell r="K1098">
            <v>62</v>
          </cell>
          <cell r="L1098">
            <v>1304</v>
          </cell>
          <cell r="M1098">
            <v>20049365</v>
          </cell>
          <cell r="N1098">
            <v>38826</v>
          </cell>
          <cell r="P1098" t="str">
            <v>IN6419D1L938701</v>
          </cell>
          <cell r="Q1098" t="str">
            <v>แผ่นรองและสายรัดเป็นสนิม</v>
          </cell>
        </row>
        <row r="1099">
          <cell r="A1099">
            <v>20051014</v>
          </cell>
          <cell r="B1099">
            <v>1098</v>
          </cell>
          <cell r="C1099" t="str">
            <v>CW01/1</v>
          </cell>
          <cell r="D1099" t="str">
            <v>SPCEN-SD</v>
          </cell>
          <cell r="E1099" t="str">
            <v>AF3</v>
          </cell>
          <cell r="F1099">
            <v>0.9</v>
          </cell>
          <cell r="G1099">
            <v>1219</v>
          </cell>
          <cell r="H1099">
            <v>2438</v>
          </cell>
          <cell r="I1099" t="str">
            <v>A</v>
          </cell>
          <cell r="K1099">
            <v>33</v>
          </cell>
          <cell r="L1099">
            <v>693</v>
          </cell>
          <cell r="M1099">
            <v>20051014</v>
          </cell>
          <cell r="N1099">
            <v>38894</v>
          </cell>
          <cell r="P1099" t="str">
            <v>IN6626D3D138501</v>
          </cell>
          <cell r="Q1099" t="str">
            <v>กระดาษฉีกขาดและเป็นสนิม</v>
          </cell>
        </row>
        <row r="1100">
          <cell r="A1100">
            <v>20051404</v>
          </cell>
          <cell r="B1100">
            <v>1099</v>
          </cell>
          <cell r="C1100" t="str">
            <v>CW01/1</v>
          </cell>
          <cell r="D1100" t="str">
            <v>SPCEN-SD</v>
          </cell>
          <cell r="E1100" t="str">
            <v>AF3</v>
          </cell>
          <cell r="F1100">
            <v>0.9</v>
          </cell>
          <cell r="G1100">
            <v>1219</v>
          </cell>
          <cell r="H1100">
            <v>2438</v>
          </cell>
          <cell r="I1100" t="str">
            <v>A</v>
          </cell>
          <cell r="K1100">
            <v>35</v>
          </cell>
          <cell r="L1100">
            <v>738</v>
          </cell>
          <cell r="M1100">
            <v>20051404</v>
          </cell>
          <cell r="N1100">
            <v>38913</v>
          </cell>
          <cell r="P1100" t="str">
            <v>IN6715N1L204401</v>
          </cell>
          <cell r="Q1100" t="str">
            <v>แผ่นรองและสายรัดเป็นสนิม</v>
          </cell>
        </row>
        <row r="1101">
          <cell r="A1101">
            <v>20051703</v>
          </cell>
          <cell r="B1101">
            <v>1100</v>
          </cell>
          <cell r="C1101" t="str">
            <v>CW01/1</v>
          </cell>
          <cell r="D1101" t="str">
            <v>SPCEN-SD</v>
          </cell>
          <cell r="E1101" t="str">
            <v>AF3</v>
          </cell>
          <cell r="F1101">
            <v>1</v>
          </cell>
          <cell r="G1101">
            <v>1219</v>
          </cell>
          <cell r="H1101">
            <v>2438</v>
          </cell>
          <cell r="I1101" t="str">
            <v>A</v>
          </cell>
          <cell r="K1101">
            <v>50</v>
          </cell>
          <cell r="L1101">
            <v>1162</v>
          </cell>
          <cell r="M1101">
            <v>20051703</v>
          </cell>
          <cell r="N1101">
            <v>38926</v>
          </cell>
          <cell r="O1101" t="str">
            <v>126216SUD021</v>
          </cell>
          <cell r="P1101" t="str">
            <v>IN6728D1RSSSS01</v>
          </cell>
          <cell r="Q1101" t="str">
            <v>แผ่นรองและสายรัดเป็นสนิม</v>
          </cell>
        </row>
        <row r="1102">
          <cell r="A1102">
            <v>20051932</v>
          </cell>
          <cell r="B1102">
            <v>1101</v>
          </cell>
          <cell r="C1102" t="str">
            <v>CW01/1</v>
          </cell>
          <cell r="D1102" t="str">
            <v>SPCEN-SD</v>
          </cell>
          <cell r="E1102" t="str">
            <v>AF3</v>
          </cell>
          <cell r="F1102">
            <v>1</v>
          </cell>
          <cell r="G1102">
            <v>1219</v>
          </cell>
          <cell r="H1102">
            <v>2438</v>
          </cell>
          <cell r="I1102" t="str">
            <v>A</v>
          </cell>
          <cell r="K1102">
            <v>50</v>
          </cell>
          <cell r="L1102">
            <v>1165</v>
          </cell>
          <cell r="M1102">
            <v>20051932</v>
          </cell>
          <cell r="N1102">
            <v>38939</v>
          </cell>
          <cell r="O1102" t="str">
            <v>126216SUD026</v>
          </cell>
          <cell r="P1102" t="str">
            <v>IN6810D1R288801</v>
          </cell>
          <cell r="Q1102" t="str">
            <v>แผ่นรองและสายรัดเป็นสนิม</v>
          </cell>
        </row>
        <row r="1103">
          <cell r="A1103">
            <v>20051933</v>
          </cell>
          <cell r="B1103">
            <v>1102</v>
          </cell>
          <cell r="C1103" t="str">
            <v>CW01/1</v>
          </cell>
          <cell r="D1103" t="str">
            <v>SPCEN-SD</v>
          </cell>
          <cell r="E1103" t="str">
            <v>AF3</v>
          </cell>
          <cell r="F1103">
            <v>1</v>
          </cell>
          <cell r="G1103">
            <v>1219</v>
          </cell>
          <cell r="H1103">
            <v>2438</v>
          </cell>
          <cell r="I1103" t="str">
            <v>A</v>
          </cell>
          <cell r="K1103">
            <v>50</v>
          </cell>
          <cell r="L1103">
            <v>1170</v>
          </cell>
          <cell r="M1103">
            <v>20051933</v>
          </cell>
          <cell r="N1103">
            <v>38939</v>
          </cell>
          <cell r="P1103" t="str">
            <v>IN6810D1R288802</v>
          </cell>
          <cell r="Q1103" t="str">
            <v>แผ่นรองและสายรัดเป็นสนิม</v>
          </cell>
        </row>
        <row r="1104">
          <cell r="A1104">
            <v>20051934</v>
          </cell>
          <cell r="B1104">
            <v>1103</v>
          </cell>
          <cell r="C1104" t="str">
            <v>CW01/1</v>
          </cell>
          <cell r="D1104" t="str">
            <v>SPCEN-SD</v>
          </cell>
          <cell r="E1104" t="str">
            <v>AF3</v>
          </cell>
          <cell r="F1104">
            <v>1</v>
          </cell>
          <cell r="G1104">
            <v>1219</v>
          </cell>
          <cell r="H1104">
            <v>2438</v>
          </cell>
          <cell r="I1104" t="str">
            <v>A</v>
          </cell>
          <cell r="K1104">
            <v>50</v>
          </cell>
          <cell r="L1104">
            <v>1172</v>
          </cell>
          <cell r="M1104">
            <v>20051934</v>
          </cell>
          <cell r="N1104">
            <v>38939</v>
          </cell>
          <cell r="P1104" t="str">
            <v>IN6810D1R288803</v>
          </cell>
          <cell r="Q1104" t="str">
            <v>แผ่นรองและสายรัดเป็นสนิม</v>
          </cell>
        </row>
        <row r="1105">
          <cell r="A1105">
            <v>20051966</v>
          </cell>
          <cell r="B1105">
            <v>1104</v>
          </cell>
          <cell r="C1105" t="str">
            <v>CW01/1</v>
          </cell>
          <cell r="D1105" t="str">
            <v>SPCEN-SD</v>
          </cell>
          <cell r="E1105" t="str">
            <v>AF3</v>
          </cell>
          <cell r="F1105">
            <v>1</v>
          </cell>
          <cell r="G1105">
            <v>1219</v>
          </cell>
          <cell r="H1105">
            <v>2438</v>
          </cell>
          <cell r="I1105" t="str">
            <v>A</v>
          </cell>
          <cell r="K1105">
            <v>80</v>
          </cell>
          <cell r="L1105">
            <v>1874</v>
          </cell>
          <cell r="M1105">
            <v>20051966</v>
          </cell>
          <cell r="N1105">
            <v>38941</v>
          </cell>
          <cell r="P1105" t="str">
            <v>IN6812N1L288101</v>
          </cell>
          <cell r="Q1105" t="str">
            <v>แผ่นรองและสายรัดเป็นสนิม</v>
          </cell>
        </row>
        <row r="1106">
          <cell r="A1106">
            <v>20052198</v>
          </cell>
          <cell r="B1106">
            <v>1105</v>
          </cell>
          <cell r="C1106" t="str">
            <v>CW01/1</v>
          </cell>
          <cell r="D1106" t="str">
            <v>SPCEN-SD</v>
          </cell>
          <cell r="E1106" t="str">
            <v>AF3</v>
          </cell>
          <cell r="F1106">
            <v>1</v>
          </cell>
          <cell r="G1106">
            <v>1219</v>
          </cell>
          <cell r="H1106">
            <v>2438</v>
          </cell>
          <cell r="I1106" t="str">
            <v>A</v>
          </cell>
          <cell r="K1106">
            <v>38</v>
          </cell>
          <cell r="L1106">
            <v>887</v>
          </cell>
          <cell r="M1106">
            <v>20052198</v>
          </cell>
          <cell r="N1106">
            <v>38959</v>
          </cell>
          <cell r="P1106" t="str">
            <v>FN6830D2D323601</v>
          </cell>
          <cell r="Q1106" t="str">
            <v>กระดาษฉีกขาด</v>
          </cell>
        </row>
        <row r="1107">
          <cell r="A1107">
            <v>20052202</v>
          </cell>
          <cell r="B1107">
            <v>1106</v>
          </cell>
          <cell r="C1107" t="str">
            <v>CW01/1</v>
          </cell>
          <cell r="D1107" t="str">
            <v>SPCEN-SD</v>
          </cell>
          <cell r="E1107" t="str">
            <v>AF3</v>
          </cell>
          <cell r="F1107">
            <v>1</v>
          </cell>
          <cell r="G1107">
            <v>1219</v>
          </cell>
          <cell r="H1107">
            <v>2438</v>
          </cell>
          <cell r="I1107" t="str">
            <v>A</v>
          </cell>
          <cell r="K1107">
            <v>9</v>
          </cell>
          <cell r="L1107">
            <v>210</v>
          </cell>
          <cell r="M1107">
            <v>20052202</v>
          </cell>
          <cell r="N1107">
            <v>38960</v>
          </cell>
          <cell r="P1107" t="str">
            <v>FN6831D2D337101</v>
          </cell>
          <cell r="Q1107" t="str">
            <v>สภาพปกติ</v>
          </cell>
        </row>
        <row r="1108">
          <cell r="A1108">
            <v>20050993</v>
          </cell>
          <cell r="B1108">
            <v>1107</v>
          </cell>
          <cell r="C1108" t="str">
            <v>CW01/1</v>
          </cell>
          <cell r="D1108" t="str">
            <v>SPCEN-SD</v>
          </cell>
          <cell r="E1108" t="str">
            <v>AF3</v>
          </cell>
          <cell r="F1108">
            <v>1.2</v>
          </cell>
          <cell r="G1108">
            <v>1219</v>
          </cell>
          <cell r="H1108">
            <v>2438</v>
          </cell>
          <cell r="I1108" t="str">
            <v>A</v>
          </cell>
          <cell r="K1108">
            <v>50</v>
          </cell>
          <cell r="L1108">
            <v>1400</v>
          </cell>
          <cell r="M1108">
            <v>20050993</v>
          </cell>
          <cell r="N1108">
            <v>38892</v>
          </cell>
          <cell r="P1108" t="str">
            <v>IN6624D1RSSSS01</v>
          </cell>
          <cell r="Q1108" t="str">
            <v>แผ่นรองและสายรัดเป็นสนิม</v>
          </cell>
        </row>
        <row r="1109">
          <cell r="A1109">
            <v>20050994</v>
          </cell>
          <cell r="B1109">
            <v>1108</v>
          </cell>
          <cell r="C1109" t="str">
            <v>CW01/1</v>
          </cell>
          <cell r="D1109" t="str">
            <v>SPCEN-SD</v>
          </cell>
          <cell r="E1109" t="str">
            <v>AF3</v>
          </cell>
          <cell r="F1109">
            <v>1.2</v>
          </cell>
          <cell r="G1109">
            <v>1219</v>
          </cell>
          <cell r="H1109">
            <v>2438</v>
          </cell>
          <cell r="I1109" t="str">
            <v>A</v>
          </cell>
          <cell r="K1109">
            <v>50</v>
          </cell>
          <cell r="L1109">
            <v>1406</v>
          </cell>
          <cell r="M1109">
            <v>20050994</v>
          </cell>
          <cell r="N1109">
            <v>38892</v>
          </cell>
          <cell r="P1109" t="str">
            <v>IN6624D1RSSSS02</v>
          </cell>
          <cell r="Q1109" t="str">
            <v>แผ่นรองและสายรัดเป็นสนิม</v>
          </cell>
        </row>
        <row r="1110">
          <cell r="A1110">
            <v>20050995</v>
          </cell>
          <cell r="B1110">
            <v>1109</v>
          </cell>
          <cell r="C1110" t="str">
            <v>CW01/1</v>
          </cell>
          <cell r="D1110" t="str">
            <v>SPCEN-SD</v>
          </cell>
          <cell r="E1110" t="str">
            <v>AF3</v>
          </cell>
          <cell r="F1110">
            <v>1.2</v>
          </cell>
          <cell r="G1110">
            <v>1219</v>
          </cell>
          <cell r="H1110">
            <v>2438</v>
          </cell>
          <cell r="I1110" t="str">
            <v>A</v>
          </cell>
          <cell r="K1110">
            <v>50</v>
          </cell>
          <cell r="L1110">
            <v>1400</v>
          </cell>
          <cell r="M1110">
            <v>20050995</v>
          </cell>
          <cell r="N1110">
            <v>38892</v>
          </cell>
          <cell r="P1110" t="str">
            <v>IN6624D1RSSSS03</v>
          </cell>
          <cell r="Q1110" t="str">
            <v>แผ่นรองและสายรัดเป็นสนิม</v>
          </cell>
        </row>
        <row r="1111">
          <cell r="A1111">
            <v>20051480</v>
          </cell>
          <cell r="B1111">
            <v>1110</v>
          </cell>
          <cell r="C1111" t="str">
            <v>CW01/1</v>
          </cell>
          <cell r="D1111" t="str">
            <v>SPCEN-SD</v>
          </cell>
          <cell r="E1111" t="str">
            <v>AF3</v>
          </cell>
          <cell r="F1111">
            <v>1.2</v>
          </cell>
          <cell r="G1111">
            <v>1219</v>
          </cell>
          <cell r="H1111">
            <v>2438</v>
          </cell>
          <cell r="I1111" t="str">
            <v>A</v>
          </cell>
          <cell r="K1111">
            <v>8</v>
          </cell>
          <cell r="L1111">
            <v>224</v>
          </cell>
          <cell r="M1111">
            <v>20051480</v>
          </cell>
          <cell r="N1111">
            <v>38917</v>
          </cell>
          <cell r="P1111" t="str">
            <v>IN6719D1R206601</v>
          </cell>
          <cell r="Q1111" t="str">
            <v>สภาพปกติ</v>
          </cell>
        </row>
        <row r="1112">
          <cell r="A1112">
            <v>20051505</v>
          </cell>
          <cell r="B1112">
            <v>1111</v>
          </cell>
          <cell r="C1112" t="str">
            <v>CW01/1</v>
          </cell>
          <cell r="D1112" t="str">
            <v>SPCEN-SD</v>
          </cell>
          <cell r="E1112" t="str">
            <v>AF3</v>
          </cell>
          <cell r="F1112">
            <v>1.2</v>
          </cell>
          <cell r="G1112">
            <v>1219</v>
          </cell>
          <cell r="H1112">
            <v>2438</v>
          </cell>
          <cell r="I1112" t="str">
            <v>A</v>
          </cell>
          <cell r="K1112">
            <v>35</v>
          </cell>
          <cell r="L1112">
            <v>981</v>
          </cell>
          <cell r="M1112">
            <v>20051505</v>
          </cell>
          <cell r="N1112">
            <v>38918</v>
          </cell>
          <cell r="P1112" t="str">
            <v>IN6720N1D216101</v>
          </cell>
          <cell r="Q1112" t="str">
            <v>สภาพปกติ</v>
          </cell>
        </row>
        <row r="1113">
          <cell r="A1113">
            <v>20051654</v>
          </cell>
          <cell r="B1113">
            <v>1112</v>
          </cell>
          <cell r="C1113" t="str">
            <v>CW01/1</v>
          </cell>
          <cell r="D1113" t="str">
            <v>SPCEN-SD</v>
          </cell>
          <cell r="E1113" t="str">
            <v>AF3</v>
          </cell>
          <cell r="F1113">
            <v>1.4</v>
          </cell>
          <cell r="G1113">
            <v>1219</v>
          </cell>
          <cell r="H1113">
            <v>2438</v>
          </cell>
          <cell r="I1113" t="str">
            <v>A</v>
          </cell>
          <cell r="K1113">
            <v>50</v>
          </cell>
          <cell r="L1113">
            <v>1640</v>
          </cell>
          <cell r="M1113">
            <v>20051654</v>
          </cell>
          <cell r="N1113">
            <v>38924</v>
          </cell>
          <cell r="P1113" t="str">
            <v>IN6726D1RSSSS01</v>
          </cell>
          <cell r="Q1113" t="str">
            <v>แผ่นรองและสายรัดเป็นสนิม</v>
          </cell>
        </row>
        <row r="1114">
          <cell r="A1114">
            <v>20051655</v>
          </cell>
          <cell r="B1114">
            <v>1113</v>
          </cell>
          <cell r="C1114" t="str">
            <v>CW01/1</v>
          </cell>
          <cell r="D1114" t="str">
            <v>SPCEN-SD</v>
          </cell>
          <cell r="E1114" t="str">
            <v>AF3</v>
          </cell>
          <cell r="F1114">
            <v>1.4</v>
          </cell>
          <cell r="G1114">
            <v>1219</v>
          </cell>
          <cell r="H1114">
            <v>2438</v>
          </cell>
          <cell r="I1114" t="str">
            <v>A</v>
          </cell>
          <cell r="K1114">
            <v>50</v>
          </cell>
          <cell r="L1114">
            <v>1632</v>
          </cell>
          <cell r="M1114">
            <v>20051655</v>
          </cell>
          <cell r="N1114">
            <v>38924</v>
          </cell>
          <cell r="O1114" t="str">
            <v>125907TCD043</v>
          </cell>
          <cell r="P1114" t="str">
            <v>IN6726D1RSSSS02</v>
          </cell>
          <cell r="Q1114" t="str">
            <v>แผ่นรองและสายรัดเป็นสนิม</v>
          </cell>
        </row>
        <row r="1115">
          <cell r="A1115">
            <v>20051673</v>
          </cell>
          <cell r="B1115">
            <v>1114</v>
          </cell>
          <cell r="C1115" t="str">
            <v>CW01/1</v>
          </cell>
          <cell r="D1115" t="str">
            <v>SPCEN-SD</v>
          </cell>
          <cell r="E1115" t="str">
            <v>AF3</v>
          </cell>
          <cell r="F1115">
            <v>1.4</v>
          </cell>
          <cell r="G1115">
            <v>1219</v>
          </cell>
          <cell r="H1115">
            <v>2438</v>
          </cell>
          <cell r="I1115" t="str">
            <v>A</v>
          </cell>
          <cell r="K1115">
            <v>50</v>
          </cell>
          <cell r="L1115">
            <v>1640</v>
          </cell>
          <cell r="M1115">
            <v>20051673</v>
          </cell>
          <cell r="N1115">
            <v>46595</v>
          </cell>
          <cell r="P1115" t="str">
            <v>IN6727D1RSSSS01</v>
          </cell>
          <cell r="Q1115" t="str">
            <v>แผ่นรองและสายรัดเป็นสนิม</v>
          </cell>
        </row>
        <row r="1116">
          <cell r="A1116">
            <v>20051674</v>
          </cell>
          <cell r="B1116">
            <v>1115</v>
          </cell>
          <cell r="C1116" t="str">
            <v>CW01/1</v>
          </cell>
          <cell r="D1116" t="str">
            <v>SPCEN-SD</v>
          </cell>
          <cell r="E1116" t="str">
            <v>AF3</v>
          </cell>
          <cell r="F1116">
            <v>1.4</v>
          </cell>
          <cell r="G1116">
            <v>1219</v>
          </cell>
          <cell r="H1116">
            <v>2438</v>
          </cell>
          <cell r="I1116" t="str">
            <v>A</v>
          </cell>
          <cell r="K1116">
            <v>50</v>
          </cell>
          <cell r="L1116">
            <v>1631</v>
          </cell>
          <cell r="M1116">
            <v>20051674</v>
          </cell>
          <cell r="N1116">
            <v>38925</v>
          </cell>
          <cell r="P1116" t="str">
            <v>IN6727D1RSSSS02</v>
          </cell>
          <cell r="Q1116" t="str">
            <v>แผ่นรองและสายรัดเป็นสนิม</v>
          </cell>
        </row>
        <row r="1117">
          <cell r="A1117">
            <v>20051675</v>
          </cell>
          <cell r="B1117">
            <v>1116</v>
          </cell>
          <cell r="C1117" t="str">
            <v>CW01/1</v>
          </cell>
          <cell r="D1117" t="str">
            <v>SPCEN-SD</v>
          </cell>
          <cell r="E1117" t="str">
            <v>AF3</v>
          </cell>
          <cell r="F1117">
            <v>1.4</v>
          </cell>
          <cell r="G1117">
            <v>1219</v>
          </cell>
          <cell r="H1117">
            <v>2438</v>
          </cell>
          <cell r="I1117" t="str">
            <v>A</v>
          </cell>
          <cell r="K1117">
            <v>50</v>
          </cell>
          <cell r="L1117">
            <v>1631</v>
          </cell>
          <cell r="M1117">
            <v>20051675</v>
          </cell>
          <cell r="N1117">
            <v>38925</v>
          </cell>
          <cell r="P1117" t="str">
            <v>IN6727D1RSSSS03</v>
          </cell>
          <cell r="Q1117" t="str">
            <v>แผ่นรองและสายรัดเป็นสนิม</v>
          </cell>
        </row>
        <row r="1118">
          <cell r="A1118">
            <v>20052113</v>
          </cell>
          <cell r="B1118">
            <v>1117</v>
          </cell>
          <cell r="C1118" t="str">
            <v>CW01/1</v>
          </cell>
          <cell r="D1118" t="str">
            <v>SPCEN-SD</v>
          </cell>
          <cell r="E1118" t="str">
            <v>AF3</v>
          </cell>
          <cell r="F1118">
            <v>1.4</v>
          </cell>
          <cell r="G1118">
            <v>1219</v>
          </cell>
          <cell r="H1118">
            <v>2438</v>
          </cell>
          <cell r="I1118" t="str">
            <v>A</v>
          </cell>
          <cell r="K1118">
            <v>33</v>
          </cell>
          <cell r="L1118">
            <v>1073</v>
          </cell>
          <cell r="M1118">
            <v>20052113</v>
          </cell>
          <cell r="N1118">
            <v>38953</v>
          </cell>
          <cell r="P1118" t="str">
            <v>IN6824N1L323201</v>
          </cell>
          <cell r="Q1118" t="str">
            <v>สภาพปกติ</v>
          </cell>
        </row>
        <row r="1119">
          <cell r="A1119">
            <v>20051409</v>
          </cell>
          <cell r="B1119">
            <v>1118</v>
          </cell>
          <cell r="C1119" t="str">
            <v>CW01/1</v>
          </cell>
          <cell r="D1119" t="str">
            <v xml:space="preserve">SPCC -SD </v>
          </cell>
          <cell r="E1119" t="str">
            <v>AK1</v>
          </cell>
          <cell r="F1119">
            <v>0.5</v>
          </cell>
          <cell r="G1119">
            <v>1219</v>
          </cell>
          <cell r="H1119">
            <v>2438</v>
          </cell>
          <cell r="I1119" t="str">
            <v>A</v>
          </cell>
          <cell r="K1119">
            <v>20</v>
          </cell>
          <cell r="L1119">
            <v>234</v>
          </cell>
          <cell r="M1119">
            <v>20051409</v>
          </cell>
          <cell r="N1119">
            <v>38913</v>
          </cell>
          <cell r="P1119" t="str">
            <v>IN6715N1L203901</v>
          </cell>
          <cell r="Q1119" t="str">
            <v>กระดาษฉีกขาด</v>
          </cell>
        </row>
        <row r="1120">
          <cell r="A1120">
            <v>20051399</v>
          </cell>
          <cell r="B1120">
            <v>1119</v>
          </cell>
          <cell r="C1120" t="str">
            <v>CW01/1</v>
          </cell>
          <cell r="D1120" t="str">
            <v xml:space="preserve">SPCC -SD </v>
          </cell>
          <cell r="E1120" t="str">
            <v>AK1</v>
          </cell>
          <cell r="F1120">
            <v>0.6</v>
          </cell>
          <cell r="G1120">
            <v>1219</v>
          </cell>
          <cell r="H1120">
            <v>2438</v>
          </cell>
          <cell r="I1120" t="str">
            <v>A</v>
          </cell>
          <cell r="K1120">
            <v>90</v>
          </cell>
          <cell r="L1120">
            <v>1262</v>
          </cell>
          <cell r="M1120">
            <v>20051399</v>
          </cell>
          <cell r="N1120">
            <v>38913</v>
          </cell>
          <cell r="P1120" t="str">
            <v>IN6715N1L204001</v>
          </cell>
          <cell r="Q1120" t="str">
            <v>แผ่นรองและสายรัดเป็นสนิม</v>
          </cell>
        </row>
        <row r="1121">
          <cell r="A1121">
            <v>20051900</v>
          </cell>
          <cell r="B1121">
            <v>1120</v>
          </cell>
          <cell r="C1121" t="str">
            <v>CW01/1</v>
          </cell>
          <cell r="D1121" t="str">
            <v xml:space="preserve">SPCC -SD </v>
          </cell>
          <cell r="E1121" t="str">
            <v>AK1</v>
          </cell>
          <cell r="F1121">
            <v>0.6</v>
          </cell>
          <cell r="G1121">
            <v>1219</v>
          </cell>
          <cell r="H1121">
            <v>2438</v>
          </cell>
          <cell r="I1121" t="str">
            <v>A</v>
          </cell>
          <cell r="K1121">
            <v>22</v>
          </cell>
          <cell r="L1121">
            <v>308</v>
          </cell>
          <cell r="M1121">
            <v>20051900</v>
          </cell>
          <cell r="N1121">
            <v>38937</v>
          </cell>
          <cell r="P1121" t="str">
            <v>IN6808D1R282101</v>
          </cell>
          <cell r="Q1121" t="str">
            <v>แผ่นรองและสายรัดเป็นสนิม</v>
          </cell>
        </row>
        <row r="1122">
          <cell r="A1122">
            <v>20049236</v>
          </cell>
          <cell r="B1122">
            <v>1121</v>
          </cell>
          <cell r="C1122" t="str">
            <v>CW01/2</v>
          </cell>
          <cell r="D1122" t="str">
            <v>SPCC-SD</v>
          </cell>
          <cell r="E1122" t="str">
            <v>AF1</v>
          </cell>
          <cell r="F1122">
            <v>0.9</v>
          </cell>
          <cell r="G1122">
            <v>1219</v>
          </cell>
          <cell r="H1122">
            <v>2438</v>
          </cell>
          <cell r="I1122" t="str">
            <v>A</v>
          </cell>
          <cell r="K1122">
            <v>71</v>
          </cell>
          <cell r="L1122">
            <v>1476</v>
          </cell>
          <cell r="M1122">
            <v>20049236</v>
          </cell>
          <cell r="N1122">
            <v>38809</v>
          </cell>
          <cell r="P1122" t="str">
            <v>IN6402D2RBBBB01</v>
          </cell>
          <cell r="Q1122" t="str">
            <v>กระดาษฉีกขาด</v>
          </cell>
        </row>
        <row r="1123">
          <cell r="A1123">
            <v>20050683</v>
          </cell>
          <cell r="B1123">
            <v>1122</v>
          </cell>
          <cell r="C1123" t="str">
            <v>CW01/2</v>
          </cell>
          <cell r="D1123" t="str">
            <v>SPCC-SD</v>
          </cell>
          <cell r="E1123" t="str">
            <v>AF1</v>
          </cell>
          <cell r="F1123">
            <v>1.2</v>
          </cell>
          <cell r="G1123">
            <v>1219</v>
          </cell>
          <cell r="H1123">
            <v>2438</v>
          </cell>
          <cell r="I1123" t="str">
            <v>A</v>
          </cell>
          <cell r="K1123">
            <v>6</v>
          </cell>
          <cell r="L1123">
            <v>168</v>
          </cell>
          <cell r="M1123">
            <v>20050683</v>
          </cell>
          <cell r="N1123">
            <v>38882</v>
          </cell>
          <cell r="P1123" t="str">
            <v>IN6614N3D104701</v>
          </cell>
          <cell r="Q1123" t="str">
            <v>กระดาษฉีกขาด</v>
          </cell>
        </row>
        <row r="1124">
          <cell r="A1124">
            <v>20050740</v>
          </cell>
          <cell r="B1124">
            <v>1123</v>
          </cell>
          <cell r="C1124" t="str">
            <v>CW01/2</v>
          </cell>
          <cell r="D1124" t="str">
            <v>SPCC-SD</v>
          </cell>
          <cell r="E1124" t="str">
            <v>AF1</v>
          </cell>
          <cell r="F1124">
            <v>1.2</v>
          </cell>
          <cell r="G1124">
            <v>1219</v>
          </cell>
          <cell r="H1124">
            <v>2438</v>
          </cell>
          <cell r="I1124" t="str">
            <v>A</v>
          </cell>
          <cell r="K1124">
            <v>1</v>
          </cell>
          <cell r="L1124">
            <v>28</v>
          </cell>
          <cell r="M1124">
            <v>20050740</v>
          </cell>
          <cell r="N1124">
            <v>38884</v>
          </cell>
          <cell r="P1124" t="str">
            <v>IN6616N3D112501</v>
          </cell>
          <cell r="Q1124" t="str">
            <v>กระดาษฉีกขาด</v>
          </cell>
        </row>
        <row r="1125">
          <cell r="A1125">
            <v>20050798</v>
          </cell>
          <cell r="B1125">
            <v>1124</v>
          </cell>
          <cell r="C1125" t="str">
            <v>CW01/2</v>
          </cell>
          <cell r="D1125" t="str">
            <v>SPCC-SD</v>
          </cell>
          <cell r="E1125" t="str">
            <v>AF1</v>
          </cell>
          <cell r="F1125">
            <v>1.2</v>
          </cell>
          <cell r="G1125">
            <v>1219</v>
          </cell>
          <cell r="H1125">
            <v>2438</v>
          </cell>
          <cell r="I1125" t="str">
            <v>A</v>
          </cell>
          <cell r="K1125">
            <v>3</v>
          </cell>
          <cell r="L1125">
            <v>84</v>
          </cell>
          <cell r="M1125">
            <v>20050798</v>
          </cell>
          <cell r="N1125">
            <v>38888</v>
          </cell>
          <cell r="P1125" t="str">
            <v>IN6620N3D125501</v>
          </cell>
          <cell r="Q1125" t="str">
            <v>กระดาษฉีกขาดและเป็นสนิม</v>
          </cell>
        </row>
        <row r="1126">
          <cell r="A1126">
            <v>20050909</v>
          </cell>
          <cell r="B1126">
            <v>1125</v>
          </cell>
          <cell r="C1126" t="str">
            <v>CW01/2</v>
          </cell>
          <cell r="D1126" t="str">
            <v>SPCC-SD</v>
          </cell>
          <cell r="E1126" t="str">
            <v>AF1</v>
          </cell>
          <cell r="F1126">
            <v>1.2</v>
          </cell>
          <cell r="G1126">
            <v>1219</v>
          </cell>
          <cell r="H1126">
            <v>2438</v>
          </cell>
          <cell r="I1126" t="str">
            <v>A</v>
          </cell>
          <cell r="K1126">
            <v>8</v>
          </cell>
          <cell r="L1126">
            <v>224</v>
          </cell>
          <cell r="M1126">
            <v>20050909</v>
          </cell>
          <cell r="N1126">
            <v>38890</v>
          </cell>
          <cell r="P1126" t="str">
            <v>IN6622D1D127901</v>
          </cell>
          <cell r="Q1126" t="str">
            <v>กระดาษฉีกขาดและเป็นสนิม</v>
          </cell>
        </row>
        <row r="1127">
          <cell r="A1127">
            <v>20051177</v>
          </cell>
          <cell r="B1127">
            <v>1126</v>
          </cell>
          <cell r="C1127" t="str">
            <v>CW01/2</v>
          </cell>
          <cell r="D1127" t="str">
            <v>SPCC-SD</v>
          </cell>
          <cell r="E1127" t="str">
            <v>AF1</v>
          </cell>
          <cell r="F1127">
            <v>1.2</v>
          </cell>
          <cell r="G1127">
            <v>1219</v>
          </cell>
          <cell r="H1127">
            <v>2438</v>
          </cell>
          <cell r="I1127" t="str">
            <v>A</v>
          </cell>
          <cell r="K1127">
            <v>9</v>
          </cell>
          <cell r="L1127">
            <v>253</v>
          </cell>
          <cell r="M1127">
            <v>20051177</v>
          </cell>
          <cell r="N1127">
            <v>38902</v>
          </cell>
          <cell r="P1127" t="str">
            <v>IN6704N1D127901</v>
          </cell>
          <cell r="Q1127" t="str">
            <v>กระดาษฉีกขาดและเป็นสนิม</v>
          </cell>
        </row>
        <row r="1128">
          <cell r="A1128">
            <v>20051309</v>
          </cell>
          <cell r="B1128">
            <v>1127</v>
          </cell>
          <cell r="C1128" t="str">
            <v>CW01/2</v>
          </cell>
          <cell r="D1128" t="str">
            <v>SPCC-SD</v>
          </cell>
          <cell r="E1128" t="str">
            <v>AF1</v>
          </cell>
          <cell r="F1128">
            <v>1.2</v>
          </cell>
          <cell r="G1128">
            <v>1219</v>
          </cell>
          <cell r="H1128">
            <v>2438</v>
          </cell>
          <cell r="I1128" t="str">
            <v>A</v>
          </cell>
          <cell r="K1128">
            <v>8</v>
          </cell>
          <cell r="L1128">
            <v>225</v>
          </cell>
          <cell r="M1128">
            <v>20051309</v>
          </cell>
          <cell r="N1128">
            <v>38906</v>
          </cell>
          <cell r="P1128" t="str">
            <v>IN6708D1R177001</v>
          </cell>
          <cell r="Q1128" t="str">
            <v>กระดาษฉีกขาดและเป็นสนิม</v>
          </cell>
        </row>
        <row r="1129">
          <cell r="A1129">
            <v>20051344</v>
          </cell>
          <cell r="B1129">
            <v>1128</v>
          </cell>
          <cell r="C1129" t="str">
            <v>CW01/2</v>
          </cell>
          <cell r="D1129" t="str">
            <v>SPCC-SD</v>
          </cell>
          <cell r="E1129" t="str">
            <v>AF1</v>
          </cell>
          <cell r="F1129">
            <v>1.2</v>
          </cell>
          <cell r="G1129">
            <v>1219</v>
          </cell>
          <cell r="H1129">
            <v>2438</v>
          </cell>
          <cell r="I1129" t="str">
            <v>A</v>
          </cell>
          <cell r="K1129">
            <v>11</v>
          </cell>
          <cell r="L1129">
            <v>308</v>
          </cell>
          <cell r="M1129">
            <v>20051344</v>
          </cell>
          <cell r="N1129">
            <v>38911</v>
          </cell>
          <cell r="P1129" t="str">
            <v>IN6713N1D191101</v>
          </cell>
          <cell r="Q1129" t="str">
            <v>กระดาษฉีกขาดและเป็นสนิม</v>
          </cell>
        </row>
        <row r="1130">
          <cell r="A1130">
            <v>20051573</v>
          </cell>
          <cell r="B1130">
            <v>1129</v>
          </cell>
          <cell r="C1130" t="str">
            <v>CW01/2</v>
          </cell>
          <cell r="D1130" t="str">
            <v>SPCC-SD</v>
          </cell>
          <cell r="E1130" t="str">
            <v>AF1</v>
          </cell>
          <cell r="F1130">
            <v>1.2</v>
          </cell>
          <cell r="G1130">
            <v>1219</v>
          </cell>
          <cell r="H1130">
            <v>2438</v>
          </cell>
          <cell r="I1130" t="str">
            <v>A</v>
          </cell>
          <cell r="K1130">
            <v>9</v>
          </cell>
          <cell r="L1130">
            <v>244</v>
          </cell>
          <cell r="M1130">
            <v>20051573</v>
          </cell>
          <cell r="N1130">
            <v>38920</v>
          </cell>
          <cell r="P1130" t="str">
            <v>IN6722D1D225001</v>
          </cell>
          <cell r="Q1130" t="str">
            <v>สภาพปกติ</v>
          </cell>
        </row>
        <row r="1131">
          <cell r="A1131">
            <v>20051828</v>
          </cell>
          <cell r="B1131">
            <v>1130</v>
          </cell>
          <cell r="C1131" t="str">
            <v>CW01/2</v>
          </cell>
          <cell r="D1131" t="str">
            <v>SPCC-SD</v>
          </cell>
          <cell r="E1131" t="str">
            <v>AF1</v>
          </cell>
          <cell r="F1131">
            <v>1.2</v>
          </cell>
          <cell r="G1131">
            <v>1219</v>
          </cell>
          <cell r="H1131">
            <v>2438</v>
          </cell>
          <cell r="I1131" t="str">
            <v>A</v>
          </cell>
          <cell r="K1131">
            <v>20</v>
          </cell>
          <cell r="L1131">
            <v>560</v>
          </cell>
          <cell r="M1131">
            <v>20051828</v>
          </cell>
          <cell r="N1131">
            <v>38932</v>
          </cell>
          <cell r="P1131" t="str">
            <v>IN6803D3D264401</v>
          </cell>
          <cell r="Q1131" t="str">
            <v>กระดาษฉีกขาด</v>
          </cell>
        </row>
        <row r="1132">
          <cell r="A1132">
            <v>20051888</v>
          </cell>
          <cell r="B1132">
            <v>1131</v>
          </cell>
          <cell r="C1132" t="str">
            <v>CW01/2</v>
          </cell>
          <cell r="D1132" t="str">
            <v>SPCC-SD</v>
          </cell>
          <cell r="E1132" t="str">
            <v>AF1</v>
          </cell>
          <cell r="F1132">
            <v>1.2</v>
          </cell>
          <cell r="G1132">
            <v>1219</v>
          </cell>
          <cell r="H1132">
            <v>2438</v>
          </cell>
          <cell r="I1132" t="str">
            <v>A</v>
          </cell>
          <cell r="K1132">
            <v>7</v>
          </cell>
          <cell r="L1132">
            <v>196</v>
          </cell>
          <cell r="M1132">
            <v>20051888</v>
          </cell>
          <cell r="N1132">
            <v>38936</v>
          </cell>
          <cell r="P1132" t="str">
            <v>IN6807D1D279801</v>
          </cell>
          <cell r="Q1132" t="str">
            <v>กระดาษฉีกขาด</v>
          </cell>
        </row>
        <row r="1133">
          <cell r="A1133">
            <v>20052167</v>
          </cell>
          <cell r="B1133">
            <v>1132</v>
          </cell>
          <cell r="C1133" t="str">
            <v>CW01/2</v>
          </cell>
          <cell r="D1133" t="str">
            <v>SPCC-SD</v>
          </cell>
          <cell r="E1133" t="str">
            <v>AF1</v>
          </cell>
          <cell r="F1133">
            <v>1.2</v>
          </cell>
          <cell r="G1133">
            <v>1219</v>
          </cell>
          <cell r="H1133">
            <v>2438</v>
          </cell>
          <cell r="I1133" t="str">
            <v>A</v>
          </cell>
          <cell r="K1133">
            <v>29</v>
          </cell>
          <cell r="L1133">
            <v>812</v>
          </cell>
          <cell r="M1133">
            <v>20052167</v>
          </cell>
          <cell r="N1133">
            <v>38958</v>
          </cell>
          <cell r="P1133" t="str">
            <v>IN6829D2D329201</v>
          </cell>
          <cell r="Q1133" t="str">
            <v>กระดาษฉีกขาด</v>
          </cell>
        </row>
        <row r="1134">
          <cell r="A1134">
            <v>20047159</v>
          </cell>
          <cell r="B1134">
            <v>1133</v>
          </cell>
          <cell r="C1134" t="str">
            <v>CW01/2</v>
          </cell>
          <cell r="D1134" t="str">
            <v>SPCC-SD</v>
          </cell>
          <cell r="E1134" t="str">
            <v>AF1</v>
          </cell>
          <cell r="F1134">
            <v>1.5</v>
          </cell>
          <cell r="G1134">
            <v>1219</v>
          </cell>
          <cell r="H1134">
            <v>2438</v>
          </cell>
          <cell r="I1134" t="str">
            <v>A</v>
          </cell>
          <cell r="K1134">
            <v>50</v>
          </cell>
          <cell r="L1134">
            <v>1724</v>
          </cell>
          <cell r="M1134">
            <v>20047159</v>
          </cell>
          <cell r="N1134">
            <v>38730</v>
          </cell>
          <cell r="P1134" t="str">
            <v>IN6113D1RSSSS01</v>
          </cell>
          <cell r="Q1134" t="str">
            <v>แผ่นรองและสายรัดเป็นสนิม</v>
          </cell>
        </row>
        <row r="1135">
          <cell r="A1135">
            <v>20047160</v>
          </cell>
          <cell r="B1135">
            <v>1134</v>
          </cell>
          <cell r="C1135" t="str">
            <v>CW01/2</v>
          </cell>
          <cell r="D1135" t="str">
            <v>SPCC-SD</v>
          </cell>
          <cell r="E1135" t="str">
            <v>AF1</v>
          </cell>
          <cell r="F1135">
            <v>1.5</v>
          </cell>
          <cell r="G1135">
            <v>1219</v>
          </cell>
          <cell r="H1135">
            <v>2438</v>
          </cell>
          <cell r="I1135" t="str">
            <v>A</v>
          </cell>
          <cell r="K1135">
            <v>50</v>
          </cell>
          <cell r="L1135">
            <v>1720</v>
          </cell>
          <cell r="M1135">
            <v>20047160</v>
          </cell>
          <cell r="N1135">
            <v>38730</v>
          </cell>
          <cell r="P1135" t="str">
            <v>IN6113D1RSSSS02</v>
          </cell>
          <cell r="Q1135" t="str">
            <v>แผ่นรองและสายรัดเป็นสนิม</v>
          </cell>
        </row>
        <row r="1136">
          <cell r="A1136">
            <v>20047161</v>
          </cell>
          <cell r="B1136">
            <v>1135</v>
          </cell>
          <cell r="C1136" t="str">
            <v>CW01/2</v>
          </cell>
          <cell r="D1136" t="str">
            <v>SPCC-SD</v>
          </cell>
          <cell r="E1136" t="str">
            <v>AF1</v>
          </cell>
          <cell r="F1136">
            <v>1.5</v>
          </cell>
          <cell r="G1136">
            <v>1219</v>
          </cell>
          <cell r="H1136">
            <v>2438</v>
          </cell>
          <cell r="I1136" t="str">
            <v>A</v>
          </cell>
          <cell r="K1136">
            <v>48</v>
          </cell>
          <cell r="L1136">
            <v>1668</v>
          </cell>
          <cell r="M1136">
            <v>20047161</v>
          </cell>
          <cell r="N1136">
            <v>38730</v>
          </cell>
          <cell r="P1136" t="str">
            <v>IN6113D1RSSSS03</v>
          </cell>
          <cell r="Q1136" t="str">
            <v>แผ่นรองและสายรัดเป็นสนิม</v>
          </cell>
        </row>
        <row r="1137">
          <cell r="A1137">
            <v>20035977</v>
          </cell>
          <cell r="B1137">
            <v>1136</v>
          </cell>
          <cell r="C1137" t="str">
            <v>CW01/2</v>
          </cell>
          <cell r="D1137" t="str">
            <v>SPCC-SD</v>
          </cell>
          <cell r="E1137" t="str">
            <v>AF1</v>
          </cell>
          <cell r="F1137">
            <v>1.8</v>
          </cell>
          <cell r="G1137">
            <v>1219</v>
          </cell>
          <cell r="H1137">
            <v>2438</v>
          </cell>
          <cell r="I1137" t="str">
            <v>A</v>
          </cell>
          <cell r="K1137">
            <v>41</v>
          </cell>
          <cell r="L1137">
            <v>1754</v>
          </cell>
          <cell r="M1137">
            <v>20035977</v>
          </cell>
          <cell r="N1137">
            <v>38384</v>
          </cell>
          <cell r="P1137" t="str">
            <v>IN5201D1RSSSS01</v>
          </cell>
          <cell r="Q1137" t="str">
            <v>แผ่นรองและสายรัดเป็นสนิม</v>
          </cell>
        </row>
        <row r="1138">
          <cell r="A1138">
            <v>20051143</v>
          </cell>
          <cell r="B1138">
            <v>1137</v>
          </cell>
          <cell r="C1138" t="str">
            <v>CW01/2</v>
          </cell>
          <cell r="D1138" t="str">
            <v>SPCC-SD</v>
          </cell>
          <cell r="E1138" t="str">
            <v>AF1</v>
          </cell>
          <cell r="F1138">
            <v>2.2999999999999998</v>
          </cell>
          <cell r="G1138">
            <v>1219</v>
          </cell>
          <cell r="H1138">
            <v>2438</v>
          </cell>
          <cell r="I1138" t="str">
            <v>A</v>
          </cell>
          <cell r="K1138">
            <v>2</v>
          </cell>
          <cell r="L1138">
            <v>108</v>
          </cell>
          <cell r="M1138">
            <v>20051143</v>
          </cell>
          <cell r="N1138">
            <v>38899</v>
          </cell>
          <cell r="P1138" t="str">
            <v>IN6701N1D159001</v>
          </cell>
          <cell r="Q1138" t="str">
            <v>กระดาษฉีกขาด</v>
          </cell>
        </row>
        <row r="1139">
          <cell r="A1139">
            <v>20050720</v>
          </cell>
          <cell r="B1139">
            <v>1138</v>
          </cell>
          <cell r="C1139" t="str">
            <v>CW01/2</v>
          </cell>
          <cell r="D1139" t="str">
            <v>SPCC-SD</v>
          </cell>
          <cell r="E1139" t="str">
            <v>AF1</v>
          </cell>
          <cell r="F1139">
            <v>3</v>
          </cell>
          <cell r="G1139">
            <v>1219</v>
          </cell>
          <cell r="H1139">
            <v>2438</v>
          </cell>
          <cell r="I1139" t="str">
            <v>A</v>
          </cell>
          <cell r="K1139">
            <v>34</v>
          </cell>
          <cell r="L1139">
            <v>2400</v>
          </cell>
          <cell r="M1139">
            <v>20050720</v>
          </cell>
          <cell r="N1139">
            <v>38883</v>
          </cell>
          <cell r="P1139" t="str">
            <v>IN6615D1L108301</v>
          </cell>
          <cell r="Q1139" t="str">
            <v>แผ่นรองและสายรัดเป็นสนิม</v>
          </cell>
        </row>
        <row r="1140">
          <cell r="A1140">
            <v>20051189</v>
          </cell>
          <cell r="B1140">
            <v>1139</v>
          </cell>
          <cell r="C1140" t="str">
            <v>CW01/2</v>
          </cell>
          <cell r="D1140" t="str">
            <v>SPCC-SD</v>
          </cell>
          <cell r="E1140" t="str">
            <v>AF1</v>
          </cell>
          <cell r="F1140">
            <v>3</v>
          </cell>
          <cell r="G1140">
            <v>1219</v>
          </cell>
          <cell r="H1140">
            <v>2438</v>
          </cell>
          <cell r="I1140" t="str">
            <v>A</v>
          </cell>
          <cell r="K1140">
            <v>30</v>
          </cell>
          <cell r="L1140">
            <v>2100</v>
          </cell>
          <cell r="M1140">
            <v>20051189</v>
          </cell>
          <cell r="N1140">
            <v>38902</v>
          </cell>
          <cell r="P1140" t="str">
            <v>IN6704D1D168701</v>
          </cell>
          <cell r="Q1140" t="str">
            <v>กระดาษฉีกขาด</v>
          </cell>
        </row>
        <row r="1141">
          <cell r="A1141">
            <v>20051996</v>
          </cell>
          <cell r="B1141">
            <v>1140</v>
          </cell>
          <cell r="C1141" t="str">
            <v>CW01/2</v>
          </cell>
          <cell r="D1141" t="str">
            <v>SPCC-SD</v>
          </cell>
          <cell r="E1141" t="str">
            <v>AF1</v>
          </cell>
          <cell r="F1141">
            <v>3</v>
          </cell>
          <cell r="G1141">
            <v>1219</v>
          </cell>
          <cell r="H1141">
            <v>2438</v>
          </cell>
          <cell r="I1141" t="str">
            <v>A</v>
          </cell>
          <cell r="K1141">
            <v>3</v>
          </cell>
          <cell r="L1141">
            <v>210</v>
          </cell>
          <cell r="M1141">
            <v>20051996</v>
          </cell>
          <cell r="N1141">
            <v>38945</v>
          </cell>
          <cell r="P1141" t="str">
            <v>IN6816N1D300001</v>
          </cell>
          <cell r="Q1141" t="str">
            <v>กระดาษฉีกขาด</v>
          </cell>
        </row>
        <row r="1142">
          <cell r="A1142">
            <v>20052107</v>
          </cell>
          <cell r="B1142">
            <v>1141</v>
          </cell>
          <cell r="C1142" t="str">
            <v>CW01/2</v>
          </cell>
          <cell r="D1142" t="str">
            <v>SPCC-SD</v>
          </cell>
          <cell r="E1142" t="str">
            <v>AF1</v>
          </cell>
          <cell r="F1142">
            <v>3</v>
          </cell>
          <cell r="G1142">
            <v>1219</v>
          </cell>
          <cell r="H1142">
            <v>2438</v>
          </cell>
          <cell r="I1142" t="str">
            <v>A</v>
          </cell>
          <cell r="K1142">
            <v>3</v>
          </cell>
          <cell r="L1142">
            <v>210</v>
          </cell>
          <cell r="M1142">
            <v>20052107</v>
          </cell>
          <cell r="N1142">
            <v>38953</v>
          </cell>
          <cell r="P1142" t="str">
            <v>IN6824N1D317901</v>
          </cell>
          <cell r="Q1142" t="str">
            <v>กระดาษฉีกขาด</v>
          </cell>
        </row>
        <row r="1143">
          <cell r="A1143">
            <v>20051898</v>
          </cell>
          <cell r="B1143">
            <v>1142</v>
          </cell>
          <cell r="C1143" t="str">
            <v>CW01/2</v>
          </cell>
          <cell r="D1143" t="str">
            <v>SPCC-SD</v>
          </cell>
          <cell r="E1143" t="str">
            <v>AF1</v>
          </cell>
          <cell r="F1143">
            <v>3.2</v>
          </cell>
          <cell r="G1143">
            <v>1219</v>
          </cell>
          <cell r="H1143">
            <v>2438</v>
          </cell>
          <cell r="I1143" t="str">
            <v>A</v>
          </cell>
          <cell r="K1143">
            <v>3</v>
          </cell>
          <cell r="L1143">
            <v>224</v>
          </cell>
          <cell r="M1143">
            <v>20051898</v>
          </cell>
          <cell r="N1143">
            <v>38937</v>
          </cell>
          <cell r="P1143" t="str">
            <v>IN6808D2D281901</v>
          </cell>
          <cell r="Q1143" t="str">
            <v>กระดาษฉีกขาด</v>
          </cell>
        </row>
        <row r="1144">
          <cell r="A1144">
            <v>20052030</v>
          </cell>
          <cell r="B1144">
            <v>1143</v>
          </cell>
          <cell r="C1144" t="str">
            <v>CW01/2</v>
          </cell>
          <cell r="D1144" t="str">
            <v>SPCC-SD</v>
          </cell>
          <cell r="E1144" t="str">
            <v>AF1</v>
          </cell>
          <cell r="F1144">
            <v>3.2</v>
          </cell>
          <cell r="G1144">
            <v>1219</v>
          </cell>
          <cell r="H1144">
            <v>2438</v>
          </cell>
          <cell r="I1144" t="str">
            <v>A</v>
          </cell>
          <cell r="K1144">
            <v>2</v>
          </cell>
          <cell r="L1144">
            <v>150</v>
          </cell>
          <cell r="M1144">
            <v>20052030</v>
          </cell>
          <cell r="N1144">
            <v>38947</v>
          </cell>
          <cell r="O1144" t="str">
            <v>K26522TCD001</v>
          </cell>
          <cell r="P1144" t="str">
            <v>IN6818N2D303901</v>
          </cell>
          <cell r="Q1144" t="str">
            <v>กระดาษฉีกขาด</v>
          </cell>
        </row>
        <row r="1145">
          <cell r="A1145">
            <v>20051028</v>
          </cell>
          <cell r="B1145">
            <v>1144</v>
          </cell>
          <cell r="C1145" t="str">
            <v>CW01/2</v>
          </cell>
          <cell r="D1145" t="str">
            <v>SPCC-SD</v>
          </cell>
          <cell r="E1145" t="str">
            <v>AG1</v>
          </cell>
          <cell r="F1145">
            <v>1.2</v>
          </cell>
          <cell r="G1145">
            <v>1219</v>
          </cell>
          <cell r="H1145">
            <v>2438</v>
          </cell>
          <cell r="I1145" t="str">
            <v>A</v>
          </cell>
          <cell r="K1145">
            <v>21</v>
          </cell>
          <cell r="L1145">
            <v>586</v>
          </cell>
          <cell r="M1145">
            <v>20051028</v>
          </cell>
          <cell r="N1145">
            <v>38894</v>
          </cell>
          <cell r="P1145" t="str">
            <v>IN6626D2L142101</v>
          </cell>
          <cell r="Q1145" t="str">
            <v>กระดาษฉีกขาด</v>
          </cell>
        </row>
        <row r="1146">
          <cell r="A1146">
            <v>20051031</v>
          </cell>
          <cell r="B1146">
            <v>1145</v>
          </cell>
          <cell r="C1146" t="str">
            <v>CW01/2</v>
          </cell>
          <cell r="D1146" t="str">
            <v>SPCC-SD</v>
          </cell>
          <cell r="E1146" t="str">
            <v>AG1</v>
          </cell>
          <cell r="F1146">
            <v>1.2</v>
          </cell>
          <cell r="G1146">
            <v>1219</v>
          </cell>
          <cell r="H1146">
            <v>2438</v>
          </cell>
          <cell r="I1146" t="str">
            <v>A</v>
          </cell>
          <cell r="K1146">
            <v>8</v>
          </cell>
          <cell r="L1146">
            <v>226</v>
          </cell>
          <cell r="M1146">
            <v>20051031</v>
          </cell>
          <cell r="N1146">
            <v>38894</v>
          </cell>
          <cell r="P1146" t="str">
            <v>IN6626D2R142101</v>
          </cell>
          <cell r="Q1146" t="str">
            <v>แผ่นรองและสายรัดเป็นสนิม</v>
          </cell>
        </row>
        <row r="1147">
          <cell r="A1147">
            <v>20051637</v>
          </cell>
          <cell r="B1147">
            <v>1146</v>
          </cell>
          <cell r="C1147" t="str">
            <v>CW01/2</v>
          </cell>
          <cell r="D1147" t="str">
            <v>SPCC-SD</v>
          </cell>
          <cell r="E1147" t="str">
            <v>AG1</v>
          </cell>
          <cell r="F1147">
            <v>1.2</v>
          </cell>
          <cell r="G1147">
            <v>1219</v>
          </cell>
          <cell r="H1147">
            <v>2438</v>
          </cell>
          <cell r="I1147" t="str">
            <v>A</v>
          </cell>
          <cell r="K1147">
            <v>10</v>
          </cell>
          <cell r="L1147">
            <v>280</v>
          </cell>
          <cell r="M1147">
            <v>20051637</v>
          </cell>
          <cell r="N1147">
            <v>38923</v>
          </cell>
          <cell r="P1147" t="str">
            <v>IN6725D1R227501</v>
          </cell>
          <cell r="Q1147" t="str">
            <v>กระดาษฉีกขาดและเป็นสนิม</v>
          </cell>
        </row>
        <row r="1148">
          <cell r="A1148">
            <v>20052134</v>
          </cell>
          <cell r="B1148">
            <v>1147</v>
          </cell>
          <cell r="C1148" t="str">
            <v>CW01/2</v>
          </cell>
          <cell r="D1148" t="str">
            <v>SPCC-SD</v>
          </cell>
          <cell r="E1148" t="str">
            <v>AG1</v>
          </cell>
          <cell r="F1148">
            <v>1.2</v>
          </cell>
          <cell r="G1148">
            <v>1219</v>
          </cell>
          <cell r="H1148">
            <v>2438</v>
          </cell>
          <cell r="I1148" t="str">
            <v>A</v>
          </cell>
          <cell r="K1148">
            <v>9</v>
          </cell>
          <cell r="L1148">
            <v>252</v>
          </cell>
          <cell r="M1148">
            <v>20052134</v>
          </cell>
          <cell r="N1148">
            <v>38954</v>
          </cell>
          <cell r="P1148" t="str">
            <v>IN6825D1RSSSS01</v>
          </cell>
          <cell r="Q1148" t="str">
            <v>สภาพปกติ</v>
          </cell>
        </row>
        <row r="1149">
          <cell r="A1149">
            <v>50137758</v>
          </cell>
          <cell r="B1149">
            <v>1148</v>
          </cell>
          <cell r="C1149" t="str">
            <v>LW02/3</v>
          </cell>
          <cell r="D1149" t="str">
            <v>SPCC-SD</v>
          </cell>
          <cell r="E1149" t="str">
            <v>AF1</v>
          </cell>
          <cell r="F1149">
            <v>0.5</v>
          </cell>
          <cell r="G1149">
            <v>300</v>
          </cell>
          <cell r="H1149">
            <v>615</v>
          </cell>
          <cell r="I1149" t="str">
            <v>A</v>
          </cell>
          <cell r="K1149">
            <v>208</v>
          </cell>
          <cell r="L1149">
            <v>151</v>
          </cell>
          <cell r="M1149">
            <v>50137758</v>
          </cell>
          <cell r="N1149">
            <v>38923</v>
          </cell>
          <cell r="P1149" t="str">
            <v>FN6725D1D222201</v>
          </cell>
          <cell r="Q1149" t="str">
            <v>กระดาษฉีกขาดและเป็นสนิม</v>
          </cell>
        </row>
        <row r="1150">
          <cell r="A1150">
            <v>50079065</v>
          </cell>
          <cell r="B1150">
            <v>1149</v>
          </cell>
          <cell r="C1150" t="str">
            <v>LW02/3</v>
          </cell>
          <cell r="D1150" t="str">
            <v>SPCC-SD</v>
          </cell>
          <cell r="E1150" t="str">
            <v>AF1</v>
          </cell>
          <cell r="F1150">
            <v>0.6</v>
          </cell>
          <cell r="G1150">
            <v>300</v>
          </cell>
          <cell r="H1150">
            <v>600</v>
          </cell>
          <cell r="I1150" t="str">
            <v>A</v>
          </cell>
          <cell r="K1150">
            <v>500</v>
          </cell>
          <cell r="L1150">
            <v>425</v>
          </cell>
          <cell r="M1150">
            <v>50079065</v>
          </cell>
          <cell r="N1150">
            <v>38826</v>
          </cell>
          <cell r="O1150" t="str">
            <v>124C22SUD005</v>
          </cell>
          <cell r="P1150" t="str">
            <v>FN5419D1D866901</v>
          </cell>
          <cell r="Q1150" t="str">
            <v>แผ่นรองและสายรัดเป็นสนิม</v>
          </cell>
        </row>
        <row r="1151">
          <cell r="A1151">
            <v>50079161</v>
          </cell>
          <cell r="B1151">
            <v>1150</v>
          </cell>
          <cell r="C1151" t="str">
            <v>LW02/3</v>
          </cell>
          <cell r="D1151" t="str">
            <v>SPCC-SD</v>
          </cell>
          <cell r="E1151" t="str">
            <v>AF1</v>
          </cell>
          <cell r="F1151">
            <v>0.6</v>
          </cell>
          <cell r="G1151">
            <v>300</v>
          </cell>
          <cell r="H1151">
            <v>600</v>
          </cell>
          <cell r="I1151" t="str">
            <v>A</v>
          </cell>
          <cell r="K1151">
            <v>500</v>
          </cell>
          <cell r="L1151">
            <v>425</v>
          </cell>
          <cell r="M1151">
            <v>50079161</v>
          </cell>
          <cell r="N1151">
            <v>38462</v>
          </cell>
          <cell r="O1151" t="str">
            <v>124830TCD003</v>
          </cell>
          <cell r="P1151" t="str">
            <v>FN5420D1D866801</v>
          </cell>
          <cell r="Q1151" t="str">
            <v>แผ่นรองและสายรัดเป็นสนิม</v>
          </cell>
        </row>
        <row r="1152">
          <cell r="A1152">
            <v>50079229</v>
          </cell>
          <cell r="B1152">
            <v>1151</v>
          </cell>
          <cell r="C1152" t="str">
            <v>LW02/3</v>
          </cell>
          <cell r="D1152" t="str">
            <v>SPCC-SD</v>
          </cell>
          <cell r="E1152" t="str">
            <v>AF1</v>
          </cell>
          <cell r="F1152">
            <v>0.6</v>
          </cell>
          <cell r="G1152">
            <v>300</v>
          </cell>
          <cell r="H1152">
            <v>600</v>
          </cell>
          <cell r="I1152" t="str">
            <v>A</v>
          </cell>
          <cell r="K1152">
            <v>500</v>
          </cell>
          <cell r="L1152">
            <v>425</v>
          </cell>
          <cell r="M1152">
            <v>50079229</v>
          </cell>
          <cell r="N1152">
            <v>38462</v>
          </cell>
          <cell r="O1152" t="str">
            <v>124C22SUD006</v>
          </cell>
          <cell r="P1152" t="str">
            <v>FN5420D1D866802</v>
          </cell>
          <cell r="Q1152" t="str">
            <v>แผ่นรองและสายรัดเป็นสนิม</v>
          </cell>
        </row>
        <row r="1153">
          <cell r="A1153">
            <v>50079231</v>
          </cell>
          <cell r="B1153">
            <v>1152</v>
          </cell>
          <cell r="C1153" t="str">
            <v>LW02/3</v>
          </cell>
          <cell r="D1153" t="str">
            <v>SPCC-SD</v>
          </cell>
          <cell r="E1153" t="str">
            <v>AF1</v>
          </cell>
          <cell r="F1153">
            <v>0.6</v>
          </cell>
          <cell r="G1153">
            <v>300</v>
          </cell>
          <cell r="H1153">
            <v>600</v>
          </cell>
          <cell r="I1153" t="str">
            <v>A</v>
          </cell>
          <cell r="K1153">
            <v>500</v>
          </cell>
          <cell r="L1153">
            <v>425</v>
          </cell>
          <cell r="M1153">
            <v>50079231</v>
          </cell>
          <cell r="N1153">
            <v>38462</v>
          </cell>
          <cell r="O1153" t="str">
            <v>124C22SUD006</v>
          </cell>
          <cell r="P1153" t="str">
            <v>FN5420D1D866803</v>
          </cell>
          <cell r="Q1153" t="str">
            <v>แผ่นรองและสายรัดเป็นสนิม</v>
          </cell>
        </row>
        <row r="1154">
          <cell r="A1154">
            <v>50079390</v>
          </cell>
          <cell r="B1154">
            <v>1153</v>
          </cell>
          <cell r="C1154" t="str">
            <v>LW02/3</v>
          </cell>
          <cell r="D1154" t="str">
            <v>SPCC-SD</v>
          </cell>
          <cell r="E1154" t="str">
            <v>AF1</v>
          </cell>
          <cell r="F1154">
            <v>0.6</v>
          </cell>
          <cell r="G1154">
            <v>300</v>
          </cell>
          <cell r="H1154">
            <v>600</v>
          </cell>
          <cell r="I1154" t="str">
            <v>A</v>
          </cell>
          <cell r="K1154">
            <v>500</v>
          </cell>
          <cell r="L1154">
            <v>425</v>
          </cell>
          <cell r="M1154">
            <v>50079390</v>
          </cell>
          <cell r="N1154">
            <v>38463</v>
          </cell>
          <cell r="O1154" t="str">
            <v>124C22SUD006</v>
          </cell>
          <cell r="P1154" t="str">
            <v>FN5421D1D866902</v>
          </cell>
          <cell r="Q1154" t="str">
            <v>แผ่นรองและสายรัดเป็นสนิม,กระดาษฉีกขาด</v>
          </cell>
        </row>
        <row r="1155">
          <cell r="A1155">
            <v>50080008</v>
          </cell>
          <cell r="B1155">
            <v>1154</v>
          </cell>
          <cell r="C1155" t="str">
            <v>LW02/3</v>
          </cell>
          <cell r="D1155" t="str">
            <v>SPCC-SD</v>
          </cell>
          <cell r="E1155" t="str">
            <v>AF1</v>
          </cell>
          <cell r="F1155">
            <v>0.6</v>
          </cell>
          <cell r="G1155">
            <v>300</v>
          </cell>
          <cell r="H1155">
            <v>600</v>
          </cell>
          <cell r="I1155" t="str">
            <v>A</v>
          </cell>
          <cell r="K1155">
            <v>500</v>
          </cell>
          <cell r="L1155">
            <v>425</v>
          </cell>
          <cell r="M1155">
            <v>50080008</v>
          </cell>
          <cell r="N1155">
            <v>38467</v>
          </cell>
          <cell r="O1155" t="str">
            <v>124C22SUD007</v>
          </cell>
          <cell r="P1155" t="str">
            <v>FN5425N1D866804</v>
          </cell>
          <cell r="Q1155" t="str">
            <v>แผ่นรองและสายรัดเป็นสนิม</v>
          </cell>
        </row>
        <row r="1156">
          <cell r="A1156">
            <v>50114881</v>
          </cell>
          <cell r="B1156">
            <v>1155</v>
          </cell>
          <cell r="C1156" t="str">
            <v>LW02/3</v>
          </cell>
          <cell r="D1156" t="str">
            <v>SPCC-SD</v>
          </cell>
          <cell r="E1156" t="str">
            <v>AF1</v>
          </cell>
          <cell r="F1156">
            <v>0.6</v>
          </cell>
          <cell r="G1156">
            <v>595</v>
          </cell>
          <cell r="H1156">
            <v>1997</v>
          </cell>
          <cell r="I1156" t="str">
            <v>A</v>
          </cell>
          <cell r="K1156">
            <v>50</v>
          </cell>
          <cell r="L1156">
            <v>278</v>
          </cell>
          <cell r="M1156">
            <v>50114881</v>
          </cell>
          <cell r="N1156">
            <v>38738</v>
          </cell>
          <cell r="P1156" t="str">
            <v>FN6121D1R669901</v>
          </cell>
          <cell r="Q1156" t="str">
            <v>แผ่นรองและสายรัดเป็นสนิม</v>
          </cell>
        </row>
        <row r="1157">
          <cell r="A1157">
            <v>50111586</v>
          </cell>
          <cell r="B1157">
            <v>1156</v>
          </cell>
          <cell r="C1157" t="str">
            <v>LW02/3</v>
          </cell>
          <cell r="D1157" t="str">
            <v>SPCC-SD</v>
          </cell>
          <cell r="E1157" t="str">
            <v>AF1</v>
          </cell>
          <cell r="F1157">
            <v>0.6</v>
          </cell>
          <cell r="G1157">
            <v>630.1</v>
          </cell>
          <cell r="H1157">
            <v>190</v>
          </cell>
          <cell r="I1157" t="str">
            <v>A</v>
          </cell>
          <cell r="K1157">
            <v>20</v>
          </cell>
          <cell r="L1157">
            <v>112</v>
          </cell>
          <cell r="M1157">
            <v>50111586</v>
          </cell>
          <cell r="N1157" t="str">
            <v>22/C/2005</v>
          </cell>
          <cell r="P1157" t="str">
            <v>FN5C22N1L562301</v>
          </cell>
          <cell r="Q1157" t="str">
            <v>แผ่นรองและสายรัดเป็นสนิม</v>
          </cell>
        </row>
        <row r="1158">
          <cell r="A1158">
            <v>50096872</v>
          </cell>
          <cell r="B1158">
            <v>1157</v>
          </cell>
          <cell r="C1158" t="str">
            <v>LW02/3</v>
          </cell>
          <cell r="D1158" t="str">
            <v>SPCC-SD</v>
          </cell>
          <cell r="E1158" t="str">
            <v>AF1</v>
          </cell>
          <cell r="F1158">
            <v>0.7</v>
          </cell>
          <cell r="G1158">
            <v>1195</v>
          </cell>
          <cell r="H1158">
            <v>1500</v>
          </cell>
          <cell r="I1158" t="str">
            <v>A</v>
          </cell>
          <cell r="K1158">
            <v>100</v>
          </cell>
          <cell r="L1158">
            <v>975</v>
          </cell>
          <cell r="M1158">
            <v>50096872</v>
          </cell>
          <cell r="N1158">
            <v>38594</v>
          </cell>
          <cell r="P1158" t="str">
            <v>FN5830N1L248501</v>
          </cell>
          <cell r="Q1158" t="str">
            <v>กระดาษฉีกขาดและแผ่นรอง,สายรัดเป็นสนิม</v>
          </cell>
        </row>
        <row r="1159">
          <cell r="A1159">
            <v>50106355</v>
          </cell>
          <cell r="B1159">
            <v>1158</v>
          </cell>
          <cell r="C1159" t="str">
            <v>LW02/3</v>
          </cell>
          <cell r="D1159" t="str">
            <v>SPCC-SD</v>
          </cell>
          <cell r="E1159" t="str">
            <v>AF1</v>
          </cell>
          <cell r="F1159">
            <v>1</v>
          </cell>
          <cell r="G1159">
            <v>390</v>
          </cell>
          <cell r="H1159">
            <v>1219</v>
          </cell>
          <cell r="I1159" t="str">
            <v>A</v>
          </cell>
          <cell r="K1159">
            <v>40</v>
          </cell>
          <cell r="L1159">
            <v>148</v>
          </cell>
          <cell r="M1159">
            <v>50106355</v>
          </cell>
          <cell r="N1159" t="str">
            <v>15/B/2005</v>
          </cell>
          <cell r="P1159" t="str">
            <v>FN5B15D1D470101</v>
          </cell>
          <cell r="Q1159" t="str">
            <v>แผ่นรองและสายรัดเป็นสนิม,กระดาษฉีกขาด</v>
          </cell>
        </row>
        <row r="1160">
          <cell r="A1160">
            <v>50140428</v>
          </cell>
          <cell r="B1160">
            <v>1159</v>
          </cell>
          <cell r="C1160" t="str">
            <v>LW02/3</v>
          </cell>
          <cell r="D1160" t="str">
            <v>SPCC-SD</v>
          </cell>
          <cell r="E1160" t="str">
            <v>AF1</v>
          </cell>
          <cell r="F1160">
            <v>1.2</v>
          </cell>
          <cell r="G1160">
            <v>315</v>
          </cell>
          <cell r="H1160">
            <v>1041</v>
          </cell>
          <cell r="I1160" t="str">
            <v>A</v>
          </cell>
          <cell r="K1160">
            <v>189</v>
          </cell>
          <cell r="L1160">
            <v>584</v>
          </cell>
          <cell r="M1160">
            <v>50140428</v>
          </cell>
          <cell r="N1160">
            <v>38948</v>
          </cell>
          <cell r="O1160" t="str">
            <v>126726SUD032</v>
          </cell>
          <cell r="P1160" t="str">
            <v>FN6819D1L305001</v>
          </cell>
          <cell r="Q1160" t="str">
            <v>สภาพปกติ</v>
          </cell>
        </row>
        <row r="1161">
          <cell r="A1161">
            <v>50107241</v>
          </cell>
          <cell r="B1161">
            <v>1160</v>
          </cell>
          <cell r="C1161" t="str">
            <v>LW02/3</v>
          </cell>
          <cell r="D1161" t="str">
            <v>SPCC-SD</v>
          </cell>
          <cell r="E1161" t="str">
            <v>AF1</v>
          </cell>
          <cell r="F1161">
            <v>1.2</v>
          </cell>
          <cell r="G1161">
            <v>850</v>
          </cell>
          <cell r="H1161">
            <v>957</v>
          </cell>
          <cell r="I1161" t="str">
            <v>A</v>
          </cell>
          <cell r="K1161">
            <v>116</v>
          </cell>
          <cell r="L1161">
            <v>851</v>
          </cell>
          <cell r="M1161">
            <v>50107241</v>
          </cell>
          <cell r="N1161" t="str">
            <v>22/B/2005</v>
          </cell>
          <cell r="P1161" t="str">
            <v>FN5B22D1L497801</v>
          </cell>
          <cell r="Q1161" t="str">
            <v>แผ่นรองและสายรัดเป็นสนิม</v>
          </cell>
        </row>
        <row r="1162">
          <cell r="A1162">
            <v>50103970</v>
          </cell>
          <cell r="B1162">
            <v>1161</v>
          </cell>
          <cell r="C1162" t="str">
            <v>LW02/3</v>
          </cell>
          <cell r="D1162" t="str">
            <v>SPCC-SD</v>
          </cell>
          <cell r="E1162" t="str">
            <v>AF1</v>
          </cell>
          <cell r="F1162">
            <v>1.6</v>
          </cell>
          <cell r="G1162">
            <v>587</v>
          </cell>
          <cell r="H1162">
            <v>1219</v>
          </cell>
          <cell r="I1162" t="str">
            <v>A</v>
          </cell>
          <cell r="K1162">
            <v>113</v>
          </cell>
          <cell r="L1162">
            <v>1000</v>
          </cell>
          <cell r="M1162">
            <v>50103970</v>
          </cell>
          <cell r="N1162" t="str">
            <v>28/A/2005</v>
          </cell>
          <cell r="P1162" t="str">
            <v>FN5A28N1L399401</v>
          </cell>
          <cell r="Q1162" t="str">
            <v>แผ่นรองและสายรัดเป็นสนิม,กระดาษฉีกขาด</v>
          </cell>
        </row>
        <row r="1163">
          <cell r="A1163">
            <v>50085861</v>
          </cell>
          <cell r="B1163">
            <v>1162</v>
          </cell>
          <cell r="C1163" t="str">
            <v>LW02/3</v>
          </cell>
          <cell r="D1163" t="str">
            <v>SPCC-SD</v>
          </cell>
          <cell r="E1163" t="str">
            <v>AF1</v>
          </cell>
          <cell r="F1163">
            <v>2</v>
          </cell>
          <cell r="G1163">
            <v>56</v>
          </cell>
          <cell r="H1163">
            <v>1219</v>
          </cell>
          <cell r="I1163" t="str">
            <v>A</v>
          </cell>
          <cell r="K1163">
            <v>100</v>
          </cell>
          <cell r="L1163">
            <v>107</v>
          </cell>
          <cell r="M1163">
            <v>50085861</v>
          </cell>
          <cell r="N1163">
            <v>38567</v>
          </cell>
          <cell r="P1163" t="str">
            <v>FN5803N1D526301</v>
          </cell>
          <cell r="Q1163" t="str">
            <v>แผ่นรองและสายรัดเป็นสนิม</v>
          </cell>
        </row>
        <row r="1164">
          <cell r="A1164">
            <v>50074350</v>
          </cell>
          <cell r="B1164">
            <v>1163</v>
          </cell>
          <cell r="C1164" t="str">
            <v>LW02/3</v>
          </cell>
          <cell r="D1164" t="str">
            <v>SPCC-SD</v>
          </cell>
          <cell r="E1164" t="str">
            <v>AF1</v>
          </cell>
          <cell r="F1164">
            <v>2</v>
          </cell>
          <cell r="G1164">
            <v>88</v>
          </cell>
          <cell r="H1164">
            <v>1219</v>
          </cell>
          <cell r="I1164" t="str">
            <v>A</v>
          </cell>
          <cell r="K1164">
            <v>500</v>
          </cell>
          <cell r="L1164">
            <v>845</v>
          </cell>
          <cell r="M1164">
            <v>50074350</v>
          </cell>
          <cell r="N1164">
            <v>38423</v>
          </cell>
          <cell r="P1164" t="str">
            <v>FN5312N1D796101</v>
          </cell>
          <cell r="Q1164" t="str">
            <v>แผ่นรองและสายรัดเป็นสนิม</v>
          </cell>
        </row>
        <row r="1165">
          <cell r="A1165">
            <v>50074351</v>
          </cell>
          <cell r="B1165">
            <v>1164</v>
          </cell>
          <cell r="C1165" t="str">
            <v>LW02/3</v>
          </cell>
          <cell r="D1165" t="str">
            <v>SPCC-SD</v>
          </cell>
          <cell r="E1165" t="str">
            <v>AF1</v>
          </cell>
          <cell r="F1165">
            <v>2</v>
          </cell>
          <cell r="G1165">
            <v>88</v>
          </cell>
          <cell r="H1165">
            <v>1219</v>
          </cell>
          <cell r="I1165" t="str">
            <v>A</v>
          </cell>
          <cell r="K1165">
            <v>500</v>
          </cell>
          <cell r="L1165">
            <v>845</v>
          </cell>
          <cell r="M1165">
            <v>50074351</v>
          </cell>
          <cell r="N1165">
            <v>38423</v>
          </cell>
          <cell r="P1165" t="str">
            <v>FN5312N1D796102</v>
          </cell>
          <cell r="Q1165" t="str">
            <v>แผ่นรองและสายรัดเป็นสนิม</v>
          </cell>
        </row>
        <row r="1166">
          <cell r="A1166">
            <v>50101381</v>
          </cell>
          <cell r="B1166">
            <v>1165</v>
          </cell>
          <cell r="C1166" t="str">
            <v>LW02/3</v>
          </cell>
          <cell r="D1166" t="str">
            <v>SPCC-SD</v>
          </cell>
          <cell r="E1166" t="str">
            <v>AF1</v>
          </cell>
          <cell r="F1166">
            <v>2</v>
          </cell>
          <cell r="G1166">
            <v>170</v>
          </cell>
          <cell r="H1166">
            <v>1219</v>
          </cell>
          <cell r="I1166" t="str">
            <v>A</v>
          </cell>
          <cell r="K1166">
            <v>21</v>
          </cell>
          <cell r="L1166">
            <v>68</v>
          </cell>
          <cell r="M1166">
            <v>50101381</v>
          </cell>
          <cell r="N1166" t="str">
            <v>11/A/2005</v>
          </cell>
          <cell r="P1166" t="str">
            <v>FN5A11D1D366801</v>
          </cell>
          <cell r="Q1166" t="str">
            <v>แผ่นรองและสายรัดเป็นสนิม</v>
          </cell>
        </row>
        <row r="1167">
          <cell r="A1167">
            <v>50090962</v>
          </cell>
          <cell r="B1167">
            <v>1166</v>
          </cell>
          <cell r="C1167" t="str">
            <v>LW02/3</v>
          </cell>
          <cell r="D1167" t="str">
            <v>SPCC-SD</v>
          </cell>
          <cell r="E1167" t="str">
            <v>AF1</v>
          </cell>
          <cell r="F1167">
            <v>2</v>
          </cell>
          <cell r="G1167">
            <v>210</v>
          </cell>
          <cell r="H1167">
            <v>1219</v>
          </cell>
          <cell r="I1167" t="str">
            <v>A</v>
          </cell>
          <cell r="K1167">
            <v>20</v>
          </cell>
          <cell r="L1167">
            <v>80</v>
          </cell>
          <cell r="M1167">
            <v>50090962</v>
          </cell>
          <cell r="N1167">
            <v>38547</v>
          </cell>
          <cell r="P1167" t="str">
            <v>FN5714N1L109801</v>
          </cell>
          <cell r="Q1167" t="str">
            <v>แผ่นรองและสายรัดเป็นสนิม</v>
          </cell>
        </row>
        <row r="1168">
          <cell r="A1168">
            <v>50069491</v>
          </cell>
          <cell r="B1168">
            <v>1167</v>
          </cell>
          <cell r="C1168" t="str">
            <v>LW02/3</v>
          </cell>
          <cell r="D1168" t="str">
            <v>SPCC-SD</v>
          </cell>
          <cell r="E1168" t="str">
            <v>AF1</v>
          </cell>
          <cell r="F1168">
            <v>2.2999999999999998</v>
          </cell>
          <cell r="G1168">
            <v>94</v>
          </cell>
          <cell r="H1168">
            <v>1219</v>
          </cell>
          <cell r="I1168" t="str">
            <v>A</v>
          </cell>
          <cell r="K1168">
            <v>260</v>
          </cell>
          <cell r="L1168">
            <v>542</v>
          </cell>
          <cell r="M1168">
            <v>50069491</v>
          </cell>
          <cell r="N1168">
            <v>38384</v>
          </cell>
          <cell r="P1168" t="str">
            <v>FN5201D1RSSSS01</v>
          </cell>
          <cell r="Q1168" t="str">
            <v>แผ่นรองและสายรัดเป็นสนิม,กระดาษฉีกขาด</v>
          </cell>
        </row>
        <row r="1169">
          <cell r="A1169">
            <v>50115912</v>
          </cell>
          <cell r="B1169">
            <v>1168</v>
          </cell>
          <cell r="C1169" t="str">
            <v>LW02/3</v>
          </cell>
          <cell r="D1169" t="str">
            <v>SPCC-SD</v>
          </cell>
          <cell r="E1169" t="str">
            <v>AF1</v>
          </cell>
          <cell r="F1169">
            <v>3.2</v>
          </cell>
          <cell r="G1169">
            <v>40</v>
          </cell>
          <cell r="H1169">
            <v>1219</v>
          </cell>
          <cell r="I1169" t="str">
            <v>A</v>
          </cell>
          <cell r="K1169">
            <v>100</v>
          </cell>
          <cell r="L1169">
            <v>123</v>
          </cell>
          <cell r="M1169">
            <v>50115912</v>
          </cell>
          <cell r="N1169">
            <v>38748</v>
          </cell>
          <cell r="P1169" t="str">
            <v>FN6131N2D675901</v>
          </cell>
          <cell r="Q1169" t="str">
            <v>แผ่นรองและสายรัดเป็นสนิม</v>
          </cell>
        </row>
        <row r="1170">
          <cell r="A1170">
            <v>50118154</v>
          </cell>
          <cell r="B1170">
            <v>1169</v>
          </cell>
          <cell r="C1170" t="str">
            <v>LW02/3</v>
          </cell>
          <cell r="D1170" t="str">
            <v>SPCC-SD</v>
          </cell>
          <cell r="E1170" t="str">
            <v>AF1</v>
          </cell>
          <cell r="F1170">
            <v>3.2</v>
          </cell>
          <cell r="G1170">
            <v>45</v>
          </cell>
          <cell r="H1170">
            <v>1219</v>
          </cell>
          <cell r="I1170" t="str">
            <v>A</v>
          </cell>
          <cell r="K1170">
            <v>300</v>
          </cell>
          <cell r="L1170">
            <v>413</v>
          </cell>
          <cell r="M1170">
            <v>50118154</v>
          </cell>
          <cell r="N1170">
            <v>38766</v>
          </cell>
          <cell r="P1170" t="str">
            <v>FN6218D2D743401</v>
          </cell>
          <cell r="Q1170" t="str">
            <v>แผ่นรองและสายรัดเป็นสนิม,กระดาษฉีกขาด</v>
          </cell>
        </row>
        <row r="1171">
          <cell r="A1171">
            <v>50111643</v>
          </cell>
          <cell r="B1171">
            <v>1170</v>
          </cell>
          <cell r="C1171" t="str">
            <v>LW02/3</v>
          </cell>
          <cell r="D1171" t="str">
            <v>SPCEN-SD</v>
          </cell>
          <cell r="E1171" t="str">
            <v>AF3</v>
          </cell>
          <cell r="F1171">
            <v>0.6</v>
          </cell>
          <cell r="G1171">
            <v>170</v>
          </cell>
          <cell r="H1171">
            <v>260</v>
          </cell>
          <cell r="I1171" t="str">
            <v>A</v>
          </cell>
          <cell r="K1171">
            <v>2000</v>
          </cell>
          <cell r="L1171">
            <v>418</v>
          </cell>
          <cell r="M1171">
            <v>50111643</v>
          </cell>
          <cell r="N1171" t="str">
            <v>23/C/2005</v>
          </cell>
          <cell r="P1171" t="str">
            <v>FN5C23D1M594801</v>
          </cell>
          <cell r="Q1171" t="str">
            <v>แผ่นรองและสายรัดเป็นสนิม</v>
          </cell>
        </row>
        <row r="1172">
          <cell r="A1172">
            <v>50120836</v>
          </cell>
          <cell r="B1172">
            <v>1171</v>
          </cell>
          <cell r="C1172" t="str">
            <v>LW02/3</v>
          </cell>
          <cell r="D1172" t="str">
            <v>SPCEN-SD</v>
          </cell>
          <cell r="E1172" t="str">
            <v>AF3</v>
          </cell>
          <cell r="F1172">
            <v>0.9</v>
          </cell>
          <cell r="G1172">
            <v>445</v>
          </cell>
          <cell r="H1172">
            <v>560</v>
          </cell>
          <cell r="I1172" t="str">
            <v>A</v>
          </cell>
          <cell r="K1172">
            <v>200</v>
          </cell>
          <cell r="L1172">
            <v>352</v>
          </cell>
          <cell r="M1172">
            <v>50120836</v>
          </cell>
          <cell r="N1172">
            <v>38782</v>
          </cell>
          <cell r="P1172" t="str">
            <v>FN6306N1M813201</v>
          </cell>
          <cell r="Q1172" t="str">
            <v>แผ่นรองและสายรัดเป็นสนิม,กระดาษฉีกขาด</v>
          </cell>
        </row>
        <row r="1173">
          <cell r="A1173">
            <v>50120837</v>
          </cell>
          <cell r="B1173">
            <v>1172</v>
          </cell>
          <cell r="C1173" t="str">
            <v>LW02/3</v>
          </cell>
          <cell r="D1173" t="str">
            <v>SPCEN-SD</v>
          </cell>
          <cell r="E1173" t="str">
            <v>AF3</v>
          </cell>
          <cell r="F1173">
            <v>0.9</v>
          </cell>
          <cell r="G1173">
            <v>445</v>
          </cell>
          <cell r="H1173">
            <v>560</v>
          </cell>
          <cell r="I1173" t="str">
            <v>A</v>
          </cell>
          <cell r="K1173">
            <v>100</v>
          </cell>
          <cell r="L1173">
            <v>182</v>
          </cell>
          <cell r="M1173">
            <v>50120837</v>
          </cell>
          <cell r="N1173">
            <v>38782</v>
          </cell>
          <cell r="P1173" t="str">
            <v>FN6306N1M813202</v>
          </cell>
          <cell r="Q1173" t="str">
            <v>กระดาษฉีกขาดและแผ่นรอง,สายรัดเป็นสนิม</v>
          </cell>
        </row>
        <row r="1174">
          <cell r="A1174">
            <v>50139992</v>
          </cell>
          <cell r="B1174">
            <v>1173</v>
          </cell>
          <cell r="C1174" t="str">
            <v>LW02/3</v>
          </cell>
          <cell r="D1174" t="str">
            <v>SPCEN-SD</v>
          </cell>
          <cell r="E1174" t="str">
            <v>AF3</v>
          </cell>
          <cell r="F1174">
            <v>0.9</v>
          </cell>
          <cell r="G1174">
            <v>595</v>
          </cell>
          <cell r="H1174">
            <v>915</v>
          </cell>
          <cell r="I1174" t="str">
            <v>A</v>
          </cell>
          <cell r="K1174">
            <v>30</v>
          </cell>
          <cell r="L1174">
            <v>114</v>
          </cell>
          <cell r="M1174">
            <v>50139992</v>
          </cell>
          <cell r="N1174">
            <v>38944</v>
          </cell>
          <cell r="P1174" t="str">
            <v>FN6815D1L296901</v>
          </cell>
          <cell r="Q1174" t="str">
            <v>สภาพปกติ</v>
          </cell>
        </row>
        <row r="1175">
          <cell r="A1175">
            <v>50083921</v>
          </cell>
          <cell r="B1175">
            <v>1174</v>
          </cell>
          <cell r="C1175" t="str">
            <v>LW02/3</v>
          </cell>
          <cell r="D1175" t="str">
            <v>SPCEN-SD</v>
          </cell>
          <cell r="E1175" t="str">
            <v>AF3</v>
          </cell>
          <cell r="F1175">
            <v>1</v>
          </cell>
          <cell r="G1175">
            <v>410</v>
          </cell>
          <cell r="H1175">
            <v>420</v>
          </cell>
          <cell r="I1175" t="str">
            <v>A</v>
          </cell>
          <cell r="K1175">
            <v>500</v>
          </cell>
          <cell r="L1175">
            <v>675</v>
          </cell>
          <cell r="M1175">
            <v>50083921</v>
          </cell>
          <cell r="N1175">
            <v>38491</v>
          </cell>
          <cell r="P1175" t="str">
            <v>FN5519N1D970201</v>
          </cell>
          <cell r="Q1175" t="str">
            <v>แผ่นรองและสายรัดเป็นสนิม,กระดาษฉีกขาด</v>
          </cell>
        </row>
        <row r="1176">
          <cell r="A1176">
            <v>50083922</v>
          </cell>
          <cell r="B1176">
            <v>1175</v>
          </cell>
          <cell r="C1176" t="str">
            <v>LW02/3</v>
          </cell>
          <cell r="D1176" t="str">
            <v>SPCEN-SD</v>
          </cell>
          <cell r="E1176" t="str">
            <v>AF3</v>
          </cell>
          <cell r="F1176">
            <v>1</v>
          </cell>
          <cell r="G1176">
            <v>410</v>
          </cell>
          <cell r="H1176">
            <v>420</v>
          </cell>
          <cell r="I1176" t="str">
            <v>A</v>
          </cell>
          <cell r="K1176">
            <v>463</v>
          </cell>
          <cell r="L1176">
            <v>625</v>
          </cell>
          <cell r="M1176">
            <v>50083922</v>
          </cell>
          <cell r="N1176">
            <v>38491</v>
          </cell>
          <cell r="P1176" t="str">
            <v>FN5519N1D970202</v>
          </cell>
          <cell r="Q1176" t="str">
            <v>แผ่นรองกระดาษ สายรัด เป็นสนิม กระดาษฉีกขาด</v>
          </cell>
        </row>
        <row r="1177">
          <cell r="A1177">
            <v>50088949</v>
          </cell>
          <cell r="B1177">
            <v>1176</v>
          </cell>
          <cell r="C1177" t="str">
            <v>LW02/3</v>
          </cell>
          <cell r="D1177" t="str">
            <v>SPCEN-SD</v>
          </cell>
          <cell r="E1177" t="str">
            <v>AF3</v>
          </cell>
          <cell r="F1177">
            <v>1</v>
          </cell>
          <cell r="G1177">
            <v>450</v>
          </cell>
          <cell r="H1177">
            <v>485</v>
          </cell>
          <cell r="I1177" t="str">
            <v>A</v>
          </cell>
          <cell r="K1177">
            <v>72</v>
          </cell>
          <cell r="L1177">
            <v>123</v>
          </cell>
          <cell r="M1177">
            <v>50088949</v>
          </cell>
          <cell r="N1177">
            <v>38532</v>
          </cell>
          <cell r="P1177" t="str">
            <v>FN5629D1D087901</v>
          </cell>
          <cell r="Q1177" t="str">
            <v>แผ่นรองและสายรัดเป็นสนิม</v>
          </cell>
        </row>
        <row r="1178">
          <cell r="A1178">
            <v>50070298</v>
          </cell>
          <cell r="B1178">
            <v>1177</v>
          </cell>
          <cell r="C1178" t="str">
            <v>LW02/3</v>
          </cell>
          <cell r="D1178" t="str">
            <v>SPHC P/O</v>
          </cell>
          <cell r="E1178" t="str">
            <v>CA1</v>
          </cell>
          <cell r="F1178">
            <v>1.2</v>
          </cell>
          <cell r="G1178">
            <v>77</v>
          </cell>
          <cell r="H1178">
            <v>1219</v>
          </cell>
          <cell r="I1178" t="str">
            <v>A</v>
          </cell>
          <cell r="K1178">
            <v>80</v>
          </cell>
          <cell r="L1178">
            <v>70</v>
          </cell>
          <cell r="M1178">
            <v>50070298</v>
          </cell>
          <cell r="N1178">
            <v>38391</v>
          </cell>
          <cell r="P1178" t="str">
            <v>FN5208D1D683801</v>
          </cell>
          <cell r="Q1178" t="str">
            <v>แผ่นรองและสายรัดเป็นสนิม</v>
          </cell>
        </row>
        <row r="1179">
          <cell r="A1179">
            <v>50108595</v>
          </cell>
          <cell r="B1179">
            <v>1178</v>
          </cell>
          <cell r="C1179" t="str">
            <v>LW02/3</v>
          </cell>
          <cell r="D1179" t="str">
            <v>SPHC P/O</v>
          </cell>
          <cell r="E1179" t="str">
            <v>CA1</v>
          </cell>
          <cell r="F1179">
            <v>2</v>
          </cell>
          <cell r="G1179">
            <v>105</v>
          </cell>
          <cell r="H1179">
            <v>1219</v>
          </cell>
          <cell r="I1179" t="str">
            <v>A</v>
          </cell>
          <cell r="K1179">
            <v>300</v>
          </cell>
          <cell r="L1179">
            <v>602</v>
          </cell>
          <cell r="M1179">
            <v>50108595</v>
          </cell>
          <cell r="N1179" t="str">
            <v>01/C/2005</v>
          </cell>
          <cell r="O1179" t="str">
            <v>135831SSD002</v>
          </cell>
          <cell r="P1179" t="str">
            <v>FN5C01N1D515801</v>
          </cell>
          <cell r="Q1179" t="str">
            <v>แผ่นรองและสายรัดเป็นสนิม</v>
          </cell>
        </row>
        <row r="1180">
          <cell r="A1180">
            <v>50074766</v>
          </cell>
          <cell r="B1180">
            <v>1179</v>
          </cell>
          <cell r="C1180" t="str">
            <v>LW02/3</v>
          </cell>
          <cell r="D1180" t="str">
            <v>SPHC P/O</v>
          </cell>
          <cell r="E1180" t="str">
            <v>CA1</v>
          </cell>
          <cell r="F1180">
            <v>2.2999999999999998</v>
          </cell>
          <cell r="G1180">
            <v>95</v>
          </cell>
          <cell r="H1180">
            <v>1219</v>
          </cell>
          <cell r="I1180" t="str">
            <v>A</v>
          </cell>
          <cell r="K1180">
            <v>300</v>
          </cell>
          <cell r="L1180">
            <v>627</v>
          </cell>
          <cell r="M1180">
            <v>50074766</v>
          </cell>
          <cell r="N1180">
            <v>38426</v>
          </cell>
          <cell r="P1180" t="str">
            <v>FN5315D2L807301</v>
          </cell>
          <cell r="Q1180" t="str">
            <v>แผ่นรองและสายรัดเป็นสนิม,กระดาษฉีกขาด</v>
          </cell>
        </row>
        <row r="1181">
          <cell r="A1181">
            <v>50088119</v>
          </cell>
          <cell r="B1181">
            <v>1180</v>
          </cell>
          <cell r="C1181" t="str">
            <v>LW02/3</v>
          </cell>
          <cell r="D1181" t="str">
            <v>SPHC P/O</v>
          </cell>
          <cell r="E1181" t="str">
            <v>CA1</v>
          </cell>
          <cell r="F1181">
            <v>6</v>
          </cell>
          <cell r="G1181">
            <v>53</v>
          </cell>
          <cell r="H1181">
            <v>1219</v>
          </cell>
          <cell r="I1181" t="str">
            <v>A</v>
          </cell>
          <cell r="K1181">
            <v>15</v>
          </cell>
          <cell r="L1181">
            <v>45</v>
          </cell>
          <cell r="M1181">
            <v>50088119</v>
          </cell>
          <cell r="N1181">
            <v>38523</v>
          </cell>
          <cell r="P1181" t="str">
            <v>FN5620D2RBBBB01</v>
          </cell>
          <cell r="Q1181" t="str">
            <v>แผ่นรองและสายรัดเป็นสนิม</v>
          </cell>
        </row>
        <row r="1182">
          <cell r="A1182">
            <v>50084299</v>
          </cell>
          <cell r="B1182">
            <v>1181</v>
          </cell>
          <cell r="C1182" t="str">
            <v>LW02/3</v>
          </cell>
          <cell r="D1182" t="str">
            <v>SPHC-DS</v>
          </cell>
          <cell r="E1182" t="str">
            <v>DS1</v>
          </cell>
          <cell r="F1182">
            <v>1.6</v>
          </cell>
          <cell r="G1182">
            <v>200</v>
          </cell>
          <cell r="H1182">
            <v>1140</v>
          </cell>
          <cell r="I1182" t="str">
            <v>A</v>
          </cell>
          <cell r="K1182">
            <v>250</v>
          </cell>
          <cell r="L1182">
            <v>715</v>
          </cell>
          <cell r="M1182">
            <v>50084299</v>
          </cell>
          <cell r="N1182">
            <v>38495</v>
          </cell>
          <cell r="P1182" t="str">
            <v>FN5523D1D984901</v>
          </cell>
          <cell r="Q1182" t="str">
            <v>แผ่นรองและสายรัดเป็นสนิม,กระดาษฉีกขาด</v>
          </cell>
        </row>
        <row r="1183">
          <cell r="A1183">
            <v>50084300</v>
          </cell>
          <cell r="B1183">
            <v>1182</v>
          </cell>
          <cell r="C1183" t="str">
            <v>LW02/3</v>
          </cell>
          <cell r="D1183" t="str">
            <v>SPHC-DS</v>
          </cell>
          <cell r="E1183" t="str">
            <v>DS1</v>
          </cell>
          <cell r="F1183">
            <v>1.6</v>
          </cell>
          <cell r="G1183">
            <v>200</v>
          </cell>
          <cell r="H1183">
            <v>1140</v>
          </cell>
          <cell r="I1183" t="str">
            <v>A</v>
          </cell>
          <cell r="K1183">
            <v>250</v>
          </cell>
          <cell r="L1183">
            <v>715</v>
          </cell>
          <cell r="M1183">
            <v>50084300</v>
          </cell>
          <cell r="N1183">
            <v>38495</v>
          </cell>
          <cell r="P1183" t="str">
            <v>FN5523D1D984902</v>
          </cell>
          <cell r="Q1183" t="str">
            <v>แผ่นรองและสายรัดเป็นสนิม,กระดาษฉีกขาด</v>
          </cell>
        </row>
        <row r="1184">
          <cell r="A1184">
            <v>50084301</v>
          </cell>
          <cell r="B1184">
            <v>1183</v>
          </cell>
          <cell r="C1184" t="str">
            <v>LW02/3</v>
          </cell>
          <cell r="D1184" t="str">
            <v>SPHC-DS</v>
          </cell>
          <cell r="E1184" t="str">
            <v>DS1</v>
          </cell>
          <cell r="F1184">
            <v>1.6</v>
          </cell>
          <cell r="G1184">
            <v>200</v>
          </cell>
          <cell r="H1184">
            <v>1140</v>
          </cell>
          <cell r="I1184" t="str">
            <v>A</v>
          </cell>
          <cell r="K1184">
            <v>250</v>
          </cell>
          <cell r="L1184">
            <v>715</v>
          </cell>
          <cell r="M1184">
            <v>50084301</v>
          </cell>
          <cell r="N1184">
            <v>38495</v>
          </cell>
          <cell r="P1184" t="str">
            <v>FN5523D1D984903</v>
          </cell>
          <cell r="Q1184" t="str">
            <v>แผ่นรองและสายรัดเป็นสนิม</v>
          </cell>
        </row>
        <row r="1185">
          <cell r="A1185">
            <v>50134642</v>
          </cell>
          <cell r="B1185">
            <v>1184</v>
          </cell>
          <cell r="C1185" t="str">
            <v>MW01/1</v>
          </cell>
          <cell r="D1185" t="str">
            <v>SPCC-SD</v>
          </cell>
          <cell r="E1185" t="str">
            <v>AF1</v>
          </cell>
          <cell r="F1185">
            <v>0.5</v>
          </cell>
          <cell r="G1185">
            <v>80</v>
          </cell>
          <cell r="H1185">
            <v>900</v>
          </cell>
          <cell r="I1185" t="str">
            <v>A</v>
          </cell>
          <cell r="K1185">
            <v>615</v>
          </cell>
          <cell r="L1185">
            <v>174</v>
          </cell>
          <cell r="M1185">
            <v>50134642</v>
          </cell>
          <cell r="N1185">
            <v>38895</v>
          </cell>
          <cell r="P1185" t="str">
            <v>FN6627N3R123101</v>
          </cell>
          <cell r="Q1185" t="str">
            <v>แผ่นรองและสายรัดเป็นสนิม</v>
          </cell>
        </row>
        <row r="1186">
          <cell r="A1186">
            <v>50117771</v>
          </cell>
          <cell r="B1186">
            <v>1185</v>
          </cell>
          <cell r="C1186" t="str">
            <v>MW01/1</v>
          </cell>
          <cell r="D1186" t="str">
            <v>SPCC-SD</v>
          </cell>
          <cell r="E1186" t="str">
            <v>AF1</v>
          </cell>
          <cell r="F1186">
            <v>0.6</v>
          </cell>
          <cell r="G1186">
            <v>105</v>
          </cell>
          <cell r="H1186">
            <v>1219</v>
          </cell>
          <cell r="I1186" t="str">
            <v>A</v>
          </cell>
          <cell r="K1186">
            <v>300</v>
          </cell>
          <cell r="L1186">
            <v>180</v>
          </cell>
          <cell r="M1186">
            <v>50117771</v>
          </cell>
          <cell r="N1186">
            <v>38764</v>
          </cell>
          <cell r="P1186" t="str">
            <v>FN6216N1M741501</v>
          </cell>
          <cell r="Q1186" t="str">
            <v>แผ่นรองและสายรัดเป็นสนิม</v>
          </cell>
        </row>
        <row r="1187">
          <cell r="A1187">
            <v>50129103</v>
          </cell>
          <cell r="B1187">
            <v>1186</v>
          </cell>
          <cell r="C1187" t="str">
            <v>MW01/1</v>
          </cell>
          <cell r="D1187" t="str">
            <v>SPCC-SD</v>
          </cell>
          <cell r="E1187" t="str">
            <v>AF1</v>
          </cell>
          <cell r="F1187">
            <v>0.6</v>
          </cell>
          <cell r="G1187">
            <v>105</v>
          </cell>
          <cell r="H1187">
            <v>1219</v>
          </cell>
          <cell r="I1187" t="str">
            <v>A</v>
          </cell>
          <cell r="K1187">
            <v>200</v>
          </cell>
          <cell r="L1187">
            <v>120</v>
          </cell>
          <cell r="M1187">
            <v>50129103</v>
          </cell>
          <cell r="N1187">
            <v>38852</v>
          </cell>
          <cell r="P1187" t="str">
            <v>FN6515D1M990401</v>
          </cell>
          <cell r="Q1187" t="str">
            <v>แผ่นรองและสายรัดเป็นสนิม</v>
          </cell>
        </row>
        <row r="1188">
          <cell r="A1188">
            <v>50117718</v>
          </cell>
          <cell r="B1188">
            <v>1187</v>
          </cell>
          <cell r="C1188" t="str">
            <v>MW01/1</v>
          </cell>
          <cell r="D1188" t="str">
            <v>SPCC-SD</v>
          </cell>
          <cell r="E1188" t="str">
            <v>AF1</v>
          </cell>
          <cell r="F1188">
            <v>0.6</v>
          </cell>
          <cell r="G1188">
            <v>205</v>
          </cell>
          <cell r="H1188">
            <v>370</v>
          </cell>
          <cell r="I1188" t="str">
            <v>A</v>
          </cell>
          <cell r="K1188">
            <v>600</v>
          </cell>
          <cell r="L1188">
            <v>216</v>
          </cell>
          <cell r="M1188">
            <v>50117718</v>
          </cell>
          <cell r="N1188">
            <v>38763</v>
          </cell>
          <cell r="P1188" t="str">
            <v>FN6215D1M739601</v>
          </cell>
          <cell r="Q1188" t="str">
            <v>แผ่นรองและสายรัดเป็นสนิม</v>
          </cell>
        </row>
        <row r="1189">
          <cell r="A1189">
            <v>50077673</v>
          </cell>
          <cell r="B1189">
            <v>1188</v>
          </cell>
          <cell r="C1189" t="str">
            <v>MW01/1</v>
          </cell>
          <cell r="D1189" t="str">
            <v>SPCC-SD</v>
          </cell>
          <cell r="E1189" t="str">
            <v>AF1</v>
          </cell>
          <cell r="F1189">
            <v>0.6</v>
          </cell>
          <cell r="G1189">
            <v>465</v>
          </cell>
          <cell r="H1189">
            <v>600</v>
          </cell>
          <cell r="I1189" t="str">
            <v>A</v>
          </cell>
          <cell r="K1189">
            <v>500</v>
          </cell>
          <cell r="L1189">
            <v>657</v>
          </cell>
          <cell r="M1189">
            <v>50077673</v>
          </cell>
          <cell r="N1189">
            <v>38446</v>
          </cell>
          <cell r="P1189" t="str">
            <v>FN5404D3M848001</v>
          </cell>
          <cell r="Q1189" t="str">
            <v>แผ่นรองและสายรัดเป็นสนิม</v>
          </cell>
        </row>
        <row r="1190">
          <cell r="A1190">
            <v>50077674</v>
          </cell>
          <cell r="B1190">
            <v>1189</v>
          </cell>
          <cell r="C1190" t="str">
            <v>MW01/1</v>
          </cell>
          <cell r="D1190" t="str">
            <v>SPCC-SD</v>
          </cell>
          <cell r="E1190" t="str">
            <v>AF1</v>
          </cell>
          <cell r="F1190">
            <v>0.6</v>
          </cell>
          <cell r="G1190">
            <v>465</v>
          </cell>
          <cell r="H1190">
            <v>600</v>
          </cell>
          <cell r="I1190" t="str">
            <v>A</v>
          </cell>
          <cell r="K1190">
            <v>90</v>
          </cell>
          <cell r="L1190">
            <v>118</v>
          </cell>
          <cell r="M1190">
            <v>50077674</v>
          </cell>
          <cell r="N1190">
            <v>38446</v>
          </cell>
          <cell r="P1190" t="str">
            <v>FN5404D3M848002</v>
          </cell>
          <cell r="Q1190" t="str">
            <v>แผ่นรองและสายรัดเป็นสนิม</v>
          </cell>
        </row>
        <row r="1191">
          <cell r="A1191">
            <v>50077719</v>
          </cell>
          <cell r="B1191">
            <v>1190</v>
          </cell>
          <cell r="C1191" t="str">
            <v>MW01/1</v>
          </cell>
          <cell r="D1191" t="str">
            <v>SPCC-SD</v>
          </cell>
          <cell r="E1191" t="str">
            <v>AF1</v>
          </cell>
          <cell r="F1191">
            <v>0.6</v>
          </cell>
          <cell r="G1191">
            <v>465</v>
          </cell>
          <cell r="H1191">
            <v>600</v>
          </cell>
          <cell r="I1191" t="str">
            <v>A</v>
          </cell>
          <cell r="K1191">
            <v>500</v>
          </cell>
          <cell r="L1191">
            <v>657</v>
          </cell>
          <cell r="M1191">
            <v>50077719</v>
          </cell>
          <cell r="N1191">
            <v>38446</v>
          </cell>
          <cell r="P1191" t="str">
            <v>FN5404D3M848003</v>
          </cell>
          <cell r="Q1191" t="str">
            <v>แผ่นรองและสายรัดเป็นสนิม</v>
          </cell>
        </row>
        <row r="1192">
          <cell r="A1192">
            <v>50113996</v>
          </cell>
          <cell r="B1192">
            <v>1191</v>
          </cell>
          <cell r="C1192" t="str">
            <v>MW01/1</v>
          </cell>
          <cell r="D1192" t="str">
            <v>SPCC-SD</v>
          </cell>
          <cell r="E1192" t="str">
            <v>AF1</v>
          </cell>
          <cell r="F1192">
            <v>0.6</v>
          </cell>
          <cell r="G1192">
            <v>469</v>
          </cell>
          <cell r="H1192">
            <v>968</v>
          </cell>
          <cell r="I1192" t="str">
            <v>A</v>
          </cell>
          <cell r="K1192">
            <v>300</v>
          </cell>
          <cell r="L1192">
            <v>641</v>
          </cell>
          <cell r="M1192">
            <v>50113996</v>
          </cell>
          <cell r="N1192">
            <v>38733</v>
          </cell>
          <cell r="P1192" t="str">
            <v>FN6116D3M641401</v>
          </cell>
          <cell r="Q1192" t="str">
            <v>แผ่นรองและสายรัดเป็นสนิม,กระดาษฉีกขาด</v>
          </cell>
        </row>
        <row r="1193">
          <cell r="A1193">
            <v>50113997</v>
          </cell>
          <cell r="B1193">
            <v>1192</v>
          </cell>
          <cell r="C1193" t="str">
            <v>MW01/1</v>
          </cell>
          <cell r="D1193" t="str">
            <v>SPCC-SD</v>
          </cell>
          <cell r="E1193" t="str">
            <v>AF1</v>
          </cell>
          <cell r="F1193">
            <v>0.6</v>
          </cell>
          <cell r="G1193">
            <v>469</v>
          </cell>
          <cell r="H1193">
            <v>968</v>
          </cell>
          <cell r="I1193" t="str">
            <v>A</v>
          </cell>
          <cell r="K1193">
            <v>300</v>
          </cell>
          <cell r="L1193">
            <v>641</v>
          </cell>
          <cell r="M1193">
            <v>50113997</v>
          </cell>
          <cell r="N1193">
            <v>38733</v>
          </cell>
          <cell r="P1193" t="str">
            <v>FN6116D3M641402</v>
          </cell>
          <cell r="Q1193" t="str">
            <v>แผ่นรองและสายรัดเป็นสนิม,กระดาษฉีกขาด</v>
          </cell>
        </row>
        <row r="1194">
          <cell r="A1194">
            <v>50077628</v>
          </cell>
          <cell r="B1194">
            <v>1193</v>
          </cell>
          <cell r="C1194" t="str">
            <v>MW01/1</v>
          </cell>
          <cell r="D1194" t="str">
            <v>SPCC-SD</v>
          </cell>
          <cell r="E1194" t="str">
            <v>AF1</v>
          </cell>
          <cell r="F1194">
            <v>0.6</v>
          </cell>
          <cell r="G1194">
            <v>570</v>
          </cell>
          <cell r="H1194">
            <v>630</v>
          </cell>
          <cell r="I1194" t="str">
            <v>A</v>
          </cell>
          <cell r="K1194">
            <v>492</v>
          </cell>
          <cell r="L1194">
            <v>832</v>
          </cell>
          <cell r="M1194">
            <v>50077628</v>
          </cell>
          <cell r="N1194">
            <v>38445</v>
          </cell>
          <cell r="P1194" t="str">
            <v>FN5403D3M859901</v>
          </cell>
          <cell r="Q1194" t="str">
            <v>แผ่นรองและสายรัดเป็นสนิม</v>
          </cell>
        </row>
        <row r="1195">
          <cell r="A1195">
            <v>50136214</v>
          </cell>
          <cell r="B1195">
            <v>1194</v>
          </cell>
          <cell r="C1195" t="str">
            <v>MW01/1</v>
          </cell>
          <cell r="D1195" t="str">
            <v>SPCC-SD</v>
          </cell>
          <cell r="E1195" t="str">
            <v>AF1</v>
          </cell>
          <cell r="F1195">
            <v>0.8</v>
          </cell>
          <cell r="G1195">
            <v>185</v>
          </cell>
          <cell r="H1195">
            <v>220</v>
          </cell>
          <cell r="I1195" t="str">
            <v>A</v>
          </cell>
          <cell r="K1195">
            <v>2000</v>
          </cell>
          <cell r="L1195">
            <v>512</v>
          </cell>
          <cell r="M1195">
            <v>50136214</v>
          </cell>
          <cell r="N1195">
            <v>38908</v>
          </cell>
          <cell r="P1195" t="str">
            <v>FN6710D1M189201</v>
          </cell>
          <cell r="Q1195" t="str">
            <v>แผ่นรองและสายรัดเป็นสนิม</v>
          </cell>
        </row>
        <row r="1196">
          <cell r="A1196">
            <v>50136272</v>
          </cell>
          <cell r="B1196">
            <v>1195</v>
          </cell>
          <cell r="C1196" t="str">
            <v>MW01/1</v>
          </cell>
          <cell r="D1196" t="str">
            <v>SPCC-SD</v>
          </cell>
          <cell r="E1196" t="str">
            <v>AF1</v>
          </cell>
          <cell r="F1196">
            <v>0.8</v>
          </cell>
          <cell r="G1196">
            <v>185</v>
          </cell>
          <cell r="H1196">
            <v>220</v>
          </cell>
          <cell r="I1196" t="str">
            <v>A</v>
          </cell>
          <cell r="K1196">
            <v>2000</v>
          </cell>
          <cell r="L1196">
            <v>512</v>
          </cell>
          <cell r="M1196">
            <v>50136272</v>
          </cell>
          <cell r="N1196">
            <v>38909</v>
          </cell>
          <cell r="P1196" t="str">
            <v>FN6711D1M189202</v>
          </cell>
          <cell r="Q1196" t="str">
            <v>แผ่นรองและสายรัดเป็นสนิม</v>
          </cell>
        </row>
        <row r="1197">
          <cell r="A1197">
            <v>50139801</v>
          </cell>
          <cell r="B1197">
            <v>1196</v>
          </cell>
          <cell r="C1197" t="str">
            <v>MW01/1</v>
          </cell>
          <cell r="D1197" t="str">
            <v>SPCC-SD</v>
          </cell>
          <cell r="E1197" t="str">
            <v>AF1</v>
          </cell>
          <cell r="F1197">
            <v>0.8</v>
          </cell>
          <cell r="G1197">
            <v>185</v>
          </cell>
          <cell r="H1197">
            <v>220</v>
          </cell>
          <cell r="I1197" t="str">
            <v>A</v>
          </cell>
          <cell r="K1197">
            <v>1195</v>
          </cell>
          <cell r="L1197">
            <v>306</v>
          </cell>
          <cell r="M1197">
            <v>50139801</v>
          </cell>
          <cell r="N1197">
            <v>38940</v>
          </cell>
          <cell r="P1197" t="str">
            <v>FN6811D1R279101</v>
          </cell>
          <cell r="Q1197" t="str">
            <v>สภาพปกติ</v>
          </cell>
        </row>
        <row r="1198">
          <cell r="A1198">
            <v>50077542</v>
          </cell>
          <cell r="B1198">
            <v>1197</v>
          </cell>
          <cell r="C1198" t="str">
            <v>MW01/1</v>
          </cell>
          <cell r="D1198" t="str">
            <v>SPCC-SD</v>
          </cell>
          <cell r="E1198" t="str">
            <v>AF1</v>
          </cell>
          <cell r="F1198">
            <v>0.8</v>
          </cell>
          <cell r="G1198">
            <v>540</v>
          </cell>
          <cell r="H1198">
            <v>610</v>
          </cell>
          <cell r="I1198" t="str">
            <v>A</v>
          </cell>
          <cell r="K1198">
            <v>177</v>
          </cell>
          <cell r="L1198">
            <v>366</v>
          </cell>
          <cell r="M1198">
            <v>50077542</v>
          </cell>
          <cell r="N1198">
            <v>38444</v>
          </cell>
          <cell r="P1198" t="str">
            <v>FN5402D3M847901</v>
          </cell>
          <cell r="Q1198" t="str">
            <v>แผ่นรองและสายรัดเป็นสนิม</v>
          </cell>
        </row>
        <row r="1199">
          <cell r="A1199">
            <v>50121290</v>
          </cell>
          <cell r="B1199">
            <v>1198</v>
          </cell>
          <cell r="C1199" t="str">
            <v>MW01/1</v>
          </cell>
          <cell r="D1199" t="str">
            <v>SPCC-SD</v>
          </cell>
          <cell r="E1199" t="str">
            <v>AF1</v>
          </cell>
          <cell r="F1199">
            <v>1</v>
          </cell>
          <cell r="G1199">
            <v>111</v>
          </cell>
          <cell r="H1199">
            <v>1219</v>
          </cell>
          <cell r="I1199" t="str">
            <v>A</v>
          </cell>
          <cell r="K1199">
            <v>34</v>
          </cell>
          <cell r="L1199">
            <v>36</v>
          </cell>
          <cell r="M1199">
            <v>50121290</v>
          </cell>
          <cell r="N1199">
            <v>38785</v>
          </cell>
          <cell r="O1199" t="str">
            <v>124503TCD001</v>
          </cell>
          <cell r="P1199" t="str">
            <v>FN6309D3R811701</v>
          </cell>
          <cell r="Q1199" t="str">
            <v>แผ่นรองและสายรัดเป็นสนิม</v>
          </cell>
        </row>
        <row r="1200">
          <cell r="A1200">
            <v>50140902</v>
          </cell>
          <cell r="B1200">
            <v>1199</v>
          </cell>
          <cell r="C1200" t="str">
            <v>MW01/1</v>
          </cell>
          <cell r="D1200" t="str">
            <v>SPCC-SD</v>
          </cell>
          <cell r="E1200" t="str">
            <v>AF1</v>
          </cell>
          <cell r="F1200">
            <v>1</v>
          </cell>
          <cell r="G1200">
            <v>135</v>
          </cell>
          <cell r="H1200">
            <v>544</v>
          </cell>
          <cell r="I1200" t="str">
            <v>A</v>
          </cell>
          <cell r="K1200">
            <v>600</v>
          </cell>
          <cell r="L1200">
            <v>348</v>
          </cell>
          <cell r="M1200">
            <v>50140902</v>
          </cell>
          <cell r="N1200">
            <v>38953</v>
          </cell>
          <cell r="P1200" t="str">
            <v>FN6824D1M321801</v>
          </cell>
          <cell r="Q1200" t="str">
            <v>สภาพปกติ</v>
          </cell>
        </row>
        <row r="1201">
          <cell r="A1201">
            <v>50133604</v>
          </cell>
          <cell r="B1201">
            <v>1200</v>
          </cell>
          <cell r="C1201" t="str">
            <v>MW01/1</v>
          </cell>
          <cell r="D1201" t="str">
            <v>SPCC-SD</v>
          </cell>
          <cell r="E1201" t="str">
            <v>AF1</v>
          </cell>
          <cell r="F1201">
            <v>1</v>
          </cell>
          <cell r="G1201">
            <v>150</v>
          </cell>
          <cell r="H1201">
            <v>1219</v>
          </cell>
          <cell r="I1201" t="str">
            <v>A</v>
          </cell>
          <cell r="K1201">
            <v>150</v>
          </cell>
          <cell r="L1201">
            <v>216</v>
          </cell>
          <cell r="M1201">
            <v>50133604</v>
          </cell>
          <cell r="N1201">
            <v>38885</v>
          </cell>
          <cell r="P1201" t="str">
            <v>FN3317D1M114001</v>
          </cell>
          <cell r="Q1201" t="str">
            <v>แผ่นรองและสายรัดเป็นสนิม</v>
          </cell>
        </row>
        <row r="1202">
          <cell r="A1202">
            <v>50128571</v>
          </cell>
          <cell r="B1202">
            <v>1201</v>
          </cell>
          <cell r="C1202" t="str">
            <v>MW01/1</v>
          </cell>
          <cell r="D1202" t="str">
            <v>SPCC-SD</v>
          </cell>
          <cell r="E1202" t="str">
            <v>AF1</v>
          </cell>
          <cell r="F1202">
            <v>1</v>
          </cell>
          <cell r="G1202">
            <v>177</v>
          </cell>
          <cell r="H1202">
            <v>268</v>
          </cell>
          <cell r="I1202" t="str">
            <v>A</v>
          </cell>
          <cell r="K1202">
            <v>1000</v>
          </cell>
          <cell r="L1202">
            <v>370</v>
          </cell>
          <cell r="M1202">
            <v>50128571</v>
          </cell>
          <cell r="N1202">
            <v>38845</v>
          </cell>
          <cell r="P1202" t="str">
            <v>FN6508D1M980101</v>
          </cell>
          <cell r="Q1202" t="str">
            <v>สภาพปกติ</v>
          </cell>
        </row>
        <row r="1203">
          <cell r="A1203">
            <v>50128052</v>
          </cell>
          <cell r="B1203">
            <v>1202</v>
          </cell>
          <cell r="C1203" t="str">
            <v>MW01/1</v>
          </cell>
          <cell r="D1203" t="str">
            <v>SPCC-SD</v>
          </cell>
          <cell r="E1203" t="str">
            <v>AF1</v>
          </cell>
          <cell r="F1203">
            <v>1</v>
          </cell>
          <cell r="G1203">
            <v>180</v>
          </cell>
          <cell r="H1203">
            <v>380</v>
          </cell>
          <cell r="I1203" t="str">
            <v>A</v>
          </cell>
          <cell r="K1203">
            <v>500</v>
          </cell>
          <cell r="L1203">
            <v>270</v>
          </cell>
          <cell r="M1203">
            <v>50128052</v>
          </cell>
          <cell r="N1203">
            <v>38841</v>
          </cell>
          <cell r="P1203" t="str">
            <v>FN6504N3M972301</v>
          </cell>
          <cell r="Q1203" t="str">
            <v>สภาพปกติ</v>
          </cell>
        </row>
        <row r="1204">
          <cell r="A1204">
            <v>50128511</v>
          </cell>
          <cell r="B1204">
            <v>1203</v>
          </cell>
          <cell r="C1204" t="str">
            <v>MW01/1</v>
          </cell>
          <cell r="D1204" t="str">
            <v>SPCC-SD</v>
          </cell>
          <cell r="E1204" t="str">
            <v>AF1</v>
          </cell>
          <cell r="F1204">
            <v>1</v>
          </cell>
          <cell r="G1204">
            <v>180</v>
          </cell>
          <cell r="H1204">
            <v>380</v>
          </cell>
          <cell r="I1204" t="str">
            <v>A</v>
          </cell>
          <cell r="K1204">
            <v>500</v>
          </cell>
          <cell r="L1204">
            <v>270</v>
          </cell>
          <cell r="M1204">
            <v>50128511</v>
          </cell>
          <cell r="N1204">
            <v>38843</v>
          </cell>
          <cell r="P1204" t="str">
            <v>FN65046N3M972302</v>
          </cell>
          <cell r="Q1204" t="str">
            <v>สภาพปกติ</v>
          </cell>
        </row>
        <row r="1205">
          <cell r="A1205">
            <v>50128512</v>
          </cell>
          <cell r="B1205">
            <v>1204</v>
          </cell>
          <cell r="C1205" t="str">
            <v>MW01/1</v>
          </cell>
          <cell r="D1205" t="str">
            <v>SPCC-SD</v>
          </cell>
          <cell r="E1205" t="str">
            <v>AF1</v>
          </cell>
          <cell r="F1205">
            <v>1</v>
          </cell>
          <cell r="G1205">
            <v>180</v>
          </cell>
          <cell r="H1205">
            <v>380</v>
          </cell>
          <cell r="I1205" t="str">
            <v>A</v>
          </cell>
          <cell r="K1205">
            <v>500</v>
          </cell>
          <cell r="L1205">
            <v>271</v>
          </cell>
          <cell r="M1205">
            <v>50128512</v>
          </cell>
          <cell r="N1205">
            <v>38843</v>
          </cell>
          <cell r="P1205" t="str">
            <v>FN65046N3M972303</v>
          </cell>
          <cell r="Q1205" t="str">
            <v>สภาพปกติ</v>
          </cell>
        </row>
        <row r="1206">
          <cell r="A1206">
            <v>50139856</v>
          </cell>
          <cell r="B1206">
            <v>1205</v>
          </cell>
          <cell r="C1206" t="str">
            <v>MW01/1</v>
          </cell>
          <cell r="D1206" t="str">
            <v>SPCC-SD</v>
          </cell>
          <cell r="E1206" t="str">
            <v>AF1</v>
          </cell>
          <cell r="F1206">
            <v>1</v>
          </cell>
          <cell r="G1206">
            <v>270</v>
          </cell>
          <cell r="H1206">
            <v>570</v>
          </cell>
          <cell r="I1206" t="str">
            <v>A</v>
          </cell>
          <cell r="K1206">
            <v>400</v>
          </cell>
          <cell r="L1206">
            <v>483</v>
          </cell>
          <cell r="M1206">
            <v>50139856</v>
          </cell>
          <cell r="N1206">
            <v>38954</v>
          </cell>
          <cell r="P1206" t="str">
            <v>FN6812N3M289401</v>
          </cell>
          <cell r="Q1206" t="str">
            <v>สภาพปกติ</v>
          </cell>
        </row>
        <row r="1207">
          <cell r="A1207">
            <v>50141000</v>
          </cell>
          <cell r="B1207">
            <v>1206</v>
          </cell>
          <cell r="C1207" t="str">
            <v>MW01/1</v>
          </cell>
          <cell r="D1207" t="str">
            <v>SPCC-SD</v>
          </cell>
          <cell r="E1207" t="str">
            <v>AF1</v>
          </cell>
          <cell r="F1207">
            <v>1</v>
          </cell>
          <cell r="G1207">
            <v>270</v>
          </cell>
          <cell r="H1207">
            <v>570</v>
          </cell>
          <cell r="I1207" t="str">
            <v>A</v>
          </cell>
          <cell r="K1207">
            <v>250</v>
          </cell>
          <cell r="L1207">
            <v>301</v>
          </cell>
          <cell r="M1207">
            <v>50141000</v>
          </cell>
          <cell r="N1207">
            <v>38954</v>
          </cell>
          <cell r="P1207" t="str">
            <v>FN6825N3M322401</v>
          </cell>
          <cell r="Q1207" t="str">
            <v>สภาพปกติ</v>
          </cell>
        </row>
        <row r="1208">
          <cell r="A1208">
            <v>50141027</v>
          </cell>
          <cell r="B1208">
            <v>1207</v>
          </cell>
          <cell r="C1208" t="str">
            <v>MW01/1</v>
          </cell>
          <cell r="D1208" t="str">
            <v>SPCC-SD</v>
          </cell>
          <cell r="E1208" t="str">
            <v>AF1</v>
          </cell>
          <cell r="F1208">
            <v>1</v>
          </cell>
          <cell r="G1208">
            <v>270</v>
          </cell>
          <cell r="H1208">
            <v>570</v>
          </cell>
          <cell r="I1208" t="str">
            <v>A</v>
          </cell>
          <cell r="K1208">
            <v>500</v>
          </cell>
          <cell r="L1208">
            <v>602</v>
          </cell>
          <cell r="M1208">
            <v>50141027</v>
          </cell>
          <cell r="N1208">
            <v>38954</v>
          </cell>
          <cell r="P1208" t="str">
            <v>FN6825N3M323504</v>
          </cell>
          <cell r="Q1208" t="str">
            <v>สภาพปกติ</v>
          </cell>
        </row>
        <row r="1209">
          <cell r="A1209">
            <v>50141028</v>
          </cell>
          <cell r="B1209">
            <v>1208</v>
          </cell>
          <cell r="C1209" t="str">
            <v>MW01/1</v>
          </cell>
          <cell r="D1209" t="str">
            <v>SPCC-SD</v>
          </cell>
          <cell r="E1209" t="str">
            <v>AF1</v>
          </cell>
          <cell r="F1209">
            <v>1</v>
          </cell>
          <cell r="G1209">
            <v>270</v>
          </cell>
          <cell r="H1209">
            <v>570</v>
          </cell>
          <cell r="I1209" t="str">
            <v>A</v>
          </cell>
          <cell r="K1209">
            <v>500</v>
          </cell>
          <cell r="L1209">
            <v>604</v>
          </cell>
          <cell r="M1209">
            <v>50141028</v>
          </cell>
          <cell r="N1209">
            <v>38954</v>
          </cell>
          <cell r="P1209" t="str">
            <v>FN6825N3M323503</v>
          </cell>
          <cell r="Q1209" t="str">
            <v>สภาพปกติ</v>
          </cell>
        </row>
        <row r="1210">
          <cell r="A1210">
            <v>50141045</v>
          </cell>
          <cell r="B1210">
            <v>1209</v>
          </cell>
          <cell r="C1210" t="str">
            <v>MW01/1</v>
          </cell>
          <cell r="D1210" t="str">
            <v>SPCC-SD</v>
          </cell>
          <cell r="E1210" t="str">
            <v>AF1</v>
          </cell>
          <cell r="F1210">
            <v>1</v>
          </cell>
          <cell r="G1210">
            <v>270</v>
          </cell>
          <cell r="H1210">
            <v>570</v>
          </cell>
          <cell r="I1210" t="str">
            <v>A</v>
          </cell>
          <cell r="K1210">
            <v>500</v>
          </cell>
          <cell r="L1210">
            <v>604</v>
          </cell>
          <cell r="M1210">
            <v>50141045</v>
          </cell>
          <cell r="N1210">
            <v>38954</v>
          </cell>
          <cell r="P1210" t="str">
            <v>FN6825D3M323502</v>
          </cell>
          <cell r="Q1210" t="str">
            <v>สภาพปกติ</v>
          </cell>
        </row>
        <row r="1211">
          <cell r="A1211">
            <v>50141046</v>
          </cell>
          <cell r="B1211">
            <v>1210</v>
          </cell>
          <cell r="C1211" t="str">
            <v>MW01/1</v>
          </cell>
          <cell r="D1211" t="str">
            <v>SPCC-SD</v>
          </cell>
          <cell r="E1211" t="str">
            <v>AF1</v>
          </cell>
          <cell r="F1211">
            <v>1</v>
          </cell>
          <cell r="G1211">
            <v>270</v>
          </cell>
          <cell r="H1211">
            <v>570</v>
          </cell>
          <cell r="I1211" t="str">
            <v>A</v>
          </cell>
          <cell r="K1211">
            <v>150</v>
          </cell>
          <cell r="L1211">
            <v>183</v>
          </cell>
          <cell r="M1211">
            <v>50141046</v>
          </cell>
          <cell r="N1211">
            <v>38954</v>
          </cell>
          <cell r="P1211" t="str">
            <v>FN6825D3M323501</v>
          </cell>
          <cell r="Q1211" t="str">
            <v>สภาพปกติ</v>
          </cell>
        </row>
        <row r="1212">
          <cell r="A1212">
            <v>50141047</v>
          </cell>
          <cell r="B1212">
            <v>1211</v>
          </cell>
          <cell r="C1212" t="str">
            <v>MW01/1</v>
          </cell>
          <cell r="D1212" t="str">
            <v>SPCC-SD</v>
          </cell>
          <cell r="E1212" t="str">
            <v>AF1</v>
          </cell>
          <cell r="F1212">
            <v>1</v>
          </cell>
          <cell r="G1212">
            <v>270</v>
          </cell>
          <cell r="H1212">
            <v>570</v>
          </cell>
          <cell r="I1212" t="str">
            <v>A</v>
          </cell>
          <cell r="K1212">
            <v>500</v>
          </cell>
          <cell r="L1212">
            <v>604</v>
          </cell>
          <cell r="M1212">
            <v>50141047</v>
          </cell>
          <cell r="N1212">
            <v>38954</v>
          </cell>
          <cell r="P1212" t="str">
            <v>FN6825D3M323402</v>
          </cell>
          <cell r="Q1212" t="str">
            <v>สภาพปกติ</v>
          </cell>
        </row>
        <row r="1213">
          <cell r="A1213">
            <v>50141048</v>
          </cell>
          <cell r="B1213">
            <v>1212</v>
          </cell>
          <cell r="C1213" t="str">
            <v>MW01/1</v>
          </cell>
          <cell r="D1213" t="str">
            <v>SPCC-SD</v>
          </cell>
          <cell r="E1213" t="str">
            <v>AF1</v>
          </cell>
          <cell r="F1213">
            <v>1</v>
          </cell>
          <cell r="G1213">
            <v>270</v>
          </cell>
          <cell r="H1213">
            <v>570</v>
          </cell>
          <cell r="I1213" t="str">
            <v>A</v>
          </cell>
          <cell r="K1213">
            <v>240</v>
          </cell>
          <cell r="L1213">
            <v>291</v>
          </cell>
          <cell r="M1213">
            <v>50141048</v>
          </cell>
          <cell r="N1213">
            <v>38954</v>
          </cell>
          <cell r="P1213" t="str">
            <v>FN6825D3M323401</v>
          </cell>
          <cell r="Q1213" t="str">
            <v>สภาพปกติ</v>
          </cell>
        </row>
        <row r="1214">
          <cell r="A1214">
            <v>50121690</v>
          </cell>
          <cell r="B1214">
            <v>1213</v>
          </cell>
          <cell r="C1214" t="str">
            <v>MW01/1</v>
          </cell>
          <cell r="D1214" t="str">
            <v>SPCC-SD</v>
          </cell>
          <cell r="E1214" t="str">
            <v>AF1</v>
          </cell>
          <cell r="F1214">
            <v>1</v>
          </cell>
          <cell r="G1214">
            <v>270</v>
          </cell>
          <cell r="H1214">
            <v>1450</v>
          </cell>
          <cell r="I1214" t="str">
            <v>A</v>
          </cell>
          <cell r="K1214">
            <v>300</v>
          </cell>
          <cell r="L1214">
            <v>921</v>
          </cell>
          <cell r="M1214">
            <v>50121690</v>
          </cell>
          <cell r="N1214">
            <v>38787</v>
          </cell>
          <cell r="P1214" t="str">
            <v>FN6311D3M833201</v>
          </cell>
          <cell r="Q1214" t="str">
            <v>สภาพปกติ</v>
          </cell>
        </row>
        <row r="1215">
          <cell r="A1215">
            <v>50121695</v>
          </cell>
          <cell r="B1215">
            <v>1214</v>
          </cell>
          <cell r="C1215" t="str">
            <v>MW01/1</v>
          </cell>
          <cell r="D1215" t="str">
            <v>SPCC-SD</v>
          </cell>
          <cell r="E1215" t="str">
            <v>AF1</v>
          </cell>
          <cell r="F1215">
            <v>1</v>
          </cell>
          <cell r="G1215">
            <v>270</v>
          </cell>
          <cell r="H1215">
            <v>1450</v>
          </cell>
          <cell r="I1215" t="str">
            <v>A</v>
          </cell>
          <cell r="K1215">
            <v>300</v>
          </cell>
          <cell r="L1215">
            <v>921</v>
          </cell>
          <cell r="M1215">
            <v>50121695</v>
          </cell>
          <cell r="N1215">
            <v>38787</v>
          </cell>
          <cell r="P1215" t="str">
            <v>FN6311D2R833202</v>
          </cell>
          <cell r="Q1215" t="str">
            <v>สภาพปกติ</v>
          </cell>
        </row>
        <row r="1216">
          <cell r="A1216">
            <v>50125323</v>
          </cell>
          <cell r="B1216">
            <v>1215</v>
          </cell>
          <cell r="C1216" t="str">
            <v>MW01/1</v>
          </cell>
          <cell r="D1216" t="str">
            <v>SPCC-SD</v>
          </cell>
          <cell r="E1216" t="str">
            <v>AF1</v>
          </cell>
          <cell r="F1216">
            <v>1</v>
          </cell>
          <cell r="G1216">
            <v>280</v>
          </cell>
          <cell r="H1216">
            <v>1100</v>
          </cell>
          <cell r="I1216" t="str">
            <v>A</v>
          </cell>
          <cell r="K1216">
            <v>200</v>
          </cell>
          <cell r="L1216">
            <v>483</v>
          </cell>
          <cell r="M1216">
            <v>50125323</v>
          </cell>
          <cell r="N1216">
            <v>38810</v>
          </cell>
          <cell r="P1216" t="str">
            <v>FN6403D1RSSSS01</v>
          </cell>
          <cell r="Q1216" t="str">
            <v>แผ่นรองและสายรัดเป็นสนิม</v>
          </cell>
        </row>
        <row r="1217">
          <cell r="A1217">
            <v>50131672</v>
          </cell>
          <cell r="B1217">
            <v>1216</v>
          </cell>
          <cell r="C1217" t="str">
            <v>MW01/1</v>
          </cell>
          <cell r="D1217" t="str">
            <v>SPCC-SD</v>
          </cell>
          <cell r="E1217" t="str">
            <v>AF1</v>
          </cell>
          <cell r="F1217">
            <v>1</v>
          </cell>
          <cell r="G1217">
            <v>295</v>
          </cell>
          <cell r="H1217">
            <v>415</v>
          </cell>
          <cell r="I1217" t="str">
            <v>A</v>
          </cell>
          <cell r="K1217">
            <v>240</v>
          </cell>
          <cell r="L1217">
            <v>230</v>
          </cell>
          <cell r="M1217">
            <v>50131672</v>
          </cell>
          <cell r="N1217">
            <v>38871</v>
          </cell>
          <cell r="P1217" t="str">
            <v>FN6603D1M075001</v>
          </cell>
          <cell r="Q1217" t="str">
            <v>แผ่นรองและสายรัดเป็นสนิม</v>
          </cell>
        </row>
        <row r="1218">
          <cell r="A1218">
            <v>50138128</v>
          </cell>
          <cell r="B1218">
            <v>1217</v>
          </cell>
          <cell r="C1218" t="str">
            <v>MW01/1</v>
          </cell>
          <cell r="D1218" t="str">
            <v>SPCC-SD</v>
          </cell>
          <cell r="E1218" t="str">
            <v>AF1</v>
          </cell>
          <cell r="F1218">
            <v>1</v>
          </cell>
          <cell r="G1218">
            <v>390</v>
          </cell>
          <cell r="H1218">
            <v>390</v>
          </cell>
          <cell r="I1218" t="str">
            <v>A</v>
          </cell>
          <cell r="K1218">
            <v>75</v>
          </cell>
          <cell r="L1218">
            <v>91</v>
          </cell>
          <cell r="M1218">
            <v>50138128</v>
          </cell>
          <cell r="N1218">
            <v>38926</v>
          </cell>
          <cell r="P1218" t="str">
            <v>FN6728D3R246501</v>
          </cell>
          <cell r="Q1218" t="str">
            <v>แผ่นรองและสายรัดเป็นสนิม</v>
          </cell>
        </row>
        <row r="1219">
          <cell r="A1219">
            <v>50140912</v>
          </cell>
          <cell r="B1219">
            <v>1218</v>
          </cell>
          <cell r="C1219" t="str">
            <v>MW01/1</v>
          </cell>
          <cell r="D1219" t="str">
            <v>SPCC-SD</v>
          </cell>
          <cell r="E1219" t="str">
            <v>AF1</v>
          </cell>
          <cell r="F1219">
            <v>1.2</v>
          </cell>
          <cell r="G1219">
            <v>79</v>
          </cell>
          <cell r="H1219">
            <v>378</v>
          </cell>
          <cell r="I1219" t="str">
            <v>A</v>
          </cell>
          <cell r="K1219">
            <v>1092</v>
          </cell>
          <cell r="L1219">
            <v>304</v>
          </cell>
          <cell r="M1219">
            <v>50140912</v>
          </cell>
          <cell r="N1219">
            <v>38953</v>
          </cell>
          <cell r="P1219" t="str">
            <v>FN6824D3R309401</v>
          </cell>
          <cell r="Q1219" t="str">
            <v>สภาพปกติ</v>
          </cell>
        </row>
        <row r="1220">
          <cell r="A1220">
            <v>50140913</v>
          </cell>
          <cell r="B1220">
            <v>1219</v>
          </cell>
          <cell r="C1220" t="str">
            <v>MW01/1</v>
          </cell>
          <cell r="D1220" t="str">
            <v>SPCC-SD</v>
          </cell>
          <cell r="E1220" t="str">
            <v>AF1</v>
          </cell>
          <cell r="F1220">
            <v>1.2</v>
          </cell>
          <cell r="G1220">
            <v>87</v>
          </cell>
          <cell r="H1220">
            <v>378</v>
          </cell>
          <cell r="I1220" t="str">
            <v>A</v>
          </cell>
          <cell r="K1220">
            <v>992</v>
          </cell>
          <cell r="L1220">
            <v>305</v>
          </cell>
          <cell r="M1220">
            <v>50140913</v>
          </cell>
          <cell r="N1220">
            <v>38953</v>
          </cell>
          <cell r="P1220" t="str">
            <v>FN6824D3R309401</v>
          </cell>
          <cell r="Q1220" t="str">
            <v>สภาพปกติ</v>
          </cell>
        </row>
        <row r="1221">
          <cell r="A1221">
            <v>50141400</v>
          </cell>
          <cell r="B1221">
            <v>1220</v>
          </cell>
          <cell r="C1221" t="str">
            <v>MW01/1</v>
          </cell>
          <cell r="D1221" t="str">
            <v>SPCC-SD</v>
          </cell>
          <cell r="E1221" t="str">
            <v>AF1</v>
          </cell>
          <cell r="F1221">
            <v>1.2</v>
          </cell>
          <cell r="G1221">
            <v>130</v>
          </cell>
          <cell r="H1221">
            <v>150</v>
          </cell>
          <cell r="I1221" t="str">
            <v>A</v>
          </cell>
          <cell r="K1221">
            <v>2000</v>
          </cell>
          <cell r="L1221">
            <v>368</v>
          </cell>
          <cell r="M1221">
            <v>50141400</v>
          </cell>
          <cell r="N1221">
            <v>38959</v>
          </cell>
          <cell r="P1221" t="str">
            <v>FN6830D1M327001</v>
          </cell>
          <cell r="Q1221" t="str">
            <v>สภาพปกติ</v>
          </cell>
        </row>
        <row r="1222">
          <cell r="A1222">
            <v>50141401</v>
          </cell>
          <cell r="B1222">
            <v>1221</v>
          </cell>
          <cell r="C1222" t="str">
            <v>MW01/1</v>
          </cell>
          <cell r="D1222" t="str">
            <v>SPCC-SD</v>
          </cell>
          <cell r="E1222" t="str">
            <v>AF1</v>
          </cell>
          <cell r="F1222">
            <v>1.2</v>
          </cell>
          <cell r="G1222">
            <v>130</v>
          </cell>
          <cell r="H1222">
            <v>150</v>
          </cell>
          <cell r="I1222" t="str">
            <v>A</v>
          </cell>
          <cell r="K1222">
            <v>2000</v>
          </cell>
          <cell r="L1222">
            <v>370</v>
          </cell>
          <cell r="M1222">
            <v>50141401</v>
          </cell>
          <cell r="N1222">
            <v>38959</v>
          </cell>
          <cell r="P1222" t="str">
            <v>FN6830D1M327002</v>
          </cell>
          <cell r="Q1222" t="str">
            <v>สภาพปกติ</v>
          </cell>
        </row>
        <row r="1223">
          <cell r="A1223">
            <v>50141402</v>
          </cell>
          <cell r="B1223">
            <v>1222</v>
          </cell>
          <cell r="C1223" t="str">
            <v>MW01/1</v>
          </cell>
          <cell r="D1223" t="str">
            <v>SPCC-SD</v>
          </cell>
          <cell r="E1223" t="str">
            <v>AF1</v>
          </cell>
          <cell r="F1223">
            <v>1.2</v>
          </cell>
          <cell r="G1223">
            <v>130</v>
          </cell>
          <cell r="H1223">
            <v>150</v>
          </cell>
          <cell r="I1223" t="str">
            <v>A</v>
          </cell>
          <cell r="K1223">
            <v>2000</v>
          </cell>
          <cell r="L1223">
            <v>368</v>
          </cell>
          <cell r="M1223">
            <v>50141402</v>
          </cell>
          <cell r="N1223">
            <v>38959</v>
          </cell>
          <cell r="P1223" t="str">
            <v>FN6830D1M327003</v>
          </cell>
          <cell r="Q1223" t="str">
            <v>สภาพปกติ</v>
          </cell>
        </row>
        <row r="1224">
          <cell r="A1224">
            <v>50141419</v>
          </cell>
          <cell r="B1224">
            <v>1223</v>
          </cell>
          <cell r="C1224" t="str">
            <v>MW01/1</v>
          </cell>
          <cell r="D1224" t="str">
            <v>SPCC-SD</v>
          </cell>
          <cell r="E1224" t="str">
            <v>AF1</v>
          </cell>
          <cell r="F1224">
            <v>1.2</v>
          </cell>
          <cell r="G1224">
            <v>130</v>
          </cell>
          <cell r="H1224">
            <v>150</v>
          </cell>
          <cell r="I1224" t="str">
            <v>A</v>
          </cell>
          <cell r="K1224">
            <v>2217</v>
          </cell>
          <cell r="L1224">
            <v>407</v>
          </cell>
          <cell r="M1224">
            <v>50141419</v>
          </cell>
          <cell r="N1224">
            <v>38959</v>
          </cell>
          <cell r="P1224" t="str">
            <v>FN6830D1M327004</v>
          </cell>
          <cell r="Q1224" t="str">
            <v>สภาพปกติ</v>
          </cell>
        </row>
        <row r="1225">
          <cell r="A1225">
            <v>50113992</v>
          </cell>
          <cell r="B1225">
            <v>1224</v>
          </cell>
          <cell r="C1225" t="str">
            <v>MW01/1</v>
          </cell>
          <cell r="D1225" t="str">
            <v>SPCC-SD</v>
          </cell>
          <cell r="E1225" t="str">
            <v>AF1</v>
          </cell>
          <cell r="F1225">
            <v>1.2</v>
          </cell>
          <cell r="G1225">
            <v>140</v>
          </cell>
          <cell r="H1225">
            <v>150</v>
          </cell>
          <cell r="I1225" t="str">
            <v>A</v>
          </cell>
          <cell r="K1225">
            <v>1000</v>
          </cell>
          <cell r="L1225">
            <v>200</v>
          </cell>
          <cell r="M1225">
            <v>50113992</v>
          </cell>
          <cell r="N1225">
            <v>38733</v>
          </cell>
          <cell r="P1225" t="str">
            <v>FN6116D1M643801</v>
          </cell>
          <cell r="Q1225" t="str">
            <v>แผ่นรองและสายรัดเป็นสนิม</v>
          </cell>
        </row>
        <row r="1226">
          <cell r="A1226">
            <v>50128694</v>
          </cell>
          <cell r="B1226">
            <v>1225</v>
          </cell>
          <cell r="C1226" t="str">
            <v>MW01/1</v>
          </cell>
          <cell r="D1226" t="str">
            <v>SPCC-SD</v>
          </cell>
          <cell r="E1226" t="str">
            <v>AF1</v>
          </cell>
          <cell r="F1226">
            <v>1.2</v>
          </cell>
          <cell r="G1226">
            <v>150</v>
          </cell>
          <cell r="H1226">
            <v>695</v>
          </cell>
          <cell r="I1226" t="str">
            <v>A</v>
          </cell>
          <cell r="K1226">
            <v>600</v>
          </cell>
          <cell r="L1226">
            <v>589</v>
          </cell>
          <cell r="M1226">
            <v>50128694</v>
          </cell>
          <cell r="N1226">
            <v>38846</v>
          </cell>
          <cell r="P1226" t="str">
            <v>FN6509D1RSSSS01</v>
          </cell>
          <cell r="Q1226" t="str">
            <v>แผ่นรองและสายรัดเป็นสนิม</v>
          </cell>
        </row>
        <row r="1227">
          <cell r="A1227">
            <v>50129589</v>
          </cell>
          <cell r="B1227">
            <v>1226</v>
          </cell>
          <cell r="C1227" t="str">
            <v>MW01/1</v>
          </cell>
          <cell r="D1227" t="str">
            <v>SPCC-SD</v>
          </cell>
          <cell r="E1227" t="str">
            <v>AF1</v>
          </cell>
          <cell r="F1227">
            <v>1.2</v>
          </cell>
          <cell r="G1227">
            <v>150</v>
          </cell>
          <cell r="H1227">
            <v>695</v>
          </cell>
          <cell r="I1227" t="str">
            <v>A</v>
          </cell>
          <cell r="K1227">
            <v>600</v>
          </cell>
          <cell r="L1227">
            <v>588</v>
          </cell>
          <cell r="M1227">
            <v>50129589</v>
          </cell>
          <cell r="N1227">
            <v>38855</v>
          </cell>
          <cell r="P1227" t="str">
            <v>FN6518D2M013301</v>
          </cell>
          <cell r="Q1227" t="str">
            <v>แผ่นรองและสายรัดเป็นสนิม</v>
          </cell>
        </row>
        <row r="1228">
          <cell r="A1228">
            <v>50133587</v>
          </cell>
          <cell r="B1228">
            <v>1227</v>
          </cell>
          <cell r="C1228" t="str">
            <v>MW01/1</v>
          </cell>
          <cell r="D1228" t="str">
            <v>SPCC-SD</v>
          </cell>
          <cell r="E1228" t="str">
            <v>AF1</v>
          </cell>
          <cell r="F1228">
            <v>1.2</v>
          </cell>
          <cell r="G1228">
            <v>150</v>
          </cell>
          <cell r="H1228">
            <v>695</v>
          </cell>
          <cell r="I1228" t="str">
            <v>A</v>
          </cell>
          <cell r="K1228">
            <v>600</v>
          </cell>
          <cell r="L1228">
            <v>588</v>
          </cell>
          <cell r="M1228">
            <v>50133587</v>
          </cell>
          <cell r="N1228">
            <v>38885</v>
          </cell>
          <cell r="P1228" t="str">
            <v>FN6617D2M102601</v>
          </cell>
          <cell r="Q1228" t="str">
            <v>แผ่นรองและสายรัดเป็นสนิม</v>
          </cell>
        </row>
        <row r="1229">
          <cell r="A1229">
            <v>50133608</v>
          </cell>
          <cell r="B1229">
            <v>1228</v>
          </cell>
          <cell r="C1229" t="str">
            <v>MW01/1</v>
          </cell>
          <cell r="D1229" t="str">
            <v>SPCC-SD</v>
          </cell>
          <cell r="E1229" t="str">
            <v>AF1</v>
          </cell>
          <cell r="F1229">
            <v>1.2</v>
          </cell>
          <cell r="G1229">
            <v>150</v>
          </cell>
          <cell r="H1229">
            <v>695</v>
          </cell>
          <cell r="I1229" t="str">
            <v>A</v>
          </cell>
          <cell r="K1229">
            <v>600</v>
          </cell>
          <cell r="L1229">
            <v>588</v>
          </cell>
          <cell r="M1229">
            <v>50133608</v>
          </cell>
          <cell r="N1229">
            <v>38885</v>
          </cell>
          <cell r="P1229" t="str">
            <v>FN6617D2M102602</v>
          </cell>
          <cell r="Q1229" t="str">
            <v>แผ่นรองและสายรัดเป็นสนิม</v>
          </cell>
        </row>
        <row r="1230">
          <cell r="A1230">
            <v>50117670</v>
          </cell>
          <cell r="B1230">
            <v>1229</v>
          </cell>
          <cell r="C1230" t="str">
            <v>MW01/1</v>
          </cell>
          <cell r="D1230" t="str">
            <v>SPCC-SD</v>
          </cell>
          <cell r="E1230" t="str">
            <v>AF1</v>
          </cell>
          <cell r="F1230">
            <v>1.2</v>
          </cell>
          <cell r="G1230">
            <v>155</v>
          </cell>
          <cell r="H1230">
            <v>1219</v>
          </cell>
          <cell r="I1230" t="str">
            <v>A</v>
          </cell>
          <cell r="K1230">
            <v>53</v>
          </cell>
          <cell r="L1230">
            <v>94</v>
          </cell>
          <cell r="M1230">
            <v>50117670</v>
          </cell>
          <cell r="N1230">
            <v>38763</v>
          </cell>
          <cell r="P1230" t="str">
            <v>FN6215D1M738201</v>
          </cell>
          <cell r="Q1230" t="str">
            <v>แผ่นรองและสายรัดเป็นสนิม</v>
          </cell>
        </row>
        <row r="1231">
          <cell r="A1231">
            <v>50132324</v>
          </cell>
          <cell r="B1231">
            <v>1230</v>
          </cell>
          <cell r="C1231" t="str">
            <v>MW01/1</v>
          </cell>
          <cell r="D1231" t="str">
            <v>SPCC-SD</v>
          </cell>
          <cell r="E1231" t="str">
            <v>AF1</v>
          </cell>
          <cell r="F1231">
            <v>1.2</v>
          </cell>
          <cell r="G1231">
            <v>380</v>
          </cell>
          <cell r="H1231">
            <v>400</v>
          </cell>
          <cell r="I1231" t="str">
            <v>A</v>
          </cell>
          <cell r="K1231">
            <v>500</v>
          </cell>
          <cell r="L1231">
            <v>713</v>
          </cell>
          <cell r="M1231">
            <v>50132324</v>
          </cell>
          <cell r="N1231">
            <v>38875</v>
          </cell>
          <cell r="P1231" t="str">
            <v>FN6607D2M018401</v>
          </cell>
          <cell r="Q1231" t="str">
            <v>แผ่นรองและสายรัดเป็นสนิม</v>
          </cell>
        </row>
        <row r="1232">
          <cell r="A1232">
            <v>50121567</v>
          </cell>
          <cell r="B1232">
            <v>1231</v>
          </cell>
          <cell r="C1232" t="str">
            <v>MW01/1</v>
          </cell>
          <cell r="D1232" t="str">
            <v>SPCC-SD</v>
          </cell>
          <cell r="E1232" t="str">
            <v>AF1</v>
          </cell>
          <cell r="F1232">
            <v>1.2</v>
          </cell>
          <cell r="G1232">
            <v>388</v>
          </cell>
          <cell r="H1232">
            <v>1160</v>
          </cell>
          <cell r="I1232" t="str">
            <v>A</v>
          </cell>
          <cell r="K1232">
            <v>28</v>
          </cell>
          <cell r="L1232">
            <v>119</v>
          </cell>
          <cell r="M1232">
            <v>50121567</v>
          </cell>
          <cell r="N1232">
            <v>38786</v>
          </cell>
          <cell r="P1232" t="str">
            <v>FN6310D1R823601</v>
          </cell>
          <cell r="Q1232" t="str">
            <v>แผ่นรองและสายรัดเป็นสนิม</v>
          </cell>
        </row>
        <row r="1233">
          <cell r="A1233">
            <v>50140914</v>
          </cell>
          <cell r="B1233">
            <v>1232</v>
          </cell>
          <cell r="C1233" t="str">
            <v>MW01/1</v>
          </cell>
          <cell r="D1233" t="str">
            <v>SPCC-SD</v>
          </cell>
          <cell r="E1233" t="str">
            <v>AF1</v>
          </cell>
          <cell r="F1233">
            <v>1.6</v>
          </cell>
          <cell r="G1233">
            <v>129</v>
          </cell>
          <cell r="H1233">
            <v>443</v>
          </cell>
          <cell r="I1233" t="str">
            <v>A</v>
          </cell>
          <cell r="K1233">
            <v>844</v>
          </cell>
          <cell r="L1233">
            <v>602</v>
          </cell>
          <cell r="M1233">
            <v>50140914</v>
          </cell>
          <cell r="N1233">
            <v>38953</v>
          </cell>
          <cell r="P1233" t="str">
            <v>FN6824D3R309401</v>
          </cell>
          <cell r="Q1233" t="str">
            <v>สภาพปกติ</v>
          </cell>
        </row>
        <row r="1234">
          <cell r="A1234">
            <v>50141459</v>
          </cell>
          <cell r="B1234">
            <v>1233</v>
          </cell>
          <cell r="C1234" t="str">
            <v>MW01/1</v>
          </cell>
          <cell r="D1234" t="str">
            <v>SPCC-SD</v>
          </cell>
          <cell r="E1234" t="str">
            <v>AF1</v>
          </cell>
          <cell r="F1234">
            <v>1.6</v>
          </cell>
          <cell r="G1234">
            <v>157</v>
          </cell>
          <cell r="H1234">
            <v>166</v>
          </cell>
          <cell r="I1234" t="str">
            <v>A</v>
          </cell>
          <cell r="K1234">
            <v>1000</v>
          </cell>
          <cell r="L1234">
            <v>328</v>
          </cell>
          <cell r="M1234">
            <v>50141459</v>
          </cell>
          <cell r="N1234">
            <v>38960</v>
          </cell>
          <cell r="P1234" t="str">
            <v>FN6831D1M313301</v>
          </cell>
          <cell r="Q1234" t="str">
            <v>สภาพปกติ</v>
          </cell>
        </row>
        <row r="1235">
          <cell r="A1235">
            <v>50093390</v>
          </cell>
          <cell r="B1235">
            <v>1234</v>
          </cell>
          <cell r="C1235" t="str">
            <v>MW01/1</v>
          </cell>
          <cell r="D1235" t="str">
            <v>SPCC-SD</v>
          </cell>
          <cell r="E1235" t="str">
            <v>AF1</v>
          </cell>
          <cell r="F1235">
            <v>1.6</v>
          </cell>
          <cell r="G1235">
            <v>587</v>
          </cell>
          <cell r="H1235">
            <v>1219</v>
          </cell>
          <cell r="I1235" t="str">
            <v>A</v>
          </cell>
          <cell r="K1235">
            <v>100</v>
          </cell>
          <cell r="L1235">
            <v>899</v>
          </cell>
          <cell r="M1235">
            <v>50093390</v>
          </cell>
          <cell r="N1235">
            <v>38568</v>
          </cell>
          <cell r="O1235" t="str">
            <v>125718TCD003</v>
          </cell>
          <cell r="P1235" t="str">
            <v>FN5804N3M191701</v>
          </cell>
          <cell r="Q1235" t="str">
            <v>แผ่นรองและสายรัดเป็นสนิม</v>
          </cell>
        </row>
        <row r="1236">
          <cell r="A1236">
            <v>50094422</v>
          </cell>
          <cell r="B1236">
            <v>1235</v>
          </cell>
          <cell r="C1236" t="str">
            <v>MW01/1</v>
          </cell>
          <cell r="D1236" t="str">
            <v>SPCC-SD</v>
          </cell>
          <cell r="E1236" t="str">
            <v>AF1</v>
          </cell>
          <cell r="F1236">
            <v>2.2999999999999998</v>
          </cell>
          <cell r="G1236">
            <v>58</v>
          </cell>
          <cell r="H1236">
            <v>1219</v>
          </cell>
          <cell r="I1236" t="str">
            <v>A</v>
          </cell>
          <cell r="K1236">
            <v>33</v>
          </cell>
          <cell r="L1236">
            <v>42</v>
          </cell>
          <cell r="M1236">
            <v>50094422</v>
          </cell>
          <cell r="N1236">
            <v>38574</v>
          </cell>
          <cell r="P1236" t="str">
            <v>FN5810D1R210201</v>
          </cell>
          <cell r="Q1236" t="str">
            <v>สภาพปกติ</v>
          </cell>
        </row>
        <row r="1237">
          <cell r="A1237">
            <v>50113019</v>
          </cell>
          <cell r="B1237">
            <v>1236</v>
          </cell>
          <cell r="C1237" t="str">
            <v>MW01/1</v>
          </cell>
          <cell r="D1237" t="str">
            <v>SPCC-SD</v>
          </cell>
          <cell r="E1237" t="str">
            <v>AF1</v>
          </cell>
          <cell r="F1237">
            <v>3</v>
          </cell>
          <cell r="G1237">
            <v>90.1</v>
          </cell>
          <cell r="H1237">
            <v>845</v>
          </cell>
          <cell r="I1237" t="str">
            <v>A</v>
          </cell>
          <cell r="K1237">
            <v>100</v>
          </cell>
          <cell r="L1237">
            <v>182</v>
          </cell>
          <cell r="M1237">
            <v>50113019</v>
          </cell>
          <cell r="N1237">
            <v>38725</v>
          </cell>
          <cell r="P1237" t="str">
            <v>FN6108D1M609001</v>
          </cell>
          <cell r="Q1237" t="str">
            <v>แผ่นรองและสายรัดเป็นสนิม</v>
          </cell>
        </row>
        <row r="1238">
          <cell r="A1238">
            <v>50104554</v>
          </cell>
          <cell r="B1238">
            <v>1237</v>
          </cell>
          <cell r="C1238" t="str">
            <v>MW01/1</v>
          </cell>
          <cell r="D1238" t="str">
            <v>SPCC-SD</v>
          </cell>
          <cell r="E1238" t="str">
            <v>AF1</v>
          </cell>
          <cell r="F1238">
            <v>3</v>
          </cell>
          <cell r="G1238">
            <v>268.7</v>
          </cell>
          <cell r="H1238">
            <v>124</v>
          </cell>
          <cell r="I1238" t="str">
            <v>A</v>
          </cell>
          <cell r="K1238">
            <v>100</v>
          </cell>
          <cell r="L1238">
            <v>789</v>
          </cell>
          <cell r="M1238">
            <v>50104554</v>
          </cell>
          <cell r="N1238" t="str">
            <v>1/B/2005</v>
          </cell>
          <cell r="P1238" t="str">
            <v>FN5B01N2M414501</v>
          </cell>
          <cell r="Q1238" t="str">
            <v>แผ่นรองและสายรัดเป็นสนิม</v>
          </cell>
        </row>
        <row r="1239">
          <cell r="A1239">
            <v>50111339</v>
          </cell>
          <cell r="B1239">
            <v>1238</v>
          </cell>
          <cell r="C1239" t="str">
            <v>MW01/1</v>
          </cell>
          <cell r="D1239" t="str">
            <v>SPCC-SD</v>
          </cell>
          <cell r="E1239" t="str">
            <v>AF1</v>
          </cell>
          <cell r="F1239">
            <v>3.2</v>
          </cell>
          <cell r="G1239">
            <v>365</v>
          </cell>
          <cell r="H1239">
            <v>395</v>
          </cell>
          <cell r="I1239" t="str">
            <v>A</v>
          </cell>
          <cell r="K1239">
            <v>200</v>
          </cell>
          <cell r="L1239">
            <v>724</v>
          </cell>
          <cell r="M1239">
            <v>50111339</v>
          </cell>
          <cell r="N1239" t="str">
            <v>21/B/2005</v>
          </cell>
          <cell r="P1239" t="str">
            <v>FN5B21D2M593401</v>
          </cell>
          <cell r="Q1239" t="str">
            <v>แผ่นรองและสายรัดเป็นสนิม</v>
          </cell>
        </row>
        <row r="1240">
          <cell r="A1240">
            <v>50111341</v>
          </cell>
          <cell r="B1240">
            <v>1239</v>
          </cell>
          <cell r="C1240" t="str">
            <v>MW01/1</v>
          </cell>
          <cell r="D1240" t="str">
            <v>SPCC-SD</v>
          </cell>
          <cell r="E1240" t="str">
            <v>AF1</v>
          </cell>
          <cell r="F1240">
            <v>3.2</v>
          </cell>
          <cell r="G1240">
            <v>365</v>
          </cell>
          <cell r="H1240">
            <v>395</v>
          </cell>
          <cell r="I1240" t="str">
            <v>A</v>
          </cell>
          <cell r="K1240">
            <v>200</v>
          </cell>
          <cell r="L1240">
            <v>724</v>
          </cell>
          <cell r="M1240">
            <v>50111341</v>
          </cell>
          <cell r="N1240" t="str">
            <v>21/B/2005</v>
          </cell>
          <cell r="P1240" t="str">
            <v>FN5B21D2M593402</v>
          </cell>
          <cell r="Q1240" t="str">
            <v>แผ่นรองและสายรัดเป็นสนิม</v>
          </cell>
        </row>
        <row r="1241">
          <cell r="A1241">
            <v>50129779</v>
          </cell>
          <cell r="B1241">
            <v>1240</v>
          </cell>
          <cell r="C1241" t="str">
            <v>MW01/1</v>
          </cell>
          <cell r="D1241" t="str">
            <v>SPCEN-SD</v>
          </cell>
          <cell r="E1241" t="str">
            <v>AF3</v>
          </cell>
          <cell r="F1241">
            <v>0.8</v>
          </cell>
          <cell r="G1241">
            <v>230</v>
          </cell>
          <cell r="H1241">
            <v>230</v>
          </cell>
          <cell r="I1241" t="str">
            <v>A</v>
          </cell>
          <cell r="K1241">
            <v>1500</v>
          </cell>
          <cell r="L1241">
            <v>497</v>
          </cell>
          <cell r="M1241">
            <v>50129779</v>
          </cell>
          <cell r="N1241">
            <v>38857</v>
          </cell>
          <cell r="O1241" t="str">
            <v>125810SUD004</v>
          </cell>
          <cell r="P1241" t="str">
            <v>FN6520D1M026001</v>
          </cell>
          <cell r="Q1241" t="str">
            <v>แผ่นรองและสายรัดเป็นสนิม</v>
          </cell>
        </row>
        <row r="1242">
          <cell r="A1242">
            <v>50140380</v>
          </cell>
          <cell r="B1242">
            <v>1241</v>
          </cell>
          <cell r="C1242" t="str">
            <v>MW01/1</v>
          </cell>
          <cell r="D1242" t="str">
            <v>SPCEN-SD</v>
          </cell>
          <cell r="E1242" t="str">
            <v>AF3</v>
          </cell>
          <cell r="F1242">
            <v>1</v>
          </cell>
          <cell r="G1242">
            <v>342</v>
          </cell>
          <cell r="H1242">
            <v>342</v>
          </cell>
          <cell r="I1242" t="str">
            <v>A</v>
          </cell>
          <cell r="K1242">
            <v>86</v>
          </cell>
          <cell r="L1242">
            <v>79</v>
          </cell>
          <cell r="M1242">
            <v>50140380</v>
          </cell>
          <cell r="N1242">
            <v>38948</v>
          </cell>
          <cell r="P1242" t="str">
            <v>FN6819D1M299501</v>
          </cell>
          <cell r="Q1242" t="str">
            <v>สภาพปกติ</v>
          </cell>
        </row>
        <row r="1243">
          <cell r="A1243">
            <v>50126559</v>
          </cell>
          <cell r="B1243">
            <v>1242</v>
          </cell>
          <cell r="C1243" t="str">
            <v>MW01/1</v>
          </cell>
          <cell r="D1243" t="str">
            <v>SPCEN-SD</v>
          </cell>
          <cell r="E1243" t="str">
            <v>AF3</v>
          </cell>
          <cell r="F1243">
            <v>1.2</v>
          </cell>
          <cell r="G1243">
            <v>415</v>
          </cell>
          <cell r="H1243">
            <v>1219</v>
          </cell>
          <cell r="I1243" t="str">
            <v>A</v>
          </cell>
          <cell r="K1243">
            <v>134</v>
          </cell>
          <cell r="L1243">
            <v>640</v>
          </cell>
          <cell r="M1243">
            <v>50126559</v>
          </cell>
          <cell r="N1243">
            <v>38827</v>
          </cell>
          <cell r="P1243" t="str">
            <v>FN6420D3R947001</v>
          </cell>
          <cell r="Q1243" t="str">
            <v>แผ่นรองและสายรัดเป็นสนิม</v>
          </cell>
        </row>
        <row r="1244">
          <cell r="A1244">
            <v>50138010</v>
          </cell>
          <cell r="B1244">
            <v>1243</v>
          </cell>
          <cell r="C1244" t="str">
            <v>MW01/1</v>
          </cell>
          <cell r="D1244" t="str">
            <v>SPCEN-SD</v>
          </cell>
          <cell r="E1244" t="str">
            <v>AF3</v>
          </cell>
          <cell r="F1244">
            <v>2</v>
          </cell>
          <cell r="G1244">
            <v>148</v>
          </cell>
          <cell r="H1244">
            <v>1219</v>
          </cell>
          <cell r="I1244" t="str">
            <v>A</v>
          </cell>
          <cell r="K1244">
            <v>92</v>
          </cell>
          <cell r="L1244">
            <v>259</v>
          </cell>
          <cell r="M1244">
            <v>50138010</v>
          </cell>
          <cell r="N1244">
            <v>38925</v>
          </cell>
          <cell r="P1244" t="str">
            <v>FN6727D3RQQQQ01</v>
          </cell>
          <cell r="Q1244" t="str">
            <v>แผ่นรองและสายรัดเป็นสนิม</v>
          </cell>
        </row>
        <row r="1245">
          <cell r="A1245">
            <v>50121951</v>
          </cell>
          <cell r="B1245">
            <v>1244</v>
          </cell>
          <cell r="C1245" t="str">
            <v>MW01/1</v>
          </cell>
          <cell r="D1245" t="str">
            <v>SPHC P/O</v>
          </cell>
          <cell r="E1245" t="str">
            <v>CA1</v>
          </cell>
          <cell r="F1245">
            <v>3.2</v>
          </cell>
          <cell r="G1245">
            <v>150</v>
          </cell>
          <cell r="H1245">
            <v>1219</v>
          </cell>
          <cell r="I1245" t="str">
            <v>A</v>
          </cell>
          <cell r="K1245">
            <v>68</v>
          </cell>
          <cell r="L1245">
            <v>311</v>
          </cell>
          <cell r="M1245">
            <v>50121951</v>
          </cell>
          <cell r="N1245">
            <v>38789</v>
          </cell>
          <cell r="P1245" t="str">
            <v>FN6313D3R788401</v>
          </cell>
          <cell r="Q1245" t="str">
            <v>แผ่นรองและสายรัดเป็นสนิม</v>
          </cell>
        </row>
        <row r="1246">
          <cell r="A1246">
            <v>50140106</v>
          </cell>
          <cell r="B1246">
            <v>1245</v>
          </cell>
          <cell r="C1246" t="str">
            <v>MW01/1</v>
          </cell>
          <cell r="D1246" t="str">
            <v>SPHC P/O</v>
          </cell>
          <cell r="E1246" t="str">
            <v>CA1</v>
          </cell>
          <cell r="F1246">
            <v>3.2</v>
          </cell>
          <cell r="G1246">
            <v>168</v>
          </cell>
          <cell r="H1246">
            <v>1130</v>
          </cell>
          <cell r="I1246" t="str">
            <v>A</v>
          </cell>
          <cell r="K1246">
            <v>200</v>
          </cell>
          <cell r="L1246">
            <v>954</v>
          </cell>
          <cell r="M1246">
            <v>50140106</v>
          </cell>
          <cell r="N1246">
            <v>38946</v>
          </cell>
          <cell r="P1246" t="str">
            <v>FN6817N2M300401</v>
          </cell>
          <cell r="Q1246" t="str">
            <v>สภาพปกติ</v>
          </cell>
        </row>
        <row r="1247">
          <cell r="A1247">
            <v>50140142</v>
          </cell>
          <cell r="B1247">
            <v>1246</v>
          </cell>
          <cell r="C1247" t="str">
            <v>MW01/1</v>
          </cell>
          <cell r="D1247" t="str">
            <v>SPHC P/O</v>
          </cell>
          <cell r="E1247" t="str">
            <v>CA1</v>
          </cell>
          <cell r="F1247">
            <v>3.2</v>
          </cell>
          <cell r="G1247">
            <v>168</v>
          </cell>
          <cell r="H1247">
            <v>1130</v>
          </cell>
          <cell r="I1247" t="str">
            <v>A</v>
          </cell>
          <cell r="K1247">
            <v>150</v>
          </cell>
          <cell r="L1247">
            <v>715</v>
          </cell>
          <cell r="M1247">
            <v>50140142</v>
          </cell>
          <cell r="N1247">
            <v>38946</v>
          </cell>
          <cell r="P1247" t="str">
            <v>FN6817N2M300402</v>
          </cell>
          <cell r="Q1247" t="str">
            <v>สภาพปกติ</v>
          </cell>
        </row>
        <row r="1248">
          <cell r="A1248">
            <v>50140143</v>
          </cell>
          <cell r="B1248">
            <v>1247</v>
          </cell>
          <cell r="C1248" t="str">
            <v>MW01/1</v>
          </cell>
          <cell r="D1248" t="str">
            <v>SPHC P/O</v>
          </cell>
          <cell r="E1248" t="str">
            <v>CA1</v>
          </cell>
          <cell r="F1248">
            <v>3.2</v>
          </cell>
          <cell r="G1248">
            <v>168</v>
          </cell>
          <cell r="H1248">
            <v>1130</v>
          </cell>
          <cell r="I1248" t="str">
            <v>A</v>
          </cell>
          <cell r="K1248">
            <v>150</v>
          </cell>
          <cell r="L1248">
            <v>715</v>
          </cell>
          <cell r="M1248">
            <v>50140143</v>
          </cell>
          <cell r="N1248">
            <v>38946</v>
          </cell>
          <cell r="P1248" t="str">
            <v>FN6817N2M300403</v>
          </cell>
          <cell r="Q1248" t="str">
            <v>สภาพปกติ</v>
          </cell>
        </row>
        <row r="1249">
          <cell r="A1249">
            <v>50093655</v>
          </cell>
          <cell r="B1249">
            <v>1248</v>
          </cell>
          <cell r="C1249" t="str">
            <v>MW01/1</v>
          </cell>
          <cell r="D1249" t="str">
            <v>SPHC P/O</v>
          </cell>
          <cell r="E1249" t="str">
            <v>CA1</v>
          </cell>
          <cell r="F1249">
            <v>3.2</v>
          </cell>
          <cell r="G1249">
            <v>180</v>
          </cell>
          <cell r="H1249">
            <v>1219</v>
          </cell>
          <cell r="I1249" t="str">
            <v>A</v>
          </cell>
          <cell r="K1249">
            <v>10</v>
          </cell>
          <cell r="L1249">
            <v>55</v>
          </cell>
          <cell r="M1249">
            <v>50093655</v>
          </cell>
          <cell r="N1249">
            <v>38569</v>
          </cell>
          <cell r="P1249" t="str">
            <v>FN5805D3R171101</v>
          </cell>
          <cell r="Q1249" t="str">
            <v>แผ่นรองและสายรัดเป็นสนิม</v>
          </cell>
        </row>
        <row r="1250">
          <cell r="A1250">
            <v>50139274</v>
          </cell>
          <cell r="B1250">
            <v>1249</v>
          </cell>
          <cell r="C1250" t="str">
            <v>MW01/1</v>
          </cell>
          <cell r="D1250" t="str">
            <v>SPHC P/O</v>
          </cell>
          <cell r="E1250" t="str">
            <v>CA1</v>
          </cell>
          <cell r="F1250">
            <v>4</v>
          </cell>
          <cell r="G1250">
            <v>218</v>
          </cell>
          <cell r="H1250">
            <v>632</v>
          </cell>
          <cell r="I1250" t="str">
            <v>A</v>
          </cell>
          <cell r="K1250">
            <v>100</v>
          </cell>
          <cell r="L1250">
            <v>435</v>
          </cell>
          <cell r="M1250">
            <v>50139274</v>
          </cell>
          <cell r="N1250">
            <v>38934</v>
          </cell>
          <cell r="P1250" t="str">
            <v>FN6805D2M266201</v>
          </cell>
          <cell r="Q1250" t="str">
            <v>สภาพปกติ</v>
          </cell>
        </row>
        <row r="1251">
          <cell r="A1251">
            <v>50110162</v>
          </cell>
          <cell r="B1251">
            <v>1250</v>
          </cell>
          <cell r="C1251" t="str">
            <v>MW01/1</v>
          </cell>
          <cell r="D1251" t="str">
            <v>SPHC P/O</v>
          </cell>
          <cell r="E1251" t="str">
            <v>CA1</v>
          </cell>
          <cell r="F1251">
            <v>4.5</v>
          </cell>
          <cell r="G1251">
            <v>72</v>
          </cell>
          <cell r="H1251">
            <v>1219</v>
          </cell>
          <cell r="I1251" t="str">
            <v>A</v>
          </cell>
          <cell r="K1251">
            <v>100</v>
          </cell>
          <cell r="L1251">
            <v>310</v>
          </cell>
          <cell r="M1251">
            <v>50110162</v>
          </cell>
          <cell r="N1251" t="str">
            <v>14/B/2005</v>
          </cell>
          <cell r="P1251" t="str">
            <v>FN5B14D1R576201</v>
          </cell>
          <cell r="Q1251" t="str">
            <v>แผ่นรองและสายรัดเป็นสนิม</v>
          </cell>
        </row>
        <row r="1252">
          <cell r="A1252">
            <v>50134184</v>
          </cell>
          <cell r="B1252">
            <v>1251</v>
          </cell>
          <cell r="C1252" t="str">
            <v>MW01/1</v>
          </cell>
          <cell r="D1252" t="str">
            <v>SPHC P/O</v>
          </cell>
          <cell r="E1252" t="str">
            <v>CA1</v>
          </cell>
          <cell r="F1252">
            <v>4.5</v>
          </cell>
          <cell r="G1252">
            <v>81</v>
          </cell>
          <cell r="H1252">
            <v>1219</v>
          </cell>
          <cell r="I1252" t="str">
            <v>A</v>
          </cell>
          <cell r="K1252">
            <v>50</v>
          </cell>
          <cell r="L1252">
            <v>175</v>
          </cell>
          <cell r="M1252">
            <v>50134184</v>
          </cell>
          <cell r="N1252">
            <v>38891</v>
          </cell>
          <cell r="P1252" t="str">
            <v>FN6623D2M129101</v>
          </cell>
          <cell r="Q1252" t="str">
            <v>แผ่นรองและสายรัดเป็นสนิม</v>
          </cell>
        </row>
        <row r="1253">
          <cell r="A1253">
            <v>50134187</v>
          </cell>
          <cell r="B1253">
            <v>1252</v>
          </cell>
          <cell r="C1253" t="str">
            <v>MW01/1</v>
          </cell>
          <cell r="D1253" t="str">
            <v>SPHC P/O</v>
          </cell>
          <cell r="E1253" t="str">
            <v>CA1</v>
          </cell>
          <cell r="F1253">
            <v>4.5</v>
          </cell>
          <cell r="G1253">
            <v>81</v>
          </cell>
          <cell r="H1253">
            <v>1219</v>
          </cell>
          <cell r="I1253" t="str">
            <v>A</v>
          </cell>
          <cell r="K1253">
            <v>32</v>
          </cell>
          <cell r="L1253">
            <v>112</v>
          </cell>
          <cell r="M1253">
            <v>50134187</v>
          </cell>
          <cell r="N1253">
            <v>38891</v>
          </cell>
          <cell r="P1253" t="str">
            <v>FN6623D2M129101</v>
          </cell>
          <cell r="Q1253" t="str">
            <v>แผ่นรองและสายรัดเป็นสนิม</v>
          </cell>
        </row>
        <row r="1254">
          <cell r="A1254">
            <v>50141427</v>
          </cell>
          <cell r="B1254">
            <v>1253</v>
          </cell>
          <cell r="C1254" t="str">
            <v>MW01/1</v>
          </cell>
          <cell r="D1254" t="str">
            <v>SPHC P/O</v>
          </cell>
          <cell r="E1254" t="str">
            <v>CA1</v>
          </cell>
          <cell r="F1254">
            <v>4.5</v>
          </cell>
          <cell r="G1254">
            <v>333</v>
          </cell>
          <cell r="H1254">
            <v>1219</v>
          </cell>
          <cell r="I1254" t="str">
            <v>A</v>
          </cell>
          <cell r="K1254">
            <v>100</v>
          </cell>
          <cell r="L1254">
            <v>1420</v>
          </cell>
          <cell r="M1254">
            <v>50141427</v>
          </cell>
          <cell r="N1254">
            <v>38960</v>
          </cell>
          <cell r="P1254" t="str">
            <v>FN6831D2M336101</v>
          </cell>
          <cell r="Q1254" t="str">
            <v>สภาพปกติ</v>
          </cell>
        </row>
        <row r="1255">
          <cell r="A1255">
            <v>50141428</v>
          </cell>
          <cell r="B1255">
            <v>1254</v>
          </cell>
          <cell r="C1255" t="str">
            <v>MW01/1</v>
          </cell>
          <cell r="D1255" t="str">
            <v>SPHC P/O</v>
          </cell>
          <cell r="E1255" t="str">
            <v>CA1</v>
          </cell>
          <cell r="F1255">
            <v>4.5</v>
          </cell>
          <cell r="G1255">
            <v>333</v>
          </cell>
          <cell r="H1255">
            <v>1219</v>
          </cell>
          <cell r="I1255" t="str">
            <v>A</v>
          </cell>
          <cell r="K1255">
            <v>100</v>
          </cell>
          <cell r="L1255">
            <v>1421</v>
          </cell>
          <cell r="M1255">
            <v>50141428</v>
          </cell>
          <cell r="N1255">
            <v>38960</v>
          </cell>
          <cell r="P1255" t="str">
            <v>FN6831D2M336102</v>
          </cell>
          <cell r="Q1255" t="str">
            <v>สภาพปกติ</v>
          </cell>
        </row>
        <row r="1256">
          <cell r="A1256">
            <v>50141429</v>
          </cell>
          <cell r="B1256">
            <v>1255</v>
          </cell>
          <cell r="C1256" t="str">
            <v>MW01/1</v>
          </cell>
          <cell r="D1256" t="str">
            <v>SPHC P/O</v>
          </cell>
          <cell r="E1256" t="str">
            <v>CA1</v>
          </cell>
          <cell r="F1256">
            <v>4.5</v>
          </cell>
          <cell r="G1256">
            <v>333</v>
          </cell>
          <cell r="H1256">
            <v>1219</v>
          </cell>
          <cell r="I1256" t="str">
            <v>A</v>
          </cell>
          <cell r="K1256">
            <v>100</v>
          </cell>
          <cell r="L1256">
            <v>1429</v>
          </cell>
          <cell r="M1256">
            <v>50141429</v>
          </cell>
          <cell r="N1256">
            <v>38960</v>
          </cell>
          <cell r="P1256" t="str">
            <v>FN6831D2M336103</v>
          </cell>
          <cell r="Q1256" t="str">
            <v>สภาพปกติ</v>
          </cell>
        </row>
        <row r="1257">
          <cell r="A1257">
            <v>50141455</v>
          </cell>
          <cell r="B1257">
            <v>1256</v>
          </cell>
          <cell r="C1257" t="str">
            <v>MW01/1</v>
          </cell>
          <cell r="D1257" t="str">
            <v>SPHC P/O</v>
          </cell>
          <cell r="E1257" t="str">
            <v>CA1</v>
          </cell>
          <cell r="F1257">
            <v>4.5</v>
          </cell>
          <cell r="G1257">
            <v>333</v>
          </cell>
          <cell r="H1257">
            <v>1219</v>
          </cell>
          <cell r="I1257" t="str">
            <v>A</v>
          </cell>
          <cell r="K1257">
            <v>100</v>
          </cell>
          <cell r="L1257">
            <v>1426</v>
          </cell>
          <cell r="M1257">
            <v>50141455</v>
          </cell>
          <cell r="N1257">
            <v>38960</v>
          </cell>
          <cell r="P1257" t="str">
            <v>FN6831D2M336104</v>
          </cell>
          <cell r="Q1257" t="str">
            <v>สภาพปกติ</v>
          </cell>
        </row>
        <row r="1258">
          <cell r="A1258">
            <v>50141456</v>
          </cell>
          <cell r="B1258">
            <v>1257</v>
          </cell>
          <cell r="C1258" t="str">
            <v>MW01/1</v>
          </cell>
          <cell r="D1258" t="str">
            <v>SPHC P/O</v>
          </cell>
          <cell r="E1258" t="str">
            <v>CA1</v>
          </cell>
          <cell r="F1258">
            <v>4.5</v>
          </cell>
          <cell r="G1258">
            <v>333</v>
          </cell>
          <cell r="H1258">
            <v>1219</v>
          </cell>
          <cell r="I1258" t="str">
            <v>A</v>
          </cell>
          <cell r="K1258">
            <v>100</v>
          </cell>
          <cell r="L1258">
            <v>1427</v>
          </cell>
          <cell r="M1258">
            <v>50141456</v>
          </cell>
          <cell r="N1258">
            <v>38960</v>
          </cell>
          <cell r="P1258" t="str">
            <v>FN6831D2M336105</v>
          </cell>
          <cell r="Q1258" t="str">
            <v>สภาพปกติ</v>
          </cell>
        </row>
        <row r="1259">
          <cell r="A1259">
            <v>50126924</v>
          </cell>
          <cell r="B1259">
            <v>1258</v>
          </cell>
          <cell r="C1259" t="str">
            <v>MW01/1</v>
          </cell>
          <cell r="D1259" t="str">
            <v>SPHC P/O</v>
          </cell>
          <cell r="E1259" t="str">
            <v>CA1</v>
          </cell>
          <cell r="F1259">
            <v>5</v>
          </cell>
          <cell r="G1259">
            <v>270</v>
          </cell>
          <cell r="H1259">
            <v>1219</v>
          </cell>
          <cell r="I1259" t="str">
            <v>A</v>
          </cell>
          <cell r="K1259">
            <v>48</v>
          </cell>
          <cell r="L1259">
            <v>629</v>
          </cell>
          <cell r="M1259">
            <v>50126924</v>
          </cell>
          <cell r="N1259">
            <v>38829</v>
          </cell>
          <cell r="P1259" t="str">
            <v>FN6422D3RQQQQ01</v>
          </cell>
          <cell r="Q1259" t="str">
            <v>แผ่นรองและสายรัดเป็นสนิม</v>
          </cell>
        </row>
        <row r="1260">
          <cell r="A1260">
            <v>50084191</v>
          </cell>
          <cell r="B1260">
            <v>1259</v>
          </cell>
          <cell r="C1260" t="str">
            <v>MW01/1</v>
          </cell>
          <cell r="D1260" t="str">
            <v>SAPH440 P/O</v>
          </cell>
          <cell r="E1260" t="str">
            <v>CA5</v>
          </cell>
          <cell r="F1260">
            <v>3</v>
          </cell>
          <cell r="G1260">
            <v>310</v>
          </cell>
          <cell r="H1260">
            <v>3</v>
          </cell>
          <cell r="I1260" t="str">
            <v>A</v>
          </cell>
          <cell r="K1260">
            <v>200</v>
          </cell>
          <cell r="L1260">
            <v>526</v>
          </cell>
          <cell r="M1260">
            <v>50084191</v>
          </cell>
          <cell r="N1260">
            <v>38493</v>
          </cell>
          <cell r="P1260" t="str">
            <v>FN5521N2M979201</v>
          </cell>
          <cell r="Q1260" t="str">
            <v>แผ่นรองและสายรัดเป็นสนิม</v>
          </cell>
        </row>
        <row r="1261">
          <cell r="A1261">
            <v>50084194</v>
          </cell>
          <cell r="B1261">
            <v>1260</v>
          </cell>
          <cell r="C1261" t="str">
            <v>MW01/1</v>
          </cell>
          <cell r="D1261" t="str">
            <v>SAPH440 P/O</v>
          </cell>
          <cell r="E1261" t="str">
            <v>CA5</v>
          </cell>
          <cell r="F1261">
            <v>3</v>
          </cell>
          <cell r="G1261">
            <v>310</v>
          </cell>
          <cell r="H1261">
            <v>3</v>
          </cell>
          <cell r="I1261" t="str">
            <v>A</v>
          </cell>
          <cell r="K1261">
            <v>50</v>
          </cell>
          <cell r="L1261">
            <v>132</v>
          </cell>
          <cell r="M1261">
            <v>50084194</v>
          </cell>
          <cell r="N1261">
            <v>38493</v>
          </cell>
          <cell r="P1261" t="str">
            <v>FN5521N2M979202</v>
          </cell>
          <cell r="Q1261" t="str">
            <v>แผ่นรองและสายรัดเป็นสนิม</v>
          </cell>
        </row>
        <row r="1262">
          <cell r="A1262">
            <v>50135115</v>
          </cell>
          <cell r="B1262">
            <v>1261</v>
          </cell>
          <cell r="C1262" t="str">
            <v>MW01/1</v>
          </cell>
          <cell r="D1262" t="str">
            <v>SAPH440 P/O</v>
          </cell>
          <cell r="E1262" t="str">
            <v>CA5</v>
          </cell>
          <cell r="F1262">
            <v>4.5</v>
          </cell>
          <cell r="G1262">
            <v>175</v>
          </cell>
          <cell r="H1262">
            <v>1</v>
          </cell>
          <cell r="I1262" t="str">
            <v>A</v>
          </cell>
          <cell r="K1262">
            <v>80</v>
          </cell>
          <cell r="L1262">
            <v>603</v>
          </cell>
          <cell r="M1262">
            <v>50135115</v>
          </cell>
          <cell r="N1262">
            <v>38899</v>
          </cell>
          <cell r="P1262" t="str">
            <v>FN6701D2R159901</v>
          </cell>
          <cell r="Q1262" t="str">
            <v>แผ่นรองและสายรัดเป็นสนิม</v>
          </cell>
        </row>
        <row r="1263">
          <cell r="A1263">
            <v>20026524</v>
          </cell>
          <cell r="B1263">
            <v>1262</v>
          </cell>
          <cell r="C1263" t="str">
            <v>CW00</v>
          </cell>
          <cell r="D1263" t="str">
            <v>SPCC-SD</v>
          </cell>
          <cell r="E1263" t="str">
            <v>AF1</v>
          </cell>
          <cell r="F1263">
            <v>0.55000000000000004</v>
          </cell>
          <cell r="G1263">
            <v>1219</v>
          </cell>
          <cell r="H1263">
            <v>2438</v>
          </cell>
          <cell r="I1263" t="str">
            <v>A</v>
          </cell>
          <cell r="K1263">
            <v>66</v>
          </cell>
          <cell r="L1263">
            <v>850</v>
          </cell>
          <cell r="M1263">
            <v>20026524</v>
          </cell>
          <cell r="N1263">
            <v>38161</v>
          </cell>
          <cell r="P1263" t="str">
            <v>IN4623DZZ062301</v>
          </cell>
          <cell r="Q1263" t="str">
            <v>แผ่นรองและสายรัดเป็นสนิม</v>
          </cell>
        </row>
        <row r="1264">
          <cell r="A1264">
            <v>20036493</v>
          </cell>
          <cell r="B1264">
            <v>1263</v>
          </cell>
          <cell r="C1264" t="str">
            <v>CW00</v>
          </cell>
          <cell r="D1264" t="str">
            <v>SPCC-SD</v>
          </cell>
          <cell r="E1264" t="str">
            <v>AF1</v>
          </cell>
          <cell r="F1264">
            <v>1.5</v>
          </cell>
          <cell r="G1264">
            <v>1219</v>
          </cell>
          <cell r="H1264">
            <v>1920</v>
          </cell>
          <cell r="I1264" t="str">
            <v>A</v>
          </cell>
          <cell r="K1264">
            <v>29</v>
          </cell>
          <cell r="L1264">
            <v>799</v>
          </cell>
          <cell r="M1264">
            <v>20036493</v>
          </cell>
          <cell r="N1264">
            <v>38393</v>
          </cell>
          <cell r="P1264" t="str">
            <v>IN5210N2D710601</v>
          </cell>
          <cell r="Q1264" t="str">
            <v>ขอบบุบ</v>
          </cell>
        </row>
        <row r="1265">
          <cell r="A1265">
            <v>20036697</v>
          </cell>
          <cell r="B1265">
            <v>1264</v>
          </cell>
          <cell r="C1265" t="str">
            <v>CW00</v>
          </cell>
          <cell r="D1265" t="str">
            <v>SPCC-SD</v>
          </cell>
          <cell r="E1265" t="str">
            <v>AF1</v>
          </cell>
          <cell r="F1265">
            <v>1.5</v>
          </cell>
          <cell r="G1265">
            <v>1219</v>
          </cell>
          <cell r="H1265">
            <v>2146</v>
          </cell>
          <cell r="I1265" t="str">
            <v>A</v>
          </cell>
          <cell r="K1265">
            <v>9</v>
          </cell>
          <cell r="L1265">
            <v>277</v>
          </cell>
          <cell r="M1265">
            <v>20036697</v>
          </cell>
          <cell r="N1265">
            <v>38397</v>
          </cell>
          <cell r="P1265" t="str">
            <v>IN5214N2D706401</v>
          </cell>
          <cell r="Q1265" t="str">
            <v>สภาพปกติ</v>
          </cell>
        </row>
        <row r="1266">
          <cell r="A1266">
            <v>20041193</v>
          </cell>
          <cell r="B1266">
            <v>1265</v>
          </cell>
          <cell r="C1266" t="str">
            <v>CW00</v>
          </cell>
          <cell r="D1266" t="str">
            <v>SPCC-SD</v>
          </cell>
          <cell r="E1266" t="str">
            <v>AF1</v>
          </cell>
          <cell r="F1266">
            <v>1.5</v>
          </cell>
          <cell r="G1266">
            <v>1219</v>
          </cell>
          <cell r="H1266">
            <v>2146</v>
          </cell>
          <cell r="I1266" t="str">
            <v>A</v>
          </cell>
          <cell r="K1266">
            <v>21</v>
          </cell>
          <cell r="L1266">
            <v>640</v>
          </cell>
          <cell r="M1266">
            <v>20041193</v>
          </cell>
          <cell r="N1266">
            <v>38500</v>
          </cell>
          <cell r="P1266" t="str">
            <v>IN5528N2L002702</v>
          </cell>
          <cell r="Q1266" t="str">
            <v>สภาพปกติ</v>
          </cell>
        </row>
        <row r="1267">
          <cell r="A1267">
            <v>20049379</v>
          </cell>
          <cell r="B1267">
            <v>1266</v>
          </cell>
          <cell r="C1267" t="str">
            <v>CW00</v>
          </cell>
          <cell r="D1267" t="str">
            <v>SPCC-SD</v>
          </cell>
          <cell r="E1267" t="str">
            <v>AF1</v>
          </cell>
          <cell r="F1267">
            <v>1.6</v>
          </cell>
          <cell r="G1267">
            <v>1219</v>
          </cell>
          <cell r="H1267">
            <v>2438</v>
          </cell>
          <cell r="I1267" t="str">
            <v>A</v>
          </cell>
          <cell r="K1267">
            <v>8</v>
          </cell>
          <cell r="L1267">
            <v>299</v>
          </cell>
          <cell r="M1267">
            <v>20049379</v>
          </cell>
          <cell r="N1267">
            <v>38736</v>
          </cell>
          <cell r="P1267" t="str">
            <v>IN6119D3RQQQQ01</v>
          </cell>
          <cell r="Q1267" t="str">
            <v>สภาพปกติ</v>
          </cell>
        </row>
        <row r="1268">
          <cell r="A1268">
            <v>20037252</v>
          </cell>
          <cell r="B1268">
            <v>1267</v>
          </cell>
          <cell r="C1268" t="str">
            <v>CW00</v>
          </cell>
          <cell r="D1268" t="str">
            <v>SPCC-SD</v>
          </cell>
          <cell r="E1268" t="str">
            <v>AF1</v>
          </cell>
          <cell r="F1268">
            <v>2</v>
          </cell>
          <cell r="G1268">
            <v>1219</v>
          </cell>
          <cell r="H1268">
            <v>1869</v>
          </cell>
          <cell r="I1268" t="str">
            <v>A</v>
          </cell>
          <cell r="K1268">
            <v>1</v>
          </cell>
          <cell r="L1268">
            <v>35</v>
          </cell>
          <cell r="M1268">
            <v>20037252</v>
          </cell>
          <cell r="N1268">
            <v>38409</v>
          </cell>
          <cell r="P1268" t="str">
            <v>IN5226D2D737001</v>
          </cell>
          <cell r="Q1268" t="str">
            <v>สภาพปกติ</v>
          </cell>
        </row>
        <row r="1269">
          <cell r="A1269">
            <v>20044619</v>
          </cell>
          <cell r="B1269">
            <v>1268</v>
          </cell>
          <cell r="C1269" t="str">
            <v>CW00</v>
          </cell>
          <cell r="D1269" t="str">
            <v>SPCC-SD</v>
          </cell>
          <cell r="E1269" t="str">
            <v>AF1</v>
          </cell>
          <cell r="F1269">
            <v>3</v>
          </cell>
          <cell r="G1269">
            <v>845</v>
          </cell>
          <cell r="H1269">
            <v>1170</v>
          </cell>
          <cell r="I1269" t="str">
            <v>A</v>
          </cell>
          <cell r="K1269">
            <v>10</v>
          </cell>
          <cell r="L1269">
            <v>233</v>
          </cell>
          <cell r="M1269">
            <v>20044619</v>
          </cell>
          <cell r="N1269">
            <v>38636</v>
          </cell>
          <cell r="P1269" t="str">
            <v>IN5A11N3D363401</v>
          </cell>
          <cell r="Q1269" t="str">
            <v>แผ่นรองและสายรัดเป็นสนิม</v>
          </cell>
        </row>
        <row r="1270">
          <cell r="A1270" t="str">
            <v>B201</v>
          </cell>
          <cell r="B1270">
            <v>1269</v>
          </cell>
          <cell r="C1270" t="str">
            <v>CW00</v>
          </cell>
          <cell r="D1270" t="str">
            <v>SPCC-SD</v>
          </cell>
          <cell r="E1270" t="str">
            <v>AG1</v>
          </cell>
          <cell r="F1270">
            <v>0.6</v>
          </cell>
          <cell r="G1270">
            <v>1219</v>
          </cell>
          <cell r="H1270">
            <v>2345</v>
          </cell>
          <cell r="I1270" t="str">
            <v>A</v>
          </cell>
          <cell r="K1270">
            <v>125</v>
          </cell>
          <cell r="L1270">
            <v>1755</v>
          </cell>
          <cell r="M1270" t="str">
            <v>B201</v>
          </cell>
          <cell r="N1270">
            <v>38347</v>
          </cell>
          <cell r="P1270" t="str">
            <v>IN4C26D1R070801</v>
          </cell>
          <cell r="Q1270" t="str">
            <v>กระดาษฉีกขาดและเป็นสนิม</v>
          </cell>
        </row>
        <row r="1271">
          <cell r="A1271" t="str">
            <v>B202</v>
          </cell>
          <cell r="B1271">
            <v>1270</v>
          </cell>
          <cell r="C1271" t="str">
            <v>CW00</v>
          </cell>
          <cell r="D1271" t="str">
            <v>SPCC-SD</v>
          </cell>
          <cell r="E1271" t="str">
            <v>AG1</v>
          </cell>
          <cell r="F1271">
            <v>0.6</v>
          </cell>
          <cell r="G1271">
            <v>1219</v>
          </cell>
          <cell r="H1271">
            <v>2345</v>
          </cell>
          <cell r="I1271" t="str">
            <v>A</v>
          </cell>
          <cell r="K1271">
            <v>180</v>
          </cell>
          <cell r="L1271">
            <v>2410</v>
          </cell>
          <cell r="M1271" t="str">
            <v>B202</v>
          </cell>
          <cell r="N1271">
            <v>38347</v>
          </cell>
          <cell r="P1271" t="str">
            <v>IN4C26D1R070802</v>
          </cell>
          <cell r="Q1271" t="str">
            <v>กระดาษฉีกขาดและเป็นสนิม</v>
          </cell>
        </row>
        <row r="1272">
          <cell r="A1272">
            <v>20041644</v>
          </cell>
          <cell r="B1272">
            <v>1271</v>
          </cell>
          <cell r="C1272" t="str">
            <v>CW00</v>
          </cell>
          <cell r="D1272" t="str">
            <v>SPHC-P/O</v>
          </cell>
          <cell r="E1272" t="str">
            <v>CA1</v>
          </cell>
          <cell r="F1272">
            <v>1.6</v>
          </cell>
          <cell r="G1272">
            <v>1219</v>
          </cell>
          <cell r="H1272">
            <v>2427</v>
          </cell>
          <cell r="I1272" t="str">
            <v>A</v>
          </cell>
          <cell r="K1272">
            <v>1</v>
          </cell>
          <cell r="L1272">
            <v>37</v>
          </cell>
          <cell r="M1272">
            <v>20041644</v>
          </cell>
          <cell r="N1272">
            <v>38847</v>
          </cell>
          <cell r="P1272" t="str">
            <v>IN6510D3D040901</v>
          </cell>
          <cell r="Q1272" t="str">
            <v>สภาพปกติ</v>
          </cell>
        </row>
        <row r="1273">
          <cell r="A1273">
            <v>20041593</v>
          </cell>
          <cell r="B1273">
            <v>1272</v>
          </cell>
          <cell r="C1273" t="str">
            <v>CW00</v>
          </cell>
          <cell r="D1273" t="str">
            <v>SPHC-P/O</v>
          </cell>
          <cell r="E1273" t="str">
            <v>CA1</v>
          </cell>
          <cell r="F1273">
            <v>4</v>
          </cell>
          <cell r="G1273">
            <v>1219</v>
          </cell>
          <cell r="H1273">
            <v>2438</v>
          </cell>
          <cell r="I1273" t="str">
            <v>A</v>
          </cell>
          <cell r="K1273">
            <v>25</v>
          </cell>
          <cell r="L1273">
            <v>2333</v>
          </cell>
          <cell r="M1273">
            <v>20041593</v>
          </cell>
          <cell r="N1273">
            <v>38511</v>
          </cell>
          <cell r="P1273" t="str">
            <v>IN5608D1RSSSS01</v>
          </cell>
          <cell r="Q1273" t="str">
            <v>กระดาษฉีกขาดและเป็นสนิม</v>
          </cell>
        </row>
        <row r="1274">
          <cell r="A1274">
            <v>20026418</v>
          </cell>
          <cell r="B1274">
            <v>1273</v>
          </cell>
          <cell r="C1274" t="str">
            <v>CW00</v>
          </cell>
          <cell r="D1274" t="str">
            <v>SPHC-P/O</v>
          </cell>
          <cell r="E1274" t="str">
            <v>CA1</v>
          </cell>
          <cell r="F1274">
            <v>4.5</v>
          </cell>
          <cell r="G1274">
            <v>1342</v>
          </cell>
          <cell r="H1274">
            <v>2443</v>
          </cell>
          <cell r="I1274" t="str">
            <v>A</v>
          </cell>
          <cell r="K1274">
            <v>12</v>
          </cell>
          <cell r="L1274">
            <v>1390</v>
          </cell>
          <cell r="M1274">
            <v>20026418</v>
          </cell>
          <cell r="N1274">
            <v>38347</v>
          </cell>
          <cell r="P1274" t="str">
            <v>IN4C26S2R061801</v>
          </cell>
          <cell r="Q1274" t="str">
            <v>กระดาษฉีกขาดและเป็นสนิม</v>
          </cell>
        </row>
        <row r="1275">
          <cell r="A1275">
            <v>20042549</v>
          </cell>
          <cell r="B1275">
            <v>1274</v>
          </cell>
          <cell r="C1275" t="str">
            <v>CW00</v>
          </cell>
          <cell r="D1275" t="str">
            <v>SPHC-P/O</v>
          </cell>
          <cell r="E1275" t="str">
            <v>CA1</v>
          </cell>
          <cell r="F1275">
            <v>6</v>
          </cell>
          <cell r="G1275">
            <v>1219</v>
          </cell>
          <cell r="H1275">
            <v>2127</v>
          </cell>
          <cell r="I1275" t="str">
            <v>A</v>
          </cell>
          <cell r="K1275">
            <v>2</v>
          </cell>
          <cell r="L1275">
            <v>244</v>
          </cell>
          <cell r="M1275">
            <v>20042549</v>
          </cell>
          <cell r="N1275">
            <v>38549</v>
          </cell>
          <cell r="P1275" t="str">
            <v>IN5716N2D093501</v>
          </cell>
          <cell r="Q1275" t="str">
            <v>สภาพปกติ</v>
          </cell>
        </row>
        <row r="1276">
          <cell r="A1276">
            <v>50104756</v>
          </cell>
          <cell r="B1276">
            <v>1275</v>
          </cell>
          <cell r="C1276" t="str">
            <v>CW00</v>
          </cell>
          <cell r="D1276" t="str">
            <v>SPCC-SD</v>
          </cell>
          <cell r="E1276" t="str">
            <v>AF1</v>
          </cell>
          <cell r="F1276">
            <v>0.5</v>
          </cell>
          <cell r="G1276">
            <v>493</v>
          </cell>
          <cell r="H1276">
            <v>1755</v>
          </cell>
          <cell r="I1276" t="str">
            <v>A</v>
          </cell>
          <cell r="K1276">
            <v>300</v>
          </cell>
          <cell r="L1276">
            <v>1015</v>
          </cell>
          <cell r="M1276">
            <v>50104756</v>
          </cell>
          <cell r="N1276">
            <v>38659</v>
          </cell>
          <cell r="P1276" t="str">
            <v>IN5B03D1L440101</v>
          </cell>
          <cell r="Q1276" t="str">
            <v>แผ่นรองและสายรัดเป็นสนิม</v>
          </cell>
        </row>
        <row r="1277">
          <cell r="A1277">
            <v>50114707</v>
          </cell>
          <cell r="B1277">
            <v>1276</v>
          </cell>
          <cell r="C1277" t="str">
            <v>CW00</v>
          </cell>
          <cell r="D1277" t="str">
            <v>SPCC-SD</v>
          </cell>
          <cell r="E1277" t="str">
            <v>AF1</v>
          </cell>
          <cell r="F1277">
            <v>0.6</v>
          </cell>
          <cell r="G1277">
            <v>627.1</v>
          </cell>
          <cell r="H1277">
            <v>1997</v>
          </cell>
          <cell r="I1277" t="str">
            <v>A</v>
          </cell>
          <cell r="K1277">
            <v>40</v>
          </cell>
          <cell r="L1277">
            <v>236</v>
          </cell>
          <cell r="M1277">
            <v>50114707</v>
          </cell>
          <cell r="N1277">
            <v>38737</v>
          </cell>
          <cell r="P1277" t="str">
            <v>IN6120D3D658601</v>
          </cell>
          <cell r="Q1277" t="str">
            <v>กระดาษฉีกขาดและเป็นสนิม</v>
          </cell>
        </row>
        <row r="1278">
          <cell r="A1278">
            <v>50118554</v>
          </cell>
          <cell r="B1278">
            <v>1277</v>
          </cell>
          <cell r="C1278" t="str">
            <v>CW00</v>
          </cell>
          <cell r="D1278" t="str">
            <v>SPCC-SD</v>
          </cell>
          <cell r="E1278" t="str">
            <v>AF1</v>
          </cell>
          <cell r="F1278">
            <v>0.6</v>
          </cell>
          <cell r="G1278">
            <v>627.1</v>
          </cell>
          <cell r="H1278">
            <v>1997</v>
          </cell>
          <cell r="I1278" t="str">
            <v>A</v>
          </cell>
          <cell r="K1278">
            <v>44</v>
          </cell>
          <cell r="L1278">
            <v>257</v>
          </cell>
          <cell r="M1278">
            <v>50118554</v>
          </cell>
          <cell r="N1278">
            <v>38769</v>
          </cell>
          <cell r="P1278" t="str">
            <v>IN6221D1R999902</v>
          </cell>
          <cell r="Q1278" t="str">
            <v>แผ่นรองและสายรัดเป็นสนิม</v>
          </cell>
        </row>
        <row r="1279">
          <cell r="A1279">
            <v>50122114</v>
          </cell>
          <cell r="B1279">
            <v>1278</v>
          </cell>
          <cell r="C1279" t="str">
            <v>CW00</v>
          </cell>
          <cell r="D1279" t="str">
            <v>SPCC-SD</v>
          </cell>
          <cell r="E1279" t="str">
            <v>AF1</v>
          </cell>
          <cell r="F1279">
            <v>0.6</v>
          </cell>
          <cell r="G1279">
            <v>627.1</v>
          </cell>
          <cell r="H1279">
            <v>1997</v>
          </cell>
          <cell r="I1279" t="str">
            <v>A</v>
          </cell>
          <cell r="K1279">
            <v>30</v>
          </cell>
          <cell r="L1279">
            <v>178</v>
          </cell>
          <cell r="M1279">
            <v>50122114</v>
          </cell>
          <cell r="N1279">
            <v>38789</v>
          </cell>
          <cell r="P1279" t="str">
            <v>IN6313D1L823703</v>
          </cell>
          <cell r="Q1279" t="str">
            <v>แผ่นรองและสายรัดเป็นสนิม</v>
          </cell>
        </row>
        <row r="1280">
          <cell r="A1280">
            <v>50106058</v>
          </cell>
          <cell r="B1280">
            <v>1279</v>
          </cell>
          <cell r="C1280" t="str">
            <v>CW00</v>
          </cell>
          <cell r="D1280" t="str">
            <v>SPCC-SD</v>
          </cell>
          <cell r="E1280" t="str">
            <v>AF1</v>
          </cell>
          <cell r="F1280">
            <v>0.6</v>
          </cell>
          <cell r="G1280">
            <v>630.1</v>
          </cell>
          <cell r="H1280">
            <v>1904.5</v>
          </cell>
          <cell r="I1280" t="str">
            <v>A</v>
          </cell>
          <cell r="K1280">
            <v>105</v>
          </cell>
          <cell r="L1280">
            <v>595</v>
          </cell>
          <cell r="M1280">
            <v>50106058</v>
          </cell>
          <cell r="N1280">
            <v>38668</v>
          </cell>
          <cell r="O1280" t="str">
            <v>125817SUD005</v>
          </cell>
          <cell r="P1280" t="str">
            <v>IN5B12N3R467601</v>
          </cell>
          <cell r="Q1280" t="str">
            <v>แผ่นรองและสายรัดเป็นสนิม</v>
          </cell>
        </row>
        <row r="1281">
          <cell r="A1281">
            <v>50125759</v>
          </cell>
          <cell r="B1281">
            <v>1280</v>
          </cell>
          <cell r="C1281" t="str">
            <v>CW00</v>
          </cell>
          <cell r="D1281" t="str">
            <v>SPCC-SD</v>
          </cell>
          <cell r="E1281" t="str">
            <v>AF1</v>
          </cell>
          <cell r="F1281">
            <v>0.6</v>
          </cell>
          <cell r="G1281">
            <v>630.1</v>
          </cell>
          <cell r="H1281">
            <v>1904.5</v>
          </cell>
          <cell r="I1281" t="str">
            <v>A</v>
          </cell>
          <cell r="K1281">
            <v>110</v>
          </cell>
          <cell r="L1281">
            <v>624</v>
          </cell>
          <cell r="M1281">
            <v>50125759</v>
          </cell>
          <cell r="N1281">
            <v>38813</v>
          </cell>
          <cell r="P1281" t="str">
            <v>IN6406D1L912402</v>
          </cell>
          <cell r="Q1281" t="str">
            <v>แผ่นรองและสายรัดเป็นสนิม</v>
          </cell>
        </row>
        <row r="1282">
          <cell r="A1282">
            <v>50121507</v>
          </cell>
          <cell r="B1282">
            <v>1281</v>
          </cell>
          <cell r="C1282" t="str">
            <v>CW00</v>
          </cell>
          <cell r="D1282" t="str">
            <v>SPCC-SD</v>
          </cell>
          <cell r="E1282" t="str">
            <v>AF1</v>
          </cell>
          <cell r="F1282">
            <v>0.6</v>
          </cell>
          <cell r="G1282">
            <v>641.1</v>
          </cell>
          <cell r="H1282">
            <v>1904.5</v>
          </cell>
          <cell r="I1282" t="str">
            <v>A</v>
          </cell>
          <cell r="K1282">
            <v>63</v>
          </cell>
          <cell r="L1282">
            <v>356</v>
          </cell>
          <cell r="M1282">
            <v>50121507</v>
          </cell>
          <cell r="N1282">
            <v>38789</v>
          </cell>
          <cell r="P1282" t="str">
            <v>IN6313D1L824201</v>
          </cell>
          <cell r="Q1282" t="str">
            <v>แผ่นรองและสายรัดเป็นสนิม</v>
          </cell>
        </row>
        <row r="1283">
          <cell r="A1283">
            <v>50121531</v>
          </cell>
          <cell r="B1283">
            <v>1282</v>
          </cell>
          <cell r="C1283" t="str">
            <v>CW00</v>
          </cell>
          <cell r="D1283" t="str">
            <v>SPCC-SD</v>
          </cell>
          <cell r="E1283" t="str">
            <v>AF1</v>
          </cell>
          <cell r="F1283">
            <v>0.6</v>
          </cell>
          <cell r="G1283">
            <v>641.1</v>
          </cell>
          <cell r="H1283">
            <v>1904.5</v>
          </cell>
          <cell r="I1283" t="str">
            <v>A</v>
          </cell>
          <cell r="K1283">
            <v>130</v>
          </cell>
          <cell r="L1283">
            <v>736</v>
          </cell>
          <cell r="M1283">
            <v>50121531</v>
          </cell>
          <cell r="N1283">
            <v>38786</v>
          </cell>
          <cell r="P1283" t="str">
            <v>IN6310D1L824202</v>
          </cell>
          <cell r="Q1283" t="str">
            <v>แผ่นรองและสายรัดเป็นสนิม</v>
          </cell>
        </row>
        <row r="1284">
          <cell r="A1284">
            <v>50125672</v>
          </cell>
          <cell r="B1284">
            <v>1283</v>
          </cell>
          <cell r="C1284" t="str">
            <v>CW00</v>
          </cell>
          <cell r="D1284" t="str">
            <v>SPCC-SD</v>
          </cell>
          <cell r="E1284" t="str">
            <v>AF1</v>
          </cell>
          <cell r="F1284">
            <v>0.6</v>
          </cell>
          <cell r="G1284">
            <v>641.1</v>
          </cell>
          <cell r="H1284">
            <v>1904.5</v>
          </cell>
          <cell r="I1284" t="str">
            <v>A</v>
          </cell>
          <cell r="K1284">
            <v>150</v>
          </cell>
          <cell r="L1284">
            <v>864</v>
          </cell>
          <cell r="M1284">
            <v>50125672</v>
          </cell>
          <cell r="N1284">
            <v>38812</v>
          </cell>
          <cell r="P1284" t="str">
            <v>IN6405D1L912503</v>
          </cell>
          <cell r="Q1284" t="str">
            <v>แผ่นรองและสายรัดเป็นสนิม</v>
          </cell>
        </row>
        <row r="1285">
          <cell r="A1285">
            <v>50110109</v>
          </cell>
          <cell r="B1285">
            <v>1284</v>
          </cell>
          <cell r="C1285" t="str">
            <v>CW00</v>
          </cell>
          <cell r="D1285" t="str">
            <v>SPCC-SD</v>
          </cell>
          <cell r="E1285" t="str">
            <v>AF1</v>
          </cell>
          <cell r="F1285">
            <v>0.6</v>
          </cell>
          <cell r="G1285">
            <v>644.6</v>
          </cell>
          <cell r="H1285">
            <v>1278.2</v>
          </cell>
          <cell r="I1285" t="str">
            <v>A</v>
          </cell>
          <cell r="K1285">
            <v>90</v>
          </cell>
          <cell r="L1285">
            <v>348</v>
          </cell>
          <cell r="M1285">
            <v>50110109</v>
          </cell>
          <cell r="N1285">
            <v>38700</v>
          </cell>
          <cell r="P1285" t="str">
            <v>IN5C14N1L563401</v>
          </cell>
          <cell r="Q1285" t="str">
            <v>แผ่นรองและสายรัดเป็นสนิม</v>
          </cell>
        </row>
        <row r="1286">
          <cell r="A1286">
            <v>50110428</v>
          </cell>
          <cell r="B1286">
            <v>1285</v>
          </cell>
          <cell r="C1286" t="str">
            <v>CW00</v>
          </cell>
          <cell r="D1286" t="str">
            <v>SPCC-SD</v>
          </cell>
          <cell r="E1286" t="str">
            <v>AF1</v>
          </cell>
          <cell r="F1286">
            <v>0.6</v>
          </cell>
          <cell r="G1286">
            <v>685.8</v>
          </cell>
          <cell r="H1286">
            <v>1338.8</v>
          </cell>
          <cell r="I1286" t="str">
            <v>A</v>
          </cell>
          <cell r="K1286">
            <v>180</v>
          </cell>
          <cell r="L1286">
            <v>780</v>
          </cell>
          <cell r="M1286">
            <v>50110428</v>
          </cell>
          <cell r="N1286">
            <v>38701</v>
          </cell>
          <cell r="P1286" t="str">
            <v>IN5C15N1L563501</v>
          </cell>
          <cell r="Q1286" t="str">
            <v>แผ่นรองและสายรัดเป็นสนิม</v>
          </cell>
        </row>
        <row r="1287">
          <cell r="A1287">
            <v>50125924</v>
          </cell>
          <cell r="B1287">
            <v>1286</v>
          </cell>
          <cell r="C1287" t="str">
            <v>CW00</v>
          </cell>
          <cell r="D1287" t="str">
            <v>SPCC-SD</v>
          </cell>
          <cell r="E1287" t="str">
            <v>AF1</v>
          </cell>
          <cell r="F1287">
            <v>0.6</v>
          </cell>
          <cell r="G1287">
            <v>685.8</v>
          </cell>
          <cell r="H1287">
            <v>1338.8</v>
          </cell>
          <cell r="I1287" t="str">
            <v>A</v>
          </cell>
          <cell r="K1287">
            <v>125</v>
          </cell>
          <cell r="L1287">
            <v>542</v>
          </cell>
          <cell r="M1287">
            <v>50125924</v>
          </cell>
          <cell r="N1287">
            <v>38814</v>
          </cell>
          <cell r="P1287" t="str">
            <v>IN6407N1L912602</v>
          </cell>
          <cell r="Q1287" t="str">
            <v>แผ่นรองและสายรัดเป็นสนิม</v>
          </cell>
        </row>
        <row r="1288">
          <cell r="A1288">
            <v>50099814</v>
          </cell>
          <cell r="B1288">
            <v>1287</v>
          </cell>
          <cell r="C1288" t="str">
            <v>CW00</v>
          </cell>
          <cell r="D1288" t="str">
            <v>SPCC-SD</v>
          </cell>
          <cell r="E1288" t="str">
            <v>AF1</v>
          </cell>
          <cell r="F1288">
            <v>0.6</v>
          </cell>
          <cell r="G1288">
            <v>747.6</v>
          </cell>
          <cell r="H1288">
            <v>1997</v>
          </cell>
          <cell r="I1288" t="str">
            <v>A</v>
          </cell>
          <cell r="K1288">
            <v>85</v>
          </cell>
          <cell r="L1288">
            <v>601</v>
          </cell>
          <cell r="M1288">
            <v>50099814</v>
          </cell>
          <cell r="N1288">
            <v>38621</v>
          </cell>
          <cell r="P1288" t="str">
            <v>IN5926D1L323201</v>
          </cell>
          <cell r="Q1288" t="str">
            <v>กระดาษฉีกขาด</v>
          </cell>
        </row>
        <row r="1289">
          <cell r="A1289">
            <v>50103454</v>
          </cell>
          <cell r="B1289">
            <v>1288</v>
          </cell>
          <cell r="C1289" t="str">
            <v>CW00</v>
          </cell>
          <cell r="D1289" t="str">
            <v>SPCC-SD</v>
          </cell>
          <cell r="E1289" t="str">
            <v>AF1</v>
          </cell>
          <cell r="F1289">
            <v>0.6</v>
          </cell>
          <cell r="G1289">
            <v>747.6</v>
          </cell>
          <cell r="H1289">
            <v>1997</v>
          </cell>
          <cell r="I1289" t="str">
            <v>A</v>
          </cell>
          <cell r="K1289">
            <v>47</v>
          </cell>
          <cell r="L1289">
            <v>331</v>
          </cell>
          <cell r="M1289">
            <v>50103454</v>
          </cell>
          <cell r="N1289">
            <v>38680</v>
          </cell>
          <cell r="P1289" t="str">
            <v>IN5A24D3D397202</v>
          </cell>
          <cell r="Q1289" t="str">
            <v>กระดาษฉีกขาด</v>
          </cell>
        </row>
        <row r="1290">
          <cell r="A1290">
            <v>50112395</v>
          </cell>
          <cell r="B1290">
            <v>1289</v>
          </cell>
          <cell r="C1290" t="str">
            <v>CW00</v>
          </cell>
          <cell r="D1290" t="str">
            <v>SPCC-SD</v>
          </cell>
          <cell r="E1290" t="str">
            <v>AF1</v>
          </cell>
          <cell r="F1290">
            <v>0.6</v>
          </cell>
          <cell r="G1290">
            <v>747.6</v>
          </cell>
          <cell r="H1290">
            <v>1997</v>
          </cell>
          <cell r="I1290" t="str">
            <v>A</v>
          </cell>
          <cell r="K1290">
            <v>98</v>
          </cell>
          <cell r="L1290">
            <v>684</v>
          </cell>
          <cell r="M1290">
            <v>50112395</v>
          </cell>
          <cell r="N1290">
            <v>38720</v>
          </cell>
          <cell r="P1290" t="str">
            <v>IN6103D1L563603</v>
          </cell>
          <cell r="Q1290" t="str">
            <v>แผ่นรองและสายรัดเป็นสนิม</v>
          </cell>
        </row>
        <row r="1291">
          <cell r="A1291">
            <v>50125988</v>
          </cell>
          <cell r="B1291">
            <v>1290</v>
          </cell>
          <cell r="C1291" t="str">
            <v>CW00</v>
          </cell>
          <cell r="D1291" t="str">
            <v>SPCC-SD</v>
          </cell>
          <cell r="E1291" t="str">
            <v>AF1</v>
          </cell>
          <cell r="F1291">
            <v>0.6</v>
          </cell>
          <cell r="G1291">
            <v>747.6</v>
          </cell>
          <cell r="H1291">
            <v>1997</v>
          </cell>
          <cell r="I1291" t="str">
            <v>A</v>
          </cell>
          <cell r="K1291">
            <v>95</v>
          </cell>
          <cell r="L1291">
            <v>674</v>
          </cell>
          <cell r="M1291">
            <v>50125988</v>
          </cell>
          <cell r="N1291">
            <v>38821</v>
          </cell>
          <cell r="P1291" t="str">
            <v>IN6414D3D673304</v>
          </cell>
          <cell r="Q1291" t="str">
            <v>แผ่นรองและสายรัดเป็นสนิม</v>
          </cell>
        </row>
        <row r="1292">
          <cell r="A1292">
            <v>50081562</v>
          </cell>
          <cell r="B1292">
            <v>1291</v>
          </cell>
          <cell r="C1292" t="str">
            <v>CW00</v>
          </cell>
          <cell r="D1292" t="str">
            <v>SPCC-SD</v>
          </cell>
          <cell r="E1292" t="str">
            <v>AF1</v>
          </cell>
          <cell r="F1292">
            <v>0.7</v>
          </cell>
          <cell r="G1292">
            <v>1130</v>
          </cell>
          <cell r="H1292">
            <v>1480</v>
          </cell>
          <cell r="I1292" t="str">
            <v>A</v>
          </cell>
          <cell r="K1292">
            <v>38</v>
          </cell>
          <cell r="L1292">
            <v>355</v>
          </cell>
          <cell r="M1292">
            <v>50081562</v>
          </cell>
          <cell r="N1292">
            <v>38477</v>
          </cell>
          <cell r="P1292" t="str">
            <v>IN5505D1L915201</v>
          </cell>
          <cell r="Q1292" t="str">
            <v>ขอบบุบ</v>
          </cell>
        </row>
        <row r="1293">
          <cell r="A1293">
            <v>50100027</v>
          </cell>
          <cell r="B1293">
            <v>1292</v>
          </cell>
          <cell r="C1293" t="str">
            <v>CW00</v>
          </cell>
          <cell r="D1293" t="str">
            <v>SPCC-SD</v>
          </cell>
          <cell r="E1293" t="str">
            <v>AF1</v>
          </cell>
          <cell r="F1293">
            <v>0.7</v>
          </cell>
          <cell r="G1293">
            <v>1140</v>
          </cell>
          <cell r="H1293">
            <v>2438</v>
          </cell>
          <cell r="I1293" t="str">
            <v>A</v>
          </cell>
          <cell r="K1293">
            <v>16</v>
          </cell>
          <cell r="L1293">
            <v>244</v>
          </cell>
          <cell r="M1293">
            <v>50100027</v>
          </cell>
          <cell r="N1293">
            <v>38623</v>
          </cell>
          <cell r="P1293" t="str">
            <v>IN5928D3D319701</v>
          </cell>
          <cell r="Q1293" t="str">
            <v>สภาพปกติ</v>
          </cell>
        </row>
        <row r="1294">
          <cell r="A1294">
            <v>50100617</v>
          </cell>
          <cell r="B1294">
            <v>1293</v>
          </cell>
          <cell r="C1294" t="str">
            <v>CW00</v>
          </cell>
          <cell r="D1294" t="str">
            <v>SPCC-SD</v>
          </cell>
          <cell r="E1294" t="str">
            <v>AF1</v>
          </cell>
          <cell r="F1294">
            <v>0.7</v>
          </cell>
          <cell r="G1294">
            <v>1219</v>
          </cell>
          <cell r="H1294">
            <v>2741</v>
          </cell>
          <cell r="I1294" t="str">
            <v>A</v>
          </cell>
          <cell r="K1294">
            <v>21</v>
          </cell>
          <cell r="L1294">
            <v>390</v>
          </cell>
          <cell r="M1294">
            <v>50100617</v>
          </cell>
          <cell r="N1294">
            <v>38629</v>
          </cell>
          <cell r="P1294" t="str">
            <v>IN5A04D1L343801</v>
          </cell>
          <cell r="Q1294" t="str">
            <v>สภาพปกติ</v>
          </cell>
        </row>
        <row r="1295">
          <cell r="A1295">
            <v>50088613</v>
          </cell>
          <cell r="B1295">
            <v>1294</v>
          </cell>
          <cell r="C1295" t="str">
            <v>CW00</v>
          </cell>
          <cell r="D1295" t="str">
            <v>SPCC-SD</v>
          </cell>
          <cell r="E1295" t="str">
            <v>AF1</v>
          </cell>
          <cell r="F1295">
            <v>0.7</v>
          </cell>
          <cell r="G1295">
            <v>1250</v>
          </cell>
          <cell r="H1295">
            <v>2438</v>
          </cell>
          <cell r="I1295" t="str">
            <v>A</v>
          </cell>
          <cell r="K1295">
            <v>19</v>
          </cell>
          <cell r="L1295">
            <v>318</v>
          </cell>
          <cell r="M1295">
            <v>50088613</v>
          </cell>
          <cell r="N1295">
            <v>38528</v>
          </cell>
          <cell r="P1295" t="str">
            <v>IN5625N2D078401</v>
          </cell>
          <cell r="Q1295" t="str">
            <v>สภาพปกติ</v>
          </cell>
        </row>
        <row r="1296">
          <cell r="A1296">
            <v>50124590</v>
          </cell>
          <cell r="B1296">
            <v>1295</v>
          </cell>
          <cell r="C1296" t="str">
            <v>CW00</v>
          </cell>
          <cell r="D1296" t="str">
            <v>SPCC-SD</v>
          </cell>
          <cell r="E1296" t="str">
            <v>AF1</v>
          </cell>
          <cell r="F1296">
            <v>0.5</v>
          </cell>
          <cell r="G1296">
            <v>1219</v>
          </cell>
          <cell r="H1296">
            <v>2207</v>
          </cell>
          <cell r="I1296" t="str">
            <v>B</v>
          </cell>
          <cell r="K1296">
            <v>6</v>
          </cell>
          <cell r="L1296">
            <v>63</v>
          </cell>
          <cell r="M1296">
            <v>50124590</v>
          </cell>
          <cell r="N1296">
            <v>38805</v>
          </cell>
          <cell r="P1296" t="str">
            <v>IN6329N1D892401</v>
          </cell>
          <cell r="Q1296" t="str">
            <v>สภาพปกติ</v>
          </cell>
        </row>
        <row r="1297">
          <cell r="A1297">
            <v>50118557</v>
          </cell>
          <cell r="B1297">
            <v>1296</v>
          </cell>
          <cell r="C1297" t="str">
            <v>CW00</v>
          </cell>
          <cell r="D1297" t="str">
            <v>SPCC-SD</v>
          </cell>
          <cell r="E1297" t="str">
            <v>AF1</v>
          </cell>
          <cell r="F1297">
            <v>0.6</v>
          </cell>
          <cell r="G1297">
            <v>475</v>
          </cell>
          <cell r="H1297">
            <v>1997</v>
          </cell>
          <cell r="I1297" t="str">
            <v>A</v>
          </cell>
          <cell r="K1297">
            <v>13</v>
          </cell>
          <cell r="L1297">
            <v>57</v>
          </cell>
          <cell r="M1297">
            <v>50118557</v>
          </cell>
          <cell r="N1297">
            <v>38769</v>
          </cell>
          <cell r="P1297" t="str">
            <v>IN6221D1R999901</v>
          </cell>
          <cell r="Q1297" t="str">
            <v>สภาพปกติ</v>
          </cell>
        </row>
        <row r="1298">
          <cell r="A1298">
            <v>50099568</v>
          </cell>
          <cell r="B1298">
            <v>1297</v>
          </cell>
          <cell r="C1298" t="str">
            <v>CW00</v>
          </cell>
          <cell r="D1298" t="str">
            <v>SPCC-SD</v>
          </cell>
          <cell r="E1298" t="str">
            <v>AF1</v>
          </cell>
          <cell r="F1298">
            <v>0.6</v>
          </cell>
          <cell r="G1298">
            <v>478</v>
          </cell>
          <cell r="H1298">
            <v>1904.5</v>
          </cell>
          <cell r="I1298" t="str">
            <v>A</v>
          </cell>
          <cell r="K1298">
            <v>250</v>
          </cell>
          <cell r="L1298">
            <v>1072</v>
          </cell>
          <cell r="M1298">
            <v>50099568</v>
          </cell>
          <cell r="N1298">
            <v>38619</v>
          </cell>
          <cell r="P1298" t="str">
            <v>IN5924D3M317501</v>
          </cell>
          <cell r="Q1298" t="str">
            <v>สภาพปกติ</v>
          </cell>
        </row>
        <row r="1299">
          <cell r="A1299">
            <v>50099569</v>
          </cell>
          <cell r="B1299">
            <v>1298</v>
          </cell>
          <cell r="C1299" t="str">
            <v>CW00</v>
          </cell>
          <cell r="D1299" t="str">
            <v>SPCC-SD</v>
          </cell>
          <cell r="E1299" t="str">
            <v>AF1</v>
          </cell>
          <cell r="F1299">
            <v>0.6</v>
          </cell>
          <cell r="G1299">
            <v>478</v>
          </cell>
          <cell r="H1299">
            <v>1904.5</v>
          </cell>
          <cell r="I1299" t="str">
            <v>A</v>
          </cell>
          <cell r="K1299">
            <v>59</v>
          </cell>
          <cell r="L1299">
            <v>253</v>
          </cell>
          <cell r="M1299">
            <v>50099569</v>
          </cell>
          <cell r="N1299">
            <v>38618</v>
          </cell>
          <cell r="P1299" t="str">
            <v>IN5923D3M317502</v>
          </cell>
          <cell r="Q1299" t="str">
            <v>แผ่นรองและสายรัดเป็นสนิม</v>
          </cell>
        </row>
        <row r="1300">
          <cell r="A1300">
            <v>50112397</v>
          </cell>
          <cell r="B1300">
            <v>1299</v>
          </cell>
          <cell r="C1300" t="str">
            <v>CW00</v>
          </cell>
          <cell r="D1300" t="str">
            <v>SPCC-SD</v>
          </cell>
          <cell r="E1300" t="str">
            <v>AF1</v>
          </cell>
          <cell r="F1300">
            <v>0.6</v>
          </cell>
          <cell r="G1300">
            <v>478</v>
          </cell>
          <cell r="H1300">
            <v>1904.5</v>
          </cell>
          <cell r="I1300" t="str">
            <v>A</v>
          </cell>
          <cell r="K1300">
            <v>55</v>
          </cell>
          <cell r="L1300">
            <v>234</v>
          </cell>
          <cell r="M1300">
            <v>50112397</v>
          </cell>
          <cell r="N1300">
            <v>38720</v>
          </cell>
          <cell r="P1300" t="str">
            <v>IN6103D1L563203</v>
          </cell>
          <cell r="Q1300" t="str">
            <v>แผ่นรองและสายรัดเป็นสนิม</v>
          </cell>
        </row>
        <row r="1301">
          <cell r="A1301">
            <v>50118555</v>
          </cell>
          <cell r="B1301">
            <v>1300</v>
          </cell>
          <cell r="C1301" t="str">
            <v>CW00</v>
          </cell>
          <cell r="D1301" t="str">
            <v>SPCC-SD</v>
          </cell>
          <cell r="E1301" t="str">
            <v>AF1</v>
          </cell>
          <cell r="F1301">
            <v>0.6</v>
          </cell>
          <cell r="G1301">
            <v>478</v>
          </cell>
          <cell r="H1301">
            <v>1904.5</v>
          </cell>
          <cell r="I1301" t="str">
            <v>A</v>
          </cell>
          <cell r="K1301">
            <v>232</v>
          </cell>
          <cell r="L1301">
            <v>992</v>
          </cell>
          <cell r="M1301">
            <v>50118555</v>
          </cell>
          <cell r="N1301">
            <v>38769</v>
          </cell>
          <cell r="P1301" t="str">
            <v>IN6221DZZ999904</v>
          </cell>
          <cell r="Q1301" t="str">
            <v>แผ่นรองและสายรัดเป็นสนิม</v>
          </cell>
        </row>
        <row r="1302">
          <cell r="A1302">
            <v>50118556</v>
          </cell>
          <cell r="B1302">
            <v>1301</v>
          </cell>
          <cell r="C1302" t="str">
            <v>CW00</v>
          </cell>
          <cell r="D1302" t="str">
            <v>SPCC-SD</v>
          </cell>
          <cell r="E1302" t="str">
            <v>AF1</v>
          </cell>
          <cell r="F1302">
            <v>0.6</v>
          </cell>
          <cell r="G1302">
            <v>478</v>
          </cell>
          <cell r="H1302">
            <v>1904.5</v>
          </cell>
          <cell r="I1302" t="str">
            <v>A</v>
          </cell>
          <cell r="K1302">
            <v>110</v>
          </cell>
          <cell r="L1302">
            <v>469</v>
          </cell>
          <cell r="M1302">
            <v>50118556</v>
          </cell>
          <cell r="N1302">
            <v>38769</v>
          </cell>
          <cell r="P1302" t="str">
            <v>IN6221DZZ999905</v>
          </cell>
          <cell r="Q1302" t="str">
            <v>สภาพปกติ</v>
          </cell>
        </row>
        <row r="1303">
          <cell r="A1303">
            <v>50100046</v>
          </cell>
          <cell r="B1303">
            <v>1302</v>
          </cell>
          <cell r="C1303" t="str">
            <v>CW00</v>
          </cell>
          <cell r="D1303" t="str">
            <v>SPCC-SD</v>
          </cell>
          <cell r="E1303" t="str">
            <v>AF1</v>
          </cell>
          <cell r="F1303">
            <v>0.6</v>
          </cell>
          <cell r="G1303">
            <v>489</v>
          </cell>
          <cell r="H1303">
            <v>1904.5</v>
          </cell>
          <cell r="I1303" t="str">
            <v>A</v>
          </cell>
          <cell r="K1303">
            <v>160</v>
          </cell>
          <cell r="L1303">
            <v>699</v>
          </cell>
          <cell r="M1303">
            <v>50100046</v>
          </cell>
          <cell r="N1303">
            <v>38623</v>
          </cell>
          <cell r="P1303" t="str">
            <v>IN5928D1L826001</v>
          </cell>
          <cell r="Q1303" t="str">
            <v>สภาพปกติ</v>
          </cell>
        </row>
        <row r="1304">
          <cell r="A1304">
            <v>50100464</v>
          </cell>
          <cell r="B1304">
            <v>1303</v>
          </cell>
          <cell r="C1304" t="str">
            <v>CW00</v>
          </cell>
          <cell r="D1304" t="str">
            <v>SPCC-SD</v>
          </cell>
          <cell r="E1304" t="str">
            <v>AF1</v>
          </cell>
          <cell r="F1304">
            <v>0.6</v>
          </cell>
          <cell r="G1304">
            <v>489</v>
          </cell>
          <cell r="H1304">
            <v>1904.5</v>
          </cell>
          <cell r="I1304" t="str">
            <v>A</v>
          </cell>
          <cell r="K1304">
            <v>18</v>
          </cell>
          <cell r="L1304">
            <v>79</v>
          </cell>
          <cell r="M1304">
            <v>50100464</v>
          </cell>
          <cell r="N1304">
            <v>38627</v>
          </cell>
          <cell r="P1304" t="str">
            <v>IN5A02D3D046402</v>
          </cell>
          <cell r="Q1304" t="str">
            <v>สภาพปกติ</v>
          </cell>
        </row>
        <row r="1305">
          <cell r="A1305">
            <v>50110174</v>
          </cell>
          <cell r="B1305">
            <v>1304</v>
          </cell>
          <cell r="C1305" t="str">
            <v>CW00</v>
          </cell>
          <cell r="D1305" t="str">
            <v>SPCC-SD</v>
          </cell>
          <cell r="E1305" t="str">
            <v>AF1</v>
          </cell>
          <cell r="F1305">
            <v>0.6</v>
          </cell>
          <cell r="G1305">
            <v>489</v>
          </cell>
          <cell r="H1305">
            <v>1904.5</v>
          </cell>
          <cell r="I1305" t="str">
            <v>A</v>
          </cell>
          <cell r="K1305">
            <v>93</v>
          </cell>
          <cell r="L1305">
            <v>408</v>
          </cell>
          <cell r="M1305">
            <v>50110174</v>
          </cell>
          <cell r="N1305">
            <v>38700</v>
          </cell>
          <cell r="P1305" t="str">
            <v>IN5C14D1L563203</v>
          </cell>
          <cell r="Q1305" t="str">
            <v>กระดาษฉีกขาด</v>
          </cell>
        </row>
        <row r="1306">
          <cell r="A1306">
            <v>50099562</v>
          </cell>
          <cell r="B1306">
            <v>1305</v>
          </cell>
          <cell r="C1306" t="str">
            <v>CW00</v>
          </cell>
          <cell r="D1306" t="str">
            <v>SPCC-SD</v>
          </cell>
          <cell r="E1306" t="str">
            <v>AF1</v>
          </cell>
          <cell r="F1306">
            <v>0.6</v>
          </cell>
          <cell r="G1306">
            <v>595</v>
          </cell>
          <cell r="H1306">
            <v>1997</v>
          </cell>
          <cell r="I1306" t="str">
            <v>A</v>
          </cell>
          <cell r="K1306">
            <v>200</v>
          </cell>
          <cell r="L1306">
            <v>1122</v>
          </cell>
          <cell r="M1306">
            <v>50099562</v>
          </cell>
          <cell r="N1306">
            <v>38619</v>
          </cell>
          <cell r="P1306" t="str">
            <v>IN5924D3M317701</v>
          </cell>
          <cell r="Q1306" t="str">
            <v>กระดาษฉีกขาด</v>
          </cell>
        </row>
        <row r="1307">
          <cell r="A1307">
            <v>50099564</v>
          </cell>
          <cell r="B1307">
            <v>1306</v>
          </cell>
          <cell r="C1307" t="str">
            <v>CW00</v>
          </cell>
          <cell r="D1307" t="str">
            <v>SPCC-SD</v>
          </cell>
          <cell r="E1307" t="str">
            <v>AF1</v>
          </cell>
          <cell r="F1307">
            <v>0.6</v>
          </cell>
          <cell r="G1307">
            <v>595</v>
          </cell>
          <cell r="H1307">
            <v>1997</v>
          </cell>
          <cell r="I1307" t="str">
            <v>A</v>
          </cell>
          <cell r="K1307">
            <v>100</v>
          </cell>
          <cell r="L1307">
            <v>560</v>
          </cell>
          <cell r="M1307">
            <v>50099564</v>
          </cell>
          <cell r="N1307">
            <v>38619</v>
          </cell>
          <cell r="P1307" t="str">
            <v>IN5924D3M317702</v>
          </cell>
          <cell r="Q1307" t="str">
            <v>แผ่นรองและสายรัดเป็นสนิม</v>
          </cell>
        </row>
        <row r="1308">
          <cell r="A1308">
            <v>50099565</v>
          </cell>
          <cell r="B1308">
            <v>1307</v>
          </cell>
          <cell r="C1308" t="str">
            <v>CW00</v>
          </cell>
          <cell r="D1308" t="str">
            <v>SPCC-SD</v>
          </cell>
          <cell r="E1308" t="str">
            <v>AF1</v>
          </cell>
          <cell r="F1308">
            <v>0.6</v>
          </cell>
          <cell r="G1308">
            <v>595</v>
          </cell>
          <cell r="H1308">
            <v>1997</v>
          </cell>
          <cell r="I1308" t="str">
            <v>A</v>
          </cell>
          <cell r="K1308">
            <v>66</v>
          </cell>
          <cell r="L1308">
            <v>369</v>
          </cell>
          <cell r="M1308">
            <v>50099565</v>
          </cell>
          <cell r="N1308">
            <v>38618</v>
          </cell>
          <cell r="P1308" t="str">
            <v>IN5923D3M317703</v>
          </cell>
          <cell r="Q1308" t="str">
            <v>แผ่นรองและสายรัดเป็นสนิม</v>
          </cell>
        </row>
        <row r="1309">
          <cell r="A1309">
            <v>50100000</v>
          </cell>
          <cell r="B1309">
            <v>1308</v>
          </cell>
          <cell r="C1309" t="str">
            <v>CW00</v>
          </cell>
          <cell r="D1309" t="str">
            <v>SPCC-SD</v>
          </cell>
          <cell r="E1309" t="str">
            <v>AF1</v>
          </cell>
          <cell r="F1309">
            <v>0.6</v>
          </cell>
          <cell r="G1309">
            <v>595</v>
          </cell>
          <cell r="H1309">
            <v>1997</v>
          </cell>
          <cell r="I1309" t="str">
            <v>A</v>
          </cell>
          <cell r="K1309">
            <v>33</v>
          </cell>
          <cell r="L1309">
            <v>185</v>
          </cell>
          <cell r="M1309">
            <v>50100000</v>
          </cell>
          <cell r="N1309">
            <v>38622</v>
          </cell>
          <cell r="P1309" t="str">
            <v>IN5927D3M323504</v>
          </cell>
          <cell r="Q1309" t="str">
            <v>แผ่นรองและสายรัดเป็นสนิม</v>
          </cell>
        </row>
        <row r="1310">
          <cell r="A1310">
            <v>50101237</v>
          </cell>
          <cell r="B1310">
            <v>1309</v>
          </cell>
          <cell r="C1310" t="str">
            <v>CW00</v>
          </cell>
          <cell r="D1310" t="str">
            <v>SPCC-SD</v>
          </cell>
          <cell r="E1310" t="str">
            <v>AF1</v>
          </cell>
          <cell r="F1310">
            <v>0.6</v>
          </cell>
          <cell r="G1310">
            <v>595</v>
          </cell>
          <cell r="H1310">
            <v>1997</v>
          </cell>
          <cell r="I1310" t="str">
            <v>A</v>
          </cell>
          <cell r="K1310">
            <v>22</v>
          </cell>
          <cell r="L1310">
            <v>125</v>
          </cell>
          <cell r="M1310">
            <v>50101237</v>
          </cell>
          <cell r="N1310">
            <v>38634</v>
          </cell>
          <cell r="P1310" t="str">
            <v>IN5A09D1L323505</v>
          </cell>
          <cell r="Q1310" t="str">
            <v>กระดาษฉีกขาด</v>
          </cell>
        </row>
        <row r="1311">
          <cell r="A1311">
            <v>50105877</v>
          </cell>
          <cell r="B1311">
            <v>1310</v>
          </cell>
          <cell r="C1311" t="str">
            <v>CW00</v>
          </cell>
          <cell r="D1311" t="str">
            <v>SPCC-SD</v>
          </cell>
          <cell r="E1311" t="str">
            <v>AF1</v>
          </cell>
          <cell r="F1311">
            <v>0.6</v>
          </cell>
          <cell r="G1311">
            <v>595</v>
          </cell>
          <cell r="H1311">
            <v>1997</v>
          </cell>
          <cell r="I1311" t="str">
            <v>A</v>
          </cell>
          <cell r="K1311">
            <v>40</v>
          </cell>
          <cell r="L1311">
            <v>222</v>
          </cell>
          <cell r="M1311">
            <v>50105877</v>
          </cell>
          <cell r="N1311">
            <v>38667</v>
          </cell>
          <cell r="P1311" t="str">
            <v>IN5B11D1L443006</v>
          </cell>
          <cell r="Q1311" t="str">
            <v>แผ่นรองและสายรัดเป็นสนิม</v>
          </cell>
        </row>
        <row r="1312">
          <cell r="A1312">
            <v>50116453</v>
          </cell>
          <cell r="B1312">
            <v>1311</v>
          </cell>
          <cell r="C1312" t="str">
            <v>CW00</v>
          </cell>
          <cell r="D1312" t="str">
            <v>SPCC-SD</v>
          </cell>
          <cell r="E1312" t="str">
            <v>AF1</v>
          </cell>
          <cell r="F1312">
            <v>0.6</v>
          </cell>
          <cell r="G1312">
            <v>595</v>
          </cell>
          <cell r="H1312">
            <v>1997</v>
          </cell>
          <cell r="I1312" t="str">
            <v>A</v>
          </cell>
          <cell r="K1312">
            <v>60</v>
          </cell>
          <cell r="L1312">
            <v>335</v>
          </cell>
          <cell r="M1312">
            <v>50116453</v>
          </cell>
          <cell r="N1312">
            <v>38749</v>
          </cell>
          <cell r="P1312" t="str">
            <v>IN6201D1L641607</v>
          </cell>
          <cell r="Q1312" t="str">
            <v>แผ่นรองและสายรัดเป็นสนิม</v>
          </cell>
        </row>
        <row r="1313">
          <cell r="A1313">
            <v>50118246</v>
          </cell>
          <cell r="B1313">
            <v>1312</v>
          </cell>
          <cell r="C1313" t="str">
            <v>CW00</v>
          </cell>
          <cell r="D1313" t="str">
            <v>SPCC-SD</v>
          </cell>
          <cell r="E1313" t="str">
            <v>AF1</v>
          </cell>
          <cell r="F1313">
            <v>0.6</v>
          </cell>
          <cell r="G1313">
            <v>595</v>
          </cell>
          <cell r="H1313">
            <v>1997</v>
          </cell>
          <cell r="I1313" t="str">
            <v>A</v>
          </cell>
          <cell r="K1313">
            <v>103</v>
          </cell>
          <cell r="L1313">
            <v>576</v>
          </cell>
          <cell r="M1313">
            <v>50118246</v>
          </cell>
          <cell r="N1313">
            <v>38766</v>
          </cell>
          <cell r="P1313" t="str">
            <v>IN6218D1L641608</v>
          </cell>
          <cell r="Q1313" t="str">
            <v>แผ่นรองและสายรัดเป็นสนิม</v>
          </cell>
        </row>
        <row r="1314">
          <cell r="A1314">
            <v>50125657</v>
          </cell>
          <cell r="B1314">
            <v>1313</v>
          </cell>
          <cell r="C1314" t="str">
            <v>CW00</v>
          </cell>
          <cell r="D1314" t="str">
            <v>SPCC-SD</v>
          </cell>
          <cell r="E1314" t="str">
            <v>AF1</v>
          </cell>
          <cell r="F1314">
            <v>0.6</v>
          </cell>
          <cell r="G1314">
            <v>595</v>
          </cell>
          <cell r="H1314">
            <v>1997</v>
          </cell>
          <cell r="I1314" t="str">
            <v>A</v>
          </cell>
          <cell r="K1314">
            <v>225</v>
          </cell>
          <cell r="L1314">
            <v>1262</v>
          </cell>
          <cell r="M1314">
            <v>50125657</v>
          </cell>
          <cell r="N1314">
            <v>38812</v>
          </cell>
          <cell r="P1314" t="str">
            <v>IN6405D1L920809</v>
          </cell>
          <cell r="Q1314" t="str">
            <v>แผ่นรองและสายรัดเป็นสนิม</v>
          </cell>
        </row>
        <row r="1315">
          <cell r="A1315">
            <v>50097031</v>
          </cell>
          <cell r="B1315">
            <v>1314</v>
          </cell>
          <cell r="C1315" t="str">
            <v>CW00</v>
          </cell>
          <cell r="D1315" t="str">
            <v>SPCC-SD</v>
          </cell>
          <cell r="E1315" t="str">
            <v>AF1</v>
          </cell>
          <cell r="F1315">
            <v>0.7</v>
          </cell>
          <cell r="G1315">
            <v>1260</v>
          </cell>
          <cell r="H1315">
            <v>1560</v>
          </cell>
          <cell r="I1315" t="str">
            <v>B</v>
          </cell>
          <cell r="K1315">
            <v>25</v>
          </cell>
          <cell r="L1315">
            <v>275</v>
          </cell>
          <cell r="M1315">
            <v>50097031</v>
          </cell>
          <cell r="N1315">
            <v>38596</v>
          </cell>
          <cell r="P1315" t="str">
            <v>IN5901D1L251601</v>
          </cell>
          <cell r="Q1315" t="str">
            <v>ขอบบุบ</v>
          </cell>
        </row>
        <row r="1316">
          <cell r="A1316">
            <v>50140869</v>
          </cell>
          <cell r="B1316">
            <v>1315</v>
          </cell>
          <cell r="C1316" t="str">
            <v>CW00</v>
          </cell>
          <cell r="D1316" t="str">
            <v>SPCC-SD</v>
          </cell>
          <cell r="E1316" t="str">
            <v>AF1</v>
          </cell>
          <cell r="F1316">
            <v>0.7</v>
          </cell>
          <cell r="G1316">
            <v>1270</v>
          </cell>
          <cell r="H1316">
            <v>1510</v>
          </cell>
          <cell r="I1316" t="str">
            <v>A</v>
          </cell>
          <cell r="K1316">
            <v>87</v>
          </cell>
          <cell r="L1316">
            <v>917</v>
          </cell>
          <cell r="M1316">
            <v>50140869</v>
          </cell>
          <cell r="N1316">
            <v>38953</v>
          </cell>
          <cell r="P1316" t="str">
            <v>IN6824N3D320001</v>
          </cell>
          <cell r="Q1316" t="str">
            <v>กระดาษฉีกขาดและเป็นสนิม</v>
          </cell>
        </row>
        <row r="1317">
          <cell r="A1317">
            <v>50096854</v>
          </cell>
          <cell r="B1317">
            <v>1316</v>
          </cell>
          <cell r="C1317" t="str">
            <v>CW00</v>
          </cell>
          <cell r="D1317" t="str">
            <v>SPCC-SD</v>
          </cell>
          <cell r="E1317" t="str">
            <v>AF1</v>
          </cell>
          <cell r="F1317">
            <v>0.7</v>
          </cell>
          <cell r="G1317">
            <v>1270</v>
          </cell>
          <cell r="H1317">
            <v>1510</v>
          </cell>
          <cell r="I1317" t="str">
            <v>B</v>
          </cell>
          <cell r="K1317">
            <v>78</v>
          </cell>
          <cell r="L1317">
            <v>828</v>
          </cell>
          <cell r="M1317">
            <v>50096854</v>
          </cell>
          <cell r="N1317">
            <v>38594</v>
          </cell>
          <cell r="P1317" t="str">
            <v>IN5830D1L248401</v>
          </cell>
          <cell r="Q1317" t="str">
            <v>แผ่นรองและสายรัดเป็นสนิม</v>
          </cell>
        </row>
        <row r="1318">
          <cell r="A1318">
            <v>50060886</v>
          </cell>
          <cell r="B1318">
            <v>1317</v>
          </cell>
          <cell r="C1318" t="str">
            <v>CW00</v>
          </cell>
          <cell r="D1318" t="str">
            <v>SPCC-SD</v>
          </cell>
          <cell r="E1318" t="str">
            <v>AF1</v>
          </cell>
          <cell r="F1318">
            <v>0.7</v>
          </cell>
          <cell r="G1318">
            <v>1300</v>
          </cell>
          <cell r="H1318">
            <v>1600</v>
          </cell>
          <cell r="I1318" t="str">
            <v>A</v>
          </cell>
          <cell r="K1318">
            <v>30</v>
          </cell>
          <cell r="L1318">
            <v>346</v>
          </cell>
          <cell r="M1318">
            <v>50060886</v>
          </cell>
          <cell r="N1318">
            <v>38347</v>
          </cell>
          <cell r="P1318" t="str">
            <v>IN4C26N1L473301</v>
          </cell>
          <cell r="Q1318" t="str">
            <v>ขอบบุบ</v>
          </cell>
        </row>
        <row r="1319">
          <cell r="A1319">
            <v>50118380</v>
          </cell>
          <cell r="B1319">
            <v>1318</v>
          </cell>
          <cell r="C1319" t="str">
            <v>CW00</v>
          </cell>
          <cell r="D1319" t="str">
            <v>SPCC-SD</v>
          </cell>
          <cell r="E1319" t="str">
            <v>AF1</v>
          </cell>
          <cell r="F1319">
            <v>0.7</v>
          </cell>
          <cell r="G1319">
            <v>1300</v>
          </cell>
          <cell r="H1319">
            <v>1600</v>
          </cell>
          <cell r="I1319" t="str">
            <v>A</v>
          </cell>
          <cell r="K1319">
            <v>40</v>
          </cell>
          <cell r="L1319">
            <v>457</v>
          </cell>
          <cell r="M1319">
            <v>50118380</v>
          </cell>
          <cell r="N1319">
            <v>38768</v>
          </cell>
          <cell r="P1319" t="str">
            <v>IN6220D2D763103</v>
          </cell>
          <cell r="Q1319" t="str">
            <v>แผ่นรองและสายรัดเป็นสนิม</v>
          </cell>
        </row>
        <row r="1320">
          <cell r="A1320">
            <v>50093668</v>
          </cell>
          <cell r="B1320">
            <v>1319</v>
          </cell>
          <cell r="C1320" t="str">
            <v>CW00</v>
          </cell>
          <cell r="D1320" t="str">
            <v>SPCC-SD</v>
          </cell>
          <cell r="E1320" t="str">
            <v>AF1</v>
          </cell>
          <cell r="F1320">
            <v>0.7</v>
          </cell>
          <cell r="G1320">
            <v>1330</v>
          </cell>
          <cell r="H1320">
            <v>1660</v>
          </cell>
          <cell r="I1320" t="str">
            <v>A</v>
          </cell>
          <cell r="K1320">
            <v>80</v>
          </cell>
          <cell r="L1320">
            <v>978</v>
          </cell>
          <cell r="M1320">
            <v>50093668</v>
          </cell>
          <cell r="N1320">
            <v>38569</v>
          </cell>
          <cell r="P1320" t="str">
            <v>IN5805D1L186701</v>
          </cell>
          <cell r="Q1320" t="str">
            <v>แผ่นรองและสายรัดเป็นสนิม</v>
          </cell>
        </row>
        <row r="1321">
          <cell r="A1321">
            <v>50096414</v>
          </cell>
          <cell r="B1321">
            <v>1320</v>
          </cell>
          <cell r="C1321" t="str">
            <v>CW00</v>
          </cell>
          <cell r="D1321" t="str">
            <v>SPCC-SD</v>
          </cell>
          <cell r="E1321" t="str">
            <v>AF1</v>
          </cell>
          <cell r="F1321">
            <v>0.7</v>
          </cell>
          <cell r="G1321">
            <v>1350</v>
          </cell>
          <cell r="H1321">
            <v>1585</v>
          </cell>
          <cell r="I1321" t="str">
            <v>B</v>
          </cell>
          <cell r="K1321">
            <v>72</v>
          </cell>
          <cell r="L1321">
            <v>857</v>
          </cell>
          <cell r="M1321">
            <v>50096414</v>
          </cell>
          <cell r="N1321">
            <v>38589</v>
          </cell>
          <cell r="P1321" t="str">
            <v>IN5825D1L233502</v>
          </cell>
          <cell r="Q1321" t="str">
            <v>กระดาษฉีกขาดและเป็นสนิม</v>
          </cell>
        </row>
        <row r="1322">
          <cell r="A1322">
            <v>50071739</v>
          </cell>
          <cell r="B1322">
            <v>1321</v>
          </cell>
          <cell r="C1322" t="str">
            <v>CW00</v>
          </cell>
          <cell r="D1322" t="str">
            <v>SPCC-SD</v>
          </cell>
          <cell r="E1322" t="str">
            <v>AF1</v>
          </cell>
          <cell r="F1322">
            <v>0.7</v>
          </cell>
          <cell r="G1322">
            <v>1350</v>
          </cell>
          <cell r="H1322">
            <v>1734</v>
          </cell>
          <cell r="K1322">
            <v>100</v>
          </cell>
          <cell r="L1322">
            <v>1298</v>
          </cell>
          <cell r="M1322">
            <v>50071739</v>
          </cell>
          <cell r="N1322">
            <v>38400</v>
          </cell>
          <cell r="P1322" t="str">
            <v>IN5217N1L722201</v>
          </cell>
          <cell r="Q1322" t="str">
            <v>แผ่นรองและสายรัดเป็นสนิม</v>
          </cell>
        </row>
        <row r="1323">
          <cell r="A1323">
            <v>50071740</v>
          </cell>
          <cell r="B1323">
            <v>1322</v>
          </cell>
          <cell r="C1323" t="str">
            <v>CW00</v>
          </cell>
          <cell r="D1323" t="str">
            <v>SPCC-SD</v>
          </cell>
          <cell r="E1323" t="str">
            <v>AF1</v>
          </cell>
          <cell r="F1323">
            <v>0.7</v>
          </cell>
          <cell r="G1323">
            <v>1350</v>
          </cell>
          <cell r="H1323">
            <v>1734</v>
          </cell>
          <cell r="I1323" t="str">
            <v>A</v>
          </cell>
          <cell r="K1323">
            <v>100</v>
          </cell>
          <cell r="L1323">
            <v>1300</v>
          </cell>
          <cell r="M1323">
            <v>50071740</v>
          </cell>
          <cell r="N1323">
            <v>38400</v>
          </cell>
          <cell r="P1323" t="str">
            <v>IN5217N1L722202</v>
          </cell>
          <cell r="Q1323" t="str">
            <v>แผ่นรองและสายรัดเป็นสนิม</v>
          </cell>
        </row>
        <row r="1324">
          <cell r="A1324">
            <v>50071741</v>
          </cell>
          <cell r="B1324">
            <v>1323</v>
          </cell>
          <cell r="C1324" t="str">
            <v>CW00</v>
          </cell>
          <cell r="D1324" t="str">
            <v>SPCC-SD</v>
          </cell>
          <cell r="E1324" t="str">
            <v>AF1</v>
          </cell>
          <cell r="F1324">
            <v>0.7</v>
          </cell>
          <cell r="G1324">
            <v>1350</v>
          </cell>
          <cell r="H1324">
            <v>1734</v>
          </cell>
          <cell r="I1324" t="str">
            <v>A</v>
          </cell>
          <cell r="K1324">
            <v>100</v>
          </cell>
          <cell r="L1324">
            <v>1298</v>
          </cell>
          <cell r="M1324">
            <v>50071741</v>
          </cell>
          <cell r="N1324">
            <v>38400</v>
          </cell>
          <cell r="P1324" t="str">
            <v>IN5217N1L722203</v>
          </cell>
          <cell r="Q1324" t="str">
            <v>แผ่นรองและสายรัดเป็นสนิม</v>
          </cell>
        </row>
        <row r="1325">
          <cell r="A1325">
            <v>50071742</v>
          </cell>
          <cell r="B1325">
            <v>1324</v>
          </cell>
          <cell r="C1325" t="str">
            <v>CW00</v>
          </cell>
          <cell r="D1325" t="str">
            <v>SPCC-SD</v>
          </cell>
          <cell r="E1325" t="str">
            <v>AF1</v>
          </cell>
          <cell r="F1325">
            <v>0.7</v>
          </cell>
          <cell r="G1325">
            <v>1350</v>
          </cell>
          <cell r="H1325">
            <v>1734</v>
          </cell>
          <cell r="I1325" t="str">
            <v>A</v>
          </cell>
          <cell r="K1325">
            <v>100</v>
          </cell>
          <cell r="L1325">
            <v>1300</v>
          </cell>
          <cell r="M1325">
            <v>50071742</v>
          </cell>
          <cell r="N1325">
            <v>38400</v>
          </cell>
          <cell r="P1325" t="str">
            <v>IN5217N1L722204</v>
          </cell>
          <cell r="Q1325" t="str">
            <v>กระดาษฉีกขาด</v>
          </cell>
        </row>
        <row r="1326">
          <cell r="A1326">
            <v>50072559</v>
          </cell>
          <cell r="B1326">
            <v>1325</v>
          </cell>
          <cell r="C1326" t="str">
            <v>CW00</v>
          </cell>
          <cell r="D1326" t="str">
            <v>SPCC-SD</v>
          </cell>
          <cell r="E1326" t="str">
            <v>AF1</v>
          </cell>
          <cell r="F1326">
            <v>0.7</v>
          </cell>
          <cell r="G1326">
            <v>1350</v>
          </cell>
          <cell r="H1326">
            <v>1734</v>
          </cell>
          <cell r="I1326" t="str">
            <v>A</v>
          </cell>
          <cell r="K1326">
            <v>45</v>
          </cell>
          <cell r="L1326">
            <v>584</v>
          </cell>
          <cell r="M1326">
            <v>50072559</v>
          </cell>
          <cell r="N1326">
            <v>38408</v>
          </cell>
          <cell r="P1326" t="str">
            <v>IN5225D1RSSSS05</v>
          </cell>
          <cell r="Q1326" t="str">
            <v>สภาพปกติ</v>
          </cell>
        </row>
        <row r="1327">
          <cell r="A1327">
            <v>50056739</v>
          </cell>
          <cell r="B1327">
            <v>1326</v>
          </cell>
          <cell r="C1327" t="str">
            <v>CW00</v>
          </cell>
          <cell r="D1327" t="str">
            <v>SPCC-SD</v>
          </cell>
          <cell r="E1327" t="str">
            <v>AF1</v>
          </cell>
          <cell r="F1327">
            <v>0.7</v>
          </cell>
          <cell r="G1327">
            <v>1360</v>
          </cell>
          <cell r="H1327">
            <v>2438</v>
          </cell>
          <cell r="I1327" t="str">
            <v>A</v>
          </cell>
          <cell r="K1327">
            <v>40</v>
          </cell>
          <cell r="L1327">
            <v>743</v>
          </cell>
          <cell r="M1327">
            <v>50056739</v>
          </cell>
          <cell r="N1327">
            <v>38265</v>
          </cell>
          <cell r="P1327" t="str">
            <v>IN4A05D1L361001</v>
          </cell>
          <cell r="Q1327" t="str">
            <v>สภาพปกติ</v>
          </cell>
        </row>
        <row r="1328">
          <cell r="A1328">
            <v>50088756</v>
          </cell>
          <cell r="B1328">
            <v>1327</v>
          </cell>
          <cell r="C1328" t="str">
            <v>CW00</v>
          </cell>
          <cell r="D1328" t="str">
            <v>SPCC-SD</v>
          </cell>
          <cell r="E1328" t="str">
            <v>AF1</v>
          </cell>
          <cell r="F1328">
            <v>0.7</v>
          </cell>
          <cell r="G1328">
            <v>1375</v>
          </cell>
          <cell r="H1328">
            <v>1940</v>
          </cell>
          <cell r="I1328" t="str">
            <v>A</v>
          </cell>
          <cell r="K1328">
            <v>31</v>
          </cell>
          <cell r="L1328">
            <v>454</v>
          </cell>
          <cell r="M1328">
            <v>50088756</v>
          </cell>
          <cell r="N1328">
            <v>38530</v>
          </cell>
          <cell r="P1328" t="str">
            <v>IN5627D2D081901</v>
          </cell>
          <cell r="Q1328" t="str">
            <v>สภาพปกติ</v>
          </cell>
        </row>
        <row r="1329">
          <cell r="A1329">
            <v>50091058</v>
          </cell>
          <cell r="B1329">
            <v>1328</v>
          </cell>
          <cell r="C1329" t="str">
            <v>CW00</v>
          </cell>
          <cell r="D1329" t="str">
            <v>SPCC-SD</v>
          </cell>
          <cell r="E1329" t="str">
            <v>AF1</v>
          </cell>
          <cell r="F1329">
            <v>0.7</v>
          </cell>
          <cell r="G1329">
            <v>1400</v>
          </cell>
          <cell r="H1329">
            <v>1680</v>
          </cell>
          <cell r="I1329" t="str">
            <v>A</v>
          </cell>
          <cell r="K1329">
            <v>28</v>
          </cell>
          <cell r="L1329">
            <v>368</v>
          </cell>
          <cell r="M1329">
            <v>50091058</v>
          </cell>
          <cell r="N1329">
            <v>38547</v>
          </cell>
          <cell r="P1329" t="str">
            <v>IN5714N1L133201</v>
          </cell>
          <cell r="Q1329" t="str">
            <v>ขอบบุบ</v>
          </cell>
        </row>
        <row r="1330">
          <cell r="A1330">
            <v>50103132</v>
          </cell>
          <cell r="B1330">
            <v>1329</v>
          </cell>
          <cell r="C1330" t="str">
            <v>CW00</v>
          </cell>
          <cell r="D1330" t="str">
            <v>SPCC-SD</v>
          </cell>
          <cell r="E1330" t="str">
            <v>AF1</v>
          </cell>
          <cell r="F1330">
            <v>0.8</v>
          </cell>
          <cell r="G1330">
            <v>470</v>
          </cell>
          <cell r="H1330">
            <v>1500</v>
          </cell>
          <cell r="I1330" t="str">
            <v>A</v>
          </cell>
          <cell r="K1330">
            <v>350</v>
          </cell>
          <cell r="L1330">
            <v>1550</v>
          </cell>
          <cell r="M1330">
            <v>50103132</v>
          </cell>
          <cell r="N1330">
            <v>38646</v>
          </cell>
          <cell r="P1330" t="str">
            <v>IN5A21D3D366501</v>
          </cell>
          <cell r="Q1330" t="str">
            <v>แผ่นรองและสายรัดเป็นสนิม</v>
          </cell>
        </row>
        <row r="1331">
          <cell r="A1331">
            <v>50103133</v>
          </cell>
          <cell r="B1331">
            <v>1330</v>
          </cell>
          <cell r="C1331" t="str">
            <v>CW00</v>
          </cell>
          <cell r="D1331" t="str">
            <v>SPCC-SD</v>
          </cell>
          <cell r="E1331" t="str">
            <v>AF1</v>
          </cell>
          <cell r="F1331">
            <v>0.8</v>
          </cell>
          <cell r="G1331">
            <v>470</v>
          </cell>
          <cell r="H1331">
            <v>1500</v>
          </cell>
          <cell r="I1331" t="str">
            <v>A</v>
          </cell>
          <cell r="K1331">
            <v>350</v>
          </cell>
          <cell r="L1331">
            <v>1550</v>
          </cell>
          <cell r="M1331">
            <v>50103133</v>
          </cell>
          <cell r="N1331">
            <v>38646</v>
          </cell>
          <cell r="P1331" t="str">
            <v>IN5A21D3M366502</v>
          </cell>
          <cell r="Q1331" t="str">
            <v>แผ่นรองและสายรัดเป็นสนิม</v>
          </cell>
        </row>
        <row r="1332">
          <cell r="A1332">
            <v>50103162</v>
          </cell>
          <cell r="B1332">
            <v>1331</v>
          </cell>
          <cell r="C1332" t="str">
            <v>CW00</v>
          </cell>
          <cell r="D1332" t="str">
            <v>SPCC-SD</v>
          </cell>
          <cell r="E1332" t="str">
            <v>AF1</v>
          </cell>
          <cell r="F1332">
            <v>0.8</v>
          </cell>
          <cell r="G1332">
            <v>470</v>
          </cell>
          <cell r="H1332">
            <v>1500</v>
          </cell>
          <cell r="I1332" t="str">
            <v>A</v>
          </cell>
          <cell r="K1332">
            <v>50</v>
          </cell>
          <cell r="L1332">
            <v>222</v>
          </cell>
          <cell r="M1332">
            <v>50103162</v>
          </cell>
          <cell r="N1332">
            <v>38647</v>
          </cell>
          <cell r="P1332" t="str">
            <v>IN5A22D1M366503</v>
          </cell>
          <cell r="Q1332" t="str">
            <v>กระดาษฉีกขาดและเป็นสนิม</v>
          </cell>
        </row>
        <row r="1333">
          <cell r="A1333">
            <v>50075028</v>
          </cell>
          <cell r="B1333">
            <v>1332</v>
          </cell>
          <cell r="C1333" t="str">
            <v>CW00</v>
          </cell>
          <cell r="D1333" t="str">
            <v>SPCC-SD</v>
          </cell>
          <cell r="E1333" t="str">
            <v>AF1</v>
          </cell>
          <cell r="F1333">
            <v>0.8</v>
          </cell>
          <cell r="G1333">
            <v>800</v>
          </cell>
          <cell r="H1333">
            <v>950</v>
          </cell>
          <cell r="I1333" t="str">
            <v>A</v>
          </cell>
          <cell r="K1333">
            <v>78</v>
          </cell>
          <cell r="L1333">
            <v>372</v>
          </cell>
          <cell r="M1333">
            <v>50075028</v>
          </cell>
          <cell r="N1333">
            <v>38692</v>
          </cell>
          <cell r="O1333" t="str">
            <v>124C22SUD004</v>
          </cell>
          <cell r="P1333" t="str">
            <v>IN5C06D1R110501</v>
          </cell>
          <cell r="Q1333" t="str">
            <v>ขอบบุบ</v>
          </cell>
        </row>
        <row r="1334">
          <cell r="A1334">
            <v>50111002</v>
          </cell>
          <cell r="B1334">
            <v>1333</v>
          </cell>
          <cell r="C1334" t="str">
            <v>CW00</v>
          </cell>
          <cell r="D1334" t="str">
            <v>SPCC-SD</v>
          </cell>
          <cell r="E1334" t="str">
            <v>AF1</v>
          </cell>
          <cell r="F1334">
            <v>0.8</v>
          </cell>
          <cell r="G1334">
            <v>800</v>
          </cell>
          <cell r="H1334">
            <v>1250</v>
          </cell>
          <cell r="I1334" t="str">
            <v>A</v>
          </cell>
          <cell r="K1334">
            <v>162</v>
          </cell>
          <cell r="L1334">
            <v>1017</v>
          </cell>
          <cell r="M1334">
            <v>50111002</v>
          </cell>
          <cell r="N1334">
            <v>38706</v>
          </cell>
          <cell r="P1334" t="str">
            <v>IN5C20N1L572101</v>
          </cell>
          <cell r="Q1334" t="str">
            <v>สภาพปกติ</v>
          </cell>
        </row>
        <row r="1335">
          <cell r="A1335">
            <v>50130645</v>
          </cell>
          <cell r="B1335">
            <v>1334</v>
          </cell>
          <cell r="C1335" t="str">
            <v>CW00</v>
          </cell>
          <cell r="D1335" t="str">
            <v>SPCC-SD</v>
          </cell>
          <cell r="E1335" t="str">
            <v>AF1</v>
          </cell>
          <cell r="F1335">
            <v>0.8</v>
          </cell>
          <cell r="G1335">
            <v>820</v>
          </cell>
          <cell r="H1335">
            <v>1550</v>
          </cell>
          <cell r="I1335" t="str">
            <v>A</v>
          </cell>
          <cell r="K1335">
            <v>125</v>
          </cell>
          <cell r="L1335">
            <v>1000</v>
          </cell>
          <cell r="M1335">
            <v>50130645</v>
          </cell>
          <cell r="N1335">
            <v>38866</v>
          </cell>
          <cell r="P1335" t="str">
            <v>IN6529D1L064502</v>
          </cell>
          <cell r="Q1335" t="str">
            <v>สภาพปกติ</v>
          </cell>
        </row>
        <row r="1336">
          <cell r="A1336">
            <v>50130658</v>
          </cell>
          <cell r="B1336">
            <v>1335</v>
          </cell>
          <cell r="C1336" t="str">
            <v>CW00</v>
          </cell>
          <cell r="D1336" t="str">
            <v>SPCC-SD</v>
          </cell>
          <cell r="E1336" t="str">
            <v>AF1</v>
          </cell>
          <cell r="F1336">
            <v>0.8</v>
          </cell>
          <cell r="G1336">
            <v>840</v>
          </cell>
          <cell r="H1336">
            <v>1800</v>
          </cell>
          <cell r="I1336" t="str">
            <v>A</v>
          </cell>
          <cell r="K1336">
            <v>105</v>
          </cell>
          <cell r="L1336">
            <v>1004</v>
          </cell>
          <cell r="M1336">
            <v>50130658</v>
          </cell>
          <cell r="N1336">
            <v>38866</v>
          </cell>
          <cell r="P1336" t="str">
            <v>IN6529D1L640801</v>
          </cell>
          <cell r="Q1336" t="str">
            <v>สภาพปกติ</v>
          </cell>
        </row>
        <row r="1337">
          <cell r="A1337">
            <v>50106427</v>
          </cell>
          <cell r="B1337">
            <v>1336</v>
          </cell>
          <cell r="C1337" t="str">
            <v>CW00</v>
          </cell>
          <cell r="D1337" t="str">
            <v>SPCC-SD</v>
          </cell>
          <cell r="E1337" t="str">
            <v>AF1</v>
          </cell>
          <cell r="F1337">
            <v>0.8</v>
          </cell>
          <cell r="G1337">
            <v>927</v>
          </cell>
          <cell r="H1337">
            <v>1219</v>
          </cell>
          <cell r="I1337" t="str">
            <v>A</v>
          </cell>
          <cell r="K1337">
            <v>3</v>
          </cell>
          <cell r="L1337">
            <v>21</v>
          </cell>
          <cell r="M1337">
            <v>50106427</v>
          </cell>
          <cell r="N1337">
            <v>38672</v>
          </cell>
          <cell r="P1337" t="str">
            <v>IN5B16D1D479601</v>
          </cell>
          <cell r="Q1337" t="str">
            <v>ขอบบุบ</v>
          </cell>
        </row>
        <row r="1338">
          <cell r="A1338">
            <v>50114365</v>
          </cell>
          <cell r="B1338">
            <v>1337</v>
          </cell>
          <cell r="C1338" t="str">
            <v>CW00</v>
          </cell>
          <cell r="D1338" t="str">
            <v>SPCC-SD</v>
          </cell>
          <cell r="E1338" t="str">
            <v>AF1</v>
          </cell>
          <cell r="F1338">
            <v>0.8</v>
          </cell>
          <cell r="G1338">
            <v>1023.6</v>
          </cell>
          <cell r="H1338">
            <v>1918</v>
          </cell>
          <cell r="I1338" t="str">
            <v>A</v>
          </cell>
          <cell r="K1338">
            <v>95</v>
          </cell>
          <cell r="L1338">
            <v>1171</v>
          </cell>
          <cell r="M1338">
            <v>50114365</v>
          </cell>
          <cell r="N1338">
            <v>38735</v>
          </cell>
          <cell r="P1338" t="str">
            <v>IN6118D1L643601</v>
          </cell>
          <cell r="Q1338" t="str">
            <v>แผ่นรองและสายรัดเป็นสนิม</v>
          </cell>
        </row>
        <row r="1339">
          <cell r="A1339">
            <v>50127449</v>
          </cell>
          <cell r="B1339">
            <v>1338</v>
          </cell>
          <cell r="C1339" t="str">
            <v>CW00</v>
          </cell>
          <cell r="D1339" t="str">
            <v>SPCC-SD</v>
          </cell>
          <cell r="E1339" t="str">
            <v>AF1</v>
          </cell>
          <cell r="F1339">
            <v>0.8</v>
          </cell>
          <cell r="G1339">
            <v>1023.6</v>
          </cell>
          <cell r="H1339">
            <v>1918</v>
          </cell>
          <cell r="I1339" t="str">
            <v>A</v>
          </cell>
          <cell r="K1339">
            <v>100</v>
          </cell>
          <cell r="L1339">
            <v>1237</v>
          </cell>
          <cell r="M1339">
            <v>50127449</v>
          </cell>
          <cell r="N1339">
            <v>38833</v>
          </cell>
          <cell r="P1339" t="str">
            <v>IN6426N1L969702</v>
          </cell>
          <cell r="Q1339" t="str">
            <v>แผ่นรองและสายรัดเป็นสนิม</v>
          </cell>
        </row>
        <row r="1340">
          <cell r="A1340">
            <v>50073501</v>
          </cell>
          <cell r="B1340">
            <v>1339</v>
          </cell>
          <cell r="C1340" t="str">
            <v>CW00</v>
          </cell>
          <cell r="D1340" t="str">
            <v>SPCC-SD</v>
          </cell>
          <cell r="E1340" t="str">
            <v>AF1</v>
          </cell>
          <cell r="F1340">
            <v>0.8</v>
          </cell>
          <cell r="G1340">
            <v>1219</v>
          </cell>
          <cell r="H1340">
            <v>1800</v>
          </cell>
          <cell r="I1340" t="str">
            <v>A</v>
          </cell>
          <cell r="K1340">
            <v>6</v>
          </cell>
          <cell r="L1340">
            <v>82</v>
          </cell>
          <cell r="M1340">
            <v>50073501</v>
          </cell>
          <cell r="N1340">
            <v>38416</v>
          </cell>
          <cell r="P1340" t="str">
            <v>IN5305D1D748901</v>
          </cell>
          <cell r="Q1340" t="str">
            <v>สภาพปกติ</v>
          </cell>
        </row>
        <row r="1341">
          <cell r="A1341">
            <v>50107181</v>
          </cell>
          <cell r="B1341">
            <v>1340</v>
          </cell>
          <cell r="C1341" t="str">
            <v>CW00</v>
          </cell>
          <cell r="D1341" t="str">
            <v>SPCC-SD</v>
          </cell>
          <cell r="E1341" t="str">
            <v>AF1</v>
          </cell>
          <cell r="F1341">
            <v>0.8</v>
          </cell>
          <cell r="G1341">
            <v>1219</v>
          </cell>
          <cell r="H1341">
            <v>1830</v>
          </cell>
          <cell r="I1341" t="str">
            <v>A</v>
          </cell>
          <cell r="K1341">
            <v>16</v>
          </cell>
          <cell r="L1341">
            <v>224</v>
          </cell>
          <cell r="M1341">
            <v>50107181</v>
          </cell>
          <cell r="N1341">
            <v>38677</v>
          </cell>
          <cell r="P1341" t="str">
            <v>IN5B21N1D496301</v>
          </cell>
          <cell r="Q1341" t="str">
            <v>สภาพปกติ</v>
          </cell>
        </row>
        <row r="1342">
          <cell r="A1342">
            <v>50074886</v>
          </cell>
          <cell r="B1342">
            <v>1341</v>
          </cell>
          <cell r="C1342" t="str">
            <v>CW00</v>
          </cell>
          <cell r="D1342" t="str">
            <v>SPCC-SD</v>
          </cell>
          <cell r="E1342" t="str">
            <v>AF1</v>
          </cell>
          <cell r="F1342">
            <v>0.9</v>
          </cell>
          <cell r="G1342">
            <v>1219</v>
          </cell>
          <cell r="H1342">
            <v>1800</v>
          </cell>
          <cell r="I1342" t="str">
            <v>A</v>
          </cell>
          <cell r="K1342">
            <v>33</v>
          </cell>
          <cell r="L1342">
            <v>520</v>
          </cell>
          <cell r="M1342">
            <v>50074886</v>
          </cell>
          <cell r="N1342">
            <v>38427</v>
          </cell>
          <cell r="P1342" t="str">
            <v>IN5316N1L809101</v>
          </cell>
          <cell r="Q1342" t="str">
            <v>สภาพปกติ</v>
          </cell>
        </row>
        <row r="1343">
          <cell r="A1343">
            <v>50078166</v>
          </cell>
          <cell r="B1343">
            <v>1342</v>
          </cell>
          <cell r="C1343" t="str">
            <v>CW00</v>
          </cell>
          <cell r="D1343" t="str">
            <v>SPCC-SD</v>
          </cell>
          <cell r="E1343" t="str">
            <v>AF1</v>
          </cell>
          <cell r="F1343">
            <v>0.9</v>
          </cell>
          <cell r="G1343">
            <v>1219</v>
          </cell>
          <cell r="H1343">
            <v>1800</v>
          </cell>
          <cell r="I1343" t="str">
            <v>A</v>
          </cell>
          <cell r="K1343">
            <v>12</v>
          </cell>
          <cell r="L1343">
            <v>192</v>
          </cell>
          <cell r="M1343">
            <v>50078166</v>
          </cell>
          <cell r="N1343">
            <v>38448</v>
          </cell>
          <cell r="P1343" t="str">
            <v>IN5406D1L842101</v>
          </cell>
          <cell r="Q1343" t="str">
            <v>สภาพปกติ</v>
          </cell>
        </row>
        <row r="1344">
          <cell r="A1344">
            <v>50090292</v>
          </cell>
          <cell r="B1344">
            <v>1343</v>
          </cell>
          <cell r="C1344" t="str">
            <v>CW00</v>
          </cell>
          <cell r="D1344" t="str">
            <v>SPCC-SD</v>
          </cell>
          <cell r="E1344" t="str">
            <v>AF1</v>
          </cell>
          <cell r="F1344">
            <v>0.9</v>
          </cell>
          <cell r="G1344">
            <v>1219</v>
          </cell>
          <cell r="H1344">
            <v>1980</v>
          </cell>
          <cell r="I1344" t="str">
            <v>A</v>
          </cell>
          <cell r="K1344">
            <v>38</v>
          </cell>
          <cell r="L1344">
            <v>631</v>
          </cell>
          <cell r="M1344">
            <v>50090292</v>
          </cell>
          <cell r="N1344">
            <v>38689</v>
          </cell>
          <cell r="P1344" t="str">
            <v>IN5C03D1R110501</v>
          </cell>
          <cell r="Q1344" t="str">
            <v>สภาพปกติ</v>
          </cell>
        </row>
        <row r="1345">
          <cell r="A1345">
            <v>50092251</v>
          </cell>
          <cell r="B1345">
            <v>1344</v>
          </cell>
          <cell r="C1345" t="str">
            <v>CW00</v>
          </cell>
          <cell r="D1345" t="str">
            <v>SPCC-SD</v>
          </cell>
          <cell r="E1345" t="str">
            <v>AF1</v>
          </cell>
          <cell r="F1345">
            <v>0.9</v>
          </cell>
          <cell r="G1345">
            <v>1219</v>
          </cell>
          <cell r="H1345">
            <v>1980</v>
          </cell>
          <cell r="I1345" t="str">
            <v>B</v>
          </cell>
          <cell r="K1345">
            <v>21</v>
          </cell>
          <cell r="L1345">
            <v>360</v>
          </cell>
          <cell r="M1345">
            <v>50092251</v>
          </cell>
          <cell r="N1345">
            <v>38558</v>
          </cell>
          <cell r="P1345" t="str">
            <v>IN5725N2RBBBB01</v>
          </cell>
          <cell r="Q1345" t="str">
            <v>กระดาษฉีกขาด</v>
          </cell>
        </row>
        <row r="1346">
          <cell r="A1346">
            <v>50092585</v>
          </cell>
          <cell r="B1346">
            <v>1345</v>
          </cell>
          <cell r="C1346" t="str">
            <v>CW00</v>
          </cell>
          <cell r="D1346" t="str">
            <v>SPCC-SD</v>
          </cell>
          <cell r="E1346" t="str">
            <v>AF1</v>
          </cell>
          <cell r="F1346">
            <v>0.9</v>
          </cell>
          <cell r="G1346">
            <v>1219</v>
          </cell>
          <cell r="H1346">
            <v>1980</v>
          </cell>
          <cell r="I1346" t="str">
            <v>B</v>
          </cell>
          <cell r="K1346">
            <v>32</v>
          </cell>
          <cell r="L1346">
            <v>546</v>
          </cell>
          <cell r="M1346">
            <v>50092585</v>
          </cell>
          <cell r="N1346">
            <v>38561</v>
          </cell>
          <cell r="P1346" t="str">
            <v>IN5728D2RBBBB02</v>
          </cell>
          <cell r="Q1346" t="str">
            <v>กระดาษฉีกขาด</v>
          </cell>
        </row>
        <row r="1347">
          <cell r="A1347">
            <v>50115519</v>
          </cell>
          <cell r="B1347">
            <v>1346</v>
          </cell>
          <cell r="C1347" t="str">
            <v>CW00</v>
          </cell>
          <cell r="D1347" t="str">
            <v>SPCC-SD</v>
          </cell>
          <cell r="E1347" t="str">
            <v>AF1</v>
          </cell>
          <cell r="F1347">
            <v>0.9</v>
          </cell>
          <cell r="G1347">
            <v>1219</v>
          </cell>
          <cell r="H1347">
            <v>1980</v>
          </cell>
          <cell r="I1347" t="str">
            <v>B</v>
          </cell>
          <cell r="K1347">
            <v>47</v>
          </cell>
          <cell r="L1347">
            <v>801</v>
          </cell>
          <cell r="M1347">
            <v>50115519</v>
          </cell>
          <cell r="N1347">
            <v>38744</v>
          </cell>
          <cell r="P1347" t="str">
            <v>IN6127N3D672403</v>
          </cell>
          <cell r="Q1347" t="str">
            <v>แผ่นรองและสายรัดเป็นสนิม</v>
          </cell>
        </row>
        <row r="1348">
          <cell r="A1348">
            <v>50113211</v>
          </cell>
          <cell r="B1348">
            <v>1347</v>
          </cell>
          <cell r="C1348" t="str">
            <v>CW00</v>
          </cell>
          <cell r="D1348" t="str">
            <v>SPCC-SD</v>
          </cell>
          <cell r="E1348" t="str">
            <v>AF1</v>
          </cell>
          <cell r="F1348">
            <v>0.9</v>
          </cell>
          <cell r="G1348">
            <v>1219</v>
          </cell>
          <cell r="H1348">
            <v>2050</v>
          </cell>
          <cell r="I1348" t="str">
            <v>A</v>
          </cell>
          <cell r="K1348">
            <v>22</v>
          </cell>
          <cell r="L1348">
            <v>384</v>
          </cell>
          <cell r="M1348">
            <v>50113211</v>
          </cell>
          <cell r="N1348">
            <v>38727</v>
          </cell>
          <cell r="P1348" t="str">
            <v>IN6110N1L618501</v>
          </cell>
          <cell r="Q1348" t="str">
            <v>กระดาษฉีกขาด</v>
          </cell>
        </row>
        <row r="1349">
          <cell r="A1349">
            <v>50113630</v>
          </cell>
          <cell r="B1349">
            <v>1348</v>
          </cell>
          <cell r="C1349" t="str">
            <v>CW00</v>
          </cell>
          <cell r="D1349" t="str">
            <v>SPCC-SD</v>
          </cell>
          <cell r="E1349" t="str">
            <v>AF1</v>
          </cell>
          <cell r="F1349">
            <v>0.9</v>
          </cell>
          <cell r="G1349">
            <v>1219</v>
          </cell>
          <cell r="H1349">
            <v>2050</v>
          </cell>
          <cell r="I1349" t="str">
            <v>A</v>
          </cell>
          <cell r="K1349">
            <v>26</v>
          </cell>
          <cell r="L1349">
            <v>445</v>
          </cell>
          <cell r="M1349">
            <v>50113630</v>
          </cell>
          <cell r="N1349">
            <v>38729</v>
          </cell>
          <cell r="P1349" t="str">
            <v>IN6112D1L618502</v>
          </cell>
          <cell r="Q1349" t="str">
            <v>สภาพปกติ</v>
          </cell>
        </row>
        <row r="1350">
          <cell r="A1350">
            <v>50090291</v>
          </cell>
          <cell r="B1350">
            <v>1349</v>
          </cell>
          <cell r="C1350" t="str">
            <v>CW00</v>
          </cell>
          <cell r="D1350" t="str">
            <v>SPCC-SD</v>
          </cell>
          <cell r="E1350" t="str">
            <v>AF1</v>
          </cell>
          <cell r="F1350">
            <v>0.9</v>
          </cell>
          <cell r="G1350">
            <v>1219</v>
          </cell>
          <cell r="H1350">
            <v>2200</v>
          </cell>
          <cell r="I1350" t="str">
            <v>A</v>
          </cell>
          <cell r="K1350">
            <v>70</v>
          </cell>
          <cell r="L1350">
            <v>1335</v>
          </cell>
          <cell r="M1350">
            <v>50090291</v>
          </cell>
          <cell r="N1350">
            <v>38542</v>
          </cell>
          <cell r="P1350" t="str">
            <v>IN5709D1L125501</v>
          </cell>
          <cell r="Q1350" t="str">
            <v>กระดาษฉีกขาด</v>
          </cell>
        </row>
        <row r="1351">
          <cell r="A1351">
            <v>50122769</v>
          </cell>
          <cell r="B1351">
            <v>1350</v>
          </cell>
          <cell r="C1351" t="str">
            <v>CW00</v>
          </cell>
          <cell r="D1351" t="str">
            <v>SPCC-SD</v>
          </cell>
          <cell r="E1351" t="str">
            <v>AF1</v>
          </cell>
          <cell r="F1351">
            <v>0.9</v>
          </cell>
          <cell r="G1351">
            <v>1219</v>
          </cell>
          <cell r="H1351">
            <v>2200</v>
          </cell>
          <cell r="I1351" t="str">
            <v>A</v>
          </cell>
          <cell r="K1351">
            <v>58</v>
          </cell>
          <cell r="L1351">
            <v>1076</v>
          </cell>
          <cell r="M1351">
            <v>50122769</v>
          </cell>
          <cell r="N1351">
            <v>38793</v>
          </cell>
          <cell r="P1351" t="str">
            <v>IN6317D1R851402</v>
          </cell>
          <cell r="Q1351" t="str">
            <v>แผ่นรองและสายรัดเป็นสนิม</v>
          </cell>
        </row>
        <row r="1352">
          <cell r="A1352">
            <v>50107980</v>
          </cell>
          <cell r="B1352">
            <v>1351</v>
          </cell>
          <cell r="C1352" t="str">
            <v>CW00</v>
          </cell>
          <cell r="D1352" t="str">
            <v>SPCC-SD</v>
          </cell>
          <cell r="E1352" t="str">
            <v>AF1</v>
          </cell>
          <cell r="F1352">
            <v>0.9</v>
          </cell>
          <cell r="G1352">
            <v>1220</v>
          </cell>
          <cell r="H1352">
            <v>2000</v>
          </cell>
          <cell r="I1352" t="str">
            <v>A</v>
          </cell>
          <cell r="K1352">
            <v>11</v>
          </cell>
          <cell r="L1352">
            <v>195</v>
          </cell>
          <cell r="M1352">
            <v>50107980</v>
          </cell>
          <cell r="N1352">
            <v>38682</v>
          </cell>
          <cell r="P1352" t="str">
            <v>IN5B261D1R110501</v>
          </cell>
          <cell r="Q1352" t="str">
            <v>สภาพปกติ</v>
          </cell>
        </row>
        <row r="1353">
          <cell r="A1353">
            <v>50047041</v>
          </cell>
          <cell r="B1353">
            <v>1352</v>
          </cell>
          <cell r="C1353" t="str">
            <v>CW00</v>
          </cell>
          <cell r="D1353" t="str">
            <v>SPCC-SD</v>
          </cell>
          <cell r="E1353" t="str">
            <v>AF1</v>
          </cell>
          <cell r="F1353">
            <v>0.9</v>
          </cell>
          <cell r="G1353">
            <v>1250</v>
          </cell>
          <cell r="H1353">
            <v>2438</v>
          </cell>
          <cell r="I1353" t="str">
            <v>B</v>
          </cell>
          <cell r="K1353">
            <v>30</v>
          </cell>
          <cell r="L1353">
            <v>645</v>
          </cell>
          <cell r="M1353">
            <v>50047041</v>
          </cell>
          <cell r="N1353">
            <v>38169</v>
          </cell>
          <cell r="P1353" t="str">
            <v>IN4701D1RSSSS01</v>
          </cell>
          <cell r="Q1353" t="str">
            <v>สภาพปกติ</v>
          </cell>
        </row>
        <row r="1354">
          <cell r="A1354">
            <v>50130417</v>
          </cell>
          <cell r="B1354">
            <v>1353</v>
          </cell>
          <cell r="C1354" t="str">
            <v>CW00</v>
          </cell>
          <cell r="D1354" t="str">
            <v>SPCC-SD</v>
          </cell>
          <cell r="E1354" t="str">
            <v>AF1</v>
          </cell>
          <cell r="F1354">
            <v>1</v>
          </cell>
          <cell r="G1354">
            <v>780</v>
          </cell>
          <cell r="H1354">
            <v>1500</v>
          </cell>
          <cell r="I1354" t="str">
            <v>A</v>
          </cell>
          <cell r="K1354">
            <v>50</v>
          </cell>
          <cell r="L1354">
            <v>460</v>
          </cell>
          <cell r="M1354">
            <v>50130417</v>
          </cell>
          <cell r="N1354">
            <v>38863</v>
          </cell>
          <cell r="P1354" t="str">
            <v>IN6526N1L043501</v>
          </cell>
          <cell r="Q1354" t="str">
            <v>สภาพปกติ</v>
          </cell>
        </row>
        <row r="1355">
          <cell r="A1355">
            <v>50106801</v>
          </cell>
          <cell r="B1355">
            <v>1354</v>
          </cell>
          <cell r="C1355" t="str">
            <v>CW00</v>
          </cell>
          <cell r="D1355" t="str">
            <v>SPCC-SD</v>
          </cell>
          <cell r="E1355" t="str">
            <v>AF1</v>
          </cell>
          <cell r="F1355">
            <v>1.2</v>
          </cell>
          <cell r="G1355">
            <v>850</v>
          </cell>
          <cell r="H1355">
            <v>957</v>
          </cell>
          <cell r="I1355" t="str">
            <v>A</v>
          </cell>
          <cell r="K1355">
            <v>116</v>
          </cell>
          <cell r="L1355">
            <v>872</v>
          </cell>
          <cell r="M1355">
            <v>50106801</v>
          </cell>
          <cell r="N1355">
            <v>38674</v>
          </cell>
          <cell r="P1355" t="str">
            <v>IN5B18D3R470001</v>
          </cell>
          <cell r="Q1355" t="str">
            <v>ขอบบุบ</v>
          </cell>
        </row>
        <row r="1356">
          <cell r="A1356">
            <v>50128228</v>
          </cell>
          <cell r="B1356">
            <v>1355</v>
          </cell>
          <cell r="C1356" t="str">
            <v>CW00</v>
          </cell>
          <cell r="D1356" t="str">
            <v>SPCC-SD</v>
          </cell>
          <cell r="E1356" t="str">
            <v>AF1</v>
          </cell>
          <cell r="F1356">
            <v>1.2</v>
          </cell>
          <cell r="G1356">
            <v>1058</v>
          </cell>
          <cell r="H1356">
            <v>1219</v>
          </cell>
          <cell r="I1356" t="str">
            <v>A</v>
          </cell>
          <cell r="K1356">
            <v>9</v>
          </cell>
          <cell r="L1356">
            <v>109</v>
          </cell>
          <cell r="M1356">
            <v>50128228</v>
          </cell>
          <cell r="N1356">
            <v>38842</v>
          </cell>
          <cell r="P1356" t="str">
            <v>IN6505D3RQQQQ01</v>
          </cell>
          <cell r="Q1356" t="str">
            <v>กระดาษฉีกขาด</v>
          </cell>
        </row>
        <row r="1357">
          <cell r="A1357">
            <v>50042142</v>
          </cell>
          <cell r="B1357">
            <v>1356</v>
          </cell>
          <cell r="C1357" t="str">
            <v>CW00</v>
          </cell>
          <cell r="D1357" t="str">
            <v>SPCC-SD</v>
          </cell>
          <cell r="E1357" t="str">
            <v>AF1</v>
          </cell>
          <cell r="F1357">
            <v>1.4</v>
          </cell>
          <cell r="G1357">
            <v>1326</v>
          </cell>
          <cell r="H1357">
            <v>2438</v>
          </cell>
          <cell r="I1357" t="str">
            <v>B</v>
          </cell>
          <cell r="K1357">
            <v>4</v>
          </cell>
          <cell r="L1357">
            <v>140</v>
          </cell>
          <cell r="M1357">
            <v>50042142</v>
          </cell>
          <cell r="N1357">
            <v>38119</v>
          </cell>
          <cell r="P1357" t="str">
            <v>IN4512N1RSSSS01</v>
          </cell>
          <cell r="Q1357" t="str">
            <v>สภาพปกติ</v>
          </cell>
        </row>
        <row r="1358">
          <cell r="A1358">
            <v>50113319</v>
          </cell>
          <cell r="B1358">
            <v>1357</v>
          </cell>
          <cell r="C1358" t="str">
            <v>CW00</v>
          </cell>
          <cell r="D1358" t="str">
            <v>SPCC-SD</v>
          </cell>
          <cell r="E1358" t="str">
            <v>AF1</v>
          </cell>
          <cell r="F1358">
            <v>1.6</v>
          </cell>
          <cell r="G1358">
            <v>765</v>
          </cell>
          <cell r="H1358">
            <v>2000</v>
          </cell>
          <cell r="I1358" t="str">
            <v>A</v>
          </cell>
          <cell r="K1358">
            <v>30</v>
          </cell>
          <cell r="L1358">
            <v>566</v>
          </cell>
          <cell r="M1358">
            <v>50113319</v>
          </cell>
          <cell r="N1358">
            <v>38727</v>
          </cell>
          <cell r="P1358" t="str">
            <v>IN6110D1L635201</v>
          </cell>
          <cell r="Q1358" t="str">
            <v>แผ่นรองและสายรัดเป็นสนิม</v>
          </cell>
        </row>
        <row r="1359">
          <cell r="A1359">
            <v>50098638</v>
          </cell>
          <cell r="B1359">
            <v>1358</v>
          </cell>
          <cell r="C1359" t="str">
            <v>CW00</v>
          </cell>
          <cell r="D1359" t="str">
            <v>SPCC-SD</v>
          </cell>
          <cell r="E1359" t="str">
            <v>AF1</v>
          </cell>
          <cell r="F1359">
            <v>1.6</v>
          </cell>
          <cell r="G1359">
            <v>769</v>
          </cell>
          <cell r="H1359">
            <v>1941</v>
          </cell>
          <cell r="I1359" t="str">
            <v>A</v>
          </cell>
          <cell r="K1359">
            <v>17</v>
          </cell>
          <cell r="L1359">
            <v>319</v>
          </cell>
          <cell r="M1359">
            <v>50098638</v>
          </cell>
          <cell r="N1359">
            <v>38607</v>
          </cell>
          <cell r="P1359" t="str">
            <v>IN5912D3R292301</v>
          </cell>
          <cell r="Q1359" t="str">
            <v>แผ่นรองและสายรัดเป็นสนิม</v>
          </cell>
        </row>
        <row r="1360">
          <cell r="A1360">
            <v>50107559</v>
          </cell>
          <cell r="B1360">
            <v>1359</v>
          </cell>
          <cell r="C1360" t="str">
            <v>CW00</v>
          </cell>
          <cell r="D1360" t="str">
            <v>SPCC-SD</v>
          </cell>
          <cell r="E1360" t="str">
            <v>AF1</v>
          </cell>
          <cell r="F1360">
            <v>1.6</v>
          </cell>
          <cell r="G1360">
            <v>769</v>
          </cell>
          <cell r="H1360">
            <v>1941</v>
          </cell>
          <cell r="I1360" t="str">
            <v>A</v>
          </cell>
          <cell r="K1360">
            <v>25</v>
          </cell>
          <cell r="L1360">
            <v>474</v>
          </cell>
          <cell r="M1360">
            <v>50107559</v>
          </cell>
          <cell r="N1360">
            <v>38681</v>
          </cell>
          <cell r="P1360" t="str">
            <v>IN5B25D3R503502</v>
          </cell>
          <cell r="Q1360" t="str">
            <v>แผ่นรองและสายรัดเป็นสนิม</v>
          </cell>
        </row>
        <row r="1361">
          <cell r="A1361">
            <v>50115398</v>
          </cell>
          <cell r="B1361">
            <v>1360</v>
          </cell>
          <cell r="C1361" t="str">
            <v>CW00</v>
          </cell>
          <cell r="D1361" t="str">
            <v>SPCC-SD</v>
          </cell>
          <cell r="E1361" t="str">
            <v>AF1</v>
          </cell>
          <cell r="F1361">
            <v>1.6</v>
          </cell>
          <cell r="G1361">
            <v>769</v>
          </cell>
          <cell r="H1361">
            <v>1941</v>
          </cell>
          <cell r="I1361" t="str">
            <v>A</v>
          </cell>
          <cell r="K1361">
            <v>10</v>
          </cell>
          <cell r="L1361">
            <v>188</v>
          </cell>
          <cell r="M1361">
            <v>50115398</v>
          </cell>
          <cell r="N1361">
            <v>38743</v>
          </cell>
          <cell r="P1361" t="str">
            <v>IN6126D3RQQQQ03</v>
          </cell>
          <cell r="Q1361" t="str">
            <v>แผ่นรองและสายรัดเป็นสนิม</v>
          </cell>
        </row>
        <row r="1362">
          <cell r="A1362">
            <v>50124252</v>
          </cell>
          <cell r="B1362">
            <v>1361</v>
          </cell>
          <cell r="C1362" t="str">
            <v>CW00</v>
          </cell>
          <cell r="D1362" t="str">
            <v>SPCC-SD</v>
          </cell>
          <cell r="E1362" t="str">
            <v>AF1</v>
          </cell>
          <cell r="F1362">
            <v>1.6</v>
          </cell>
          <cell r="G1362">
            <v>769</v>
          </cell>
          <cell r="H1362">
            <v>1941</v>
          </cell>
          <cell r="I1362" t="str">
            <v>A</v>
          </cell>
          <cell r="K1362">
            <v>80</v>
          </cell>
          <cell r="L1362">
            <v>1500</v>
          </cell>
          <cell r="M1362">
            <v>50124252</v>
          </cell>
          <cell r="N1362">
            <v>38800</v>
          </cell>
          <cell r="P1362" t="str">
            <v>IN6324D3R869604</v>
          </cell>
          <cell r="Q1362" t="str">
            <v>แผ่นรองและสายรัดเป็นสนิม</v>
          </cell>
        </row>
        <row r="1363">
          <cell r="A1363">
            <v>50124253</v>
          </cell>
          <cell r="B1363">
            <v>1362</v>
          </cell>
          <cell r="C1363" t="str">
            <v>CW00</v>
          </cell>
          <cell r="D1363" t="str">
            <v>SPCC-SD</v>
          </cell>
          <cell r="E1363" t="str">
            <v>AF1</v>
          </cell>
          <cell r="F1363">
            <v>1.6</v>
          </cell>
          <cell r="G1363">
            <v>769</v>
          </cell>
          <cell r="H1363">
            <v>1941</v>
          </cell>
          <cell r="I1363" t="str">
            <v>A</v>
          </cell>
          <cell r="K1363">
            <v>80</v>
          </cell>
          <cell r="L1363">
            <v>1500</v>
          </cell>
          <cell r="M1363">
            <v>50124253</v>
          </cell>
          <cell r="N1363">
            <v>38800</v>
          </cell>
          <cell r="P1363" t="str">
            <v>IN6324D3R869605</v>
          </cell>
          <cell r="Q1363" t="str">
            <v>แผ่นรองและสายรัดเป็นสนิม</v>
          </cell>
        </row>
        <row r="1364">
          <cell r="A1364">
            <v>50124254</v>
          </cell>
          <cell r="B1364">
            <v>1363</v>
          </cell>
          <cell r="C1364" t="str">
            <v>CW00</v>
          </cell>
          <cell r="D1364" t="str">
            <v>SPCC-SD</v>
          </cell>
          <cell r="E1364" t="str">
            <v>AF1</v>
          </cell>
          <cell r="F1364">
            <v>1.6</v>
          </cell>
          <cell r="G1364">
            <v>769</v>
          </cell>
          <cell r="H1364">
            <v>1941</v>
          </cell>
          <cell r="I1364" t="str">
            <v>A</v>
          </cell>
          <cell r="K1364">
            <v>80</v>
          </cell>
          <cell r="L1364">
            <v>1500</v>
          </cell>
          <cell r="M1364">
            <v>50124254</v>
          </cell>
          <cell r="N1364">
            <v>38800</v>
          </cell>
          <cell r="P1364" t="str">
            <v>IN6324D3R869606</v>
          </cell>
          <cell r="Q1364" t="str">
            <v>แผ่นรองและสายรัดเป็นสนิม</v>
          </cell>
        </row>
        <row r="1365">
          <cell r="A1365">
            <v>50124255</v>
          </cell>
          <cell r="B1365">
            <v>1364</v>
          </cell>
          <cell r="C1365" t="str">
            <v>CW00</v>
          </cell>
          <cell r="D1365" t="str">
            <v>SPCC-SD</v>
          </cell>
          <cell r="E1365" t="str">
            <v>AF1</v>
          </cell>
          <cell r="F1365">
            <v>1.6</v>
          </cell>
          <cell r="G1365">
            <v>769</v>
          </cell>
          <cell r="H1365">
            <v>1941</v>
          </cell>
          <cell r="I1365" t="str">
            <v>A</v>
          </cell>
          <cell r="K1365">
            <v>80</v>
          </cell>
          <cell r="L1365">
            <v>1500</v>
          </cell>
          <cell r="M1365">
            <v>50124255</v>
          </cell>
          <cell r="N1365">
            <v>38800</v>
          </cell>
          <cell r="P1365" t="str">
            <v>IN6324D3R869607</v>
          </cell>
          <cell r="Q1365" t="str">
            <v>แผ่นรองและสายรัดเป็นสนิม</v>
          </cell>
        </row>
        <row r="1366">
          <cell r="A1366">
            <v>50124257</v>
          </cell>
          <cell r="B1366">
            <v>1365</v>
          </cell>
          <cell r="C1366" t="str">
            <v>CW00</v>
          </cell>
          <cell r="D1366" t="str">
            <v>SPCC-SD</v>
          </cell>
          <cell r="E1366" t="str">
            <v>AF1</v>
          </cell>
          <cell r="F1366">
            <v>1.6</v>
          </cell>
          <cell r="G1366">
            <v>769</v>
          </cell>
          <cell r="H1366">
            <v>1941</v>
          </cell>
          <cell r="I1366" t="str">
            <v>A</v>
          </cell>
          <cell r="K1366">
            <v>80</v>
          </cell>
          <cell r="L1366">
            <v>1500</v>
          </cell>
          <cell r="M1366">
            <v>50124257</v>
          </cell>
          <cell r="N1366">
            <v>38800</v>
          </cell>
          <cell r="P1366" t="str">
            <v>IN6324D3R869608</v>
          </cell>
          <cell r="Q1366" t="str">
            <v>แผ่นรองและสายรัดเป็นสนิม</v>
          </cell>
        </row>
        <row r="1367">
          <cell r="A1367">
            <v>50124258</v>
          </cell>
          <cell r="B1367">
            <v>1366</v>
          </cell>
          <cell r="C1367" t="str">
            <v>CW00</v>
          </cell>
          <cell r="D1367" t="str">
            <v>SPCC-SD</v>
          </cell>
          <cell r="E1367" t="str">
            <v>AF1</v>
          </cell>
          <cell r="F1367">
            <v>1.6</v>
          </cell>
          <cell r="G1367">
            <v>769</v>
          </cell>
          <cell r="H1367">
            <v>1941</v>
          </cell>
          <cell r="I1367" t="str">
            <v>A</v>
          </cell>
          <cell r="K1367">
            <v>20</v>
          </cell>
          <cell r="L1367">
            <v>374</v>
          </cell>
          <cell r="M1367">
            <v>50124258</v>
          </cell>
          <cell r="N1367">
            <v>38802</v>
          </cell>
          <cell r="P1367" t="str">
            <v>IN6326D3R869609</v>
          </cell>
          <cell r="Q1367" t="str">
            <v>แผ่นรองและสายรัดเป็นสนิม</v>
          </cell>
        </row>
        <row r="1368">
          <cell r="A1368">
            <v>50128237</v>
          </cell>
          <cell r="B1368">
            <v>1367</v>
          </cell>
          <cell r="C1368" t="str">
            <v>CW00</v>
          </cell>
          <cell r="D1368" t="str">
            <v>SPCC-SD</v>
          </cell>
          <cell r="E1368" t="str">
            <v>AF1</v>
          </cell>
          <cell r="F1368">
            <v>1.6</v>
          </cell>
          <cell r="G1368">
            <v>800</v>
          </cell>
          <cell r="H1368">
            <v>2200</v>
          </cell>
          <cell r="I1368" t="str">
            <v>A</v>
          </cell>
          <cell r="K1368">
            <v>65</v>
          </cell>
          <cell r="L1368">
            <v>1435</v>
          </cell>
          <cell r="M1368">
            <v>50128237</v>
          </cell>
          <cell r="N1368">
            <v>38842</v>
          </cell>
          <cell r="P1368" t="str">
            <v>IN6505D3RQQQQ02</v>
          </cell>
          <cell r="Q1368" t="str">
            <v>แผ่นรองและสายรัดเป็นสนิม</v>
          </cell>
        </row>
        <row r="1369">
          <cell r="A1369">
            <v>50128238</v>
          </cell>
          <cell r="B1369">
            <v>1368</v>
          </cell>
          <cell r="C1369" t="str">
            <v>CW00</v>
          </cell>
          <cell r="D1369" t="str">
            <v>SPCC-SD</v>
          </cell>
          <cell r="E1369" t="str">
            <v>AF1</v>
          </cell>
          <cell r="F1369">
            <v>1.6</v>
          </cell>
          <cell r="G1369">
            <v>800</v>
          </cell>
          <cell r="H1369">
            <v>2200</v>
          </cell>
          <cell r="I1369" t="str">
            <v>A</v>
          </cell>
          <cell r="K1369">
            <v>65</v>
          </cell>
          <cell r="L1369">
            <v>1435</v>
          </cell>
          <cell r="M1369">
            <v>50128238</v>
          </cell>
          <cell r="N1369">
            <v>38842</v>
          </cell>
          <cell r="P1369" t="str">
            <v>IN6505D3RQQQQ03</v>
          </cell>
          <cell r="Q1369" t="str">
            <v>แผ่นรองและสายรัดเป็นสนิม</v>
          </cell>
        </row>
        <row r="1370">
          <cell r="A1370">
            <v>50128239</v>
          </cell>
          <cell r="B1370">
            <v>1369</v>
          </cell>
          <cell r="C1370" t="str">
            <v>CW00</v>
          </cell>
          <cell r="D1370" t="str">
            <v>SPCC-SD</v>
          </cell>
          <cell r="E1370" t="str">
            <v>AF1</v>
          </cell>
          <cell r="F1370">
            <v>1.6</v>
          </cell>
          <cell r="G1370">
            <v>800</v>
          </cell>
          <cell r="H1370">
            <v>2200</v>
          </cell>
          <cell r="I1370" t="str">
            <v>A</v>
          </cell>
          <cell r="K1370">
            <v>65</v>
          </cell>
          <cell r="L1370">
            <v>1435</v>
          </cell>
          <cell r="M1370">
            <v>50128239</v>
          </cell>
          <cell r="N1370">
            <v>38842</v>
          </cell>
          <cell r="P1370" t="str">
            <v>IN6505D3RQQQQ04</v>
          </cell>
          <cell r="Q1370" t="str">
            <v>แผ่นรองและสายรัดเป็นสนิม</v>
          </cell>
        </row>
        <row r="1371">
          <cell r="A1371">
            <v>80128240</v>
          </cell>
          <cell r="B1371">
            <v>1370</v>
          </cell>
          <cell r="C1371" t="str">
            <v>CW00</v>
          </cell>
          <cell r="D1371" t="str">
            <v>SPCC-SD</v>
          </cell>
          <cell r="E1371" t="str">
            <v>AF1</v>
          </cell>
          <cell r="F1371">
            <v>1.6</v>
          </cell>
          <cell r="G1371">
            <v>800</v>
          </cell>
          <cell r="H1371">
            <v>2200</v>
          </cell>
          <cell r="I1371" t="str">
            <v>A</v>
          </cell>
          <cell r="K1371">
            <v>12</v>
          </cell>
          <cell r="L1371">
            <v>265</v>
          </cell>
          <cell r="M1371">
            <v>80128240</v>
          </cell>
          <cell r="N1371">
            <v>38842</v>
          </cell>
          <cell r="P1371" t="str">
            <v>IN6505D3RQQQQ05</v>
          </cell>
          <cell r="Q1371" t="str">
            <v>กระดาษฉีกขาด</v>
          </cell>
        </row>
        <row r="1372">
          <cell r="A1372">
            <v>50128241</v>
          </cell>
          <cell r="B1372">
            <v>1371</v>
          </cell>
          <cell r="C1372" t="str">
            <v>CW00</v>
          </cell>
          <cell r="D1372" t="str">
            <v>SPCC-SD</v>
          </cell>
          <cell r="E1372" t="str">
            <v>AF1</v>
          </cell>
          <cell r="F1372">
            <v>1.6</v>
          </cell>
          <cell r="G1372">
            <v>800</v>
          </cell>
          <cell r="H1372">
            <v>2200</v>
          </cell>
          <cell r="I1372" t="str">
            <v>A</v>
          </cell>
          <cell r="K1372">
            <v>65</v>
          </cell>
          <cell r="L1372">
            <v>1435</v>
          </cell>
          <cell r="M1372">
            <v>50128241</v>
          </cell>
          <cell r="N1372">
            <v>38842</v>
          </cell>
          <cell r="P1372" t="str">
            <v>IN6505D3RQQQQ06</v>
          </cell>
          <cell r="Q1372" t="str">
            <v>แผ่นรองและสายรัดเป็นสนิม</v>
          </cell>
        </row>
        <row r="1373">
          <cell r="A1373">
            <v>50128242</v>
          </cell>
          <cell r="B1373">
            <v>1372</v>
          </cell>
          <cell r="C1373" t="str">
            <v>CW00</v>
          </cell>
          <cell r="D1373" t="str">
            <v>SPCC-SD</v>
          </cell>
          <cell r="E1373" t="str">
            <v>AF1</v>
          </cell>
          <cell r="F1373">
            <v>1.6</v>
          </cell>
          <cell r="G1373">
            <v>800</v>
          </cell>
          <cell r="H1373">
            <v>2200</v>
          </cell>
          <cell r="I1373" t="str">
            <v>A</v>
          </cell>
          <cell r="K1373">
            <v>65</v>
          </cell>
          <cell r="L1373">
            <v>1435</v>
          </cell>
          <cell r="M1373">
            <v>50128242</v>
          </cell>
          <cell r="N1373">
            <v>38842</v>
          </cell>
          <cell r="P1373" t="str">
            <v>IN6505D3RQQQQ07</v>
          </cell>
          <cell r="Q1373" t="str">
            <v>แผ่นรองและสายรัดเป็นสนิม</v>
          </cell>
        </row>
        <row r="1374">
          <cell r="A1374">
            <v>50138366</v>
          </cell>
          <cell r="B1374">
            <v>1373</v>
          </cell>
          <cell r="C1374" t="str">
            <v>CW00</v>
          </cell>
          <cell r="D1374" t="str">
            <v>SPCC-SD</v>
          </cell>
          <cell r="E1374" t="str">
            <v>AF1</v>
          </cell>
          <cell r="F1374">
            <v>1.6</v>
          </cell>
          <cell r="G1374">
            <v>800</v>
          </cell>
          <cell r="H1374">
            <v>2200</v>
          </cell>
          <cell r="I1374" t="str">
            <v>A</v>
          </cell>
          <cell r="K1374">
            <v>13</v>
          </cell>
          <cell r="L1374">
            <v>287</v>
          </cell>
          <cell r="M1374">
            <v>50138366</v>
          </cell>
          <cell r="N1374">
            <v>38928</v>
          </cell>
          <cell r="P1374" t="str">
            <v>IN6730N1D243708</v>
          </cell>
          <cell r="Q1374" t="str">
            <v>ขอบบุบ</v>
          </cell>
        </row>
        <row r="1375">
          <cell r="A1375">
            <v>50102151</v>
          </cell>
          <cell r="B1375">
            <v>1374</v>
          </cell>
          <cell r="C1375" t="str">
            <v>CW00</v>
          </cell>
          <cell r="D1375" t="str">
            <v>SPCC-SD</v>
          </cell>
          <cell r="E1375" t="str">
            <v>AF1</v>
          </cell>
          <cell r="F1375">
            <v>1.6</v>
          </cell>
          <cell r="G1375">
            <v>900</v>
          </cell>
          <cell r="H1375">
            <v>1050</v>
          </cell>
          <cell r="I1375" t="str">
            <v>A</v>
          </cell>
          <cell r="K1375">
            <v>39</v>
          </cell>
          <cell r="L1375">
            <v>463</v>
          </cell>
          <cell r="M1375">
            <v>50102151</v>
          </cell>
          <cell r="N1375">
            <v>38671</v>
          </cell>
          <cell r="P1375" t="str">
            <v>IN5B15D3D332701</v>
          </cell>
          <cell r="Q1375" t="str">
            <v>ขอบบุบ</v>
          </cell>
        </row>
        <row r="1376">
          <cell r="A1376">
            <v>50119890</v>
          </cell>
          <cell r="B1376">
            <v>1375</v>
          </cell>
          <cell r="C1376" t="str">
            <v>CW00</v>
          </cell>
          <cell r="D1376" t="str">
            <v>SPCC-SD</v>
          </cell>
          <cell r="E1376" t="str">
            <v>AF1</v>
          </cell>
          <cell r="F1376">
            <v>1.6</v>
          </cell>
          <cell r="G1376">
            <v>1000</v>
          </cell>
          <cell r="H1376">
            <v>2000</v>
          </cell>
          <cell r="I1376" t="str">
            <v>A</v>
          </cell>
          <cell r="K1376">
            <v>12</v>
          </cell>
          <cell r="L1376">
            <v>312</v>
          </cell>
          <cell r="M1376">
            <v>50119890</v>
          </cell>
          <cell r="N1376">
            <v>38777</v>
          </cell>
          <cell r="P1376" t="str">
            <v>IN6301N1L794201</v>
          </cell>
          <cell r="Q1376" t="str">
            <v>ขอบบุบ</v>
          </cell>
        </row>
        <row r="1377">
          <cell r="A1377">
            <v>50125253</v>
          </cell>
          <cell r="B1377">
            <v>1376</v>
          </cell>
          <cell r="C1377" t="str">
            <v>CW00</v>
          </cell>
          <cell r="D1377" t="str">
            <v>SPCC-SD</v>
          </cell>
          <cell r="E1377" t="str">
            <v>AF1</v>
          </cell>
          <cell r="F1377">
            <v>1.6</v>
          </cell>
          <cell r="G1377">
            <v>1000</v>
          </cell>
          <cell r="H1377">
            <v>2000</v>
          </cell>
          <cell r="I1377" t="str">
            <v>A</v>
          </cell>
          <cell r="K1377">
            <v>32</v>
          </cell>
          <cell r="L1377">
            <v>806</v>
          </cell>
          <cell r="M1377">
            <v>50125253</v>
          </cell>
          <cell r="N1377">
            <v>38808</v>
          </cell>
          <cell r="O1377" t="str">
            <v>I26329TCD002</v>
          </cell>
          <cell r="P1377" t="str">
            <v>IN6401N1L903802</v>
          </cell>
          <cell r="Q1377" t="str">
            <v>กระดาษฉีกขาด</v>
          </cell>
        </row>
        <row r="1378">
          <cell r="A1378">
            <v>50126497</v>
          </cell>
          <cell r="B1378">
            <v>1377</v>
          </cell>
          <cell r="C1378" t="str">
            <v>CW00</v>
          </cell>
          <cell r="D1378" t="str">
            <v>SPCC-SD</v>
          </cell>
          <cell r="E1378" t="str">
            <v>AF1</v>
          </cell>
          <cell r="F1378">
            <v>1.6</v>
          </cell>
          <cell r="G1378">
            <v>1000</v>
          </cell>
          <cell r="H1378">
            <v>2000</v>
          </cell>
          <cell r="I1378" t="str">
            <v>A</v>
          </cell>
          <cell r="K1378">
            <v>21</v>
          </cell>
          <cell r="L1378">
            <v>522</v>
          </cell>
          <cell r="M1378">
            <v>50126497</v>
          </cell>
          <cell r="N1378">
            <v>38826</v>
          </cell>
          <cell r="P1378" t="str">
            <v>IN6419N2R876703</v>
          </cell>
          <cell r="Q1378" t="str">
            <v>แผ่นรองและสายรัดเป็นสนิม</v>
          </cell>
        </row>
        <row r="1379">
          <cell r="A1379">
            <v>50128243</v>
          </cell>
          <cell r="B1379">
            <v>1378</v>
          </cell>
          <cell r="C1379" t="str">
            <v>CW00</v>
          </cell>
          <cell r="D1379" t="str">
            <v>SPCC-SD</v>
          </cell>
          <cell r="E1379" t="str">
            <v>AF1</v>
          </cell>
          <cell r="F1379">
            <v>1.6</v>
          </cell>
          <cell r="G1379">
            <v>1000</v>
          </cell>
          <cell r="H1379">
            <v>2000</v>
          </cell>
          <cell r="I1379" t="str">
            <v>A</v>
          </cell>
          <cell r="K1379">
            <v>38</v>
          </cell>
          <cell r="L1379">
            <v>955</v>
          </cell>
          <cell r="M1379">
            <v>50128243</v>
          </cell>
          <cell r="N1379">
            <v>38842</v>
          </cell>
          <cell r="P1379" t="str">
            <v>IN6505D3RQQQQ04</v>
          </cell>
          <cell r="Q1379" t="str">
            <v>ขอบบุบ</v>
          </cell>
        </row>
        <row r="1380">
          <cell r="A1380">
            <v>50092057</v>
          </cell>
          <cell r="B1380">
            <v>1379</v>
          </cell>
          <cell r="C1380" t="str">
            <v>CW00</v>
          </cell>
          <cell r="D1380" t="str">
            <v>SPCC-SD</v>
          </cell>
          <cell r="E1380" t="str">
            <v>AF1</v>
          </cell>
          <cell r="F1380">
            <v>1.6</v>
          </cell>
          <cell r="G1380">
            <v>1219</v>
          </cell>
          <cell r="H1380">
            <v>1900</v>
          </cell>
          <cell r="I1380" t="str">
            <v>A</v>
          </cell>
          <cell r="K1380">
            <v>9</v>
          </cell>
          <cell r="L1380">
            <v>268</v>
          </cell>
          <cell r="M1380">
            <v>50092057</v>
          </cell>
          <cell r="N1380">
            <v>38554</v>
          </cell>
          <cell r="P1380" t="str">
            <v>IN5721N1L151901</v>
          </cell>
          <cell r="Q1380" t="str">
            <v>สภาพปกติ</v>
          </cell>
        </row>
        <row r="1381">
          <cell r="A1381">
            <v>50107844</v>
          </cell>
          <cell r="B1381">
            <v>1380</v>
          </cell>
          <cell r="C1381" t="str">
            <v>CW00</v>
          </cell>
          <cell r="D1381" t="str">
            <v>SPCC-SD</v>
          </cell>
          <cell r="E1381" t="str">
            <v>AF1</v>
          </cell>
          <cell r="F1381">
            <v>1.6</v>
          </cell>
          <cell r="G1381">
            <v>1219</v>
          </cell>
          <cell r="H1381">
            <v>1900</v>
          </cell>
          <cell r="I1381" t="str">
            <v>A</v>
          </cell>
          <cell r="K1381">
            <v>17</v>
          </cell>
          <cell r="L1381">
            <v>491</v>
          </cell>
          <cell r="M1381">
            <v>50107844</v>
          </cell>
          <cell r="N1381">
            <v>38682</v>
          </cell>
          <cell r="O1381" t="str">
            <v>Z25B26TCD001</v>
          </cell>
          <cell r="P1381" t="str">
            <v>IN5B26N1R110502</v>
          </cell>
          <cell r="Q1381" t="str">
            <v>สภาพปกติ</v>
          </cell>
        </row>
        <row r="1382">
          <cell r="A1382">
            <v>50112516</v>
          </cell>
          <cell r="B1382">
            <v>1381</v>
          </cell>
          <cell r="C1382" t="str">
            <v>CW00</v>
          </cell>
          <cell r="D1382" t="str">
            <v>SPCC-SD</v>
          </cell>
          <cell r="E1382" t="str">
            <v>AF1</v>
          </cell>
          <cell r="F1382">
            <v>1.6</v>
          </cell>
          <cell r="G1382">
            <v>1219</v>
          </cell>
          <cell r="H1382">
            <v>1900</v>
          </cell>
          <cell r="I1382" t="str">
            <v>A</v>
          </cell>
          <cell r="K1382">
            <v>16</v>
          </cell>
          <cell r="L1382">
            <v>465</v>
          </cell>
          <cell r="M1382">
            <v>50112516</v>
          </cell>
          <cell r="N1382">
            <v>38721</v>
          </cell>
          <cell r="P1382" t="str">
            <v>IN6104D1D611403</v>
          </cell>
          <cell r="Q1382" t="str">
            <v>กระดาษฉีกขาดและเป็นสนิม</v>
          </cell>
        </row>
        <row r="1383">
          <cell r="A1383">
            <v>50139296</v>
          </cell>
          <cell r="B1383">
            <v>1382</v>
          </cell>
          <cell r="C1383" t="str">
            <v>CW00</v>
          </cell>
          <cell r="D1383" t="str">
            <v>SPCC-SD</v>
          </cell>
          <cell r="E1383" t="str">
            <v>AF1</v>
          </cell>
          <cell r="F1383">
            <v>1.6</v>
          </cell>
          <cell r="G1383">
            <v>1219</v>
          </cell>
          <cell r="H1383">
            <v>1900</v>
          </cell>
          <cell r="I1383" t="str">
            <v>A</v>
          </cell>
          <cell r="K1383">
            <v>6</v>
          </cell>
          <cell r="L1383">
            <v>175</v>
          </cell>
          <cell r="M1383">
            <v>50139296</v>
          </cell>
          <cell r="N1383">
            <v>38934</v>
          </cell>
          <cell r="P1383" t="str">
            <v>IN6805D1D271501</v>
          </cell>
          <cell r="Q1383" t="str">
            <v>กระดาษฉีกขาดและเป็นสนิม</v>
          </cell>
        </row>
        <row r="1384">
          <cell r="A1384">
            <v>50114397</v>
          </cell>
          <cell r="B1384">
            <v>1383</v>
          </cell>
          <cell r="C1384" t="str">
            <v>CW00</v>
          </cell>
          <cell r="D1384" t="str">
            <v>SPCC-SD</v>
          </cell>
          <cell r="E1384" t="str">
            <v>AF1</v>
          </cell>
          <cell r="F1384">
            <v>1.6</v>
          </cell>
          <cell r="G1384">
            <v>1219</v>
          </cell>
          <cell r="H1384">
            <v>1900</v>
          </cell>
          <cell r="I1384" t="str">
            <v>B</v>
          </cell>
          <cell r="K1384">
            <v>6</v>
          </cell>
          <cell r="L1384">
            <v>175</v>
          </cell>
          <cell r="M1384">
            <v>50114397</v>
          </cell>
          <cell r="N1384">
            <v>38735</v>
          </cell>
          <cell r="P1384" t="str">
            <v>IN6118D3D645901</v>
          </cell>
          <cell r="Q1384" t="str">
            <v>กระดาษฉีกขาด</v>
          </cell>
        </row>
        <row r="1385">
          <cell r="A1385">
            <v>50089063</v>
          </cell>
          <cell r="B1385">
            <v>1384</v>
          </cell>
          <cell r="C1385" t="str">
            <v>CW00</v>
          </cell>
          <cell r="D1385" t="str">
            <v>SPCC-SD</v>
          </cell>
          <cell r="E1385" t="str">
            <v>AF1</v>
          </cell>
          <cell r="F1385">
            <v>1.6</v>
          </cell>
          <cell r="G1385">
            <v>1219</v>
          </cell>
          <cell r="H1385">
            <v>2000</v>
          </cell>
          <cell r="I1385" t="str">
            <v>A</v>
          </cell>
          <cell r="K1385">
            <v>49</v>
          </cell>
          <cell r="L1385">
            <v>1511</v>
          </cell>
          <cell r="M1385">
            <v>50089063</v>
          </cell>
          <cell r="N1385">
            <v>38533</v>
          </cell>
          <cell r="P1385" t="str">
            <v>IN5630D2L089901</v>
          </cell>
          <cell r="Q1385" t="str">
            <v>ขอบบุบ</v>
          </cell>
        </row>
        <row r="1386">
          <cell r="A1386">
            <v>50112390</v>
          </cell>
          <cell r="B1386">
            <v>1385</v>
          </cell>
          <cell r="C1386" t="str">
            <v>CW00</v>
          </cell>
          <cell r="D1386" t="str">
            <v>SPCC-SD</v>
          </cell>
          <cell r="E1386" t="str">
            <v>AF1</v>
          </cell>
          <cell r="F1386">
            <v>1.6</v>
          </cell>
          <cell r="G1386">
            <v>1219</v>
          </cell>
          <cell r="H1386">
            <v>2000</v>
          </cell>
          <cell r="I1386" t="str">
            <v>A</v>
          </cell>
          <cell r="K1386">
            <v>45</v>
          </cell>
          <cell r="L1386">
            <v>1380</v>
          </cell>
          <cell r="M1386">
            <v>50112390</v>
          </cell>
          <cell r="N1386">
            <v>38744</v>
          </cell>
          <cell r="P1386" t="str">
            <v>IN6127DZZ999902</v>
          </cell>
          <cell r="Q1386" t="str">
            <v>กระดาษฉีกขาดและเป็นสนิม</v>
          </cell>
        </row>
        <row r="1387">
          <cell r="A1387">
            <v>50113963</v>
          </cell>
          <cell r="B1387">
            <v>1386</v>
          </cell>
          <cell r="C1387" t="str">
            <v>CW00</v>
          </cell>
          <cell r="D1387" t="str">
            <v>SPCC-SD</v>
          </cell>
          <cell r="E1387" t="str">
            <v>AF1</v>
          </cell>
          <cell r="F1387">
            <v>1.6</v>
          </cell>
          <cell r="G1387">
            <v>1219</v>
          </cell>
          <cell r="H1387">
            <v>2000</v>
          </cell>
          <cell r="I1387" t="str">
            <v>A</v>
          </cell>
          <cell r="K1387">
            <v>50</v>
          </cell>
          <cell r="L1387">
            <v>1536</v>
          </cell>
          <cell r="M1387">
            <v>50113963</v>
          </cell>
          <cell r="N1387">
            <v>38744</v>
          </cell>
          <cell r="P1387" t="str">
            <v>IN6127DZZ999903</v>
          </cell>
          <cell r="Q1387" t="str">
            <v>กระดาษฉีกขาดและเป็นสนิม</v>
          </cell>
        </row>
        <row r="1388">
          <cell r="A1388">
            <v>50115007</v>
          </cell>
          <cell r="B1388">
            <v>1387</v>
          </cell>
          <cell r="C1388" t="str">
            <v>CW00</v>
          </cell>
          <cell r="D1388" t="str">
            <v>SPCC-SD</v>
          </cell>
          <cell r="E1388" t="str">
            <v>AF1</v>
          </cell>
          <cell r="F1388">
            <v>1.6</v>
          </cell>
          <cell r="G1388">
            <v>1219</v>
          </cell>
          <cell r="H1388">
            <v>2000</v>
          </cell>
          <cell r="I1388" t="str">
            <v>A</v>
          </cell>
          <cell r="K1388">
            <v>49</v>
          </cell>
          <cell r="L1388">
            <v>1501</v>
          </cell>
          <cell r="M1388">
            <v>50115007</v>
          </cell>
          <cell r="N1388">
            <v>38738</v>
          </cell>
          <cell r="P1388" t="str">
            <v>IN6121D1L634304</v>
          </cell>
          <cell r="Q1388" t="str">
            <v>แผ่นรองและสายรัดเป็นสนิม</v>
          </cell>
        </row>
        <row r="1389">
          <cell r="A1389">
            <v>50116007</v>
          </cell>
          <cell r="B1389">
            <v>1388</v>
          </cell>
          <cell r="C1389" t="str">
            <v>CW00</v>
          </cell>
          <cell r="D1389" t="str">
            <v>SPCC-SD</v>
          </cell>
          <cell r="E1389" t="str">
            <v>AF1</v>
          </cell>
          <cell r="F1389">
            <v>1.6</v>
          </cell>
          <cell r="G1389">
            <v>1219</v>
          </cell>
          <cell r="H1389">
            <v>2000</v>
          </cell>
          <cell r="I1389" t="str">
            <v>A</v>
          </cell>
          <cell r="K1389">
            <v>10</v>
          </cell>
          <cell r="L1389">
            <v>283</v>
          </cell>
          <cell r="M1389">
            <v>50116007</v>
          </cell>
          <cell r="N1389">
            <v>38754</v>
          </cell>
          <cell r="P1389" t="str">
            <v>IN6206D1R712905</v>
          </cell>
          <cell r="Q1389" t="str">
            <v>กระดาษฉีกขาด</v>
          </cell>
        </row>
        <row r="1390">
          <cell r="A1390">
            <v>50128231</v>
          </cell>
          <cell r="B1390">
            <v>1389</v>
          </cell>
          <cell r="C1390" t="str">
            <v>CW00</v>
          </cell>
          <cell r="D1390" t="str">
            <v>SPCC-SD</v>
          </cell>
          <cell r="E1390" t="str">
            <v>AF1</v>
          </cell>
          <cell r="F1390">
            <v>1.6</v>
          </cell>
          <cell r="G1390">
            <v>1219</v>
          </cell>
          <cell r="H1390">
            <v>2000</v>
          </cell>
          <cell r="I1390" t="str">
            <v>A</v>
          </cell>
          <cell r="K1390">
            <v>49</v>
          </cell>
          <cell r="L1390">
            <v>1500</v>
          </cell>
          <cell r="M1390">
            <v>50128231</v>
          </cell>
          <cell r="N1390">
            <v>38842</v>
          </cell>
          <cell r="P1390" t="str">
            <v>IN6505D3RQQQQ07</v>
          </cell>
          <cell r="Q1390" t="str">
            <v>สภาพปกติ</v>
          </cell>
        </row>
        <row r="1391">
          <cell r="A1391">
            <v>50128232</v>
          </cell>
          <cell r="B1391">
            <v>1390</v>
          </cell>
          <cell r="C1391" t="str">
            <v>CW00</v>
          </cell>
          <cell r="D1391" t="str">
            <v>SPCC-SD</v>
          </cell>
          <cell r="E1391" t="str">
            <v>AF1</v>
          </cell>
          <cell r="F1391">
            <v>1.6</v>
          </cell>
          <cell r="G1391">
            <v>1219</v>
          </cell>
          <cell r="H1391">
            <v>2000</v>
          </cell>
          <cell r="I1391" t="str">
            <v>A</v>
          </cell>
          <cell r="K1391">
            <v>50</v>
          </cell>
          <cell r="L1391">
            <v>1531</v>
          </cell>
          <cell r="M1391">
            <v>50128232</v>
          </cell>
          <cell r="N1391">
            <v>38842</v>
          </cell>
          <cell r="P1391" t="str">
            <v>IN6505D3RQQQQ08</v>
          </cell>
          <cell r="Q1391" t="str">
            <v>สภาพปกติ</v>
          </cell>
        </row>
        <row r="1392">
          <cell r="A1392">
            <v>50128233</v>
          </cell>
          <cell r="B1392">
            <v>1391</v>
          </cell>
          <cell r="C1392" t="str">
            <v>CW00</v>
          </cell>
          <cell r="D1392" t="str">
            <v>SPCC-SD</v>
          </cell>
          <cell r="E1392" t="str">
            <v>AF1</v>
          </cell>
          <cell r="F1392">
            <v>1.6</v>
          </cell>
          <cell r="G1392">
            <v>1219</v>
          </cell>
          <cell r="H1392">
            <v>2000</v>
          </cell>
          <cell r="I1392" t="str">
            <v>A</v>
          </cell>
          <cell r="K1392">
            <v>50</v>
          </cell>
          <cell r="L1392">
            <v>1531</v>
          </cell>
          <cell r="M1392">
            <v>50128233</v>
          </cell>
          <cell r="N1392">
            <v>38842</v>
          </cell>
          <cell r="P1392" t="str">
            <v>IN6505D3RQQQQ09</v>
          </cell>
          <cell r="Q1392" t="str">
            <v>สภาพปกติ</v>
          </cell>
        </row>
        <row r="1393">
          <cell r="A1393">
            <v>50128235</v>
          </cell>
          <cell r="B1393">
            <v>1392</v>
          </cell>
          <cell r="C1393" t="str">
            <v>CW00</v>
          </cell>
          <cell r="D1393" t="str">
            <v>SPCC-SD</v>
          </cell>
          <cell r="E1393" t="str">
            <v>AF1</v>
          </cell>
          <cell r="F1393">
            <v>1.6</v>
          </cell>
          <cell r="G1393">
            <v>1219</v>
          </cell>
          <cell r="H1393">
            <v>2000</v>
          </cell>
          <cell r="I1393" t="str">
            <v>A</v>
          </cell>
          <cell r="K1393">
            <v>50</v>
          </cell>
          <cell r="L1393">
            <v>1531</v>
          </cell>
          <cell r="M1393">
            <v>50128235</v>
          </cell>
          <cell r="N1393">
            <v>38842</v>
          </cell>
          <cell r="P1393" t="str">
            <v>IN6505D3RQQQQ10</v>
          </cell>
          <cell r="Q1393" t="str">
            <v>สภาพปกติ</v>
          </cell>
        </row>
        <row r="1394">
          <cell r="A1394">
            <v>50134930</v>
          </cell>
          <cell r="B1394">
            <v>1393</v>
          </cell>
          <cell r="C1394" t="str">
            <v>CW00</v>
          </cell>
          <cell r="D1394" t="str">
            <v>SPCC-SD</v>
          </cell>
          <cell r="E1394" t="str">
            <v>AF1</v>
          </cell>
          <cell r="F1394">
            <v>1.6</v>
          </cell>
          <cell r="G1394">
            <v>1219</v>
          </cell>
          <cell r="H1394">
            <v>2000</v>
          </cell>
          <cell r="I1394" t="str">
            <v>A</v>
          </cell>
          <cell r="K1394">
            <v>3</v>
          </cell>
          <cell r="L1394">
            <v>92</v>
          </cell>
          <cell r="M1394">
            <v>50134930</v>
          </cell>
          <cell r="N1394">
            <v>38897</v>
          </cell>
          <cell r="P1394" t="str">
            <v>IN6629D3D152911</v>
          </cell>
          <cell r="Q1394" t="str">
            <v>สภาพปกติ</v>
          </cell>
        </row>
        <row r="1395">
          <cell r="A1395">
            <v>50138907</v>
          </cell>
          <cell r="B1395">
            <v>1394</v>
          </cell>
          <cell r="C1395" t="str">
            <v>CW00</v>
          </cell>
          <cell r="D1395" t="str">
            <v>SPCC-SD</v>
          </cell>
          <cell r="E1395" t="str">
            <v>AF1</v>
          </cell>
          <cell r="F1395">
            <v>1.6</v>
          </cell>
          <cell r="G1395">
            <v>1219</v>
          </cell>
          <cell r="H1395">
            <v>2000</v>
          </cell>
          <cell r="I1395" t="str">
            <v>A</v>
          </cell>
          <cell r="K1395">
            <v>33</v>
          </cell>
          <cell r="L1395">
            <v>1013</v>
          </cell>
          <cell r="M1395">
            <v>50138907</v>
          </cell>
          <cell r="N1395">
            <v>38932</v>
          </cell>
          <cell r="O1395" t="str">
            <v>126303TCD001</v>
          </cell>
          <cell r="P1395" t="str">
            <v>IN6803N3D265512</v>
          </cell>
          <cell r="Q1395" t="str">
            <v>แผ่นรองและสายรัดเป็นสนิม</v>
          </cell>
        </row>
        <row r="1396">
          <cell r="A1396">
            <v>50106060</v>
          </cell>
          <cell r="B1396">
            <v>1395</v>
          </cell>
          <cell r="C1396" t="str">
            <v>CW00</v>
          </cell>
          <cell r="D1396" t="str">
            <v>SPCC-SD</v>
          </cell>
          <cell r="E1396" t="str">
            <v>AF1</v>
          </cell>
          <cell r="F1396">
            <v>1.6</v>
          </cell>
          <cell r="G1396">
            <v>1219</v>
          </cell>
          <cell r="H1396">
            <v>2200</v>
          </cell>
          <cell r="I1396" t="str">
            <v>A</v>
          </cell>
          <cell r="K1396">
            <v>20</v>
          </cell>
          <cell r="L1396">
            <v>663</v>
          </cell>
          <cell r="M1396">
            <v>50106060</v>
          </cell>
          <cell r="N1396">
            <v>38668</v>
          </cell>
          <cell r="P1396" t="str">
            <v>IN5B12N1L474801</v>
          </cell>
          <cell r="Q1396" t="str">
            <v>ขอบบุบ</v>
          </cell>
        </row>
        <row r="1397">
          <cell r="A1397">
            <v>50061523</v>
          </cell>
          <cell r="B1397">
            <v>1396</v>
          </cell>
          <cell r="C1397" t="str">
            <v>CW00</v>
          </cell>
          <cell r="D1397" t="str">
            <v>SPCC-SD</v>
          </cell>
          <cell r="E1397" t="str">
            <v>AF1</v>
          </cell>
          <cell r="F1397">
            <v>1.6</v>
          </cell>
          <cell r="G1397">
            <v>1219</v>
          </cell>
          <cell r="H1397">
            <v>2250</v>
          </cell>
          <cell r="I1397" t="str">
            <v>A</v>
          </cell>
          <cell r="K1397">
            <v>1</v>
          </cell>
          <cell r="L1397">
            <v>30</v>
          </cell>
          <cell r="M1397">
            <v>50061523</v>
          </cell>
          <cell r="N1397">
            <v>38884</v>
          </cell>
          <cell r="P1397" t="str">
            <v>IN6616D1D481301</v>
          </cell>
          <cell r="Q1397" t="str">
            <v>สภาพปกติ</v>
          </cell>
        </row>
        <row r="1398">
          <cell r="A1398">
            <v>50113900</v>
          </cell>
          <cell r="B1398">
            <v>1397</v>
          </cell>
          <cell r="C1398" t="str">
            <v>CW00</v>
          </cell>
          <cell r="D1398" t="str">
            <v>SPCC-SD</v>
          </cell>
          <cell r="E1398" t="str">
            <v>AF1</v>
          </cell>
          <cell r="F1398">
            <v>2</v>
          </cell>
          <cell r="G1398">
            <v>1219</v>
          </cell>
          <cell r="H1398">
            <v>1878</v>
          </cell>
          <cell r="I1398" t="str">
            <v>A</v>
          </cell>
          <cell r="K1398">
            <v>17</v>
          </cell>
          <cell r="L1398">
            <v>611</v>
          </cell>
          <cell r="M1398">
            <v>50113900</v>
          </cell>
          <cell r="N1398">
            <v>38731</v>
          </cell>
          <cell r="P1398" t="str">
            <v>IN6614D3D649401</v>
          </cell>
          <cell r="Q1398" t="str">
            <v>ขอบบุบ</v>
          </cell>
        </row>
        <row r="1399">
          <cell r="A1399">
            <v>50132838</v>
          </cell>
          <cell r="B1399">
            <v>1398</v>
          </cell>
          <cell r="C1399" t="str">
            <v>CW00</v>
          </cell>
          <cell r="D1399" t="str">
            <v>SPCC-SD</v>
          </cell>
          <cell r="E1399" t="str">
            <v>AF1</v>
          </cell>
          <cell r="F1399">
            <v>2</v>
          </cell>
          <cell r="G1399">
            <v>1219</v>
          </cell>
          <cell r="H1399">
            <v>1878</v>
          </cell>
          <cell r="I1399" t="str">
            <v>A</v>
          </cell>
          <cell r="K1399">
            <v>15</v>
          </cell>
          <cell r="L1399">
            <v>541</v>
          </cell>
          <cell r="M1399">
            <v>50132838</v>
          </cell>
          <cell r="N1399">
            <v>38884</v>
          </cell>
          <cell r="O1399" t="str">
            <v>126607TCD021</v>
          </cell>
          <cell r="P1399" t="str">
            <v>IN6616D1L092102</v>
          </cell>
          <cell r="Q1399" t="str">
            <v>กระดาษฉีกขาด</v>
          </cell>
        </row>
        <row r="1400">
          <cell r="A1400">
            <v>50139399</v>
          </cell>
          <cell r="B1400">
            <v>1399</v>
          </cell>
          <cell r="C1400" t="str">
            <v>CW00</v>
          </cell>
          <cell r="D1400" t="str">
            <v>SPCC-SD</v>
          </cell>
          <cell r="E1400" t="str">
            <v>AF1</v>
          </cell>
          <cell r="F1400">
            <v>2</v>
          </cell>
          <cell r="G1400">
            <v>1219</v>
          </cell>
          <cell r="H1400">
            <v>1878</v>
          </cell>
          <cell r="I1400" t="str">
            <v>A</v>
          </cell>
          <cell r="K1400">
            <v>15</v>
          </cell>
          <cell r="L1400">
            <v>539</v>
          </cell>
          <cell r="M1400">
            <v>50139399</v>
          </cell>
          <cell r="N1400">
            <v>38936</v>
          </cell>
          <cell r="P1400" t="str">
            <v>IN6807D3D274403</v>
          </cell>
          <cell r="Q1400" t="str">
            <v>ขอบบุบ</v>
          </cell>
        </row>
        <row r="1401">
          <cell r="A1401">
            <v>50098729</v>
          </cell>
          <cell r="B1401">
            <v>1400</v>
          </cell>
          <cell r="C1401" t="str">
            <v>CW00</v>
          </cell>
          <cell r="D1401" t="str">
            <v>SPCC-SD</v>
          </cell>
          <cell r="E1401" t="str">
            <v>AF1</v>
          </cell>
          <cell r="F1401">
            <v>2</v>
          </cell>
          <cell r="G1401">
            <v>1219</v>
          </cell>
          <cell r="H1401">
            <v>2200</v>
          </cell>
          <cell r="I1401" t="str">
            <v>A</v>
          </cell>
          <cell r="K1401">
            <v>4</v>
          </cell>
          <cell r="L1401">
            <v>168</v>
          </cell>
          <cell r="M1401">
            <v>50098729</v>
          </cell>
          <cell r="N1401">
            <v>38608</v>
          </cell>
          <cell r="P1401" t="str">
            <v>IN5913D1D292201</v>
          </cell>
          <cell r="Q1401" t="str">
            <v>สภาพปกติ</v>
          </cell>
        </row>
        <row r="1402">
          <cell r="A1402">
            <v>50100160</v>
          </cell>
          <cell r="B1402">
            <v>1401</v>
          </cell>
          <cell r="C1402" t="str">
            <v>CW00</v>
          </cell>
          <cell r="D1402" t="str">
            <v>SPCC-SD</v>
          </cell>
          <cell r="E1402" t="str">
            <v>AF1</v>
          </cell>
          <cell r="F1402">
            <v>2</v>
          </cell>
          <cell r="G1402">
            <v>1219</v>
          </cell>
          <cell r="H1402">
            <v>2200</v>
          </cell>
          <cell r="I1402" t="str">
            <v>A</v>
          </cell>
          <cell r="K1402">
            <v>3</v>
          </cell>
          <cell r="L1402">
            <v>126</v>
          </cell>
          <cell r="M1402">
            <v>50100160</v>
          </cell>
          <cell r="N1402">
            <v>38624</v>
          </cell>
          <cell r="P1402" t="str">
            <v>IN5929D1D329602</v>
          </cell>
          <cell r="Q1402" t="str">
            <v>สภาพปกติ</v>
          </cell>
        </row>
        <row r="1403">
          <cell r="A1403">
            <v>50121770</v>
          </cell>
          <cell r="B1403">
            <v>1402</v>
          </cell>
          <cell r="C1403" t="str">
            <v>CW00</v>
          </cell>
          <cell r="D1403" t="str">
            <v>SPCC-SD</v>
          </cell>
          <cell r="E1403" t="str">
            <v>AF1</v>
          </cell>
          <cell r="F1403">
            <v>2</v>
          </cell>
          <cell r="G1403">
            <v>1219</v>
          </cell>
          <cell r="H1403">
            <v>2200</v>
          </cell>
          <cell r="I1403" t="str">
            <v>A</v>
          </cell>
          <cell r="K1403">
            <v>6</v>
          </cell>
          <cell r="L1403">
            <v>246</v>
          </cell>
          <cell r="M1403">
            <v>50121770</v>
          </cell>
          <cell r="N1403">
            <v>42445</v>
          </cell>
          <cell r="P1403" t="str">
            <v>IN6316N1D831303</v>
          </cell>
          <cell r="Q1403" t="str">
            <v>สภาพปกติ</v>
          </cell>
        </row>
        <row r="1404">
          <cell r="A1404">
            <v>50127308</v>
          </cell>
          <cell r="B1404">
            <v>1403</v>
          </cell>
          <cell r="C1404" t="str">
            <v>CW00</v>
          </cell>
          <cell r="D1404" t="str">
            <v>SPCC-SD</v>
          </cell>
          <cell r="E1404" t="str">
            <v>AF1</v>
          </cell>
          <cell r="F1404">
            <v>2</v>
          </cell>
          <cell r="G1404">
            <v>1219</v>
          </cell>
          <cell r="H1404">
            <v>2200</v>
          </cell>
          <cell r="I1404" t="str">
            <v>A</v>
          </cell>
          <cell r="K1404">
            <v>1</v>
          </cell>
          <cell r="L1404">
            <v>42</v>
          </cell>
          <cell r="M1404">
            <v>50127308</v>
          </cell>
          <cell r="N1404">
            <v>38833</v>
          </cell>
          <cell r="P1404" t="str">
            <v>IN6426N3D960304</v>
          </cell>
          <cell r="Q1404" t="str">
            <v>สภาพปกติ</v>
          </cell>
        </row>
        <row r="1405">
          <cell r="A1405">
            <v>50114598</v>
          </cell>
          <cell r="B1405">
            <v>1404</v>
          </cell>
          <cell r="C1405" t="str">
            <v>CW00</v>
          </cell>
          <cell r="D1405" t="str">
            <v>SPCC-SD</v>
          </cell>
          <cell r="E1405" t="str">
            <v>AF1</v>
          </cell>
          <cell r="F1405">
            <v>2.2999999999999998</v>
          </cell>
          <cell r="G1405">
            <v>1219</v>
          </cell>
          <cell r="H1405">
            <v>2200</v>
          </cell>
          <cell r="I1405" t="str">
            <v>A</v>
          </cell>
          <cell r="K1405">
            <v>16</v>
          </cell>
          <cell r="L1405">
            <v>765</v>
          </cell>
          <cell r="M1405">
            <v>50114598</v>
          </cell>
          <cell r="N1405">
            <v>38736</v>
          </cell>
          <cell r="P1405" t="str">
            <v>IN6119D2R654801</v>
          </cell>
          <cell r="Q1405" t="str">
            <v>แผ่นรองและสายรัดเป็นสนิม</v>
          </cell>
        </row>
        <row r="1406">
          <cell r="A1406">
            <v>501167069</v>
          </cell>
          <cell r="B1406">
            <v>1405</v>
          </cell>
          <cell r="C1406" t="str">
            <v>CW00</v>
          </cell>
          <cell r="D1406" t="str">
            <v>SPCC-SD</v>
          </cell>
          <cell r="E1406" t="str">
            <v>AF1</v>
          </cell>
          <cell r="F1406">
            <v>2.6</v>
          </cell>
          <cell r="G1406">
            <v>1219</v>
          </cell>
          <cell r="H1406">
            <v>1219</v>
          </cell>
          <cell r="I1406" t="str">
            <v>A</v>
          </cell>
          <cell r="K1406">
            <v>3</v>
          </cell>
          <cell r="L1406">
            <v>149</v>
          </cell>
          <cell r="M1406">
            <v>501167069</v>
          </cell>
          <cell r="N1406">
            <v>38755</v>
          </cell>
          <cell r="P1406" t="str">
            <v>IN6207D1D716101</v>
          </cell>
          <cell r="Q1406" t="str">
            <v>สภาพปกติ</v>
          </cell>
        </row>
        <row r="1407">
          <cell r="A1407">
            <v>50123013</v>
          </cell>
          <cell r="B1407">
            <v>1406</v>
          </cell>
          <cell r="C1407" t="str">
            <v>CW00</v>
          </cell>
          <cell r="D1407" t="str">
            <v>SPCC-SD</v>
          </cell>
          <cell r="E1407" t="str">
            <v>AF1</v>
          </cell>
          <cell r="F1407">
            <v>2.6</v>
          </cell>
          <cell r="G1407">
            <v>1219</v>
          </cell>
          <cell r="H1407">
            <v>1900</v>
          </cell>
          <cell r="I1407" t="str">
            <v>B</v>
          </cell>
          <cell r="K1407">
            <v>4</v>
          </cell>
          <cell r="L1407">
            <v>189</v>
          </cell>
          <cell r="M1407">
            <v>50123013</v>
          </cell>
          <cell r="N1407">
            <v>38794</v>
          </cell>
          <cell r="P1407" t="str">
            <v>IN6318D1D849401</v>
          </cell>
          <cell r="Q1407" t="str">
            <v>สภาพปกติ</v>
          </cell>
        </row>
        <row r="1408">
          <cell r="A1408">
            <v>50100933</v>
          </cell>
          <cell r="B1408">
            <v>1407</v>
          </cell>
          <cell r="C1408" t="str">
            <v>CW00</v>
          </cell>
          <cell r="D1408" t="str">
            <v>SPCC-SD</v>
          </cell>
          <cell r="E1408" t="str">
            <v>AF1</v>
          </cell>
          <cell r="F1408">
            <v>3</v>
          </cell>
          <cell r="G1408">
            <v>1039</v>
          </cell>
          <cell r="H1408">
            <v>2438</v>
          </cell>
          <cell r="I1408" t="str">
            <v>A</v>
          </cell>
          <cell r="K1408">
            <v>23</v>
          </cell>
          <cell r="L1408">
            <v>1372</v>
          </cell>
          <cell r="M1408">
            <v>50100933</v>
          </cell>
          <cell r="N1408">
            <v>38631</v>
          </cell>
          <cell r="P1408" t="str">
            <v>IN5A06N1D357801</v>
          </cell>
          <cell r="Q1408" t="str">
            <v>ขอบบุบ</v>
          </cell>
        </row>
        <row r="1409">
          <cell r="A1409">
            <v>50101506</v>
          </cell>
          <cell r="B1409">
            <v>1408</v>
          </cell>
          <cell r="C1409" t="str">
            <v>CW00</v>
          </cell>
          <cell r="D1409" t="str">
            <v>SPCC-SD</v>
          </cell>
          <cell r="E1409" t="str">
            <v>AF1</v>
          </cell>
          <cell r="F1409">
            <v>3</v>
          </cell>
          <cell r="G1409">
            <v>1170</v>
          </cell>
          <cell r="H1409">
            <v>1240</v>
          </cell>
          <cell r="I1409" t="str">
            <v>A</v>
          </cell>
          <cell r="K1409">
            <v>5</v>
          </cell>
          <cell r="L1409">
            <v>171</v>
          </cell>
          <cell r="M1409">
            <v>50101506</v>
          </cell>
          <cell r="N1409">
            <v>38637</v>
          </cell>
          <cell r="P1409" t="str">
            <v>IN5A12D2D363401</v>
          </cell>
          <cell r="Q1409" t="str">
            <v>ขอบบุบ</v>
          </cell>
        </row>
        <row r="1410">
          <cell r="A1410">
            <v>50103179</v>
          </cell>
          <cell r="B1410">
            <v>1409</v>
          </cell>
          <cell r="C1410" t="str">
            <v>CW00</v>
          </cell>
          <cell r="D1410" t="str">
            <v>SPCC-SD</v>
          </cell>
          <cell r="E1410" t="str">
            <v>AF1</v>
          </cell>
          <cell r="F1410">
            <v>3</v>
          </cell>
          <cell r="G1410">
            <v>1170</v>
          </cell>
          <cell r="H1410">
            <v>1240</v>
          </cell>
          <cell r="I1410" t="str">
            <v>A</v>
          </cell>
          <cell r="K1410">
            <v>2</v>
          </cell>
          <cell r="L1410">
            <v>68</v>
          </cell>
          <cell r="M1410">
            <v>50103179</v>
          </cell>
          <cell r="N1410">
            <v>38647</v>
          </cell>
          <cell r="P1410" t="str">
            <v>IN5A22D2D392102</v>
          </cell>
          <cell r="Q1410" t="str">
            <v>ขอบบุบ</v>
          </cell>
        </row>
        <row r="1411">
          <cell r="A1411">
            <v>50123714</v>
          </cell>
          <cell r="B1411">
            <v>1410</v>
          </cell>
          <cell r="C1411" t="str">
            <v>CW00</v>
          </cell>
          <cell r="D1411" t="str">
            <v>SPCC-SD</v>
          </cell>
          <cell r="E1411" t="str">
            <v>AF1</v>
          </cell>
          <cell r="F1411">
            <v>3</v>
          </cell>
          <cell r="G1411">
            <v>1170</v>
          </cell>
          <cell r="H1411">
            <v>1840</v>
          </cell>
          <cell r="I1411" t="str">
            <v>A</v>
          </cell>
          <cell r="K1411">
            <v>4</v>
          </cell>
          <cell r="L1411">
            <v>203</v>
          </cell>
          <cell r="M1411">
            <v>50123714</v>
          </cell>
          <cell r="N1411">
            <v>38796</v>
          </cell>
          <cell r="P1411" t="str">
            <v>IN6320D1D877801</v>
          </cell>
          <cell r="Q1411" t="str">
            <v>กระดาษฉีกขาดและเป็นสนิม</v>
          </cell>
        </row>
        <row r="1412">
          <cell r="A1412">
            <v>50116966</v>
          </cell>
          <cell r="B1412">
            <v>1411</v>
          </cell>
          <cell r="C1412" t="str">
            <v>CW00</v>
          </cell>
          <cell r="D1412" t="str">
            <v>SPCC-SD</v>
          </cell>
          <cell r="E1412" t="str">
            <v>AF1</v>
          </cell>
          <cell r="F1412">
            <v>3</v>
          </cell>
          <cell r="G1412">
            <v>1219</v>
          </cell>
          <cell r="H1412">
            <v>2070</v>
          </cell>
          <cell r="I1412" t="str">
            <v>A</v>
          </cell>
          <cell r="K1412">
            <v>13</v>
          </cell>
          <cell r="L1412">
            <v>773</v>
          </cell>
          <cell r="M1412">
            <v>50116966</v>
          </cell>
          <cell r="N1412">
            <v>38757</v>
          </cell>
          <cell r="P1412" t="str">
            <v>IN6209D1D723401</v>
          </cell>
          <cell r="Q1412" t="str">
            <v>กระดาษฉีกขาด</v>
          </cell>
        </row>
        <row r="1413">
          <cell r="A1413">
            <v>50117519</v>
          </cell>
          <cell r="B1413">
            <v>1412</v>
          </cell>
          <cell r="C1413" t="str">
            <v>CW00</v>
          </cell>
          <cell r="D1413" t="str">
            <v>SPCC-SD</v>
          </cell>
          <cell r="E1413" t="str">
            <v>AF1</v>
          </cell>
          <cell r="F1413">
            <v>3</v>
          </cell>
          <cell r="G1413">
            <v>1219</v>
          </cell>
          <cell r="H1413">
            <v>2200</v>
          </cell>
          <cell r="I1413" t="str">
            <v>A</v>
          </cell>
          <cell r="K1413">
            <v>2</v>
          </cell>
          <cell r="L1413">
            <v>126</v>
          </cell>
          <cell r="M1413">
            <v>50117519</v>
          </cell>
          <cell r="N1413">
            <v>38762</v>
          </cell>
          <cell r="P1413" t="str">
            <v>IN6214D2D735101</v>
          </cell>
          <cell r="Q1413" t="str">
            <v>สภาพปกติ</v>
          </cell>
        </row>
        <row r="1414">
          <cell r="A1414">
            <v>50119622</v>
          </cell>
          <cell r="B1414">
            <v>1413</v>
          </cell>
          <cell r="C1414" t="str">
            <v>CW00</v>
          </cell>
          <cell r="D1414" t="str">
            <v>SPCC-SD</v>
          </cell>
          <cell r="E1414" t="str">
            <v>AF1</v>
          </cell>
          <cell r="F1414">
            <v>3</v>
          </cell>
          <cell r="G1414">
            <v>1219</v>
          </cell>
          <cell r="H1414">
            <v>2200</v>
          </cell>
          <cell r="I1414" t="str">
            <v>A</v>
          </cell>
          <cell r="K1414">
            <v>2</v>
          </cell>
          <cell r="L1414">
            <v>126</v>
          </cell>
          <cell r="M1414">
            <v>50119622</v>
          </cell>
          <cell r="N1414">
            <v>38775</v>
          </cell>
          <cell r="P1414" t="str">
            <v>IN6227D1D788101</v>
          </cell>
          <cell r="Q1414" t="str">
            <v>สภาพปกติ</v>
          </cell>
        </row>
        <row r="1415">
          <cell r="A1415">
            <v>50098472</v>
          </cell>
          <cell r="B1415">
            <v>1414</v>
          </cell>
          <cell r="C1415" t="str">
            <v>CW00</v>
          </cell>
          <cell r="D1415" t="str">
            <v>SPCEN-SD</v>
          </cell>
          <cell r="E1415" t="str">
            <v>AF3</v>
          </cell>
          <cell r="F1415">
            <v>0.7</v>
          </cell>
          <cell r="G1415">
            <v>1140</v>
          </cell>
          <cell r="H1415">
            <v>1570</v>
          </cell>
          <cell r="I1415" t="str">
            <v>A</v>
          </cell>
          <cell r="K1415">
            <v>29</v>
          </cell>
          <cell r="L1415">
            <v>285</v>
          </cell>
          <cell r="M1415">
            <v>50098472</v>
          </cell>
          <cell r="N1415">
            <v>38605</v>
          </cell>
          <cell r="P1415" t="str">
            <v>IN5910D3D273101</v>
          </cell>
          <cell r="Q1415" t="str">
            <v>กระดาษฉีกขาดและเป็นสนิม</v>
          </cell>
        </row>
        <row r="1416">
          <cell r="A1416">
            <v>50128460</v>
          </cell>
          <cell r="B1416">
            <v>1415</v>
          </cell>
          <cell r="C1416" t="str">
            <v>CW00</v>
          </cell>
          <cell r="D1416" t="str">
            <v>SPCEN-SD</v>
          </cell>
          <cell r="E1416" t="str">
            <v>AF3</v>
          </cell>
          <cell r="F1416">
            <v>0.8</v>
          </cell>
          <cell r="G1416">
            <v>1023.6</v>
          </cell>
          <cell r="H1416">
            <v>1918</v>
          </cell>
          <cell r="I1416" t="str">
            <v>A</v>
          </cell>
          <cell r="K1416">
            <v>27</v>
          </cell>
          <cell r="L1416">
            <v>333</v>
          </cell>
          <cell r="M1416">
            <v>50128460</v>
          </cell>
          <cell r="N1416">
            <v>38843</v>
          </cell>
          <cell r="P1416" t="str">
            <v>IN6506D1D990201</v>
          </cell>
          <cell r="Q1416" t="str">
            <v>กระดาษฉีกขาด</v>
          </cell>
        </row>
        <row r="1417">
          <cell r="A1417">
            <v>50140421</v>
          </cell>
          <cell r="B1417">
            <v>1416</v>
          </cell>
          <cell r="C1417" t="str">
            <v>CW00</v>
          </cell>
          <cell r="D1417" t="str">
            <v>SPCEN-SD</v>
          </cell>
          <cell r="E1417" t="str">
            <v>AF3</v>
          </cell>
          <cell r="F1417">
            <v>0.8</v>
          </cell>
          <cell r="G1417">
            <v>1023.6</v>
          </cell>
          <cell r="H1417">
            <v>1918</v>
          </cell>
          <cell r="I1417" t="str">
            <v>A</v>
          </cell>
          <cell r="K1417">
            <v>39</v>
          </cell>
          <cell r="L1417">
            <v>481</v>
          </cell>
          <cell r="M1417">
            <v>50140421</v>
          </cell>
          <cell r="N1417">
            <v>38948</v>
          </cell>
          <cell r="O1417" t="str">
            <v>125721SUD005</v>
          </cell>
          <cell r="P1417" t="str">
            <v>IN6819D3D305502</v>
          </cell>
          <cell r="Q1417" t="str">
            <v>แผ่นรองและสายรัดเป็นสนิม</v>
          </cell>
        </row>
        <row r="1418">
          <cell r="A1418">
            <v>50140497</v>
          </cell>
          <cell r="B1418">
            <v>1417</v>
          </cell>
          <cell r="C1418" t="str">
            <v>CW00</v>
          </cell>
          <cell r="D1418" t="str">
            <v>SPCEN-SD</v>
          </cell>
          <cell r="E1418" t="str">
            <v>AF3</v>
          </cell>
          <cell r="F1418">
            <v>1</v>
          </cell>
          <cell r="G1418">
            <v>910</v>
          </cell>
          <cell r="H1418">
            <v>1219</v>
          </cell>
          <cell r="I1418" t="str">
            <v>A</v>
          </cell>
          <cell r="K1418">
            <v>29</v>
          </cell>
          <cell r="L1418">
            <v>260</v>
          </cell>
          <cell r="M1418">
            <v>50140497</v>
          </cell>
          <cell r="N1418">
            <v>38950</v>
          </cell>
          <cell r="P1418" t="str">
            <v>IN6821D1D307601</v>
          </cell>
          <cell r="Q1418" t="str">
            <v>แผ่นรองและสายรัดเป็นสนิม</v>
          </cell>
        </row>
        <row r="1419">
          <cell r="A1419">
            <v>50137554</v>
          </cell>
          <cell r="B1419">
            <v>1418</v>
          </cell>
          <cell r="C1419" t="str">
            <v>CW00</v>
          </cell>
          <cell r="D1419" t="str">
            <v>SPCEN-SD</v>
          </cell>
          <cell r="E1419" t="str">
            <v>AF3</v>
          </cell>
          <cell r="F1419">
            <v>1</v>
          </cell>
          <cell r="G1419">
            <v>1090</v>
          </cell>
          <cell r="H1419">
            <v>2345</v>
          </cell>
          <cell r="I1419" t="str">
            <v>A</v>
          </cell>
          <cell r="K1419">
            <v>18</v>
          </cell>
          <cell r="L1419">
            <v>361</v>
          </cell>
          <cell r="M1419">
            <v>50137554</v>
          </cell>
          <cell r="N1419">
            <v>38920</v>
          </cell>
          <cell r="P1419" t="str">
            <v>IN6722D3D224801</v>
          </cell>
          <cell r="Q1419" t="str">
            <v>แผ่นรองและสายรัดเป็นสนิม</v>
          </cell>
        </row>
        <row r="1420">
          <cell r="A1420">
            <v>50138326</v>
          </cell>
          <cell r="B1420">
            <v>1419</v>
          </cell>
          <cell r="C1420" t="str">
            <v>CW00</v>
          </cell>
          <cell r="D1420" t="str">
            <v>SPCEN-SD</v>
          </cell>
          <cell r="E1420" t="str">
            <v>AF3</v>
          </cell>
          <cell r="F1420">
            <v>1</v>
          </cell>
          <cell r="G1420">
            <v>1090</v>
          </cell>
          <cell r="H1420">
            <v>2345</v>
          </cell>
          <cell r="I1420" t="str">
            <v>A</v>
          </cell>
          <cell r="K1420">
            <v>11</v>
          </cell>
          <cell r="L1420">
            <v>221</v>
          </cell>
          <cell r="M1420">
            <v>50138326</v>
          </cell>
          <cell r="N1420">
            <v>38928</v>
          </cell>
          <cell r="P1420" t="str">
            <v>IN6730N3D200302</v>
          </cell>
          <cell r="Q1420" t="str">
            <v>ขอบบุบ</v>
          </cell>
        </row>
        <row r="1421">
          <cell r="A1421">
            <v>50090390</v>
          </cell>
          <cell r="B1421">
            <v>1420</v>
          </cell>
          <cell r="C1421" t="str">
            <v>CW00</v>
          </cell>
          <cell r="D1421" t="str">
            <v>SPCEN-SD</v>
          </cell>
          <cell r="E1421" t="str">
            <v>AF3</v>
          </cell>
          <cell r="F1421">
            <v>1</v>
          </cell>
          <cell r="G1421">
            <v>1090</v>
          </cell>
          <cell r="H1421">
            <v>2350</v>
          </cell>
          <cell r="I1421" t="str">
            <v>A</v>
          </cell>
          <cell r="K1421">
            <v>9</v>
          </cell>
          <cell r="L1421">
            <v>181</v>
          </cell>
          <cell r="M1421">
            <v>50090390</v>
          </cell>
          <cell r="N1421">
            <v>38544</v>
          </cell>
          <cell r="P1421" t="str">
            <v>IN5711D3D108901</v>
          </cell>
          <cell r="Q1421" t="str">
            <v>สภาพปกติ</v>
          </cell>
        </row>
        <row r="1422">
          <cell r="A1422">
            <v>50096269</v>
          </cell>
          <cell r="B1422">
            <v>1421</v>
          </cell>
          <cell r="C1422" t="str">
            <v>CW00</v>
          </cell>
          <cell r="D1422" t="str">
            <v>SPCEN-SD</v>
          </cell>
          <cell r="E1422" t="str">
            <v>AF3</v>
          </cell>
          <cell r="F1422">
            <v>1</v>
          </cell>
          <cell r="G1422">
            <v>1090</v>
          </cell>
          <cell r="H1422">
            <v>2438</v>
          </cell>
          <cell r="I1422" t="str">
            <v>A</v>
          </cell>
          <cell r="K1422">
            <v>9</v>
          </cell>
          <cell r="L1422">
            <v>188</v>
          </cell>
          <cell r="M1422">
            <v>50096269</v>
          </cell>
          <cell r="N1422">
            <v>38588</v>
          </cell>
          <cell r="P1422" t="str">
            <v>IN5824N3D201901</v>
          </cell>
          <cell r="Q1422" t="str">
            <v>สภาพปกติ</v>
          </cell>
        </row>
        <row r="1423">
          <cell r="A1423">
            <v>50130585</v>
          </cell>
          <cell r="B1423">
            <v>1422</v>
          </cell>
          <cell r="C1423" t="str">
            <v>CW00</v>
          </cell>
          <cell r="D1423" t="str">
            <v>SPCEN-SD</v>
          </cell>
          <cell r="E1423" t="str">
            <v>AF3</v>
          </cell>
          <cell r="F1423">
            <v>1</v>
          </cell>
          <cell r="G1423">
            <v>1219</v>
          </cell>
          <cell r="H1423">
            <v>2345</v>
          </cell>
          <cell r="I1423" t="str">
            <v>A</v>
          </cell>
          <cell r="K1423">
            <v>4</v>
          </cell>
          <cell r="L1423">
            <v>90</v>
          </cell>
          <cell r="M1423">
            <v>50130585</v>
          </cell>
          <cell r="N1423">
            <v>38866</v>
          </cell>
          <cell r="P1423" t="str">
            <v>IN6529D1D050801</v>
          </cell>
          <cell r="Q1423" t="str">
            <v>สภาพปกติ</v>
          </cell>
        </row>
        <row r="1424">
          <cell r="A1424">
            <v>50095077</v>
          </cell>
          <cell r="B1424">
            <v>1423</v>
          </cell>
          <cell r="C1424" t="str">
            <v>CW00</v>
          </cell>
          <cell r="D1424" t="str">
            <v>SPCEN-SD</v>
          </cell>
          <cell r="E1424" t="str">
            <v>AF3</v>
          </cell>
          <cell r="F1424">
            <v>1.2</v>
          </cell>
          <cell r="G1424">
            <v>1060</v>
          </cell>
          <cell r="H1424">
            <v>1219</v>
          </cell>
          <cell r="I1424" t="str">
            <v>A</v>
          </cell>
          <cell r="K1424">
            <v>30</v>
          </cell>
          <cell r="L1424">
            <v>375</v>
          </cell>
          <cell r="M1424">
            <v>50095077</v>
          </cell>
          <cell r="N1424">
            <v>38580</v>
          </cell>
          <cell r="P1424" t="str">
            <v>IN5816N1L216801</v>
          </cell>
          <cell r="Q1424" t="str">
            <v>แผ่นรองและสายรัดเป็นสนิม</v>
          </cell>
        </row>
        <row r="1425">
          <cell r="A1425">
            <v>50118506</v>
          </cell>
          <cell r="B1425">
            <v>1424</v>
          </cell>
          <cell r="C1425" t="str">
            <v>CW00</v>
          </cell>
          <cell r="D1425" t="str">
            <v>SPCEN-SD</v>
          </cell>
          <cell r="E1425" t="str">
            <v>AF3</v>
          </cell>
          <cell r="F1425">
            <v>1.2</v>
          </cell>
          <cell r="G1425">
            <v>1150</v>
          </cell>
          <cell r="H1425">
            <v>1219</v>
          </cell>
          <cell r="I1425" t="str">
            <v>A</v>
          </cell>
          <cell r="K1425">
            <v>30</v>
          </cell>
          <cell r="L1425">
            <v>396</v>
          </cell>
          <cell r="M1425">
            <v>50118506</v>
          </cell>
          <cell r="N1425">
            <v>38769</v>
          </cell>
          <cell r="P1425" t="str">
            <v>IN6221D1D761401</v>
          </cell>
          <cell r="Q1425" t="str">
            <v>ขอบบุบ</v>
          </cell>
        </row>
        <row r="1426">
          <cell r="A1426">
            <v>50129327</v>
          </cell>
          <cell r="B1426">
            <v>1425</v>
          </cell>
          <cell r="C1426" t="str">
            <v>CW00</v>
          </cell>
          <cell r="D1426" t="str">
            <v>SPCEN-SD</v>
          </cell>
          <cell r="E1426" t="str">
            <v>AF3</v>
          </cell>
          <cell r="F1426">
            <v>1.2</v>
          </cell>
          <cell r="G1426">
            <v>1219</v>
          </cell>
          <cell r="H1426">
            <v>2280</v>
          </cell>
          <cell r="I1426" t="str">
            <v>A</v>
          </cell>
          <cell r="K1426">
            <v>24</v>
          </cell>
          <cell r="L1426">
            <v>630</v>
          </cell>
          <cell r="M1426">
            <v>50129327</v>
          </cell>
          <cell r="N1426">
            <v>38853</v>
          </cell>
          <cell r="P1426" t="str">
            <v>IN6516N1L009302</v>
          </cell>
          <cell r="Q1426" t="str">
            <v>แผ่นรองและสายรัดเป็นสนิม</v>
          </cell>
        </row>
        <row r="1427">
          <cell r="A1427">
            <v>50133196</v>
          </cell>
          <cell r="B1427">
            <v>1426</v>
          </cell>
          <cell r="C1427" t="str">
            <v>CW00</v>
          </cell>
          <cell r="D1427" t="str">
            <v>SPCEN-SD</v>
          </cell>
          <cell r="E1427" t="str">
            <v>AF3</v>
          </cell>
          <cell r="F1427">
            <v>1.6</v>
          </cell>
          <cell r="G1427">
            <v>800</v>
          </cell>
          <cell r="H1427">
            <v>2200</v>
          </cell>
          <cell r="I1427" t="str">
            <v>A</v>
          </cell>
          <cell r="K1427">
            <v>35</v>
          </cell>
          <cell r="L1427">
            <v>775</v>
          </cell>
          <cell r="M1427">
            <v>50133196</v>
          </cell>
          <cell r="N1427">
            <v>38895</v>
          </cell>
          <cell r="P1427" t="str">
            <v>IN6627D1L105801</v>
          </cell>
          <cell r="Q1427" t="str">
            <v>แผ่นรองและสายรัดเป็นสนิม</v>
          </cell>
        </row>
        <row r="1428">
          <cell r="A1428">
            <v>50130702</v>
          </cell>
          <cell r="B1428">
            <v>1427</v>
          </cell>
          <cell r="C1428" t="str">
            <v>CW00</v>
          </cell>
          <cell r="D1428" t="str">
            <v>SPCC-SD</v>
          </cell>
          <cell r="E1428" t="str">
            <v>AG1</v>
          </cell>
          <cell r="F1428">
            <v>0.9</v>
          </cell>
          <cell r="G1428">
            <v>1219</v>
          </cell>
          <cell r="H1428">
            <v>2200</v>
          </cell>
          <cell r="I1428" t="str">
            <v>B</v>
          </cell>
          <cell r="K1428">
            <v>10</v>
          </cell>
          <cell r="L1428">
            <v>190</v>
          </cell>
          <cell r="M1428">
            <v>50130702</v>
          </cell>
          <cell r="N1428">
            <v>38866</v>
          </cell>
          <cell r="P1428" t="str">
            <v>IN6529D1L050401</v>
          </cell>
          <cell r="Q1428" t="str">
            <v>สภาพปกติ</v>
          </cell>
        </row>
        <row r="1429">
          <cell r="A1429">
            <v>50069304</v>
          </cell>
          <cell r="B1429">
            <v>1428</v>
          </cell>
          <cell r="C1429" t="str">
            <v>CW00</v>
          </cell>
          <cell r="D1429" t="str">
            <v>SPCC-SD</v>
          </cell>
          <cell r="E1429" t="str">
            <v>AG1</v>
          </cell>
          <cell r="F1429">
            <v>1</v>
          </cell>
          <cell r="G1429">
            <v>1219</v>
          </cell>
          <cell r="H1429">
            <v>2385</v>
          </cell>
          <cell r="I1429" t="str">
            <v>A</v>
          </cell>
          <cell r="K1429">
            <v>43</v>
          </cell>
          <cell r="L1429">
            <v>966</v>
          </cell>
          <cell r="M1429">
            <v>50069304</v>
          </cell>
          <cell r="N1429">
            <v>38383</v>
          </cell>
          <cell r="P1429" t="str">
            <v>IN5131D1RSSSS01</v>
          </cell>
          <cell r="Q1429" t="str">
            <v>กระดาษฉีกขาดและเป็นสนิม</v>
          </cell>
        </row>
        <row r="1430">
          <cell r="A1430">
            <v>50131177</v>
          </cell>
          <cell r="B1430">
            <v>1429</v>
          </cell>
          <cell r="C1430" t="str">
            <v>CW00</v>
          </cell>
          <cell r="D1430" t="str">
            <v>SPCC-SD</v>
          </cell>
          <cell r="E1430" t="str">
            <v>AG1</v>
          </cell>
          <cell r="F1430">
            <v>2</v>
          </cell>
          <cell r="G1430">
            <v>1219</v>
          </cell>
          <cell r="H1430">
            <v>2000</v>
          </cell>
          <cell r="I1430" t="str">
            <v>A</v>
          </cell>
          <cell r="K1430">
            <v>6</v>
          </cell>
          <cell r="L1430">
            <v>234</v>
          </cell>
          <cell r="M1430">
            <v>50131177</v>
          </cell>
          <cell r="N1430">
            <v>38869</v>
          </cell>
          <cell r="P1430" t="str">
            <v>IN6601N1L053401</v>
          </cell>
          <cell r="Q1430" t="str">
            <v>สภาพปกติ</v>
          </cell>
        </row>
        <row r="1431">
          <cell r="A1431">
            <v>50133405</v>
          </cell>
          <cell r="B1431">
            <v>1430</v>
          </cell>
          <cell r="C1431" t="str">
            <v>CW00</v>
          </cell>
          <cell r="D1431" t="str">
            <v>SPHC P/O</v>
          </cell>
          <cell r="E1431" t="str">
            <v>CA1</v>
          </cell>
          <cell r="F1431">
            <v>2</v>
          </cell>
          <cell r="G1431">
            <v>1219</v>
          </cell>
          <cell r="H1431">
            <v>1832</v>
          </cell>
          <cell r="I1431" t="str">
            <v>A</v>
          </cell>
          <cell r="K1431">
            <v>1</v>
          </cell>
          <cell r="L1431">
            <v>35</v>
          </cell>
          <cell r="M1431">
            <v>50133405</v>
          </cell>
          <cell r="N1431">
            <v>38883</v>
          </cell>
          <cell r="P1431" t="str">
            <v>IN6615N3D109001</v>
          </cell>
          <cell r="Q1431" t="str">
            <v>สภาพปกติ</v>
          </cell>
        </row>
        <row r="1432">
          <cell r="A1432">
            <v>50105477</v>
          </cell>
          <cell r="B1432">
            <v>1431</v>
          </cell>
          <cell r="C1432" t="str">
            <v>CW00</v>
          </cell>
          <cell r="D1432" t="str">
            <v>SPHC P/O</v>
          </cell>
          <cell r="E1432" t="str">
            <v>CA1</v>
          </cell>
          <cell r="F1432">
            <v>2.2999999999999998</v>
          </cell>
          <cell r="G1432">
            <v>433</v>
          </cell>
          <cell r="H1432">
            <v>1990</v>
          </cell>
          <cell r="I1432" t="str">
            <v>A</v>
          </cell>
          <cell r="K1432">
            <v>22</v>
          </cell>
          <cell r="L1432">
            <v>342</v>
          </cell>
          <cell r="M1432">
            <v>50105477</v>
          </cell>
          <cell r="N1432">
            <v>38658</v>
          </cell>
          <cell r="P1432" t="str">
            <v>IN5B02D2D418701</v>
          </cell>
          <cell r="Q1432" t="str">
            <v>สภาพปกติ</v>
          </cell>
        </row>
        <row r="1433">
          <cell r="A1433">
            <v>50135680</v>
          </cell>
          <cell r="B1433">
            <v>1432</v>
          </cell>
          <cell r="C1433" t="str">
            <v>CW00</v>
          </cell>
          <cell r="D1433" t="str">
            <v>SPHC P/O</v>
          </cell>
          <cell r="E1433" t="str">
            <v>CA1</v>
          </cell>
          <cell r="F1433">
            <v>3.2</v>
          </cell>
          <cell r="G1433">
            <v>1219</v>
          </cell>
          <cell r="H1433">
            <v>1882</v>
          </cell>
          <cell r="I1433" t="str">
            <v>A</v>
          </cell>
          <cell r="K1433">
            <v>5</v>
          </cell>
          <cell r="L1433">
            <v>290</v>
          </cell>
          <cell r="M1433">
            <v>50135680</v>
          </cell>
          <cell r="N1433">
            <v>38904</v>
          </cell>
          <cell r="P1433" t="str">
            <v>IN6706N1D175101</v>
          </cell>
          <cell r="Q1433" t="str">
            <v>สภาพปกติ</v>
          </cell>
        </row>
        <row r="1434">
          <cell r="A1434">
            <v>50119074</v>
          </cell>
          <cell r="B1434">
            <v>1433</v>
          </cell>
          <cell r="C1434" t="str">
            <v>CW00</v>
          </cell>
          <cell r="D1434" t="str">
            <v>SPHC P/O</v>
          </cell>
          <cell r="E1434" t="str">
            <v>CA1</v>
          </cell>
          <cell r="F1434">
            <v>4.5</v>
          </cell>
          <cell r="G1434">
            <v>1370</v>
          </cell>
          <cell r="H1434">
            <v>2438</v>
          </cell>
          <cell r="I1434" t="str">
            <v>A</v>
          </cell>
          <cell r="K1434">
            <v>8</v>
          </cell>
          <cell r="L1434">
            <v>944</v>
          </cell>
          <cell r="M1434">
            <v>50119074</v>
          </cell>
          <cell r="N1434">
            <v>38772</v>
          </cell>
          <cell r="P1434" t="str">
            <v>IN6224D2D774702</v>
          </cell>
          <cell r="Q1434" t="str">
            <v>ขอบบุบ</v>
          </cell>
        </row>
        <row r="1435">
          <cell r="A1435">
            <v>50089953</v>
          </cell>
          <cell r="B1435">
            <v>1434</v>
          </cell>
          <cell r="C1435" t="str">
            <v>CW00</v>
          </cell>
          <cell r="D1435" t="str">
            <v>EG SECC</v>
          </cell>
          <cell r="E1435" t="str">
            <v>AI1</v>
          </cell>
          <cell r="F1435">
            <v>0.8</v>
          </cell>
          <cell r="G1435">
            <v>1219</v>
          </cell>
          <cell r="H1435">
            <v>1890</v>
          </cell>
          <cell r="I1435" t="str">
            <v>A</v>
          </cell>
          <cell r="K1435">
            <v>11</v>
          </cell>
          <cell r="L1435">
            <v>159</v>
          </cell>
          <cell r="M1435">
            <v>50089953</v>
          </cell>
          <cell r="N1435">
            <v>38540</v>
          </cell>
          <cell r="P1435" t="str">
            <v>IN5707D1D116901</v>
          </cell>
          <cell r="Q1435" t="str">
            <v>สภาพปกติ</v>
          </cell>
        </row>
        <row r="1436">
          <cell r="A1436">
            <v>50074387</v>
          </cell>
          <cell r="B1436">
            <v>1435</v>
          </cell>
          <cell r="C1436" t="str">
            <v>CW00</v>
          </cell>
          <cell r="D1436" t="str">
            <v>EG SECC</v>
          </cell>
          <cell r="E1436" t="str">
            <v>AI1</v>
          </cell>
          <cell r="F1436">
            <v>0.8</v>
          </cell>
          <cell r="G1436">
            <v>1219</v>
          </cell>
          <cell r="H1436">
            <v>1945</v>
          </cell>
          <cell r="I1436" t="str">
            <v>A</v>
          </cell>
          <cell r="K1436">
            <v>13</v>
          </cell>
          <cell r="L1436">
            <v>196</v>
          </cell>
          <cell r="M1436">
            <v>50074387</v>
          </cell>
          <cell r="N1436">
            <v>38423</v>
          </cell>
          <cell r="P1436" t="str">
            <v>KN5312D7V999901</v>
          </cell>
          <cell r="Q1436" t="str">
            <v>สภาพปกติ</v>
          </cell>
        </row>
        <row r="1437">
          <cell r="A1437">
            <v>50074388</v>
          </cell>
          <cell r="B1437">
            <v>1436</v>
          </cell>
          <cell r="C1437" t="str">
            <v>CW00</v>
          </cell>
          <cell r="D1437" t="str">
            <v>EG SECC</v>
          </cell>
          <cell r="E1437" t="str">
            <v>AI1</v>
          </cell>
          <cell r="F1437">
            <v>0.8</v>
          </cell>
          <cell r="G1437">
            <v>1219</v>
          </cell>
          <cell r="H1437">
            <v>1950</v>
          </cell>
          <cell r="I1437" t="str">
            <v>A</v>
          </cell>
          <cell r="K1437">
            <v>4</v>
          </cell>
          <cell r="L1437">
            <v>62</v>
          </cell>
          <cell r="M1437">
            <v>50074388</v>
          </cell>
          <cell r="N1437">
            <v>38423</v>
          </cell>
          <cell r="P1437" t="str">
            <v>KN5312D7V999901</v>
          </cell>
          <cell r="Q1437" t="str">
            <v>สภาพปกติ</v>
          </cell>
        </row>
        <row r="1438">
          <cell r="A1438">
            <v>50059463</v>
          </cell>
          <cell r="B1438">
            <v>1437</v>
          </cell>
          <cell r="C1438" t="str">
            <v>CW00</v>
          </cell>
          <cell r="D1438" t="str">
            <v>EG SECC</v>
          </cell>
          <cell r="E1438" t="str">
            <v>AI1</v>
          </cell>
          <cell r="F1438">
            <v>1.2</v>
          </cell>
          <cell r="G1438">
            <v>1219</v>
          </cell>
          <cell r="H1438">
            <v>2115</v>
          </cell>
          <cell r="I1438" t="str">
            <v>A</v>
          </cell>
          <cell r="K1438">
            <v>30</v>
          </cell>
          <cell r="L1438">
            <v>728</v>
          </cell>
          <cell r="M1438">
            <v>50059463</v>
          </cell>
          <cell r="N1438">
            <v>38368</v>
          </cell>
          <cell r="P1438" t="str">
            <v>KN5116D7V999901</v>
          </cell>
          <cell r="Q1438" t="str">
            <v>กระดาษฉีกขาดและเป็นสนิม</v>
          </cell>
        </row>
        <row r="1439">
          <cell r="A1439">
            <v>50059464</v>
          </cell>
          <cell r="B1439">
            <v>1438</v>
          </cell>
          <cell r="C1439" t="str">
            <v>CW00</v>
          </cell>
          <cell r="D1439" t="str">
            <v>EG SECC</v>
          </cell>
          <cell r="E1439" t="str">
            <v>AI1</v>
          </cell>
          <cell r="F1439">
            <v>1.2</v>
          </cell>
          <cell r="G1439">
            <v>1219</v>
          </cell>
          <cell r="H1439">
            <v>2252</v>
          </cell>
          <cell r="I1439" t="str">
            <v>A</v>
          </cell>
          <cell r="K1439">
            <v>50</v>
          </cell>
          <cell r="L1439">
            <v>1313</v>
          </cell>
          <cell r="M1439">
            <v>50059464</v>
          </cell>
          <cell r="N1439">
            <v>38368</v>
          </cell>
          <cell r="P1439" t="str">
            <v>KN5116D7V999901</v>
          </cell>
          <cell r="Q1439" t="str">
            <v>กระดาษฉีกขาดและเป็นสนิม</v>
          </cell>
        </row>
        <row r="1440">
          <cell r="A1440">
            <v>50089959</v>
          </cell>
          <cell r="B1440">
            <v>1439</v>
          </cell>
          <cell r="C1440" t="str">
            <v>CW00</v>
          </cell>
          <cell r="D1440" t="str">
            <v>EG SECC</v>
          </cell>
          <cell r="E1440" t="str">
            <v>AI1</v>
          </cell>
          <cell r="F1440">
            <v>1.6</v>
          </cell>
          <cell r="G1440">
            <v>1219</v>
          </cell>
          <cell r="H1440">
            <v>2000</v>
          </cell>
          <cell r="I1440" t="str">
            <v>A</v>
          </cell>
          <cell r="K1440">
            <v>13</v>
          </cell>
          <cell r="L1440">
            <v>405</v>
          </cell>
          <cell r="M1440">
            <v>50089959</v>
          </cell>
          <cell r="N1440">
            <v>38540</v>
          </cell>
          <cell r="P1440" t="str">
            <v>IN5707D1L193601</v>
          </cell>
          <cell r="Q1440" t="str">
            <v>แผ่นรองและสายรัดเป็นสนิม</v>
          </cell>
        </row>
        <row r="1441">
          <cell r="A1441">
            <v>20047002</v>
          </cell>
          <cell r="B1441">
            <v>1440</v>
          </cell>
          <cell r="C1441" t="str">
            <v>GRB</v>
          </cell>
          <cell r="D1441" t="str">
            <v>SPCC-SD</v>
          </cell>
          <cell r="E1441" t="str">
            <v>AF1</v>
          </cell>
          <cell r="F1441">
            <v>0.9</v>
          </cell>
          <cell r="G1441">
            <v>1219</v>
          </cell>
          <cell r="H1441">
            <v>2438</v>
          </cell>
          <cell r="I1441" t="str">
            <v>A</v>
          </cell>
          <cell r="K1441">
            <v>79</v>
          </cell>
          <cell r="L1441">
            <v>1654</v>
          </cell>
          <cell r="M1441">
            <v>20047002</v>
          </cell>
          <cell r="N1441">
            <v>38726</v>
          </cell>
          <cell r="P1441" t="str">
            <v>BN6109D2RBBBB01</v>
          </cell>
          <cell r="Q1441" t="str">
            <v>แผ่นรองและสายรัดเป็นสนิม</v>
          </cell>
        </row>
        <row r="1442">
          <cell r="A1442">
            <v>20047012</v>
          </cell>
          <cell r="B1442">
            <v>1441</v>
          </cell>
          <cell r="C1442" t="str">
            <v>GRB</v>
          </cell>
          <cell r="D1442" t="str">
            <v>SPCC-SD</v>
          </cell>
          <cell r="E1442" t="str">
            <v>AF1</v>
          </cell>
          <cell r="F1442">
            <v>0.9</v>
          </cell>
          <cell r="G1442">
            <v>1219</v>
          </cell>
          <cell r="H1442">
            <v>2438</v>
          </cell>
          <cell r="I1442" t="str">
            <v>A</v>
          </cell>
          <cell r="K1442">
            <v>55</v>
          </cell>
          <cell r="L1442">
            <v>1144</v>
          </cell>
          <cell r="M1442">
            <v>20047012</v>
          </cell>
          <cell r="N1442">
            <v>38726</v>
          </cell>
          <cell r="P1442" t="str">
            <v>BN6109D2RBBBB02</v>
          </cell>
          <cell r="Q1442" t="str">
            <v>กระดาษฉีกขาด</v>
          </cell>
        </row>
        <row r="1443">
          <cell r="A1443">
            <v>20047017</v>
          </cell>
          <cell r="B1443">
            <v>1442</v>
          </cell>
          <cell r="C1443" t="str">
            <v>GRB</v>
          </cell>
          <cell r="D1443" t="str">
            <v>SPCC-SD</v>
          </cell>
          <cell r="E1443" t="str">
            <v>AF1</v>
          </cell>
          <cell r="F1443">
            <v>0.9</v>
          </cell>
          <cell r="G1443">
            <v>1219</v>
          </cell>
          <cell r="H1443">
            <v>2438</v>
          </cell>
          <cell r="I1443" t="str">
            <v>A</v>
          </cell>
          <cell r="K1443">
            <v>90</v>
          </cell>
          <cell r="L1443">
            <v>1874</v>
          </cell>
          <cell r="M1443">
            <v>20047017</v>
          </cell>
          <cell r="N1443">
            <v>38726</v>
          </cell>
          <cell r="P1443" t="str">
            <v>BN6109D2RBBBB03</v>
          </cell>
          <cell r="Q1443" t="str">
            <v>กระดาษฉีกขาด</v>
          </cell>
        </row>
        <row r="1444">
          <cell r="A1444">
            <v>20049406</v>
          </cell>
          <cell r="B1444">
            <v>1443</v>
          </cell>
          <cell r="C1444" t="str">
            <v>GRB</v>
          </cell>
          <cell r="D1444" t="str">
            <v>SPCC-SD</v>
          </cell>
          <cell r="E1444" t="str">
            <v>AF1</v>
          </cell>
          <cell r="F1444">
            <v>0.9</v>
          </cell>
          <cell r="G1444">
            <v>1219</v>
          </cell>
          <cell r="H1444">
            <v>2438</v>
          </cell>
          <cell r="I1444" t="str">
            <v>A</v>
          </cell>
          <cell r="K1444">
            <v>88</v>
          </cell>
          <cell r="L1444">
            <v>1840</v>
          </cell>
          <cell r="M1444">
            <v>20049406</v>
          </cell>
          <cell r="N1444">
            <v>38827</v>
          </cell>
          <cell r="P1444" t="str">
            <v>BN6420N1RSSSS05</v>
          </cell>
          <cell r="Q1444" t="str">
            <v>สภาพปกติ</v>
          </cell>
        </row>
        <row r="1445">
          <cell r="A1445">
            <v>20049407</v>
          </cell>
          <cell r="B1445">
            <v>1444</v>
          </cell>
          <cell r="C1445" t="str">
            <v>GRB</v>
          </cell>
          <cell r="D1445" t="str">
            <v>SPCC-SD</v>
          </cell>
          <cell r="E1445" t="str">
            <v>AF1</v>
          </cell>
          <cell r="F1445">
            <v>0.9</v>
          </cell>
          <cell r="G1445">
            <v>1219</v>
          </cell>
          <cell r="H1445">
            <v>2438</v>
          </cell>
          <cell r="I1445" t="str">
            <v>A</v>
          </cell>
          <cell r="K1445">
            <v>100</v>
          </cell>
          <cell r="L1445">
            <v>2072</v>
          </cell>
          <cell r="M1445">
            <v>20049407</v>
          </cell>
          <cell r="N1445">
            <v>38827</v>
          </cell>
          <cell r="P1445" t="str">
            <v>BN6420N1RSSSS06</v>
          </cell>
          <cell r="Q1445" t="str">
            <v>สภาพปกติ</v>
          </cell>
        </row>
        <row r="1446">
          <cell r="A1446">
            <v>20051705</v>
          </cell>
          <cell r="B1446">
            <v>1445</v>
          </cell>
          <cell r="C1446" t="str">
            <v>GRB</v>
          </cell>
          <cell r="D1446" t="str">
            <v>SPCC-SD</v>
          </cell>
          <cell r="E1446" t="str">
            <v>AF1</v>
          </cell>
          <cell r="F1446">
            <v>1</v>
          </cell>
          <cell r="G1446">
            <v>1219</v>
          </cell>
          <cell r="H1446">
            <v>2438</v>
          </cell>
          <cell r="I1446" t="str">
            <v>A</v>
          </cell>
          <cell r="K1446">
            <v>87</v>
          </cell>
          <cell r="L1446">
            <v>2026</v>
          </cell>
          <cell r="M1446">
            <v>20051705</v>
          </cell>
          <cell r="N1446">
            <v>38926</v>
          </cell>
          <cell r="O1446" t="str">
            <v>126227TCD001</v>
          </cell>
          <cell r="P1446" t="str">
            <v>BN6728D1RSSSS01</v>
          </cell>
          <cell r="Q1446" t="str">
            <v>แผ่นรองและสายรัดเป็นสนิม</v>
          </cell>
        </row>
        <row r="1447">
          <cell r="A1447">
            <v>20051585</v>
          </cell>
          <cell r="B1447">
            <v>1446</v>
          </cell>
          <cell r="C1447" t="str">
            <v>GRB</v>
          </cell>
          <cell r="D1447" t="str">
            <v>SPCC-SD</v>
          </cell>
          <cell r="E1447" t="str">
            <v>AF1</v>
          </cell>
          <cell r="F1447">
            <v>1.6</v>
          </cell>
          <cell r="G1447">
            <v>1219</v>
          </cell>
          <cell r="H1447">
            <v>2438</v>
          </cell>
          <cell r="I1447" t="str">
            <v>A</v>
          </cell>
          <cell r="K1447">
            <v>10</v>
          </cell>
          <cell r="L1447">
            <v>370</v>
          </cell>
          <cell r="M1447">
            <v>20051585</v>
          </cell>
          <cell r="N1447">
            <v>38920</v>
          </cell>
          <cell r="P1447" t="str">
            <v>BN6722D2RBBBB01</v>
          </cell>
          <cell r="Q1447" t="str">
            <v>แผ่นรองและสายรัดเป็นสนิม</v>
          </cell>
        </row>
        <row r="1448">
          <cell r="A1448">
            <v>20049529</v>
          </cell>
          <cell r="B1448">
            <v>1447</v>
          </cell>
          <cell r="C1448" t="str">
            <v>GRB</v>
          </cell>
          <cell r="D1448" t="str">
            <v>SPCC-SD</v>
          </cell>
          <cell r="E1448" t="str">
            <v>AF1</v>
          </cell>
          <cell r="F1448">
            <v>2</v>
          </cell>
          <cell r="G1448">
            <v>1219</v>
          </cell>
          <cell r="H1448">
            <v>2438</v>
          </cell>
          <cell r="I1448" t="str">
            <v>A</v>
          </cell>
          <cell r="K1448">
            <v>37</v>
          </cell>
          <cell r="L1448">
            <v>1726</v>
          </cell>
          <cell r="M1448">
            <v>20049529</v>
          </cell>
          <cell r="N1448">
            <v>38832</v>
          </cell>
          <cell r="O1448" t="str">
            <v>126215TCD001</v>
          </cell>
          <cell r="P1448" t="str">
            <v>BN6425N1D941801</v>
          </cell>
          <cell r="Q1448" t="str">
            <v>สภาพปกติ</v>
          </cell>
        </row>
        <row r="1449">
          <cell r="A1449">
            <v>20051535</v>
          </cell>
          <cell r="B1449">
            <v>1448</v>
          </cell>
          <cell r="C1449" t="str">
            <v>GRB</v>
          </cell>
          <cell r="D1449" t="str">
            <v>SPCC-SD</v>
          </cell>
          <cell r="E1449" t="str">
            <v>AF1</v>
          </cell>
          <cell r="F1449">
            <v>2</v>
          </cell>
          <cell r="G1449">
            <v>1219</v>
          </cell>
          <cell r="H1449">
            <v>2438</v>
          </cell>
          <cell r="I1449" t="str">
            <v>A</v>
          </cell>
          <cell r="K1449">
            <v>35</v>
          </cell>
          <cell r="L1449">
            <v>1607</v>
          </cell>
          <cell r="M1449">
            <v>20051535</v>
          </cell>
          <cell r="N1449">
            <v>38918</v>
          </cell>
          <cell r="P1449" t="str">
            <v>BN6720D2R167310</v>
          </cell>
          <cell r="Q1449" t="str">
            <v>กระดาษฉีกขาด</v>
          </cell>
        </row>
        <row r="1450">
          <cell r="A1450">
            <v>20051624</v>
          </cell>
          <cell r="B1450">
            <v>1449</v>
          </cell>
          <cell r="C1450" t="str">
            <v>GRB</v>
          </cell>
          <cell r="D1450" t="str">
            <v>SPCC-SD</v>
          </cell>
          <cell r="E1450" t="str">
            <v>AF1</v>
          </cell>
          <cell r="F1450">
            <v>2</v>
          </cell>
          <cell r="G1450">
            <v>1219</v>
          </cell>
          <cell r="H1450">
            <v>2438</v>
          </cell>
          <cell r="I1450" t="str">
            <v>A</v>
          </cell>
          <cell r="K1450">
            <v>39</v>
          </cell>
          <cell r="L1450">
            <v>1820</v>
          </cell>
          <cell r="M1450">
            <v>20051624</v>
          </cell>
          <cell r="N1450">
            <v>38922</v>
          </cell>
          <cell r="P1450" t="str">
            <v>BN6724D3R232911</v>
          </cell>
          <cell r="Q1450" t="str">
            <v>กระดาษฉีกขาดและเป็นสนิม</v>
          </cell>
        </row>
        <row r="1451">
          <cell r="A1451">
            <v>20051620</v>
          </cell>
          <cell r="B1451">
            <v>1450</v>
          </cell>
          <cell r="C1451" t="str">
            <v>GRB</v>
          </cell>
          <cell r="D1451" t="str">
            <v>SPCC-SD</v>
          </cell>
          <cell r="E1451" t="str">
            <v>AF1</v>
          </cell>
          <cell r="F1451">
            <v>3</v>
          </cell>
          <cell r="G1451">
            <v>1219</v>
          </cell>
          <cell r="H1451">
            <v>2438</v>
          </cell>
          <cell r="I1451" t="str">
            <v>A</v>
          </cell>
          <cell r="K1451">
            <v>25</v>
          </cell>
          <cell r="L1451">
            <v>1745</v>
          </cell>
          <cell r="M1451">
            <v>20051620</v>
          </cell>
          <cell r="N1451">
            <v>38922</v>
          </cell>
          <cell r="P1451" t="str">
            <v>BN6724D2L232002</v>
          </cell>
          <cell r="Q1451" t="str">
            <v>สภาพปกติ</v>
          </cell>
        </row>
        <row r="1452">
          <cell r="A1452">
            <v>20051621</v>
          </cell>
          <cell r="B1452">
            <v>1451</v>
          </cell>
          <cell r="C1452" t="str">
            <v>GRB</v>
          </cell>
          <cell r="D1452" t="str">
            <v>SPCC-SD</v>
          </cell>
          <cell r="E1452" t="str">
            <v>AF1</v>
          </cell>
          <cell r="F1452">
            <v>3</v>
          </cell>
          <cell r="G1452">
            <v>1219</v>
          </cell>
          <cell r="H1452">
            <v>2438</v>
          </cell>
          <cell r="I1452" t="str">
            <v>A</v>
          </cell>
          <cell r="K1452">
            <v>19</v>
          </cell>
          <cell r="L1452">
            <v>1328</v>
          </cell>
          <cell r="M1452">
            <v>20051621</v>
          </cell>
          <cell r="N1452">
            <v>38922</v>
          </cell>
          <cell r="P1452" t="str">
            <v>BN6724D2L232003</v>
          </cell>
          <cell r="Q1452" t="str">
            <v>สภาพปกติ</v>
          </cell>
        </row>
        <row r="1453">
          <cell r="A1453">
            <v>20047024</v>
          </cell>
          <cell r="B1453">
            <v>1452</v>
          </cell>
          <cell r="C1453" t="str">
            <v>GRB</v>
          </cell>
          <cell r="D1453" t="str">
            <v>SPCEN-SD</v>
          </cell>
          <cell r="E1453" t="str">
            <v>AF3</v>
          </cell>
          <cell r="F1453">
            <v>1.2</v>
          </cell>
          <cell r="G1453">
            <v>1219</v>
          </cell>
          <cell r="H1453">
            <v>2438</v>
          </cell>
          <cell r="I1453" t="str">
            <v>A</v>
          </cell>
          <cell r="K1453">
            <v>56</v>
          </cell>
          <cell r="L1453">
            <v>1538</v>
          </cell>
          <cell r="M1453">
            <v>20047024</v>
          </cell>
          <cell r="N1453">
            <v>38726</v>
          </cell>
          <cell r="P1453" t="str">
            <v>BN6109N2RBBBB01</v>
          </cell>
          <cell r="Q1453" t="str">
            <v>กระดาษฉีกขาด</v>
          </cell>
        </row>
        <row r="1454">
          <cell r="A1454">
            <v>20050999</v>
          </cell>
          <cell r="B1454">
            <v>1453</v>
          </cell>
          <cell r="C1454" t="str">
            <v>GRB</v>
          </cell>
          <cell r="D1454" t="str">
            <v>SPCEN-SD</v>
          </cell>
          <cell r="E1454" t="str">
            <v>AF3</v>
          </cell>
          <cell r="F1454">
            <v>1.2</v>
          </cell>
          <cell r="G1454">
            <v>1219</v>
          </cell>
          <cell r="H1454">
            <v>2438</v>
          </cell>
          <cell r="I1454" t="str">
            <v>A</v>
          </cell>
          <cell r="K1454">
            <v>95</v>
          </cell>
          <cell r="L1454">
            <v>2654</v>
          </cell>
          <cell r="M1454">
            <v>20050999</v>
          </cell>
          <cell r="N1454">
            <v>38892</v>
          </cell>
          <cell r="P1454" t="str">
            <v>BN6624D1RSSSS05</v>
          </cell>
          <cell r="Q1454" t="str">
            <v>แผ่นรองและสายรัดเป็นสนิม</v>
          </cell>
        </row>
        <row r="1455">
          <cell r="A1455">
            <v>20051000</v>
          </cell>
          <cell r="B1455">
            <v>1454</v>
          </cell>
          <cell r="C1455" t="str">
            <v>GRB</v>
          </cell>
          <cell r="D1455" t="str">
            <v>SPCEN-SD</v>
          </cell>
          <cell r="E1455" t="str">
            <v>AF3</v>
          </cell>
          <cell r="F1455">
            <v>1.2</v>
          </cell>
          <cell r="G1455">
            <v>1219</v>
          </cell>
          <cell r="H1455">
            <v>2438</v>
          </cell>
          <cell r="I1455" t="str">
            <v>A</v>
          </cell>
          <cell r="K1455">
            <v>84</v>
          </cell>
          <cell r="L1455">
            <v>2350</v>
          </cell>
          <cell r="M1455">
            <v>20051000</v>
          </cell>
          <cell r="N1455">
            <v>38892</v>
          </cell>
          <cell r="P1455" t="str">
            <v>BN6624D1RSSSS06</v>
          </cell>
          <cell r="Q1455" t="str">
            <v>แผ่นรองและสายรัดเป็นสนิม</v>
          </cell>
        </row>
        <row r="1456">
          <cell r="A1456">
            <v>20051001</v>
          </cell>
          <cell r="B1456">
            <v>1455</v>
          </cell>
          <cell r="C1456" t="str">
            <v>GRB</v>
          </cell>
          <cell r="D1456" t="str">
            <v>SPCEN-SD</v>
          </cell>
          <cell r="E1456" t="str">
            <v>AF3</v>
          </cell>
          <cell r="F1456">
            <v>1.2</v>
          </cell>
          <cell r="G1456">
            <v>1219</v>
          </cell>
          <cell r="H1456">
            <v>2438</v>
          </cell>
          <cell r="I1456" t="str">
            <v>A</v>
          </cell>
          <cell r="K1456">
            <v>77</v>
          </cell>
          <cell r="L1456">
            <v>2154</v>
          </cell>
          <cell r="M1456">
            <v>20051001</v>
          </cell>
          <cell r="N1456">
            <v>38892</v>
          </cell>
          <cell r="P1456" t="str">
            <v>BN6624D1RSSSS07</v>
          </cell>
          <cell r="Q1456" t="str">
            <v>สภาพปกติ</v>
          </cell>
        </row>
        <row r="1457">
          <cell r="A1457">
            <v>20051002</v>
          </cell>
          <cell r="B1457">
            <v>1456</v>
          </cell>
          <cell r="C1457" t="str">
            <v>GRB</v>
          </cell>
          <cell r="D1457" t="str">
            <v>SPCEN-SD</v>
          </cell>
          <cell r="E1457" t="str">
            <v>AF3</v>
          </cell>
          <cell r="F1457">
            <v>1.2</v>
          </cell>
          <cell r="G1457">
            <v>1219</v>
          </cell>
          <cell r="H1457">
            <v>2438</v>
          </cell>
          <cell r="I1457" t="str">
            <v>A</v>
          </cell>
          <cell r="K1457">
            <v>70</v>
          </cell>
          <cell r="L1457">
            <v>1958</v>
          </cell>
          <cell r="M1457">
            <v>20051002</v>
          </cell>
          <cell r="N1457">
            <v>38892</v>
          </cell>
          <cell r="P1457" t="str">
            <v>BN6624D1RSSSS08</v>
          </cell>
          <cell r="Q1457" t="str">
            <v>สภาพปกติ</v>
          </cell>
        </row>
        <row r="1458">
          <cell r="A1458">
            <v>20051003</v>
          </cell>
          <cell r="B1458">
            <v>1457</v>
          </cell>
          <cell r="C1458" t="str">
            <v>GRB</v>
          </cell>
          <cell r="D1458" t="str">
            <v>SPCEN-SD</v>
          </cell>
          <cell r="E1458" t="str">
            <v>AF3</v>
          </cell>
          <cell r="F1458">
            <v>1.2</v>
          </cell>
          <cell r="G1458">
            <v>1219</v>
          </cell>
          <cell r="H1458">
            <v>2438</v>
          </cell>
          <cell r="I1458" t="str">
            <v>A</v>
          </cell>
          <cell r="K1458">
            <v>47</v>
          </cell>
          <cell r="L1458">
            <v>1309</v>
          </cell>
          <cell r="M1458">
            <v>20051003</v>
          </cell>
          <cell r="N1458">
            <v>38892</v>
          </cell>
          <cell r="P1458" t="str">
            <v>BN6624D1RSSSS09</v>
          </cell>
          <cell r="Q1458" t="str">
            <v>สภาพปกติ</v>
          </cell>
        </row>
        <row r="1459">
          <cell r="A1459">
            <v>20051004</v>
          </cell>
          <cell r="B1459">
            <v>1458</v>
          </cell>
          <cell r="C1459" t="str">
            <v>GRB</v>
          </cell>
          <cell r="D1459" t="str">
            <v>SPCEN-SD</v>
          </cell>
          <cell r="E1459" t="str">
            <v>AF3</v>
          </cell>
          <cell r="F1459">
            <v>1.2</v>
          </cell>
          <cell r="G1459">
            <v>1219</v>
          </cell>
          <cell r="H1459">
            <v>2438</v>
          </cell>
          <cell r="I1459" t="str">
            <v>A</v>
          </cell>
          <cell r="K1459">
            <v>57</v>
          </cell>
          <cell r="L1459">
            <v>1578</v>
          </cell>
          <cell r="M1459">
            <v>20051004</v>
          </cell>
          <cell r="N1459">
            <v>38892</v>
          </cell>
          <cell r="P1459" t="str">
            <v>BN6624D1RSSSS10</v>
          </cell>
          <cell r="Q1459" t="str">
            <v>สภาพปกติ</v>
          </cell>
        </row>
        <row r="1460">
          <cell r="A1460">
            <v>20051056</v>
          </cell>
          <cell r="B1460">
            <v>1459</v>
          </cell>
          <cell r="C1460" t="str">
            <v>GRB</v>
          </cell>
          <cell r="D1460" t="str">
            <v>SPCEN-SD</v>
          </cell>
          <cell r="E1460" t="str">
            <v>AF3</v>
          </cell>
          <cell r="F1460">
            <v>1.2</v>
          </cell>
          <cell r="G1460">
            <v>1219</v>
          </cell>
          <cell r="H1460">
            <v>2438</v>
          </cell>
          <cell r="I1460" t="str">
            <v>A</v>
          </cell>
          <cell r="K1460">
            <v>46</v>
          </cell>
          <cell r="L1460">
            <v>1285</v>
          </cell>
          <cell r="M1460">
            <v>20051056</v>
          </cell>
          <cell r="N1460">
            <v>38895</v>
          </cell>
          <cell r="P1460" t="str">
            <v>BN6627N2RBBBB11</v>
          </cell>
          <cell r="Q1460" t="str">
            <v>แผ่นรองและสายรัดเป็นสนิม</v>
          </cell>
        </row>
        <row r="1461">
          <cell r="A1461">
            <v>20051606</v>
          </cell>
          <cell r="B1461">
            <v>1460</v>
          </cell>
          <cell r="C1461" t="str">
            <v>GRB</v>
          </cell>
          <cell r="D1461" t="str">
            <v>SPCEN-SD</v>
          </cell>
          <cell r="E1461" t="str">
            <v>AF3</v>
          </cell>
          <cell r="F1461">
            <v>1.4</v>
          </cell>
          <cell r="G1461">
            <v>1219</v>
          </cell>
          <cell r="H1461">
            <v>2438</v>
          </cell>
          <cell r="I1461" t="str">
            <v>A</v>
          </cell>
          <cell r="K1461">
            <v>50</v>
          </cell>
          <cell r="L1461">
            <v>1632</v>
          </cell>
          <cell r="M1461">
            <v>20051606</v>
          </cell>
          <cell r="N1461">
            <v>38922</v>
          </cell>
          <cell r="P1461" t="str">
            <v>BN6724D2RBBBB03</v>
          </cell>
          <cell r="Q1461" t="str">
            <v>กระดาษฉีกขาดและเป็นสนิม</v>
          </cell>
        </row>
        <row r="1462">
          <cell r="A1462">
            <v>20051656</v>
          </cell>
          <cell r="B1462">
            <v>1461</v>
          </cell>
          <cell r="C1462" t="str">
            <v>GRB</v>
          </cell>
          <cell r="D1462" t="str">
            <v>SPCEN-SD</v>
          </cell>
          <cell r="E1462" t="str">
            <v>AF3</v>
          </cell>
          <cell r="F1462">
            <v>1.4</v>
          </cell>
          <cell r="G1462">
            <v>1219</v>
          </cell>
          <cell r="H1462">
            <v>2438</v>
          </cell>
          <cell r="I1462" t="str">
            <v>A</v>
          </cell>
          <cell r="K1462">
            <v>60</v>
          </cell>
          <cell r="L1462">
            <v>1958</v>
          </cell>
          <cell r="M1462">
            <v>20051656</v>
          </cell>
          <cell r="N1462">
            <v>38924</v>
          </cell>
          <cell r="P1462" t="str">
            <v>BN6726D1RSSSS04</v>
          </cell>
          <cell r="Q1462" t="str">
            <v>สภาพปกติ</v>
          </cell>
        </row>
        <row r="1463">
          <cell r="A1463">
            <v>20051657</v>
          </cell>
          <cell r="B1463">
            <v>1462</v>
          </cell>
          <cell r="C1463" t="str">
            <v>GRB</v>
          </cell>
          <cell r="D1463" t="str">
            <v>SPCEN-SD</v>
          </cell>
          <cell r="E1463" t="str">
            <v>AF3</v>
          </cell>
          <cell r="F1463">
            <v>1.4</v>
          </cell>
          <cell r="G1463">
            <v>1219</v>
          </cell>
          <cell r="H1463">
            <v>2438</v>
          </cell>
          <cell r="I1463" t="str">
            <v>A</v>
          </cell>
          <cell r="K1463">
            <v>60</v>
          </cell>
          <cell r="L1463">
            <v>1956</v>
          </cell>
          <cell r="M1463">
            <v>20051657</v>
          </cell>
          <cell r="N1463">
            <v>38924</v>
          </cell>
          <cell r="P1463" t="str">
            <v>BN6726D1RSSSS05</v>
          </cell>
          <cell r="Q1463" t="str">
            <v>สภาพปกติ</v>
          </cell>
        </row>
        <row r="1464">
          <cell r="A1464">
            <v>20051676</v>
          </cell>
          <cell r="B1464">
            <v>1463</v>
          </cell>
          <cell r="C1464" t="str">
            <v>GRB</v>
          </cell>
          <cell r="D1464" t="str">
            <v>SPCEN-SD</v>
          </cell>
          <cell r="E1464" t="str">
            <v>AF3</v>
          </cell>
          <cell r="F1464">
            <v>1.4</v>
          </cell>
          <cell r="G1464">
            <v>1219</v>
          </cell>
          <cell r="H1464">
            <v>2438</v>
          </cell>
          <cell r="I1464" t="str">
            <v>A</v>
          </cell>
          <cell r="K1464">
            <v>60</v>
          </cell>
          <cell r="L1464">
            <v>1952</v>
          </cell>
          <cell r="M1464">
            <v>20051676</v>
          </cell>
          <cell r="N1464">
            <v>38925</v>
          </cell>
          <cell r="P1464" t="str">
            <v>BN6727D1RSSSS06</v>
          </cell>
          <cell r="Q1464" t="str">
            <v>สภาพปกติ</v>
          </cell>
        </row>
        <row r="1465">
          <cell r="A1465">
            <v>20051677</v>
          </cell>
          <cell r="B1465">
            <v>1464</v>
          </cell>
          <cell r="C1465" t="str">
            <v>GRB</v>
          </cell>
          <cell r="D1465" t="str">
            <v>SPCEN-SD</v>
          </cell>
          <cell r="E1465" t="str">
            <v>AF3</v>
          </cell>
          <cell r="F1465">
            <v>1.4</v>
          </cell>
          <cell r="G1465">
            <v>1219</v>
          </cell>
          <cell r="H1465">
            <v>2438</v>
          </cell>
          <cell r="I1465" t="str">
            <v>A</v>
          </cell>
          <cell r="K1465">
            <v>60</v>
          </cell>
          <cell r="L1465">
            <v>1950</v>
          </cell>
          <cell r="M1465">
            <v>20051677</v>
          </cell>
          <cell r="N1465">
            <v>38925</v>
          </cell>
          <cell r="P1465" t="str">
            <v>BN6727D1RSSSS06</v>
          </cell>
          <cell r="Q1465" t="str">
            <v>สภาพปกติ</v>
          </cell>
        </row>
        <row r="1466">
          <cell r="A1466">
            <v>20051679</v>
          </cell>
          <cell r="B1466">
            <v>1465</v>
          </cell>
          <cell r="C1466" t="str">
            <v>GRB</v>
          </cell>
          <cell r="D1466" t="str">
            <v>SPCEN-SD</v>
          </cell>
          <cell r="E1466" t="str">
            <v>AF3</v>
          </cell>
          <cell r="F1466">
            <v>1.4</v>
          </cell>
          <cell r="G1466">
            <v>1219</v>
          </cell>
          <cell r="H1466">
            <v>2438</v>
          </cell>
          <cell r="I1466" t="str">
            <v>A</v>
          </cell>
          <cell r="K1466">
            <v>17</v>
          </cell>
          <cell r="L1466">
            <v>554</v>
          </cell>
          <cell r="M1466">
            <v>20051679</v>
          </cell>
          <cell r="N1466">
            <v>38925</v>
          </cell>
          <cell r="P1466" t="str">
            <v>BN6727D1RSSSS08</v>
          </cell>
          <cell r="Q1466" t="str">
            <v>สภาพปกติ</v>
          </cell>
        </row>
        <row r="1467">
          <cell r="A1467">
            <v>20052061</v>
          </cell>
          <cell r="B1467">
            <v>1466</v>
          </cell>
          <cell r="C1467" t="str">
            <v>GRB</v>
          </cell>
          <cell r="D1467" t="str">
            <v>SPCEN-SD</v>
          </cell>
          <cell r="E1467" t="str">
            <v>AF3</v>
          </cell>
          <cell r="F1467">
            <v>1.4</v>
          </cell>
          <cell r="G1467">
            <v>1219</v>
          </cell>
          <cell r="H1467">
            <v>2438</v>
          </cell>
          <cell r="I1467" t="str">
            <v>A</v>
          </cell>
          <cell r="K1467">
            <v>57</v>
          </cell>
          <cell r="L1467">
            <v>1862</v>
          </cell>
          <cell r="M1467">
            <v>20052061</v>
          </cell>
          <cell r="N1467">
            <v>38951</v>
          </cell>
          <cell r="P1467" t="str">
            <v>BN6822D2D309909</v>
          </cell>
          <cell r="Q1467" t="str">
            <v>กระดาษฉีกขาด</v>
          </cell>
        </row>
        <row r="1468">
          <cell r="A1468">
            <v>20051700</v>
          </cell>
          <cell r="B1468">
            <v>1467</v>
          </cell>
          <cell r="C1468" t="str">
            <v>GRB</v>
          </cell>
          <cell r="D1468" t="str">
            <v>SPCC-SD</v>
          </cell>
          <cell r="E1468" t="str">
            <v>AG1</v>
          </cell>
          <cell r="F1468">
            <v>0.9</v>
          </cell>
          <cell r="G1468">
            <v>1219</v>
          </cell>
          <cell r="H1468">
            <v>2438</v>
          </cell>
          <cell r="I1468" t="str">
            <v>A</v>
          </cell>
          <cell r="K1468">
            <v>119</v>
          </cell>
          <cell r="L1468">
            <v>2502</v>
          </cell>
          <cell r="M1468">
            <v>20051700</v>
          </cell>
          <cell r="N1468">
            <v>38926</v>
          </cell>
          <cell r="P1468" t="str">
            <v>BN6728D1RSSSS01</v>
          </cell>
          <cell r="Q1468" t="str">
            <v>สภาพปกติ</v>
          </cell>
        </row>
        <row r="1469">
          <cell r="A1469">
            <v>20049179</v>
          </cell>
          <cell r="B1469">
            <v>1468</v>
          </cell>
          <cell r="C1469" t="str">
            <v>GRB</v>
          </cell>
          <cell r="D1469" t="str">
            <v>SPCC-SD</v>
          </cell>
          <cell r="E1469" t="str">
            <v>AG1</v>
          </cell>
          <cell r="F1469">
            <v>1.6</v>
          </cell>
          <cell r="G1469">
            <v>1219</v>
          </cell>
          <cell r="H1469">
            <v>2438</v>
          </cell>
          <cell r="I1469" t="str">
            <v>A</v>
          </cell>
          <cell r="K1469">
            <v>39</v>
          </cell>
          <cell r="L1469">
            <v>1462</v>
          </cell>
          <cell r="M1469">
            <v>20049179</v>
          </cell>
          <cell r="N1469">
            <v>38807</v>
          </cell>
          <cell r="P1469" t="str">
            <v>BN6331N1L902901</v>
          </cell>
          <cell r="Q1469" t="str">
            <v>สภาพปกติ</v>
          </cell>
        </row>
        <row r="1470">
          <cell r="A1470">
            <v>20049180</v>
          </cell>
          <cell r="B1470">
            <v>1469</v>
          </cell>
          <cell r="C1470" t="str">
            <v>GRB</v>
          </cell>
          <cell r="D1470" t="str">
            <v>SPCC-SD</v>
          </cell>
          <cell r="E1470" t="str">
            <v>AG1</v>
          </cell>
          <cell r="F1470">
            <v>1.6</v>
          </cell>
          <cell r="G1470">
            <v>1219</v>
          </cell>
          <cell r="H1470">
            <v>2438</v>
          </cell>
          <cell r="I1470" t="str">
            <v>A</v>
          </cell>
          <cell r="K1470">
            <v>20</v>
          </cell>
          <cell r="L1470">
            <v>749</v>
          </cell>
          <cell r="M1470">
            <v>20049180</v>
          </cell>
          <cell r="N1470">
            <v>38807</v>
          </cell>
          <cell r="P1470" t="str">
            <v>BN6331N1L902902</v>
          </cell>
          <cell r="Q1470" t="str">
            <v>แผ่นรองและสายรัดเป็นสนิม</v>
          </cell>
        </row>
        <row r="1471">
          <cell r="A1471">
            <v>20051420</v>
          </cell>
          <cell r="B1471">
            <v>1470</v>
          </cell>
          <cell r="C1471" t="str">
            <v>GRB</v>
          </cell>
          <cell r="D1471" t="str">
            <v>SPCC-SD</v>
          </cell>
          <cell r="E1471" t="str">
            <v>AG1</v>
          </cell>
          <cell r="F1471">
            <v>1.6</v>
          </cell>
          <cell r="G1471">
            <v>1219</v>
          </cell>
          <cell r="H1471">
            <v>2438</v>
          </cell>
          <cell r="I1471" t="str">
            <v>A</v>
          </cell>
          <cell r="K1471">
            <v>49</v>
          </cell>
          <cell r="L1471">
            <v>1824</v>
          </cell>
          <cell r="M1471">
            <v>20051420</v>
          </cell>
          <cell r="N1471">
            <v>38913</v>
          </cell>
          <cell r="P1471" t="str">
            <v>BN6715D1RSSSS04</v>
          </cell>
          <cell r="Q1471" t="str">
            <v>แผ่นรองและสายรัดเป็นสนิม</v>
          </cell>
        </row>
        <row r="1472">
          <cell r="A1472">
            <v>20051706</v>
          </cell>
          <cell r="B1472">
            <v>1471</v>
          </cell>
          <cell r="C1472" t="str">
            <v>GRB</v>
          </cell>
          <cell r="D1472" t="str">
            <v>SPCC-SD</v>
          </cell>
          <cell r="E1472" t="str">
            <v>AG1</v>
          </cell>
          <cell r="F1472">
            <v>1.6</v>
          </cell>
          <cell r="G1472">
            <v>1219</v>
          </cell>
          <cell r="H1472">
            <v>2438</v>
          </cell>
          <cell r="I1472" t="str">
            <v>A</v>
          </cell>
          <cell r="K1472">
            <v>43</v>
          </cell>
          <cell r="L1472">
            <v>1600</v>
          </cell>
          <cell r="M1472">
            <v>20051706</v>
          </cell>
          <cell r="N1472">
            <v>38926</v>
          </cell>
          <cell r="P1472" t="str">
            <v>BN6728D2L237905</v>
          </cell>
          <cell r="Q1472" t="str">
            <v>แผ่นรองและสายรัดเป็นสนิม</v>
          </cell>
        </row>
        <row r="1473">
          <cell r="A1473">
            <v>20051983</v>
          </cell>
          <cell r="B1473">
            <v>1472</v>
          </cell>
          <cell r="C1473" t="str">
            <v>GRB</v>
          </cell>
          <cell r="D1473" t="str">
            <v>SPCC-SD</v>
          </cell>
          <cell r="E1473" t="str">
            <v>AG1</v>
          </cell>
          <cell r="F1473">
            <v>1.6</v>
          </cell>
          <cell r="G1473">
            <v>1219</v>
          </cell>
          <cell r="H1473">
            <v>2438</v>
          </cell>
          <cell r="I1473" t="str">
            <v>A</v>
          </cell>
          <cell r="K1473">
            <v>60</v>
          </cell>
          <cell r="L1473">
            <v>2248</v>
          </cell>
          <cell r="M1473">
            <v>20051983</v>
          </cell>
          <cell r="N1473">
            <v>38944</v>
          </cell>
          <cell r="P1473" t="str">
            <v>BN6815D1R295306</v>
          </cell>
          <cell r="Q1473" t="str">
            <v>กระดาษฉีกขาด</v>
          </cell>
        </row>
        <row r="1474">
          <cell r="A1474">
            <v>20052085</v>
          </cell>
          <cell r="B1474">
            <v>1473</v>
          </cell>
          <cell r="C1474" t="str">
            <v>GRB</v>
          </cell>
          <cell r="D1474" t="str">
            <v>SPCC-SD</v>
          </cell>
          <cell r="E1474" t="str">
            <v>AG1</v>
          </cell>
          <cell r="F1474">
            <v>1.6</v>
          </cell>
          <cell r="G1474">
            <v>1219</v>
          </cell>
          <cell r="H1474">
            <v>2438</v>
          </cell>
          <cell r="I1474" t="str">
            <v>A</v>
          </cell>
          <cell r="K1474">
            <v>50</v>
          </cell>
          <cell r="L1474">
            <v>1871</v>
          </cell>
          <cell r="M1474">
            <v>20052085</v>
          </cell>
          <cell r="N1474">
            <v>38952</v>
          </cell>
          <cell r="P1474" t="str">
            <v>BN6823D1L260707</v>
          </cell>
          <cell r="Q1474" t="str">
            <v>สภาพปกติ</v>
          </cell>
        </row>
        <row r="1475">
          <cell r="A1475">
            <v>20052087</v>
          </cell>
          <cell r="B1475">
            <v>1474</v>
          </cell>
          <cell r="C1475" t="str">
            <v>GRB</v>
          </cell>
          <cell r="D1475" t="str">
            <v>SPCC-SD</v>
          </cell>
          <cell r="E1475" t="str">
            <v>AG1</v>
          </cell>
          <cell r="F1475">
            <v>1.6</v>
          </cell>
          <cell r="G1475">
            <v>1219</v>
          </cell>
          <cell r="H1475">
            <v>2438</v>
          </cell>
          <cell r="I1475" t="str">
            <v>A</v>
          </cell>
          <cell r="K1475">
            <v>50</v>
          </cell>
          <cell r="L1475">
            <v>1863</v>
          </cell>
          <cell r="M1475">
            <v>20052087</v>
          </cell>
          <cell r="N1475">
            <v>38952</v>
          </cell>
          <cell r="P1475" t="str">
            <v>BN6823D1L312608</v>
          </cell>
          <cell r="Q1475" t="str">
            <v>แผ่นรองและสายรัดเป็นสนิม</v>
          </cell>
        </row>
        <row r="1476">
          <cell r="A1476">
            <v>20051108</v>
          </cell>
          <cell r="B1476">
            <v>1475</v>
          </cell>
          <cell r="C1476" t="str">
            <v>GRB</v>
          </cell>
          <cell r="D1476" t="str">
            <v>SPCC-SD</v>
          </cell>
          <cell r="E1476" t="str">
            <v>AG1</v>
          </cell>
          <cell r="F1476">
            <v>2</v>
          </cell>
          <cell r="G1476">
            <v>1219</v>
          </cell>
          <cell r="H1476">
            <v>2438</v>
          </cell>
          <cell r="I1476" t="str">
            <v>A</v>
          </cell>
          <cell r="K1476">
            <v>50</v>
          </cell>
          <cell r="L1476">
            <v>2346</v>
          </cell>
          <cell r="M1476">
            <v>20051108</v>
          </cell>
          <cell r="N1476">
            <v>38897</v>
          </cell>
          <cell r="P1476" t="str">
            <v>BN6629D1R118602</v>
          </cell>
          <cell r="Q1476" t="str">
            <v>กระดาษฉีกขาด</v>
          </cell>
        </row>
        <row r="1477">
          <cell r="A1477">
            <v>20051109</v>
          </cell>
          <cell r="B1477">
            <v>1476</v>
          </cell>
          <cell r="C1477" t="str">
            <v>GRB</v>
          </cell>
          <cell r="D1477" t="str">
            <v>SPCC-SD</v>
          </cell>
          <cell r="E1477" t="str">
            <v>AG1</v>
          </cell>
          <cell r="F1477">
            <v>2</v>
          </cell>
          <cell r="G1477">
            <v>1219</v>
          </cell>
          <cell r="H1477">
            <v>2438</v>
          </cell>
          <cell r="I1477" t="str">
            <v>A</v>
          </cell>
          <cell r="K1477">
            <v>39</v>
          </cell>
          <cell r="L1477">
            <v>1820</v>
          </cell>
          <cell r="M1477">
            <v>20051109</v>
          </cell>
          <cell r="N1477">
            <v>38897</v>
          </cell>
          <cell r="P1477" t="str">
            <v>BN6629D1R118603</v>
          </cell>
          <cell r="Q1477" t="str">
            <v>สภาพปกติ</v>
          </cell>
        </row>
        <row r="1478">
          <cell r="A1478">
            <v>20051338</v>
          </cell>
          <cell r="B1478">
            <v>1477</v>
          </cell>
          <cell r="C1478" t="str">
            <v>GRB</v>
          </cell>
          <cell r="D1478" t="str">
            <v>SPCC-SD</v>
          </cell>
          <cell r="E1478" t="str">
            <v>AG1</v>
          </cell>
          <cell r="F1478">
            <v>2</v>
          </cell>
          <cell r="G1478">
            <v>1219</v>
          </cell>
          <cell r="H1478">
            <v>2438</v>
          </cell>
          <cell r="I1478" t="str">
            <v>A</v>
          </cell>
          <cell r="K1478">
            <v>50</v>
          </cell>
          <cell r="L1478">
            <v>2342</v>
          </cell>
          <cell r="M1478">
            <v>20051338</v>
          </cell>
          <cell r="N1478">
            <v>38910</v>
          </cell>
          <cell r="P1478" t="str">
            <v>BN6712D1R188304</v>
          </cell>
          <cell r="Q1478" t="str">
            <v>กระดาษฉีกขาด</v>
          </cell>
        </row>
        <row r="1479">
          <cell r="A1479">
            <v>20051733</v>
          </cell>
          <cell r="B1479">
            <v>1478</v>
          </cell>
          <cell r="C1479" t="str">
            <v>GRB</v>
          </cell>
          <cell r="D1479" t="str">
            <v>SPCC-SD</v>
          </cell>
          <cell r="E1479" t="str">
            <v>AG1</v>
          </cell>
          <cell r="F1479">
            <v>2</v>
          </cell>
          <cell r="G1479">
            <v>1219</v>
          </cell>
          <cell r="H1479">
            <v>2438</v>
          </cell>
          <cell r="I1479" t="str">
            <v>A</v>
          </cell>
          <cell r="K1479">
            <v>41</v>
          </cell>
          <cell r="L1479">
            <v>1914</v>
          </cell>
          <cell r="M1479">
            <v>20051733</v>
          </cell>
          <cell r="N1479">
            <v>38927</v>
          </cell>
          <cell r="P1479" t="str">
            <v>BN6729D1L247206</v>
          </cell>
          <cell r="Q1479" t="str">
            <v>แผ่นรองและสายรัดเป็นสนิม</v>
          </cell>
        </row>
        <row r="1480">
          <cell r="A1480">
            <v>20051734</v>
          </cell>
          <cell r="B1480">
            <v>1479</v>
          </cell>
          <cell r="C1480" t="str">
            <v>GRB</v>
          </cell>
          <cell r="D1480" t="str">
            <v>SPCC-SD</v>
          </cell>
          <cell r="E1480" t="str">
            <v>AG1</v>
          </cell>
          <cell r="F1480">
            <v>2</v>
          </cell>
          <cell r="G1480">
            <v>1219</v>
          </cell>
          <cell r="H1480">
            <v>2438</v>
          </cell>
          <cell r="I1480" t="str">
            <v>A</v>
          </cell>
          <cell r="K1480">
            <v>41</v>
          </cell>
          <cell r="L1480">
            <v>1917</v>
          </cell>
          <cell r="M1480">
            <v>20051734</v>
          </cell>
          <cell r="N1480">
            <v>38927</v>
          </cell>
          <cell r="P1480" t="str">
            <v>BN6729D1L247207</v>
          </cell>
          <cell r="Q1480" t="str">
            <v>กระดาษฉีกขาด</v>
          </cell>
        </row>
        <row r="1481">
          <cell r="A1481">
            <v>20051747</v>
          </cell>
          <cell r="B1481">
            <v>1480</v>
          </cell>
          <cell r="C1481" t="str">
            <v>GRB</v>
          </cell>
          <cell r="D1481" t="str">
            <v>SPCC-SD</v>
          </cell>
          <cell r="E1481" t="str">
            <v>AG1</v>
          </cell>
          <cell r="F1481">
            <v>2</v>
          </cell>
          <cell r="G1481">
            <v>1219</v>
          </cell>
          <cell r="H1481">
            <v>2438</v>
          </cell>
          <cell r="I1481" t="str">
            <v>A</v>
          </cell>
          <cell r="K1481">
            <v>30</v>
          </cell>
          <cell r="L1481">
            <v>1407</v>
          </cell>
          <cell r="M1481">
            <v>20051747</v>
          </cell>
          <cell r="N1481">
            <v>38928</v>
          </cell>
          <cell r="P1481" t="str">
            <v>BN6730N2L255108</v>
          </cell>
          <cell r="Q1481" t="str">
            <v>กระดาษฉีกขาด</v>
          </cell>
        </row>
        <row r="1482">
          <cell r="A1482">
            <v>20051579</v>
          </cell>
          <cell r="B1482">
            <v>1481</v>
          </cell>
          <cell r="C1482" t="str">
            <v>GRB</v>
          </cell>
          <cell r="D1482" t="str">
            <v>SPHC P/O</v>
          </cell>
          <cell r="E1482" t="str">
            <v>CA1</v>
          </cell>
          <cell r="F1482">
            <v>2</v>
          </cell>
          <cell r="G1482">
            <v>1219</v>
          </cell>
          <cell r="H1482">
            <v>2438</v>
          </cell>
          <cell r="I1482" t="str">
            <v>A</v>
          </cell>
          <cell r="K1482">
            <v>10</v>
          </cell>
          <cell r="L1482">
            <v>464</v>
          </cell>
          <cell r="M1482">
            <v>20051579</v>
          </cell>
          <cell r="N1482">
            <v>38920</v>
          </cell>
          <cell r="P1482" t="str">
            <v>BN6722D2RBBBB01</v>
          </cell>
          <cell r="Q1482" t="str">
            <v>กระดาษฉีกขาด</v>
          </cell>
        </row>
        <row r="1483">
          <cell r="A1483">
            <v>20051045</v>
          </cell>
          <cell r="B1483">
            <v>1482</v>
          </cell>
          <cell r="C1483" t="str">
            <v>GRB</v>
          </cell>
          <cell r="D1483" t="str">
            <v>SPHC P/O</v>
          </cell>
          <cell r="E1483" t="str">
            <v>CA1</v>
          </cell>
          <cell r="F1483">
            <v>6</v>
          </cell>
          <cell r="G1483">
            <v>1219</v>
          </cell>
          <cell r="H1483">
            <v>2438</v>
          </cell>
          <cell r="I1483" t="str">
            <v>A</v>
          </cell>
          <cell r="K1483">
            <v>12</v>
          </cell>
          <cell r="L1483">
            <v>1677</v>
          </cell>
          <cell r="M1483">
            <v>20051045</v>
          </cell>
          <cell r="N1483">
            <v>38895</v>
          </cell>
          <cell r="P1483" t="str">
            <v>BN6627N2RBBBB07</v>
          </cell>
          <cell r="Q1483" t="str">
            <v>แผ่นรองและสายรัดเป็นสนิม</v>
          </cell>
        </row>
        <row r="1484">
          <cell r="A1484">
            <v>60044206</v>
          </cell>
          <cell r="B1484">
            <v>1483</v>
          </cell>
          <cell r="C1484" t="str">
            <v>CS01/4</v>
          </cell>
          <cell r="D1484" t="str">
            <v>SPCC-SD</v>
          </cell>
          <cell r="E1484" t="str">
            <v>AF1</v>
          </cell>
          <cell r="F1484">
            <v>0.6</v>
          </cell>
          <cell r="G1484">
            <v>79</v>
          </cell>
          <cell r="H1484" t="str">
            <v>C</v>
          </cell>
          <cell r="I1484" t="str">
            <v>A</v>
          </cell>
          <cell r="J1484" t="str">
            <v>TSLA</v>
          </cell>
          <cell r="K1484">
            <v>1</v>
          </cell>
          <cell r="L1484">
            <v>214</v>
          </cell>
          <cell r="M1484">
            <v>60044206</v>
          </cell>
          <cell r="N1484" t="str">
            <v>10/B/2005</v>
          </cell>
          <cell r="P1484" t="str">
            <v>FN5B10D1S460701</v>
          </cell>
          <cell r="Q1484" t="str">
            <v>สภาพปกติ</v>
          </cell>
        </row>
        <row r="1485">
          <cell r="A1485">
            <v>60044208</v>
          </cell>
          <cell r="B1485">
            <v>1484</v>
          </cell>
          <cell r="C1485" t="str">
            <v>CS01/4</v>
          </cell>
          <cell r="D1485" t="str">
            <v>SPCC-SD</v>
          </cell>
          <cell r="E1485" t="str">
            <v>AF1</v>
          </cell>
          <cell r="F1485">
            <v>0.6</v>
          </cell>
          <cell r="G1485">
            <v>79</v>
          </cell>
          <cell r="H1485" t="str">
            <v>C</v>
          </cell>
          <cell r="I1485" t="str">
            <v>A</v>
          </cell>
          <cell r="J1485" t="str">
            <v>TSLA</v>
          </cell>
          <cell r="K1485">
            <v>1</v>
          </cell>
          <cell r="L1485">
            <v>216</v>
          </cell>
          <cell r="M1485">
            <v>60044208</v>
          </cell>
          <cell r="N1485" t="str">
            <v>10/B/2005</v>
          </cell>
          <cell r="P1485" t="str">
            <v>FN5B10D1S460702</v>
          </cell>
          <cell r="Q1485" t="str">
            <v>สภาพปกติ</v>
          </cell>
        </row>
        <row r="1486">
          <cell r="A1486">
            <v>60062339</v>
          </cell>
          <cell r="B1486">
            <v>1485</v>
          </cell>
          <cell r="C1486" t="str">
            <v>CS01/4</v>
          </cell>
          <cell r="D1486" t="str">
            <v>SPCC-SD</v>
          </cell>
          <cell r="E1486" t="str">
            <v>AF1</v>
          </cell>
          <cell r="F1486">
            <v>1.4</v>
          </cell>
          <cell r="G1486">
            <v>46.5</v>
          </cell>
          <cell r="H1486" t="str">
            <v>C</v>
          </cell>
          <cell r="I1486" t="str">
            <v>A</v>
          </cell>
          <cell r="J1486" t="str">
            <v>TSA</v>
          </cell>
          <cell r="K1486">
            <v>1</v>
          </cell>
          <cell r="L1486">
            <v>173</v>
          </cell>
          <cell r="M1486">
            <v>60062339</v>
          </cell>
          <cell r="N1486">
            <v>38892</v>
          </cell>
          <cell r="P1486" t="str">
            <v>FN6624N1S140501</v>
          </cell>
          <cell r="Q1486" t="str">
            <v>สภาพปกติ</v>
          </cell>
        </row>
        <row r="1487">
          <cell r="A1487">
            <v>60065818</v>
          </cell>
          <cell r="B1487">
            <v>1486</v>
          </cell>
          <cell r="C1487" t="str">
            <v>CS01/4</v>
          </cell>
          <cell r="D1487" t="str">
            <v>SPCC-SD</v>
          </cell>
          <cell r="E1487" t="str">
            <v>AF1</v>
          </cell>
          <cell r="F1487">
            <v>1.6</v>
          </cell>
          <cell r="G1487">
            <v>125</v>
          </cell>
          <cell r="H1487" t="str">
            <v>C</v>
          </cell>
          <cell r="I1487" t="str">
            <v>A</v>
          </cell>
          <cell r="J1487" t="str">
            <v>SAB</v>
          </cell>
          <cell r="K1487">
            <v>1</v>
          </cell>
          <cell r="L1487">
            <v>267</v>
          </cell>
          <cell r="M1487">
            <v>60065818</v>
          </cell>
          <cell r="N1487">
            <v>38937</v>
          </cell>
          <cell r="P1487" t="str">
            <v>FN6808D1S260501</v>
          </cell>
          <cell r="Q1487" t="str">
            <v>สภาพปกติ</v>
          </cell>
        </row>
        <row r="1488">
          <cell r="A1488">
            <v>60067557</v>
          </cell>
          <cell r="B1488">
            <v>1487</v>
          </cell>
          <cell r="C1488" t="str">
            <v>CS01/4</v>
          </cell>
          <cell r="D1488" t="str">
            <v>SPCC-SD</v>
          </cell>
          <cell r="E1488" t="str">
            <v>AF1</v>
          </cell>
          <cell r="F1488">
            <v>1.6</v>
          </cell>
          <cell r="G1488">
            <v>210</v>
          </cell>
          <cell r="H1488" t="str">
            <v>C</v>
          </cell>
          <cell r="I1488" t="str">
            <v>A</v>
          </cell>
          <cell r="J1488" t="str">
            <v>SAB</v>
          </cell>
          <cell r="K1488">
            <v>1</v>
          </cell>
          <cell r="L1488">
            <v>322</v>
          </cell>
          <cell r="M1488">
            <v>60067557</v>
          </cell>
          <cell r="N1488">
            <v>38965</v>
          </cell>
          <cell r="O1488" t="str">
            <v>126329TCD002</v>
          </cell>
          <cell r="P1488" t="str">
            <v>FN6905D1S353201</v>
          </cell>
          <cell r="Q1488" t="str">
            <v>สภาพปกติ</v>
          </cell>
        </row>
        <row r="1489">
          <cell r="A1489">
            <v>60067558</v>
          </cell>
          <cell r="B1489">
            <v>1488</v>
          </cell>
          <cell r="C1489" t="str">
            <v>CS01/4</v>
          </cell>
          <cell r="D1489" t="str">
            <v>SPCC-SD</v>
          </cell>
          <cell r="E1489" t="str">
            <v>AF1</v>
          </cell>
          <cell r="F1489">
            <v>1.6</v>
          </cell>
          <cell r="G1489">
            <v>210</v>
          </cell>
          <cell r="H1489" t="str">
            <v>C</v>
          </cell>
          <cell r="I1489" t="str">
            <v>A</v>
          </cell>
          <cell r="J1489" t="str">
            <v>SAB</v>
          </cell>
          <cell r="K1489">
            <v>1</v>
          </cell>
          <cell r="L1489">
            <v>322</v>
          </cell>
          <cell r="M1489">
            <v>60067558</v>
          </cell>
          <cell r="N1489">
            <v>38965</v>
          </cell>
          <cell r="O1489" t="str">
            <v>126329TCD002</v>
          </cell>
          <cell r="P1489" t="str">
            <v>FN6905D1S353202</v>
          </cell>
          <cell r="Q1489" t="str">
            <v>สภาพปกติ</v>
          </cell>
        </row>
        <row r="1490">
          <cell r="A1490">
            <v>60067559</v>
          </cell>
          <cell r="B1490">
            <v>1489</v>
          </cell>
          <cell r="C1490" t="str">
            <v>CS01/4</v>
          </cell>
          <cell r="D1490" t="str">
            <v>SPCC-SD</v>
          </cell>
          <cell r="E1490" t="str">
            <v>AF1</v>
          </cell>
          <cell r="F1490">
            <v>1.6</v>
          </cell>
          <cell r="G1490">
            <v>210</v>
          </cell>
          <cell r="H1490" t="str">
            <v>C</v>
          </cell>
          <cell r="I1490" t="str">
            <v>A</v>
          </cell>
          <cell r="J1490" t="str">
            <v>SAB</v>
          </cell>
          <cell r="K1490">
            <v>1</v>
          </cell>
          <cell r="L1490">
            <v>322</v>
          </cell>
          <cell r="M1490">
            <v>60067559</v>
          </cell>
          <cell r="N1490">
            <v>38965</v>
          </cell>
          <cell r="O1490" t="str">
            <v>126329TCD002</v>
          </cell>
          <cell r="P1490" t="str">
            <v>FN6905D1S353203</v>
          </cell>
          <cell r="Q1490" t="str">
            <v>สภาพปกติ</v>
          </cell>
        </row>
        <row r="1491">
          <cell r="A1491">
            <v>60067563</v>
          </cell>
          <cell r="B1491">
            <v>1490</v>
          </cell>
          <cell r="C1491" t="str">
            <v>CS01/4</v>
          </cell>
          <cell r="D1491" t="str">
            <v>SPCC-SD</v>
          </cell>
          <cell r="E1491" t="str">
            <v>AF1</v>
          </cell>
          <cell r="F1491">
            <v>1.6</v>
          </cell>
          <cell r="G1491">
            <v>210</v>
          </cell>
          <cell r="H1491" t="str">
            <v>C</v>
          </cell>
          <cell r="I1491" t="str">
            <v>A</v>
          </cell>
          <cell r="J1491" t="str">
            <v>SAB</v>
          </cell>
          <cell r="K1491">
            <v>1</v>
          </cell>
          <cell r="L1491">
            <v>203</v>
          </cell>
          <cell r="M1491">
            <v>60067563</v>
          </cell>
          <cell r="N1491">
            <v>38965</v>
          </cell>
          <cell r="O1491" t="str">
            <v>126329TCD002</v>
          </cell>
          <cell r="P1491" t="str">
            <v>FN69050D1S353202</v>
          </cell>
          <cell r="Q1491" t="str">
            <v>สภาพปกติ</v>
          </cell>
        </row>
        <row r="1492">
          <cell r="A1492">
            <v>60067564</v>
          </cell>
          <cell r="B1492">
            <v>1491</v>
          </cell>
          <cell r="C1492" t="str">
            <v>CS01/4</v>
          </cell>
          <cell r="D1492" t="str">
            <v>SPCC-SD</v>
          </cell>
          <cell r="E1492" t="str">
            <v>AF1</v>
          </cell>
          <cell r="F1492">
            <v>1.6</v>
          </cell>
          <cell r="G1492">
            <v>210</v>
          </cell>
          <cell r="H1492" t="str">
            <v>C</v>
          </cell>
          <cell r="I1492" t="str">
            <v>A</v>
          </cell>
          <cell r="J1492" t="str">
            <v>SAB</v>
          </cell>
          <cell r="K1492">
            <v>1</v>
          </cell>
          <cell r="L1492">
            <v>203</v>
          </cell>
          <cell r="M1492">
            <v>60067564</v>
          </cell>
          <cell r="N1492">
            <v>38965</v>
          </cell>
          <cell r="O1492" t="str">
            <v>126329TCD002</v>
          </cell>
          <cell r="P1492" t="str">
            <v>FN69050D1S353203</v>
          </cell>
          <cell r="Q1492" t="str">
            <v>สภาพปกติ</v>
          </cell>
        </row>
        <row r="1493">
          <cell r="A1493">
            <v>60060181</v>
          </cell>
          <cell r="B1493">
            <v>1492</v>
          </cell>
          <cell r="C1493" t="str">
            <v>CS01/4</v>
          </cell>
          <cell r="D1493" t="str">
            <v>SPCC-SD</v>
          </cell>
          <cell r="E1493" t="str">
            <v>AF1</v>
          </cell>
          <cell r="F1493">
            <v>2</v>
          </cell>
          <cell r="G1493">
            <v>135</v>
          </cell>
          <cell r="H1493" t="str">
            <v>C</v>
          </cell>
          <cell r="I1493" t="str">
            <v>A</v>
          </cell>
          <cell r="J1493" t="str">
            <v>CHEOW CHAN</v>
          </cell>
          <cell r="K1493">
            <v>1</v>
          </cell>
          <cell r="L1493">
            <v>500</v>
          </cell>
          <cell r="M1493">
            <v>60060181</v>
          </cell>
          <cell r="N1493">
            <v>38866</v>
          </cell>
          <cell r="P1493" t="str">
            <v>FN6529D2S049801</v>
          </cell>
          <cell r="Q1493" t="str">
            <v>สภาพปกติ</v>
          </cell>
        </row>
        <row r="1494">
          <cell r="A1494">
            <v>60065082</v>
          </cell>
          <cell r="B1494">
            <v>1493</v>
          </cell>
          <cell r="C1494" t="str">
            <v>CS01/4</v>
          </cell>
          <cell r="D1494" t="str">
            <v>SPCC-SD</v>
          </cell>
          <cell r="E1494" t="str">
            <v>AF1</v>
          </cell>
          <cell r="F1494">
            <v>2.2999999999999998</v>
          </cell>
          <cell r="G1494">
            <v>106</v>
          </cell>
          <cell r="H1494" t="str">
            <v>C</v>
          </cell>
          <cell r="I1494" t="str">
            <v>A</v>
          </cell>
          <cell r="J1494" t="str">
            <v>CHEOW CHAN</v>
          </cell>
          <cell r="K1494">
            <v>1</v>
          </cell>
          <cell r="L1494">
            <v>323</v>
          </cell>
          <cell r="M1494">
            <v>60065082</v>
          </cell>
          <cell r="N1494">
            <v>38930</v>
          </cell>
          <cell r="P1494" t="str">
            <v>FN6801N2S253101</v>
          </cell>
          <cell r="Q1494" t="str">
            <v>สภาพปกติ</v>
          </cell>
        </row>
        <row r="1495">
          <cell r="A1495">
            <v>60065083</v>
          </cell>
          <cell r="B1495">
            <v>1494</v>
          </cell>
          <cell r="C1495" t="str">
            <v>CS01/4</v>
          </cell>
          <cell r="D1495" t="str">
            <v>SPCC-SD</v>
          </cell>
          <cell r="E1495" t="str">
            <v>AF1</v>
          </cell>
          <cell r="F1495">
            <v>2.2999999999999998</v>
          </cell>
          <cell r="G1495">
            <v>106</v>
          </cell>
          <cell r="H1495" t="str">
            <v>C</v>
          </cell>
          <cell r="I1495" t="str">
            <v>A</v>
          </cell>
          <cell r="J1495" t="str">
            <v>CHEOW CHAN</v>
          </cell>
          <cell r="K1495">
            <v>1</v>
          </cell>
          <cell r="L1495">
            <v>323</v>
          </cell>
          <cell r="M1495">
            <v>60065083</v>
          </cell>
          <cell r="N1495">
            <v>38930</v>
          </cell>
          <cell r="P1495" t="str">
            <v>FN6801N2S253102</v>
          </cell>
          <cell r="Q1495" t="str">
            <v>สภาพปกติ</v>
          </cell>
        </row>
        <row r="1496">
          <cell r="A1496">
            <v>60065657</v>
          </cell>
          <cell r="B1496">
            <v>1495</v>
          </cell>
          <cell r="C1496" t="str">
            <v>CS01/4</v>
          </cell>
          <cell r="D1496" t="str">
            <v>SPCC-SD</v>
          </cell>
          <cell r="E1496" t="str">
            <v>AF1</v>
          </cell>
          <cell r="F1496">
            <v>2.2999999999999998</v>
          </cell>
          <cell r="G1496">
            <v>111</v>
          </cell>
          <cell r="H1496" t="str">
            <v>C</v>
          </cell>
          <cell r="I1496" t="str">
            <v>A</v>
          </cell>
          <cell r="K1496">
            <v>1</v>
          </cell>
          <cell r="L1496">
            <v>224</v>
          </cell>
          <cell r="M1496">
            <v>60065657</v>
          </cell>
          <cell r="N1496">
            <v>38935</v>
          </cell>
          <cell r="O1496" t="str">
            <v>126224TCD001</v>
          </cell>
          <cell r="P1496" t="str">
            <v>FN6806N1S272101</v>
          </cell>
          <cell r="Q1496" t="str">
            <v>สภาพปกติ</v>
          </cell>
        </row>
        <row r="1497">
          <cell r="A1497">
            <v>60065172</v>
          </cell>
          <cell r="B1497">
            <v>1496</v>
          </cell>
          <cell r="C1497" t="str">
            <v>CS01/4</v>
          </cell>
          <cell r="D1497" t="str">
            <v>SPCC-SD</v>
          </cell>
          <cell r="E1497" t="str">
            <v>AF1</v>
          </cell>
          <cell r="F1497">
            <v>2.6</v>
          </cell>
          <cell r="G1497">
            <v>75</v>
          </cell>
          <cell r="H1497" t="str">
            <v>C</v>
          </cell>
          <cell r="I1497" t="str">
            <v>A</v>
          </cell>
          <cell r="J1497" t="str">
            <v>CHEOW CHAN</v>
          </cell>
          <cell r="K1497">
            <v>1</v>
          </cell>
          <cell r="L1497">
            <v>167</v>
          </cell>
          <cell r="M1497">
            <v>60065172</v>
          </cell>
          <cell r="N1497">
            <v>38930</v>
          </cell>
          <cell r="P1497" t="str">
            <v>FN6801D2S253201</v>
          </cell>
          <cell r="Q1497" t="str">
            <v>แผ่นรองและสายรัดเป็นสนิม</v>
          </cell>
        </row>
        <row r="1498">
          <cell r="A1498">
            <v>60065173</v>
          </cell>
          <cell r="B1498">
            <v>1497</v>
          </cell>
          <cell r="C1498" t="str">
            <v>CS01/4</v>
          </cell>
          <cell r="D1498" t="str">
            <v>SPCC-SD</v>
          </cell>
          <cell r="E1498" t="str">
            <v>AF1</v>
          </cell>
          <cell r="F1498">
            <v>2.6</v>
          </cell>
          <cell r="G1498">
            <v>75</v>
          </cell>
          <cell r="H1498" t="str">
            <v>C</v>
          </cell>
          <cell r="I1498" t="str">
            <v>A</v>
          </cell>
          <cell r="J1498" t="str">
            <v>CHEOW CHAN</v>
          </cell>
          <cell r="K1498">
            <v>1</v>
          </cell>
          <cell r="L1498">
            <v>167</v>
          </cell>
          <cell r="M1498">
            <v>60065173</v>
          </cell>
          <cell r="N1498">
            <v>38930</v>
          </cell>
          <cell r="P1498" t="str">
            <v>FN6801D2S253202</v>
          </cell>
          <cell r="Q1498" t="str">
            <v>แผ่นรองและสายรัดเป็นสนิม</v>
          </cell>
        </row>
        <row r="1499">
          <cell r="A1499">
            <v>60048686</v>
          </cell>
          <cell r="B1499">
            <v>1498</v>
          </cell>
          <cell r="C1499" t="str">
            <v>CS01/4</v>
          </cell>
          <cell r="D1499" t="str">
            <v>SPCEN-SD</v>
          </cell>
          <cell r="E1499" t="str">
            <v>AF3</v>
          </cell>
          <cell r="F1499">
            <v>1.2</v>
          </cell>
          <cell r="G1499">
            <v>70</v>
          </cell>
          <cell r="H1499" t="str">
            <v>C</v>
          </cell>
          <cell r="I1499" t="str">
            <v>A</v>
          </cell>
          <cell r="J1499" t="str">
            <v>C.S. RADIATOR</v>
          </cell>
          <cell r="K1499">
            <v>1</v>
          </cell>
          <cell r="L1499">
            <v>440</v>
          </cell>
          <cell r="M1499">
            <v>60048686</v>
          </cell>
          <cell r="N1499" t="str">
            <v>27/C/2005</v>
          </cell>
          <cell r="P1499" t="str">
            <v>FN5C27D1S599201</v>
          </cell>
          <cell r="Q1499" t="str">
            <v>สภาพปกติ</v>
          </cell>
        </row>
        <row r="1500">
          <cell r="A1500">
            <v>60033454</v>
          </cell>
          <cell r="B1500">
            <v>1499</v>
          </cell>
          <cell r="C1500" t="str">
            <v>CS01/4</v>
          </cell>
          <cell r="D1500" t="str">
            <v>SPHC P/O</v>
          </cell>
          <cell r="E1500" t="str">
            <v>CA1</v>
          </cell>
          <cell r="F1500">
            <v>1.2</v>
          </cell>
          <cell r="G1500">
            <v>114</v>
          </cell>
          <cell r="H1500" t="str">
            <v>C</v>
          </cell>
          <cell r="I1500" t="str">
            <v>A</v>
          </cell>
          <cell r="J1500" t="str">
            <v>TSA</v>
          </cell>
          <cell r="K1500">
            <v>1</v>
          </cell>
          <cell r="L1500">
            <v>418</v>
          </cell>
          <cell r="M1500">
            <v>60033454</v>
          </cell>
          <cell r="N1500">
            <v>38481</v>
          </cell>
          <cell r="P1500" t="str">
            <v>FN5509D1S937801</v>
          </cell>
          <cell r="Q1500" t="str">
            <v>สภาพปกติ</v>
          </cell>
        </row>
        <row r="1501">
          <cell r="A1501">
            <v>60033464</v>
          </cell>
          <cell r="B1501">
            <v>1500</v>
          </cell>
          <cell r="C1501" t="str">
            <v>CS01/4</v>
          </cell>
          <cell r="D1501" t="str">
            <v>SPHC P/O</v>
          </cell>
          <cell r="E1501" t="str">
            <v>CA1</v>
          </cell>
          <cell r="F1501">
            <v>1.2</v>
          </cell>
          <cell r="G1501">
            <v>114</v>
          </cell>
          <cell r="H1501" t="str">
            <v>C</v>
          </cell>
          <cell r="I1501" t="str">
            <v>A</v>
          </cell>
          <cell r="J1501" t="str">
            <v>TSA</v>
          </cell>
          <cell r="K1501">
            <v>1</v>
          </cell>
          <cell r="L1501">
            <v>418</v>
          </cell>
          <cell r="M1501">
            <v>60033464</v>
          </cell>
          <cell r="N1501">
            <v>38481</v>
          </cell>
          <cell r="P1501" t="str">
            <v>FN5509D1S937802</v>
          </cell>
          <cell r="Q1501" t="str">
            <v>สภาพปกติ</v>
          </cell>
        </row>
        <row r="1502">
          <cell r="A1502">
            <v>60053471</v>
          </cell>
          <cell r="B1502">
            <v>1501</v>
          </cell>
          <cell r="C1502" t="str">
            <v>CS01/4</v>
          </cell>
          <cell r="D1502" t="str">
            <v>SPHC P/O</v>
          </cell>
          <cell r="E1502" t="str">
            <v>CA1</v>
          </cell>
          <cell r="F1502">
            <v>1.2</v>
          </cell>
          <cell r="G1502">
            <v>114</v>
          </cell>
          <cell r="H1502" t="str">
            <v>C</v>
          </cell>
          <cell r="I1502" t="str">
            <v>A</v>
          </cell>
          <cell r="J1502" t="str">
            <v>TSA</v>
          </cell>
          <cell r="K1502">
            <v>1</v>
          </cell>
          <cell r="L1502">
            <v>228</v>
          </cell>
          <cell r="M1502">
            <v>60053471</v>
          </cell>
          <cell r="N1502">
            <v>38783</v>
          </cell>
          <cell r="P1502" t="str">
            <v>FN6307N1S809501</v>
          </cell>
          <cell r="Q1502" t="str">
            <v>สภาพปกติ</v>
          </cell>
        </row>
        <row r="1503">
          <cell r="A1503">
            <v>60062155</v>
          </cell>
          <cell r="B1503">
            <v>1502</v>
          </cell>
          <cell r="C1503" t="str">
            <v>CS01/4</v>
          </cell>
          <cell r="D1503" t="str">
            <v>SPHC P/O</v>
          </cell>
          <cell r="E1503" t="str">
            <v>CA1</v>
          </cell>
          <cell r="F1503">
            <v>1.4</v>
          </cell>
          <cell r="G1503">
            <v>193</v>
          </cell>
          <cell r="H1503" t="str">
            <v>C</v>
          </cell>
          <cell r="I1503" t="str">
            <v>A</v>
          </cell>
          <cell r="J1503" t="str">
            <v>SAS</v>
          </cell>
          <cell r="K1503">
            <v>1</v>
          </cell>
          <cell r="L1503">
            <v>508</v>
          </cell>
          <cell r="M1503">
            <v>60062155</v>
          </cell>
          <cell r="N1503">
            <v>38890</v>
          </cell>
          <cell r="P1503" t="str">
            <v>FN6622D2S130601</v>
          </cell>
          <cell r="Q1503" t="str">
            <v>สภาพปกติ</v>
          </cell>
        </row>
        <row r="1504">
          <cell r="A1504">
            <v>60021457</v>
          </cell>
          <cell r="B1504">
            <v>1503</v>
          </cell>
          <cell r="C1504" t="str">
            <v>CS01/4</v>
          </cell>
          <cell r="D1504" t="str">
            <v>SPHC P/O</v>
          </cell>
          <cell r="E1504" t="str">
            <v>CA1</v>
          </cell>
          <cell r="F1504">
            <v>1.8</v>
          </cell>
          <cell r="G1504">
            <v>185</v>
          </cell>
          <cell r="H1504" t="str">
            <v>C</v>
          </cell>
          <cell r="I1504" t="str">
            <v>A</v>
          </cell>
          <cell r="J1504" t="str">
            <v>SAB</v>
          </cell>
          <cell r="K1504">
            <v>1</v>
          </cell>
          <cell r="L1504">
            <v>590</v>
          </cell>
          <cell r="M1504">
            <v>60021457</v>
          </cell>
          <cell r="N1504" t="str">
            <v>13/A/2004</v>
          </cell>
          <cell r="P1504" t="str">
            <v>FN4A13D1S389501</v>
          </cell>
          <cell r="Q1504" t="str">
            <v>สภาพปกติ</v>
          </cell>
        </row>
        <row r="1505">
          <cell r="A1505">
            <v>60066413</v>
          </cell>
          <cell r="B1505">
            <v>1504</v>
          </cell>
          <cell r="C1505" t="str">
            <v>CS01/4</v>
          </cell>
          <cell r="D1505" t="str">
            <v>SPHC P/O</v>
          </cell>
          <cell r="E1505" t="str">
            <v>CA1</v>
          </cell>
          <cell r="F1505">
            <v>2</v>
          </cell>
          <cell r="G1505">
            <v>60</v>
          </cell>
          <cell r="H1505" t="str">
            <v>C</v>
          </cell>
          <cell r="I1505" t="str">
            <v>A</v>
          </cell>
          <cell r="J1505" t="str">
            <v>SAB</v>
          </cell>
          <cell r="K1505">
            <v>1</v>
          </cell>
          <cell r="L1505">
            <v>80</v>
          </cell>
          <cell r="M1505">
            <v>60066413</v>
          </cell>
          <cell r="N1505">
            <v>38947</v>
          </cell>
          <cell r="O1505" t="str">
            <v>135928PCI001</v>
          </cell>
          <cell r="P1505" t="str">
            <v>FN6818N1S01901</v>
          </cell>
          <cell r="Q1505" t="str">
            <v>สภาพปกติ</v>
          </cell>
        </row>
        <row r="1506">
          <cell r="A1506">
            <v>60066414</v>
          </cell>
          <cell r="B1506">
            <v>1505</v>
          </cell>
          <cell r="C1506" t="str">
            <v>CS01/4</v>
          </cell>
          <cell r="D1506" t="str">
            <v>SPHC P/O</v>
          </cell>
          <cell r="E1506" t="str">
            <v>CA1</v>
          </cell>
          <cell r="F1506">
            <v>2</v>
          </cell>
          <cell r="G1506">
            <v>60</v>
          </cell>
          <cell r="H1506" t="str">
            <v>C</v>
          </cell>
          <cell r="I1506" t="str">
            <v>A</v>
          </cell>
          <cell r="J1506" t="str">
            <v>SAB</v>
          </cell>
          <cell r="K1506">
            <v>1</v>
          </cell>
          <cell r="L1506">
            <v>80</v>
          </cell>
          <cell r="M1506">
            <v>60066414</v>
          </cell>
          <cell r="N1506">
            <v>38947</v>
          </cell>
          <cell r="O1506" t="str">
            <v>135928PCI001</v>
          </cell>
          <cell r="P1506" t="str">
            <v>FN6818N1S01902</v>
          </cell>
          <cell r="Q1506" t="str">
            <v>สภาพปกติ</v>
          </cell>
        </row>
        <row r="1507">
          <cell r="A1507">
            <v>60066415</v>
          </cell>
          <cell r="B1507">
            <v>1506</v>
          </cell>
          <cell r="C1507" t="str">
            <v>CS01/4</v>
          </cell>
          <cell r="D1507" t="str">
            <v>SPHC P/O</v>
          </cell>
          <cell r="E1507" t="str">
            <v>CA1</v>
          </cell>
          <cell r="F1507">
            <v>2</v>
          </cell>
          <cell r="G1507">
            <v>60</v>
          </cell>
          <cell r="H1507" t="str">
            <v>C</v>
          </cell>
          <cell r="I1507" t="str">
            <v>A</v>
          </cell>
          <cell r="J1507" t="str">
            <v>SAB</v>
          </cell>
          <cell r="K1507">
            <v>1</v>
          </cell>
          <cell r="L1507">
            <v>80</v>
          </cell>
          <cell r="M1507">
            <v>60066415</v>
          </cell>
          <cell r="N1507">
            <v>38947</v>
          </cell>
          <cell r="O1507" t="str">
            <v>135928PCI001</v>
          </cell>
          <cell r="P1507" t="str">
            <v>FN6818N1S01903</v>
          </cell>
          <cell r="Q1507" t="str">
            <v>สภาพปกติ</v>
          </cell>
        </row>
        <row r="1508">
          <cell r="A1508">
            <v>60066416</v>
          </cell>
          <cell r="B1508">
            <v>1507</v>
          </cell>
          <cell r="C1508" t="str">
            <v>CS01/4</v>
          </cell>
          <cell r="D1508" t="str">
            <v>SPHC P/O</v>
          </cell>
          <cell r="E1508" t="str">
            <v>CA1</v>
          </cell>
          <cell r="F1508">
            <v>2</v>
          </cell>
          <cell r="G1508">
            <v>93</v>
          </cell>
          <cell r="H1508" t="str">
            <v>C</v>
          </cell>
          <cell r="I1508" t="str">
            <v>A</v>
          </cell>
          <cell r="J1508" t="str">
            <v>SAB</v>
          </cell>
          <cell r="K1508">
            <v>1</v>
          </cell>
          <cell r="L1508">
            <v>120</v>
          </cell>
          <cell r="M1508">
            <v>60066416</v>
          </cell>
          <cell r="N1508">
            <v>38947</v>
          </cell>
          <cell r="O1508" t="str">
            <v>135928PCI001</v>
          </cell>
          <cell r="P1508" t="str">
            <v>FN6818N2S301901</v>
          </cell>
          <cell r="Q1508" t="str">
            <v>สภาพปกติ</v>
          </cell>
        </row>
        <row r="1509">
          <cell r="A1509">
            <v>60066412</v>
          </cell>
          <cell r="B1509">
            <v>1508</v>
          </cell>
          <cell r="C1509" t="str">
            <v>CS01/4</v>
          </cell>
          <cell r="D1509" t="str">
            <v>SPHC P/O</v>
          </cell>
          <cell r="E1509" t="str">
            <v>CA1</v>
          </cell>
          <cell r="F1509">
            <v>2</v>
          </cell>
          <cell r="G1509">
            <v>315</v>
          </cell>
          <cell r="H1509" t="str">
            <v>C</v>
          </cell>
          <cell r="I1509" t="str">
            <v>A</v>
          </cell>
          <cell r="J1509" t="str">
            <v>SAB</v>
          </cell>
          <cell r="K1509">
            <v>1</v>
          </cell>
          <cell r="L1509">
            <v>420</v>
          </cell>
          <cell r="M1509">
            <v>60066412</v>
          </cell>
          <cell r="N1509">
            <v>38947</v>
          </cell>
          <cell r="O1509" t="str">
            <v>135728PCI001</v>
          </cell>
          <cell r="P1509" t="str">
            <v>FN6818N2S301903</v>
          </cell>
          <cell r="Q1509" t="str">
            <v>สภาพปกติ</v>
          </cell>
        </row>
        <row r="1510">
          <cell r="A1510">
            <v>60062260</v>
          </cell>
          <cell r="B1510">
            <v>1509</v>
          </cell>
          <cell r="C1510" t="str">
            <v>CS01/4</v>
          </cell>
          <cell r="D1510" t="str">
            <v>SPHC P/O</v>
          </cell>
          <cell r="E1510" t="str">
            <v>CA1</v>
          </cell>
          <cell r="F1510">
            <v>2.2999999999999998</v>
          </cell>
          <cell r="G1510">
            <v>140</v>
          </cell>
          <cell r="H1510" t="str">
            <v>C</v>
          </cell>
          <cell r="I1510" t="str">
            <v>A</v>
          </cell>
          <cell r="J1510" t="str">
            <v>SAS</v>
          </cell>
          <cell r="K1510">
            <v>1</v>
          </cell>
          <cell r="L1510">
            <v>478</v>
          </cell>
          <cell r="M1510">
            <v>60062260</v>
          </cell>
          <cell r="N1510">
            <v>38891</v>
          </cell>
          <cell r="P1510" t="str">
            <v>FN6623D1S130801</v>
          </cell>
          <cell r="Q1510" t="str">
            <v>สภาพปกติ</v>
          </cell>
        </row>
        <row r="1511">
          <cell r="A1511">
            <v>60031920</v>
          </cell>
          <cell r="B1511">
            <v>1510</v>
          </cell>
          <cell r="C1511" t="str">
            <v>CS01/4</v>
          </cell>
          <cell r="D1511" t="str">
            <v>SAPH440 P/O</v>
          </cell>
          <cell r="E1511" t="str">
            <v>CA5</v>
          </cell>
          <cell r="F1511">
            <v>4</v>
          </cell>
          <cell r="G1511">
            <v>190</v>
          </cell>
          <cell r="H1511" t="str">
            <v>C</v>
          </cell>
          <cell r="I1511" t="str">
            <v>A</v>
          </cell>
          <cell r="J1511" t="str">
            <v>SAB</v>
          </cell>
          <cell r="K1511">
            <v>1</v>
          </cell>
          <cell r="L1511">
            <v>860</v>
          </cell>
          <cell r="M1511">
            <v>60031920</v>
          </cell>
          <cell r="N1511">
            <v>38449</v>
          </cell>
          <cell r="P1511" t="str">
            <v>FN5407N2S803901</v>
          </cell>
          <cell r="Q1511" t="str">
            <v>แผ่นรองและสายรัดเป็นสนิม</v>
          </cell>
        </row>
        <row r="1512">
          <cell r="A1512">
            <v>60066191</v>
          </cell>
          <cell r="B1512">
            <v>1511</v>
          </cell>
          <cell r="C1512" t="str">
            <v>CS01/4</v>
          </cell>
          <cell r="D1512" t="str">
            <v>SAPH440 P/O</v>
          </cell>
          <cell r="E1512" t="str">
            <v>CA5</v>
          </cell>
          <cell r="F1512">
            <v>4</v>
          </cell>
          <cell r="G1512">
            <v>194</v>
          </cell>
          <cell r="H1512" t="str">
            <v>C</v>
          </cell>
          <cell r="I1512" t="str">
            <v>A</v>
          </cell>
          <cell r="J1512" t="str">
            <v>SAB</v>
          </cell>
          <cell r="K1512">
            <v>1</v>
          </cell>
          <cell r="L1512">
            <v>874</v>
          </cell>
          <cell r="M1512">
            <v>60066191</v>
          </cell>
          <cell r="N1512">
            <v>38944</v>
          </cell>
          <cell r="P1512" t="str">
            <v>FN6815D2S285501</v>
          </cell>
          <cell r="Q1512" t="str">
            <v>สภาพปกติ</v>
          </cell>
        </row>
        <row r="1513">
          <cell r="A1513">
            <v>60066202</v>
          </cell>
          <cell r="B1513">
            <v>1512</v>
          </cell>
          <cell r="C1513" t="str">
            <v>CS01/4</v>
          </cell>
          <cell r="D1513" t="str">
            <v>SAPH440 P/O</v>
          </cell>
          <cell r="E1513" t="str">
            <v>CA5</v>
          </cell>
          <cell r="F1513">
            <v>4</v>
          </cell>
          <cell r="G1513">
            <v>194</v>
          </cell>
          <cell r="H1513" t="str">
            <v>C</v>
          </cell>
          <cell r="I1513" t="str">
            <v>A</v>
          </cell>
          <cell r="J1513" t="str">
            <v>SAB</v>
          </cell>
          <cell r="K1513">
            <v>1</v>
          </cell>
          <cell r="L1513">
            <v>904</v>
          </cell>
          <cell r="M1513">
            <v>60066202</v>
          </cell>
          <cell r="N1513">
            <v>38944</v>
          </cell>
          <cell r="P1513" t="str">
            <v>FN6815D2S285502</v>
          </cell>
          <cell r="Q1513" t="str">
            <v>สภาพปกติ</v>
          </cell>
        </row>
        <row r="1514">
          <cell r="A1514">
            <v>60066490</v>
          </cell>
          <cell r="B1514">
            <v>1513</v>
          </cell>
          <cell r="C1514" t="str">
            <v>CS01/4</v>
          </cell>
          <cell r="D1514" t="str">
            <v>SAPH440 P/O</v>
          </cell>
          <cell r="E1514" t="str">
            <v>CA5</v>
          </cell>
          <cell r="F1514">
            <v>4</v>
          </cell>
          <cell r="G1514">
            <v>194</v>
          </cell>
          <cell r="H1514" t="str">
            <v>C</v>
          </cell>
          <cell r="I1514" t="str">
            <v>A</v>
          </cell>
          <cell r="J1514" t="str">
            <v>SAB</v>
          </cell>
          <cell r="K1514">
            <v>1</v>
          </cell>
          <cell r="L1514">
            <v>798</v>
          </cell>
          <cell r="M1514">
            <v>60066490</v>
          </cell>
          <cell r="N1514">
            <v>38948</v>
          </cell>
          <cell r="O1514" t="str">
            <v>135214SSD001</v>
          </cell>
          <cell r="P1514" t="str">
            <v>FN6819N2S297501</v>
          </cell>
          <cell r="Q1514" t="str">
            <v>สภาพปกติ</v>
          </cell>
        </row>
        <row r="1515">
          <cell r="A1515">
            <v>60066498</v>
          </cell>
          <cell r="B1515">
            <v>1514</v>
          </cell>
          <cell r="C1515" t="str">
            <v>CS01/4</v>
          </cell>
          <cell r="D1515" t="str">
            <v>SAPH440 P/O</v>
          </cell>
          <cell r="E1515" t="str">
            <v>CA5</v>
          </cell>
          <cell r="F1515">
            <v>4</v>
          </cell>
          <cell r="G1515">
            <v>194</v>
          </cell>
          <cell r="H1515" t="str">
            <v>C</v>
          </cell>
          <cell r="I1515" t="str">
            <v>A</v>
          </cell>
          <cell r="J1515" t="str">
            <v>SAB</v>
          </cell>
          <cell r="K1515">
            <v>1</v>
          </cell>
          <cell r="L1515">
            <v>794</v>
          </cell>
          <cell r="M1515">
            <v>60066498</v>
          </cell>
          <cell r="N1515">
            <v>38948</v>
          </cell>
          <cell r="O1515" t="str">
            <v>135214SSD001</v>
          </cell>
          <cell r="P1515" t="str">
            <v>FN6819N2S297502</v>
          </cell>
          <cell r="Q1515" t="str">
            <v>สภาพปกติ</v>
          </cell>
        </row>
        <row r="1516">
          <cell r="A1516">
            <v>60064214</v>
          </cell>
          <cell r="B1516">
            <v>1515</v>
          </cell>
          <cell r="C1516" t="str">
            <v>CS01/4</v>
          </cell>
          <cell r="D1516" t="str">
            <v>SAPH440 P/O</v>
          </cell>
          <cell r="E1516" t="str">
            <v>CA5</v>
          </cell>
          <cell r="F1516">
            <v>4</v>
          </cell>
          <cell r="G1516">
            <v>195</v>
          </cell>
          <cell r="H1516" t="str">
            <v>C</v>
          </cell>
          <cell r="I1516" t="str">
            <v>A</v>
          </cell>
          <cell r="J1516" t="str">
            <v>SAB</v>
          </cell>
          <cell r="K1516">
            <v>1</v>
          </cell>
          <cell r="L1516">
            <v>764</v>
          </cell>
          <cell r="M1516">
            <v>60064214</v>
          </cell>
          <cell r="N1516">
            <v>38923</v>
          </cell>
          <cell r="P1516" t="str">
            <v>FN6725N2S233501</v>
          </cell>
          <cell r="Q1516" t="str">
            <v>สภาพปกติ</v>
          </cell>
        </row>
        <row r="1517">
          <cell r="A1517">
            <v>60064225</v>
          </cell>
          <cell r="B1517">
            <v>1516</v>
          </cell>
          <cell r="C1517" t="str">
            <v>CS01/4</v>
          </cell>
          <cell r="D1517" t="str">
            <v>SAPH440 P/O</v>
          </cell>
          <cell r="E1517" t="str">
            <v>CA5</v>
          </cell>
          <cell r="F1517">
            <v>4</v>
          </cell>
          <cell r="G1517">
            <v>195</v>
          </cell>
          <cell r="H1517" t="str">
            <v>C</v>
          </cell>
          <cell r="I1517" t="str">
            <v>A</v>
          </cell>
          <cell r="J1517" t="str">
            <v>SAB</v>
          </cell>
          <cell r="K1517">
            <v>1</v>
          </cell>
          <cell r="L1517">
            <v>764</v>
          </cell>
          <cell r="M1517">
            <v>60064225</v>
          </cell>
          <cell r="N1517">
            <v>38923</v>
          </cell>
          <cell r="P1517" t="str">
            <v>FN6725N2S233502</v>
          </cell>
          <cell r="Q1517" t="str">
            <v>สภาพปกติ</v>
          </cell>
        </row>
        <row r="1518">
          <cell r="A1518">
            <v>60064226</v>
          </cell>
          <cell r="B1518">
            <v>1517</v>
          </cell>
          <cell r="C1518" t="str">
            <v>CS01/4</v>
          </cell>
          <cell r="D1518" t="str">
            <v>SAPH440 P/O</v>
          </cell>
          <cell r="E1518" t="str">
            <v>CA5</v>
          </cell>
          <cell r="F1518">
            <v>4</v>
          </cell>
          <cell r="G1518">
            <v>195</v>
          </cell>
          <cell r="H1518" t="str">
            <v>C</v>
          </cell>
          <cell r="I1518" t="str">
            <v>A</v>
          </cell>
          <cell r="J1518" t="str">
            <v>SAB</v>
          </cell>
          <cell r="K1518">
            <v>1</v>
          </cell>
          <cell r="L1518">
            <v>768</v>
          </cell>
          <cell r="M1518">
            <v>60064226</v>
          </cell>
          <cell r="N1518">
            <v>38923</v>
          </cell>
          <cell r="P1518" t="str">
            <v>FN6725N2S233503</v>
          </cell>
          <cell r="Q1518" t="str">
            <v>สภาพปกติ</v>
          </cell>
        </row>
        <row r="1519">
          <cell r="A1519">
            <v>60064237</v>
          </cell>
          <cell r="B1519">
            <v>1518</v>
          </cell>
          <cell r="C1519" t="str">
            <v>CS01/4</v>
          </cell>
          <cell r="D1519" t="str">
            <v>SAPH440 P/O</v>
          </cell>
          <cell r="E1519" t="str">
            <v>CA5</v>
          </cell>
          <cell r="F1519">
            <v>4</v>
          </cell>
          <cell r="G1519">
            <v>195</v>
          </cell>
          <cell r="H1519" t="str">
            <v>C</v>
          </cell>
          <cell r="I1519" t="str">
            <v>A</v>
          </cell>
          <cell r="J1519" t="str">
            <v>SAB</v>
          </cell>
          <cell r="K1519">
            <v>1</v>
          </cell>
          <cell r="L1519">
            <v>768</v>
          </cell>
          <cell r="M1519">
            <v>60064237</v>
          </cell>
          <cell r="N1519">
            <v>38923</v>
          </cell>
          <cell r="P1519" t="str">
            <v>FN6725N2S233504</v>
          </cell>
          <cell r="Q1519" t="str">
            <v>สภาพปกติ</v>
          </cell>
        </row>
        <row r="1520">
          <cell r="A1520">
            <v>60064265</v>
          </cell>
          <cell r="B1520">
            <v>1519</v>
          </cell>
          <cell r="C1520" t="str">
            <v>CS01/4</v>
          </cell>
          <cell r="D1520" t="str">
            <v>SAPH440 P/O</v>
          </cell>
          <cell r="E1520" t="str">
            <v>CA5</v>
          </cell>
          <cell r="F1520">
            <v>4</v>
          </cell>
          <cell r="G1520">
            <v>195</v>
          </cell>
          <cell r="H1520" t="str">
            <v>C</v>
          </cell>
          <cell r="I1520" t="str">
            <v>A</v>
          </cell>
          <cell r="J1520" t="str">
            <v>SAB</v>
          </cell>
          <cell r="K1520">
            <v>1</v>
          </cell>
          <cell r="L1520">
            <v>802</v>
          </cell>
          <cell r="M1520">
            <v>60064265</v>
          </cell>
          <cell r="N1520">
            <v>38923</v>
          </cell>
          <cell r="P1520" t="str">
            <v>FN6725N2S233505</v>
          </cell>
          <cell r="Q1520" t="str">
            <v>สภาพปกติ</v>
          </cell>
        </row>
        <row r="1521">
          <cell r="A1521">
            <v>60064336</v>
          </cell>
          <cell r="B1521">
            <v>1520</v>
          </cell>
          <cell r="C1521" t="str">
            <v>CS01/4</v>
          </cell>
          <cell r="D1521" t="str">
            <v>SAPH440 P/O</v>
          </cell>
          <cell r="E1521" t="str">
            <v>CA5</v>
          </cell>
          <cell r="F1521">
            <v>4</v>
          </cell>
          <cell r="G1521">
            <v>195</v>
          </cell>
          <cell r="H1521" t="str">
            <v>C</v>
          </cell>
          <cell r="I1521" t="str">
            <v>A</v>
          </cell>
          <cell r="J1521" t="str">
            <v>SAB</v>
          </cell>
          <cell r="K1521">
            <v>1</v>
          </cell>
          <cell r="L1521">
            <v>810</v>
          </cell>
          <cell r="M1521">
            <v>60064336</v>
          </cell>
          <cell r="N1521">
            <v>38924</v>
          </cell>
          <cell r="P1521" t="str">
            <v>FN6726N2S234001</v>
          </cell>
          <cell r="Q1521" t="str">
            <v>สภาพปกติ</v>
          </cell>
        </row>
        <row r="1522">
          <cell r="A1522">
            <v>60064344</v>
          </cell>
          <cell r="B1522">
            <v>1521</v>
          </cell>
          <cell r="C1522" t="str">
            <v>CS01/4</v>
          </cell>
          <cell r="D1522" t="str">
            <v>SAPH440 P/O</v>
          </cell>
          <cell r="E1522" t="str">
            <v>CA5</v>
          </cell>
          <cell r="F1522">
            <v>4</v>
          </cell>
          <cell r="G1522">
            <v>195</v>
          </cell>
          <cell r="H1522" t="str">
            <v>C</v>
          </cell>
          <cell r="I1522" t="str">
            <v>A</v>
          </cell>
          <cell r="J1522" t="str">
            <v>SAB</v>
          </cell>
          <cell r="K1522">
            <v>1</v>
          </cell>
          <cell r="L1522">
            <v>806</v>
          </cell>
          <cell r="M1522">
            <v>60064344</v>
          </cell>
          <cell r="N1522">
            <v>38924</v>
          </cell>
          <cell r="P1522" t="str">
            <v>FN6726N2S234002</v>
          </cell>
          <cell r="Q1522" t="str">
            <v>สภาพปกติ</v>
          </cell>
        </row>
        <row r="1523">
          <cell r="A1523">
            <v>60061827</v>
          </cell>
          <cell r="B1523">
            <v>1522</v>
          </cell>
          <cell r="C1523" t="str">
            <v>CS01/4</v>
          </cell>
          <cell r="D1523" t="str">
            <v>SAPH440 P/O</v>
          </cell>
          <cell r="E1523" t="str">
            <v>CA5</v>
          </cell>
          <cell r="F1523">
            <v>4.5</v>
          </cell>
          <cell r="G1523">
            <v>70</v>
          </cell>
          <cell r="H1523" t="str">
            <v>C</v>
          </cell>
          <cell r="I1523" t="str">
            <v>A</v>
          </cell>
          <cell r="J1523" t="str">
            <v>SAB</v>
          </cell>
          <cell r="K1523">
            <v>1</v>
          </cell>
          <cell r="L1523">
            <v>274</v>
          </cell>
          <cell r="M1523">
            <v>60061827</v>
          </cell>
          <cell r="N1523">
            <v>38886</v>
          </cell>
          <cell r="P1523" t="str">
            <v>FN6618N2S118701</v>
          </cell>
          <cell r="Q1523" t="str">
            <v>สภาพปกติ</v>
          </cell>
        </row>
        <row r="1524">
          <cell r="A1524">
            <v>60061828</v>
          </cell>
          <cell r="B1524">
            <v>1523</v>
          </cell>
          <cell r="C1524" t="str">
            <v>CS01/4</v>
          </cell>
          <cell r="D1524" t="str">
            <v>SAPH440 P/O</v>
          </cell>
          <cell r="E1524" t="str">
            <v>CA5</v>
          </cell>
          <cell r="F1524">
            <v>4.5</v>
          </cell>
          <cell r="G1524">
            <v>70</v>
          </cell>
          <cell r="H1524" t="str">
            <v>C</v>
          </cell>
          <cell r="I1524" t="str">
            <v>A</v>
          </cell>
          <cell r="J1524" t="str">
            <v>SAB</v>
          </cell>
          <cell r="K1524">
            <v>1</v>
          </cell>
          <cell r="L1524">
            <v>274</v>
          </cell>
          <cell r="M1524">
            <v>60061828</v>
          </cell>
          <cell r="N1524">
            <v>38886</v>
          </cell>
          <cell r="P1524" t="str">
            <v>FN6618N2S118702</v>
          </cell>
          <cell r="Q1524" t="str">
            <v>สภาพปกติ</v>
          </cell>
        </row>
        <row r="1525">
          <cell r="A1525">
            <v>60061841</v>
          </cell>
          <cell r="B1525">
            <v>1524</v>
          </cell>
          <cell r="C1525" t="str">
            <v>CS01/4</v>
          </cell>
          <cell r="D1525" t="str">
            <v>SAPH440 P/O</v>
          </cell>
          <cell r="E1525" t="str">
            <v>CA5</v>
          </cell>
          <cell r="F1525">
            <v>4.5</v>
          </cell>
          <cell r="G1525">
            <v>70</v>
          </cell>
          <cell r="H1525" t="str">
            <v>C</v>
          </cell>
          <cell r="I1525" t="str">
            <v>A</v>
          </cell>
          <cell r="J1525" t="str">
            <v>SAB</v>
          </cell>
          <cell r="K1525">
            <v>1</v>
          </cell>
          <cell r="L1525">
            <v>288</v>
          </cell>
          <cell r="M1525">
            <v>60061841</v>
          </cell>
          <cell r="N1525">
            <v>38886</v>
          </cell>
          <cell r="P1525" t="str">
            <v>FN6618N2S118703</v>
          </cell>
          <cell r="Q1525" t="str">
            <v>สภาพปกติ</v>
          </cell>
        </row>
        <row r="1526">
          <cell r="A1526">
            <v>60061842</v>
          </cell>
          <cell r="B1526">
            <v>1525</v>
          </cell>
          <cell r="C1526" t="str">
            <v>CS01/4</v>
          </cell>
          <cell r="D1526" t="str">
            <v>SAPH440 P/O</v>
          </cell>
          <cell r="E1526" t="str">
            <v>CA5</v>
          </cell>
          <cell r="F1526">
            <v>4.5</v>
          </cell>
          <cell r="G1526">
            <v>70</v>
          </cell>
          <cell r="H1526" t="str">
            <v>C</v>
          </cell>
          <cell r="I1526" t="str">
            <v>A</v>
          </cell>
          <cell r="J1526" t="str">
            <v>SAB</v>
          </cell>
          <cell r="K1526">
            <v>1</v>
          </cell>
          <cell r="L1526">
            <v>288</v>
          </cell>
          <cell r="M1526">
            <v>60061842</v>
          </cell>
          <cell r="N1526">
            <v>38886</v>
          </cell>
          <cell r="P1526" t="str">
            <v>FN6618N2S118704</v>
          </cell>
          <cell r="Q1526" t="str">
            <v>สภาพปกติ</v>
          </cell>
        </row>
        <row r="1527">
          <cell r="A1527">
            <v>60062463</v>
          </cell>
          <cell r="B1527">
            <v>1526</v>
          </cell>
          <cell r="C1527" t="str">
            <v>CS01/4</v>
          </cell>
          <cell r="D1527" t="str">
            <v>SAPH440 P/O</v>
          </cell>
          <cell r="E1527" t="str">
            <v>CA5</v>
          </cell>
          <cell r="F1527">
            <v>4.5</v>
          </cell>
          <cell r="G1527">
            <v>70</v>
          </cell>
          <cell r="H1527" t="str">
            <v>C</v>
          </cell>
          <cell r="I1527" t="str">
            <v>A</v>
          </cell>
          <cell r="J1527" t="str">
            <v>SAB</v>
          </cell>
          <cell r="K1527">
            <v>1</v>
          </cell>
          <cell r="L1527">
            <v>166</v>
          </cell>
          <cell r="M1527">
            <v>60062463</v>
          </cell>
          <cell r="N1527">
            <v>38895</v>
          </cell>
          <cell r="P1527" t="str">
            <v>FN6627D2S146601</v>
          </cell>
          <cell r="Q1527" t="str">
            <v>สภาพปกติ</v>
          </cell>
        </row>
        <row r="1528">
          <cell r="A1528">
            <v>60065901</v>
          </cell>
          <cell r="B1528">
            <v>1527</v>
          </cell>
          <cell r="C1528" t="str">
            <v>CS01/4</v>
          </cell>
          <cell r="D1528" t="str">
            <v>SAPH440 P/O</v>
          </cell>
          <cell r="E1528" t="str">
            <v>CA5</v>
          </cell>
          <cell r="F1528">
            <v>4.5</v>
          </cell>
          <cell r="G1528">
            <v>70</v>
          </cell>
          <cell r="H1528" t="str">
            <v>C</v>
          </cell>
          <cell r="I1528" t="str">
            <v>A</v>
          </cell>
          <cell r="J1528" t="str">
            <v>SAB</v>
          </cell>
          <cell r="K1528">
            <v>1</v>
          </cell>
          <cell r="L1528">
            <v>187</v>
          </cell>
          <cell r="M1528">
            <v>60065901</v>
          </cell>
          <cell r="N1528">
            <v>38939</v>
          </cell>
          <cell r="P1528" t="str">
            <v>FN6810N2S285201</v>
          </cell>
          <cell r="Q1528" t="str">
            <v>สภาพปกติ</v>
          </cell>
        </row>
        <row r="1529">
          <cell r="A1529">
            <v>60062460</v>
          </cell>
          <cell r="B1529">
            <v>1528</v>
          </cell>
          <cell r="C1529" t="str">
            <v>CS01/4</v>
          </cell>
          <cell r="D1529" t="str">
            <v>SAPH440 P/O</v>
          </cell>
          <cell r="E1529" t="str">
            <v>CA5</v>
          </cell>
          <cell r="F1529">
            <v>4.5</v>
          </cell>
          <cell r="G1529">
            <v>291</v>
          </cell>
          <cell r="H1529" t="str">
            <v>C</v>
          </cell>
          <cell r="I1529" t="str">
            <v>A</v>
          </cell>
          <cell r="J1529" t="str">
            <v>SAB</v>
          </cell>
          <cell r="K1529">
            <v>1</v>
          </cell>
          <cell r="L1529">
            <v>697</v>
          </cell>
          <cell r="M1529">
            <v>60062460</v>
          </cell>
          <cell r="N1529">
            <v>38895</v>
          </cell>
          <cell r="P1529" t="str">
            <v>FN6627D2S146601</v>
          </cell>
          <cell r="Q1529" t="str">
            <v>สภาพปกติ</v>
          </cell>
        </row>
        <row r="1530">
          <cell r="A1530">
            <v>60062461</v>
          </cell>
          <cell r="B1530">
            <v>1529</v>
          </cell>
          <cell r="C1530" t="str">
            <v>CS01/4</v>
          </cell>
          <cell r="D1530" t="str">
            <v>SAPH440 P/O</v>
          </cell>
          <cell r="E1530" t="str">
            <v>CA5</v>
          </cell>
          <cell r="F1530">
            <v>4.5</v>
          </cell>
          <cell r="G1530">
            <v>291</v>
          </cell>
          <cell r="H1530" t="str">
            <v>C</v>
          </cell>
          <cell r="I1530" t="str">
            <v>A</v>
          </cell>
          <cell r="J1530" t="str">
            <v>SAB</v>
          </cell>
          <cell r="K1530">
            <v>1</v>
          </cell>
          <cell r="L1530">
            <v>697</v>
          </cell>
          <cell r="M1530">
            <v>60062461</v>
          </cell>
          <cell r="N1530">
            <v>38895</v>
          </cell>
          <cell r="P1530" t="str">
            <v>FN6627D2S146602</v>
          </cell>
          <cell r="Q1530" t="str">
            <v>สภาพปกติ</v>
          </cell>
        </row>
        <row r="1531">
          <cell r="A1531">
            <v>60052795</v>
          </cell>
          <cell r="B1531">
            <v>1530</v>
          </cell>
          <cell r="C1531" t="str">
            <v>CS01/7</v>
          </cell>
          <cell r="D1531" t="str">
            <v>SPCC-SD</v>
          </cell>
          <cell r="E1531" t="str">
            <v>AF1</v>
          </cell>
          <cell r="F1531">
            <v>0.5</v>
          </cell>
          <cell r="G1531">
            <v>175</v>
          </cell>
          <cell r="H1531" t="str">
            <v>C</v>
          </cell>
          <cell r="I1531" t="str">
            <v>A</v>
          </cell>
          <cell r="J1531" t="str">
            <v>TSA</v>
          </cell>
          <cell r="K1531">
            <v>1</v>
          </cell>
          <cell r="L1531">
            <v>294</v>
          </cell>
          <cell r="M1531">
            <v>60052795</v>
          </cell>
          <cell r="N1531">
            <v>38803</v>
          </cell>
          <cell r="P1531" t="str">
            <v>FN6327D1S785001</v>
          </cell>
          <cell r="Q1531" t="str">
            <v>สภาพปกติ</v>
          </cell>
        </row>
        <row r="1532">
          <cell r="A1532">
            <v>60038960</v>
          </cell>
          <cell r="B1532">
            <v>1531</v>
          </cell>
          <cell r="C1532" t="str">
            <v>CS01/7</v>
          </cell>
          <cell r="D1532" t="str">
            <v>SPCC-SD</v>
          </cell>
          <cell r="E1532" t="str">
            <v>AF1</v>
          </cell>
          <cell r="F1532">
            <v>0.6</v>
          </cell>
          <cell r="G1532">
            <v>44</v>
          </cell>
          <cell r="H1532" t="str">
            <v>C</v>
          </cell>
          <cell r="I1532" t="str">
            <v>A</v>
          </cell>
          <cell r="J1532" t="str">
            <v>TSA</v>
          </cell>
          <cell r="K1532">
            <v>1</v>
          </cell>
          <cell r="L1532">
            <v>389</v>
          </cell>
          <cell r="M1532">
            <v>60038960</v>
          </cell>
          <cell r="N1532">
            <v>38575</v>
          </cell>
          <cell r="P1532" t="str">
            <v>FN5811N1S209701</v>
          </cell>
          <cell r="Q1532" t="str">
            <v>สภาพปกติ</v>
          </cell>
        </row>
        <row r="1533">
          <cell r="A1533">
            <v>60040186</v>
          </cell>
          <cell r="B1533">
            <v>1532</v>
          </cell>
          <cell r="C1533" t="str">
            <v>CS01/7</v>
          </cell>
          <cell r="D1533" t="str">
            <v>SPCC-SD</v>
          </cell>
          <cell r="E1533" t="str">
            <v>AF1</v>
          </cell>
          <cell r="F1533">
            <v>0.6</v>
          </cell>
          <cell r="G1533">
            <v>52</v>
          </cell>
          <cell r="H1533" t="str">
            <v>C</v>
          </cell>
          <cell r="I1533" t="str">
            <v>A</v>
          </cell>
          <cell r="J1533" t="str">
            <v>TSA</v>
          </cell>
          <cell r="K1533">
            <v>1</v>
          </cell>
          <cell r="L1533">
            <v>70</v>
          </cell>
          <cell r="M1533">
            <v>60040186</v>
          </cell>
          <cell r="N1533">
            <v>38602</v>
          </cell>
          <cell r="P1533" t="str">
            <v>FN5907N1S957101</v>
          </cell>
          <cell r="Q1533" t="str">
            <v>สภาพปกติ</v>
          </cell>
        </row>
        <row r="1534">
          <cell r="A1534">
            <v>60057306</v>
          </cell>
          <cell r="B1534">
            <v>1533</v>
          </cell>
          <cell r="C1534" t="str">
            <v>CS01/7</v>
          </cell>
          <cell r="D1534" t="str">
            <v>SPCC-SD</v>
          </cell>
          <cell r="E1534" t="str">
            <v>AF1</v>
          </cell>
          <cell r="F1534">
            <v>0.6</v>
          </cell>
          <cell r="G1534">
            <v>52</v>
          </cell>
          <cell r="H1534" t="str">
            <v>C</v>
          </cell>
          <cell r="I1534" t="str">
            <v>A</v>
          </cell>
          <cell r="J1534" t="str">
            <v>TSA</v>
          </cell>
          <cell r="K1534">
            <v>1</v>
          </cell>
          <cell r="L1534">
            <v>152</v>
          </cell>
          <cell r="M1534">
            <v>60057306</v>
          </cell>
          <cell r="N1534">
            <v>38832</v>
          </cell>
          <cell r="P1534" t="str">
            <v>FN6425N1S9510101</v>
          </cell>
          <cell r="Q1534" t="str">
            <v>สภาพปกติ</v>
          </cell>
        </row>
        <row r="1535">
          <cell r="A1535">
            <v>60061631</v>
          </cell>
          <cell r="B1535">
            <v>1534</v>
          </cell>
          <cell r="C1535" t="str">
            <v>CS01/7</v>
          </cell>
          <cell r="D1535" t="str">
            <v>SPCC-SD</v>
          </cell>
          <cell r="E1535" t="str">
            <v>AF1</v>
          </cell>
          <cell r="F1535">
            <v>0.6</v>
          </cell>
          <cell r="G1535">
            <v>52</v>
          </cell>
          <cell r="H1535" t="str">
            <v>C</v>
          </cell>
          <cell r="I1535" t="str">
            <v>A</v>
          </cell>
          <cell r="J1535" t="str">
            <v>TSA</v>
          </cell>
          <cell r="K1535">
            <v>1</v>
          </cell>
          <cell r="L1535">
            <v>201</v>
          </cell>
          <cell r="M1535">
            <v>60061631</v>
          </cell>
          <cell r="N1535">
            <v>38883</v>
          </cell>
          <cell r="P1535" t="str">
            <v>FN6615N1S106003</v>
          </cell>
          <cell r="Q1535" t="str">
            <v>สภาพปกติ</v>
          </cell>
        </row>
        <row r="1536">
          <cell r="A1536">
            <v>60054053</v>
          </cell>
          <cell r="B1536">
            <v>1535</v>
          </cell>
          <cell r="C1536" t="str">
            <v>CS01/7</v>
          </cell>
          <cell r="D1536" t="str">
            <v>SPCC-SD</v>
          </cell>
          <cell r="E1536" t="str">
            <v>AF1</v>
          </cell>
          <cell r="F1536">
            <v>0.6</v>
          </cell>
          <cell r="G1536">
            <v>84</v>
          </cell>
          <cell r="H1536" t="str">
            <v>C</v>
          </cell>
          <cell r="I1536" t="str">
            <v>A</v>
          </cell>
          <cell r="J1536" t="str">
            <v>TSA</v>
          </cell>
          <cell r="K1536">
            <v>1</v>
          </cell>
          <cell r="L1536">
            <v>287</v>
          </cell>
          <cell r="M1536">
            <v>60054053</v>
          </cell>
          <cell r="N1536">
            <v>38786</v>
          </cell>
          <cell r="P1536" t="str">
            <v>FN6310N1S824901</v>
          </cell>
          <cell r="Q1536" t="str">
            <v>สภาพปกติ</v>
          </cell>
        </row>
        <row r="1537">
          <cell r="A1537">
            <v>60054054</v>
          </cell>
          <cell r="B1537">
            <v>1536</v>
          </cell>
          <cell r="C1537" t="str">
            <v>CS01/7</v>
          </cell>
          <cell r="D1537" t="str">
            <v>SPCC-SD</v>
          </cell>
          <cell r="E1537" t="str">
            <v>AF1</v>
          </cell>
          <cell r="F1537">
            <v>0.6</v>
          </cell>
          <cell r="G1537">
            <v>84</v>
          </cell>
          <cell r="H1537" t="str">
            <v>C</v>
          </cell>
          <cell r="I1537" t="str">
            <v>A</v>
          </cell>
          <cell r="J1537" t="str">
            <v>TSA</v>
          </cell>
          <cell r="K1537">
            <v>1</v>
          </cell>
          <cell r="L1537">
            <v>287</v>
          </cell>
          <cell r="M1537">
            <v>60054054</v>
          </cell>
          <cell r="N1537">
            <v>38786</v>
          </cell>
          <cell r="P1537" t="str">
            <v>FN6310N1S824902</v>
          </cell>
          <cell r="Q1537" t="str">
            <v>สภาพปกติ</v>
          </cell>
        </row>
        <row r="1538">
          <cell r="A1538">
            <v>60047492</v>
          </cell>
          <cell r="B1538">
            <v>1537</v>
          </cell>
          <cell r="C1538" t="str">
            <v>CS01/7</v>
          </cell>
          <cell r="D1538" t="str">
            <v>SPCC-SD</v>
          </cell>
          <cell r="E1538" t="str">
            <v>AF1</v>
          </cell>
          <cell r="F1538">
            <v>0.8</v>
          </cell>
          <cell r="G1538">
            <v>89</v>
          </cell>
          <cell r="H1538" t="str">
            <v>C</v>
          </cell>
          <cell r="I1538" t="str">
            <v>A</v>
          </cell>
          <cell r="J1538" t="str">
            <v>TSA</v>
          </cell>
          <cell r="K1538">
            <v>1</v>
          </cell>
          <cell r="L1538">
            <v>153</v>
          </cell>
          <cell r="M1538">
            <v>60047492</v>
          </cell>
          <cell r="N1538" t="str">
            <v>14/C/2005</v>
          </cell>
          <cell r="P1538" t="str">
            <v>FN5C14D1S568501</v>
          </cell>
          <cell r="Q1538" t="str">
            <v>สภาพปกติ</v>
          </cell>
        </row>
        <row r="1539">
          <cell r="A1539">
            <v>60043165</v>
          </cell>
          <cell r="B1539">
            <v>1538</v>
          </cell>
          <cell r="C1539" t="str">
            <v>CS01/7</v>
          </cell>
          <cell r="D1539" t="str">
            <v>SPCC-SD</v>
          </cell>
          <cell r="E1539" t="str">
            <v>AF1</v>
          </cell>
          <cell r="F1539">
            <v>1</v>
          </cell>
          <cell r="G1539">
            <v>60</v>
          </cell>
          <cell r="H1539" t="str">
            <v>C</v>
          </cell>
          <cell r="I1539" t="str">
            <v>A</v>
          </cell>
          <cell r="J1539" t="str">
            <v>TSA</v>
          </cell>
          <cell r="K1539">
            <v>1</v>
          </cell>
          <cell r="L1539">
            <v>110</v>
          </cell>
          <cell r="M1539">
            <v>60043165</v>
          </cell>
          <cell r="N1539" t="str">
            <v>29/A/2005</v>
          </cell>
          <cell r="P1539" t="str">
            <v>FN5A29N1S416201</v>
          </cell>
          <cell r="Q1539" t="str">
            <v>สภาพปกติ</v>
          </cell>
        </row>
        <row r="1540">
          <cell r="A1540">
            <v>60061969</v>
          </cell>
          <cell r="B1540">
            <v>1539</v>
          </cell>
          <cell r="C1540" t="str">
            <v>CS01/7</v>
          </cell>
          <cell r="D1540" t="str">
            <v>SPCC-SD</v>
          </cell>
          <cell r="E1540" t="str">
            <v>AF1</v>
          </cell>
          <cell r="F1540">
            <v>1</v>
          </cell>
          <cell r="G1540">
            <v>82</v>
          </cell>
          <cell r="H1540" t="str">
            <v>C</v>
          </cell>
          <cell r="I1540" t="str">
            <v>A</v>
          </cell>
          <cell r="J1540" t="str">
            <v>TSA</v>
          </cell>
          <cell r="K1540">
            <v>1</v>
          </cell>
          <cell r="L1540">
            <v>153</v>
          </cell>
          <cell r="M1540">
            <v>60061969</v>
          </cell>
          <cell r="N1540">
            <v>38888</v>
          </cell>
          <cell r="P1540" t="str">
            <v>FN6620D1S120401</v>
          </cell>
          <cell r="Q1540" t="str">
            <v>สภาพปกติ</v>
          </cell>
        </row>
        <row r="1541">
          <cell r="A1541">
            <v>60061979</v>
          </cell>
          <cell r="B1541">
            <v>1540</v>
          </cell>
          <cell r="C1541" t="str">
            <v>CS01/7</v>
          </cell>
          <cell r="D1541" t="str">
            <v>SPCC-SD</v>
          </cell>
          <cell r="E1541" t="str">
            <v>AF1</v>
          </cell>
          <cell r="F1541">
            <v>1</v>
          </cell>
          <cell r="G1541">
            <v>82</v>
          </cell>
          <cell r="H1541" t="str">
            <v>C</v>
          </cell>
          <cell r="I1541" t="str">
            <v>A</v>
          </cell>
          <cell r="J1541" t="str">
            <v>TSA</v>
          </cell>
          <cell r="K1541">
            <v>1</v>
          </cell>
          <cell r="L1541">
            <v>154</v>
          </cell>
          <cell r="M1541">
            <v>60061979</v>
          </cell>
          <cell r="N1541">
            <v>38888</v>
          </cell>
          <cell r="P1541" t="str">
            <v>FN6620D1S120402</v>
          </cell>
          <cell r="Q1541" t="str">
            <v>สภาพปกติ</v>
          </cell>
        </row>
        <row r="1542">
          <cell r="A1542">
            <v>60061989</v>
          </cell>
          <cell r="B1542">
            <v>1541</v>
          </cell>
          <cell r="C1542" t="str">
            <v>CS01/7</v>
          </cell>
          <cell r="D1542" t="str">
            <v>SPCC-SD</v>
          </cell>
          <cell r="E1542" t="str">
            <v>AF1</v>
          </cell>
          <cell r="F1542">
            <v>1</v>
          </cell>
          <cell r="G1542">
            <v>82</v>
          </cell>
          <cell r="H1542" t="str">
            <v>C</v>
          </cell>
          <cell r="I1542" t="str">
            <v>A</v>
          </cell>
          <cell r="J1542" t="str">
            <v>TSA</v>
          </cell>
          <cell r="K1542">
            <v>1</v>
          </cell>
          <cell r="L1542">
            <v>143</v>
          </cell>
          <cell r="M1542">
            <v>60061989</v>
          </cell>
          <cell r="N1542">
            <v>38888</v>
          </cell>
          <cell r="P1542" t="str">
            <v>FN6620D1S120403</v>
          </cell>
          <cell r="Q1542" t="str">
            <v>แผ่นรองและสายรัดเป็นสนิม</v>
          </cell>
        </row>
        <row r="1543">
          <cell r="A1543">
            <v>60055020</v>
          </cell>
          <cell r="B1543">
            <v>1542</v>
          </cell>
          <cell r="C1543" t="str">
            <v>CS01/7</v>
          </cell>
          <cell r="D1543" t="str">
            <v>SPCC-SD</v>
          </cell>
          <cell r="E1543" t="str">
            <v>AF1</v>
          </cell>
          <cell r="F1543">
            <v>1.2</v>
          </cell>
          <cell r="G1543">
            <v>72</v>
          </cell>
          <cell r="H1543" t="str">
            <v>C</v>
          </cell>
          <cell r="I1543" t="str">
            <v>A</v>
          </cell>
          <cell r="J1543" t="str">
            <v>TSA</v>
          </cell>
          <cell r="K1543">
            <v>1</v>
          </cell>
          <cell r="L1543">
            <v>136</v>
          </cell>
          <cell r="M1543">
            <v>60055020</v>
          </cell>
          <cell r="N1543">
            <v>38796</v>
          </cell>
          <cell r="P1543" t="str">
            <v>FN6320D1S860001</v>
          </cell>
          <cell r="Q1543" t="str">
            <v>แผ่นรองและสายรัดเป็นสนิม</v>
          </cell>
        </row>
        <row r="1544">
          <cell r="A1544">
            <v>60052629</v>
          </cell>
          <cell r="B1544">
            <v>1543</v>
          </cell>
          <cell r="C1544" t="str">
            <v>CS01/7</v>
          </cell>
          <cell r="D1544" t="str">
            <v>SPCC-SD</v>
          </cell>
          <cell r="E1544" t="str">
            <v>AF1</v>
          </cell>
          <cell r="F1544">
            <v>1.2</v>
          </cell>
          <cell r="G1544">
            <v>104</v>
          </cell>
          <cell r="H1544" t="str">
            <v>C</v>
          </cell>
          <cell r="I1544" t="str">
            <v>A</v>
          </cell>
          <cell r="J1544" t="str">
            <v>TSA</v>
          </cell>
          <cell r="K1544">
            <v>1</v>
          </cell>
          <cell r="L1544">
            <v>374</v>
          </cell>
          <cell r="M1544">
            <v>60052629</v>
          </cell>
          <cell r="N1544">
            <v>38779</v>
          </cell>
          <cell r="O1544" t="str">
            <v>126217SUD005</v>
          </cell>
          <cell r="P1544" t="str">
            <v>FN6303N2S775103</v>
          </cell>
          <cell r="Q1544" t="str">
            <v>สภาพปกติ</v>
          </cell>
        </row>
        <row r="1545">
          <cell r="A1545">
            <v>60055730</v>
          </cell>
          <cell r="B1545">
            <v>1544</v>
          </cell>
          <cell r="C1545" t="str">
            <v>CS01/7</v>
          </cell>
          <cell r="D1545" t="str">
            <v>SPCC-SD</v>
          </cell>
          <cell r="E1545" t="str">
            <v>AF1</v>
          </cell>
          <cell r="F1545">
            <v>1.2</v>
          </cell>
          <cell r="G1545">
            <v>104</v>
          </cell>
          <cell r="H1545" t="str">
            <v>C</v>
          </cell>
          <cell r="I1545" t="str">
            <v>A</v>
          </cell>
          <cell r="J1545" t="str">
            <v>TSA</v>
          </cell>
          <cell r="K1545">
            <v>1</v>
          </cell>
          <cell r="L1545">
            <v>179</v>
          </cell>
          <cell r="M1545">
            <v>60055730</v>
          </cell>
          <cell r="N1545">
            <v>38835</v>
          </cell>
          <cell r="O1545" t="str">
            <v>126217SUD006</v>
          </cell>
          <cell r="P1545" t="str">
            <v>FN6428N1S884001</v>
          </cell>
          <cell r="Q1545" t="str">
            <v>แผ่นรองและสายรัดเป็นสนิม</v>
          </cell>
        </row>
        <row r="1546">
          <cell r="A1546">
            <v>60055731</v>
          </cell>
          <cell r="B1546">
            <v>1545</v>
          </cell>
          <cell r="C1546" t="str">
            <v>CS01/7</v>
          </cell>
          <cell r="D1546" t="str">
            <v>SPCC-SD</v>
          </cell>
          <cell r="E1546" t="str">
            <v>AF1</v>
          </cell>
          <cell r="F1546">
            <v>1.2</v>
          </cell>
          <cell r="G1546">
            <v>104</v>
          </cell>
          <cell r="H1546" t="str">
            <v>C</v>
          </cell>
          <cell r="I1546" t="str">
            <v>A</v>
          </cell>
          <cell r="J1546" t="str">
            <v>TSA</v>
          </cell>
          <cell r="K1546">
            <v>1</v>
          </cell>
          <cell r="L1546">
            <v>179</v>
          </cell>
          <cell r="M1546">
            <v>60055731</v>
          </cell>
          <cell r="N1546">
            <v>38835</v>
          </cell>
          <cell r="O1546" t="str">
            <v>126217SUD006</v>
          </cell>
          <cell r="P1546" t="str">
            <v>FN6428N1S884002</v>
          </cell>
          <cell r="Q1546" t="str">
            <v>แผ่นรองและสายรัดเป็นสนิม</v>
          </cell>
        </row>
        <row r="1547">
          <cell r="A1547">
            <v>60054586</v>
          </cell>
          <cell r="B1547">
            <v>1546</v>
          </cell>
          <cell r="C1547" t="str">
            <v>CS01/7</v>
          </cell>
          <cell r="D1547" t="str">
            <v>SPCC-SD</v>
          </cell>
          <cell r="E1547" t="str">
            <v>AF1</v>
          </cell>
          <cell r="F1547">
            <v>1.4</v>
          </cell>
          <cell r="G1547">
            <v>55</v>
          </cell>
          <cell r="H1547" t="str">
            <v>C</v>
          </cell>
          <cell r="I1547" t="str">
            <v>A</v>
          </cell>
          <cell r="J1547" t="str">
            <v>TSA</v>
          </cell>
          <cell r="K1547">
            <v>1</v>
          </cell>
          <cell r="L1547">
            <v>76</v>
          </cell>
          <cell r="M1547">
            <v>60054586</v>
          </cell>
          <cell r="N1547">
            <v>38791</v>
          </cell>
          <cell r="P1547" t="str">
            <v>FN6315D1S831201</v>
          </cell>
          <cell r="Q1547" t="str">
            <v>แผ่นรองและสายรัดเป็นสนิม</v>
          </cell>
        </row>
        <row r="1548">
          <cell r="A1548">
            <v>60054587</v>
          </cell>
          <cell r="B1548">
            <v>1547</v>
          </cell>
          <cell r="C1548" t="str">
            <v>CS01/7</v>
          </cell>
          <cell r="D1548" t="str">
            <v>SPCC-SD</v>
          </cell>
          <cell r="E1548" t="str">
            <v>AF1</v>
          </cell>
          <cell r="F1548">
            <v>1.4</v>
          </cell>
          <cell r="G1548">
            <v>55</v>
          </cell>
          <cell r="H1548" t="str">
            <v>C</v>
          </cell>
          <cell r="I1548" t="str">
            <v>A</v>
          </cell>
          <cell r="J1548" t="str">
            <v>TSA</v>
          </cell>
          <cell r="K1548">
            <v>1</v>
          </cell>
          <cell r="L1548">
            <v>76</v>
          </cell>
          <cell r="M1548">
            <v>60054587</v>
          </cell>
          <cell r="N1548">
            <v>38791</v>
          </cell>
          <cell r="P1548" t="str">
            <v>FN6315D1S831202</v>
          </cell>
          <cell r="Q1548" t="str">
            <v>แผ่นรองและสายรัดเป็นสนิม</v>
          </cell>
        </row>
        <row r="1549">
          <cell r="A1549">
            <v>60065931</v>
          </cell>
          <cell r="B1549">
            <v>1548</v>
          </cell>
          <cell r="C1549" t="str">
            <v>CS01/7</v>
          </cell>
          <cell r="D1549" t="str">
            <v>SPCC-SD</v>
          </cell>
          <cell r="E1549" t="str">
            <v>AF1</v>
          </cell>
          <cell r="F1549">
            <v>1.6</v>
          </cell>
          <cell r="G1549">
            <v>38</v>
          </cell>
          <cell r="H1549" t="str">
            <v>C</v>
          </cell>
          <cell r="I1549" t="str">
            <v>A</v>
          </cell>
          <cell r="J1549" t="str">
            <v>TSA</v>
          </cell>
          <cell r="K1549">
            <v>1</v>
          </cell>
          <cell r="L1549">
            <v>344</v>
          </cell>
          <cell r="M1549">
            <v>60065931</v>
          </cell>
          <cell r="N1549">
            <v>38939</v>
          </cell>
          <cell r="P1549" t="str">
            <v>FN6810D2S287401</v>
          </cell>
          <cell r="Q1549" t="str">
            <v>สภาพปกติ</v>
          </cell>
        </row>
        <row r="1550">
          <cell r="A1550">
            <v>60062852</v>
          </cell>
          <cell r="B1550">
            <v>1549</v>
          </cell>
          <cell r="C1550" t="str">
            <v>CS01/7</v>
          </cell>
          <cell r="D1550" t="str">
            <v>SPCC-SD</v>
          </cell>
          <cell r="E1550" t="str">
            <v>AF1</v>
          </cell>
          <cell r="F1550">
            <v>1.6</v>
          </cell>
          <cell r="G1550">
            <v>49</v>
          </cell>
          <cell r="H1550" t="str">
            <v>C</v>
          </cell>
          <cell r="I1550" t="str">
            <v>A</v>
          </cell>
          <cell r="J1550" t="str">
            <v>TSA</v>
          </cell>
          <cell r="K1550">
            <v>1</v>
          </cell>
          <cell r="L1550">
            <v>104</v>
          </cell>
          <cell r="M1550">
            <v>60062852</v>
          </cell>
          <cell r="N1550">
            <v>38901</v>
          </cell>
          <cell r="P1550" t="str">
            <v>FN6703D1S167801</v>
          </cell>
          <cell r="Q1550" t="str">
            <v>แผ่นรองและสายรัดเป็นสนิม</v>
          </cell>
        </row>
        <row r="1551">
          <cell r="A1551">
            <v>60063055</v>
          </cell>
          <cell r="B1551">
            <v>1550</v>
          </cell>
          <cell r="C1551" t="str">
            <v>CS01/7</v>
          </cell>
          <cell r="D1551" t="str">
            <v>SPCC-SD</v>
          </cell>
          <cell r="E1551" t="str">
            <v>AF1</v>
          </cell>
          <cell r="F1551">
            <v>1.6</v>
          </cell>
          <cell r="G1551">
            <v>49</v>
          </cell>
          <cell r="H1551" t="str">
            <v>C</v>
          </cell>
          <cell r="I1551" t="str">
            <v>A</v>
          </cell>
          <cell r="J1551" t="str">
            <v>TSA</v>
          </cell>
          <cell r="K1551">
            <v>1</v>
          </cell>
          <cell r="L1551">
            <v>87</v>
          </cell>
          <cell r="M1551">
            <v>60063055</v>
          </cell>
          <cell r="N1551">
            <v>38904</v>
          </cell>
          <cell r="P1551" t="str">
            <v>FN6706N1S179601</v>
          </cell>
          <cell r="Q1551" t="str">
            <v>แผ่นรองและสายรัดเป็นสนิม</v>
          </cell>
        </row>
        <row r="1552">
          <cell r="A1552">
            <v>60063056</v>
          </cell>
          <cell r="B1552">
            <v>1551</v>
          </cell>
          <cell r="C1552" t="str">
            <v>CS01/7</v>
          </cell>
          <cell r="D1552" t="str">
            <v>SPCC-SD</v>
          </cell>
          <cell r="E1552" t="str">
            <v>AF1</v>
          </cell>
          <cell r="F1552">
            <v>1.6</v>
          </cell>
          <cell r="G1552">
            <v>49</v>
          </cell>
          <cell r="H1552" t="str">
            <v>C</v>
          </cell>
          <cell r="I1552" t="str">
            <v>A</v>
          </cell>
          <cell r="J1552" t="str">
            <v>TSA</v>
          </cell>
          <cell r="K1552">
            <v>1</v>
          </cell>
          <cell r="L1552">
            <v>87</v>
          </cell>
          <cell r="M1552">
            <v>60063056</v>
          </cell>
          <cell r="N1552">
            <v>38904</v>
          </cell>
          <cell r="P1552" t="str">
            <v>FN6706N1S179602</v>
          </cell>
          <cell r="Q1552" t="str">
            <v>แผ่นรองและสายรัดเป็นสนิม</v>
          </cell>
        </row>
        <row r="1553">
          <cell r="A1553">
            <v>60051275</v>
          </cell>
          <cell r="B1553">
            <v>1552</v>
          </cell>
          <cell r="C1553" t="str">
            <v>CS01/7</v>
          </cell>
          <cell r="D1553" t="str">
            <v>SPCC-SD</v>
          </cell>
          <cell r="E1553" t="str">
            <v>AF1</v>
          </cell>
          <cell r="F1553">
            <v>1.6</v>
          </cell>
          <cell r="G1553">
            <v>77</v>
          </cell>
          <cell r="H1553" t="str">
            <v>C</v>
          </cell>
          <cell r="I1553" t="str">
            <v>A</v>
          </cell>
          <cell r="J1553" t="str">
            <v>TSA</v>
          </cell>
          <cell r="K1553">
            <v>1</v>
          </cell>
          <cell r="L1553">
            <v>548</v>
          </cell>
          <cell r="M1553">
            <v>60051275</v>
          </cell>
          <cell r="N1553">
            <v>38758</v>
          </cell>
          <cell r="P1553" t="str">
            <v>FN6210D1S728304</v>
          </cell>
          <cell r="Q1553" t="str">
            <v>สภาพปกติ</v>
          </cell>
        </row>
        <row r="1554">
          <cell r="A1554">
            <v>60051276</v>
          </cell>
          <cell r="B1554">
            <v>1553</v>
          </cell>
          <cell r="C1554" t="str">
            <v>CS01/7</v>
          </cell>
          <cell r="D1554" t="str">
            <v>SPCC-SD</v>
          </cell>
          <cell r="E1554" t="str">
            <v>AF1</v>
          </cell>
          <cell r="F1554">
            <v>1.6</v>
          </cell>
          <cell r="G1554">
            <v>77</v>
          </cell>
          <cell r="H1554" t="str">
            <v>C</v>
          </cell>
          <cell r="I1554" t="str">
            <v>A</v>
          </cell>
          <cell r="J1554" t="str">
            <v>TSA</v>
          </cell>
          <cell r="K1554">
            <v>1</v>
          </cell>
          <cell r="L1554">
            <v>548</v>
          </cell>
          <cell r="M1554">
            <v>60051276</v>
          </cell>
          <cell r="N1554">
            <v>38758</v>
          </cell>
          <cell r="P1554" t="str">
            <v>FN6210D1S728305</v>
          </cell>
          <cell r="Q1554" t="str">
            <v>สภาพปกติ</v>
          </cell>
        </row>
        <row r="1555">
          <cell r="A1555">
            <v>60065408</v>
          </cell>
          <cell r="B1555">
            <v>1554</v>
          </cell>
          <cell r="C1555" t="str">
            <v>CS01/7</v>
          </cell>
          <cell r="D1555" t="str">
            <v>SPCC-SD</v>
          </cell>
          <cell r="E1555" t="str">
            <v>AF1</v>
          </cell>
          <cell r="F1555">
            <v>1.6</v>
          </cell>
          <cell r="G1555">
            <v>77</v>
          </cell>
          <cell r="H1555" t="str">
            <v>C</v>
          </cell>
          <cell r="I1555" t="str">
            <v>A</v>
          </cell>
          <cell r="J1555" t="str">
            <v>TSA</v>
          </cell>
          <cell r="K1555">
            <v>1</v>
          </cell>
          <cell r="L1555">
            <v>328</v>
          </cell>
          <cell r="M1555">
            <v>60065408</v>
          </cell>
          <cell r="N1555">
            <v>38933</v>
          </cell>
          <cell r="O1555" t="str">
            <v>126726TCD001</v>
          </cell>
          <cell r="P1555" t="str">
            <v>FN6804N1S267301</v>
          </cell>
          <cell r="Q1555" t="str">
            <v>แผ่นรองและสายรัดเป็นสนิม</v>
          </cell>
        </row>
        <row r="1556">
          <cell r="A1556">
            <v>60065411</v>
          </cell>
          <cell r="B1556">
            <v>1555</v>
          </cell>
          <cell r="C1556" t="str">
            <v>CS01/7</v>
          </cell>
          <cell r="D1556" t="str">
            <v>SPCC-SD</v>
          </cell>
          <cell r="E1556" t="str">
            <v>AF1</v>
          </cell>
          <cell r="F1556">
            <v>1.6</v>
          </cell>
          <cell r="G1556">
            <v>77</v>
          </cell>
          <cell r="H1556" t="str">
            <v>C</v>
          </cell>
          <cell r="I1556" t="str">
            <v>A</v>
          </cell>
          <cell r="J1556" t="str">
            <v>TSA</v>
          </cell>
          <cell r="K1556">
            <v>1</v>
          </cell>
          <cell r="L1556">
            <v>328</v>
          </cell>
          <cell r="M1556">
            <v>60065411</v>
          </cell>
          <cell r="N1556">
            <v>38933</v>
          </cell>
          <cell r="O1556" t="str">
            <v>126726TCD001</v>
          </cell>
          <cell r="P1556" t="str">
            <v>FN6804N1S267302</v>
          </cell>
          <cell r="Q1556" t="str">
            <v>แผ่นรองและสายรัดเป็นสนิม</v>
          </cell>
        </row>
        <row r="1557">
          <cell r="A1557">
            <v>60065412</v>
          </cell>
          <cell r="B1557">
            <v>1556</v>
          </cell>
          <cell r="C1557" t="str">
            <v>CS01/7</v>
          </cell>
          <cell r="D1557" t="str">
            <v>SPCC-SD</v>
          </cell>
          <cell r="E1557" t="str">
            <v>AF1</v>
          </cell>
          <cell r="F1557">
            <v>1.6</v>
          </cell>
          <cell r="G1557">
            <v>77</v>
          </cell>
          <cell r="H1557" t="str">
            <v>C</v>
          </cell>
          <cell r="I1557" t="str">
            <v>A</v>
          </cell>
          <cell r="J1557" t="str">
            <v>TSA</v>
          </cell>
          <cell r="K1557">
            <v>1</v>
          </cell>
          <cell r="L1557">
            <v>328</v>
          </cell>
          <cell r="M1557">
            <v>60065412</v>
          </cell>
          <cell r="N1557">
            <v>38933</v>
          </cell>
          <cell r="O1557" t="str">
            <v>126726TCD001</v>
          </cell>
          <cell r="P1557" t="str">
            <v>FN6804N1S267303</v>
          </cell>
          <cell r="Q1557" t="str">
            <v>แผ่นรองและสายรัดเป็นสนิม</v>
          </cell>
        </row>
        <row r="1558">
          <cell r="A1558">
            <v>60056435</v>
          </cell>
          <cell r="B1558">
            <v>1557</v>
          </cell>
          <cell r="C1558" t="str">
            <v>CS01/7</v>
          </cell>
          <cell r="D1558" t="str">
            <v>SPCC-SD</v>
          </cell>
          <cell r="E1558" t="str">
            <v>AF1</v>
          </cell>
          <cell r="F1558">
            <v>1.6</v>
          </cell>
          <cell r="G1558">
            <v>82</v>
          </cell>
          <cell r="H1558" t="str">
            <v>C</v>
          </cell>
          <cell r="I1558" t="str">
            <v>A</v>
          </cell>
          <cell r="J1558" t="str">
            <v>TSA</v>
          </cell>
          <cell r="K1558">
            <v>1</v>
          </cell>
          <cell r="L1558">
            <v>443</v>
          </cell>
          <cell r="M1558">
            <v>60056435</v>
          </cell>
          <cell r="N1558">
            <v>38813</v>
          </cell>
          <cell r="P1558" t="str">
            <v>FN6406N2S926301</v>
          </cell>
          <cell r="Q1558" t="str">
            <v>สภาพปกติ</v>
          </cell>
        </row>
        <row r="1559">
          <cell r="A1559">
            <v>60056436</v>
          </cell>
          <cell r="B1559">
            <v>1558</v>
          </cell>
          <cell r="C1559" t="str">
            <v>CS01/7</v>
          </cell>
          <cell r="D1559" t="str">
            <v>SPCC-SD</v>
          </cell>
          <cell r="E1559" t="str">
            <v>AF1</v>
          </cell>
          <cell r="F1559">
            <v>1.6</v>
          </cell>
          <cell r="G1559">
            <v>82</v>
          </cell>
          <cell r="H1559" t="str">
            <v>C</v>
          </cell>
          <cell r="I1559" t="str">
            <v>A</v>
          </cell>
          <cell r="J1559" t="str">
            <v>TSA</v>
          </cell>
          <cell r="K1559">
            <v>1</v>
          </cell>
          <cell r="L1559">
            <v>443</v>
          </cell>
          <cell r="M1559">
            <v>60056436</v>
          </cell>
          <cell r="N1559">
            <v>38813</v>
          </cell>
          <cell r="P1559" t="str">
            <v>FN6406N2S926302</v>
          </cell>
          <cell r="Q1559" t="str">
            <v>สภาพปกติ</v>
          </cell>
        </row>
        <row r="1560">
          <cell r="A1560">
            <v>60056441</v>
          </cell>
          <cell r="B1560">
            <v>1559</v>
          </cell>
          <cell r="C1560" t="str">
            <v>CS01/7</v>
          </cell>
          <cell r="D1560" t="str">
            <v>SPCC-SD</v>
          </cell>
          <cell r="E1560" t="str">
            <v>AF1</v>
          </cell>
          <cell r="F1560">
            <v>1.6</v>
          </cell>
          <cell r="G1560">
            <v>82</v>
          </cell>
          <cell r="H1560" t="str">
            <v>C</v>
          </cell>
          <cell r="I1560" t="str">
            <v>A</v>
          </cell>
          <cell r="J1560" t="str">
            <v>TSA</v>
          </cell>
          <cell r="K1560">
            <v>1</v>
          </cell>
          <cell r="L1560">
            <v>571</v>
          </cell>
          <cell r="M1560">
            <v>60056441</v>
          </cell>
          <cell r="N1560">
            <v>38813</v>
          </cell>
          <cell r="P1560" t="str">
            <v>FN6406N2S926303</v>
          </cell>
          <cell r="Q1560" t="str">
            <v>สภาพปกติ</v>
          </cell>
        </row>
        <row r="1561">
          <cell r="A1561">
            <v>60056442</v>
          </cell>
          <cell r="B1561">
            <v>1560</v>
          </cell>
          <cell r="C1561" t="str">
            <v>CS01/7</v>
          </cell>
          <cell r="D1561" t="str">
            <v>SPCC-SD</v>
          </cell>
          <cell r="E1561" t="str">
            <v>AF1</v>
          </cell>
          <cell r="F1561">
            <v>1.6</v>
          </cell>
          <cell r="G1561">
            <v>82</v>
          </cell>
          <cell r="H1561" t="str">
            <v>C</v>
          </cell>
          <cell r="I1561" t="str">
            <v>A</v>
          </cell>
          <cell r="J1561" t="str">
            <v>TSA</v>
          </cell>
          <cell r="K1561">
            <v>1</v>
          </cell>
          <cell r="L1561">
            <v>571</v>
          </cell>
          <cell r="M1561">
            <v>60056442</v>
          </cell>
          <cell r="N1561">
            <v>38813</v>
          </cell>
          <cell r="P1561" t="str">
            <v>FN6406N2S926304</v>
          </cell>
          <cell r="Q1561" t="str">
            <v>สภาพปกติ</v>
          </cell>
        </row>
        <row r="1562">
          <cell r="A1562">
            <v>60057175</v>
          </cell>
          <cell r="B1562">
            <v>1561</v>
          </cell>
          <cell r="C1562" t="str">
            <v>CS01/7</v>
          </cell>
          <cell r="D1562" t="str">
            <v>SPCC-SD</v>
          </cell>
          <cell r="E1562" t="str">
            <v>AF1</v>
          </cell>
          <cell r="F1562">
            <v>1.6</v>
          </cell>
          <cell r="G1562">
            <v>82</v>
          </cell>
          <cell r="H1562" t="str">
            <v>C</v>
          </cell>
          <cell r="I1562" t="str">
            <v>A</v>
          </cell>
          <cell r="J1562" t="str">
            <v>TSA</v>
          </cell>
          <cell r="K1562">
            <v>1</v>
          </cell>
          <cell r="L1562">
            <v>445</v>
          </cell>
          <cell r="M1562">
            <v>60057175</v>
          </cell>
          <cell r="N1562">
            <v>38829</v>
          </cell>
          <cell r="P1562" t="str">
            <v>FN6422N1S953605</v>
          </cell>
          <cell r="Q1562" t="str">
            <v>สภาพปกติ</v>
          </cell>
        </row>
        <row r="1563">
          <cell r="A1563">
            <v>60057176</v>
          </cell>
          <cell r="B1563">
            <v>1562</v>
          </cell>
          <cell r="C1563" t="str">
            <v>CS01/7</v>
          </cell>
          <cell r="D1563" t="str">
            <v>SPCC-SD</v>
          </cell>
          <cell r="E1563" t="str">
            <v>AF1</v>
          </cell>
          <cell r="F1563">
            <v>1.6</v>
          </cell>
          <cell r="G1563">
            <v>82</v>
          </cell>
          <cell r="H1563" t="str">
            <v>C</v>
          </cell>
          <cell r="I1563" t="str">
            <v>A</v>
          </cell>
          <cell r="J1563" t="str">
            <v>TSA</v>
          </cell>
          <cell r="K1563">
            <v>1</v>
          </cell>
          <cell r="L1563">
            <v>445</v>
          </cell>
          <cell r="M1563">
            <v>60057176</v>
          </cell>
          <cell r="N1563">
            <v>38829</v>
          </cell>
          <cell r="P1563" t="str">
            <v>FN6422N1S953606</v>
          </cell>
          <cell r="Q1563" t="str">
            <v>สภาพปกติ</v>
          </cell>
        </row>
        <row r="1564">
          <cell r="A1564">
            <v>60057178</v>
          </cell>
          <cell r="B1564">
            <v>1563</v>
          </cell>
          <cell r="C1564" t="str">
            <v>CS01/7</v>
          </cell>
          <cell r="D1564" t="str">
            <v>SPCC-SD</v>
          </cell>
          <cell r="E1564" t="str">
            <v>AF1</v>
          </cell>
          <cell r="F1564">
            <v>1.6</v>
          </cell>
          <cell r="G1564">
            <v>82</v>
          </cell>
          <cell r="H1564" t="str">
            <v>C</v>
          </cell>
          <cell r="I1564" t="str">
            <v>A</v>
          </cell>
          <cell r="J1564" t="str">
            <v>TSA</v>
          </cell>
          <cell r="K1564">
            <v>1</v>
          </cell>
          <cell r="L1564">
            <v>464</v>
          </cell>
          <cell r="M1564">
            <v>60057178</v>
          </cell>
          <cell r="N1564">
            <v>38829</v>
          </cell>
          <cell r="P1564" t="str">
            <v>FN6422N1S953607</v>
          </cell>
          <cell r="Q1564" t="str">
            <v>สภาพปกติ</v>
          </cell>
        </row>
        <row r="1565">
          <cell r="A1565">
            <v>60057179</v>
          </cell>
          <cell r="B1565">
            <v>1564</v>
          </cell>
          <cell r="C1565" t="str">
            <v>CS01/7</v>
          </cell>
          <cell r="D1565" t="str">
            <v>SPCC-SD</v>
          </cell>
          <cell r="E1565" t="str">
            <v>AF1</v>
          </cell>
          <cell r="F1565">
            <v>1.6</v>
          </cell>
          <cell r="G1565">
            <v>82</v>
          </cell>
          <cell r="H1565" t="str">
            <v>C</v>
          </cell>
          <cell r="I1565" t="str">
            <v>A</v>
          </cell>
          <cell r="J1565" t="str">
            <v>TSA</v>
          </cell>
          <cell r="K1565">
            <v>1</v>
          </cell>
          <cell r="L1565">
            <v>467</v>
          </cell>
          <cell r="M1565">
            <v>60057179</v>
          </cell>
          <cell r="N1565">
            <v>38829</v>
          </cell>
          <cell r="P1565" t="str">
            <v>FN6422N1S953608</v>
          </cell>
          <cell r="Q1565" t="str">
            <v>สภาพปกติ</v>
          </cell>
        </row>
        <row r="1566">
          <cell r="A1566">
            <v>60052230</v>
          </cell>
          <cell r="B1566">
            <v>1565</v>
          </cell>
          <cell r="C1566" t="str">
            <v>CS01/7</v>
          </cell>
          <cell r="D1566" t="str">
            <v>SPCC-SD</v>
          </cell>
          <cell r="E1566" t="str">
            <v>AF1</v>
          </cell>
          <cell r="F1566">
            <v>1.6</v>
          </cell>
          <cell r="G1566">
            <v>88</v>
          </cell>
          <cell r="H1566" t="str">
            <v>C</v>
          </cell>
          <cell r="I1566" t="str">
            <v>A</v>
          </cell>
          <cell r="J1566" t="str">
            <v>TSA</v>
          </cell>
          <cell r="K1566">
            <v>1</v>
          </cell>
          <cell r="L1566">
            <v>308</v>
          </cell>
          <cell r="M1566">
            <v>60052230</v>
          </cell>
          <cell r="N1566">
            <v>38768</v>
          </cell>
          <cell r="P1566" t="str">
            <v>FN6220N1S748001</v>
          </cell>
          <cell r="Q1566" t="str">
            <v>แผ่นรองและสายรัดเป็นสนิม</v>
          </cell>
        </row>
        <row r="1567">
          <cell r="A1567">
            <v>60063775</v>
          </cell>
          <cell r="B1567">
            <v>1566</v>
          </cell>
          <cell r="C1567" t="str">
            <v>CS01/7</v>
          </cell>
          <cell r="D1567" t="str">
            <v>SPCC-SD</v>
          </cell>
          <cell r="E1567" t="str">
            <v>AF1</v>
          </cell>
          <cell r="F1567">
            <v>1.6</v>
          </cell>
          <cell r="G1567">
            <v>112</v>
          </cell>
          <cell r="H1567" t="str">
            <v>C</v>
          </cell>
          <cell r="I1567" t="str">
            <v>A</v>
          </cell>
          <cell r="J1567" t="str">
            <v>TSA</v>
          </cell>
          <cell r="K1567">
            <v>1</v>
          </cell>
          <cell r="L1567">
            <v>481</v>
          </cell>
          <cell r="M1567">
            <v>60063775</v>
          </cell>
          <cell r="N1567">
            <v>38915</v>
          </cell>
          <cell r="P1567" t="str">
            <v>FN6717N1S207303</v>
          </cell>
          <cell r="Q1567" t="str">
            <v>สภาพปกติ</v>
          </cell>
        </row>
        <row r="1568">
          <cell r="A1568">
            <v>60065992</v>
          </cell>
          <cell r="B1568">
            <v>1567</v>
          </cell>
          <cell r="C1568" t="str">
            <v>CS01/7</v>
          </cell>
          <cell r="D1568" t="str">
            <v>SPCC-SD</v>
          </cell>
          <cell r="E1568" t="str">
            <v>AF1</v>
          </cell>
          <cell r="F1568">
            <v>1.6</v>
          </cell>
          <cell r="G1568">
            <v>112</v>
          </cell>
          <cell r="H1568" t="str">
            <v>C</v>
          </cell>
          <cell r="I1568" t="str">
            <v>A</v>
          </cell>
          <cell r="J1568" t="str">
            <v>TSA</v>
          </cell>
          <cell r="K1568">
            <v>1</v>
          </cell>
          <cell r="L1568">
            <v>232</v>
          </cell>
          <cell r="M1568">
            <v>60065992</v>
          </cell>
          <cell r="N1568">
            <v>38940</v>
          </cell>
          <cell r="O1568" t="str">
            <v>125A28SUD001</v>
          </cell>
          <cell r="P1568" t="str">
            <v>FN6811D1S287601</v>
          </cell>
          <cell r="Q1568" t="str">
            <v>สภาพปกติ</v>
          </cell>
        </row>
        <row r="1569">
          <cell r="A1569">
            <v>60065993</v>
          </cell>
          <cell r="B1569">
            <v>1568</v>
          </cell>
          <cell r="C1569" t="str">
            <v>CS01/7</v>
          </cell>
          <cell r="D1569" t="str">
            <v>SPCC-SD</v>
          </cell>
          <cell r="E1569" t="str">
            <v>AF1</v>
          </cell>
          <cell r="F1569">
            <v>1.6</v>
          </cell>
          <cell r="G1569">
            <v>112</v>
          </cell>
          <cell r="H1569" t="str">
            <v>C</v>
          </cell>
          <cell r="I1569" t="str">
            <v>A</v>
          </cell>
          <cell r="J1569" t="str">
            <v>TSA</v>
          </cell>
          <cell r="K1569">
            <v>1</v>
          </cell>
          <cell r="L1569">
            <v>232</v>
          </cell>
          <cell r="M1569">
            <v>60065993</v>
          </cell>
          <cell r="N1569">
            <v>38940</v>
          </cell>
          <cell r="O1569" t="str">
            <v>125A28SUD001</v>
          </cell>
          <cell r="P1569" t="str">
            <v>FN6811D1S287602</v>
          </cell>
          <cell r="Q1569" t="str">
            <v>สภาพปกติ</v>
          </cell>
        </row>
        <row r="1570">
          <cell r="A1570">
            <v>60066604</v>
          </cell>
          <cell r="B1570">
            <v>1569</v>
          </cell>
          <cell r="C1570" t="str">
            <v>CS01/7</v>
          </cell>
          <cell r="D1570" t="str">
            <v>SPCC-SD</v>
          </cell>
          <cell r="E1570" t="str">
            <v>AF1</v>
          </cell>
          <cell r="F1570">
            <v>1.6</v>
          </cell>
          <cell r="G1570">
            <v>112</v>
          </cell>
          <cell r="H1570" t="str">
            <v>C</v>
          </cell>
          <cell r="I1570" t="str">
            <v>A</v>
          </cell>
          <cell r="J1570" t="str">
            <v>TSA</v>
          </cell>
          <cell r="K1570">
            <v>1</v>
          </cell>
          <cell r="L1570">
            <v>136</v>
          </cell>
          <cell r="M1570">
            <v>60066604</v>
          </cell>
          <cell r="N1570">
            <v>38950</v>
          </cell>
          <cell r="P1570" t="str">
            <v>FN6821D2S307004</v>
          </cell>
          <cell r="Q1570" t="str">
            <v>สภาพปกติ</v>
          </cell>
        </row>
        <row r="1571">
          <cell r="A1571">
            <v>60066605</v>
          </cell>
          <cell r="B1571">
            <v>1570</v>
          </cell>
          <cell r="C1571" t="str">
            <v>CS01/7</v>
          </cell>
          <cell r="D1571" t="str">
            <v>SPCC-SD</v>
          </cell>
          <cell r="E1571" t="str">
            <v>AF1</v>
          </cell>
          <cell r="F1571">
            <v>1.6</v>
          </cell>
          <cell r="G1571">
            <v>112</v>
          </cell>
          <cell r="H1571" t="str">
            <v>C</v>
          </cell>
          <cell r="I1571" t="str">
            <v>A</v>
          </cell>
          <cell r="J1571" t="str">
            <v>TSA</v>
          </cell>
          <cell r="K1571">
            <v>1</v>
          </cell>
          <cell r="L1571">
            <v>136</v>
          </cell>
          <cell r="M1571">
            <v>60066605</v>
          </cell>
          <cell r="N1571">
            <v>38950</v>
          </cell>
          <cell r="P1571" t="str">
            <v>FN6821D2S307005</v>
          </cell>
          <cell r="Q1571" t="str">
            <v>สภาพปกติ</v>
          </cell>
        </row>
        <row r="1572">
          <cell r="A1572">
            <v>60058957</v>
          </cell>
          <cell r="B1572">
            <v>1571</v>
          </cell>
          <cell r="C1572" t="str">
            <v>CS01/7</v>
          </cell>
          <cell r="D1572" t="str">
            <v>SPCC-SD</v>
          </cell>
          <cell r="E1572" t="str">
            <v>AF1</v>
          </cell>
          <cell r="F1572">
            <v>1.6</v>
          </cell>
          <cell r="G1572">
            <v>232</v>
          </cell>
          <cell r="H1572" t="str">
            <v>C</v>
          </cell>
          <cell r="I1572" t="str">
            <v>A</v>
          </cell>
          <cell r="J1572" t="str">
            <v>TSA</v>
          </cell>
          <cell r="K1572">
            <v>1</v>
          </cell>
          <cell r="L1572">
            <v>253</v>
          </cell>
          <cell r="M1572">
            <v>60058957</v>
          </cell>
          <cell r="N1572">
            <v>38849</v>
          </cell>
          <cell r="P1572" t="str">
            <v>FN6512N1S005201</v>
          </cell>
          <cell r="Q1572" t="str">
            <v>สภาพปกติ</v>
          </cell>
        </row>
        <row r="1573">
          <cell r="A1573">
            <v>60048639</v>
          </cell>
          <cell r="B1573">
            <v>1572</v>
          </cell>
          <cell r="C1573" t="str">
            <v>CS01/7</v>
          </cell>
          <cell r="D1573" t="str">
            <v>SPCC-SD</v>
          </cell>
          <cell r="E1573" t="str">
            <v>AF1</v>
          </cell>
          <cell r="F1573">
            <v>2</v>
          </cell>
          <cell r="G1573">
            <v>68</v>
          </cell>
          <cell r="H1573" t="str">
            <v>C</v>
          </cell>
          <cell r="I1573" t="str">
            <v>A</v>
          </cell>
          <cell r="J1573" t="str">
            <v>TSA</v>
          </cell>
          <cell r="K1573">
            <v>1</v>
          </cell>
          <cell r="L1573">
            <v>349</v>
          </cell>
          <cell r="M1573">
            <v>60048639</v>
          </cell>
          <cell r="N1573" t="str">
            <v>26/C/2005</v>
          </cell>
          <cell r="P1573" t="str">
            <v>FN5C26N2S606201</v>
          </cell>
          <cell r="Q1573" t="str">
            <v>สภาพปกติ</v>
          </cell>
        </row>
        <row r="1574">
          <cell r="A1574">
            <v>60048640</v>
          </cell>
          <cell r="B1574">
            <v>1573</v>
          </cell>
          <cell r="C1574" t="str">
            <v>CS01/7</v>
          </cell>
          <cell r="D1574" t="str">
            <v>SPCC-SD</v>
          </cell>
          <cell r="E1574" t="str">
            <v>AF1</v>
          </cell>
          <cell r="F1574">
            <v>2</v>
          </cell>
          <cell r="G1574">
            <v>68</v>
          </cell>
          <cell r="H1574" t="str">
            <v>C</v>
          </cell>
          <cell r="I1574" t="str">
            <v>A</v>
          </cell>
          <cell r="J1574" t="str">
            <v>TSA</v>
          </cell>
          <cell r="K1574">
            <v>1</v>
          </cell>
          <cell r="L1574">
            <v>349</v>
          </cell>
          <cell r="M1574">
            <v>60048640</v>
          </cell>
          <cell r="N1574" t="str">
            <v>26/C/2005</v>
          </cell>
          <cell r="P1574" t="str">
            <v>FN5C26N2S606202</v>
          </cell>
          <cell r="Q1574" t="str">
            <v>สภาพปกติ</v>
          </cell>
        </row>
        <row r="1575">
          <cell r="A1575">
            <v>60052415</v>
          </cell>
          <cell r="B1575">
            <v>1574</v>
          </cell>
          <cell r="C1575" t="str">
            <v>CS01/7</v>
          </cell>
          <cell r="D1575" t="str">
            <v>SPCC-SD</v>
          </cell>
          <cell r="E1575" t="str">
            <v>AF1</v>
          </cell>
          <cell r="F1575">
            <v>2</v>
          </cell>
          <cell r="G1575">
            <v>80</v>
          </cell>
          <cell r="H1575" t="str">
            <v>C</v>
          </cell>
          <cell r="I1575" t="str">
            <v>A</v>
          </cell>
          <cell r="J1575" t="str">
            <v>TSA</v>
          </cell>
          <cell r="K1575">
            <v>1</v>
          </cell>
          <cell r="L1575">
            <v>284</v>
          </cell>
          <cell r="M1575">
            <v>60052415</v>
          </cell>
          <cell r="N1575">
            <v>38770</v>
          </cell>
          <cell r="P1575" t="str">
            <v>FN6222D1S745901</v>
          </cell>
          <cell r="Q1575" t="str">
            <v>แผ่นรองและสายรัดเป็นสนิม</v>
          </cell>
        </row>
        <row r="1576">
          <cell r="A1576">
            <v>60055940</v>
          </cell>
          <cell r="B1576">
            <v>1575</v>
          </cell>
          <cell r="C1576" t="str">
            <v>CS01/7</v>
          </cell>
          <cell r="D1576" t="str">
            <v>SPCC-SD</v>
          </cell>
          <cell r="E1576" t="str">
            <v>AF1</v>
          </cell>
          <cell r="F1576">
            <v>2.2999999999999998</v>
          </cell>
          <cell r="G1576">
            <v>49</v>
          </cell>
          <cell r="H1576" t="str">
            <v>C</v>
          </cell>
          <cell r="I1576" t="str">
            <v>A</v>
          </cell>
          <cell r="J1576" t="str">
            <v>TSA</v>
          </cell>
          <cell r="K1576">
            <v>1</v>
          </cell>
          <cell r="L1576">
            <v>184</v>
          </cell>
          <cell r="M1576">
            <v>60055940</v>
          </cell>
          <cell r="N1576">
            <v>38807</v>
          </cell>
          <cell r="P1576" t="str">
            <v>FN6331D2S993701</v>
          </cell>
          <cell r="Q1576" t="str">
            <v>สภาพปกติ</v>
          </cell>
        </row>
        <row r="1577">
          <cell r="A1577">
            <v>60046121</v>
          </cell>
          <cell r="B1577">
            <v>1576</v>
          </cell>
          <cell r="C1577" t="str">
            <v>CS01/7</v>
          </cell>
          <cell r="D1577" t="str">
            <v>SPCC-SD</v>
          </cell>
          <cell r="E1577" t="str">
            <v>AF1</v>
          </cell>
          <cell r="F1577">
            <v>2.2999999999999998</v>
          </cell>
          <cell r="G1577">
            <v>84</v>
          </cell>
          <cell r="H1577" t="str">
            <v>C</v>
          </cell>
          <cell r="I1577" t="str">
            <v>A</v>
          </cell>
          <cell r="J1577" t="str">
            <v>TSA</v>
          </cell>
          <cell r="K1577">
            <v>1</v>
          </cell>
          <cell r="L1577">
            <v>382</v>
          </cell>
          <cell r="M1577">
            <v>60046121</v>
          </cell>
          <cell r="N1577" t="str">
            <v>28/C/2005</v>
          </cell>
          <cell r="P1577" t="str">
            <v>FN5C28D1S505201</v>
          </cell>
          <cell r="Q1577" t="str">
            <v>แผ่นรองและสายรัดเป็นสนิม</v>
          </cell>
        </row>
        <row r="1578">
          <cell r="A1578">
            <v>60037908</v>
          </cell>
          <cell r="B1578">
            <v>1577</v>
          </cell>
          <cell r="C1578" t="str">
            <v>CS01/7</v>
          </cell>
          <cell r="D1578" t="str">
            <v>SPCC-SD</v>
          </cell>
          <cell r="E1578" t="str">
            <v>AF1</v>
          </cell>
          <cell r="F1578">
            <v>3</v>
          </cell>
          <cell r="G1578">
            <v>147</v>
          </cell>
          <cell r="H1578" t="str">
            <v>C</v>
          </cell>
          <cell r="I1578" t="str">
            <v>A</v>
          </cell>
          <cell r="J1578" t="str">
            <v>PSP</v>
          </cell>
          <cell r="K1578">
            <v>1</v>
          </cell>
          <cell r="L1578">
            <v>584</v>
          </cell>
          <cell r="M1578">
            <v>60037908</v>
          </cell>
          <cell r="N1578">
            <v>38553</v>
          </cell>
          <cell r="P1578" t="str">
            <v>FN5720D2S144601</v>
          </cell>
          <cell r="Q1578" t="str">
            <v>สภาพปกติ</v>
          </cell>
        </row>
        <row r="1579">
          <cell r="A1579">
            <v>60037913</v>
          </cell>
          <cell r="B1579">
            <v>1578</v>
          </cell>
          <cell r="C1579" t="str">
            <v>CS01/7</v>
          </cell>
          <cell r="D1579" t="str">
            <v>SPCC-SD</v>
          </cell>
          <cell r="E1579" t="str">
            <v>AF1</v>
          </cell>
          <cell r="F1579">
            <v>3</v>
          </cell>
          <cell r="G1579">
            <v>147</v>
          </cell>
          <cell r="H1579" t="str">
            <v>C</v>
          </cell>
          <cell r="I1579" t="str">
            <v>A</v>
          </cell>
          <cell r="J1579" t="str">
            <v>PSP</v>
          </cell>
          <cell r="K1579">
            <v>1</v>
          </cell>
          <cell r="L1579">
            <v>558</v>
          </cell>
          <cell r="M1579">
            <v>60037913</v>
          </cell>
          <cell r="N1579">
            <v>38553</v>
          </cell>
          <cell r="P1579" t="str">
            <v>FN5720D2S144602</v>
          </cell>
          <cell r="Q1579" t="str">
            <v>สภาพปกติ</v>
          </cell>
        </row>
        <row r="1580">
          <cell r="A1580">
            <v>60063053</v>
          </cell>
          <cell r="B1580">
            <v>1579</v>
          </cell>
          <cell r="C1580" t="str">
            <v>CS01/7</v>
          </cell>
          <cell r="D1580" t="str">
            <v>SPCC-SD</v>
          </cell>
          <cell r="E1580" t="str">
            <v>AF1</v>
          </cell>
          <cell r="F1580">
            <v>3.2</v>
          </cell>
          <cell r="G1580">
            <v>52</v>
          </cell>
          <cell r="H1580" t="str">
            <v>C</v>
          </cell>
          <cell r="I1580" t="str">
            <v>A</v>
          </cell>
          <cell r="J1580" t="str">
            <v>TSA</v>
          </cell>
          <cell r="K1580">
            <v>1</v>
          </cell>
          <cell r="L1580">
            <v>157</v>
          </cell>
          <cell r="M1580">
            <v>60063053</v>
          </cell>
          <cell r="N1580">
            <v>38928</v>
          </cell>
          <cell r="P1580" t="str">
            <v>FN6730N1S178201</v>
          </cell>
          <cell r="Q1580" t="str">
            <v>สภาพปกติ</v>
          </cell>
        </row>
        <row r="1581">
          <cell r="A1581">
            <v>60065768</v>
          </cell>
          <cell r="B1581">
            <v>1580</v>
          </cell>
          <cell r="C1581" t="str">
            <v>CS01/7</v>
          </cell>
          <cell r="D1581" t="str">
            <v>SPCC-SD</v>
          </cell>
          <cell r="E1581" t="str">
            <v>AF1</v>
          </cell>
          <cell r="F1581">
            <v>3.2</v>
          </cell>
          <cell r="G1581">
            <v>52</v>
          </cell>
          <cell r="H1581" t="str">
            <v>C</v>
          </cell>
          <cell r="I1581" t="str">
            <v>A</v>
          </cell>
          <cell r="J1581" t="str">
            <v>TSA</v>
          </cell>
          <cell r="K1581">
            <v>1</v>
          </cell>
          <cell r="L1581">
            <v>148</v>
          </cell>
          <cell r="M1581">
            <v>60065768</v>
          </cell>
          <cell r="N1581">
            <v>38937</v>
          </cell>
          <cell r="O1581" t="str">
            <v>126713TCD026</v>
          </cell>
          <cell r="P1581" t="str">
            <v>FN6808D2S277102</v>
          </cell>
          <cell r="Q1581" t="str">
            <v>สภาพปกติ</v>
          </cell>
        </row>
        <row r="1582">
          <cell r="A1582">
            <v>60065682</v>
          </cell>
          <cell r="B1582">
            <v>1581</v>
          </cell>
          <cell r="C1582" t="str">
            <v>CS01/7</v>
          </cell>
          <cell r="D1582" t="str">
            <v>SPCC-SD</v>
          </cell>
          <cell r="E1582" t="str">
            <v>AF1</v>
          </cell>
          <cell r="F1582">
            <v>3.2</v>
          </cell>
          <cell r="G1582">
            <v>66</v>
          </cell>
          <cell r="H1582" t="str">
            <v>C</v>
          </cell>
          <cell r="I1582" t="str">
            <v>A</v>
          </cell>
          <cell r="J1582" t="str">
            <v>TSA</v>
          </cell>
          <cell r="K1582">
            <v>1</v>
          </cell>
          <cell r="L1582">
            <v>333</v>
          </cell>
          <cell r="M1582">
            <v>60065682</v>
          </cell>
          <cell r="N1582">
            <v>38935</v>
          </cell>
          <cell r="P1582" t="str">
            <v>FN6806N2S277704</v>
          </cell>
          <cell r="Q1582" t="str">
            <v>สภาพปกติ</v>
          </cell>
        </row>
        <row r="1583">
          <cell r="A1583">
            <v>60065683</v>
          </cell>
          <cell r="B1583">
            <v>1582</v>
          </cell>
          <cell r="C1583" t="str">
            <v>CS01/7</v>
          </cell>
          <cell r="D1583" t="str">
            <v>SPCC-SD</v>
          </cell>
          <cell r="E1583" t="str">
            <v>AF1</v>
          </cell>
          <cell r="F1583">
            <v>3.2</v>
          </cell>
          <cell r="G1583">
            <v>66</v>
          </cell>
          <cell r="H1583" t="str">
            <v>C</v>
          </cell>
          <cell r="I1583" t="str">
            <v>A</v>
          </cell>
          <cell r="J1583" t="str">
            <v>TSA</v>
          </cell>
          <cell r="K1583">
            <v>1</v>
          </cell>
          <cell r="L1583">
            <v>333</v>
          </cell>
          <cell r="M1583">
            <v>60065683</v>
          </cell>
          <cell r="N1583">
            <v>38935</v>
          </cell>
          <cell r="P1583" t="str">
            <v>FN6806N2S277705</v>
          </cell>
          <cell r="Q1583" t="str">
            <v>สภาพปกติ</v>
          </cell>
        </row>
        <row r="1584">
          <cell r="A1584">
            <v>60065912</v>
          </cell>
          <cell r="B1584">
            <v>1583</v>
          </cell>
          <cell r="C1584" t="str">
            <v>CS01/7</v>
          </cell>
          <cell r="D1584" t="str">
            <v>SPCC-SD</v>
          </cell>
          <cell r="E1584" t="str">
            <v>AF1</v>
          </cell>
          <cell r="F1584">
            <v>3.2</v>
          </cell>
          <cell r="G1584">
            <v>66</v>
          </cell>
          <cell r="H1584" t="str">
            <v>C</v>
          </cell>
          <cell r="I1584" t="str">
            <v>A</v>
          </cell>
          <cell r="J1584" t="str">
            <v>TSA</v>
          </cell>
          <cell r="K1584">
            <v>1</v>
          </cell>
          <cell r="L1584">
            <v>213</v>
          </cell>
          <cell r="M1584">
            <v>60065912</v>
          </cell>
          <cell r="N1584">
            <v>38939</v>
          </cell>
          <cell r="O1584" t="str">
            <v>126713TCD025</v>
          </cell>
          <cell r="P1584" t="str">
            <v>FN6810N2S284901</v>
          </cell>
          <cell r="Q1584" t="str">
            <v>สภาพปกติ</v>
          </cell>
        </row>
        <row r="1585">
          <cell r="A1585">
            <v>60065913</v>
          </cell>
          <cell r="B1585">
            <v>1584</v>
          </cell>
          <cell r="C1585" t="str">
            <v>CS01/7</v>
          </cell>
          <cell r="D1585" t="str">
            <v>SPCC-SD</v>
          </cell>
          <cell r="E1585" t="str">
            <v>AF1</v>
          </cell>
          <cell r="F1585">
            <v>3.2</v>
          </cell>
          <cell r="G1585">
            <v>66</v>
          </cell>
          <cell r="H1585" t="str">
            <v>C</v>
          </cell>
          <cell r="I1585" t="str">
            <v>A</v>
          </cell>
          <cell r="J1585" t="str">
            <v>TSA</v>
          </cell>
          <cell r="K1585">
            <v>1</v>
          </cell>
          <cell r="L1585">
            <v>213</v>
          </cell>
          <cell r="M1585">
            <v>60065913</v>
          </cell>
          <cell r="N1585">
            <v>38939</v>
          </cell>
          <cell r="O1585" t="str">
            <v>126713TCD026</v>
          </cell>
          <cell r="P1585" t="str">
            <v>FN6810N2S284902</v>
          </cell>
          <cell r="Q1585" t="str">
            <v>สภาพปกติ</v>
          </cell>
        </row>
        <row r="1586">
          <cell r="A1586">
            <v>60065914</v>
          </cell>
          <cell r="B1586">
            <v>1585</v>
          </cell>
          <cell r="C1586" t="str">
            <v>CS01/7</v>
          </cell>
          <cell r="D1586" t="str">
            <v>SPCC-SD</v>
          </cell>
          <cell r="E1586" t="str">
            <v>AF1</v>
          </cell>
          <cell r="F1586">
            <v>3.2</v>
          </cell>
          <cell r="G1586">
            <v>66</v>
          </cell>
          <cell r="H1586" t="str">
            <v>C</v>
          </cell>
          <cell r="I1586" t="str">
            <v>A</v>
          </cell>
          <cell r="J1586" t="str">
            <v>TSA</v>
          </cell>
          <cell r="K1586">
            <v>1</v>
          </cell>
          <cell r="L1586">
            <v>213</v>
          </cell>
          <cell r="M1586">
            <v>60065914</v>
          </cell>
          <cell r="N1586">
            <v>38939</v>
          </cell>
          <cell r="O1586" t="str">
            <v>126713TCD027</v>
          </cell>
          <cell r="P1586" t="str">
            <v>FN6810N2S284903</v>
          </cell>
          <cell r="Q1586" t="str">
            <v>สภาพปกติ</v>
          </cell>
        </row>
        <row r="1587">
          <cell r="A1587">
            <v>60064518</v>
          </cell>
          <cell r="B1587">
            <v>1586</v>
          </cell>
          <cell r="C1587" t="str">
            <v>CS01/7</v>
          </cell>
          <cell r="D1587" t="str">
            <v>SPCC-SD</v>
          </cell>
          <cell r="E1587" t="str">
            <v>AF1</v>
          </cell>
          <cell r="F1587">
            <v>3.2</v>
          </cell>
          <cell r="G1587">
            <v>85</v>
          </cell>
          <cell r="H1587" t="str">
            <v>C</v>
          </cell>
          <cell r="I1587" t="str">
            <v>A</v>
          </cell>
          <cell r="J1587" t="str">
            <v>TSA</v>
          </cell>
          <cell r="K1587">
            <v>1</v>
          </cell>
          <cell r="L1587">
            <v>220</v>
          </cell>
          <cell r="M1587">
            <v>60064518</v>
          </cell>
          <cell r="N1587">
            <v>38927</v>
          </cell>
          <cell r="P1587" t="str">
            <v>FN6729N1S235501</v>
          </cell>
          <cell r="Q1587" t="str">
            <v>สภาพปกติ</v>
          </cell>
        </row>
        <row r="1588">
          <cell r="A1588">
            <v>60064519</v>
          </cell>
          <cell r="B1588">
            <v>1587</v>
          </cell>
          <cell r="C1588" t="str">
            <v>CS01/7</v>
          </cell>
          <cell r="D1588" t="str">
            <v>SPCC-SD</v>
          </cell>
          <cell r="E1588" t="str">
            <v>AF1</v>
          </cell>
          <cell r="F1588">
            <v>3.2</v>
          </cell>
          <cell r="G1588">
            <v>85</v>
          </cell>
          <cell r="H1588" t="str">
            <v>C</v>
          </cell>
          <cell r="I1588" t="str">
            <v>A</v>
          </cell>
          <cell r="J1588" t="str">
            <v>TSA</v>
          </cell>
          <cell r="K1588">
            <v>1</v>
          </cell>
          <cell r="L1588">
            <v>220</v>
          </cell>
          <cell r="M1588">
            <v>60064519</v>
          </cell>
          <cell r="N1588">
            <v>38927</v>
          </cell>
          <cell r="P1588" t="str">
            <v>FN6729N1S235502</v>
          </cell>
          <cell r="Q1588" t="str">
            <v>สภาพปกติ</v>
          </cell>
        </row>
        <row r="1589">
          <cell r="A1589">
            <v>60064520</v>
          </cell>
          <cell r="B1589">
            <v>1588</v>
          </cell>
          <cell r="C1589" t="str">
            <v>CS01/7</v>
          </cell>
          <cell r="D1589" t="str">
            <v>SPCC-SD</v>
          </cell>
          <cell r="E1589" t="str">
            <v>AF1</v>
          </cell>
          <cell r="F1589">
            <v>3.2</v>
          </cell>
          <cell r="G1589">
            <v>85</v>
          </cell>
          <cell r="H1589" t="str">
            <v>C</v>
          </cell>
          <cell r="I1589" t="str">
            <v>A</v>
          </cell>
          <cell r="J1589" t="str">
            <v>TSA</v>
          </cell>
          <cell r="K1589">
            <v>1</v>
          </cell>
          <cell r="L1589">
            <v>220</v>
          </cell>
          <cell r="M1589">
            <v>60064520</v>
          </cell>
          <cell r="N1589">
            <v>38927</v>
          </cell>
          <cell r="P1589" t="str">
            <v>FN6729N1S235503</v>
          </cell>
          <cell r="Q1589" t="str">
            <v>สภาพปกติ</v>
          </cell>
        </row>
        <row r="1590">
          <cell r="A1590">
            <v>60049844</v>
          </cell>
          <cell r="B1590">
            <v>1589</v>
          </cell>
          <cell r="C1590" t="str">
            <v>CS01/7</v>
          </cell>
          <cell r="D1590" t="str">
            <v>SPCEN-SD</v>
          </cell>
          <cell r="E1590" t="str">
            <v>AF3</v>
          </cell>
          <cell r="F1590">
            <v>0.8</v>
          </cell>
          <cell r="G1590">
            <v>85</v>
          </cell>
          <cell r="H1590" t="str">
            <v>C</v>
          </cell>
          <cell r="I1590" t="str">
            <v>A</v>
          </cell>
          <cell r="J1590" t="str">
            <v>TSA</v>
          </cell>
          <cell r="K1590">
            <v>1</v>
          </cell>
          <cell r="L1590">
            <v>101</v>
          </cell>
          <cell r="M1590">
            <v>60049844</v>
          </cell>
          <cell r="N1590">
            <v>38736</v>
          </cell>
          <cell r="P1590" t="str">
            <v>FN6119D1S647301</v>
          </cell>
          <cell r="Q1590" t="str">
            <v>แผ่นรองและสายรัดเป็นสนิม</v>
          </cell>
        </row>
        <row r="1591">
          <cell r="A1591">
            <v>60043867</v>
          </cell>
          <cell r="B1591">
            <v>1590</v>
          </cell>
          <cell r="C1591" t="str">
            <v>CS01/7</v>
          </cell>
          <cell r="D1591" t="str">
            <v>SPCEN-SD</v>
          </cell>
          <cell r="E1591" t="str">
            <v>AF3</v>
          </cell>
          <cell r="F1591">
            <v>0.8</v>
          </cell>
          <cell r="G1591">
            <v>114</v>
          </cell>
          <cell r="H1591" t="str">
            <v>C</v>
          </cell>
          <cell r="I1591" t="str">
            <v>A</v>
          </cell>
          <cell r="J1591" t="str">
            <v>TSA</v>
          </cell>
          <cell r="K1591">
            <v>1</v>
          </cell>
          <cell r="L1591">
            <v>686</v>
          </cell>
          <cell r="M1591">
            <v>60043867</v>
          </cell>
          <cell r="N1591" t="str">
            <v>5/B/2005</v>
          </cell>
          <cell r="P1591" t="str">
            <v>FN5B05N1S452201</v>
          </cell>
          <cell r="Q1591" t="str">
            <v>สภาพปกติ</v>
          </cell>
        </row>
        <row r="1592">
          <cell r="A1592">
            <v>60043868</v>
          </cell>
          <cell r="B1592">
            <v>1591</v>
          </cell>
          <cell r="C1592" t="str">
            <v>CS01/7</v>
          </cell>
          <cell r="D1592" t="str">
            <v>SPCEN-SD</v>
          </cell>
          <cell r="E1592" t="str">
            <v>AF3</v>
          </cell>
          <cell r="F1592">
            <v>0.8</v>
          </cell>
          <cell r="G1592">
            <v>114</v>
          </cell>
          <cell r="H1592" t="str">
            <v>C</v>
          </cell>
          <cell r="I1592" t="str">
            <v>A</v>
          </cell>
          <cell r="J1592" t="str">
            <v>TSA</v>
          </cell>
          <cell r="K1592">
            <v>1</v>
          </cell>
          <cell r="L1592">
            <v>688</v>
          </cell>
          <cell r="M1592">
            <v>60043868</v>
          </cell>
          <cell r="N1592" t="str">
            <v>5/B/2005</v>
          </cell>
          <cell r="P1592" t="str">
            <v>FN5B05N1S452202</v>
          </cell>
          <cell r="Q1592" t="str">
            <v>สภาพปกติ</v>
          </cell>
        </row>
        <row r="1593">
          <cell r="A1593">
            <v>60043869</v>
          </cell>
          <cell r="B1593">
            <v>1592</v>
          </cell>
          <cell r="C1593" t="str">
            <v>CS01/7</v>
          </cell>
          <cell r="D1593" t="str">
            <v>SPCEN-SD</v>
          </cell>
          <cell r="E1593" t="str">
            <v>AF3</v>
          </cell>
          <cell r="F1593">
            <v>0.8</v>
          </cell>
          <cell r="G1593">
            <v>114</v>
          </cell>
          <cell r="H1593" t="str">
            <v>C</v>
          </cell>
          <cell r="I1593" t="str">
            <v>A</v>
          </cell>
          <cell r="J1593" t="str">
            <v>TSA</v>
          </cell>
          <cell r="K1593">
            <v>1</v>
          </cell>
          <cell r="L1593">
            <v>687</v>
          </cell>
          <cell r="M1593">
            <v>60043869</v>
          </cell>
          <cell r="N1593" t="str">
            <v>5/B/2005</v>
          </cell>
          <cell r="P1593" t="str">
            <v>FN5B05N1S452203</v>
          </cell>
          <cell r="Q1593" t="str">
            <v>สภาพปกติ</v>
          </cell>
        </row>
        <row r="1594">
          <cell r="A1594">
            <v>60043870</v>
          </cell>
          <cell r="B1594">
            <v>1593</v>
          </cell>
          <cell r="C1594" t="str">
            <v>CS01/7</v>
          </cell>
          <cell r="D1594" t="str">
            <v>SPCEN-SD</v>
          </cell>
          <cell r="E1594" t="str">
            <v>AF3</v>
          </cell>
          <cell r="F1594">
            <v>0.8</v>
          </cell>
          <cell r="G1594">
            <v>114</v>
          </cell>
          <cell r="H1594" t="str">
            <v>C</v>
          </cell>
          <cell r="I1594" t="str">
            <v>A</v>
          </cell>
          <cell r="J1594" t="str">
            <v>TSA</v>
          </cell>
          <cell r="K1594">
            <v>1</v>
          </cell>
          <cell r="L1594">
            <v>687</v>
          </cell>
          <cell r="M1594">
            <v>60043870</v>
          </cell>
          <cell r="N1594" t="str">
            <v>5/B/2005</v>
          </cell>
          <cell r="P1594" t="str">
            <v>FN5B05N1S452204</v>
          </cell>
          <cell r="Q1594" t="str">
            <v>สภาพปกติ</v>
          </cell>
        </row>
        <row r="1595">
          <cell r="A1595">
            <v>60049689</v>
          </cell>
          <cell r="B1595">
            <v>1594</v>
          </cell>
          <cell r="C1595" t="str">
            <v>CS01/7</v>
          </cell>
          <cell r="D1595" t="str">
            <v>SPCEN-SD</v>
          </cell>
          <cell r="E1595" t="str">
            <v>AF3</v>
          </cell>
          <cell r="F1595">
            <v>0.8</v>
          </cell>
          <cell r="G1595">
            <v>114</v>
          </cell>
          <cell r="H1595" t="str">
            <v>C</v>
          </cell>
          <cell r="I1595" t="str">
            <v>A</v>
          </cell>
          <cell r="J1595" t="str">
            <v>TSA</v>
          </cell>
          <cell r="K1595">
            <v>1</v>
          </cell>
          <cell r="L1595">
            <v>190</v>
          </cell>
          <cell r="M1595">
            <v>60049689</v>
          </cell>
          <cell r="N1595">
            <v>38735</v>
          </cell>
          <cell r="P1595" t="str">
            <v>FN6118N1S654501</v>
          </cell>
          <cell r="Q1595" t="str">
            <v>แผ่นรองและสายรัดเป็นสนิม</v>
          </cell>
        </row>
        <row r="1596">
          <cell r="A1596">
            <v>60059555</v>
          </cell>
          <cell r="B1596">
            <v>1595</v>
          </cell>
          <cell r="C1596" t="str">
            <v>CS01/7</v>
          </cell>
          <cell r="D1596" t="str">
            <v>SPCEN-SD</v>
          </cell>
          <cell r="E1596" t="str">
            <v>AF3</v>
          </cell>
          <cell r="F1596">
            <v>0.9</v>
          </cell>
          <cell r="G1596">
            <v>100</v>
          </cell>
          <cell r="H1596" t="str">
            <v>C</v>
          </cell>
          <cell r="I1596" t="str">
            <v>A</v>
          </cell>
          <cell r="J1596" t="str">
            <v>TSA</v>
          </cell>
          <cell r="K1596">
            <v>1</v>
          </cell>
          <cell r="L1596">
            <v>192</v>
          </cell>
          <cell r="M1596">
            <v>60059555</v>
          </cell>
          <cell r="N1596">
            <v>38857</v>
          </cell>
          <cell r="P1596" t="str">
            <v>FN6520D1S030201</v>
          </cell>
          <cell r="Q1596" t="str">
            <v>แผ่นรองและสายรัดเป็นสนิม</v>
          </cell>
        </row>
        <row r="1597">
          <cell r="A1597">
            <v>60040090</v>
          </cell>
          <cell r="B1597">
            <v>1596</v>
          </cell>
          <cell r="C1597" t="str">
            <v>CS01/7</v>
          </cell>
          <cell r="D1597" t="str">
            <v>SPCEN-SD</v>
          </cell>
          <cell r="E1597" t="str">
            <v>AF3</v>
          </cell>
          <cell r="F1597">
            <v>1</v>
          </cell>
          <cell r="G1597">
            <v>90</v>
          </cell>
          <cell r="H1597" t="str">
            <v>C</v>
          </cell>
          <cell r="I1597" t="str">
            <v>A</v>
          </cell>
          <cell r="J1597" t="str">
            <v>TSA</v>
          </cell>
          <cell r="K1597">
            <v>1</v>
          </cell>
          <cell r="L1597">
            <v>562</v>
          </cell>
          <cell r="M1597">
            <v>60040090</v>
          </cell>
          <cell r="N1597">
            <v>38601</v>
          </cell>
          <cell r="P1597" t="str">
            <v>FN5906N1S274701</v>
          </cell>
          <cell r="Q1597" t="str">
            <v>สภาพปกติ</v>
          </cell>
        </row>
        <row r="1598">
          <cell r="A1598">
            <v>60057878</v>
          </cell>
          <cell r="B1598">
            <v>1597</v>
          </cell>
          <cell r="C1598" t="str">
            <v>CS01/7</v>
          </cell>
          <cell r="D1598" t="str">
            <v>SPHC P/O</v>
          </cell>
          <cell r="E1598" t="str">
            <v>CA1</v>
          </cell>
          <cell r="F1598">
            <v>1.2</v>
          </cell>
          <cell r="G1598">
            <v>114</v>
          </cell>
          <cell r="H1598" t="str">
            <v>C</v>
          </cell>
          <cell r="I1598" t="str">
            <v>A</v>
          </cell>
          <cell r="J1598" t="str">
            <v>TSA</v>
          </cell>
          <cell r="K1598">
            <v>1</v>
          </cell>
          <cell r="L1598">
            <v>222</v>
          </cell>
          <cell r="M1598">
            <v>60057878</v>
          </cell>
          <cell r="N1598">
            <v>38836</v>
          </cell>
          <cell r="P1598" t="str">
            <v>FN6429N1S966701</v>
          </cell>
          <cell r="Q1598" t="str">
            <v>สภาพปกติ</v>
          </cell>
        </row>
        <row r="1599">
          <cell r="A1599">
            <v>60058202</v>
          </cell>
          <cell r="B1599">
            <v>1598</v>
          </cell>
          <cell r="C1599" t="str">
            <v>CS01/7</v>
          </cell>
          <cell r="D1599" t="str">
            <v>SPHC P/O</v>
          </cell>
          <cell r="E1599" t="str">
            <v>CA1</v>
          </cell>
          <cell r="F1599">
            <v>2</v>
          </cell>
          <cell r="G1599">
            <v>48</v>
          </cell>
          <cell r="H1599" t="str">
            <v>C</v>
          </cell>
          <cell r="I1599" t="str">
            <v>A</v>
          </cell>
          <cell r="J1599" t="str">
            <v>TSA</v>
          </cell>
          <cell r="K1599">
            <v>1</v>
          </cell>
          <cell r="L1599">
            <v>84</v>
          </cell>
          <cell r="M1599">
            <v>60058202</v>
          </cell>
          <cell r="N1599">
            <v>38840</v>
          </cell>
          <cell r="P1599" t="str">
            <v>FN6503N2S957601</v>
          </cell>
          <cell r="Q1599" t="str">
            <v>สภาพปกติ</v>
          </cell>
        </row>
        <row r="1600">
          <cell r="A1600">
            <v>60058203</v>
          </cell>
          <cell r="B1600">
            <v>1599</v>
          </cell>
          <cell r="C1600" t="str">
            <v>CS01/7</v>
          </cell>
          <cell r="D1600" t="str">
            <v>SPHC P/O</v>
          </cell>
          <cell r="E1600" t="str">
            <v>CA1</v>
          </cell>
          <cell r="F1600">
            <v>2</v>
          </cell>
          <cell r="G1600">
            <v>48</v>
          </cell>
          <cell r="H1600" t="str">
            <v>C</v>
          </cell>
          <cell r="I1600" t="str">
            <v>A</v>
          </cell>
          <cell r="J1600" t="str">
            <v>TSA</v>
          </cell>
          <cell r="K1600">
            <v>1</v>
          </cell>
          <cell r="L1600">
            <v>84</v>
          </cell>
          <cell r="M1600">
            <v>60058203</v>
          </cell>
          <cell r="N1600">
            <v>38840</v>
          </cell>
          <cell r="P1600" t="str">
            <v>FN6503N2S957602</v>
          </cell>
          <cell r="Q1600" t="str">
            <v>สภาพปกติ</v>
          </cell>
        </row>
        <row r="1601">
          <cell r="A1601">
            <v>60060581</v>
          </cell>
          <cell r="B1601">
            <v>1600</v>
          </cell>
          <cell r="C1601" t="str">
            <v>CS01/7</v>
          </cell>
          <cell r="D1601" t="str">
            <v>SPHC P/O</v>
          </cell>
          <cell r="E1601" t="str">
            <v>CA1</v>
          </cell>
          <cell r="F1601">
            <v>2.2999999999999998</v>
          </cell>
          <cell r="G1601">
            <v>42</v>
          </cell>
          <cell r="H1601" t="str">
            <v>C</v>
          </cell>
          <cell r="I1601" t="str">
            <v>A</v>
          </cell>
          <cell r="J1601" t="str">
            <v>TSA</v>
          </cell>
          <cell r="K1601">
            <v>1</v>
          </cell>
          <cell r="L1601">
            <v>106</v>
          </cell>
          <cell r="M1601">
            <v>60060581</v>
          </cell>
          <cell r="N1601">
            <v>38898</v>
          </cell>
          <cell r="P1601" t="str">
            <v>FN6630D2S046401</v>
          </cell>
          <cell r="Q1601" t="str">
            <v>แผ่นรองและสายรัดเป็นสนิม</v>
          </cell>
        </row>
        <row r="1602">
          <cell r="A1602">
            <v>60048997</v>
          </cell>
          <cell r="B1602">
            <v>1601</v>
          </cell>
          <cell r="C1602" t="str">
            <v>CS01/7</v>
          </cell>
          <cell r="D1602" t="str">
            <v>SPHC P/O</v>
          </cell>
          <cell r="E1602" t="str">
            <v>CA1</v>
          </cell>
          <cell r="F1602">
            <v>2.2999999999999998</v>
          </cell>
          <cell r="G1602">
            <v>133</v>
          </cell>
          <cell r="H1602" t="str">
            <v>C</v>
          </cell>
          <cell r="I1602" t="str">
            <v>A</v>
          </cell>
          <cell r="J1602" t="str">
            <v>TSA</v>
          </cell>
          <cell r="K1602">
            <v>1</v>
          </cell>
          <cell r="L1602">
            <v>509</v>
          </cell>
          <cell r="M1602">
            <v>60048997</v>
          </cell>
          <cell r="N1602">
            <v>38723</v>
          </cell>
          <cell r="P1602" t="str">
            <v>FN6106N2S596201</v>
          </cell>
          <cell r="Q1602" t="str">
            <v>สภาพปกติ</v>
          </cell>
        </row>
        <row r="1603">
          <cell r="A1603">
            <v>60048998</v>
          </cell>
          <cell r="B1603">
            <v>1602</v>
          </cell>
          <cell r="C1603" t="str">
            <v>CS01/7</v>
          </cell>
          <cell r="D1603" t="str">
            <v>SPHC P/O</v>
          </cell>
          <cell r="E1603" t="str">
            <v>CA1</v>
          </cell>
          <cell r="F1603">
            <v>2.2999999999999998</v>
          </cell>
          <cell r="G1603">
            <v>133</v>
          </cell>
          <cell r="H1603" t="str">
            <v>C</v>
          </cell>
          <cell r="I1603" t="str">
            <v>A</v>
          </cell>
          <cell r="J1603" t="str">
            <v>TSA</v>
          </cell>
          <cell r="K1603">
            <v>1</v>
          </cell>
          <cell r="L1603">
            <v>509</v>
          </cell>
          <cell r="M1603">
            <v>60048998</v>
          </cell>
          <cell r="N1603">
            <v>38723</v>
          </cell>
          <cell r="P1603" t="str">
            <v>FN6106N2S596202</v>
          </cell>
          <cell r="Q1603" t="str">
            <v>สภาพปกติ</v>
          </cell>
        </row>
        <row r="1604">
          <cell r="A1604">
            <v>60049001</v>
          </cell>
          <cell r="B1604">
            <v>1603</v>
          </cell>
          <cell r="C1604" t="str">
            <v>CS01/7</v>
          </cell>
          <cell r="D1604" t="str">
            <v>SPHC P/O</v>
          </cell>
          <cell r="E1604" t="str">
            <v>CA1</v>
          </cell>
          <cell r="F1604">
            <v>2.2999999999999998</v>
          </cell>
          <cell r="G1604">
            <v>133</v>
          </cell>
          <cell r="H1604" t="str">
            <v>C</v>
          </cell>
          <cell r="I1604" t="str">
            <v>A</v>
          </cell>
          <cell r="J1604" t="str">
            <v>TSA</v>
          </cell>
          <cell r="K1604">
            <v>1</v>
          </cell>
          <cell r="L1604">
            <v>503</v>
          </cell>
          <cell r="M1604">
            <v>60049001</v>
          </cell>
          <cell r="N1604">
            <v>38723</v>
          </cell>
          <cell r="P1604" t="str">
            <v>FN6106N2S596203</v>
          </cell>
          <cell r="Q1604" t="str">
            <v>สภาพปกติ</v>
          </cell>
        </row>
        <row r="1605">
          <cell r="A1605">
            <v>60049002</v>
          </cell>
          <cell r="B1605">
            <v>1604</v>
          </cell>
          <cell r="C1605" t="str">
            <v>CS01/7</v>
          </cell>
          <cell r="D1605" t="str">
            <v>SPHC P/O</v>
          </cell>
          <cell r="E1605" t="str">
            <v>CA1</v>
          </cell>
          <cell r="F1605">
            <v>2.2999999999999998</v>
          </cell>
          <cell r="G1605">
            <v>133</v>
          </cell>
          <cell r="H1605" t="str">
            <v>C</v>
          </cell>
          <cell r="I1605" t="str">
            <v>A</v>
          </cell>
          <cell r="J1605" t="str">
            <v>TSA</v>
          </cell>
          <cell r="K1605">
            <v>1</v>
          </cell>
          <cell r="L1605">
            <v>503</v>
          </cell>
          <cell r="M1605">
            <v>60049002</v>
          </cell>
          <cell r="N1605">
            <v>38723</v>
          </cell>
          <cell r="P1605" t="str">
            <v>FN6106N2S596204</v>
          </cell>
          <cell r="Q1605" t="str">
            <v>สภาพปกติ</v>
          </cell>
        </row>
        <row r="1606">
          <cell r="A1606">
            <v>60049005</v>
          </cell>
          <cell r="B1606">
            <v>1605</v>
          </cell>
          <cell r="C1606" t="str">
            <v>CS01/7</v>
          </cell>
          <cell r="D1606" t="str">
            <v>SPHC P/O</v>
          </cell>
          <cell r="E1606" t="str">
            <v>CA1</v>
          </cell>
          <cell r="F1606">
            <v>2.2999999999999998</v>
          </cell>
          <cell r="G1606">
            <v>133</v>
          </cell>
          <cell r="H1606" t="str">
            <v>C</v>
          </cell>
          <cell r="I1606" t="str">
            <v>A</v>
          </cell>
          <cell r="J1606" t="str">
            <v>TSA</v>
          </cell>
          <cell r="K1606">
            <v>1</v>
          </cell>
          <cell r="L1606">
            <v>265</v>
          </cell>
          <cell r="M1606">
            <v>60049005</v>
          </cell>
          <cell r="N1606">
            <v>38723</v>
          </cell>
          <cell r="P1606" t="str">
            <v>FN6106N2S596405</v>
          </cell>
          <cell r="Q1606" t="str">
            <v>สภาพปกติ</v>
          </cell>
        </row>
        <row r="1607">
          <cell r="A1607">
            <v>60049006</v>
          </cell>
          <cell r="B1607">
            <v>1606</v>
          </cell>
          <cell r="C1607" t="str">
            <v>CS01/7</v>
          </cell>
          <cell r="D1607" t="str">
            <v>SPHC P/O</v>
          </cell>
          <cell r="E1607" t="str">
            <v>CA1</v>
          </cell>
          <cell r="F1607">
            <v>2.2999999999999998</v>
          </cell>
          <cell r="G1607">
            <v>133</v>
          </cell>
          <cell r="H1607" t="str">
            <v>C</v>
          </cell>
          <cell r="I1607" t="str">
            <v>A</v>
          </cell>
          <cell r="J1607" t="str">
            <v>TSA</v>
          </cell>
          <cell r="K1607">
            <v>1</v>
          </cell>
          <cell r="L1607">
            <v>265</v>
          </cell>
          <cell r="M1607">
            <v>60049006</v>
          </cell>
          <cell r="N1607">
            <v>38723</v>
          </cell>
          <cell r="P1607" t="str">
            <v>FN6106N2S596406</v>
          </cell>
          <cell r="Q1607" t="str">
            <v>สภาพปกติ</v>
          </cell>
        </row>
        <row r="1608">
          <cell r="A1608">
            <v>60063408</v>
          </cell>
          <cell r="B1608">
            <v>1607</v>
          </cell>
          <cell r="C1608" t="str">
            <v>CS01/7</v>
          </cell>
          <cell r="D1608" t="str">
            <v>SPHC P/O</v>
          </cell>
          <cell r="E1608" t="str">
            <v>CA1</v>
          </cell>
          <cell r="F1608">
            <v>2.2999999999999998</v>
          </cell>
          <cell r="G1608">
            <v>290</v>
          </cell>
          <cell r="H1608" t="str">
            <v>C</v>
          </cell>
          <cell r="I1608" t="str">
            <v>A</v>
          </cell>
          <cell r="J1608" t="str">
            <v>TSA</v>
          </cell>
          <cell r="K1608">
            <v>1</v>
          </cell>
          <cell r="L1608">
            <v>428</v>
          </cell>
          <cell r="M1608">
            <v>60063408</v>
          </cell>
          <cell r="N1608">
            <v>38916</v>
          </cell>
          <cell r="P1608" t="str">
            <v>FN6718D2S187501</v>
          </cell>
          <cell r="Q1608" t="str">
            <v>สภาพปกติ</v>
          </cell>
        </row>
        <row r="1609">
          <cell r="A1609">
            <v>60034097</v>
          </cell>
          <cell r="B1609">
            <v>1608</v>
          </cell>
          <cell r="C1609" t="str">
            <v>CS01/7</v>
          </cell>
          <cell r="D1609" t="str">
            <v>SPHC P/O</v>
          </cell>
          <cell r="E1609" t="str">
            <v>CA1</v>
          </cell>
          <cell r="F1609">
            <v>3</v>
          </cell>
          <cell r="G1609">
            <v>120</v>
          </cell>
          <cell r="H1609" t="str">
            <v>C</v>
          </cell>
          <cell r="I1609" t="str">
            <v>A</v>
          </cell>
          <cell r="J1609" t="str">
            <v>FLIE</v>
          </cell>
          <cell r="K1609">
            <v>1</v>
          </cell>
          <cell r="L1609">
            <v>339</v>
          </cell>
          <cell r="M1609">
            <v>60034097</v>
          </cell>
          <cell r="N1609">
            <v>38492</v>
          </cell>
          <cell r="P1609" t="str">
            <v>FN5520D2S969001</v>
          </cell>
          <cell r="Q1609" t="str">
            <v>สภาพปกติ</v>
          </cell>
        </row>
        <row r="1610">
          <cell r="A1610">
            <v>60065969</v>
          </cell>
          <cell r="B1610">
            <v>1609</v>
          </cell>
          <cell r="C1610" t="str">
            <v>CS01/7</v>
          </cell>
          <cell r="D1610" t="str">
            <v>SPHC-DS</v>
          </cell>
          <cell r="E1610" t="str">
            <v>DS1</v>
          </cell>
          <cell r="F1610">
            <v>1.6</v>
          </cell>
          <cell r="G1610">
            <v>102</v>
          </cell>
          <cell r="H1610" t="str">
            <v>C</v>
          </cell>
          <cell r="I1610" t="str">
            <v>A</v>
          </cell>
          <cell r="J1610" t="str">
            <v>TSA</v>
          </cell>
          <cell r="K1610">
            <v>1</v>
          </cell>
          <cell r="L1610">
            <v>171</v>
          </cell>
          <cell r="M1610">
            <v>60065969</v>
          </cell>
          <cell r="N1610">
            <v>38939</v>
          </cell>
          <cell r="P1610" t="str">
            <v>FN6810N1S287501</v>
          </cell>
          <cell r="Q1610" t="str">
            <v>สภาพปกติ</v>
          </cell>
        </row>
        <row r="1611">
          <cell r="A1611">
            <v>60063705</v>
          </cell>
          <cell r="B1611">
            <v>1610</v>
          </cell>
          <cell r="C1611" t="str">
            <v>CS01/7</v>
          </cell>
          <cell r="D1611" t="str">
            <v>SPHC-DS</v>
          </cell>
          <cell r="E1611" t="str">
            <v>DS1</v>
          </cell>
          <cell r="F1611">
            <v>2.6</v>
          </cell>
          <cell r="G1611">
            <v>68</v>
          </cell>
          <cell r="H1611" t="str">
            <v>C</v>
          </cell>
          <cell r="I1611" t="str">
            <v>A</v>
          </cell>
          <cell r="J1611" t="str">
            <v>TSA</v>
          </cell>
          <cell r="K1611">
            <v>1</v>
          </cell>
          <cell r="L1611">
            <v>137</v>
          </cell>
          <cell r="M1611">
            <v>60063705</v>
          </cell>
          <cell r="N1611">
            <v>38914</v>
          </cell>
          <cell r="P1611" t="str">
            <v>FN6716N2S206701</v>
          </cell>
          <cell r="Q1611" t="str">
            <v>สภาพปกติ</v>
          </cell>
        </row>
        <row r="1612">
          <cell r="A1612">
            <v>60063706</v>
          </cell>
          <cell r="B1612">
            <v>1611</v>
          </cell>
          <cell r="C1612" t="str">
            <v>CS01/7</v>
          </cell>
          <cell r="D1612" t="str">
            <v>SPHC-DS</v>
          </cell>
          <cell r="E1612" t="str">
            <v>DS1</v>
          </cell>
          <cell r="F1612">
            <v>2.6</v>
          </cell>
          <cell r="G1612">
            <v>68</v>
          </cell>
          <cell r="H1612" t="str">
            <v>C</v>
          </cell>
          <cell r="I1612" t="str">
            <v>A</v>
          </cell>
          <cell r="J1612" t="str">
            <v>TSA</v>
          </cell>
          <cell r="K1612">
            <v>1</v>
          </cell>
          <cell r="L1612">
            <v>137</v>
          </cell>
          <cell r="M1612">
            <v>60063706</v>
          </cell>
          <cell r="N1612">
            <v>38914</v>
          </cell>
          <cell r="P1612" t="str">
            <v>FN6716N2S206702</v>
          </cell>
          <cell r="Q1612" t="str">
            <v>สภาพปกติ</v>
          </cell>
        </row>
        <row r="1613">
          <cell r="A1613">
            <v>60063707</v>
          </cell>
          <cell r="B1613">
            <v>1612</v>
          </cell>
          <cell r="C1613" t="str">
            <v>CS01/7</v>
          </cell>
          <cell r="D1613" t="str">
            <v>SPHC-DS</v>
          </cell>
          <cell r="E1613" t="str">
            <v>DS1</v>
          </cell>
          <cell r="F1613">
            <v>2.6</v>
          </cell>
          <cell r="G1613">
            <v>68</v>
          </cell>
          <cell r="H1613" t="str">
            <v>C</v>
          </cell>
          <cell r="I1613" t="str">
            <v>A</v>
          </cell>
          <cell r="J1613" t="str">
            <v>TSA</v>
          </cell>
          <cell r="K1613">
            <v>1</v>
          </cell>
          <cell r="L1613">
            <v>137</v>
          </cell>
          <cell r="M1613">
            <v>60063707</v>
          </cell>
          <cell r="N1613">
            <v>38914</v>
          </cell>
          <cell r="P1613" t="str">
            <v>FN6716N2S206703</v>
          </cell>
          <cell r="Q1613" t="str">
            <v>สภาพปกติ</v>
          </cell>
        </row>
        <row r="1614">
          <cell r="A1614">
            <v>60063708</v>
          </cell>
          <cell r="B1614">
            <v>1613</v>
          </cell>
          <cell r="C1614" t="str">
            <v>CS01/7</v>
          </cell>
          <cell r="D1614" t="str">
            <v>SPHC-DS</v>
          </cell>
          <cell r="E1614" t="str">
            <v>DS1</v>
          </cell>
          <cell r="F1614">
            <v>2.6</v>
          </cell>
          <cell r="G1614">
            <v>68</v>
          </cell>
          <cell r="H1614" t="str">
            <v>C</v>
          </cell>
          <cell r="I1614" t="str">
            <v>A</v>
          </cell>
          <cell r="J1614" t="str">
            <v>TSA</v>
          </cell>
          <cell r="K1614">
            <v>1</v>
          </cell>
          <cell r="L1614">
            <v>137</v>
          </cell>
          <cell r="M1614">
            <v>60063708</v>
          </cell>
          <cell r="N1614">
            <v>38914</v>
          </cell>
          <cell r="P1614" t="str">
            <v>FN6716N2S206704</v>
          </cell>
          <cell r="Q1614" t="str">
            <v>สภาพปกติ</v>
          </cell>
        </row>
        <row r="1615">
          <cell r="A1615">
            <v>60066032</v>
          </cell>
          <cell r="B1615">
            <v>1614</v>
          </cell>
          <cell r="C1615" t="str">
            <v>CS01/7</v>
          </cell>
          <cell r="D1615" t="str">
            <v>SPHC-DS</v>
          </cell>
          <cell r="E1615" t="str">
            <v>DS1</v>
          </cell>
          <cell r="F1615">
            <v>3.2</v>
          </cell>
          <cell r="G1615">
            <v>103</v>
          </cell>
          <cell r="H1615" t="str">
            <v>C</v>
          </cell>
          <cell r="I1615" t="str">
            <v>A</v>
          </cell>
          <cell r="J1615" t="str">
            <v>TSA</v>
          </cell>
          <cell r="K1615">
            <v>1</v>
          </cell>
          <cell r="L1615">
            <v>372</v>
          </cell>
          <cell r="M1615">
            <v>60066032</v>
          </cell>
          <cell r="N1615">
            <v>38941</v>
          </cell>
          <cell r="P1615" t="str">
            <v>FN6812N2S290301</v>
          </cell>
          <cell r="Q1615" t="str">
            <v>สภาพปกติ</v>
          </cell>
        </row>
        <row r="1616">
          <cell r="A1616">
            <v>60065249</v>
          </cell>
          <cell r="B1616">
            <v>1615</v>
          </cell>
          <cell r="C1616" t="str">
            <v>CS01/7</v>
          </cell>
          <cell r="D1616" t="str">
            <v>SPHC-DS</v>
          </cell>
          <cell r="E1616" t="str">
            <v>DS1</v>
          </cell>
          <cell r="F1616">
            <v>3.2</v>
          </cell>
          <cell r="G1616">
            <v>113</v>
          </cell>
          <cell r="H1616" t="str">
            <v>C</v>
          </cell>
          <cell r="I1616" t="str">
            <v>A</v>
          </cell>
          <cell r="J1616" t="str">
            <v>TSA</v>
          </cell>
          <cell r="K1616">
            <v>1</v>
          </cell>
          <cell r="L1616">
            <v>501</v>
          </cell>
          <cell r="M1616">
            <v>60065249</v>
          </cell>
          <cell r="N1616">
            <v>38931</v>
          </cell>
          <cell r="P1616" t="str">
            <v>FN6802D2S260101</v>
          </cell>
          <cell r="Q1616" t="str">
            <v>สภาพปกติ</v>
          </cell>
        </row>
        <row r="1617">
          <cell r="A1617">
            <v>60065247</v>
          </cell>
          <cell r="B1617">
            <v>1616</v>
          </cell>
          <cell r="C1617" t="str">
            <v>CS01/7</v>
          </cell>
          <cell r="D1617" t="str">
            <v>SPHC-DS</v>
          </cell>
          <cell r="E1617" t="str">
            <v>DS1</v>
          </cell>
          <cell r="F1617">
            <v>3.2</v>
          </cell>
          <cell r="G1617">
            <v>143</v>
          </cell>
          <cell r="H1617" t="str">
            <v>C</v>
          </cell>
          <cell r="I1617" t="str">
            <v>A</v>
          </cell>
          <cell r="J1617" t="str">
            <v>TSA</v>
          </cell>
          <cell r="K1617">
            <v>1</v>
          </cell>
          <cell r="L1617">
            <v>637</v>
          </cell>
          <cell r="M1617">
            <v>60065247</v>
          </cell>
          <cell r="N1617">
            <v>38931</v>
          </cell>
          <cell r="P1617" t="str">
            <v>FN6802D2S260101</v>
          </cell>
          <cell r="Q1617" t="str">
            <v>สภาพปกติ</v>
          </cell>
        </row>
        <row r="1618">
          <cell r="A1618">
            <v>60066031</v>
          </cell>
          <cell r="B1618">
            <v>1617</v>
          </cell>
          <cell r="C1618" t="str">
            <v>CS01/7</v>
          </cell>
          <cell r="D1618" t="str">
            <v>SPHC-DS</v>
          </cell>
          <cell r="E1618" t="str">
            <v>DS1</v>
          </cell>
          <cell r="F1618">
            <v>3.2</v>
          </cell>
          <cell r="G1618">
            <v>143</v>
          </cell>
          <cell r="H1618" t="str">
            <v>C</v>
          </cell>
          <cell r="I1618" t="str">
            <v>A</v>
          </cell>
          <cell r="J1618" t="str">
            <v>TSA</v>
          </cell>
          <cell r="K1618">
            <v>1</v>
          </cell>
          <cell r="L1618">
            <v>518</v>
          </cell>
          <cell r="M1618">
            <v>60066031</v>
          </cell>
          <cell r="N1618">
            <v>38941</v>
          </cell>
          <cell r="P1618" t="str">
            <v>FN6812N2S290307</v>
          </cell>
          <cell r="Q1618" t="str">
            <v>สภาพปกติ</v>
          </cell>
        </row>
        <row r="1619">
          <cell r="A1619">
            <v>60057303</v>
          </cell>
          <cell r="B1619">
            <v>1618</v>
          </cell>
          <cell r="C1619" t="str">
            <v>CS01/8</v>
          </cell>
          <cell r="D1619" t="str">
            <v>SPCC-SD</v>
          </cell>
          <cell r="E1619" t="str">
            <v>AF1</v>
          </cell>
          <cell r="F1619">
            <v>0.6</v>
          </cell>
          <cell r="G1619">
            <v>52</v>
          </cell>
          <cell r="H1619" t="str">
            <v>C</v>
          </cell>
          <cell r="I1619" t="str">
            <v>A</v>
          </cell>
          <cell r="J1619" t="str">
            <v>SAB</v>
          </cell>
          <cell r="K1619">
            <v>1</v>
          </cell>
          <cell r="L1619">
            <v>416</v>
          </cell>
          <cell r="M1619">
            <v>60057303</v>
          </cell>
          <cell r="N1619">
            <v>38832</v>
          </cell>
          <cell r="P1619" t="str">
            <v>FN6425N1S957101</v>
          </cell>
          <cell r="Q1619" t="str">
            <v>สภาพปกติ</v>
          </cell>
        </row>
        <row r="1620">
          <cell r="A1620">
            <v>60057325</v>
          </cell>
          <cell r="B1620">
            <v>1619</v>
          </cell>
          <cell r="C1620" t="str">
            <v>CS01/8</v>
          </cell>
          <cell r="D1620" t="str">
            <v>SPCC-SD</v>
          </cell>
          <cell r="E1620" t="str">
            <v>AF1</v>
          </cell>
          <cell r="F1620">
            <v>0.6</v>
          </cell>
          <cell r="G1620">
            <v>52</v>
          </cell>
          <cell r="H1620" t="str">
            <v>C</v>
          </cell>
          <cell r="I1620" t="str">
            <v>A</v>
          </cell>
          <cell r="J1620" t="str">
            <v>SAB</v>
          </cell>
          <cell r="K1620">
            <v>1</v>
          </cell>
          <cell r="L1620">
            <v>284</v>
          </cell>
          <cell r="M1620">
            <v>60057325</v>
          </cell>
          <cell r="N1620">
            <v>38832</v>
          </cell>
          <cell r="P1620" t="str">
            <v>FN6425D1S956801</v>
          </cell>
          <cell r="Q1620" t="str">
            <v>แผ่นรองและสายรัดเป็นสนิม</v>
          </cell>
        </row>
        <row r="1621">
          <cell r="A1621">
            <v>60057329</v>
          </cell>
          <cell r="B1621">
            <v>1620</v>
          </cell>
          <cell r="C1621" t="str">
            <v>CS01/8</v>
          </cell>
          <cell r="D1621" t="str">
            <v>SPCC-SD</v>
          </cell>
          <cell r="E1621" t="str">
            <v>AF1</v>
          </cell>
          <cell r="F1621">
            <v>0.6</v>
          </cell>
          <cell r="G1621">
            <v>52</v>
          </cell>
          <cell r="H1621" t="str">
            <v>C</v>
          </cell>
          <cell r="I1621" t="str">
            <v>A</v>
          </cell>
          <cell r="J1621" t="str">
            <v>SAB</v>
          </cell>
          <cell r="K1621">
            <v>1</v>
          </cell>
          <cell r="L1621">
            <v>303</v>
          </cell>
          <cell r="M1621">
            <v>60057329</v>
          </cell>
          <cell r="N1621">
            <v>38832</v>
          </cell>
          <cell r="P1621" t="str">
            <v>FN6425D1S956601</v>
          </cell>
          <cell r="Q1621" t="str">
            <v>แผ่นรองและสายรัดเป็นสนิม</v>
          </cell>
        </row>
        <row r="1622">
          <cell r="A1622">
            <v>60057335</v>
          </cell>
          <cell r="B1622">
            <v>1621</v>
          </cell>
          <cell r="C1622" t="str">
            <v>CS01/8</v>
          </cell>
          <cell r="D1622" t="str">
            <v>SPCC-SD</v>
          </cell>
          <cell r="E1622" t="str">
            <v>AF1</v>
          </cell>
          <cell r="F1622">
            <v>0.6</v>
          </cell>
          <cell r="G1622">
            <v>52</v>
          </cell>
          <cell r="H1622" t="str">
            <v>C</v>
          </cell>
          <cell r="I1622" t="str">
            <v>A</v>
          </cell>
          <cell r="J1622" t="str">
            <v>SAB</v>
          </cell>
          <cell r="K1622">
            <v>1</v>
          </cell>
          <cell r="L1622">
            <v>310</v>
          </cell>
          <cell r="M1622">
            <v>60057335</v>
          </cell>
          <cell r="N1622">
            <v>38832</v>
          </cell>
          <cell r="P1622" t="str">
            <v>FN6425D1S956602</v>
          </cell>
          <cell r="Q1622" t="str">
            <v>แผ่นรองและสายรัดเป็นสนิม</v>
          </cell>
        </row>
        <row r="1623">
          <cell r="A1623">
            <v>60057342</v>
          </cell>
          <cell r="B1623">
            <v>1622</v>
          </cell>
          <cell r="C1623" t="str">
            <v>CS01/8</v>
          </cell>
          <cell r="D1623" t="str">
            <v>SPCC-SD</v>
          </cell>
          <cell r="E1623" t="str">
            <v>AF1</v>
          </cell>
          <cell r="F1623">
            <v>0.6</v>
          </cell>
          <cell r="G1623">
            <v>52</v>
          </cell>
          <cell r="H1623" t="str">
            <v>C</v>
          </cell>
          <cell r="I1623" t="str">
            <v>A</v>
          </cell>
          <cell r="J1623" t="str">
            <v>SAB</v>
          </cell>
          <cell r="K1623">
            <v>1</v>
          </cell>
          <cell r="L1623">
            <v>210</v>
          </cell>
          <cell r="M1623">
            <v>60057342</v>
          </cell>
          <cell r="N1623">
            <v>38832</v>
          </cell>
          <cell r="P1623" t="str">
            <v>FN6425D1S956603</v>
          </cell>
          <cell r="Q1623" t="str">
            <v>แผ่นรองและสายรัดเป็นสนิม</v>
          </cell>
        </row>
        <row r="1624">
          <cell r="A1624">
            <v>60043358</v>
          </cell>
          <cell r="B1624">
            <v>1623</v>
          </cell>
          <cell r="C1624" t="str">
            <v>CS01/8</v>
          </cell>
          <cell r="D1624" t="str">
            <v>SPCC-SD</v>
          </cell>
          <cell r="E1624" t="str">
            <v>AF1</v>
          </cell>
          <cell r="F1624">
            <v>0.6</v>
          </cell>
          <cell r="G1624">
            <v>83</v>
          </cell>
          <cell r="H1624" t="str">
            <v>C</v>
          </cell>
          <cell r="I1624" t="str">
            <v>A</v>
          </cell>
          <cell r="J1624" t="str">
            <v>SAB</v>
          </cell>
          <cell r="K1624">
            <v>1</v>
          </cell>
          <cell r="L1624">
            <v>462</v>
          </cell>
          <cell r="M1624">
            <v>60043358</v>
          </cell>
          <cell r="N1624" t="str">
            <v>29/A/2005</v>
          </cell>
          <cell r="P1624" t="str">
            <v>FN5A29N1S386301</v>
          </cell>
          <cell r="Q1624" t="str">
            <v>แผ่นรองและสายรัดเป็นสนิม</v>
          </cell>
        </row>
        <row r="1625">
          <cell r="A1625">
            <v>60054034</v>
          </cell>
          <cell r="B1625">
            <v>1624</v>
          </cell>
          <cell r="C1625" t="str">
            <v>CS01/8</v>
          </cell>
          <cell r="D1625" t="str">
            <v>SPCC-SD</v>
          </cell>
          <cell r="E1625" t="str">
            <v>AF1</v>
          </cell>
          <cell r="F1625">
            <v>0.6</v>
          </cell>
          <cell r="G1625">
            <v>84</v>
          </cell>
          <cell r="H1625" t="str">
            <v>C</v>
          </cell>
          <cell r="I1625" t="str">
            <v>A</v>
          </cell>
          <cell r="J1625" t="str">
            <v>SAB</v>
          </cell>
          <cell r="K1625">
            <v>1</v>
          </cell>
          <cell r="L1625">
            <v>682</v>
          </cell>
          <cell r="M1625">
            <v>60054034</v>
          </cell>
          <cell r="N1625">
            <v>38787</v>
          </cell>
          <cell r="P1625" t="str">
            <v>FN6311D1S824901</v>
          </cell>
          <cell r="Q1625" t="str">
            <v>แผ่นรองและสายรัดเป็นสนิม</v>
          </cell>
        </row>
        <row r="1626">
          <cell r="A1626">
            <v>60054035</v>
          </cell>
          <cell r="B1626">
            <v>1625</v>
          </cell>
          <cell r="C1626" t="str">
            <v>CS01/8</v>
          </cell>
          <cell r="D1626" t="str">
            <v>SPCC-SD</v>
          </cell>
          <cell r="E1626" t="str">
            <v>AF1</v>
          </cell>
          <cell r="F1626">
            <v>0.6</v>
          </cell>
          <cell r="G1626">
            <v>84</v>
          </cell>
          <cell r="H1626" t="str">
            <v>C</v>
          </cell>
          <cell r="I1626" t="str">
            <v>A</v>
          </cell>
          <cell r="J1626" t="str">
            <v>SAB</v>
          </cell>
          <cell r="K1626">
            <v>1</v>
          </cell>
          <cell r="L1626">
            <v>682</v>
          </cell>
          <cell r="M1626">
            <v>60054035</v>
          </cell>
          <cell r="N1626">
            <v>38787</v>
          </cell>
          <cell r="P1626" t="str">
            <v>FN6311D1S824902</v>
          </cell>
          <cell r="Q1626" t="str">
            <v>แผ่นรองและสายรัดเป็นสนิม</v>
          </cell>
        </row>
        <row r="1627">
          <cell r="A1627">
            <v>60054039</v>
          </cell>
          <cell r="B1627">
            <v>1626</v>
          </cell>
          <cell r="C1627" t="str">
            <v>CS01/8</v>
          </cell>
          <cell r="D1627" t="str">
            <v>SPCC-SD</v>
          </cell>
          <cell r="E1627" t="str">
            <v>AF1</v>
          </cell>
          <cell r="F1627">
            <v>0.6</v>
          </cell>
          <cell r="G1627">
            <v>84</v>
          </cell>
          <cell r="H1627" t="str">
            <v>C</v>
          </cell>
          <cell r="I1627" t="str">
            <v>A</v>
          </cell>
          <cell r="J1627" t="str">
            <v>SAB</v>
          </cell>
          <cell r="K1627">
            <v>1</v>
          </cell>
          <cell r="L1627">
            <v>665</v>
          </cell>
          <cell r="M1627">
            <v>60054039</v>
          </cell>
          <cell r="N1627">
            <v>38787</v>
          </cell>
          <cell r="P1627" t="str">
            <v>FN6311D1S824903</v>
          </cell>
          <cell r="Q1627" t="str">
            <v>แผ่นรองและสายรัดเป็นสนิม</v>
          </cell>
        </row>
        <row r="1628">
          <cell r="A1628">
            <v>60054040</v>
          </cell>
          <cell r="B1628">
            <v>1627</v>
          </cell>
          <cell r="C1628" t="str">
            <v>CS01/8</v>
          </cell>
          <cell r="D1628" t="str">
            <v>SPCC-SD</v>
          </cell>
          <cell r="E1628" t="str">
            <v>AF1</v>
          </cell>
          <cell r="F1628">
            <v>0.6</v>
          </cell>
          <cell r="G1628">
            <v>84</v>
          </cell>
          <cell r="H1628" t="str">
            <v>C</v>
          </cell>
          <cell r="I1628" t="str">
            <v>A</v>
          </cell>
          <cell r="J1628" t="str">
            <v>SAB</v>
          </cell>
          <cell r="K1628">
            <v>1</v>
          </cell>
          <cell r="L1628">
            <v>665</v>
          </cell>
          <cell r="M1628">
            <v>60054040</v>
          </cell>
          <cell r="N1628">
            <v>38787</v>
          </cell>
          <cell r="P1628" t="str">
            <v>FN6311D1S824904</v>
          </cell>
          <cell r="Q1628" t="str">
            <v>แผ่นรองและสายรัดเป็นสนิม</v>
          </cell>
        </row>
        <row r="1629">
          <cell r="A1629">
            <v>60054247</v>
          </cell>
          <cell r="B1629">
            <v>1628</v>
          </cell>
          <cell r="C1629" t="str">
            <v>CS01/8</v>
          </cell>
          <cell r="D1629" t="str">
            <v>SPCC-SD</v>
          </cell>
          <cell r="E1629" t="str">
            <v>AF1</v>
          </cell>
          <cell r="F1629">
            <v>0.6</v>
          </cell>
          <cell r="G1629">
            <v>84</v>
          </cell>
          <cell r="H1629" t="str">
            <v>C</v>
          </cell>
          <cell r="I1629" t="str">
            <v>A</v>
          </cell>
          <cell r="J1629" t="str">
            <v>SAB</v>
          </cell>
          <cell r="K1629">
            <v>1</v>
          </cell>
          <cell r="L1629">
            <v>673</v>
          </cell>
          <cell r="M1629">
            <v>60054247</v>
          </cell>
          <cell r="N1629">
            <v>38788</v>
          </cell>
          <cell r="P1629" t="str">
            <v>FN6312D1S825101</v>
          </cell>
          <cell r="Q1629" t="str">
            <v>แผ่นรองและสายรัดเป็นสนิม</v>
          </cell>
        </row>
        <row r="1630">
          <cell r="A1630">
            <v>60054248</v>
          </cell>
          <cell r="B1630">
            <v>1629</v>
          </cell>
          <cell r="C1630" t="str">
            <v>CS01/8</v>
          </cell>
          <cell r="D1630" t="str">
            <v>SPCC-SD</v>
          </cell>
          <cell r="E1630" t="str">
            <v>AF1</v>
          </cell>
          <cell r="F1630">
            <v>0.6</v>
          </cell>
          <cell r="G1630">
            <v>84</v>
          </cell>
          <cell r="H1630" t="str">
            <v>C</v>
          </cell>
          <cell r="I1630" t="str">
            <v>A</v>
          </cell>
          <cell r="J1630" t="str">
            <v>SAB</v>
          </cell>
          <cell r="K1630">
            <v>1</v>
          </cell>
          <cell r="L1630">
            <v>673</v>
          </cell>
          <cell r="M1630">
            <v>60054248</v>
          </cell>
          <cell r="N1630">
            <v>38788</v>
          </cell>
          <cell r="P1630" t="str">
            <v>FN6312D1S825102</v>
          </cell>
          <cell r="Q1630" t="str">
            <v>แผ่นรองและสายรัดเป็นสนิม</v>
          </cell>
        </row>
        <row r="1631">
          <cell r="A1631">
            <v>60054254</v>
          </cell>
          <cell r="B1631">
            <v>1630</v>
          </cell>
          <cell r="C1631" t="str">
            <v>CS01/8</v>
          </cell>
          <cell r="D1631" t="str">
            <v>SPCC-SD</v>
          </cell>
          <cell r="E1631" t="str">
            <v>AF1</v>
          </cell>
          <cell r="F1631">
            <v>0.6</v>
          </cell>
          <cell r="G1631">
            <v>84</v>
          </cell>
          <cell r="H1631" t="str">
            <v>C</v>
          </cell>
          <cell r="I1631" t="str">
            <v>A</v>
          </cell>
          <cell r="J1631" t="str">
            <v>SAB</v>
          </cell>
          <cell r="K1631">
            <v>1</v>
          </cell>
          <cell r="L1631">
            <v>668</v>
          </cell>
          <cell r="M1631">
            <v>60054254</v>
          </cell>
          <cell r="N1631">
            <v>38788</v>
          </cell>
          <cell r="P1631" t="str">
            <v>FN6312D1S825103</v>
          </cell>
          <cell r="Q1631" t="str">
            <v>แผ่นรองและสายรัดเป็นสนิม</v>
          </cell>
        </row>
        <row r="1632">
          <cell r="A1632">
            <v>60054255</v>
          </cell>
          <cell r="B1632">
            <v>1631</v>
          </cell>
          <cell r="C1632" t="str">
            <v>CS01/8</v>
          </cell>
          <cell r="D1632" t="str">
            <v>SPCC-SD</v>
          </cell>
          <cell r="E1632" t="str">
            <v>AF1</v>
          </cell>
          <cell r="F1632">
            <v>0.6</v>
          </cell>
          <cell r="G1632">
            <v>84</v>
          </cell>
          <cell r="H1632" t="str">
            <v>C</v>
          </cell>
          <cell r="I1632" t="str">
            <v>A</v>
          </cell>
          <cell r="J1632" t="str">
            <v>SAB</v>
          </cell>
          <cell r="K1632">
            <v>1</v>
          </cell>
          <cell r="L1632">
            <v>668</v>
          </cell>
          <cell r="M1632">
            <v>60054255</v>
          </cell>
          <cell r="N1632">
            <v>38788</v>
          </cell>
          <cell r="P1632" t="str">
            <v>FN6312D1S825104</v>
          </cell>
          <cell r="Q1632" t="str">
            <v>แผ่นรองและสายรัดเป็นสนิม</v>
          </cell>
        </row>
        <row r="1633">
          <cell r="A1633">
            <v>60066006</v>
          </cell>
          <cell r="B1633">
            <v>1632</v>
          </cell>
          <cell r="C1633" t="str">
            <v>CS01/8</v>
          </cell>
          <cell r="D1633" t="str">
            <v>SPCC-SD</v>
          </cell>
          <cell r="E1633" t="str">
            <v>AF1</v>
          </cell>
          <cell r="F1633">
            <v>1</v>
          </cell>
          <cell r="G1633">
            <v>94</v>
          </cell>
          <cell r="H1633" t="str">
            <v>C</v>
          </cell>
          <cell r="I1633" t="str">
            <v>A</v>
          </cell>
          <cell r="J1633" t="str">
            <v>SAB</v>
          </cell>
          <cell r="K1633">
            <v>1</v>
          </cell>
          <cell r="L1633">
            <v>337</v>
          </cell>
          <cell r="M1633">
            <v>60066006</v>
          </cell>
          <cell r="N1633">
            <v>38940</v>
          </cell>
          <cell r="P1633" t="str">
            <v>FN6811D1S260701</v>
          </cell>
          <cell r="Q1633" t="str">
            <v>สภาพปกติ</v>
          </cell>
        </row>
        <row r="1634">
          <cell r="A1634">
            <v>60061127</v>
          </cell>
          <cell r="B1634">
            <v>1633</v>
          </cell>
          <cell r="C1634" t="str">
            <v>CS01/8</v>
          </cell>
          <cell r="D1634" t="str">
            <v>SPCC-SD</v>
          </cell>
          <cell r="E1634" t="str">
            <v>AF1</v>
          </cell>
          <cell r="F1634">
            <v>1.2</v>
          </cell>
          <cell r="G1634">
            <v>166</v>
          </cell>
          <cell r="H1634" t="str">
            <v>C</v>
          </cell>
          <cell r="I1634" t="str">
            <v>A</v>
          </cell>
          <cell r="J1634" t="str">
            <v>SAB</v>
          </cell>
          <cell r="K1634">
            <v>1</v>
          </cell>
          <cell r="L1634">
            <v>708</v>
          </cell>
          <cell r="M1634">
            <v>60061127</v>
          </cell>
          <cell r="N1634">
            <v>38874</v>
          </cell>
          <cell r="P1634" t="str">
            <v>FN6606D1S087401</v>
          </cell>
          <cell r="Q1634" t="str">
            <v>แผ่นรองและสายรัดเป็นสนิม</v>
          </cell>
        </row>
        <row r="1635">
          <cell r="A1635">
            <v>60063380</v>
          </cell>
          <cell r="B1635">
            <v>1634</v>
          </cell>
          <cell r="C1635" t="str">
            <v>CS01/8</v>
          </cell>
          <cell r="D1635" t="str">
            <v>SPCC-SD</v>
          </cell>
          <cell r="E1635" t="str">
            <v>AF1</v>
          </cell>
          <cell r="F1635">
            <v>1.4</v>
          </cell>
          <cell r="G1635">
            <v>46.5</v>
          </cell>
          <cell r="H1635" t="str">
            <v>C</v>
          </cell>
          <cell r="I1635" t="str">
            <v>A</v>
          </cell>
          <cell r="J1635" t="str">
            <v>SAB</v>
          </cell>
          <cell r="K1635">
            <v>1</v>
          </cell>
          <cell r="L1635">
            <v>114</v>
          </cell>
          <cell r="M1635">
            <v>60063380</v>
          </cell>
          <cell r="N1635">
            <v>38910</v>
          </cell>
          <cell r="P1635" t="str">
            <v>FN6712D1S192201</v>
          </cell>
          <cell r="Q1635" t="str">
            <v>แผ่นรองและสายรัดเป็นสนิม</v>
          </cell>
        </row>
        <row r="1636">
          <cell r="A1636">
            <v>60057930</v>
          </cell>
          <cell r="B1636">
            <v>1635</v>
          </cell>
          <cell r="C1636" t="str">
            <v>CS01/8</v>
          </cell>
          <cell r="D1636" t="str">
            <v>SPCC-SD</v>
          </cell>
          <cell r="E1636" t="str">
            <v>AF1</v>
          </cell>
          <cell r="F1636">
            <v>1.6</v>
          </cell>
          <cell r="G1636">
            <v>37</v>
          </cell>
          <cell r="H1636" t="str">
            <v>C</v>
          </cell>
          <cell r="I1636" t="str">
            <v>A</v>
          </cell>
          <cell r="J1636" t="str">
            <v>SAB</v>
          </cell>
          <cell r="K1636">
            <v>1</v>
          </cell>
          <cell r="L1636">
            <v>90</v>
          </cell>
          <cell r="M1636">
            <v>60057930</v>
          </cell>
          <cell r="N1636">
            <v>38839</v>
          </cell>
          <cell r="P1636" t="str">
            <v>FN6502D2S963701</v>
          </cell>
          <cell r="Q1636" t="str">
            <v>แผ่นรองและสายรัดเป็นสนิม</v>
          </cell>
        </row>
        <row r="1637">
          <cell r="A1637">
            <v>60066513</v>
          </cell>
          <cell r="B1637">
            <v>1636</v>
          </cell>
          <cell r="C1637" t="str">
            <v>CS01/8</v>
          </cell>
          <cell r="D1637" t="str">
            <v>SPCC-SD</v>
          </cell>
          <cell r="E1637" t="str">
            <v>AF1</v>
          </cell>
          <cell r="F1637">
            <v>1.6</v>
          </cell>
          <cell r="G1637">
            <v>39</v>
          </cell>
          <cell r="H1637" t="str">
            <v>C</v>
          </cell>
          <cell r="I1637" t="str">
            <v>A</v>
          </cell>
          <cell r="J1637" t="str">
            <v>SAB</v>
          </cell>
          <cell r="K1637">
            <v>1</v>
          </cell>
          <cell r="L1637">
            <v>128</v>
          </cell>
          <cell r="M1637">
            <v>60066513</v>
          </cell>
          <cell r="N1637">
            <v>38948</v>
          </cell>
          <cell r="P1637" t="str">
            <v>FN6819N2S306701</v>
          </cell>
          <cell r="Q1637" t="str">
            <v>สภาพปกติ</v>
          </cell>
        </row>
        <row r="1638">
          <cell r="A1638">
            <v>60066518</v>
          </cell>
          <cell r="B1638">
            <v>1637</v>
          </cell>
          <cell r="C1638" t="str">
            <v>CS01/8</v>
          </cell>
          <cell r="D1638" t="str">
            <v>SPCC-SD</v>
          </cell>
          <cell r="E1638" t="str">
            <v>AF1</v>
          </cell>
          <cell r="F1638">
            <v>1.6</v>
          </cell>
          <cell r="G1638">
            <v>39</v>
          </cell>
          <cell r="H1638" t="str">
            <v>C</v>
          </cell>
          <cell r="I1638" t="str">
            <v>A</v>
          </cell>
          <cell r="J1638" t="str">
            <v>SAB</v>
          </cell>
          <cell r="K1638">
            <v>1</v>
          </cell>
          <cell r="L1638">
            <v>128</v>
          </cell>
          <cell r="M1638">
            <v>60066518</v>
          </cell>
          <cell r="N1638">
            <v>38948</v>
          </cell>
          <cell r="P1638" t="str">
            <v>FN6819N2S306702</v>
          </cell>
          <cell r="Q1638" t="str">
            <v>สภาพปกติ</v>
          </cell>
        </row>
        <row r="1639">
          <cell r="A1639">
            <v>60063227</v>
          </cell>
          <cell r="B1639">
            <v>1638</v>
          </cell>
          <cell r="C1639" t="str">
            <v>CS01/8</v>
          </cell>
          <cell r="D1639" t="str">
            <v>SPCC-SD</v>
          </cell>
          <cell r="E1639" t="str">
            <v>AF1</v>
          </cell>
          <cell r="F1639">
            <v>1.6</v>
          </cell>
          <cell r="G1639">
            <v>49</v>
          </cell>
          <cell r="H1639" t="str">
            <v>C</v>
          </cell>
          <cell r="I1639" t="str">
            <v>A</v>
          </cell>
          <cell r="J1639" t="str">
            <v>SAB</v>
          </cell>
          <cell r="K1639">
            <v>1</v>
          </cell>
          <cell r="L1639">
            <v>404</v>
          </cell>
          <cell r="M1639">
            <v>60063227</v>
          </cell>
          <cell r="N1639">
            <v>38905</v>
          </cell>
          <cell r="P1639" t="str">
            <v>FN6707D2S184301</v>
          </cell>
          <cell r="Q1639" t="str">
            <v>แผ่นรองและสายรัดเป็นสนิม</v>
          </cell>
        </row>
        <row r="1640">
          <cell r="A1640">
            <v>60061168</v>
          </cell>
          <cell r="B1640">
            <v>1639</v>
          </cell>
          <cell r="C1640" t="str">
            <v>CS01/8</v>
          </cell>
          <cell r="D1640" t="str">
            <v>SPCC-SD</v>
          </cell>
          <cell r="E1640" t="str">
            <v>AF1</v>
          </cell>
          <cell r="F1640">
            <v>1.6</v>
          </cell>
          <cell r="G1640">
            <v>82</v>
          </cell>
          <cell r="H1640" t="str">
            <v>C</v>
          </cell>
          <cell r="I1640" t="str">
            <v>A</v>
          </cell>
          <cell r="J1640" t="str">
            <v>SAB</v>
          </cell>
          <cell r="K1640">
            <v>1</v>
          </cell>
          <cell r="L1640">
            <v>531</v>
          </cell>
          <cell r="M1640">
            <v>60061168</v>
          </cell>
          <cell r="N1640">
            <v>38875</v>
          </cell>
          <cell r="P1640" t="str">
            <v>FN6607D1S087101</v>
          </cell>
          <cell r="Q1640" t="str">
            <v>แผ่นรองและสายรัดเป็นสนิม</v>
          </cell>
        </row>
        <row r="1641">
          <cell r="A1641">
            <v>60061169</v>
          </cell>
          <cell r="B1641">
            <v>1640</v>
          </cell>
          <cell r="C1641" t="str">
            <v>CS01/8</v>
          </cell>
          <cell r="D1641" t="str">
            <v>SPCC-SD</v>
          </cell>
          <cell r="E1641" t="str">
            <v>AF1</v>
          </cell>
          <cell r="F1641">
            <v>1.6</v>
          </cell>
          <cell r="G1641">
            <v>82</v>
          </cell>
          <cell r="H1641" t="str">
            <v>C</v>
          </cell>
          <cell r="I1641" t="str">
            <v>A</v>
          </cell>
          <cell r="J1641" t="str">
            <v>SAB</v>
          </cell>
          <cell r="K1641">
            <v>1</v>
          </cell>
          <cell r="L1641">
            <v>531</v>
          </cell>
          <cell r="M1641">
            <v>60061169</v>
          </cell>
          <cell r="N1641">
            <v>38875</v>
          </cell>
          <cell r="P1641" t="str">
            <v>FN6607D1S087102</v>
          </cell>
          <cell r="Q1641" t="str">
            <v>แผ่นรองและสายรัดเป็นสนิม</v>
          </cell>
        </row>
        <row r="1642">
          <cell r="A1642">
            <v>60064015</v>
          </cell>
          <cell r="B1642">
            <v>1641</v>
          </cell>
          <cell r="C1642" t="str">
            <v>CS01/8</v>
          </cell>
          <cell r="D1642" t="str">
            <v>SPCC-SD</v>
          </cell>
          <cell r="E1642" t="str">
            <v>AF1</v>
          </cell>
          <cell r="F1642">
            <v>1.6</v>
          </cell>
          <cell r="G1642">
            <v>82</v>
          </cell>
          <cell r="H1642" t="str">
            <v>C</v>
          </cell>
          <cell r="I1642" t="str">
            <v>A</v>
          </cell>
          <cell r="J1642" t="str">
            <v>SAB</v>
          </cell>
          <cell r="K1642">
            <v>1</v>
          </cell>
          <cell r="L1642">
            <v>404</v>
          </cell>
          <cell r="M1642">
            <v>60064015</v>
          </cell>
          <cell r="N1642">
            <v>38918</v>
          </cell>
          <cell r="P1642" t="str">
            <v>FN6720N1S223101</v>
          </cell>
          <cell r="Q1642" t="str">
            <v>แผ่นรองและสายรัดเป็นสนิม</v>
          </cell>
        </row>
        <row r="1643">
          <cell r="A1643">
            <v>60066512</v>
          </cell>
          <cell r="B1643">
            <v>1642</v>
          </cell>
          <cell r="C1643" t="str">
            <v>CS01/8</v>
          </cell>
          <cell r="D1643" t="str">
            <v>SPCC-SD</v>
          </cell>
          <cell r="E1643" t="str">
            <v>AF1</v>
          </cell>
          <cell r="F1643">
            <v>1.6</v>
          </cell>
          <cell r="G1643">
            <v>82</v>
          </cell>
          <cell r="H1643" t="str">
            <v>C</v>
          </cell>
          <cell r="I1643" t="str">
            <v>A</v>
          </cell>
          <cell r="J1643" t="str">
            <v>SAB</v>
          </cell>
          <cell r="K1643">
            <v>1</v>
          </cell>
          <cell r="L1643">
            <v>274</v>
          </cell>
          <cell r="M1643">
            <v>60066512</v>
          </cell>
          <cell r="N1643">
            <v>38948</v>
          </cell>
          <cell r="P1643" t="str">
            <v>FN6819N2S306701</v>
          </cell>
          <cell r="Q1643" t="str">
            <v>สภาพปกติ</v>
          </cell>
        </row>
        <row r="1644">
          <cell r="A1644">
            <v>60066517</v>
          </cell>
          <cell r="B1644">
            <v>1643</v>
          </cell>
          <cell r="C1644" t="str">
            <v>CS01/8</v>
          </cell>
          <cell r="D1644" t="str">
            <v>SPCC-SD</v>
          </cell>
          <cell r="E1644" t="str">
            <v>AF1</v>
          </cell>
          <cell r="F1644">
            <v>1.6</v>
          </cell>
          <cell r="G1644">
            <v>82</v>
          </cell>
          <cell r="H1644" t="str">
            <v>C</v>
          </cell>
          <cell r="I1644" t="str">
            <v>A</v>
          </cell>
          <cell r="J1644" t="str">
            <v>SAB</v>
          </cell>
          <cell r="K1644">
            <v>1</v>
          </cell>
          <cell r="L1644">
            <v>270</v>
          </cell>
          <cell r="M1644">
            <v>60066517</v>
          </cell>
          <cell r="N1644">
            <v>38948</v>
          </cell>
          <cell r="P1644" t="str">
            <v>FN6819N2S306702</v>
          </cell>
          <cell r="Q1644" t="str">
            <v>สภาพปกติ</v>
          </cell>
        </row>
        <row r="1645">
          <cell r="A1645">
            <v>60061486</v>
          </cell>
          <cell r="B1645">
            <v>1644</v>
          </cell>
          <cell r="C1645" t="str">
            <v>CS01/8</v>
          </cell>
          <cell r="D1645" t="str">
            <v>SPCC-SD</v>
          </cell>
          <cell r="E1645" t="str">
            <v>AF1</v>
          </cell>
          <cell r="F1645">
            <v>1.6</v>
          </cell>
          <cell r="G1645">
            <v>232.8</v>
          </cell>
          <cell r="H1645" t="str">
            <v>C</v>
          </cell>
          <cell r="I1645" t="str">
            <v>A</v>
          </cell>
          <cell r="J1645" t="str">
            <v>SAB</v>
          </cell>
          <cell r="K1645">
            <v>1</v>
          </cell>
          <cell r="L1645">
            <v>1052</v>
          </cell>
          <cell r="M1645">
            <v>60061486</v>
          </cell>
          <cell r="N1645">
            <v>38881</v>
          </cell>
          <cell r="P1645" t="str">
            <v>FN6613N1S100001</v>
          </cell>
          <cell r="Q1645" t="str">
            <v>แผ่นรองและสายรัดเป็นสนิม</v>
          </cell>
        </row>
        <row r="1646">
          <cell r="A1646">
            <v>60054517</v>
          </cell>
          <cell r="B1646">
            <v>1645</v>
          </cell>
          <cell r="C1646" t="str">
            <v>CS01/8</v>
          </cell>
          <cell r="D1646" t="str">
            <v>SPCC-SD</v>
          </cell>
          <cell r="E1646" t="str">
            <v>AF1</v>
          </cell>
          <cell r="F1646">
            <v>2</v>
          </cell>
          <cell r="G1646">
            <v>80</v>
          </cell>
          <cell r="H1646" t="str">
            <v>C</v>
          </cell>
          <cell r="I1646" t="str">
            <v>A</v>
          </cell>
          <cell r="J1646" t="str">
            <v>SAB</v>
          </cell>
          <cell r="K1646">
            <v>1</v>
          </cell>
          <cell r="L1646">
            <v>222</v>
          </cell>
          <cell r="M1646">
            <v>60054517</v>
          </cell>
          <cell r="N1646">
            <v>38791</v>
          </cell>
          <cell r="P1646" t="str">
            <v>FN6315N2S842201</v>
          </cell>
          <cell r="Q1646" t="str">
            <v>สภาพปกติ</v>
          </cell>
        </row>
        <row r="1647">
          <cell r="A1647">
            <v>60054518</v>
          </cell>
          <cell r="B1647">
            <v>1646</v>
          </cell>
          <cell r="C1647" t="str">
            <v>CS01/8</v>
          </cell>
          <cell r="D1647" t="str">
            <v>SPCC-SD</v>
          </cell>
          <cell r="E1647" t="str">
            <v>AF1</v>
          </cell>
          <cell r="F1647">
            <v>2</v>
          </cell>
          <cell r="G1647">
            <v>80</v>
          </cell>
          <cell r="H1647" t="str">
            <v>C</v>
          </cell>
          <cell r="I1647" t="str">
            <v>A</v>
          </cell>
          <cell r="J1647" t="str">
            <v>SAB</v>
          </cell>
          <cell r="K1647">
            <v>1</v>
          </cell>
          <cell r="L1647">
            <v>222</v>
          </cell>
          <cell r="M1647">
            <v>60054518</v>
          </cell>
          <cell r="N1647">
            <v>38791</v>
          </cell>
          <cell r="P1647" t="str">
            <v>FN6315N2S842202</v>
          </cell>
          <cell r="Q1647" t="str">
            <v>สภาพปกติ</v>
          </cell>
        </row>
        <row r="1648">
          <cell r="A1648">
            <v>60054519</v>
          </cell>
          <cell r="B1648">
            <v>1647</v>
          </cell>
          <cell r="C1648" t="str">
            <v>CS01/8</v>
          </cell>
          <cell r="D1648" t="str">
            <v>SPCC-SD</v>
          </cell>
          <cell r="E1648" t="str">
            <v>AF1</v>
          </cell>
          <cell r="F1648">
            <v>2</v>
          </cell>
          <cell r="G1648">
            <v>80</v>
          </cell>
          <cell r="H1648" t="str">
            <v>C</v>
          </cell>
          <cell r="I1648" t="str">
            <v>A</v>
          </cell>
          <cell r="J1648" t="str">
            <v>SAB</v>
          </cell>
          <cell r="K1648">
            <v>1</v>
          </cell>
          <cell r="L1648">
            <v>222</v>
          </cell>
          <cell r="M1648">
            <v>60054519</v>
          </cell>
          <cell r="N1648">
            <v>38791</v>
          </cell>
          <cell r="P1648" t="str">
            <v>FN6315N2S842203</v>
          </cell>
          <cell r="Q1648" t="str">
            <v>สภาพปกติ</v>
          </cell>
        </row>
        <row r="1649">
          <cell r="A1649">
            <v>60064990</v>
          </cell>
          <cell r="B1649">
            <v>1648</v>
          </cell>
          <cell r="C1649" t="str">
            <v>CS01/8</v>
          </cell>
          <cell r="D1649" t="str">
            <v>SPCC-SD</v>
          </cell>
          <cell r="E1649" t="str">
            <v>AF1</v>
          </cell>
          <cell r="F1649">
            <v>2</v>
          </cell>
          <cell r="G1649">
            <v>112</v>
          </cell>
          <cell r="H1649" t="str">
            <v>C</v>
          </cell>
          <cell r="I1649" t="str">
            <v>A</v>
          </cell>
          <cell r="J1649" t="str">
            <v>SAB</v>
          </cell>
          <cell r="K1649">
            <v>1</v>
          </cell>
          <cell r="L1649">
            <v>310</v>
          </cell>
          <cell r="M1649">
            <v>60064990</v>
          </cell>
          <cell r="N1649">
            <v>38929</v>
          </cell>
          <cell r="O1649" t="str">
            <v>126714TCD022</v>
          </cell>
          <cell r="P1649" t="str">
            <v>FN6731N1S241501</v>
          </cell>
          <cell r="Q1649" t="str">
            <v>สภาพปกติ</v>
          </cell>
        </row>
        <row r="1650">
          <cell r="A1650">
            <v>60064991</v>
          </cell>
          <cell r="B1650">
            <v>1649</v>
          </cell>
          <cell r="C1650" t="str">
            <v>CS01/8</v>
          </cell>
          <cell r="D1650" t="str">
            <v>SPCC-SD</v>
          </cell>
          <cell r="E1650" t="str">
            <v>AF1</v>
          </cell>
          <cell r="F1650">
            <v>2</v>
          </cell>
          <cell r="G1650">
            <v>112</v>
          </cell>
          <cell r="H1650" t="str">
            <v>C</v>
          </cell>
          <cell r="I1650" t="str">
            <v>A</v>
          </cell>
          <cell r="J1650" t="str">
            <v>SAB</v>
          </cell>
          <cell r="K1650">
            <v>1</v>
          </cell>
          <cell r="L1650">
            <v>310</v>
          </cell>
          <cell r="M1650">
            <v>60064991</v>
          </cell>
          <cell r="N1650">
            <v>38929</v>
          </cell>
          <cell r="O1650" t="str">
            <v>126714TCD022</v>
          </cell>
          <cell r="P1650" t="str">
            <v>FN6731N1S241502</v>
          </cell>
          <cell r="Q1650" t="str">
            <v>สภาพปกติ</v>
          </cell>
        </row>
        <row r="1651">
          <cell r="A1651">
            <v>60064992</v>
          </cell>
          <cell r="B1651">
            <v>1650</v>
          </cell>
          <cell r="C1651" t="str">
            <v>CS01/8</v>
          </cell>
          <cell r="D1651" t="str">
            <v>SPCC-SD</v>
          </cell>
          <cell r="E1651" t="str">
            <v>AF1</v>
          </cell>
          <cell r="F1651">
            <v>2</v>
          </cell>
          <cell r="G1651">
            <v>112</v>
          </cell>
          <cell r="H1651" t="str">
            <v>C</v>
          </cell>
          <cell r="I1651" t="str">
            <v>A</v>
          </cell>
          <cell r="J1651" t="str">
            <v>SAB</v>
          </cell>
          <cell r="K1651">
            <v>1</v>
          </cell>
          <cell r="L1651">
            <v>310</v>
          </cell>
          <cell r="M1651">
            <v>60064992</v>
          </cell>
          <cell r="N1651">
            <v>38929</v>
          </cell>
          <cell r="O1651" t="str">
            <v>126714TCD022</v>
          </cell>
          <cell r="P1651" t="str">
            <v>FN6731N1S241503</v>
          </cell>
          <cell r="Q1651" t="str">
            <v>สภาพปกติ</v>
          </cell>
        </row>
        <row r="1652">
          <cell r="A1652">
            <v>60061049</v>
          </cell>
          <cell r="B1652">
            <v>1651</v>
          </cell>
          <cell r="C1652" t="str">
            <v>CS01/8</v>
          </cell>
          <cell r="D1652" t="str">
            <v>SPCC-SD</v>
          </cell>
          <cell r="E1652" t="str">
            <v>AF1</v>
          </cell>
          <cell r="F1652">
            <v>2</v>
          </cell>
          <cell r="G1652">
            <v>135</v>
          </cell>
          <cell r="H1652" t="str">
            <v>C</v>
          </cell>
          <cell r="I1652" t="str">
            <v>A</v>
          </cell>
          <cell r="J1652" t="str">
            <v>SAB</v>
          </cell>
          <cell r="K1652">
            <v>1</v>
          </cell>
          <cell r="L1652">
            <v>206</v>
          </cell>
          <cell r="M1652">
            <v>60061049</v>
          </cell>
          <cell r="N1652">
            <v>38873</v>
          </cell>
          <cell r="P1652" t="str">
            <v>FN6605D2S070001</v>
          </cell>
          <cell r="Q1652" t="str">
            <v>แผ่นรองและสายรัดเป็นสนิม</v>
          </cell>
        </row>
        <row r="1653">
          <cell r="A1653">
            <v>60066982</v>
          </cell>
          <cell r="B1653">
            <v>1652</v>
          </cell>
          <cell r="C1653" t="str">
            <v>CS01/8</v>
          </cell>
          <cell r="D1653" t="str">
            <v>SPCC-SD</v>
          </cell>
          <cell r="E1653" t="str">
            <v>AF1</v>
          </cell>
          <cell r="F1653">
            <v>2</v>
          </cell>
          <cell r="G1653">
            <v>137</v>
          </cell>
          <cell r="H1653" t="str">
            <v>C</v>
          </cell>
          <cell r="I1653" t="str">
            <v>A</v>
          </cell>
          <cell r="J1653" t="str">
            <v>SAB</v>
          </cell>
          <cell r="K1653">
            <v>1</v>
          </cell>
          <cell r="L1653">
            <v>271</v>
          </cell>
          <cell r="M1653">
            <v>60066982</v>
          </cell>
          <cell r="N1653">
            <v>38953</v>
          </cell>
          <cell r="P1653" t="str">
            <v>FN6824N2S324201</v>
          </cell>
          <cell r="Q1653" t="str">
            <v>สภาพปกติ</v>
          </cell>
        </row>
        <row r="1654">
          <cell r="A1654">
            <v>60066983</v>
          </cell>
          <cell r="B1654">
            <v>1653</v>
          </cell>
          <cell r="C1654" t="str">
            <v>CS01/8</v>
          </cell>
          <cell r="D1654" t="str">
            <v>SPCC-SD</v>
          </cell>
          <cell r="E1654" t="str">
            <v>AF1</v>
          </cell>
          <cell r="F1654">
            <v>2</v>
          </cell>
          <cell r="G1654">
            <v>137</v>
          </cell>
          <cell r="H1654" t="str">
            <v>C</v>
          </cell>
          <cell r="I1654" t="str">
            <v>A</v>
          </cell>
          <cell r="J1654" t="str">
            <v>SAB</v>
          </cell>
          <cell r="K1654">
            <v>1</v>
          </cell>
          <cell r="L1654">
            <v>271</v>
          </cell>
          <cell r="M1654">
            <v>60066983</v>
          </cell>
          <cell r="N1654">
            <v>38953</v>
          </cell>
          <cell r="P1654" t="str">
            <v>FN6824N2S324202</v>
          </cell>
          <cell r="Q1654" t="str">
            <v>สภาพปกติ</v>
          </cell>
        </row>
        <row r="1655">
          <cell r="A1655">
            <v>60065744</v>
          </cell>
          <cell r="B1655">
            <v>1654</v>
          </cell>
          <cell r="C1655" t="str">
            <v>CS01/8</v>
          </cell>
          <cell r="D1655" t="str">
            <v>SPCC-SD</v>
          </cell>
          <cell r="E1655" t="str">
            <v>AF1</v>
          </cell>
          <cell r="F1655">
            <v>2.6</v>
          </cell>
          <cell r="G1655">
            <v>75</v>
          </cell>
          <cell r="H1655" t="str">
            <v>C</v>
          </cell>
          <cell r="I1655" t="str">
            <v>A</v>
          </cell>
          <cell r="J1655" t="str">
            <v>SAB</v>
          </cell>
          <cell r="K1655">
            <v>1</v>
          </cell>
          <cell r="L1655">
            <v>345</v>
          </cell>
          <cell r="M1655">
            <v>60065744</v>
          </cell>
          <cell r="N1655">
            <v>38937</v>
          </cell>
          <cell r="P1655" t="str">
            <v>FN6808D1S268701</v>
          </cell>
          <cell r="Q1655" t="str">
            <v>สภาพปกติ</v>
          </cell>
        </row>
        <row r="1656">
          <cell r="A1656">
            <v>60060803</v>
          </cell>
          <cell r="B1656">
            <v>1655</v>
          </cell>
          <cell r="C1656" t="str">
            <v>CS01/8</v>
          </cell>
          <cell r="D1656" t="str">
            <v>SPCC-SD</v>
          </cell>
          <cell r="E1656" t="str">
            <v>AF1</v>
          </cell>
          <cell r="F1656">
            <v>2.6</v>
          </cell>
          <cell r="G1656">
            <v>172</v>
          </cell>
          <cell r="H1656" t="str">
            <v>C</v>
          </cell>
          <cell r="I1656" t="str">
            <v>A</v>
          </cell>
          <cell r="J1656" t="str">
            <v>SAB</v>
          </cell>
          <cell r="K1656">
            <v>1</v>
          </cell>
          <cell r="L1656">
            <v>516</v>
          </cell>
          <cell r="M1656">
            <v>60060803</v>
          </cell>
          <cell r="N1656">
            <v>38870</v>
          </cell>
          <cell r="P1656" t="str">
            <v>FN6602D2S062001</v>
          </cell>
          <cell r="Q1656" t="str">
            <v>แผ่นรองและสายรัดเป็นสนิม</v>
          </cell>
        </row>
        <row r="1657">
          <cell r="A1657">
            <v>60066098</v>
          </cell>
          <cell r="B1657">
            <v>1656</v>
          </cell>
          <cell r="C1657" t="str">
            <v>CS01/8</v>
          </cell>
          <cell r="D1657" t="str">
            <v>SPCC-SD</v>
          </cell>
          <cell r="E1657" t="str">
            <v>AF1</v>
          </cell>
          <cell r="F1657">
            <v>2.6</v>
          </cell>
          <cell r="G1657">
            <v>172</v>
          </cell>
          <cell r="H1657" t="str">
            <v>C</v>
          </cell>
          <cell r="I1657" t="str">
            <v>A</v>
          </cell>
          <cell r="J1657" t="str">
            <v>SAB</v>
          </cell>
          <cell r="K1657">
            <v>1</v>
          </cell>
          <cell r="L1657">
            <v>504</v>
          </cell>
          <cell r="M1657">
            <v>60066098</v>
          </cell>
          <cell r="N1657">
            <v>38943</v>
          </cell>
          <cell r="P1657" t="str">
            <v>FN6814D2S292101</v>
          </cell>
          <cell r="Q1657" t="str">
            <v>แผ่นรองและสายรัดเป็นสนิม</v>
          </cell>
        </row>
        <row r="1658">
          <cell r="A1658">
            <v>60061228</v>
          </cell>
          <cell r="B1658">
            <v>1657</v>
          </cell>
          <cell r="C1658" t="str">
            <v>CS01/8</v>
          </cell>
          <cell r="D1658" t="str">
            <v>SPCC-SD</v>
          </cell>
          <cell r="E1658" t="str">
            <v>AF1</v>
          </cell>
          <cell r="F1658">
            <v>3.2</v>
          </cell>
          <cell r="G1658">
            <v>65</v>
          </cell>
          <cell r="H1658" t="str">
            <v>C</v>
          </cell>
          <cell r="I1658" t="str">
            <v>A</v>
          </cell>
          <cell r="J1658" t="str">
            <v>SAB</v>
          </cell>
          <cell r="K1658">
            <v>1</v>
          </cell>
          <cell r="L1658">
            <v>180</v>
          </cell>
          <cell r="M1658">
            <v>60061228</v>
          </cell>
          <cell r="N1658">
            <v>38875</v>
          </cell>
          <cell r="P1658" t="str">
            <v>FN6607D2S089601</v>
          </cell>
          <cell r="Q1658" t="str">
            <v>แผ่นรองและสายรัดเป็นสนิม</v>
          </cell>
        </row>
        <row r="1659">
          <cell r="A1659">
            <v>60056480</v>
          </cell>
          <cell r="B1659">
            <v>1658</v>
          </cell>
          <cell r="C1659" t="str">
            <v>CS01/8</v>
          </cell>
          <cell r="D1659" t="str">
            <v>SPCC-SD</v>
          </cell>
          <cell r="E1659" t="str">
            <v>AF1</v>
          </cell>
          <cell r="F1659">
            <v>3.2</v>
          </cell>
          <cell r="G1659">
            <v>70</v>
          </cell>
          <cell r="H1659" t="str">
            <v>C</v>
          </cell>
          <cell r="I1659" t="str">
            <v>A</v>
          </cell>
          <cell r="J1659" t="str">
            <v>SAB</v>
          </cell>
          <cell r="K1659">
            <v>1</v>
          </cell>
          <cell r="L1659">
            <v>168</v>
          </cell>
          <cell r="M1659">
            <v>60056480</v>
          </cell>
          <cell r="N1659">
            <v>38814</v>
          </cell>
          <cell r="P1659" t="str">
            <v>FN6407N2S920901</v>
          </cell>
          <cell r="Q1659" t="str">
            <v>สภาพปกติ</v>
          </cell>
        </row>
        <row r="1660">
          <cell r="A1660">
            <v>60056481</v>
          </cell>
          <cell r="B1660">
            <v>1659</v>
          </cell>
          <cell r="C1660" t="str">
            <v>CS01/8</v>
          </cell>
          <cell r="D1660" t="str">
            <v>SPCC-SD</v>
          </cell>
          <cell r="E1660" t="str">
            <v>AF1</v>
          </cell>
          <cell r="F1660">
            <v>3.2</v>
          </cell>
          <cell r="G1660">
            <v>70</v>
          </cell>
          <cell r="H1660" t="str">
            <v>C</v>
          </cell>
          <cell r="I1660" t="str">
            <v>A</v>
          </cell>
          <cell r="J1660" t="str">
            <v>SAB</v>
          </cell>
          <cell r="K1660">
            <v>1</v>
          </cell>
          <cell r="L1660">
            <v>168</v>
          </cell>
          <cell r="M1660">
            <v>60056481</v>
          </cell>
          <cell r="N1660">
            <v>38814</v>
          </cell>
          <cell r="P1660" t="str">
            <v>FN6407N2S920902</v>
          </cell>
          <cell r="Q1660" t="str">
            <v>สภาพปกติ</v>
          </cell>
        </row>
        <row r="1661">
          <cell r="A1661">
            <v>60056482</v>
          </cell>
          <cell r="B1661">
            <v>1660</v>
          </cell>
          <cell r="C1661" t="str">
            <v>CS01/8</v>
          </cell>
          <cell r="D1661" t="str">
            <v>SPCC-SD</v>
          </cell>
          <cell r="E1661" t="str">
            <v>AF1</v>
          </cell>
          <cell r="F1661">
            <v>3.2</v>
          </cell>
          <cell r="G1661">
            <v>70</v>
          </cell>
          <cell r="H1661" t="str">
            <v>C</v>
          </cell>
          <cell r="I1661" t="str">
            <v>A</v>
          </cell>
          <cell r="J1661" t="str">
            <v>SAB</v>
          </cell>
          <cell r="K1661">
            <v>1</v>
          </cell>
          <cell r="L1661">
            <v>168</v>
          </cell>
          <cell r="M1661">
            <v>60056482</v>
          </cell>
          <cell r="N1661">
            <v>38814</v>
          </cell>
          <cell r="P1661" t="str">
            <v>FN6407N2S920903</v>
          </cell>
          <cell r="Q1661" t="str">
            <v>สภาพปกติ</v>
          </cell>
        </row>
        <row r="1662">
          <cell r="A1662">
            <v>60061234</v>
          </cell>
          <cell r="B1662">
            <v>1661</v>
          </cell>
          <cell r="C1662" t="str">
            <v>CS01/8</v>
          </cell>
          <cell r="D1662" t="str">
            <v>SPCC-SD</v>
          </cell>
          <cell r="E1662" t="str">
            <v>AF1</v>
          </cell>
          <cell r="F1662">
            <v>3.2</v>
          </cell>
          <cell r="G1662">
            <v>143</v>
          </cell>
          <cell r="H1662" t="str">
            <v>C</v>
          </cell>
          <cell r="I1662" t="str">
            <v>A</v>
          </cell>
          <cell r="J1662" t="str">
            <v>SAB</v>
          </cell>
          <cell r="K1662">
            <v>1</v>
          </cell>
          <cell r="L1662">
            <v>436</v>
          </cell>
          <cell r="M1662">
            <v>60061234</v>
          </cell>
          <cell r="N1662">
            <v>38875</v>
          </cell>
          <cell r="P1662" t="str">
            <v>FN6607N2S070601</v>
          </cell>
          <cell r="Q1662" t="str">
            <v>สภาพปกติ</v>
          </cell>
        </row>
        <row r="1663">
          <cell r="A1663">
            <v>60052663</v>
          </cell>
          <cell r="B1663">
            <v>1662</v>
          </cell>
          <cell r="C1663" t="str">
            <v>CS01/8</v>
          </cell>
          <cell r="D1663" t="str">
            <v>SPHC P/O</v>
          </cell>
          <cell r="E1663" t="str">
            <v>CA1</v>
          </cell>
          <cell r="F1663">
            <v>1.2</v>
          </cell>
          <cell r="G1663">
            <v>114</v>
          </cell>
          <cell r="H1663" t="str">
            <v>C</v>
          </cell>
          <cell r="I1663" t="str">
            <v>A</v>
          </cell>
          <cell r="J1663" t="str">
            <v>SAB</v>
          </cell>
          <cell r="K1663">
            <v>1</v>
          </cell>
          <cell r="L1663">
            <v>270</v>
          </cell>
          <cell r="M1663">
            <v>60052663</v>
          </cell>
          <cell r="N1663">
            <v>38772</v>
          </cell>
          <cell r="O1663" t="str">
            <v>135A12NSI008</v>
          </cell>
          <cell r="P1663" t="str">
            <v>FN6224D2S779001</v>
          </cell>
          <cell r="Q1663" t="str">
            <v>แผ่นรองและสายรัดเป็นสนิม</v>
          </cell>
        </row>
        <row r="1664">
          <cell r="A1664">
            <v>60052664</v>
          </cell>
          <cell r="B1664">
            <v>1663</v>
          </cell>
          <cell r="C1664" t="str">
            <v>CS01/8</v>
          </cell>
          <cell r="D1664" t="str">
            <v>SPHC P/O</v>
          </cell>
          <cell r="E1664" t="str">
            <v>CA1</v>
          </cell>
          <cell r="F1664">
            <v>1.2</v>
          </cell>
          <cell r="G1664">
            <v>114</v>
          </cell>
          <cell r="H1664" t="str">
            <v>C</v>
          </cell>
          <cell r="I1664" t="str">
            <v>A</v>
          </cell>
          <cell r="J1664" t="str">
            <v>SAB</v>
          </cell>
          <cell r="K1664">
            <v>1</v>
          </cell>
          <cell r="L1664">
            <v>270</v>
          </cell>
          <cell r="M1664">
            <v>60052664</v>
          </cell>
          <cell r="N1664">
            <v>38772</v>
          </cell>
          <cell r="O1664" t="str">
            <v>135A12NSI008</v>
          </cell>
          <cell r="P1664" t="str">
            <v>FN6224D2S779002</v>
          </cell>
          <cell r="Q1664" t="str">
            <v>แผ่นรองและสายรัดเป็นสนิม</v>
          </cell>
        </row>
        <row r="1665">
          <cell r="A1665">
            <v>60052917</v>
          </cell>
          <cell r="B1665">
            <v>1664</v>
          </cell>
          <cell r="C1665" t="str">
            <v>CS01/8</v>
          </cell>
          <cell r="D1665" t="str">
            <v>SPHC P/O</v>
          </cell>
          <cell r="E1665" t="str">
            <v>CA1</v>
          </cell>
          <cell r="F1665">
            <v>1.4</v>
          </cell>
          <cell r="G1665">
            <v>196</v>
          </cell>
          <cell r="H1665" t="str">
            <v>C</v>
          </cell>
          <cell r="I1665" t="str">
            <v>A</v>
          </cell>
          <cell r="J1665" t="str">
            <v>SAB</v>
          </cell>
          <cell r="K1665">
            <v>1</v>
          </cell>
          <cell r="L1665">
            <v>421</v>
          </cell>
          <cell r="M1665">
            <v>60052917</v>
          </cell>
          <cell r="N1665">
            <v>38776</v>
          </cell>
          <cell r="P1665" t="str">
            <v>FN6228D1S783201</v>
          </cell>
          <cell r="Q1665" t="str">
            <v>แผ่นรองและสายรัดเป็นสนิม</v>
          </cell>
        </row>
        <row r="1666">
          <cell r="A1666">
            <v>60066397</v>
          </cell>
          <cell r="B1666">
            <v>1665</v>
          </cell>
          <cell r="C1666" t="str">
            <v>CS01/8</v>
          </cell>
          <cell r="D1666" t="str">
            <v>SPHC P/O</v>
          </cell>
          <cell r="E1666" t="str">
            <v>CA1</v>
          </cell>
          <cell r="F1666">
            <v>1.8</v>
          </cell>
          <cell r="G1666">
            <v>355.5</v>
          </cell>
          <cell r="H1666" t="str">
            <v>C</v>
          </cell>
          <cell r="I1666" t="str">
            <v>A</v>
          </cell>
          <cell r="J1666" t="str">
            <v>SAB</v>
          </cell>
          <cell r="K1666">
            <v>1</v>
          </cell>
          <cell r="L1666">
            <v>1009</v>
          </cell>
          <cell r="M1666">
            <v>60066397</v>
          </cell>
          <cell r="N1666">
            <v>38947</v>
          </cell>
          <cell r="P1666" t="str">
            <v>FN6818N2S301701</v>
          </cell>
          <cell r="Q1666" t="str">
            <v>สภาพปกติ</v>
          </cell>
        </row>
        <row r="1667">
          <cell r="A1667">
            <v>60066398</v>
          </cell>
          <cell r="B1667">
            <v>1666</v>
          </cell>
          <cell r="C1667" t="str">
            <v>CS01/8</v>
          </cell>
          <cell r="D1667" t="str">
            <v>SPHC P/O</v>
          </cell>
          <cell r="E1667" t="str">
            <v>CA1</v>
          </cell>
          <cell r="F1667">
            <v>1.8</v>
          </cell>
          <cell r="G1667">
            <v>355.5</v>
          </cell>
          <cell r="H1667" t="str">
            <v>C</v>
          </cell>
          <cell r="I1667" t="str">
            <v>A</v>
          </cell>
          <cell r="J1667" t="str">
            <v>SAB</v>
          </cell>
          <cell r="K1667">
            <v>1</v>
          </cell>
          <cell r="L1667">
            <v>1009</v>
          </cell>
          <cell r="M1667">
            <v>60066398</v>
          </cell>
          <cell r="N1667">
            <v>38947</v>
          </cell>
          <cell r="P1667" t="str">
            <v>FN6818N2S301702</v>
          </cell>
          <cell r="Q1667" t="str">
            <v>สภาพปกติ</v>
          </cell>
        </row>
        <row r="1668">
          <cell r="A1668">
            <v>60066402</v>
          </cell>
          <cell r="B1668">
            <v>1667</v>
          </cell>
          <cell r="C1668" t="str">
            <v>CS01/8</v>
          </cell>
          <cell r="D1668" t="str">
            <v>SPHC P/O</v>
          </cell>
          <cell r="E1668" t="str">
            <v>CA1</v>
          </cell>
          <cell r="F1668">
            <v>1.8</v>
          </cell>
          <cell r="G1668">
            <v>355.5</v>
          </cell>
          <cell r="H1668" t="str">
            <v>C</v>
          </cell>
          <cell r="I1668" t="str">
            <v>A</v>
          </cell>
          <cell r="J1668" t="str">
            <v>SAB</v>
          </cell>
          <cell r="K1668">
            <v>1</v>
          </cell>
          <cell r="L1668">
            <v>1015</v>
          </cell>
          <cell r="M1668">
            <v>60066402</v>
          </cell>
          <cell r="N1668">
            <v>38947</v>
          </cell>
          <cell r="P1668" t="str">
            <v>FN6818N2S301703</v>
          </cell>
          <cell r="Q1668" t="str">
            <v>สภาพปกติ</v>
          </cell>
        </row>
        <row r="1669">
          <cell r="A1669">
            <v>60063410</v>
          </cell>
          <cell r="B1669">
            <v>1668</v>
          </cell>
          <cell r="C1669" t="str">
            <v>CS01/8</v>
          </cell>
          <cell r="D1669" t="str">
            <v>SPHC P/O</v>
          </cell>
          <cell r="E1669" t="str">
            <v>CA1</v>
          </cell>
          <cell r="F1669">
            <v>2.2999999999999998</v>
          </cell>
          <cell r="G1669">
            <v>42</v>
          </cell>
          <cell r="H1669" t="str">
            <v>C</v>
          </cell>
          <cell r="I1669" t="str">
            <v>A</v>
          </cell>
          <cell r="J1669" t="str">
            <v>SAB</v>
          </cell>
          <cell r="K1669">
            <v>1</v>
          </cell>
          <cell r="L1669">
            <v>62</v>
          </cell>
          <cell r="M1669">
            <v>60063410</v>
          </cell>
          <cell r="N1669" t="str">
            <v>12/7/6/2/5/6</v>
          </cell>
          <cell r="P1669" t="str">
            <v>FN6712N2S187501</v>
          </cell>
          <cell r="Q1669" t="str">
            <v>แผ่นรองและสายรัดเป็นสนิม</v>
          </cell>
        </row>
        <row r="1670">
          <cell r="A1670">
            <v>60057940</v>
          </cell>
          <cell r="B1670">
            <v>1669</v>
          </cell>
          <cell r="C1670" t="str">
            <v>CS01/8</v>
          </cell>
          <cell r="D1670" t="str">
            <v>SPHC P/O</v>
          </cell>
          <cell r="E1670" t="str">
            <v>CA1</v>
          </cell>
          <cell r="F1670">
            <v>3.2</v>
          </cell>
          <cell r="G1670">
            <v>121</v>
          </cell>
          <cell r="H1670" t="str">
            <v>C</v>
          </cell>
          <cell r="I1670" t="str">
            <v>A</v>
          </cell>
          <cell r="J1670" t="str">
            <v>SAB</v>
          </cell>
          <cell r="K1670">
            <v>1</v>
          </cell>
          <cell r="L1670">
            <v>878</v>
          </cell>
          <cell r="M1670">
            <v>60057940</v>
          </cell>
          <cell r="N1670">
            <v>38961</v>
          </cell>
          <cell r="P1670" t="str">
            <v>FN6502N2S976301</v>
          </cell>
          <cell r="Q1670" t="str">
            <v>สภาพปกติ</v>
          </cell>
        </row>
        <row r="1671">
          <cell r="A1671">
            <v>60067402</v>
          </cell>
          <cell r="B1671">
            <v>1670</v>
          </cell>
          <cell r="C1671" t="str">
            <v>CS01/8</v>
          </cell>
          <cell r="D1671" t="str">
            <v>SPHC P/O</v>
          </cell>
          <cell r="E1671" t="str">
            <v>CA1</v>
          </cell>
          <cell r="F1671">
            <v>3.2</v>
          </cell>
          <cell r="G1671">
            <v>121</v>
          </cell>
          <cell r="H1671" t="str">
            <v>C</v>
          </cell>
          <cell r="I1671" t="str">
            <v>A</v>
          </cell>
          <cell r="J1671" t="str">
            <v>SAB</v>
          </cell>
          <cell r="K1671">
            <v>1</v>
          </cell>
          <cell r="L1671">
            <v>867</v>
          </cell>
          <cell r="M1671">
            <v>60067402</v>
          </cell>
          <cell r="N1671">
            <v>38961</v>
          </cell>
          <cell r="P1671" t="str">
            <v>FN6901D2S341901</v>
          </cell>
          <cell r="Q1671" t="str">
            <v>สภาพปกติ</v>
          </cell>
        </row>
        <row r="1672">
          <cell r="A1672">
            <v>60067403</v>
          </cell>
          <cell r="B1672">
            <v>1671</v>
          </cell>
          <cell r="C1672" t="str">
            <v>CS01/8</v>
          </cell>
          <cell r="D1672" t="str">
            <v>SPHC P/O</v>
          </cell>
          <cell r="E1672" t="str">
            <v>CA1</v>
          </cell>
          <cell r="F1672">
            <v>3.2</v>
          </cell>
          <cell r="G1672">
            <v>121</v>
          </cell>
          <cell r="H1672" t="str">
            <v>C</v>
          </cell>
          <cell r="I1672" t="str">
            <v>A</v>
          </cell>
          <cell r="J1672" t="str">
            <v>SAB</v>
          </cell>
          <cell r="K1672">
            <v>1</v>
          </cell>
          <cell r="L1672">
            <v>867</v>
          </cell>
          <cell r="M1672">
            <v>60067403</v>
          </cell>
          <cell r="N1672">
            <v>38946</v>
          </cell>
          <cell r="P1672" t="str">
            <v>FN6901D2S341902</v>
          </cell>
          <cell r="Q1672" t="str">
            <v>สภาพปกติ</v>
          </cell>
        </row>
        <row r="1673">
          <cell r="A1673">
            <v>60066324</v>
          </cell>
          <cell r="B1673">
            <v>1672</v>
          </cell>
          <cell r="C1673" t="str">
            <v>CS01/8</v>
          </cell>
          <cell r="D1673" t="str">
            <v>SPHC P/O</v>
          </cell>
          <cell r="E1673" t="str">
            <v>CA1</v>
          </cell>
          <cell r="F1673">
            <v>3.2</v>
          </cell>
          <cell r="G1673">
            <v>139</v>
          </cell>
          <cell r="H1673" t="str">
            <v>C</v>
          </cell>
          <cell r="I1673" t="str">
            <v>A</v>
          </cell>
          <cell r="J1673" t="str">
            <v>SAB</v>
          </cell>
          <cell r="K1673">
            <v>1</v>
          </cell>
          <cell r="L1673">
            <v>736</v>
          </cell>
          <cell r="M1673">
            <v>60066324</v>
          </cell>
          <cell r="N1673">
            <v>38961</v>
          </cell>
          <cell r="P1673" t="str">
            <v>FN6817D2S300401</v>
          </cell>
          <cell r="Q1673" t="str">
            <v>สภาพปกติ</v>
          </cell>
        </row>
        <row r="1674">
          <cell r="A1674">
            <v>60067397</v>
          </cell>
          <cell r="B1674">
            <v>1673</v>
          </cell>
          <cell r="C1674" t="str">
            <v>CS01/8</v>
          </cell>
          <cell r="D1674" t="str">
            <v>SPHC P/O</v>
          </cell>
          <cell r="E1674" t="str">
            <v>CA1</v>
          </cell>
          <cell r="F1674">
            <v>3.2</v>
          </cell>
          <cell r="G1674">
            <v>139</v>
          </cell>
          <cell r="H1674" t="str">
            <v>C</v>
          </cell>
          <cell r="I1674" t="str">
            <v>A</v>
          </cell>
          <cell r="J1674" t="str">
            <v>SAB</v>
          </cell>
          <cell r="K1674">
            <v>1</v>
          </cell>
          <cell r="L1674">
            <v>999</v>
          </cell>
          <cell r="M1674">
            <v>60067397</v>
          </cell>
          <cell r="N1674">
            <v>38961</v>
          </cell>
          <cell r="P1674" t="str">
            <v>FN6901D2S341901</v>
          </cell>
          <cell r="Q1674" t="str">
            <v>สภาพปกติ</v>
          </cell>
        </row>
        <row r="1675">
          <cell r="A1675">
            <v>60067398</v>
          </cell>
          <cell r="B1675">
            <v>1674</v>
          </cell>
          <cell r="C1675" t="str">
            <v>CS01/8</v>
          </cell>
          <cell r="D1675" t="str">
            <v>SPHC P/O</v>
          </cell>
          <cell r="E1675" t="str">
            <v>CA1</v>
          </cell>
          <cell r="F1675">
            <v>3.2</v>
          </cell>
          <cell r="G1675">
            <v>139</v>
          </cell>
          <cell r="H1675" t="str">
            <v>C</v>
          </cell>
          <cell r="I1675" t="str">
            <v>A</v>
          </cell>
          <cell r="J1675" t="str">
            <v>SAB</v>
          </cell>
          <cell r="K1675">
            <v>1</v>
          </cell>
          <cell r="L1675">
            <v>999</v>
          </cell>
          <cell r="M1675">
            <v>60067398</v>
          </cell>
          <cell r="N1675">
            <v>38961</v>
          </cell>
          <cell r="P1675" t="str">
            <v>FN6901D2S341902</v>
          </cell>
          <cell r="Q1675" t="str">
            <v>สภาพปกติ</v>
          </cell>
        </row>
        <row r="1676">
          <cell r="A1676">
            <v>60067399</v>
          </cell>
          <cell r="B1676">
            <v>1675</v>
          </cell>
          <cell r="C1676" t="str">
            <v>CS01/8</v>
          </cell>
          <cell r="D1676" t="str">
            <v>SPHC P/O</v>
          </cell>
          <cell r="E1676" t="str">
            <v>CA1</v>
          </cell>
          <cell r="F1676">
            <v>3.2</v>
          </cell>
          <cell r="G1676">
            <v>139</v>
          </cell>
          <cell r="H1676" t="str">
            <v>C</v>
          </cell>
          <cell r="I1676" t="str">
            <v>A</v>
          </cell>
          <cell r="J1676" t="str">
            <v>SAB</v>
          </cell>
          <cell r="K1676">
            <v>1</v>
          </cell>
          <cell r="L1676">
            <v>999</v>
          </cell>
          <cell r="M1676">
            <v>60067399</v>
          </cell>
          <cell r="N1676">
            <v>38961</v>
          </cell>
          <cell r="P1676" t="str">
            <v>FN6901D2S341903</v>
          </cell>
          <cell r="Q1676" t="str">
            <v>สภาพปกติ</v>
          </cell>
        </row>
        <row r="1677">
          <cell r="A1677">
            <v>60067400</v>
          </cell>
          <cell r="B1677">
            <v>1676</v>
          </cell>
          <cell r="C1677" t="str">
            <v>CS01/8</v>
          </cell>
          <cell r="D1677" t="str">
            <v>SPHC P/O</v>
          </cell>
          <cell r="E1677" t="str">
            <v>CA1</v>
          </cell>
          <cell r="F1677">
            <v>3.2</v>
          </cell>
          <cell r="G1677">
            <v>139</v>
          </cell>
          <cell r="H1677" t="str">
            <v>C</v>
          </cell>
          <cell r="I1677" t="str">
            <v>A</v>
          </cell>
          <cell r="J1677" t="str">
            <v>SAB</v>
          </cell>
          <cell r="K1677">
            <v>1</v>
          </cell>
          <cell r="L1677">
            <v>999</v>
          </cell>
          <cell r="M1677">
            <v>60067400</v>
          </cell>
          <cell r="N1677">
            <v>38961</v>
          </cell>
          <cell r="P1677" t="str">
            <v>FN6901D2S341904</v>
          </cell>
          <cell r="Q1677" t="str">
            <v>สภาพปกติ</v>
          </cell>
        </row>
        <row r="1678">
          <cell r="A1678">
            <v>60067401</v>
          </cell>
          <cell r="B1678">
            <v>1677</v>
          </cell>
          <cell r="C1678" t="str">
            <v>CS01/8</v>
          </cell>
          <cell r="D1678" t="str">
            <v>SPHC P/O</v>
          </cell>
          <cell r="E1678" t="str">
            <v>CA1</v>
          </cell>
          <cell r="F1678">
            <v>3.2</v>
          </cell>
          <cell r="G1678">
            <v>139</v>
          </cell>
          <cell r="H1678" t="str">
            <v>C</v>
          </cell>
          <cell r="I1678" t="str">
            <v>A</v>
          </cell>
          <cell r="J1678" t="str">
            <v>SAB</v>
          </cell>
          <cell r="K1678">
            <v>1</v>
          </cell>
          <cell r="L1678">
            <v>999</v>
          </cell>
          <cell r="M1678">
            <v>60067401</v>
          </cell>
          <cell r="N1678">
            <v>38961</v>
          </cell>
          <cell r="P1678" t="str">
            <v>FN6901D2S341905</v>
          </cell>
          <cell r="Q1678" t="str">
            <v>สภาพปกติ</v>
          </cell>
        </row>
        <row r="1679">
          <cell r="A1679">
            <v>60067508</v>
          </cell>
          <cell r="B1679">
            <v>1678</v>
          </cell>
          <cell r="C1679" t="str">
            <v>CS01/8</v>
          </cell>
          <cell r="D1679" t="str">
            <v>SPHC P/O</v>
          </cell>
          <cell r="E1679" t="str">
            <v>CA1</v>
          </cell>
          <cell r="F1679">
            <v>3.2</v>
          </cell>
          <cell r="G1679">
            <v>139</v>
          </cell>
          <cell r="H1679" t="str">
            <v>C</v>
          </cell>
          <cell r="I1679" t="str">
            <v>A</v>
          </cell>
          <cell r="J1679" t="str">
            <v>SAB</v>
          </cell>
          <cell r="K1679">
            <v>1</v>
          </cell>
          <cell r="L1679">
            <v>1022</v>
          </cell>
          <cell r="M1679">
            <v>60067508</v>
          </cell>
          <cell r="N1679">
            <v>38964</v>
          </cell>
          <cell r="P1679" t="str">
            <v>FN6904D2S343601</v>
          </cell>
          <cell r="Q1679" t="str">
            <v>สภาพปกติ</v>
          </cell>
        </row>
        <row r="1680">
          <cell r="A1680">
            <v>60040043</v>
          </cell>
          <cell r="B1680">
            <v>1679</v>
          </cell>
          <cell r="C1680" t="str">
            <v>CS01/8</v>
          </cell>
          <cell r="D1680" t="str">
            <v>SPHC P/O</v>
          </cell>
          <cell r="E1680" t="str">
            <v>CA1</v>
          </cell>
          <cell r="F1680">
            <v>3.6</v>
          </cell>
          <cell r="G1680">
            <v>144</v>
          </cell>
          <cell r="H1680" t="str">
            <v>C</v>
          </cell>
          <cell r="I1680" t="str">
            <v>A</v>
          </cell>
          <cell r="J1680" t="str">
            <v>SAB</v>
          </cell>
          <cell r="K1680">
            <v>1</v>
          </cell>
          <cell r="L1680">
            <v>490</v>
          </cell>
          <cell r="M1680">
            <v>60040043</v>
          </cell>
          <cell r="N1680">
            <v>38600</v>
          </cell>
          <cell r="P1680" t="str">
            <v>IN5905D2S264701</v>
          </cell>
          <cell r="Q1680" t="str">
            <v>แผ่นรองและสายรัดเป็นสนิม</v>
          </cell>
        </row>
        <row r="1681">
          <cell r="A1681">
            <v>60040057</v>
          </cell>
          <cell r="B1681">
            <v>1680</v>
          </cell>
          <cell r="C1681" t="str">
            <v>CS01/8</v>
          </cell>
          <cell r="D1681" t="str">
            <v>SPHC P/O</v>
          </cell>
          <cell r="E1681" t="str">
            <v>CA1</v>
          </cell>
          <cell r="F1681">
            <v>3.6</v>
          </cell>
          <cell r="G1681">
            <v>144</v>
          </cell>
          <cell r="H1681" t="str">
            <v>C</v>
          </cell>
          <cell r="I1681" t="str">
            <v>A</v>
          </cell>
          <cell r="J1681" t="str">
            <v>SAB</v>
          </cell>
          <cell r="K1681">
            <v>1</v>
          </cell>
          <cell r="L1681">
            <v>510</v>
          </cell>
          <cell r="M1681">
            <v>60040057</v>
          </cell>
          <cell r="N1681">
            <v>38600</v>
          </cell>
          <cell r="P1681" t="str">
            <v>IN5905D2S264702</v>
          </cell>
          <cell r="Q1681" t="str">
            <v>แผ่นรองและสายรัดเป็นสนิม</v>
          </cell>
        </row>
        <row r="1682">
          <cell r="A1682">
            <v>60064248</v>
          </cell>
          <cell r="B1682">
            <v>1681</v>
          </cell>
          <cell r="C1682" t="str">
            <v>CS01/8</v>
          </cell>
          <cell r="D1682" t="str">
            <v>SAPH440 P/O</v>
          </cell>
          <cell r="E1682" t="str">
            <v>CA5</v>
          </cell>
          <cell r="F1682">
            <v>4</v>
          </cell>
          <cell r="G1682">
            <v>195</v>
          </cell>
          <cell r="H1682" t="str">
            <v>C</v>
          </cell>
          <cell r="I1682" t="str">
            <v>A</v>
          </cell>
          <cell r="J1682" t="str">
            <v>SAB</v>
          </cell>
          <cell r="K1682">
            <v>1</v>
          </cell>
          <cell r="L1682">
            <v>786</v>
          </cell>
          <cell r="M1682">
            <v>60064248</v>
          </cell>
          <cell r="N1682">
            <v>38923</v>
          </cell>
          <cell r="P1682" t="str">
            <v>FN6725D2S233501</v>
          </cell>
          <cell r="Q1682" t="str">
            <v>สภาพปกติ</v>
          </cell>
        </row>
        <row r="1683">
          <cell r="A1683">
            <v>60064256</v>
          </cell>
          <cell r="B1683">
            <v>1682</v>
          </cell>
          <cell r="C1683" t="str">
            <v>CS01/8</v>
          </cell>
          <cell r="D1683" t="str">
            <v>SAPH440 P/O</v>
          </cell>
          <cell r="E1683" t="str">
            <v>CA5</v>
          </cell>
          <cell r="F1683">
            <v>4</v>
          </cell>
          <cell r="G1683">
            <v>195</v>
          </cell>
          <cell r="H1683" t="str">
            <v>C</v>
          </cell>
          <cell r="I1683" t="str">
            <v>A</v>
          </cell>
          <cell r="J1683" t="str">
            <v>SAB</v>
          </cell>
          <cell r="K1683">
            <v>1</v>
          </cell>
          <cell r="L1683">
            <v>786</v>
          </cell>
          <cell r="M1683">
            <v>60064256</v>
          </cell>
          <cell r="N1683">
            <v>38923</v>
          </cell>
          <cell r="P1683" t="str">
            <v>FN6725D2S233502</v>
          </cell>
          <cell r="Q1683" t="str">
            <v>สภาพปกติ</v>
          </cell>
        </row>
        <row r="1684">
          <cell r="A1684">
            <v>60064257</v>
          </cell>
          <cell r="B1684">
            <v>1683</v>
          </cell>
          <cell r="C1684" t="str">
            <v>CS01/8</v>
          </cell>
          <cell r="D1684" t="str">
            <v>SAPH440 P/O</v>
          </cell>
          <cell r="E1684" t="str">
            <v>CA5</v>
          </cell>
          <cell r="F1684">
            <v>4</v>
          </cell>
          <cell r="G1684">
            <v>195</v>
          </cell>
          <cell r="H1684" t="str">
            <v>C</v>
          </cell>
          <cell r="I1684" t="str">
            <v>A</v>
          </cell>
          <cell r="J1684" t="str">
            <v>SAB</v>
          </cell>
          <cell r="K1684">
            <v>1</v>
          </cell>
          <cell r="L1684">
            <v>802</v>
          </cell>
          <cell r="M1684">
            <v>60064257</v>
          </cell>
          <cell r="N1684">
            <v>38923</v>
          </cell>
          <cell r="P1684" t="str">
            <v>FN6725D2S233503</v>
          </cell>
          <cell r="Q1684" t="str">
            <v>สภาพปกติ</v>
          </cell>
        </row>
        <row r="1685">
          <cell r="A1685">
            <v>60067035</v>
          </cell>
          <cell r="B1685">
            <v>1684</v>
          </cell>
          <cell r="C1685" t="str">
            <v>CS01/8</v>
          </cell>
          <cell r="D1685" t="str">
            <v>SAPH440 P/O</v>
          </cell>
          <cell r="E1685" t="str">
            <v>CA5</v>
          </cell>
          <cell r="F1685">
            <v>4.5</v>
          </cell>
          <cell r="G1685">
            <v>254</v>
          </cell>
          <cell r="H1685" t="str">
            <v>C</v>
          </cell>
          <cell r="I1685" t="str">
            <v>A</v>
          </cell>
          <cell r="J1685" t="str">
            <v>SAB</v>
          </cell>
          <cell r="K1685">
            <v>1</v>
          </cell>
          <cell r="L1685">
            <v>968</v>
          </cell>
          <cell r="M1685">
            <v>60067035</v>
          </cell>
          <cell r="N1685">
            <v>38954</v>
          </cell>
          <cell r="P1685" t="str">
            <v>FN6825N2S327601</v>
          </cell>
          <cell r="Q1685" t="str">
            <v>สภาพปกติ</v>
          </cell>
        </row>
        <row r="1686">
          <cell r="A1686">
            <v>60067036</v>
          </cell>
          <cell r="B1686">
            <v>1685</v>
          </cell>
          <cell r="C1686" t="str">
            <v>CS01/8</v>
          </cell>
          <cell r="D1686" t="str">
            <v>SAPH440 P/O</v>
          </cell>
          <cell r="E1686" t="str">
            <v>CA5</v>
          </cell>
          <cell r="F1686">
            <v>4.5</v>
          </cell>
          <cell r="G1686">
            <v>254</v>
          </cell>
          <cell r="H1686" t="str">
            <v>C</v>
          </cell>
          <cell r="I1686" t="str">
            <v>A</v>
          </cell>
          <cell r="J1686" t="str">
            <v>SAB</v>
          </cell>
          <cell r="K1686">
            <v>1</v>
          </cell>
          <cell r="L1686">
            <v>971</v>
          </cell>
          <cell r="M1686">
            <v>60067036</v>
          </cell>
          <cell r="N1686">
            <v>38954</v>
          </cell>
          <cell r="P1686" t="str">
            <v>FN6825N2S327602</v>
          </cell>
          <cell r="Q1686" t="str">
            <v>สภาพปกติ</v>
          </cell>
        </row>
        <row r="1687">
          <cell r="A1687">
            <v>60067038</v>
          </cell>
          <cell r="B1687">
            <v>1686</v>
          </cell>
          <cell r="C1687" t="str">
            <v>CS01/8</v>
          </cell>
          <cell r="D1687" t="str">
            <v>SAPH440 P/O</v>
          </cell>
          <cell r="E1687" t="str">
            <v>CA5</v>
          </cell>
          <cell r="F1687">
            <v>4.5</v>
          </cell>
          <cell r="G1687">
            <v>254</v>
          </cell>
          <cell r="H1687" t="str">
            <v>C</v>
          </cell>
          <cell r="I1687" t="str">
            <v>A</v>
          </cell>
          <cell r="J1687" t="str">
            <v>SAB</v>
          </cell>
          <cell r="K1687">
            <v>1</v>
          </cell>
          <cell r="L1687">
            <v>971</v>
          </cell>
          <cell r="M1687">
            <v>60067038</v>
          </cell>
          <cell r="N1687">
            <v>38954</v>
          </cell>
          <cell r="P1687" t="str">
            <v>FN6825N2S327603</v>
          </cell>
          <cell r="Q1687" t="str">
            <v>สภาพปกติ</v>
          </cell>
        </row>
        <row r="1688">
          <cell r="A1688">
            <v>60067039</v>
          </cell>
          <cell r="B1688">
            <v>1687</v>
          </cell>
          <cell r="C1688" t="str">
            <v>CS01/8</v>
          </cell>
          <cell r="D1688" t="str">
            <v>SAPH440 P/O</v>
          </cell>
          <cell r="E1688" t="str">
            <v>CA5</v>
          </cell>
          <cell r="F1688">
            <v>4.5</v>
          </cell>
          <cell r="G1688">
            <v>254</v>
          </cell>
          <cell r="H1688" t="str">
            <v>C</v>
          </cell>
          <cell r="I1688" t="str">
            <v>A</v>
          </cell>
          <cell r="J1688" t="str">
            <v>SAB</v>
          </cell>
          <cell r="K1688">
            <v>1</v>
          </cell>
          <cell r="L1688">
            <v>966</v>
          </cell>
          <cell r="M1688">
            <v>60067039</v>
          </cell>
          <cell r="N1688">
            <v>38954</v>
          </cell>
          <cell r="P1688" t="str">
            <v>FN6825N2S327604</v>
          </cell>
          <cell r="Q1688" t="str">
            <v>สภาพปกติ</v>
          </cell>
        </row>
        <row r="1689">
          <cell r="A1689">
            <v>60067042</v>
          </cell>
          <cell r="B1689">
            <v>1688</v>
          </cell>
          <cell r="C1689" t="str">
            <v>CS01/8</v>
          </cell>
          <cell r="D1689" t="str">
            <v>SAPH440 P/O</v>
          </cell>
          <cell r="E1689" t="str">
            <v>CA5</v>
          </cell>
          <cell r="F1689">
            <v>4.5</v>
          </cell>
          <cell r="G1689">
            <v>254</v>
          </cell>
          <cell r="H1689" t="str">
            <v>C</v>
          </cell>
          <cell r="I1689" t="str">
            <v>A</v>
          </cell>
          <cell r="J1689" t="str">
            <v>SAB</v>
          </cell>
          <cell r="K1689">
            <v>1</v>
          </cell>
          <cell r="L1689">
            <v>977</v>
          </cell>
          <cell r="M1689">
            <v>60067042</v>
          </cell>
          <cell r="N1689">
            <v>38954</v>
          </cell>
          <cell r="P1689" t="str">
            <v>FN6825N2S327605</v>
          </cell>
          <cell r="Q1689" t="str">
            <v>สภาพปกติ</v>
          </cell>
        </row>
        <row r="1690">
          <cell r="A1690">
            <v>60067043</v>
          </cell>
          <cell r="B1690">
            <v>1689</v>
          </cell>
          <cell r="C1690" t="str">
            <v>CS01/8</v>
          </cell>
          <cell r="D1690" t="str">
            <v>SAPH440 P/O</v>
          </cell>
          <cell r="E1690" t="str">
            <v>CA5</v>
          </cell>
          <cell r="F1690">
            <v>4.5</v>
          </cell>
          <cell r="G1690">
            <v>254</v>
          </cell>
          <cell r="H1690" t="str">
            <v>C</v>
          </cell>
          <cell r="I1690" t="str">
            <v>A</v>
          </cell>
          <cell r="J1690" t="str">
            <v>SAB</v>
          </cell>
          <cell r="K1690">
            <v>1</v>
          </cell>
          <cell r="L1690">
            <v>977</v>
          </cell>
          <cell r="M1690">
            <v>60067043</v>
          </cell>
          <cell r="N1690">
            <v>38954</v>
          </cell>
          <cell r="P1690" t="str">
            <v>FN6825N2S327606</v>
          </cell>
          <cell r="Q1690" t="str">
            <v>สภาพปกติ</v>
          </cell>
        </row>
        <row r="1691">
          <cell r="A1691">
            <v>60028625</v>
          </cell>
          <cell r="B1691">
            <v>1690</v>
          </cell>
          <cell r="C1691" t="str">
            <v>CS01/8</v>
          </cell>
          <cell r="D1691" t="str">
            <v>SAPH440 P/O</v>
          </cell>
          <cell r="E1691" t="str">
            <v>CA5</v>
          </cell>
          <cell r="F1691">
            <v>0.8</v>
          </cell>
          <cell r="G1691">
            <v>137</v>
          </cell>
          <cell r="H1691" t="str">
            <v>C</v>
          </cell>
          <cell r="I1691" t="str">
            <v>A</v>
          </cell>
          <cell r="J1691" t="str">
            <v>SAB</v>
          </cell>
          <cell r="K1691">
            <v>1</v>
          </cell>
          <cell r="L1691">
            <v>705</v>
          </cell>
          <cell r="M1691">
            <v>60028625</v>
          </cell>
          <cell r="N1691">
            <v>38397</v>
          </cell>
          <cell r="P1691" t="str">
            <v>FN5214D1S717001</v>
          </cell>
          <cell r="Q1691" t="str">
            <v>แผ่นรองและสายรัดเป็นสนิม</v>
          </cell>
        </row>
        <row r="1692">
          <cell r="A1692">
            <v>60028628</v>
          </cell>
          <cell r="B1692">
            <v>1691</v>
          </cell>
          <cell r="C1692" t="str">
            <v>CS01/8</v>
          </cell>
          <cell r="D1692" t="str">
            <v>SAPH440 P/O</v>
          </cell>
          <cell r="E1692" t="str">
            <v>CA5</v>
          </cell>
          <cell r="F1692">
            <v>0.8</v>
          </cell>
          <cell r="G1692">
            <v>137</v>
          </cell>
          <cell r="H1692" t="str">
            <v>C</v>
          </cell>
          <cell r="I1692" t="str">
            <v>A</v>
          </cell>
          <cell r="J1692" t="str">
            <v>SAB</v>
          </cell>
          <cell r="K1692">
            <v>1</v>
          </cell>
          <cell r="L1692">
            <v>705</v>
          </cell>
          <cell r="M1692">
            <v>60028628</v>
          </cell>
          <cell r="N1692">
            <v>38397</v>
          </cell>
          <cell r="P1692" t="str">
            <v>FN5214D1S717002</v>
          </cell>
          <cell r="Q1692" t="str">
            <v>แผ่นรองและสายรัดเป็นสนิม</v>
          </cell>
        </row>
        <row r="1693">
          <cell r="A1693">
            <v>60028630</v>
          </cell>
          <cell r="B1693">
            <v>1692</v>
          </cell>
          <cell r="C1693" t="str">
            <v>CS01/8</v>
          </cell>
          <cell r="D1693" t="str">
            <v>SAPH440 P/O</v>
          </cell>
          <cell r="E1693" t="str">
            <v>CA5</v>
          </cell>
          <cell r="F1693">
            <v>0.8</v>
          </cell>
          <cell r="G1693">
            <v>137</v>
          </cell>
          <cell r="H1693" t="str">
            <v>C</v>
          </cell>
          <cell r="I1693" t="str">
            <v>A</v>
          </cell>
          <cell r="J1693" t="str">
            <v>SAB</v>
          </cell>
          <cell r="K1693">
            <v>1</v>
          </cell>
          <cell r="L1693">
            <v>705</v>
          </cell>
          <cell r="M1693">
            <v>60028630</v>
          </cell>
          <cell r="N1693">
            <v>38397</v>
          </cell>
          <cell r="P1693" t="str">
            <v>FN5214D1S717003</v>
          </cell>
          <cell r="Q1693" t="str">
            <v>แผ่นรองและสายรัดเป็นสนิม</v>
          </cell>
        </row>
        <row r="1694">
          <cell r="A1694">
            <v>60028631</v>
          </cell>
          <cell r="B1694">
            <v>1693</v>
          </cell>
          <cell r="C1694" t="str">
            <v>CS01/8</v>
          </cell>
          <cell r="D1694" t="str">
            <v>SAPH440 P/O</v>
          </cell>
          <cell r="E1694" t="str">
            <v>CA5</v>
          </cell>
          <cell r="F1694">
            <v>0.8</v>
          </cell>
          <cell r="G1694">
            <v>137</v>
          </cell>
          <cell r="H1694" t="str">
            <v>C</v>
          </cell>
          <cell r="I1694" t="str">
            <v>A</v>
          </cell>
          <cell r="J1694" t="str">
            <v>SAB</v>
          </cell>
          <cell r="K1694">
            <v>1</v>
          </cell>
          <cell r="L1694">
            <v>705</v>
          </cell>
          <cell r="M1694">
            <v>60028631</v>
          </cell>
          <cell r="N1694">
            <v>38397</v>
          </cell>
          <cell r="P1694" t="str">
            <v>FN5214D1S717004</v>
          </cell>
          <cell r="Q1694" t="str">
            <v>แผ่นรองและสายรัดเป็นสนิม</v>
          </cell>
        </row>
        <row r="1695">
          <cell r="A1695">
            <v>60028632</v>
          </cell>
          <cell r="B1695">
            <v>1694</v>
          </cell>
          <cell r="C1695" t="str">
            <v>CS01/8</v>
          </cell>
          <cell r="D1695" t="str">
            <v>SAPH440 P/O</v>
          </cell>
          <cell r="E1695" t="str">
            <v>CA5</v>
          </cell>
          <cell r="F1695">
            <v>0.8</v>
          </cell>
          <cell r="G1695">
            <v>137</v>
          </cell>
          <cell r="H1695" t="str">
            <v>C</v>
          </cell>
          <cell r="I1695" t="str">
            <v>A</v>
          </cell>
          <cell r="J1695" t="str">
            <v>SAB</v>
          </cell>
          <cell r="K1695">
            <v>1</v>
          </cell>
          <cell r="L1695">
            <v>705</v>
          </cell>
          <cell r="M1695">
            <v>60028632</v>
          </cell>
          <cell r="N1695">
            <v>38397</v>
          </cell>
          <cell r="P1695" t="str">
            <v>FN5214D1S717005</v>
          </cell>
          <cell r="Q1695" t="str">
            <v>กระดาษฉีกขาด</v>
          </cell>
        </row>
        <row r="1696">
          <cell r="A1696">
            <v>60038873</v>
          </cell>
          <cell r="B1696">
            <v>1695</v>
          </cell>
          <cell r="C1696" t="str">
            <v>CS01/2</v>
          </cell>
          <cell r="D1696" t="str">
            <v>SPCC-SD</v>
          </cell>
          <cell r="E1696" t="str">
            <v>AF1</v>
          </cell>
          <cell r="F1696">
            <v>0.5</v>
          </cell>
          <cell r="G1696">
            <v>46</v>
          </cell>
          <cell r="H1696" t="str">
            <v>C</v>
          </cell>
          <cell r="I1696" t="str">
            <v>A</v>
          </cell>
          <cell r="J1696" t="str">
            <v>PSP</v>
          </cell>
          <cell r="K1696">
            <v>1</v>
          </cell>
          <cell r="L1696">
            <v>158</v>
          </cell>
          <cell r="M1696">
            <v>60038873</v>
          </cell>
          <cell r="N1696">
            <v>38574</v>
          </cell>
          <cell r="P1696" t="str">
            <v>IN5801N1S186101</v>
          </cell>
          <cell r="Q1696" t="str">
            <v>แผ่นรองและสายรัดเป็นสนิม</v>
          </cell>
          <cell r="R1696" t="str">
            <v>COPPY IN 13/9/6</v>
          </cell>
        </row>
        <row r="1697">
          <cell r="A1697">
            <v>60049559</v>
          </cell>
          <cell r="B1697">
            <v>1696</v>
          </cell>
          <cell r="C1697" t="str">
            <v>CS01/2</v>
          </cell>
          <cell r="D1697" t="str">
            <v>SPCC-SD</v>
          </cell>
          <cell r="E1697" t="str">
            <v>AF1</v>
          </cell>
          <cell r="F1697">
            <v>0.6</v>
          </cell>
          <cell r="G1697">
            <v>52</v>
          </cell>
          <cell r="H1697" t="str">
            <v>C</v>
          </cell>
          <cell r="I1697" t="str">
            <v>A</v>
          </cell>
          <cell r="J1697" t="str">
            <v>PSP</v>
          </cell>
          <cell r="K1697">
            <v>1</v>
          </cell>
          <cell r="L1697">
            <v>212</v>
          </cell>
          <cell r="M1697">
            <v>60049559</v>
          </cell>
          <cell r="N1697">
            <v>38732</v>
          </cell>
          <cell r="P1697" t="str">
            <v>FN6115N1S647101</v>
          </cell>
          <cell r="Q1697" t="str">
            <v>แผ่นรองและสายรัดเป็นสนิม</v>
          </cell>
        </row>
        <row r="1698">
          <cell r="A1698">
            <v>60049560</v>
          </cell>
          <cell r="B1698">
            <v>1697</v>
          </cell>
          <cell r="C1698" t="str">
            <v>CS01/2</v>
          </cell>
          <cell r="D1698" t="str">
            <v>SPCC-SD</v>
          </cell>
          <cell r="E1698" t="str">
            <v>AF1</v>
          </cell>
          <cell r="F1698">
            <v>0.6</v>
          </cell>
          <cell r="G1698">
            <v>52</v>
          </cell>
          <cell r="H1698" t="str">
            <v>C</v>
          </cell>
          <cell r="I1698" t="str">
            <v>A</v>
          </cell>
          <cell r="J1698" t="str">
            <v>PSP</v>
          </cell>
          <cell r="K1698">
            <v>1</v>
          </cell>
          <cell r="L1698">
            <v>212</v>
          </cell>
          <cell r="M1698">
            <v>60049560</v>
          </cell>
          <cell r="N1698">
            <v>38732</v>
          </cell>
          <cell r="P1698" t="str">
            <v>FN6115N1S647102</v>
          </cell>
          <cell r="Q1698" t="str">
            <v>แผ่นรองและสายรัดเป็นสนิม</v>
          </cell>
        </row>
        <row r="1699">
          <cell r="A1699">
            <v>60049561</v>
          </cell>
          <cell r="B1699">
            <v>1698</v>
          </cell>
          <cell r="C1699" t="str">
            <v>CS01/2</v>
          </cell>
          <cell r="D1699" t="str">
            <v>SPCC-SD</v>
          </cell>
          <cell r="E1699" t="str">
            <v>AF1</v>
          </cell>
          <cell r="F1699">
            <v>0.6</v>
          </cell>
          <cell r="G1699">
            <v>52</v>
          </cell>
          <cell r="H1699" t="str">
            <v>C</v>
          </cell>
          <cell r="I1699" t="str">
            <v>A</v>
          </cell>
          <cell r="J1699" t="str">
            <v>PSP</v>
          </cell>
          <cell r="K1699">
            <v>1</v>
          </cell>
          <cell r="L1699">
            <v>212</v>
          </cell>
          <cell r="M1699">
            <v>60049561</v>
          </cell>
          <cell r="N1699">
            <v>38732</v>
          </cell>
          <cell r="P1699" t="str">
            <v>FN6115N1S647103</v>
          </cell>
          <cell r="Q1699" t="str">
            <v>แผ่นรองและสายรัดเป็นสนิม</v>
          </cell>
        </row>
        <row r="1700">
          <cell r="A1700">
            <v>60049564</v>
          </cell>
          <cell r="B1700">
            <v>1699</v>
          </cell>
          <cell r="C1700" t="str">
            <v>CS01/2</v>
          </cell>
          <cell r="D1700" t="str">
            <v>SPCC-SD</v>
          </cell>
          <cell r="E1700" t="str">
            <v>AF1</v>
          </cell>
          <cell r="F1700">
            <v>0.6</v>
          </cell>
          <cell r="G1700">
            <v>52</v>
          </cell>
          <cell r="H1700" t="str">
            <v>C</v>
          </cell>
          <cell r="I1700" t="str">
            <v>A</v>
          </cell>
          <cell r="J1700" t="str">
            <v>PSP</v>
          </cell>
          <cell r="K1700">
            <v>1</v>
          </cell>
          <cell r="L1700">
            <v>202</v>
          </cell>
          <cell r="M1700">
            <v>60049564</v>
          </cell>
          <cell r="N1700">
            <v>38732</v>
          </cell>
          <cell r="P1700" t="str">
            <v>FN6115N1S647104</v>
          </cell>
          <cell r="Q1700" t="str">
            <v>แผ่นรองและสายรัดเป็นสนิม</v>
          </cell>
        </row>
        <row r="1701">
          <cell r="A1701">
            <v>60049565</v>
          </cell>
          <cell r="B1701">
            <v>1700</v>
          </cell>
          <cell r="C1701" t="str">
            <v>CS01/2</v>
          </cell>
          <cell r="D1701" t="str">
            <v>SPCC-SD</v>
          </cell>
          <cell r="E1701" t="str">
            <v>AF1</v>
          </cell>
          <cell r="F1701">
            <v>0.6</v>
          </cell>
          <cell r="G1701">
            <v>52</v>
          </cell>
          <cell r="H1701" t="str">
            <v>C</v>
          </cell>
          <cell r="I1701" t="str">
            <v>A</v>
          </cell>
          <cell r="J1701" t="str">
            <v>PSP</v>
          </cell>
          <cell r="K1701">
            <v>1</v>
          </cell>
          <cell r="L1701">
            <v>202</v>
          </cell>
          <cell r="M1701">
            <v>60049565</v>
          </cell>
          <cell r="N1701">
            <v>38732</v>
          </cell>
          <cell r="P1701" t="str">
            <v>FN6115N1S647105</v>
          </cell>
          <cell r="Q1701" t="str">
            <v>แผ่นรองและสายรัดเป็นสนิม</v>
          </cell>
        </row>
        <row r="1702">
          <cell r="A1702">
            <v>60049558</v>
          </cell>
          <cell r="B1702">
            <v>1701</v>
          </cell>
          <cell r="C1702" t="str">
            <v>CS01/2</v>
          </cell>
          <cell r="D1702" t="str">
            <v>SPCC-SD</v>
          </cell>
          <cell r="E1702" t="str">
            <v>AF1</v>
          </cell>
          <cell r="F1702">
            <v>0.6</v>
          </cell>
          <cell r="G1702">
            <v>83</v>
          </cell>
          <cell r="H1702" t="str">
            <v>C</v>
          </cell>
          <cell r="I1702" t="str">
            <v>A</v>
          </cell>
          <cell r="J1702" t="str">
            <v>PSP</v>
          </cell>
          <cell r="K1702">
            <v>1</v>
          </cell>
          <cell r="L1702">
            <v>338</v>
          </cell>
          <cell r="M1702">
            <v>60049558</v>
          </cell>
          <cell r="N1702">
            <v>38732</v>
          </cell>
          <cell r="P1702" t="str">
            <v>FN6115N1S641701</v>
          </cell>
          <cell r="Q1702" t="str">
            <v>แผ่นรองและสายรัดเป็นสนิม</v>
          </cell>
        </row>
        <row r="1703">
          <cell r="A1703">
            <v>60013380</v>
          </cell>
          <cell r="B1703">
            <v>1702</v>
          </cell>
          <cell r="C1703" t="str">
            <v>CS01/2</v>
          </cell>
          <cell r="D1703" t="str">
            <v>SPCC-SD</v>
          </cell>
          <cell r="E1703" t="str">
            <v>AF1</v>
          </cell>
          <cell r="F1703">
            <v>0.6</v>
          </cell>
          <cell r="G1703">
            <v>95</v>
          </cell>
          <cell r="H1703" t="str">
            <v>C</v>
          </cell>
          <cell r="I1703" t="str">
            <v>A</v>
          </cell>
          <cell r="J1703" t="str">
            <v>PSP</v>
          </cell>
          <cell r="K1703">
            <v>1</v>
          </cell>
          <cell r="L1703">
            <v>515</v>
          </cell>
          <cell r="M1703">
            <v>60013380</v>
          </cell>
          <cell r="N1703">
            <v>38098</v>
          </cell>
          <cell r="P1703" t="str">
            <v>FN4421DZZ042101</v>
          </cell>
          <cell r="Q1703" t="str">
            <v>แผ่นรองและสายรัดเป็นสนิม</v>
          </cell>
        </row>
        <row r="1704">
          <cell r="A1704">
            <v>60056799</v>
          </cell>
          <cell r="B1704">
            <v>1703</v>
          </cell>
          <cell r="C1704" t="str">
            <v>CS01/2</v>
          </cell>
          <cell r="D1704" t="str">
            <v>SPCC-SD</v>
          </cell>
          <cell r="E1704" t="str">
            <v>AF1</v>
          </cell>
          <cell r="F1704">
            <v>0.8</v>
          </cell>
          <cell r="G1704">
            <v>162</v>
          </cell>
          <cell r="H1704" t="str">
            <v>C</v>
          </cell>
          <cell r="I1704" t="str">
            <v>A</v>
          </cell>
          <cell r="J1704" t="str">
            <v>PSP</v>
          </cell>
          <cell r="K1704">
            <v>1</v>
          </cell>
          <cell r="L1704">
            <v>126</v>
          </cell>
          <cell r="M1704">
            <v>60056799</v>
          </cell>
          <cell r="N1704">
            <v>38826</v>
          </cell>
          <cell r="O1704" t="str">
            <v>126227SUD008</v>
          </cell>
          <cell r="P1704" t="str">
            <v>FN6419D1S936601</v>
          </cell>
          <cell r="Q1704" t="str">
            <v>แผ่นรองและสายรัดเป็นสนิม</v>
          </cell>
        </row>
        <row r="1705">
          <cell r="A1705">
            <v>60014945</v>
          </cell>
          <cell r="B1705">
            <v>1704</v>
          </cell>
          <cell r="C1705" t="str">
            <v>CS01/2</v>
          </cell>
          <cell r="D1705" t="str">
            <v>SPCC-SD</v>
          </cell>
          <cell r="E1705" t="str">
            <v>AF1</v>
          </cell>
          <cell r="F1705">
            <v>0.8</v>
          </cell>
          <cell r="G1705">
            <v>120.3</v>
          </cell>
          <cell r="H1705" t="str">
            <v>C</v>
          </cell>
          <cell r="I1705" t="str">
            <v>A</v>
          </cell>
          <cell r="J1705" t="str">
            <v>PSP</v>
          </cell>
          <cell r="K1705">
            <v>1</v>
          </cell>
          <cell r="L1705">
            <v>270</v>
          </cell>
          <cell r="M1705">
            <v>60014945</v>
          </cell>
          <cell r="N1705">
            <v>38129</v>
          </cell>
          <cell r="P1705" t="str">
            <v>FN4522NZZ052201</v>
          </cell>
          <cell r="Q1705" t="str">
            <v>แผ่นรองและสายรัดเป็นสนิม</v>
          </cell>
        </row>
        <row r="1706">
          <cell r="A1706">
            <v>60012052</v>
          </cell>
          <cell r="B1706">
            <v>1705</v>
          </cell>
          <cell r="C1706" t="str">
            <v>CS01/2</v>
          </cell>
          <cell r="D1706" t="str">
            <v>SPCC-SD</v>
          </cell>
          <cell r="E1706" t="str">
            <v>AF1</v>
          </cell>
          <cell r="F1706">
            <v>1</v>
          </cell>
          <cell r="G1706">
            <v>45</v>
          </cell>
          <cell r="H1706" t="str">
            <v>C</v>
          </cell>
          <cell r="I1706" t="str">
            <v>A</v>
          </cell>
          <cell r="J1706" t="str">
            <v>PSP</v>
          </cell>
          <cell r="K1706">
            <v>1</v>
          </cell>
          <cell r="L1706">
            <v>270</v>
          </cell>
          <cell r="M1706">
            <v>60012052</v>
          </cell>
          <cell r="N1706" t="str">
            <v>20/C/2004</v>
          </cell>
          <cell r="P1706" t="str">
            <v>FN4C20DZZ031201</v>
          </cell>
          <cell r="Q1706" t="str">
            <v>แผ่นรองและสายรัดเป็นสนิม</v>
          </cell>
        </row>
        <row r="1707">
          <cell r="A1707">
            <v>60012330</v>
          </cell>
          <cell r="B1707">
            <v>1706</v>
          </cell>
          <cell r="C1707" t="str">
            <v>CS01/2</v>
          </cell>
          <cell r="D1707" t="str">
            <v>SPCC-SD</v>
          </cell>
          <cell r="E1707" t="str">
            <v>AF1</v>
          </cell>
          <cell r="F1707">
            <v>1</v>
          </cell>
          <cell r="G1707">
            <v>45</v>
          </cell>
          <cell r="H1707" t="str">
            <v>C</v>
          </cell>
          <cell r="I1707" t="str">
            <v>A</v>
          </cell>
          <cell r="J1707" t="str">
            <v>PSP</v>
          </cell>
          <cell r="K1707">
            <v>1</v>
          </cell>
          <cell r="L1707">
            <v>165</v>
          </cell>
          <cell r="M1707">
            <v>60012330</v>
          </cell>
          <cell r="N1707">
            <v>38063</v>
          </cell>
          <cell r="P1707" t="str">
            <v>FN4C20DZZ031202</v>
          </cell>
          <cell r="Q1707" t="str">
            <v>แผ่นรองและสายรัดเป็นสนิม</v>
          </cell>
        </row>
        <row r="1708">
          <cell r="A1708">
            <v>60012331</v>
          </cell>
          <cell r="B1708">
            <v>1707</v>
          </cell>
          <cell r="C1708" t="str">
            <v>CS01/2</v>
          </cell>
          <cell r="D1708" t="str">
            <v>SPCC-SD</v>
          </cell>
          <cell r="E1708" t="str">
            <v>AF1</v>
          </cell>
          <cell r="F1708">
            <v>1</v>
          </cell>
          <cell r="G1708">
            <v>45</v>
          </cell>
          <cell r="H1708" t="str">
            <v>C</v>
          </cell>
          <cell r="I1708" t="str">
            <v>A</v>
          </cell>
          <cell r="J1708" t="str">
            <v>PSP</v>
          </cell>
          <cell r="K1708">
            <v>1</v>
          </cell>
          <cell r="L1708">
            <v>165</v>
          </cell>
          <cell r="M1708">
            <v>60012331</v>
          </cell>
          <cell r="N1708">
            <v>38063</v>
          </cell>
          <cell r="P1708" t="str">
            <v>FN4C20DZZ031203</v>
          </cell>
          <cell r="Q1708" t="str">
            <v>แผ่นรองและสายรัดเป็นสนิม</v>
          </cell>
        </row>
        <row r="1709">
          <cell r="A1709">
            <v>60037516</v>
          </cell>
          <cell r="B1709">
            <v>1708</v>
          </cell>
          <cell r="C1709" t="str">
            <v>CS01/2</v>
          </cell>
          <cell r="D1709" t="str">
            <v>SPCC-SD</v>
          </cell>
          <cell r="E1709" t="str">
            <v>AF1</v>
          </cell>
          <cell r="F1709">
            <v>1</v>
          </cell>
          <cell r="G1709">
            <v>70</v>
          </cell>
          <cell r="H1709" t="str">
            <v>C</v>
          </cell>
          <cell r="I1709" t="str">
            <v>A</v>
          </cell>
          <cell r="J1709" t="str">
            <v>PSP</v>
          </cell>
          <cell r="K1709">
            <v>1</v>
          </cell>
          <cell r="L1709">
            <v>595</v>
          </cell>
          <cell r="M1709">
            <v>60037516</v>
          </cell>
          <cell r="N1709">
            <v>38545</v>
          </cell>
          <cell r="P1709" t="str">
            <v>FN5712N1S113101</v>
          </cell>
          <cell r="Q1709" t="str">
            <v>สภาพปกติ</v>
          </cell>
        </row>
        <row r="1710">
          <cell r="A1710">
            <v>60029422</v>
          </cell>
          <cell r="B1710">
            <v>1709</v>
          </cell>
          <cell r="C1710" t="str">
            <v>CS01/2</v>
          </cell>
          <cell r="D1710" t="str">
            <v>SPCC-SD</v>
          </cell>
          <cell r="E1710" t="str">
            <v>AF1</v>
          </cell>
          <cell r="F1710">
            <v>1.2</v>
          </cell>
          <cell r="G1710">
            <v>63</v>
          </cell>
          <cell r="H1710" t="str">
            <v>C</v>
          </cell>
          <cell r="I1710" t="str">
            <v>A</v>
          </cell>
          <cell r="J1710" t="str">
            <v>PSP</v>
          </cell>
          <cell r="K1710">
            <v>1</v>
          </cell>
          <cell r="L1710">
            <v>90</v>
          </cell>
          <cell r="M1710">
            <v>60029422</v>
          </cell>
          <cell r="N1710">
            <v>38412</v>
          </cell>
          <cell r="P1710" t="str">
            <v>FN5301D1S746701</v>
          </cell>
          <cell r="Q1710" t="str">
            <v>แผ่นรองและสายรัดเป็นสนิม</v>
          </cell>
        </row>
        <row r="1711">
          <cell r="A1711">
            <v>60029423</v>
          </cell>
          <cell r="B1711">
            <v>1710</v>
          </cell>
          <cell r="C1711" t="str">
            <v>CS01/2</v>
          </cell>
          <cell r="D1711" t="str">
            <v>SPCC-SD</v>
          </cell>
          <cell r="E1711" t="str">
            <v>AF1</v>
          </cell>
          <cell r="F1711">
            <v>1.2</v>
          </cell>
          <cell r="G1711">
            <v>63</v>
          </cell>
          <cell r="H1711" t="str">
            <v>C</v>
          </cell>
          <cell r="I1711" t="str">
            <v>A</v>
          </cell>
          <cell r="J1711" t="str">
            <v>PSP</v>
          </cell>
          <cell r="K1711">
            <v>1</v>
          </cell>
          <cell r="L1711">
            <v>90</v>
          </cell>
          <cell r="M1711">
            <v>60029423</v>
          </cell>
          <cell r="N1711">
            <v>38412</v>
          </cell>
          <cell r="P1711" t="str">
            <v>FN5301D1S746702</v>
          </cell>
          <cell r="Q1711" t="str">
            <v>แผ่นรองและสายรัดเป็นสนิม</v>
          </cell>
        </row>
        <row r="1712">
          <cell r="A1712">
            <v>60029424</v>
          </cell>
          <cell r="B1712">
            <v>1711</v>
          </cell>
          <cell r="C1712" t="str">
            <v>CS01/2</v>
          </cell>
          <cell r="D1712" t="str">
            <v>SPCC-SD</v>
          </cell>
          <cell r="E1712" t="str">
            <v>AF1</v>
          </cell>
          <cell r="F1712">
            <v>1.2</v>
          </cell>
          <cell r="G1712">
            <v>63</v>
          </cell>
          <cell r="H1712" t="str">
            <v>C</v>
          </cell>
          <cell r="I1712" t="str">
            <v>A</v>
          </cell>
          <cell r="J1712" t="str">
            <v>PSP</v>
          </cell>
          <cell r="K1712">
            <v>1</v>
          </cell>
          <cell r="L1712">
            <v>90</v>
          </cell>
          <cell r="M1712">
            <v>60029424</v>
          </cell>
          <cell r="N1712">
            <v>38412</v>
          </cell>
          <cell r="P1712" t="str">
            <v>FN5301D1S746703</v>
          </cell>
          <cell r="Q1712" t="str">
            <v>แผ่นรองและสายรัดเป็นสนิม</v>
          </cell>
        </row>
        <row r="1713">
          <cell r="A1713">
            <v>60029425</v>
          </cell>
          <cell r="B1713">
            <v>1712</v>
          </cell>
          <cell r="C1713" t="str">
            <v>CS01/2</v>
          </cell>
          <cell r="D1713" t="str">
            <v>SPCC-SD</v>
          </cell>
          <cell r="E1713" t="str">
            <v>AF1</v>
          </cell>
          <cell r="F1713">
            <v>1.2</v>
          </cell>
          <cell r="G1713">
            <v>63</v>
          </cell>
          <cell r="H1713" t="str">
            <v>C</v>
          </cell>
          <cell r="I1713" t="str">
            <v>A</v>
          </cell>
          <cell r="J1713" t="str">
            <v>PSP</v>
          </cell>
          <cell r="K1713">
            <v>1</v>
          </cell>
          <cell r="L1713">
            <v>90</v>
          </cell>
          <cell r="M1713">
            <v>60029425</v>
          </cell>
          <cell r="N1713">
            <v>38412</v>
          </cell>
          <cell r="P1713" t="str">
            <v>FN5301D1S746704</v>
          </cell>
          <cell r="Q1713" t="str">
            <v>แผ่นรองและสายรัดเป็นสนิม</v>
          </cell>
        </row>
        <row r="1714">
          <cell r="A1714">
            <v>60012342</v>
          </cell>
          <cell r="B1714">
            <v>1713</v>
          </cell>
          <cell r="C1714" t="str">
            <v>CS01/2</v>
          </cell>
          <cell r="D1714" t="str">
            <v>SPCC-SD</v>
          </cell>
          <cell r="E1714" t="str">
            <v>AF1</v>
          </cell>
          <cell r="F1714">
            <v>1.2</v>
          </cell>
          <cell r="G1714">
            <v>104</v>
          </cell>
          <cell r="H1714" t="str">
            <v>C</v>
          </cell>
          <cell r="I1714" t="str">
            <v>A</v>
          </cell>
          <cell r="J1714" t="str">
            <v>PSP</v>
          </cell>
          <cell r="K1714">
            <v>1</v>
          </cell>
          <cell r="L1714">
            <v>805</v>
          </cell>
          <cell r="M1714">
            <v>60012342</v>
          </cell>
          <cell r="N1714">
            <v>38064</v>
          </cell>
          <cell r="O1714" t="str">
            <v>124317TCD001</v>
          </cell>
          <cell r="P1714" t="str">
            <v>FN4318DZZ031801</v>
          </cell>
          <cell r="Q1714" t="str">
            <v>แผ่นรองและสายรัดเป็นสนิม</v>
          </cell>
        </row>
        <row r="1715">
          <cell r="A1715">
            <v>60019316</v>
          </cell>
          <cell r="B1715">
            <v>1714</v>
          </cell>
          <cell r="C1715" t="str">
            <v>CS01/2</v>
          </cell>
          <cell r="D1715" t="str">
            <v>SPCC-SD</v>
          </cell>
          <cell r="E1715" t="str">
            <v>AF1</v>
          </cell>
          <cell r="F1715">
            <v>1.5</v>
          </cell>
          <cell r="G1715">
            <v>45</v>
          </cell>
          <cell r="H1715" t="str">
            <v>C</v>
          </cell>
          <cell r="I1715" t="str">
            <v>A</v>
          </cell>
          <cell r="J1715" t="str">
            <v>PSP</v>
          </cell>
          <cell r="K1715">
            <v>1</v>
          </cell>
          <cell r="L1715">
            <v>200</v>
          </cell>
          <cell r="M1715">
            <v>60019316</v>
          </cell>
          <cell r="N1715">
            <v>38239</v>
          </cell>
          <cell r="P1715" t="str">
            <v>FN4909D1S229001</v>
          </cell>
          <cell r="Q1715" t="str">
            <v>แผ่นรองและสายรัดเป็นสนิม</v>
          </cell>
        </row>
        <row r="1716">
          <cell r="A1716">
            <v>60042725</v>
          </cell>
          <cell r="B1716">
            <v>1715</v>
          </cell>
          <cell r="C1716" t="str">
            <v>CS01/2</v>
          </cell>
          <cell r="D1716" t="str">
            <v>SPCC-SD</v>
          </cell>
          <cell r="E1716" t="str">
            <v>AF1</v>
          </cell>
          <cell r="F1716">
            <v>1.6</v>
          </cell>
          <cell r="G1716">
            <v>67</v>
          </cell>
          <cell r="H1716" t="str">
            <v>C</v>
          </cell>
          <cell r="I1716" t="str">
            <v>A</v>
          </cell>
          <cell r="J1716" t="str">
            <v>PSP</v>
          </cell>
          <cell r="K1716">
            <v>1</v>
          </cell>
          <cell r="L1716">
            <v>398</v>
          </cell>
          <cell r="M1716">
            <v>60042725</v>
          </cell>
          <cell r="N1716" t="str">
            <v>20/A/5</v>
          </cell>
          <cell r="P1716" t="str">
            <v>FN5A20D2S399601</v>
          </cell>
          <cell r="Q1716" t="str">
            <v>แผ่นรองและสายรัดเป็นสนิม</v>
          </cell>
        </row>
        <row r="1717">
          <cell r="A1717">
            <v>60048186</v>
          </cell>
          <cell r="B1717">
            <v>1716</v>
          </cell>
          <cell r="C1717" t="str">
            <v>CS01/2</v>
          </cell>
          <cell r="D1717" t="str">
            <v>SPCC-SD</v>
          </cell>
          <cell r="E1717" t="str">
            <v>AF1</v>
          </cell>
          <cell r="F1717">
            <v>1.65</v>
          </cell>
          <cell r="G1717">
            <v>67</v>
          </cell>
          <cell r="H1717" t="str">
            <v>C</v>
          </cell>
          <cell r="I1717" t="str">
            <v>A</v>
          </cell>
          <cell r="J1717" t="str">
            <v>PSP</v>
          </cell>
          <cell r="K1717">
            <v>1</v>
          </cell>
          <cell r="L1717">
            <v>504</v>
          </cell>
          <cell r="M1717">
            <v>60048186</v>
          </cell>
          <cell r="N1717" t="str">
            <v>21/C/2005</v>
          </cell>
          <cell r="P1717" t="str">
            <v>FN5C21N1S513502</v>
          </cell>
          <cell r="Q1717" t="str">
            <v>แผ่นรองและสายรัดเป็นสนิม</v>
          </cell>
        </row>
        <row r="1718">
          <cell r="A1718">
            <v>60038383</v>
          </cell>
          <cell r="B1718">
            <v>1717</v>
          </cell>
          <cell r="C1718" t="str">
            <v>CS01/2</v>
          </cell>
          <cell r="D1718" t="str">
            <v>SPCC-SD</v>
          </cell>
          <cell r="E1718" t="str">
            <v>AF1</v>
          </cell>
          <cell r="F1718">
            <v>1.6</v>
          </cell>
          <cell r="G1718">
            <v>114</v>
          </cell>
          <cell r="H1718" t="str">
            <v>C</v>
          </cell>
          <cell r="I1718" t="str">
            <v>A</v>
          </cell>
          <cell r="J1718" t="str">
            <v>PSP</v>
          </cell>
          <cell r="K1718">
            <v>1</v>
          </cell>
          <cell r="L1718">
            <v>96</v>
          </cell>
          <cell r="M1718">
            <v>60038383</v>
          </cell>
          <cell r="N1718">
            <v>38567</v>
          </cell>
          <cell r="P1718" t="str">
            <v>FN5803D1S192301</v>
          </cell>
          <cell r="Q1718" t="str">
            <v>สภาพปกติ</v>
          </cell>
        </row>
        <row r="1719">
          <cell r="A1719">
            <v>60038431</v>
          </cell>
          <cell r="B1719">
            <v>1718</v>
          </cell>
          <cell r="C1719" t="str">
            <v>CS01/2</v>
          </cell>
          <cell r="D1719" t="str">
            <v>SPCC-SD</v>
          </cell>
          <cell r="E1719" t="str">
            <v>AF1</v>
          </cell>
          <cell r="F1719">
            <v>1.6</v>
          </cell>
          <cell r="G1719">
            <v>114</v>
          </cell>
          <cell r="H1719" t="str">
            <v>C</v>
          </cell>
          <cell r="I1719" t="str">
            <v>A</v>
          </cell>
          <cell r="J1719" t="str">
            <v>PSP</v>
          </cell>
          <cell r="K1719">
            <v>1</v>
          </cell>
          <cell r="L1719">
            <v>181</v>
          </cell>
          <cell r="M1719">
            <v>60038431</v>
          </cell>
          <cell r="N1719">
            <v>38568</v>
          </cell>
          <cell r="P1719" t="str">
            <v>FN5804N1S191902</v>
          </cell>
          <cell r="Q1719" t="str">
            <v>สภาพปกติ</v>
          </cell>
        </row>
        <row r="1720">
          <cell r="A1720">
            <v>60015636</v>
          </cell>
          <cell r="B1720">
            <v>1719</v>
          </cell>
          <cell r="C1720" t="str">
            <v>CS01/2</v>
          </cell>
          <cell r="D1720" t="str">
            <v>SPCC-SD</v>
          </cell>
          <cell r="E1720" t="str">
            <v>AF1</v>
          </cell>
          <cell r="F1720">
            <v>1.6</v>
          </cell>
          <cell r="G1720">
            <v>46.7</v>
          </cell>
          <cell r="H1720" t="str">
            <v>C</v>
          </cell>
          <cell r="I1720" t="str">
            <v>A</v>
          </cell>
          <cell r="J1720" t="str">
            <v>PSP</v>
          </cell>
          <cell r="K1720">
            <v>1</v>
          </cell>
          <cell r="L1720">
            <v>150</v>
          </cell>
          <cell r="M1720">
            <v>60015636</v>
          </cell>
          <cell r="N1720">
            <v>38146</v>
          </cell>
          <cell r="P1720" t="str">
            <v>FN4608DZZ060801</v>
          </cell>
          <cell r="Q1720" t="str">
            <v>แผ่นรองและสายรัดเป็นสนิม</v>
          </cell>
        </row>
        <row r="1721">
          <cell r="A1721">
            <v>60023024</v>
          </cell>
          <cell r="B1721">
            <v>1720</v>
          </cell>
          <cell r="C1721" t="str">
            <v>CS01/2</v>
          </cell>
          <cell r="D1721" t="str">
            <v>SPCC-SD</v>
          </cell>
          <cell r="E1721" t="str">
            <v>AF1</v>
          </cell>
          <cell r="F1721">
            <v>1.6</v>
          </cell>
          <cell r="G1721">
            <v>124.6</v>
          </cell>
          <cell r="H1721" t="str">
            <v>C</v>
          </cell>
          <cell r="I1721" t="str">
            <v>A</v>
          </cell>
          <cell r="J1721" t="str">
            <v>PSP</v>
          </cell>
          <cell r="K1721">
            <v>1</v>
          </cell>
          <cell r="L1721">
            <v>205</v>
          </cell>
          <cell r="M1721">
            <v>60023024</v>
          </cell>
          <cell r="N1721" t="str">
            <v>9/B/2004</v>
          </cell>
          <cell r="P1721" t="str">
            <v>FN4B09D15467301</v>
          </cell>
          <cell r="Q1721" t="str">
            <v>แผ่นรองและสายรัดเป็นสนิม</v>
          </cell>
        </row>
        <row r="1722">
          <cell r="A1722">
            <v>60021396</v>
          </cell>
          <cell r="B1722">
            <v>1721</v>
          </cell>
          <cell r="C1722" t="str">
            <v>CS01/2</v>
          </cell>
          <cell r="D1722" t="str">
            <v>SPCC-SD</v>
          </cell>
          <cell r="E1722" t="str">
            <v>AF1</v>
          </cell>
          <cell r="F1722">
            <v>2</v>
          </cell>
          <cell r="G1722">
            <v>52</v>
          </cell>
          <cell r="H1722" t="str">
            <v>C</v>
          </cell>
          <cell r="I1722" t="str">
            <v>A</v>
          </cell>
          <cell r="J1722" t="str">
            <v>PSP</v>
          </cell>
          <cell r="K1722">
            <v>1</v>
          </cell>
          <cell r="L1722">
            <v>330</v>
          </cell>
          <cell r="M1722">
            <v>60021396</v>
          </cell>
          <cell r="N1722" t="str">
            <v>11/A/2004</v>
          </cell>
          <cell r="P1722" t="str">
            <v>FN4A11N1S391701</v>
          </cell>
          <cell r="Q1722" t="str">
            <v>สภาพปกติ</v>
          </cell>
        </row>
        <row r="1723">
          <cell r="A1723">
            <v>60021397</v>
          </cell>
          <cell r="B1723">
            <v>1722</v>
          </cell>
          <cell r="C1723" t="str">
            <v>CS01/2</v>
          </cell>
          <cell r="D1723" t="str">
            <v>SPCC-SD</v>
          </cell>
          <cell r="E1723" t="str">
            <v>AF1</v>
          </cell>
          <cell r="F1723">
            <v>2</v>
          </cell>
          <cell r="G1723">
            <v>52</v>
          </cell>
          <cell r="H1723" t="str">
            <v>C</v>
          </cell>
          <cell r="I1723" t="str">
            <v>A</v>
          </cell>
          <cell r="J1723" t="str">
            <v>PSP</v>
          </cell>
          <cell r="K1723">
            <v>1</v>
          </cell>
          <cell r="L1723">
            <v>330</v>
          </cell>
          <cell r="M1723">
            <v>60021397</v>
          </cell>
          <cell r="N1723" t="str">
            <v>11/A/2004</v>
          </cell>
          <cell r="P1723" t="str">
            <v>FN4A11N1S391702</v>
          </cell>
          <cell r="Q1723" t="str">
            <v>สภาพปกติ</v>
          </cell>
        </row>
        <row r="1724">
          <cell r="A1724">
            <v>60021398</v>
          </cell>
          <cell r="B1724">
            <v>1723</v>
          </cell>
          <cell r="C1724" t="str">
            <v>CS01/2</v>
          </cell>
          <cell r="D1724" t="str">
            <v>SPCC-SD</v>
          </cell>
          <cell r="E1724" t="str">
            <v>AF1</v>
          </cell>
          <cell r="F1724">
            <v>2</v>
          </cell>
          <cell r="G1724">
            <v>52</v>
          </cell>
          <cell r="H1724" t="str">
            <v>C</v>
          </cell>
          <cell r="I1724" t="str">
            <v>A</v>
          </cell>
          <cell r="J1724" t="str">
            <v>PSP</v>
          </cell>
          <cell r="K1724">
            <v>1</v>
          </cell>
          <cell r="L1724">
            <v>330</v>
          </cell>
          <cell r="M1724">
            <v>60021398</v>
          </cell>
          <cell r="N1724" t="str">
            <v>11/A/2004</v>
          </cell>
          <cell r="P1724" t="str">
            <v>FN4A11N1S391703</v>
          </cell>
          <cell r="Q1724" t="str">
            <v>สภาพปกติ</v>
          </cell>
        </row>
        <row r="1725">
          <cell r="A1725">
            <v>60021429</v>
          </cell>
          <cell r="B1725">
            <v>1724</v>
          </cell>
          <cell r="C1725" t="str">
            <v>CS01/2</v>
          </cell>
          <cell r="D1725" t="str">
            <v>SPCC-SD</v>
          </cell>
          <cell r="E1725" t="str">
            <v>AF1</v>
          </cell>
          <cell r="F1725">
            <v>2</v>
          </cell>
          <cell r="G1725">
            <v>98</v>
          </cell>
          <cell r="H1725" t="str">
            <v>C</v>
          </cell>
          <cell r="I1725" t="str">
            <v>A</v>
          </cell>
          <cell r="J1725" t="str">
            <v>PSP</v>
          </cell>
          <cell r="K1725">
            <v>1</v>
          </cell>
          <cell r="L1725">
            <v>435</v>
          </cell>
          <cell r="M1725">
            <v>60021429</v>
          </cell>
          <cell r="N1725" t="str">
            <v>28/A/2004</v>
          </cell>
          <cell r="P1725" t="str">
            <v>FN4A28D1S396901</v>
          </cell>
          <cell r="Q1725" t="str">
            <v>สภาพปกติ</v>
          </cell>
        </row>
        <row r="1726">
          <cell r="A1726">
            <v>60021430</v>
          </cell>
          <cell r="B1726">
            <v>1725</v>
          </cell>
          <cell r="C1726" t="str">
            <v>CS01/2</v>
          </cell>
          <cell r="D1726" t="str">
            <v>SPCC-SD</v>
          </cell>
          <cell r="E1726" t="str">
            <v>AF1</v>
          </cell>
          <cell r="F1726">
            <v>2</v>
          </cell>
          <cell r="G1726">
            <v>98</v>
          </cell>
          <cell r="H1726" t="str">
            <v>C</v>
          </cell>
          <cell r="I1726" t="str">
            <v>A</v>
          </cell>
          <cell r="J1726" t="str">
            <v>PSP</v>
          </cell>
          <cell r="K1726">
            <v>1</v>
          </cell>
          <cell r="L1726">
            <v>435</v>
          </cell>
          <cell r="M1726">
            <v>60021430</v>
          </cell>
          <cell r="N1726" t="str">
            <v>28/A/2004</v>
          </cell>
          <cell r="P1726" t="str">
            <v>FN4A28D1S396902</v>
          </cell>
          <cell r="Q1726" t="str">
            <v>สภาพปกติ</v>
          </cell>
        </row>
        <row r="1727">
          <cell r="A1727">
            <v>60021443</v>
          </cell>
          <cell r="B1727">
            <v>1726</v>
          </cell>
          <cell r="C1727" t="str">
            <v>CS01/2</v>
          </cell>
          <cell r="D1727" t="str">
            <v>SPCC-SD</v>
          </cell>
          <cell r="E1727" t="str">
            <v>AF1</v>
          </cell>
          <cell r="F1727">
            <v>2</v>
          </cell>
          <cell r="G1727">
            <v>98</v>
          </cell>
          <cell r="H1727" t="str">
            <v>C</v>
          </cell>
          <cell r="I1727" t="str">
            <v>A</v>
          </cell>
          <cell r="J1727" t="str">
            <v>PSP</v>
          </cell>
          <cell r="K1727">
            <v>1</v>
          </cell>
          <cell r="L1727">
            <v>435</v>
          </cell>
          <cell r="M1727">
            <v>60021443</v>
          </cell>
          <cell r="N1727" t="str">
            <v>12/A/2004</v>
          </cell>
          <cell r="P1727" t="str">
            <v>FN4A12D1S396903</v>
          </cell>
          <cell r="Q1727" t="str">
            <v>สภาพปกติ</v>
          </cell>
        </row>
        <row r="1728">
          <cell r="A1728">
            <v>60021444</v>
          </cell>
          <cell r="B1728">
            <v>1727</v>
          </cell>
          <cell r="C1728" t="str">
            <v>CS01/2</v>
          </cell>
          <cell r="D1728" t="str">
            <v>SPCC-SD</v>
          </cell>
          <cell r="E1728" t="str">
            <v>AF1</v>
          </cell>
          <cell r="F1728">
            <v>2</v>
          </cell>
          <cell r="G1728">
            <v>98</v>
          </cell>
          <cell r="H1728" t="str">
            <v>C</v>
          </cell>
          <cell r="I1728" t="str">
            <v>A</v>
          </cell>
          <cell r="J1728" t="str">
            <v>PSP</v>
          </cell>
          <cell r="K1728">
            <v>1</v>
          </cell>
          <cell r="L1728">
            <v>435</v>
          </cell>
          <cell r="M1728">
            <v>60021444</v>
          </cell>
          <cell r="N1728" t="str">
            <v>12/A/2004</v>
          </cell>
          <cell r="P1728" t="str">
            <v>FN4A12D1S396904</v>
          </cell>
          <cell r="Q1728" t="str">
            <v>สภาพปกติ</v>
          </cell>
        </row>
        <row r="1729">
          <cell r="A1729">
            <v>60021450</v>
          </cell>
          <cell r="B1729">
            <v>1728</v>
          </cell>
          <cell r="C1729" t="str">
            <v>CS01/2</v>
          </cell>
          <cell r="D1729" t="str">
            <v>SPCC-SD</v>
          </cell>
          <cell r="E1729" t="str">
            <v>AF1</v>
          </cell>
          <cell r="F1729">
            <v>2</v>
          </cell>
          <cell r="G1729">
            <v>98</v>
          </cell>
          <cell r="H1729" t="str">
            <v>C</v>
          </cell>
          <cell r="I1729" t="str">
            <v>A</v>
          </cell>
          <cell r="J1729" t="str">
            <v>PSP</v>
          </cell>
          <cell r="K1729">
            <v>1</v>
          </cell>
          <cell r="L1729">
            <v>425</v>
          </cell>
          <cell r="M1729">
            <v>60021450</v>
          </cell>
          <cell r="N1729" t="str">
            <v>12/A/2004</v>
          </cell>
          <cell r="P1729" t="str">
            <v>FN4A12D1S396905</v>
          </cell>
          <cell r="Q1729" t="str">
            <v>สภาพปกติ</v>
          </cell>
        </row>
        <row r="1730">
          <cell r="A1730">
            <v>60021451</v>
          </cell>
          <cell r="B1730">
            <v>1729</v>
          </cell>
          <cell r="C1730" t="str">
            <v>CS01/2</v>
          </cell>
          <cell r="D1730" t="str">
            <v>SPCC-SD</v>
          </cell>
          <cell r="E1730" t="str">
            <v>AF1</v>
          </cell>
          <cell r="F1730">
            <v>2</v>
          </cell>
          <cell r="G1730">
            <v>98</v>
          </cell>
          <cell r="H1730" t="str">
            <v>C</v>
          </cell>
          <cell r="I1730" t="str">
            <v>A</v>
          </cell>
          <cell r="J1730" t="str">
            <v>PSP</v>
          </cell>
          <cell r="K1730">
            <v>1</v>
          </cell>
          <cell r="L1730">
            <v>425</v>
          </cell>
          <cell r="M1730">
            <v>60021451</v>
          </cell>
          <cell r="N1730" t="str">
            <v>12/A/2004</v>
          </cell>
          <cell r="P1730" t="str">
            <v>FN4A12D1S396906</v>
          </cell>
          <cell r="Q1730" t="str">
            <v>สภาพปกติ</v>
          </cell>
        </row>
        <row r="1731">
          <cell r="A1731">
            <v>60011976</v>
          </cell>
          <cell r="B1731">
            <v>1730</v>
          </cell>
          <cell r="C1731" t="str">
            <v>CS01/2</v>
          </cell>
          <cell r="D1731" t="str">
            <v>SPCC-SD</v>
          </cell>
          <cell r="E1731" t="str">
            <v>AF1</v>
          </cell>
          <cell r="F1731">
            <v>2.2999999999999998</v>
          </cell>
          <cell r="G1731">
            <v>42</v>
          </cell>
          <cell r="H1731" t="str">
            <v>C</v>
          </cell>
          <cell r="I1731" t="str">
            <v>A</v>
          </cell>
          <cell r="J1731" t="str">
            <v>TSA</v>
          </cell>
          <cell r="K1731">
            <v>1</v>
          </cell>
          <cell r="L1731">
            <v>235</v>
          </cell>
          <cell r="M1731">
            <v>60011976</v>
          </cell>
          <cell r="N1731">
            <v>38056</v>
          </cell>
          <cell r="P1731" t="str">
            <v>FN4310NZZ031001</v>
          </cell>
          <cell r="Q1731" t="str">
            <v>สภาพปกติ</v>
          </cell>
        </row>
        <row r="1732">
          <cell r="A1732">
            <v>60011992</v>
          </cell>
          <cell r="B1732">
            <v>1731</v>
          </cell>
          <cell r="C1732" t="str">
            <v>CS01/2</v>
          </cell>
          <cell r="D1732" t="str">
            <v>SPCC-SD</v>
          </cell>
          <cell r="E1732" t="str">
            <v>AF1</v>
          </cell>
          <cell r="F1732">
            <v>2.2999999999999998</v>
          </cell>
          <cell r="G1732">
            <v>42</v>
          </cell>
          <cell r="H1732" t="str">
            <v>C</v>
          </cell>
          <cell r="I1732" t="str">
            <v>A</v>
          </cell>
          <cell r="J1732" t="str">
            <v>TSA</v>
          </cell>
          <cell r="K1732">
            <v>1</v>
          </cell>
          <cell r="L1732">
            <v>220</v>
          </cell>
          <cell r="M1732">
            <v>60011992</v>
          </cell>
          <cell r="N1732">
            <v>38057</v>
          </cell>
          <cell r="P1732" t="str">
            <v>FN4311DZZ031102</v>
          </cell>
          <cell r="Q1732" t="str">
            <v>สภาพปกติ</v>
          </cell>
        </row>
        <row r="1733">
          <cell r="A1733">
            <v>60038884</v>
          </cell>
          <cell r="B1733">
            <v>1732</v>
          </cell>
          <cell r="C1733" t="str">
            <v>CS01/2</v>
          </cell>
          <cell r="D1733" t="str">
            <v>SPCC-SD</v>
          </cell>
          <cell r="E1733" t="str">
            <v>AF1</v>
          </cell>
          <cell r="F1733">
            <v>3</v>
          </cell>
          <cell r="G1733">
            <v>80</v>
          </cell>
          <cell r="H1733" t="str">
            <v>C</v>
          </cell>
          <cell r="I1733" t="str">
            <v>A</v>
          </cell>
          <cell r="J1733" t="str">
            <v>PSP</v>
          </cell>
          <cell r="K1733">
            <v>1</v>
          </cell>
          <cell r="L1733">
            <v>292</v>
          </cell>
          <cell r="M1733">
            <v>60038884</v>
          </cell>
          <cell r="N1733">
            <v>38574</v>
          </cell>
          <cell r="P1733" t="str">
            <v>FN5810D2S187801</v>
          </cell>
          <cell r="Q1733" t="str">
            <v>สภาพปกติ</v>
          </cell>
        </row>
        <row r="1734">
          <cell r="A1734">
            <v>60038889</v>
          </cell>
          <cell r="B1734">
            <v>1733</v>
          </cell>
          <cell r="C1734" t="str">
            <v>CS01/2</v>
          </cell>
          <cell r="D1734" t="str">
            <v>SPCC-SD</v>
          </cell>
          <cell r="E1734" t="str">
            <v>AF1</v>
          </cell>
          <cell r="F1734">
            <v>3</v>
          </cell>
          <cell r="G1734">
            <v>80</v>
          </cell>
          <cell r="H1734" t="str">
            <v>C</v>
          </cell>
          <cell r="I1734" t="str">
            <v>A</v>
          </cell>
          <cell r="J1734" t="str">
            <v>PSP</v>
          </cell>
          <cell r="K1734">
            <v>1</v>
          </cell>
          <cell r="L1734">
            <v>292</v>
          </cell>
          <cell r="M1734">
            <v>60038889</v>
          </cell>
          <cell r="N1734">
            <v>38574</v>
          </cell>
          <cell r="P1734" t="str">
            <v>FN5810D2S187802</v>
          </cell>
          <cell r="Q1734" t="str">
            <v>สภาพปกติ</v>
          </cell>
        </row>
        <row r="1735">
          <cell r="A1735">
            <v>60038890</v>
          </cell>
          <cell r="B1735">
            <v>1734</v>
          </cell>
          <cell r="C1735" t="str">
            <v>CS01/2</v>
          </cell>
          <cell r="D1735" t="str">
            <v>SPCC-SD</v>
          </cell>
          <cell r="E1735" t="str">
            <v>AF1</v>
          </cell>
          <cell r="F1735">
            <v>3</v>
          </cell>
          <cell r="G1735">
            <v>80</v>
          </cell>
          <cell r="H1735" t="str">
            <v>C</v>
          </cell>
          <cell r="I1735" t="str">
            <v>A</v>
          </cell>
          <cell r="J1735" t="str">
            <v>PSP</v>
          </cell>
          <cell r="K1735">
            <v>1</v>
          </cell>
          <cell r="L1735">
            <v>275</v>
          </cell>
          <cell r="M1735">
            <v>60038890</v>
          </cell>
          <cell r="N1735">
            <v>38574</v>
          </cell>
          <cell r="P1735" t="str">
            <v>FN5810D2S187803</v>
          </cell>
          <cell r="Q1735" t="str">
            <v>สภาพปกติ</v>
          </cell>
        </row>
        <row r="1736">
          <cell r="A1736">
            <v>60038895</v>
          </cell>
          <cell r="B1736">
            <v>1735</v>
          </cell>
          <cell r="C1736" t="str">
            <v>CS01/2</v>
          </cell>
          <cell r="D1736" t="str">
            <v>SPCC-SD</v>
          </cell>
          <cell r="E1736" t="str">
            <v>AF1</v>
          </cell>
          <cell r="F1736">
            <v>3</v>
          </cell>
          <cell r="G1736">
            <v>80</v>
          </cell>
          <cell r="H1736" t="str">
            <v>C</v>
          </cell>
          <cell r="I1736" t="str">
            <v>A</v>
          </cell>
          <cell r="J1736" t="str">
            <v>PSP</v>
          </cell>
          <cell r="K1736">
            <v>1</v>
          </cell>
          <cell r="L1736">
            <v>275</v>
          </cell>
          <cell r="M1736">
            <v>60038895</v>
          </cell>
          <cell r="N1736">
            <v>38574</v>
          </cell>
          <cell r="P1736" t="str">
            <v>FN5810D2S187804</v>
          </cell>
          <cell r="Q1736" t="str">
            <v>สภาพปกติ</v>
          </cell>
        </row>
        <row r="1737">
          <cell r="A1737">
            <v>60038908</v>
          </cell>
          <cell r="B1737">
            <v>1736</v>
          </cell>
          <cell r="C1737" t="str">
            <v>CS01/2</v>
          </cell>
          <cell r="D1737" t="str">
            <v>SPCC-SD</v>
          </cell>
          <cell r="E1737" t="str">
            <v>AF1</v>
          </cell>
          <cell r="F1737">
            <v>3</v>
          </cell>
          <cell r="G1737">
            <v>80</v>
          </cell>
          <cell r="H1737" t="str">
            <v>C</v>
          </cell>
          <cell r="I1737" t="str">
            <v>A</v>
          </cell>
          <cell r="J1737" t="str">
            <v>PSP</v>
          </cell>
          <cell r="K1737">
            <v>1</v>
          </cell>
          <cell r="L1737">
            <v>306</v>
          </cell>
          <cell r="M1737">
            <v>60038908</v>
          </cell>
          <cell r="N1737">
            <v>38574</v>
          </cell>
          <cell r="P1737" t="str">
            <v>FN5810D2S187805</v>
          </cell>
          <cell r="Q1737" t="str">
            <v>สภาพปกติ</v>
          </cell>
        </row>
        <row r="1738">
          <cell r="A1738">
            <v>60038913</v>
          </cell>
          <cell r="B1738">
            <v>1737</v>
          </cell>
          <cell r="C1738" t="str">
            <v>CS01/2</v>
          </cell>
          <cell r="D1738" t="str">
            <v>SPCC-SD</v>
          </cell>
          <cell r="E1738" t="str">
            <v>AF1</v>
          </cell>
          <cell r="F1738">
            <v>3</v>
          </cell>
          <cell r="G1738">
            <v>80</v>
          </cell>
          <cell r="H1738" t="str">
            <v>C</v>
          </cell>
          <cell r="I1738" t="str">
            <v>A</v>
          </cell>
          <cell r="J1738" t="str">
            <v>PSP</v>
          </cell>
          <cell r="K1738">
            <v>1</v>
          </cell>
          <cell r="L1738">
            <v>306</v>
          </cell>
          <cell r="M1738">
            <v>60038913</v>
          </cell>
          <cell r="N1738">
            <v>38574</v>
          </cell>
          <cell r="P1738" t="str">
            <v>FN5810D2S187806</v>
          </cell>
          <cell r="Q1738" t="str">
            <v>สภาพปกติ</v>
          </cell>
        </row>
        <row r="1739">
          <cell r="A1739">
            <v>60038914</v>
          </cell>
          <cell r="B1739">
            <v>1738</v>
          </cell>
          <cell r="C1739" t="str">
            <v>CS01/2</v>
          </cell>
          <cell r="D1739" t="str">
            <v>SPCC-SD</v>
          </cell>
          <cell r="E1739" t="str">
            <v>AF1</v>
          </cell>
          <cell r="F1739">
            <v>3</v>
          </cell>
          <cell r="G1739">
            <v>80</v>
          </cell>
          <cell r="H1739" t="str">
            <v>C</v>
          </cell>
          <cell r="I1739" t="str">
            <v>A</v>
          </cell>
          <cell r="J1739" t="str">
            <v>PSP</v>
          </cell>
          <cell r="K1739">
            <v>1</v>
          </cell>
          <cell r="L1739">
            <v>290</v>
          </cell>
          <cell r="M1739">
            <v>60038914</v>
          </cell>
          <cell r="N1739">
            <v>38574</v>
          </cell>
          <cell r="P1739" t="str">
            <v>FN5810D2S187807</v>
          </cell>
          <cell r="Q1739" t="str">
            <v>สภาพปกติ</v>
          </cell>
        </row>
        <row r="1740">
          <cell r="A1740">
            <v>60038919</v>
          </cell>
          <cell r="B1740">
            <v>1739</v>
          </cell>
          <cell r="C1740" t="str">
            <v>CS01/2</v>
          </cell>
          <cell r="D1740" t="str">
            <v>SPCC-SD</v>
          </cell>
          <cell r="E1740" t="str">
            <v>AF1</v>
          </cell>
          <cell r="F1740">
            <v>3</v>
          </cell>
          <cell r="G1740">
            <v>80</v>
          </cell>
          <cell r="H1740" t="str">
            <v>C</v>
          </cell>
          <cell r="I1740" t="str">
            <v>A</v>
          </cell>
          <cell r="J1740" t="str">
            <v>PSP</v>
          </cell>
          <cell r="K1740">
            <v>1</v>
          </cell>
          <cell r="L1740">
            <v>290</v>
          </cell>
          <cell r="M1740">
            <v>60038919</v>
          </cell>
          <cell r="N1740">
            <v>38574</v>
          </cell>
          <cell r="P1740" t="str">
            <v>FN5810D2S187808</v>
          </cell>
          <cell r="Q1740" t="str">
            <v>สภาพปกติ</v>
          </cell>
        </row>
        <row r="1741">
          <cell r="A1741">
            <v>60002661</v>
          </cell>
          <cell r="B1741">
            <v>1740</v>
          </cell>
          <cell r="C1741" t="str">
            <v>CS01/2</v>
          </cell>
          <cell r="D1741" t="str">
            <v>SPCC-SD</v>
          </cell>
          <cell r="E1741" t="str">
            <v>AF1</v>
          </cell>
          <cell r="F1741">
            <v>3</v>
          </cell>
          <cell r="G1741">
            <v>245</v>
          </cell>
          <cell r="H1741" t="str">
            <v>C</v>
          </cell>
          <cell r="I1741" t="str">
            <v>A</v>
          </cell>
          <cell r="J1741" t="str">
            <v>PSP</v>
          </cell>
          <cell r="K1741">
            <v>1</v>
          </cell>
          <cell r="L1741">
            <v>905</v>
          </cell>
          <cell r="M1741">
            <v>60002661</v>
          </cell>
          <cell r="N1741">
            <v>37786</v>
          </cell>
          <cell r="P1741" t="str">
            <v>FN3614DZZ061401</v>
          </cell>
          <cell r="Q1741" t="str">
            <v>สภาพปกติ</v>
          </cell>
        </row>
        <row r="1742">
          <cell r="A1742">
            <v>60002666</v>
          </cell>
          <cell r="B1742">
            <v>1741</v>
          </cell>
          <cell r="C1742" t="str">
            <v>CS01/2</v>
          </cell>
          <cell r="D1742" t="str">
            <v>SPCC-SD</v>
          </cell>
          <cell r="E1742" t="str">
            <v>AF1</v>
          </cell>
          <cell r="F1742">
            <v>3</v>
          </cell>
          <cell r="G1742">
            <v>245</v>
          </cell>
          <cell r="H1742" t="str">
            <v>C</v>
          </cell>
          <cell r="I1742" t="str">
            <v>A</v>
          </cell>
          <cell r="J1742" t="str">
            <v>PSP</v>
          </cell>
          <cell r="K1742">
            <v>1</v>
          </cell>
          <cell r="L1742">
            <v>940</v>
          </cell>
          <cell r="M1742">
            <v>60002666</v>
          </cell>
          <cell r="N1742">
            <v>37786</v>
          </cell>
          <cell r="P1742" t="str">
            <v>FN3614DZZ061402</v>
          </cell>
          <cell r="Q1742" t="str">
            <v>สภาพปกติ</v>
          </cell>
        </row>
        <row r="1743">
          <cell r="A1743">
            <v>60012375</v>
          </cell>
          <cell r="B1743">
            <v>1742</v>
          </cell>
          <cell r="C1743" t="str">
            <v>CS01/2</v>
          </cell>
          <cell r="D1743" t="str">
            <v>SPCEN-SD</v>
          </cell>
          <cell r="E1743" t="str">
            <v>AF3</v>
          </cell>
          <cell r="F1743">
            <v>0.7</v>
          </cell>
          <cell r="G1743">
            <v>90</v>
          </cell>
          <cell r="H1743" t="str">
            <v>C</v>
          </cell>
          <cell r="I1743" t="str">
            <v>A</v>
          </cell>
          <cell r="J1743" t="str">
            <v>PSP</v>
          </cell>
          <cell r="K1743">
            <v>1</v>
          </cell>
          <cell r="L1743">
            <v>745</v>
          </cell>
          <cell r="M1743">
            <v>60012375</v>
          </cell>
          <cell r="N1743">
            <v>38064</v>
          </cell>
          <cell r="P1743" t="str">
            <v>FN4318DZZ031801</v>
          </cell>
          <cell r="Q1743" t="str">
            <v>แผ่นรองและสายรัดเป็นสนิม</v>
          </cell>
        </row>
        <row r="1744">
          <cell r="A1744">
            <v>60014624</v>
          </cell>
          <cell r="B1744">
            <v>1743</v>
          </cell>
          <cell r="C1744" t="str">
            <v>CS01/2</v>
          </cell>
          <cell r="D1744" t="str">
            <v>SPCEN-SD</v>
          </cell>
          <cell r="E1744" t="str">
            <v>AF3</v>
          </cell>
          <cell r="F1744">
            <v>0.7</v>
          </cell>
          <cell r="G1744">
            <v>175</v>
          </cell>
          <cell r="H1744" t="str">
            <v>C</v>
          </cell>
          <cell r="I1744" t="str">
            <v>A</v>
          </cell>
          <cell r="J1744" t="str">
            <v>PSP</v>
          </cell>
          <cell r="K1744">
            <v>1</v>
          </cell>
          <cell r="L1744">
            <v>875</v>
          </cell>
          <cell r="M1744">
            <v>60014624</v>
          </cell>
          <cell r="N1744">
            <v>38121</v>
          </cell>
          <cell r="P1744" t="str">
            <v>FN4514DZZ051401</v>
          </cell>
          <cell r="Q1744" t="str">
            <v>แผ่นรองและสายรัดเป็นสนิม</v>
          </cell>
        </row>
        <row r="1745">
          <cell r="A1745">
            <v>60060378</v>
          </cell>
          <cell r="B1745">
            <v>1744</v>
          </cell>
          <cell r="C1745" t="str">
            <v>CS01/2</v>
          </cell>
          <cell r="D1745" t="str">
            <v>SPCEN-SD</v>
          </cell>
          <cell r="E1745" t="str">
            <v>AF3</v>
          </cell>
          <cell r="F1745">
            <v>0.8</v>
          </cell>
          <cell r="G1745">
            <v>110</v>
          </cell>
          <cell r="H1745" t="str">
            <v>C</v>
          </cell>
          <cell r="I1745" t="str">
            <v>A</v>
          </cell>
          <cell r="J1745" t="str">
            <v>PSP</v>
          </cell>
          <cell r="K1745">
            <v>1</v>
          </cell>
          <cell r="L1745">
            <v>558</v>
          </cell>
          <cell r="M1745">
            <v>60060378</v>
          </cell>
          <cell r="N1745">
            <v>38866</v>
          </cell>
          <cell r="P1745" t="str">
            <v>FN6529D1S055601</v>
          </cell>
          <cell r="Q1745" t="str">
            <v>สภาพปกติ</v>
          </cell>
        </row>
        <row r="1746">
          <cell r="A1746">
            <v>60046029</v>
          </cell>
          <cell r="B1746">
            <v>1745</v>
          </cell>
          <cell r="C1746" t="str">
            <v>CS01/2</v>
          </cell>
          <cell r="D1746" t="str">
            <v>SPCEN-SD</v>
          </cell>
          <cell r="E1746" t="str">
            <v>AF3</v>
          </cell>
          <cell r="F1746">
            <v>0.8</v>
          </cell>
          <cell r="G1746">
            <v>114</v>
          </cell>
          <cell r="H1746" t="str">
            <v>C</v>
          </cell>
          <cell r="I1746" t="str">
            <v>A</v>
          </cell>
          <cell r="J1746" t="str">
            <v>TSA</v>
          </cell>
          <cell r="K1746">
            <v>1</v>
          </cell>
          <cell r="L1746">
            <v>428</v>
          </cell>
          <cell r="M1746">
            <v>60046029</v>
          </cell>
          <cell r="N1746" t="str">
            <v>26/B/2005</v>
          </cell>
          <cell r="P1746" t="str">
            <v>FN5B26D1S447101</v>
          </cell>
          <cell r="Q1746" t="str">
            <v>สภาพปกติ</v>
          </cell>
        </row>
        <row r="1747">
          <cell r="A1747">
            <v>60046030</v>
          </cell>
          <cell r="B1747">
            <v>1746</v>
          </cell>
          <cell r="C1747" t="str">
            <v>CS01/2</v>
          </cell>
          <cell r="D1747" t="str">
            <v>SPCEN-SD</v>
          </cell>
          <cell r="E1747" t="str">
            <v>AF3</v>
          </cell>
          <cell r="F1747">
            <v>0.8</v>
          </cell>
          <cell r="G1747">
            <v>114</v>
          </cell>
          <cell r="H1747" t="str">
            <v>C</v>
          </cell>
          <cell r="I1747" t="str">
            <v>A</v>
          </cell>
          <cell r="J1747" t="str">
            <v>TSA</v>
          </cell>
          <cell r="K1747">
            <v>1</v>
          </cell>
          <cell r="L1747">
            <v>428</v>
          </cell>
          <cell r="M1747">
            <v>60046030</v>
          </cell>
          <cell r="N1747" t="str">
            <v>26/B/2005</v>
          </cell>
          <cell r="P1747" t="str">
            <v>FN5B26D1S447102</v>
          </cell>
          <cell r="Q1747" t="str">
            <v>สภาพปกติ</v>
          </cell>
        </row>
        <row r="1748">
          <cell r="A1748">
            <v>60046031</v>
          </cell>
          <cell r="B1748">
            <v>1747</v>
          </cell>
          <cell r="C1748" t="str">
            <v>CS01/2</v>
          </cell>
          <cell r="D1748" t="str">
            <v>SPCEN-SD</v>
          </cell>
          <cell r="E1748" t="str">
            <v>AF3</v>
          </cell>
          <cell r="F1748">
            <v>0.8</v>
          </cell>
          <cell r="G1748">
            <v>114</v>
          </cell>
          <cell r="H1748" t="str">
            <v>C</v>
          </cell>
          <cell r="I1748" t="str">
            <v>A</v>
          </cell>
          <cell r="J1748" t="str">
            <v>TSA</v>
          </cell>
          <cell r="K1748">
            <v>1</v>
          </cell>
          <cell r="L1748">
            <v>428</v>
          </cell>
          <cell r="M1748">
            <v>60046031</v>
          </cell>
          <cell r="N1748" t="str">
            <v>26/B/2005</v>
          </cell>
          <cell r="P1748" t="str">
            <v>FN5B26D1S447103</v>
          </cell>
          <cell r="Q1748" t="str">
            <v>สภาพปกติ</v>
          </cell>
        </row>
        <row r="1749">
          <cell r="A1749">
            <v>60061189</v>
          </cell>
          <cell r="B1749">
            <v>1748</v>
          </cell>
          <cell r="C1749" t="str">
            <v>CS01/2</v>
          </cell>
          <cell r="D1749" t="str">
            <v>SPCEN-SD</v>
          </cell>
          <cell r="E1749" t="str">
            <v>AF3</v>
          </cell>
          <cell r="F1749">
            <v>0.8</v>
          </cell>
          <cell r="G1749">
            <v>140</v>
          </cell>
          <cell r="H1749" t="str">
            <v>C</v>
          </cell>
          <cell r="I1749" t="str">
            <v>A</v>
          </cell>
          <cell r="J1749" t="str">
            <v>PSP</v>
          </cell>
          <cell r="K1749">
            <v>1</v>
          </cell>
          <cell r="L1749">
            <v>700</v>
          </cell>
          <cell r="M1749">
            <v>60061189</v>
          </cell>
          <cell r="N1749">
            <v>38875</v>
          </cell>
          <cell r="P1749" t="str">
            <v>FN6604D1S090401</v>
          </cell>
          <cell r="Q1749" t="str">
            <v>สภาพปกติ</v>
          </cell>
        </row>
        <row r="1750">
          <cell r="A1750">
            <v>60062452</v>
          </cell>
          <cell r="B1750">
            <v>1749</v>
          </cell>
          <cell r="C1750" t="str">
            <v>CS01/2</v>
          </cell>
          <cell r="D1750" t="str">
            <v>SPCEN-SD</v>
          </cell>
          <cell r="E1750" t="str">
            <v>AF3</v>
          </cell>
          <cell r="F1750">
            <v>0.8</v>
          </cell>
          <cell r="G1750">
            <v>300</v>
          </cell>
          <cell r="H1750" t="str">
            <v>C</v>
          </cell>
          <cell r="I1750" t="str">
            <v>A</v>
          </cell>
          <cell r="J1750" t="str">
            <v>PSP</v>
          </cell>
          <cell r="K1750">
            <v>1</v>
          </cell>
          <cell r="L1750">
            <v>194</v>
          </cell>
          <cell r="M1750">
            <v>60062452</v>
          </cell>
          <cell r="N1750">
            <v>38895</v>
          </cell>
          <cell r="P1750" t="str">
            <v>FN6627N1S145501</v>
          </cell>
          <cell r="Q1750" t="str">
            <v>แผ่นรองและสายรัดเป็นสนิม</v>
          </cell>
        </row>
        <row r="1751">
          <cell r="A1751">
            <v>60019462</v>
          </cell>
          <cell r="B1751">
            <v>1750</v>
          </cell>
          <cell r="C1751" t="str">
            <v>CS01/2</v>
          </cell>
          <cell r="D1751" t="str">
            <v>SPCEN-SD</v>
          </cell>
          <cell r="E1751" t="str">
            <v>AF3</v>
          </cell>
          <cell r="F1751">
            <v>0.9</v>
          </cell>
          <cell r="G1751">
            <v>65</v>
          </cell>
          <cell r="H1751" t="str">
            <v>C</v>
          </cell>
          <cell r="I1751" t="str">
            <v>A</v>
          </cell>
          <cell r="J1751" t="str">
            <v>PSP</v>
          </cell>
          <cell r="K1751">
            <v>1</v>
          </cell>
          <cell r="L1751">
            <v>575</v>
          </cell>
          <cell r="M1751">
            <v>60019462</v>
          </cell>
          <cell r="N1751">
            <v>38241</v>
          </cell>
          <cell r="P1751" t="str">
            <v>FN4911N1S309101</v>
          </cell>
          <cell r="Q1751" t="str">
            <v>แผ่นรองและสายรัดเป็นสนิม</v>
          </cell>
        </row>
        <row r="1752">
          <cell r="A1752">
            <v>60014023</v>
          </cell>
          <cell r="B1752">
            <v>1751</v>
          </cell>
          <cell r="C1752" t="str">
            <v>CS01/2</v>
          </cell>
          <cell r="D1752" t="str">
            <v>SPCEN-SD</v>
          </cell>
          <cell r="E1752" t="str">
            <v>AF3</v>
          </cell>
          <cell r="F1752">
            <v>0.9</v>
          </cell>
          <cell r="G1752">
            <v>90</v>
          </cell>
          <cell r="H1752" t="str">
            <v>C</v>
          </cell>
          <cell r="I1752" t="str">
            <v>A</v>
          </cell>
          <cell r="J1752" t="str">
            <v>PSP</v>
          </cell>
          <cell r="K1752">
            <v>1</v>
          </cell>
          <cell r="L1752">
            <v>345</v>
          </cell>
          <cell r="M1752">
            <v>60014023</v>
          </cell>
          <cell r="N1752">
            <v>38110</v>
          </cell>
          <cell r="P1752" t="str">
            <v>FN4503NZZ503801</v>
          </cell>
          <cell r="Q1752" t="str">
            <v>กระดาษฉีกขาดมแผ่นรองและสายรัดเป็นสนิม</v>
          </cell>
        </row>
        <row r="1753">
          <cell r="A1753">
            <v>60049577</v>
          </cell>
          <cell r="B1753">
            <v>1752</v>
          </cell>
          <cell r="C1753" t="str">
            <v>CS01/2</v>
          </cell>
          <cell r="D1753" t="str">
            <v>SPCEN-SD</v>
          </cell>
          <cell r="E1753" t="str">
            <v>AF3</v>
          </cell>
          <cell r="F1753">
            <v>0.9</v>
          </cell>
          <cell r="G1753">
            <v>220</v>
          </cell>
          <cell r="H1753" t="str">
            <v>C</v>
          </cell>
          <cell r="I1753" t="str">
            <v>A</v>
          </cell>
          <cell r="J1753" t="str">
            <v>PSP</v>
          </cell>
          <cell r="K1753">
            <v>1</v>
          </cell>
          <cell r="L1753">
            <v>288</v>
          </cell>
          <cell r="M1753">
            <v>60049577</v>
          </cell>
          <cell r="N1753">
            <v>38733</v>
          </cell>
          <cell r="P1753" t="str">
            <v>FN6116D1S626501</v>
          </cell>
          <cell r="Q1753" t="str">
            <v>แผ่นรองและสายรัดเป็นสนิม</v>
          </cell>
        </row>
        <row r="1754">
          <cell r="A1754">
            <v>60049579</v>
          </cell>
          <cell r="B1754">
            <v>1753</v>
          </cell>
          <cell r="C1754" t="str">
            <v>CS01/2</v>
          </cell>
          <cell r="D1754" t="str">
            <v>SPCEN-SD</v>
          </cell>
          <cell r="E1754" t="str">
            <v>AF3</v>
          </cell>
          <cell r="F1754">
            <v>0.9</v>
          </cell>
          <cell r="G1754">
            <v>220</v>
          </cell>
          <cell r="H1754" t="str">
            <v>C</v>
          </cell>
          <cell r="I1754" t="str">
            <v>A</v>
          </cell>
          <cell r="J1754" t="str">
            <v>PSP</v>
          </cell>
          <cell r="K1754">
            <v>1</v>
          </cell>
          <cell r="L1754">
            <v>286</v>
          </cell>
          <cell r="M1754">
            <v>60049579</v>
          </cell>
          <cell r="N1754">
            <v>38733</v>
          </cell>
          <cell r="P1754" t="str">
            <v>FN6116D1S626502</v>
          </cell>
          <cell r="Q1754" t="str">
            <v>แผ่นรองและสายรัดเป็นสนิม</v>
          </cell>
        </row>
        <row r="1755">
          <cell r="A1755">
            <v>60013263</v>
          </cell>
          <cell r="B1755">
            <v>1754</v>
          </cell>
          <cell r="C1755" t="str">
            <v>CS01/2</v>
          </cell>
          <cell r="D1755" t="str">
            <v>SPCEN-SD</v>
          </cell>
          <cell r="E1755" t="str">
            <v>AF3</v>
          </cell>
          <cell r="F1755">
            <v>1</v>
          </cell>
          <cell r="G1755">
            <v>41</v>
          </cell>
          <cell r="H1755" t="str">
            <v>C</v>
          </cell>
          <cell r="I1755" t="str">
            <v>A</v>
          </cell>
          <cell r="J1755" t="str">
            <v>PSP</v>
          </cell>
          <cell r="K1755">
            <v>1</v>
          </cell>
          <cell r="L1755">
            <v>140</v>
          </cell>
          <cell r="M1755">
            <v>60013263</v>
          </cell>
          <cell r="N1755">
            <v>38086</v>
          </cell>
          <cell r="P1755" t="str">
            <v>FN4409DZZ040901</v>
          </cell>
          <cell r="Q1755" t="str">
            <v>แผ่นรองและสายรัดเป็นสนิม</v>
          </cell>
        </row>
        <row r="1756">
          <cell r="A1756">
            <v>60013264</v>
          </cell>
          <cell r="B1756">
            <v>1755</v>
          </cell>
          <cell r="C1756" t="str">
            <v>CS01/2</v>
          </cell>
          <cell r="D1756" t="str">
            <v>SPCEN-SD</v>
          </cell>
          <cell r="E1756" t="str">
            <v>AF3</v>
          </cell>
          <cell r="F1756">
            <v>1</v>
          </cell>
          <cell r="G1756">
            <v>41</v>
          </cell>
          <cell r="H1756" t="str">
            <v>C</v>
          </cell>
          <cell r="I1756" t="str">
            <v>A</v>
          </cell>
          <cell r="J1756" t="str">
            <v>PSP</v>
          </cell>
          <cell r="K1756">
            <v>1</v>
          </cell>
          <cell r="L1756">
            <v>140</v>
          </cell>
          <cell r="M1756">
            <v>60013264</v>
          </cell>
          <cell r="N1756">
            <v>38086</v>
          </cell>
          <cell r="P1756" t="str">
            <v>FN4409DZZ040902</v>
          </cell>
          <cell r="Q1756" t="str">
            <v>แผ่นรองและสายรัดเป็นสนิม</v>
          </cell>
        </row>
        <row r="1757">
          <cell r="A1757">
            <v>60058288</v>
          </cell>
          <cell r="B1757">
            <v>1756</v>
          </cell>
          <cell r="C1757" t="str">
            <v>CS01/2</v>
          </cell>
          <cell r="D1757" t="str">
            <v>SPCEN-SD</v>
          </cell>
          <cell r="E1757" t="str">
            <v>AF3</v>
          </cell>
          <cell r="F1757">
            <v>1</v>
          </cell>
          <cell r="G1757">
            <v>150</v>
          </cell>
          <cell r="H1757" t="str">
            <v>C</v>
          </cell>
          <cell r="I1757" t="str">
            <v>A</v>
          </cell>
          <cell r="J1757" t="str">
            <v>PSP</v>
          </cell>
          <cell r="K1757">
            <v>1</v>
          </cell>
          <cell r="L1757">
            <v>152</v>
          </cell>
          <cell r="M1757">
            <v>60058288</v>
          </cell>
          <cell r="N1757">
            <v>38841</v>
          </cell>
          <cell r="P1757" t="str">
            <v>FN6504N1S987901</v>
          </cell>
          <cell r="Q1757" t="str">
            <v>แผ่นรองและสายรัดเป็นสนิม</v>
          </cell>
        </row>
        <row r="1758">
          <cell r="A1758">
            <v>60010701</v>
          </cell>
          <cell r="B1758">
            <v>1757</v>
          </cell>
          <cell r="C1758" t="str">
            <v>CS01/2</v>
          </cell>
          <cell r="D1758" t="str">
            <v>SPCEN-SD</v>
          </cell>
          <cell r="E1758" t="str">
            <v>AF3</v>
          </cell>
          <cell r="F1758">
            <v>1.6</v>
          </cell>
          <cell r="G1758">
            <v>82</v>
          </cell>
          <cell r="H1758" t="str">
            <v>C</v>
          </cell>
          <cell r="I1758" t="str">
            <v>A</v>
          </cell>
          <cell r="J1758" t="str">
            <v>PSP</v>
          </cell>
          <cell r="K1758">
            <v>1</v>
          </cell>
          <cell r="L1758">
            <v>335</v>
          </cell>
          <cell r="M1758">
            <v>60010701</v>
          </cell>
          <cell r="N1758">
            <v>38026</v>
          </cell>
          <cell r="P1758" t="str">
            <v>FN4209DZZ020901</v>
          </cell>
          <cell r="Q1758" t="str">
            <v>แผ่นรองและสายรัดเป็นสนิม</v>
          </cell>
        </row>
        <row r="1759">
          <cell r="A1759">
            <v>60010702</v>
          </cell>
          <cell r="B1759">
            <v>1758</v>
          </cell>
          <cell r="C1759" t="str">
            <v>CS01/2</v>
          </cell>
          <cell r="D1759" t="str">
            <v>SPCEN-SD</v>
          </cell>
          <cell r="E1759" t="str">
            <v>AF3</v>
          </cell>
          <cell r="F1759">
            <v>1.6</v>
          </cell>
          <cell r="G1759">
            <v>82</v>
          </cell>
          <cell r="H1759" t="str">
            <v>C</v>
          </cell>
          <cell r="I1759" t="str">
            <v>A</v>
          </cell>
          <cell r="J1759" t="str">
            <v>PSP</v>
          </cell>
          <cell r="K1759">
            <v>1</v>
          </cell>
          <cell r="L1759">
            <v>335</v>
          </cell>
          <cell r="M1759">
            <v>60010702</v>
          </cell>
          <cell r="N1759">
            <v>38029</v>
          </cell>
          <cell r="P1759" t="str">
            <v>FN4212DZZ021202</v>
          </cell>
          <cell r="Q1759" t="str">
            <v>แผ่นรองและสายรัดเป็นสนิม</v>
          </cell>
        </row>
        <row r="1760">
          <cell r="A1760">
            <v>60012599</v>
          </cell>
          <cell r="B1760">
            <v>1759</v>
          </cell>
          <cell r="C1760" t="str">
            <v>CS01/2</v>
          </cell>
          <cell r="D1760" t="str">
            <v>SPCEN-SD</v>
          </cell>
          <cell r="E1760" t="str">
            <v>AF3</v>
          </cell>
          <cell r="F1760">
            <v>1.6</v>
          </cell>
          <cell r="G1760">
            <v>82</v>
          </cell>
          <cell r="H1760" t="str">
            <v>C</v>
          </cell>
          <cell r="I1760" t="str">
            <v>A</v>
          </cell>
          <cell r="J1760" t="str">
            <v>PSP</v>
          </cell>
          <cell r="K1760">
            <v>1</v>
          </cell>
          <cell r="L1760">
            <v>640</v>
          </cell>
          <cell r="M1760">
            <v>60012599</v>
          </cell>
          <cell r="N1760">
            <v>38058</v>
          </cell>
          <cell r="P1760" t="str">
            <v>FN4322NZZ032403</v>
          </cell>
          <cell r="Q1760" t="str">
            <v>แผ่นรองและสายรัดเป็นสนิม</v>
          </cell>
        </row>
        <row r="1761">
          <cell r="A1761">
            <v>60012759</v>
          </cell>
          <cell r="B1761">
            <v>1760</v>
          </cell>
          <cell r="C1761" t="str">
            <v>CS01/2</v>
          </cell>
          <cell r="D1761" t="str">
            <v>SPCEN-SD</v>
          </cell>
          <cell r="E1761" t="str">
            <v>AF3</v>
          </cell>
          <cell r="F1761">
            <v>1.6</v>
          </cell>
          <cell r="G1761">
            <v>82</v>
          </cell>
          <cell r="H1761" t="str">
            <v>C</v>
          </cell>
          <cell r="I1761" t="str">
            <v>A</v>
          </cell>
          <cell r="J1761" t="str">
            <v>TSA</v>
          </cell>
          <cell r="K1761">
            <v>1</v>
          </cell>
          <cell r="L1761">
            <v>525</v>
          </cell>
          <cell r="M1761">
            <v>60012759</v>
          </cell>
          <cell r="N1761">
            <v>38071</v>
          </cell>
          <cell r="P1761" t="str">
            <v>FN4325DZZ032504</v>
          </cell>
          <cell r="Q1761" t="str">
            <v>แผ่นรองและสายรัดเป็นสนิม</v>
          </cell>
        </row>
        <row r="1762">
          <cell r="A1762">
            <v>60012241</v>
          </cell>
          <cell r="B1762">
            <v>1761</v>
          </cell>
          <cell r="C1762" t="str">
            <v>CS01/2</v>
          </cell>
          <cell r="D1762" t="str">
            <v>SPCEN-SD</v>
          </cell>
          <cell r="E1762" t="str">
            <v>AF3</v>
          </cell>
          <cell r="F1762">
            <v>2</v>
          </cell>
          <cell r="G1762">
            <v>70</v>
          </cell>
          <cell r="H1762" t="str">
            <v>C</v>
          </cell>
          <cell r="I1762" t="str">
            <v>A</v>
          </cell>
          <cell r="J1762" t="str">
            <v>PSP</v>
          </cell>
          <cell r="K1762">
            <v>1</v>
          </cell>
          <cell r="L1762">
            <v>385</v>
          </cell>
          <cell r="M1762">
            <v>60012241</v>
          </cell>
          <cell r="N1762">
            <v>38062</v>
          </cell>
          <cell r="P1762" t="str">
            <v>FN4316NZZ031601</v>
          </cell>
          <cell r="Q1762" t="str">
            <v>แผ่นรองและสายรัดเป็นสนิม</v>
          </cell>
        </row>
        <row r="1763">
          <cell r="A1763">
            <v>60024828</v>
          </cell>
          <cell r="B1763">
            <v>1762</v>
          </cell>
          <cell r="C1763" t="str">
            <v>CS01/2</v>
          </cell>
          <cell r="D1763" t="str">
            <v>SPHC P/O</v>
          </cell>
          <cell r="E1763" t="str">
            <v>CA1</v>
          </cell>
          <cell r="F1763">
            <v>1.2</v>
          </cell>
          <cell r="G1763">
            <v>35</v>
          </cell>
          <cell r="H1763" t="str">
            <v>C</v>
          </cell>
          <cell r="I1763" t="str">
            <v>A</v>
          </cell>
          <cell r="J1763" t="str">
            <v>PSP</v>
          </cell>
          <cell r="K1763">
            <v>1</v>
          </cell>
          <cell r="L1763">
            <v>140</v>
          </cell>
          <cell r="M1763">
            <v>60024828</v>
          </cell>
          <cell r="N1763" t="str">
            <v>15/C/2004</v>
          </cell>
          <cell r="P1763" t="str">
            <v>FN4C15N1S561101</v>
          </cell>
          <cell r="Q1763" t="str">
            <v>แผ่นรองและสายรัดเป็นสนิม</v>
          </cell>
        </row>
        <row r="1764">
          <cell r="A1764">
            <v>60022346</v>
          </cell>
          <cell r="B1764">
            <v>1763</v>
          </cell>
          <cell r="C1764" t="str">
            <v>CS01/2</v>
          </cell>
          <cell r="D1764" t="str">
            <v>SPHC P/O</v>
          </cell>
          <cell r="E1764" t="str">
            <v>CA1</v>
          </cell>
          <cell r="F1764">
            <v>1.4</v>
          </cell>
          <cell r="G1764">
            <v>73</v>
          </cell>
          <cell r="H1764" t="str">
            <v>C</v>
          </cell>
          <cell r="I1764" t="str">
            <v>A</v>
          </cell>
          <cell r="J1764" t="str">
            <v>PSP</v>
          </cell>
          <cell r="K1764">
            <v>1</v>
          </cell>
          <cell r="L1764">
            <v>200</v>
          </cell>
          <cell r="M1764">
            <v>60022346</v>
          </cell>
          <cell r="N1764" t="str">
            <v>1/B/2004</v>
          </cell>
          <cell r="P1764" t="str">
            <v>FN4B01D1S444801</v>
          </cell>
          <cell r="Q1764" t="str">
            <v>แผ่นรองและสายรัดเป็นสนิม</v>
          </cell>
        </row>
        <row r="1765">
          <cell r="A1765">
            <v>60022347</v>
          </cell>
          <cell r="B1765">
            <v>1764</v>
          </cell>
          <cell r="C1765" t="str">
            <v>CS01/2</v>
          </cell>
          <cell r="D1765" t="str">
            <v>SPHC P/O</v>
          </cell>
          <cell r="E1765" t="str">
            <v>CA1</v>
          </cell>
          <cell r="F1765">
            <v>1.4</v>
          </cell>
          <cell r="G1765">
            <v>73</v>
          </cell>
          <cell r="H1765" t="str">
            <v>C</v>
          </cell>
          <cell r="I1765" t="str">
            <v>A</v>
          </cell>
          <cell r="J1765" t="str">
            <v>PSP</v>
          </cell>
          <cell r="K1765">
            <v>1</v>
          </cell>
          <cell r="L1765">
            <v>200</v>
          </cell>
          <cell r="M1765">
            <v>60022347</v>
          </cell>
          <cell r="N1765" t="str">
            <v>1/B/2004</v>
          </cell>
          <cell r="P1765" t="str">
            <v>FN4B01D1S444802</v>
          </cell>
          <cell r="Q1765" t="str">
            <v>แผ่นรองและสายรัดเป็นสนิม</v>
          </cell>
        </row>
        <row r="1766">
          <cell r="A1766">
            <v>60022348</v>
          </cell>
          <cell r="B1766">
            <v>1765</v>
          </cell>
          <cell r="C1766" t="str">
            <v>CS01/2</v>
          </cell>
          <cell r="D1766" t="str">
            <v>SPHC P/O</v>
          </cell>
          <cell r="E1766" t="str">
            <v>CA1</v>
          </cell>
          <cell r="F1766">
            <v>1.4</v>
          </cell>
          <cell r="G1766">
            <v>73</v>
          </cell>
          <cell r="H1766" t="str">
            <v>C</v>
          </cell>
          <cell r="I1766" t="str">
            <v>A</v>
          </cell>
          <cell r="J1766" t="str">
            <v>PSP</v>
          </cell>
          <cell r="K1766">
            <v>1</v>
          </cell>
          <cell r="L1766">
            <v>200</v>
          </cell>
          <cell r="M1766">
            <v>60022348</v>
          </cell>
          <cell r="N1766" t="str">
            <v>1/B/2004</v>
          </cell>
          <cell r="P1766" t="str">
            <v>FN4B01D1S444803</v>
          </cell>
          <cell r="Q1766" t="str">
            <v>แผ่นรองและสายรัดเป็นสนิม</v>
          </cell>
        </row>
        <row r="1767">
          <cell r="A1767">
            <v>60057109</v>
          </cell>
          <cell r="B1767">
            <v>1766</v>
          </cell>
          <cell r="C1767" t="str">
            <v>CS01/2</v>
          </cell>
          <cell r="D1767" t="str">
            <v>SPHC P/O</v>
          </cell>
          <cell r="E1767" t="str">
            <v>CA1</v>
          </cell>
          <cell r="F1767">
            <v>1.4</v>
          </cell>
          <cell r="G1767">
            <v>265</v>
          </cell>
          <cell r="H1767" t="str">
            <v>C</v>
          </cell>
          <cell r="I1767" t="str">
            <v>A</v>
          </cell>
          <cell r="J1767" t="str">
            <v>PSP</v>
          </cell>
          <cell r="K1767">
            <v>1</v>
          </cell>
          <cell r="L1767">
            <v>564</v>
          </cell>
          <cell r="M1767">
            <v>60057109</v>
          </cell>
          <cell r="N1767">
            <v>38829</v>
          </cell>
          <cell r="P1767" t="str">
            <v>FN6422N2S948501</v>
          </cell>
          <cell r="Q1767" t="str">
            <v>สภาพปกติ</v>
          </cell>
        </row>
        <row r="1768">
          <cell r="A1768">
            <v>60022586</v>
          </cell>
          <cell r="B1768">
            <v>1767</v>
          </cell>
          <cell r="C1768" t="str">
            <v>CS01/2</v>
          </cell>
          <cell r="D1768" t="str">
            <v>SPHC P/O</v>
          </cell>
          <cell r="E1768" t="str">
            <v>CA1</v>
          </cell>
          <cell r="F1768">
            <v>1.6</v>
          </cell>
          <cell r="G1768">
            <v>70</v>
          </cell>
          <cell r="H1768" t="str">
            <v>C</v>
          </cell>
          <cell r="I1768" t="str">
            <v>A</v>
          </cell>
          <cell r="J1768" t="str">
            <v>PSP</v>
          </cell>
          <cell r="K1768">
            <v>1</v>
          </cell>
          <cell r="L1768">
            <v>180</v>
          </cell>
          <cell r="M1768">
            <v>60022586</v>
          </cell>
          <cell r="N1768" t="str">
            <v>4/B/2004</v>
          </cell>
          <cell r="P1768" t="str">
            <v>FN4B04D1S451101</v>
          </cell>
          <cell r="Q1768" t="str">
            <v>แผ่นรองและสายรัดเป็นสนิม</v>
          </cell>
        </row>
        <row r="1769">
          <cell r="A1769">
            <v>60022590</v>
          </cell>
          <cell r="B1769">
            <v>1768</v>
          </cell>
          <cell r="C1769" t="str">
            <v>CS01/2</v>
          </cell>
          <cell r="D1769" t="str">
            <v>SPHC P/O</v>
          </cell>
          <cell r="E1769" t="str">
            <v>CA1</v>
          </cell>
          <cell r="F1769">
            <v>1.6</v>
          </cell>
          <cell r="G1769">
            <v>70</v>
          </cell>
          <cell r="H1769" t="str">
            <v>C</v>
          </cell>
          <cell r="I1769" t="str">
            <v>A</v>
          </cell>
          <cell r="J1769" t="str">
            <v>PSP</v>
          </cell>
          <cell r="K1769">
            <v>1</v>
          </cell>
          <cell r="L1769">
            <v>170</v>
          </cell>
          <cell r="M1769">
            <v>60022590</v>
          </cell>
          <cell r="N1769" t="str">
            <v>4/B/2004</v>
          </cell>
          <cell r="P1769" t="str">
            <v>FN4B04D1S451102</v>
          </cell>
          <cell r="Q1769" t="str">
            <v>แผ่นรองและสายรัดเป็นสนิม</v>
          </cell>
        </row>
        <row r="1770">
          <cell r="A1770">
            <v>60013961</v>
          </cell>
          <cell r="B1770">
            <v>1769</v>
          </cell>
          <cell r="C1770" t="str">
            <v>CS01/2</v>
          </cell>
          <cell r="D1770" t="str">
            <v>SPHC P/O</v>
          </cell>
          <cell r="E1770" t="str">
            <v>CA1</v>
          </cell>
          <cell r="F1770">
            <v>1.8</v>
          </cell>
          <cell r="G1770">
            <v>145</v>
          </cell>
          <cell r="H1770" t="str">
            <v>C</v>
          </cell>
          <cell r="I1770" t="str">
            <v>A</v>
          </cell>
          <cell r="J1770" t="str">
            <v>PSP</v>
          </cell>
          <cell r="K1770">
            <v>1</v>
          </cell>
          <cell r="L1770">
            <v>840</v>
          </cell>
          <cell r="M1770">
            <v>60013961</v>
          </cell>
          <cell r="N1770">
            <v>38110</v>
          </cell>
          <cell r="P1770" t="str">
            <v>FN4503DZZ050301</v>
          </cell>
          <cell r="Q1770" t="str">
            <v>แผ่นรองและสายรัดเป็นสนิม</v>
          </cell>
        </row>
        <row r="1771">
          <cell r="A1771">
            <v>60033739</v>
          </cell>
          <cell r="B1771">
            <v>1770</v>
          </cell>
          <cell r="C1771" t="str">
            <v>CS01/2</v>
          </cell>
          <cell r="D1771" t="str">
            <v>SPHC P/O</v>
          </cell>
          <cell r="E1771" t="str">
            <v>CA1</v>
          </cell>
          <cell r="F1771">
            <v>1.8</v>
          </cell>
          <cell r="G1771">
            <v>145</v>
          </cell>
          <cell r="H1771" t="str">
            <v>C</v>
          </cell>
          <cell r="I1771" t="str">
            <v>A</v>
          </cell>
          <cell r="J1771" t="str">
            <v>PSP</v>
          </cell>
          <cell r="K1771">
            <v>1</v>
          </cell>
          <cell r="L1771">
            <v>375</v>
          </cell>
          <cell r="M1771">
            <v>60033739</v>
          </cell>
          <cell r="N1771">
            <v>38483</v>
          </cell>
          <cell r="P1771" t="str">
            <v>FN5511N1S947302</v>
          </cell>
          <cell r="Q1771" t="str">
            <v>แผ่นรองและสายรัดเป็นสนิม</v>
          </cell>
        </row>
        <row r="1772">
          <cell r="A1772">
            <v>60033743</v>
          </cell>
          <cell r="B1772">
            <v>1771</v>
          </cell>
          <cell r="C1772" t="str">
            <v>CS01/2</v>
          </cell>
          <cell r="D1772" t="str">
            <v>SPHC P/O</v>
          </cell>
          <cell r="E1772" t="str">
            <v>CA1</v>
          </cell>
          <cell r="F1772">
            <v>1.8</v>
          </cell>
          <cell r="G1772">
            <v>145</v>
          </cell>
          <cell r="H1772" t="str">
            <v>C</v>
          </cell>
          <cell r="I1772" t="str">
            <v>A</v>
          </cell>
          <cell r="J1772" t="str">
            <v>PSP</v>
          </cell>
          <cell r="K1772">
            <v>1</v>
          </cell>
          <cell r="L1772">
            <v>375</v>
          </cell>
          <cell r="M1772">
            <v>60033743</v>
          </cell>
          <cell r="N1772">
            <v>38483</v>
          </cell>
          <cell r="P1772" t="str">
            <v>FN5511N1S947303</v>
          </cell>
          <cell r="Q1772" t="str">
            <v>แผ่นรองและสายรัดเป็นสนิม</v>
          </cell>
        </row>
        <row r="1773">
          <cell r="A1773">
            <v>60033747</v>
          </cell>
          <cell r="B1773">
            <v>1772</v>
          </cell>
          <cell r="C1773" t="str">
            <v>CS01/2</v>
          </cell>
          <cell r="D1773" t="str">
            <v>SPHC P/O</v>
          </cell>
          <cell r="E1773" t="str">
            <v>CA1</v>
          </cell>
          <cell r="F1773">
            <v>1.8</v>
          </cell>
          <cell r="G1773">
            <v>145</v>
          </cell>
          <cell r="H1773" t="str">
            <v>C</v>
          </cell>
          <cell r="I1773" t="str">
            <v>A</v>
          </cell>
          <cell r="J1773" t="str">
            <v>PSP</v>
          </cell>
          <cell r="K1773">
            <v>1</v>
          </cell>
          <cell r="L1773">
            <v>354</v>
          </cell>
          <cell r="M1773">
            <v>60033747</v>
          </cell>
          <cell r="N1773">
            <v>38483</v>
          </cell>
          <cell r="P1773" t="str">
            <v>FN5511N1S947304</v>
          </cell>
          <cell r="Q1773" t="str">
            <v>แผ่นรองและสายรัดเป็นสนิม</v>
          </cell>
        </row>
        <row r="1774">
          <cell r="A1774">
            <v>60033751</v>
          </cell>
          <cell r="B1774">
            <v>1773</v>
          </cell>
          <cell r="C1774" t="str">
            <v>CS01/2</v>
          </cell>
          <cell r="D1774" t="str">
            <v>SPHC P/O</v>
          </cell>
          <cell r="E1774" t="str">
            <v>CA1</v>
          </cell>
          <cell r="F1774">
            <v>1.8</v>
          </cell>
          <cell r="G1774">
            <v>145</v>
          </cell>
          <cell r="H1774" t="str">
            <v>C</v>
          </cell>
          <cell r="I1774" t="str">
            <v>A</v>
          </cell>
          <cell r="J1774" t="str">
            <v>PSP</v>
          </cell>
          <cell r="K1774">
            <v>1</v>
          </cell>
          <cell r="L1774">
            <v>357</v>
          </cell>
          <cell r="M1774">
            <v>60033751</v>
          </cell>
          <cell r="N1774">
            <v>38483</v>
          </cell>
          <cell r="P1774" t="str">
            <v>FN5511N1S947305</v>
          </cell>
          <cell r="Q1774" t="str">
            <v>แผ่นรองและสายรัดเป็นสนิม</v>
          </cell>
        </row>
        <row r="1775">
          <cell r="A1775">
            <v>60029711</v>
          </cell>
          <cell r="B1775">
            <v>1774</v>
          </cell>
          <cell r="C1775" t="str">
            <v>CS01/2</v>
          </cell>
          <cell r="D1775" t="str">
            <v>SPHC P/O</v>
          </cell>
          <cell r="E1775" t="str">
            <v>CA1</v>
          </cell>
          <cell r="F1775">
            <v>1.8</v>
          </cell>
          <cell r="G1775">
            <v>146</v>
          </cell>
          <cell r="H1775" t="str">
            <v>C</v>
          </cell>
          <cell r="I1775" t="str">
            <v>A</v>
          </cell>
          <cell r="J1775" t="str">
            <v>PSP</v>
          </cell>
          <cell r="K1775">
            <v>1</v>
          </cell>
          <cell r="L1775">
            <v>380</v>
          </cell>
          <cell r="M1775">
            <v>60029711</v>
          </cell>
          <cell r="N1775">
            <v>38414</v>
          </cell>
          <cell r="P1775" t="str">
            <v>FN5303D1S757801</v>
          </cell>
          <cell r="Q1775" t="str">
            <v>แผ่นรองและสายรัดเป็นสนิม</v>
          </cell>
        </row>
        <row r="1776">
          <cell r="A1776">
            <v>60029719</v>
          </cell>
          <cell r="B1776">
            <v>1775</v>
          </cell>
          <cell r="C1776" t="str">
            <v>CS01/2</v>
          </cell>
          <cell r="D1776" t="str">
            <v>SPHC P/O</v>
          </cell>
          <cell r="E1776" t="str">
            <v>CA1</v>
          </cell>
          <cell r="F1776">
            <v>1.8</v>
          </cell>
          <cell r="G1776">
            <v>146</v>
          </cell>
          <cell r="H1776" t="str">
            <v>C</v>
          </cell>
          <cell r="I1776" t="str">
            <v>A</v>
          </cell>
          <cell r="J1776" t="str">
            <v>PSP</v>
          </cell>
          <cell r="K1776">
            <v>1</v>
          </cell>
          <cell r="L1776">
            <v>388</v>
          </cell>
          <cell r="M1776">
            <v>60029719</v>
          </cell>
          <cell r="N1776">
            <v>38414</v>
          </cell>
          <cell r="P1776" t="str">
            <v>FN5303D1S757802</v>
          </cell>
          <cell r="Q1776" t="str">
            <v>แผ่นรองและสายรัดเป็นสนิม</v>
          </cell>
        </row>
        <row r="1777">
          <cell r="A1777">
            <v>60020795</v>
          </cell>
          <cell r="B1777">
            <v>1776</v>
          </cell>
          <cell r="C1777" t="str">
            <v>CS01/2</v>
          </cell>
          <cell r="D1777" t="str">
            <v>SPHC P/O</v>
          </cell>
          <cell r="E1777" t="str">
            <v>CA1</v>
          </cell>
          <cell r="F1777">
            <v>1.8</v>
          </cell>
          <cell r="G1777">
            <v>185</v>
          </cell>
          <cell r="H1777" t="str">
            <v>C</v>
          </cell>
          <cell r="I1777" t="str">
            <v>A</v>
          </cell>
          <cell r="J1777" t="str">
            <v>PSP</v>
          </cell>
          <cell r="K1777">
            <v>1</v>
          </cell>
          <cell r="L1777">
            <v>525</v>
          </cell>
          <cell r="M1777">
            <v>60020795</v>
          </cell>
          <cell r="N1777" t="str">
            <v>2/A/2004</v>
          </cell>
          <cell r="P1777" t="str">
            <v>FN4A02D1S367601</v>
          </cell>
          <cell r="Q1777" t="str">
            <v>สภาพปกติ</v>
          </cell>
        </row>
        <row r="1778">
          <cell r="A1778">
            <v>60020800</v>
          </cell>
          <cell r="B1778">
            <v>1777</v>
          </cell>
          <cell r="C1778" t="str">
            <v>CS01/2</v>
          </cell>
          <cell r="D1778" t="str">
            <v>SPHC P/O</v>
          </cell>
          <cell r="E1778" t="str">
            <v>CA1</v>
          </cell>
          <cell r="F1778">
            <v>1.8</v>
          </cell>
          <cell r="G1778">
            <v>185</v>
          </cell>
          <cell r="H1778" t="str">
            <v>C</v>
          </cell>
          <cell r="I1778" t="str">
            <v>A</v>
          </cell>
          <cell r="J1778" t="str">
            <v>PSP</v>
          </cell>
          <cell r="K1778">
            <v>1</v>
          </cell>
          <cell r="L1778">
            <v>505</v>
          </cell>
          <cell r="M1778">
            <v>60020800</v>
          </cell>
          <cell r="N1778" t="str">
            <v>2/A/2004</v>
          </cell>
          <cell r="P1778" t="str">
            <v>FN4A02D1S367602</v>
          </cell>
          <cell r="Q1778" t="str">
            <v>สภาพปกติ</v>
          </cell>
        </row>
        <row r="1779">
          <cell r="A1779">
            <v>60012043</v>
          </cell>
          <cell r="B1779">
            <v>1778</v>
          </cell>
          <cell r="C1779" t="str">
            <v>CS01/2</v>
          </cell>
          <cell r="D1779" t="str">
            <v>SPHC P/O</v>
          </cell>
          <cell r="E1779" t="str">
            <v>CA1</v>
          </cell>
          <cell r="F1779">
            <v>2</v>
          </cell>
          <cell r="G1779">
            <v>68</v>
          </cell>
          <cell r="H1779" t="str">
            <v>C</v>
          </cell>
          <cell r="I1779" t="str">
            <v>A</v>
          </cell>
          <cell r="J1779" t="str">
            <v>PSP</v>
          </cell>
          <cell r="K1779">
            <v>1</v>
          </cell>
          <cell r="L1779">
            <v>90</v>
          </cell>
          <cell r="M1779">
            <v>60012043</v>
          </cell>
          <cell r="N1779" t="str">
            <v>6/A/2004</v>
          </cell>
          <cell r="P1779" t="str">
            <v>FN4A06D1S378201</v>
          </cell>
          <cell r="Q1779" t="str">
            <v>แผ่นรองและสายรัดเป็นสนิม</v>
          </cell>
        </row>
        <row r="1780">
          <cell r="A1780">
            <v>60019756</v>
          </cell>
          <cell r="B1780">
            <v>1779</v>
          </cell>
          <cell r="C1780" t="str">
            <v>CS01/2</v>
          </cell>
          <cell r="D1780" t="str">
            <v>SPHC P/O</v>
          </cell>
          <cell r="E1780" t="str">
            <v>CA1</v>
          </cell>
          <cell r="F1780">
            <v>2</v>
          </cell>
          <cell r="G1780">
            <v>90</v>
          </cell>
          <cell r="H1780" t="str">
            <v>C</v>
          </cell>
          <cell r="I1780" t="str">
            <v>A</v>
          </cell>
          <cell r="J1780" t="str">
            <v>PSP</v>
          </cell>
          <cell r="K1780">
            <v>1</v>
          </cell>
          <cell r="L1780">
            <v>355</v>
          </cell>
          <cell r="M1780">
            <v>60019756</v>
          </cell>
          <cell r="N1780">
            <v>38247</v>
          </cell>
          <cell r="P1780" t="str">
            <v>IN4917N1S319401</v>
          </cell>
          <cell r="Q1780" t="str">
            <v>แผ่นรองและสายรัดเป็นสนิม</v>
          </cell>
        </row>
        <row r="1781">
          <cell r="A1781">
            <v>60019757</v>
          </cell>
          <cell r="B1781">
            <v>1780</v>
          </cell>
          <cell r="C1781" t="str">
            <v>CS01/2</v>
          </cell>
          <cell r="D1781" t="str">
            <v>SPHC P/O</v>
          </cell>
          <cell r="E1781" t="str">
            <v>CA1</v>
          </cell>
          <cell r="F1781">
            <v>2.2999999999999998</v>
          </cell>
          <cell r="G1781">
            <v>53</v>
          </cell>
          <cell r="H1781" t="str">
            <v>C</v>
          </cell>
          <cell r="I1781" t="str">
            <v>A</v>
          </cell>
          <cell r="J1781" t="str">
            <v>SARATORN</v>
          </cell>
          <cell r="K1781">
            <v>1</v>
          </cell>
          <cell r="L1781">
            <v>205</v>
          </cell>
          <cell r="M1781">
            <v>60019757</v>
          </cell>
          <cell r="N1781" t="str">
            <v>20/C/2004</v>
          </cell>
          <cell r="P1781" t="str">
            <v>FN4C20N1S321201</v>
          </cell>
          <cell r="Q1781" t="str">
            <v>แผ่นรองและสายรัดเป็นสนิม</v>
          </cell>
        </row>
        <row r="1782">
          <cell r="A1782">
            <v>60020238</v>
          </cell>
          <cell r="B1782">
            <v>1781</v>
          </cell>
          <cell r="C1782" t="str">
            <v>CS01/2</v>
          </cell>
          <cell r="D1782" t="str">
            <v>SPHC P/O</v>
          </cell>
          <cell r="E1782" t="str">
            <v>CA1</v>
          </cell>
          <cell r="F1782">
            <v>2.2999999999999998</v>
          </cell>
          <cell r="G1782">
            <v>72</v>
          </cell>
          <cell r="H1782" t="str">
            <v>C</v>
          </cell>
          <cell r="I1782" t="str">
            <v>A</v>
          </cell>
          <cell r="J1782" t="str">
            <v>PSP</v>
          </cell>
          <cell r="K1782">
            <v>1</v>
          </cell>
          <cell r="L1782">
            <v>330</v>
          </cell>
          <cell r="M1782">
            <v>60020238</v>
          </cell>
          <cell r="N1782">
            <v>38257</v>
          </cell>
          <cell r="P1782" t="str">
            <v>FN4927D1S352001</v>
          </cell>
          <cell r="Q1782" t="str">
            <v>แผ่นรองและสายรัดเป็นสนิม</v>
          </cell>
        </row>
        <row r="1783">
          <cell r="A1783">
            <v>60014920</v>
          </cell>
          <cell r="B1783">
            <v>1782</v>
          </cell>
          <cell r="C1783" t="str">
            <v>CS01/2</v>
          </cell>
          <cell r="D1783" t="str">
            <v>SPHC P/O</v>
          </cell>
          <cell r="E1783" t="str">
            <v>CA1</v>
          </cell>
          <cell r="F1783">
            <v>3.2</v>
          </cell>
          <cell r="G1783">
            <v>42</v>
          </cell>
          <cell r="H1783" t="str">
            <v>C</v>
          </cell>
          <cell r="I1783" t="str">
            <v>A</v>
          </cell>
          <cell r="J1783" t="str">
            <v>PSP</v>
          </cell>
          <cell r="K1783">
            <v>1</v>
          </cell>
          <cell r="L1783">
            <v>185</v>
          </cell>
          <cell r="M1783">
            <v>60014920</v>
          </cell>
          <cell r="N1783">
            <v>38128</v>
          </cell>
          <cell r="P1783" t="str">
            <v>FN4521DZZ052101</v>
          </cell>
          <cell r="Q1783" t="str">
            <v>แผ่นรองและสายรัดเป็นสนิม</v>
          </cell>
        </row>
        <row r="1784">
          <cell r="A1784">
            <v>60014921</v>
          </cell>
          <cell r="B1784">
            <v>1783</v>
          </cell>
          <cell r="C1784" t="str">
            <v>CS01/2</v>
          </cell>
          <cell r="D1784" t="str">
            <v>SPHC P/O</v>
          </cell>
          <cell r="E1784" t="str">
            <v>CA1</v>
          </cell>
          <cell r="F1784">
            <v>3.2</v>
          </cell>
          <cell r="G1784">
            <v>42</v>
          </cell>
          <cell r="H1784" t="str">
            <v>C</v>
          </cell>
          <cell r="I1784" t="str">
            <v>A</v>
          </cell>
          <cell r="J1784" t="str">
            <v>PSP</v>
          </cell>
          <cell r="K1784">
            <v>1</v>
          </cell>
          <cell r="L1784">
            <v>185</v>
          </cell>
          <cell r="M1784">
            <v>60014921</v>
          </cell>
          <cell r="N1784">
            <v>38128</v>
          </cell>
          <cell r="P1784" t="str">
            <v>FN4521DZZ052102</v>
          </cell>
          <cell r="Q1784" t="str">
            <v>แผ่นรองและสายรัดเป็นสนิม</v>
          </cell>
        </row>
        <row r="1785">
          <cell r="A1785">
            <v>60014929</v>
          </cell>
          <cell r="B1785">
            <v>1784</v>
          </cell>
          <cell r="C1785" t="str">
            <v>CS01/2</v>
          </cell>
          <cell r="D1785" t="str">
            <v>SPHC P/O</v>
          </cell>
          <cell r="E1785" t="str">
            <v>CA1</v>
          </cell>
          <cell r="F1785">
            <v>3.2</v>
          </cell>
          <cell r="G1785">
            <v>42</v>
          </cell>
          <cell r="H1785" t="str">
            <v>C</v>
          </cell>
          <cell r="I1785" t="str">
            <v>A</v>
          </cell>
          <cell r="J1785" t="str">
            <v>PSP</v>
          </cell>
          <cell r="K1785">
            <v>1</v>
          </cell>
          <cell r="L1785">
            <v>200</v>
          </cell>
          <cell r="M1785">
            <v>60014929</v>
          </cell>
          <cell r="N1785">
            <v>38128</v>
          </cell>
          <cell r="P1785" t="str">
            <v>FN4521DZZ052103</v>
          </cell>
          <cell r="Q1785" t="str">
            <v>แผ่นรองและสายรัดเป็นสนิม</v>
          </cell>
        </row>
        <row r="1786">
          <cell r="A1786">
            <v>60014930</v>
          </cell>
          <cell r="B1786">
            <v>1785</v>
          </cell>
          <cell r="C1786" t="str">
            <v>CS01/2</v>
          </cell>
          <cell r="D1786" t="str">
            <v>SPHC P/O</v>
          </cell>
          <cell r="E1786" t="str">
            <v>CA1</v>
          </cell>
          <cell r="F1786">
            <v>3.2</v>
          </cell>
          <cell r="G1786">
            <v>42</v>
          </cell>
          <cell r="H1786" t="str">
            <v>C</v>
          </cell>
          <cell r="I1786" t="str">
            <v>A</v>
          </cell>
          <cell r="J1786" t="str">
            <v>PSP</v>
          </cell>
          <cell r="K1786">
            <v>1</v>
          </cell>
          <cell r="L1786">
            <v>200</v>
          </cell>
          <cell r="M1786">
            <v>60014930</v>
          </cell>
          <cell r="N1786">
            <v>38128</v>
          </cell>
          <cell r="P1786" t="str">
            <v>FN4521DZZ052104</v>
          </cell>
          <cell r="Q1786" t="str">
            <v>แผ่นรองและสายรัดเป็นสนิม</v>
          </cell>
        </row>
        <row r="1787">
          <cell r="A1787">
            <v>60015535</v>
          </cell>
          <cell r="B1787">
            <v>1786</v>
          </cell>
          <cell r="C1787" t="str">
            <v>CS01/2</v>
          </cell>
          <cell r="D1787" t="str">
            <v>SPHC P/O</v>
          </cell>
          <cell r="E1787" t="str">
            <v>CA1</v>
          </cell>
          <cell r="F1787">
            <v>3.2</v>
          </cell>
          <cell r="G1787">
            <v>42</v>
          </cell>
          <cell r="H1787" t="str">
            <v>C</v>
          </cell>
          <cell r="I1787" t="str">
            <v>A</v>
          </cell>
          <cell r="J1787" t="str">
            <v>PSP</v>
          </cell>
          <cell r="K1787">
            <v>1</v>
          </cell>
          <cell r="L1787">
            <v>295</v>
          </cell>
          <cell r="M1787">
            <v>60015535</v>
          </cell>
          <cell r="N1787">
            <v>38143</v>
          </cell>
          <cell r="P1787" t="str">
            <v>FN4506DZZ060505</v>
          </cell>
          <cell r="Q1787" t="str">
            <v>แผ่นรองและสายรัดเป็นสนิม</v>
          </cell>
        </row>
        <row r="1788">
          <cell r="A1788">
            <v>60017156</v>
          </cell>
          <cell r="B1788">
            <v>1787</v>
          </cell>
          <cell r="C1788" t="str">
            <v>CS01/2</v>
          </cell>
          <cell r="D1788" t="str">
            <v>SPHC P/O</v>
          </cell>
          <cell r="E1788" t="str">
            <v>CA1</v>
          </cell>
          <cell r="F1788">
            <v>3.2</v>
          </cell>
          <cell r="G1788">
            <v>42</v>
          </cell>
          <cell r="H1788" t="str">
            <v>C</v>
          </cell>
          <cell r="I1788" t="str">
            <v>A</v>
          </cell>
          <cell r="J1788" t="str">
            <v>PSP</v>
          </cell>
          <cell r="K1788">
            <v>1</v>
          </cell>
          <cell r="L1788">
            <v>210</v>
          </cell>
          <cell r="M1788">
            <v>60017156</v>
          </cell>
          <cell r="N1788">
            <v>38187</v>
          </cell>
          <cell r="P1788" t="str">
            <v>FN4719DZZ071906</v>
          </cell>
          <cell r="Q1788" t="str">
            <v>แผ่นรองและสายรัดเป็นสนิม</v>
          </cell>
        </row>
        <row r="1789">
          <cell r="A1789">
            <v>60018504</v>
          </cell>
          <cell r="B1789">
            <v>1788</v>
          </cell>
          <cell r="C1789" t="str">
            <v>CS01/2</v>
          </cell>
          <cell r="D1789" t="str">
            <v>SPHC P/O</v>
          </cell>
          <cell r="E1789" t="str">
            <v>CA1</v>
          </cell>
          <cell r="F1789">
            <v>3.2</v>
          </cell>
          <cell r="G1789">
            <v>42</v>
          </cell>
          <cell r="H1789" t="str">
            <v>C</v>
          </cell>
          <cell r="I1789" t="str">
            <v>A</v>
          </cell>
          <cell r="J1789" t="str">
            <v>PSP</v>
          </cell>
          <cell r="K1789">
            <v>1</v>
          </cell>
          <cell r="L1789">
            <v>180</v>
          </cell>
          <cell r="M1789">
            <v>60018504</v>
          </cell>
          <cell r="N1789">
            <v>38223</v>
          </cell>
          <cell r="P1789" t="str">
            <v>FN4824M1S269207</v>
          </cell>
          <cell r="Q1789" t="str">
            <v>แผ่นรองและสายรัดเป็นสนิม</v>
          </cell>
        </row>
        <row r="1790">
          <cell r="A1790">
            <v>60018505</v>
          </cell>
          <cell r="B1790">
            <v>1789</v>
          </cell>
          <cell r="C1790" t="str">
            <v>CS01/2</v>
          </cell>
          <cell r="D1790" t="str">
            <v>SPHC P/O</v>
          </cell>
          <cell r="E1790" t="str">
            <v>CA1</v>
          </cell>
          <cell r="F1790">
            <v>3.2</v>
          </cell>
          <cell r="G1790">
            <v>42</v>
          </cell>
          <cell r="H1790" t="str">
            <v>C</v>
          </cell>
          <cell r="I1790" t="str">
            <v>A</v>
          </cell>
          <cell r="J1790" t="str">
            <v>PSP</v>
          </cell>
          <cell r="K1790">
            <v>1</v>
          </cell>
          <cell r="L1790">
            <v>180</v>
          </cell>
          <cell r="M1790">
            <v>60018505</v>
          </cell>
          <cell r="N1790">
            <v>38223</v>
          </cell>
          <cell r="P1790" t="str">
            <v>FN4824N1S269208</v>
          </cell>
          <cell r="Q1790" t="str">
            <v>แผ่นรองและสายรัดเป็นสนิม</v>
          </cell>
        </row>
        <row r="1791">
          <cell r="A1791">
            <v>60018513</v>
          </cell>
          <cell r="B1791">
            <v>1790</v>
          </cell>
          <cell r="C1791" t="str">
            <v>CS01/2</v>
          </cell>
          <cell r="D1791" t="str">
            <v>SPHC P/O</v>
          </cell>
          <cell r="E1791" t="str">
            <v>CA1</v>
          </cell>
          <cell r="F1791">
            <v>3.2</v>
          </cell>
          <cell r="G1791">
            <v>42</v>
          </cell>
          <cell r="H1791" t="str">
            <v>C</v>
          </cell>
          <cell r="I1791" t="str">
            <v>A</v>
          </cell>
          <cell r="J1791" t="str">
            <v>PSP</v>
          </cell>
          <cell r="K1791">
            <v>1</v>
          </cell>
          <cell r="L1791">
            <v>180</v>
          </cell>
          <cell r="M1791">
            <v>60018513</v>
          </cell>
          <cell r="N1791">
            <v>38223</v>
          </cell>
          <cell r="P1791" t="str">
            <v>FN4824N1S269209</v>
          </cell>
          <cell r="Q1791" t="str">
            <v>แผ่นรองและสายรัดเป็นสนิม</v>
          </cell>
        </row>
        <row r="1792">
          <cell r="A1792">
            <v>60018514</v>
          </cell>
          <cell r="B1792">
            <v>1791</v>
          </cell>
          <cell r="C1792" t="str">
            <v>CS01/2</v>
          </cell>
          <cell r="D1792" t="str">
            <v>SPHC P/O</v>
          </cell>
          <cell r="E1792" t="str">
            <v>CA1</v>
          </cell>
          <cell r="F1792">
            <v>3.2</v>
          </cell>
          <cell r="G1792">
            <v>42</v>
          </cell>
          <cell r="H1792" t="str">
            <v>C</v>
          </cell>
          <cell r="I1792" t="str">
            <v>A</v>
          </cell>
          <cell r="J1792" t="str">
            <v>PSP</v>
          </cell>
          <cell r="K1792">
            <v>1</v>
          </cell>
          <cell r="L1792">
            <v>180</v>
          </cell>
          <cell r="M1792">
            <v>60018514</v>
          </cell>
          <cell r="N1792">
            <v>38223</v>
          </cell>
          <cell r="P1792" t="str">
            <v>FN4824N1S269210</v>
          </cell>
          <cell r="Q1792" t="str">
            <v>แผ่นรองและสายรัดเป็นสนิม</v>
          </cell>
        </row>
        <row r="1793">
          <cell r="A1793">
            <v>60019239</v>
          </cell>
          <cell r="B1793">
            <v>1792</v>
          </cell>
          <cell r="C1793" t="str">
            <v>CS01/2</v>
          </cell>
          <cell r="D1793" t="str">
            <v>SPHC P/O</v>
          </cell>
          <cell r="E1793" t="str">
            <v>CA1</v>
          </cell>
          <cell r="F1793">
            <v>3.2</v>
          </cell>
          <cell r="G1793">
            <v>42</v>
          </cell>
          <cell r="H1793" t="str">
            <v>C</v>
          </cell>
          <cell r="I1793" t="str">
            <v>A</v>
          </cell>
          <cell r="J1793" t="str">
            <v>TSA</v>
          </cell>
          <cell r="K1793">
            <v>1</v>
          </cell>
          <cell r="L1793">
            <v>180</v>
          </cell>
          <cell r="M1793">
            <v>60019239</v>
          </cell>
          <cell r="N1793">
            <v>38239</v>
          </cell>
          <cell r="P1793" t="str">
            <v>FN4909N1S297911</v>
          </cell>
          <cell r="Q1793" t="str">
            <v>สภาพปกติ</v>
          </cell>
        </row>
        <row r="1794">
          <cell r="A1794">
            <v>60019240</v>
          </cell>
          <cell r="B1794">
            <v>1793</v>
          </cell>
          <cell r="C1794" t="str">
            <v>CS01/2</v>
          </cell>
          <cell r="D1794" t="str">
            <v>SPHC P/O</v>
          </cell>
          <cell r="E1794" t="str">
            <v>CA1</v>
          </cell>
          <cell r="F1794">
            <v>3.2</v>
          </cell>
          <cell r="G1794">
            <v>42</v>
          </cell>
          <cell r="H1794" t="str">
            <v>C</v>
          </cell>
          <cell r="I1794" t="str">
            <v>A</v>
          </cell>
          <cell r="J1794" t="str">
            <v>TSA</v>
          </cell>
          <cell r="K1794">
            <v>1</v>
          </cell>
          <cell r="L1794">
            <v>180</v>
          </cell>
          <cell r="M1794">
            <v>60019240</v>
          </cell>
          <cell r="N1794">
            <v>38239</v>
          </cell>
          <cell r="P1794" t="str">
            <v>FN4909N1S297912</v>
          </cell>
          <cell r="Q1794" t="str">
            <v>สภาพปกติ</v>
          </cell>
        </row>
        <row r="1795">
          <cell r="A1795">
            <v>60019241</v>
          </cell>
          <cell r="B1795">
            <v>1794</v>
          </cell>
          <cell r="C1795" t="str">
            <v>CS01/2</v>
          </cell>
          <cell r="D1795" t="str">
            <v>SPHC P/O</v>
          </cell>
          <cell r="E1795" t="str">
            <v>CA1</v>
          </cell>
          <cell r="F1795">
            <v>3.2</v>
          </cell>
          <cell r="G1795">
            <v>42</v>
          </cell>
          <cell r="H1795" t="str">
            <v>C</v>
          </cell>
          <cell r="I1795" t="str">
            <v>A</v>
          </cell>
          <cell r="J1795" t="str">
            <v>TSA</v>
          </cell>
          <cell r="K1795">
            <v>1</v>
          </cell>
          <cell r="L1795">
            <v>180</v>
          </cell>
          <cell r="M1795">
            <v>60019241</v>
          </cell>
          <cell r="N1795">
            <v>38239</v>
          </cell>
          <cell r="P1795" t="str">
            <v>FN4909N1S297913</v>
          </cell>
          <cell r="Q1795" t="str">
            <v>สภาพปกติ</v>
          </cell>
        </row>
        <row r="1796">
          <cell r="A1796">
            <v>60019242</v>
          </cell>
          <cell r="B1796">
            <v>1795</v>
          </cell>
          <cell r="C1796" t="str">
            <v>CS01/2</v>
          </cell>
          <cell r="D1796" t="str">
            <v>SPHC P/O</v>
          </cell>
          <cell r="E1796" t="str">
            <v>CA1</v>
          </cell>
          <cell r="F1796">
            <v>3.2</v>
          </cell>
          <cell r="G1796">
            <v>42</v>
          </cell>
          <cell r="H1796" t="str">
            <v>C</v>
          </cell>
          <cell r="I1796" t="str">
            <v>A</v>
          </cell>
          <cell r="J1796" t="str">
            <v>TSA</v>
          </cell>
          <cell r="K1796">
            <v>1</v>
          </cell>
          <cell r="L1796">
            <v>180</v>
          </cell>
          <cell r="M1796">
            <v>60019242</v>
          </cell>
          <cell r="N1796">
            <v>38239</v>
          </cell>
          <cell r="P1796" t="str">
            <v>FN4909N1S297914</v>
          </cell>
          <cell r="Q1796" t="str">
            <v>สภาพปกติ</v>
          </cell>
        </row>
        <row r="1797">
          <cell r="A1797">
            <v>60019981</v>
          </cell>
          <cell r="B1797">
            <v>1796</v>
          </cell>
          <cell r="C1797" t="str">
            <v>CS01/2</v>
          </cell>
          <cell r="D1797" t="str">
            <v>SPHC P/O</v>
          </cell>
          <cell r="E1797" t="str">
            <v>CA1</v>
          </cell>
          <cell r="F1797">
            <v>3.2</v>
          </cell>
          <cell r="G1797">
            <v>42</v>
          </cell>
          <cell r="H1797" t="str">
            <v>C</v>
          </cell>
          <cell r="I1797" t="str">
            <v>A</v>
          </cell>
          <cell r="J1797" t="str">
            <v>PSP</v>
          </cell>
          <cell r="K1797">
            <v>1</v>
          </cell>
          <cell r="L1797">
            <v>310</v>
          </cell>
          <cell r="M1797">
            <v>60019981</v>
          </cell>
          <cell r="N1797">
            <v>38252</v>
          </cell>
          <cell r="P1797" t="str">
            <v>FN4922D1S334115</v>
          </cell>
          <cell r="Q1797" t="str">
            <v>แผ่นรองและสายรัดเป็นสนิม</v>
          </cell>
        </row>
        <row r="1798">
          <cell r="A1798">
            <v>60020074</v>
          </cell>
          <cell r="B1798">
            <v>1797</v>
          </cell>
          <cell r="C1798" t="str">
            <v>CS01/2</v>
          </cell>
          <cell r="D1798" t="str">
            <v>SPHC P/O</v>
          </cell>
          <cell r="E1798" t="str">
            <v>CA1</v>
          </cell>
          <cell r="F1798">
            <v>3.2</v>
          </cell>
          <cell r="G1798">
            <v>42</v>
          </cell>
          <cell r="H1798" t="str">
            <v>C</v>
          </cell>
          <cell r="I1798" t="str">
            <v>A</v>
          </cell>
          <cell r="J1798" t="str">
            <v>PSP</v>
          </cell>
          <cell r="K1798">
            <v>1</v>
          </cell>
          <cell r="L1798">
            <v>235</v>
          </cell>
          <cell r="M1798">
            <v>60020074</v>
          </cell>
          <cell r="N1798">
            <v>38253</v>
          </cell>
          <cell r="P1798" t="str">
            <v>FN4923N1S338716</v>
          </cell>
          <cell r="Q1798" t="str">
            <v>แผ่นรองและสายรัดเป็นสนิม</v>
          </cell>
        </row>
        <row r="1799">
          <cell r="A1799">
            <v>60020082</v>
          </cell>
          <cell r="B1799">
            <v>1798</v>
          </cell>
          <cell r="C1799" t="str">
            <v>CS01/2</v>
          </cell>
          <cell r="D1799" t="str">
            <v>SPHC P/O</v>
          </cell>
          <cell r="E1799" t="str">
            <v>CA1</v>
          </cell>
          <cell r="F1799">
            <v>3.2</v>
          </cell>
          <cell r="G1799">
            <v>42</v>
          </cell>
          <cell r="H1799" t="str">
            <v>C</v>
          </cell>
          <cell r="I1799" t="str">
            <v>A</v>
          </cell>
          <cell r="J1799" t="str">
            <v>PSP</v>
          </cell>
          <cell r="K1799">
            <v>1</v>
          </cell>
          <cell r="L1799">
            <v>225</v>
          </cell>
          <cell r="M1799">
            <v>60020082</v>
          </cell>
          <cell r="N1799">
            <v>38253</v>
          </cell>
          <cell r="P1799" t="str">
            <v>FN4923N1S338717</v>
          </cell>
          <cell r="Q1799" t="str">
            <v>แผ่นรองและสายรัดเป็นสนิม</v>
          </cell>
        </row>
        <row r="1800">
          <cell r="A1800">
            <v>60020201</v>
          </cell>
          <cell r="B1800">
            <v>1799</v>
          </cell>
          <cell r="C1800" t="str">
            <v>CS01/2</v>
          </cell>
          <cell r="D1800" t="str">
            <v>SPHC P/O</v>
          </cell>
          <cell r="E1800" t="str">
            <v>CA1</v>
          </cell>
          <cell r="F1800">
            <v>3.2</v>
          </cell>
          <cell r="G1800">
            <v>42</v>
          </cell>
          <cell r="H1800" t="str">
            <v>C</v>
          </cell>
          <cell r="I1800" t="str">
            <v>A</v>
          </cell>
          <cell r="J1800" t="str">
            <v>PSP</v>
          </cell>
          <cell r="K1800">
            <v>1</v>
          </cell>
          <cell r="L1800">
            <v>170</v>
          </cell>
          <cell r="M1800">
            <v>60020201</v>
          </cell>
          <cell r="N1800">
            <v>38255</v>
          </cell>
          <cell r="P1800" t="str">
            <v>FN4925D1S349018</v>
          </cell>
          <cell r="Q1800" t="str">
            <v>แผ่นรองและสายรัดเป็นสนิม</v>
          </cell>
        </row>
        <row r="1801">
          <cell r="A1801">
            <v>60021325</v>
          </cell>
          <cell r="B1801">
            <v>1800</v>
          </cell>
          <cell r="C1801" t="str">
            <v>CS01/2</v>
          </cell>
          <cell r="D1801" t="str">
            <v>SPHC P/O</v>
          </cell>
          <cell r="E1801" t="str">
            <v>CA1</v>
          </cell>
          <cell r="F1801">
            <v>3.2</v>
          </cell>
          <cell r="G1801">
            <v>42</v>
          </cell>
          <cell r="H1801" t="str">
            <v>C</v>
          </cell>
          <cell r="I1801" t="str">
            <v>A</v>
          </cell>
          <cell r="J1801" t="str">
            <v>PSP</v>
          </cell>
          <cell r="K1801">
            <v>1</v>
          </cell>
          <cell r="L1801">
            <v>170</v>
          </cell>
          <cell r="M1801">
            <v>60021325</v>
          </cell>
          <cell r="N1801" t="str">
            <v>10/A/2004</v>
          </cell>
          <cell r="P1801" t="str">
            <v>FN4A10D1S389419</v>
          </cell>
          <cell r="Q1801" t="str">
            <v>แผ่นรองและสายรัดเป็นสนิม</v>
          </cell>
        </row>
        <row r="1802">
          <cell r="A1802">
            <v>60021333</v>
          </cell>
          <cell r="B1802">
            <v>1801</v>
          </cell>
          <cell r="C1802" t="str">
            <v>CS01/2</v>
          </cell>
          <cell r="D1802" t="str">
            <v>SPHC P/O</v>
          </cell>
          <cell r="E1802" t="str">
            <v>CA1</v>
          </cell>
          <cell r="F1802">
            <v>3.2</v>
          </cell>
          <cell r="G1802">
            <v>42</v>
          </cell>
          <cell r="H1802" t="str">
            <v>C</v>
          </cell>
          <cell r="I1802" t="str">
            <v>A</v>
          </cell>
          <cell r="J1802" t="str">
            <v>PSP</v>
          </cell>
          <cell r="K1802">
            <v>1</v>
          </cell>
          <cell r="L1802">
            <v>170</v>
          </cell>
          <cell r="M1802">
            <v>60021333</v>
          </cell>
          <cell r="N1802" t="str">
            <v>10/A/2004</v>
          </cell>
          <cell r="P1802" t="str">
            <v>FN4A10D1S389420</v>
          </cell>
          <cell r="Q1802" t="str">
            <v>แผ่นรองและสายรัดเป็นสนิม</v>
          </cell>
        </row>
        <row r="1803">
          <cell r="A1803">
            <v>60026428</v>
          </cell>
          <cell r="B1803">
            <v>1802</v>
          </cell>
          <cell r="C1803" t="str">
            <v>CS01/2</v>
          </cell>
          <cell r="D1803" t="str">
            <v>SPHC P/O</v>
          </cell>
          <cell r="E1803" t="str">
            <v>CA1</v>
          </cell>
          <cell r="F1803">
            <v>3.2</v>
          </cell>
          <cell r="G1803">
            <v>105</v>
          </cell>
          <cell r="H1803" t="str">
            <v>C</v>
          </cell>
          <cell r="I1803" t="str">
            <v>A</v>
          </cell>
          <cell r="J1803" t="str">
            <v>SAB</v>
          </cell>
          <cell r="K1803">
            <v>1</v>
          </cell>
          <cell r="L1803">
            <v>755</v>
          </cell>
          <cell r="M1803">
            <v>60026428</v>
          </cell>
          <cell r="N1803">
            <v>38363</v>
          </cell>
          <cell r="P1803" t="str">
            <v>FN5111D1S610001</v>
          </cell>
          <cell r="Q1803" t="str">
            <v>แผ่นรองและสายรัดเป็นสนิม</v>
          </cell>
        </row>
        <row r="1804">
          <cell r="A1804">
            <v>60029576</v>
          </cell>
          <cell r="B1804">
            <v>1803</v>
          </cell>
          <cell r="C1804" t="str">
            <v>CS01/2</v>
          </cell>
          <cell r="D1804" t="str">
            <v>SPHC P/O</v>
          </cell>
          <cell r="E1804" t="str">
            <v>CA1</v>
          </cell>
          <cell r="F1804">
            <v>3.6</v>
          </cell>
          <cell r="G1804">
            <v>280</v>
          </cell>
          <cell r="H1804" t="str">
            <v>C</v>
          </cell>
          <cell r="I1804" t="str">
            <v>A</v>
          </cell>
          <cell r="J1804" t="str">
            <v>TSA</v>
          </cell>
          <cell r="K1804">
            <v>1</v>
          </cell>
          <cell r="L1804">
            <v>972</v>
          </cell>
          <cell r="M1804">
            <v>60029576</v>
          </cell>
          <cell r="N1804">
            <v>38413</v>
          </cell>
          <cell r="P1804" t="str">
            <v>FN5302D5E750901</v>
          </cell>
          <cell r="Q1804" t="str">
            <v>แผ่นรองและสายรัดเป็นสนิม</v>
          </cell>
        </row>
        <row r="1805">
          <cell r="A1805">
            <v>60032782</v>
          </cell>
          <cell r="B1805">
            <v>1804</v>
          </cell>
          <cell r="C1805" t="str">
            <v>CS01/2</v>
          </cell>
          <cell r="D1805" t="str">
            <v>SAPH440 P/O</v>
          </cell>
          <cell r="E1805" t="str">
            <v>CA5</v>
          </cell>
          <cell r="F1805">
            <v>4.5</v>
          </cell>
          <cell r="G1805">
            <v>291</v>
          </cell>
          <cell r="H1805" t="str">
            <v>C</v>
          </cell>
          <cell r="I1805" t="str">
            <v>A</v>
          </cell>
          <cell r="J1805" t="str">
            <v>PSP</v>
          </cell>
          <cell r="K1805">
            <v>1</v>
          </cell>
          <cell r="L1805">
            <v>679</v>
          </cell>
          <cell r="M1805">
            <v>60032782</v>
          </cell>
          <cell r="N1805">
            <v>38469</v>
          </cell>
          <cell r="P1805" t="str">
            <v>FN5427D2S103201</v>
          </cell>
          <cell r="Q1805" t="str">
            <v>สภาพปกติ</v>
          </cell>
        </row>
        <row r="1806">
          <cell r="A1806">
            <v>60011894</v>
          </cell>
          <cell r="B1806">
            <v>1805</v>
          </cell>
          <cell r="C1806" t="str">
            <v>CS01/3</v>
          </cell>
          <cell r="D1806" t="str">
            <v>SPCC-SD</v>
          </cell>
          <cell r="E1806" t="str">
            <v>AF1</v>
          </cell>
          <cell r="F1806">
            <v>0.5</v>
          </cell>
          <cell r="G1806">
            <v>35</v>
          </cell>
          <cell r="H1806" t="str">
            <v>C</v>
          </cell>
          <cell r="I1806" t="str">
            <v>A</v>
          </cell>
          <cell r="J1806" t="str">
            <v>PSP</v>
          </cell>
          <cell r="K1806">
            <v>1</v>
          </cell>
          <cell r="L1806">
            <v>110</v>
          </cell>
          <cell r="M1806">
            <v>60011894</v>
          </cell>
          <cell r="N1806">
            <v>38548</v>
          </cell>
          <cell r="P1806" t="str">
            <v>IN5715DZZ030901</v>
          </cell>
          <cell r="Q1806" t="str">
            <v>สภาพปกติ</v>
          </cell>
        </row>
        <row r="1807">
          <cell r="A1807">
            <v>60011899</v>
          </cell>
          <cell r="B1807">
            <v>1806</v>
          </cell>
          <cell r="C1807" t="str">
            <v>CS01/3</v>
          </cell>
          <cell r="D1807" t="str">
            <v>SPCC-SD</v>
          </cell>
          <cell r="E1807" t="str">
            <v>AF1</v>
          </cell>
          <cell r="F1807">
            <v>0.5</v>
          </cell>
          <cell r="G1807">
            <v>36</v>
          </cell>
          <cell r="H1807" t="str">
            <v>C</v>
          </cell>
          <cell r="I1807" t="str">
            <v>A</v>
          </cell>
          <cell r="J1807" t="str">
            <v>PSP</v>
          </cell>
          <cell r="K1807">
            <v>1</v>
          </cell>
          <cell r="L1807">
            <v>110</v>
          </cell>
          <cell r="M1807">
            <v>60011899</v>
          </cell>
          <cell r="N1807">
            <v>38548</v>
          </cell>
          <cell r="P1807" t="str">
            <v>IN5715DZZ030902</v>
          </cell>
          <cell r="Q1807" t="str">
            <v>สภาพปกติ</v>
          </cell>
        </row>
        <row r="1808">
          <cell r="A1808">
            <v>60014942</v>
          </cell>
          <cell r="B1808">
            <v>1807</v>
          </cell>
          <cell r="C1808" t="str">
            <v>CS01/3</v>
          </cell>
          <cell r="D1808" t="str">
            <v>SPCC-SD</v>
          </cell>
          <cell r="E1808" t="str">
            <v>AF1</v>
          </cell>
          <cell r="F1808">
            <v>0.5</v>
          </cell>
          <cell r="G1808">
            <v>100</v>
          </cell>
          <cell r="H1808" t="str">
            <v>C</v>
          </cell>
          <cell r="I1808" t="str">
            <v>A</v>
          </cell>
          <cell r="J1808" t="str">
            <v>PSP</v>
          </cell>
          <cell r="K1808">
            <v>1</v>
          </cell>
          <cell r="L1808">
            <v>335</v>
          </cell>
          <cell r="M1808">
            <v>60014942</v>
          </cell>
          <cell r="N1808">
            <v>38129</v>
          </cell>
          <cell r="P1808" t="str">
            <v>IN4522NZZ052201</v>
          </cell>
          <cell r="Q1808" t="str">
            <v>แผ่นรองและสายรัดเป็นสนิม</v>
          </cell>
        </row>
        <row r="1809">
          <cell r="A1809">
            <v>60037657</v>
          </cell>
          <cell r="B1809">
            <v>1808</v>
          </cell>
          <cell r="C1809" t="str">
            <v>CS01/3</v>
          </cell>
          <cell r="D1809" t="str">
            <v>SPCC-SD</v>
          </cell>
          <cell r="E1809" t="str">
            <v>AF1</v>
          </cell>
          <cell r="F1809">
            <v>0.6</v>
          </cell>
          <cell r="G1809">
            <v>44</v>
          </cell>
          <cell r="H1809" t="str">
            <v>C</v>
          </cell>
          <cell r="I1809" t="str">
            <v>A</v>
          </cell>
          <cell r="J1809" t="str">
            <v>PSP</v>
          </cell>
          <cell r="K1809">
            <v>1</v>
          </cell>
          <cell r="L1809">
            <v>377</v>
          </cell>
          <cell r="M1809">
            <v>60037657</v>
          </cell>
          <cell r="N1809">
            <v>38549</v>
          </cell>
          <cell r="P1809" t="str">
            <v>IN5716N1S141101</v>
          </cell>
          <cell r="Q1809" t="str">
            <v>แผ่นรองและสายรัดเป็นสนิม</v>
          </cell>
        </row>
        <row r="1810">
          <cell r="A1810">
            <v>60037659</v>
          </cell>
          <cell r="B1810">
            <v>1809</v>
          </cell>
          <cell r="C1810" t="str">
            <v>CS01/3</v>
          </cell>
          <cell r="D1810" t="str">
            <v>SPCC-SD</v>
          </cell>
          <cell r="E1810" t="str">
            <v>AF1</v>
          </cell>
          <cell r="F1810">
            <v>0.6</v>
          </cell>
          <cell r="G1810">
            <v>44</v>
          </cell>
          <cell r="H1810" t="str">
            <v>C</v>
          </cell>
          <cell r="I1810" t="str">
            <v>A</v>
          </cell>
          <cell r="J1810" t="str">
            <v>PSP</v>
          </cell>
          <cell r="K1810">
            <v>1</v>
          </cell>
          <cell r="L1810">
            <v>380</v>
          </cell>
          <cell r="M1810">
            <v>60037659</v>
          </cell>
          <cell r="N1810">
            <v>38549</v>
          </cell>
          <cell r="P1810" t="str">
            <v>IN5716N1S141102</v>
          </cell>
          <cell r="Q1810" t="str">
            <v>แผ่นรองและสายรัดเป็นสนิม</v>
          </cell>
        </row>
        <row r="1811">
          <cell r="A1811">
            <v>60037661</v>
          </cell>
          <cell r="B1811">
            <v>1810</v>
          </cell>
          <cell r="C1811" t="str">
            <v>CS01/3</v>
          </cell>
          <cell r="D1811" t="str">
            <v>SPCC-SD</v>
          </cell>
          <cell r="E1811" t="str">
            <v>AF1</v>
          </cell>
          <cell r="F1811">
            <v>0.6</v>
          </cell>
          <cell r="G1811">
            <v>44</v>
          </cell>
          <cell r="H1811" t="str">
            <v>C</v>
          </cell>
          <cell r="I1811" t="str">
            <v>A</v>
          </cell>
          <cell r="J1811" t="str">
            <v>PSP</v>
          </cell>
          <cell r="K1811">
            <v>1</v>
          </cell>
          <cell r="L1811">
            <v>232</v>
          </cell>
          <cell r="M1811">
            <v>60037661</v>
          </cell>
          <cell r="N1811">
            <v>38549</v>
          </cell>
          <cell r="P1811" t="str">
            <v>IN5716N1S141103</v>
          </cell>
          <cell r="Q1811" t="str">
            <v>แผ่นรองและสายรัดเป็นสนิม</v>
          </cell>
        </row>
        <row r="1812">
          <cell r="A1812">
            <v>60038138</v>
          </cell>
          <cell r="B1812">
            <v>1811</v>
          </cell>
          <cell r="C1812" t="str">
            <v>CS01/3</v>
          </cell>
          <cell r="D1812" t="str">
            <v>SPCC-SD</v>
          </cell>
          <cell r="E1812" t="str">
            <v>AF1</v>
          </cell>
          <cell r="F1812">
            <v>0.6</v>
          </cell>
          <cell r="G1812">
            <v>44</v>
          </cell>
          <cell r="H1812" t="str">
            <v>C</v>
          </cell>
          <cell r="I1812" t="str">
            <v>A</v>
          </cell>
          <cell r="J1812" t="str">
            <v>PSP</v>
          </cell>
          <cell r="K1812">
            <v>1</v>
          </cell>
          <cell r="L1812">
            <v>159</v>
          </cell>
          <cell r="M1812">
            <v>60038138</v>
          </cell>
          <cell r="N1812">
            <v>38560</v>
          </cell>
          <cell r="P1812" t="str">
            <v>IN5727N1S161201</v>
          </cell>
          <cell r="Q1812" t="str">
            <v>สภาพปกติ</v>
          </cell>
        </row>
        <row r="1813">
          <cell r="A1813">
            <v>60011655</v>
          </cell>
          <cell r="B1813">
            <v>1812</v>
          </cell>
          <cell r="C1813" t="str">
            <v>CS01/3</v>
          </cell>
          <cell r="D1813" t="str">
            <v>SPCC-SD</v>
          </cell>
          <cell r="E1813" t="str">
            <v>AF1</v>
          </cell>
          <cell r="F1813">
            <v>0.6</v>
          </cell>
          <cell r="G1813">
            <v>95</v>
          </cell>
          <cell r="H1813" t="str">
            <v>C</v>
          </cell>
          <cell r="I1813" t="str">
            <v>A</v>
          </cell>
          <cell r="J1813" t="str">
            <v>SIAM KSP</v>
          </cell>
          <cell r="K1813">
            <v>1</v>
          </cell>
          <cell r="L1813">
            <v>685</v>
          </cell>
          <cell r="M1813">
            <v>60011655</v>
          </cell>
          <cell r="N1813">
            <v>38047</v>
          </cell>
          <cell r="P1813" t="str">
            <v>FN4301DZZ030101</v>
          </cell>
          <cell r="Q1813" t="str">
            <v>แผ่นรองและสายรัดเป็นสนิม</v>
          </cell>
        </row>
        <row r="1814">
          <cell r="A1814">
            <v>60011660</v>
          </cell>
          <cell r="B1814">
            <v>1813</v>
          </cell>
          <cell r="C1814" t="str">
            <v>CS01/3</v>
          </cell>
          <cell r="D1814" t="str">
            <v>SPCC-SD</v>
          </cell>
          <cell r="E1814" t="str">
            <v>AF1</v>
          </cell>
          <cell r="F1814">
            <v>0.6</v>
          </cell>
          <cell r="G1814">
            <v>95</v>
          </cell>
          <cell r="H1814" t="str">
            <v>C</v>
          </cell>
          <cell r="I1814" t="str">
            <v>A</v>
          </cell>
          <cell r="J1814" t="str">
            <v>SIAM KSP</v>
          </cell>
          <cell r="K1814">
            <v>1</v>
          </cell>
          <cell r="L1814">
            <v>535</v>
          </cell>
          <cell r="M1814">
            <v>60011660</v>
          </cell>
          <cell r="N1814">
            <v>38047</v>
          </cell>
          <cell r="P1814" t="str">
            <v>FN4301DZZ030102</v>
          </cell>
          <cell r="Q1814" t="str">
            <v>แผ่นรองและสายรัดเป็นสนิม</v>
          </cell>
        </row>
        <row r="1815">
          <cell r="A1815">
            <v>60019059</v>
          </cell>
          <cell r="B1815">
            <v>1814</v>
          </cell>
          <cell r="C1815" t="str">
            <v>CS01/3</v>
          </cell>
          <cell r="D1815" t="str">
            <v>SPCC-SD</v>
          </cell>
          <cell r="E1815" t="str">
            <v>AF1</v>
          </cell>
          <cell r="F1815">
            <v>0.7</v>
          </cell>
          <cell r="G1815">
            <v>107</v>
          </cell>
          <cell r="H1815" t="str">
            <v>C</v>
          </cell>
          <cell r="I1815" t="str">
            <v>A</v>
          </cell>
          <cell r="J1815" t="str">
            <v>TSA</v>
          </cell>
          <cell r="K1815">
            <v>1</v>
          </cell>
          <cell r="L1815">
            <v>280</v>
          </cell>
          <cell r="M1815">
            <v>60019059</v>
          </cell>
          <cell r="N1815">
            <v>38233</v>
          </cell>
          <cell r="P1815" t="str">
            <v>FN4903D1S288301</v>
          </cell>
          <cell r="Q1815" t="str">
            <v>สภาพปกติ</v>
          </cell>
        </row>
        <row r="1816">
          <cell r="A1816">
            <v>60037410</v>
          </cell>
          <cell r="B1816">
            <v>1815</v>
          </cell>
          <cell r="C1816" t="str">
            <v>CS01/3</v>
          </cell>
          <cell r="D1816" t="str">
            <v>SPCC-SD</v>
          </cell>
          <cell r="E1816" t="str">
            <v>AF1</v>
          </cell>
          <cell r="F1816">
            <v>0.8</v>
          </cell>
          <cell r="G1816">
            <v>46</v>
          </cell>
          <cell r="H1816" t="str">
            <v>C</v>
          </cell>
          <cell r="I1816" t="str">
            <v>A</v>
          </cell>
          <cell r="J1816" t="str">
            <v>PSP</v>
          </cell>
          <cell r="K1816">
            <v>1</v>
          </cell>
          <cell r="L1816">
            <v>47</v>
          </cell>
          <cell r="M1816">
            <v>60037410</v>
          </cell>
          <cell r="N1816">
            <v>38543</v>
          </cell>
          <cell r="P1816" t="str">
            <v>IN5701N1S127101</v>
          </cell>
          <cell r="Q1816" t="str">
            <v>สภาพปกติ</v>
          </cell>
        </row>
        <row r="1817">
          <cell r="A1817">
            <v>60044152</v>
          </cell>
          <cell r="B1817">
            <v>1816</v>
          </cell>
          <cell r="C1817" t="str">
            <v>CS01/3</v>
          </cell>
          <cell r="D1817" t="str">
            <v>SPCC-SD</v>
          </cell>
          <cell r="E1817" t="str">
            <v>AF1</v>
          </cell>
          <cell r="F1817">
            <v>0.8</v>
          </cell>
          <cell r="G1817">
            <v>83</v>
          </cell>
          <cell r="H1817" t="str">
            <v>C</v>
          </cell>
          <cell r="I1817" t="str">
            <v>A</v>
          </cell>
          <cell r="J1817" t="str">
            <v>PSP</v>
          </cell>
          <cell r="K1817">
            <v>1</v>
          </cell>
          <cell r="L1817">
            <v>138</v>
          </cell>
          <cell r="M1817">
            <v>60044152</v>
          </cell>
          <cell r="N1817" t="str">
            <v>9/B/2005</v>
          </cell>
          <cell r="P1817" t="str">
            <v>IN5B09D1S464401</v>
          </cell>
          <cell r="Q1817" t="str">
            <v>แผ่นรองและสายรัดเป็นสนิม</v>
          </cell>
        </row>
        <row r="1818">
          <cell r="A1818">
            <v>60038135</v>
          </cell>
          <cell r="B1818">
            <v>1817</v>
          </cell>
          <cell r="C1818" t="str">
            <v>CS01/3</v>
          </cell>
          <cell r="D1818" t="str">
            <v>SPCC-SD</v>
          </cell>
          <cell r="E1818" t="str">
            <v>AF1</v>
          </cell>
          <cell r="F1818">
            <v>1</v>
          </cell>
          <cell r="G1818">
            <v>50</v>
          </cell>
          <cell r="H1818" t="str">
            <v>C</v>
          </cell>
          <cell r="I1818" t="str">
            <v>A</v>
          </cell>
          <cell r="J1818" t="str">
            <v>PSP</v>
          </cell>
          <cell r="K1818">
            <v>1</v>
          </cell>
          <cell r="L1818">
            <v>230</v>
          </cell>
          <cell r="M1818">
            <v>60038135</v>
          </cell>
          <cell r="N1818">
            <v>38560</v>
          </cell>
          <cell r="P1818" t="str">
            <v>IN5727D1S162401</v>
          </cell>
          <cell r="Q1818" t="str">
            <v>สภาพปกติ</v>
          </cell>
        </row>
        <row r="1819">
          <cell r="A1819">
            <v>60038136</v>
          </cell>
          <cell r="B1819">
            <v>1818</v>
          </cell>
          <cell r="C1819" t="str">
            <v>CS01/3</v>
          </cell>
          <cell r="D1819" t="str">
            <v>SPCC-SD</v>
          </cell>
          <cell r="E1819" t="str">
            <v>AF1</v>
          </cell>
          <cell r="F1819">
            <v>1</v>
          </cell>
          <cell r="G1819">
            <v>50</v>
          </cell>
          <cell r="H1819" t="str">
            <v>C</v>
          </cell>
          <cell r="I1819" t="str">
            <v>A</v>
          </cell>
          <cell r="J1819" t="str">
            <v>PSP</v>
          </cell>
          <cell r="K1819">
            <v>1</v>
          </cell>
          <cell r="L1819">
            <v>230</v>
          </cell>
          <cell r="M1819">
            <v>60038136</v>
          </cell>
          <cell r="N1819">
            <v>38560</v>
          </cell>
          <cell r="P1819" t="str">
            <v>IN5727D1S162402</v>
          </cell>
          <cell r="Q1819" t="str">
            <v>สภาพปกติ</v>
          </cell>
        </row>
        <row r="1820">
          <cell r="A1820">
            <v>60031060</v>
          </cell>
          <cell r="B1820">
            <v>1819</v>
          </cell>
          <cell r="C1820" t="str">
            <v>CS01/3</v>
          </cell>
          <cell r="D1820" t="str">
            <v>SPCC-SD</v>
          </cell>
          <cell r="E1820" t="str">
            <v>AF1</v>
          </cell>
          <cell r="F1820">
            <v>1</v>
          </cell>
          <cell r="G1820">
            <v>102</v>
          </cell>
          <cell r="H1820" t="str">
            <v>C</v>
          </cell>
          <cell r="I1820" t="str">
            <v>A</v>
          </cell>
          <cell r="J1820" t="str">
            <v>WANAVIT</v>
          </cell>
          <cell r="K1820">
            <v>1</v>
          </cell>
          <cell r="L1820">
            <v>110</v>
          </cell>
          <cell r="M1820">
            <v>60031060</v>
          </cell>
          <cell r="N1820">
            <v>38436</v>
          </cell>
          <cell r="P1820" t="str">
            <v>FN5325N1S830401</v>
          </cell>
          <cell r="Q1820" t="str">
            <v>แผ่นรองและสายรัดเป็นสนิม</v>
          </cell>
        </row>
        <row r="1821">
          <cell r="A1821">
            <v>60022183</v>
          </cell>
          <cell r="B1821">
            <v>1820</v>
          </cell>
          <cell r="C1821" t="str">
            <v>CS01/3</v>
          </cell>
          <cell r="D1821" t="str">
            <v>SPCC-SD</v>
          </cell>
          <cell r="E1821" t="str">
            <v>AF1</v>
          </cell>
          <cell r="F1821">
            <v>1.2</v>
          </cell>
          <cell r="G1821">
            <v>40</v>
          </cell>
          <cell r="H1821" t="str">
            <v>C</v>
          </cell>
          <cell r="I1821" t="str">
            <v>A</v>
          </cell>
          <cell r="J1821" t="str">
            <v>PSP</v>
          </cell>
          <cell r="K1821">
            <v>1</v>
          </cell>
          <cell r="L1821">
            <v>75</v>
          </cell>
          <cell r="M1821">
            <v>60022183</v>
          </cell>
          <cell r="N1821" t="str">
            <v>29/A/2004</v>
          </cell>
          <cell r="P1821" t="str">
            <v>IN4A29D1S438501</v>
          </cell>
          <cell r="Q1821" t="str">
            <v>แผ่นรองและสายรัดเป็นสนิม</v>
          </cell>
        </row>
        <row r="1822">
          <cell r="A1822">
            <v>60022823</v>
          </cell>
          <cell r="B1822">
            <v>1821</v>
          </cell>
          <cell r="C1822" t="str">
            <v>CS01/3</v>
          </cell>
          <cell r="D1822" t="str">
            <v>SPCC-SD</v>
          </cell>
          <cell r="E1822" t="str">
            <v>AF1</v>
          </cell>
          <cell r="F1822">
            <v>1.2</v>
          </cell>
          <cell r="G1822">
            <v>71</v>
          </cell>
          <cell r="H1822" t="str">
            <v>C</v>
          </cell>
          <cell r="I1822" t="str">
            <v>A</v>
          </cell>
          <cell r="J1822" t="str">
            <v>K. DENZA</v>
          </cell>
          <cell r="K1822">
            <v>1</v>
          </cell>
          <cell r="L1822">
            <v>215</v>
          </cell>
          <cell r="M1822">
            <v>60022823</v>
          </cell>
          <cell r="N1822" t="str">
            <v>6/B/2004</v>
          </cell>
          <cell r="P1822" t="str">
            <v>FN4B06D1S458601</v>
          </cell>
          <cell r="Q1822" t="str">
            <v>แผ่นรองและสายรัดเป็นสนิม</v>
          </cell>
        </row>
        <row r="1823">
          <cell r="A1823">
            <v>60022824</v>
          </cell>
          <cell r="B1823">
            <v>1822</v>
          </cell>
          <cell r="C1823" t="str">
            <v>CS01/3</v>
          </cell>
          <cell r="D1823" t="str">
            <v>SPCC-SD</v>
          </cell>
          <cell r="E1823" t="str">
            <v>AF1</v>
          </cell>
          <cell r="F1823">
            <v>1.2</v>
          </cell>
          <cell r="G1823">
            <v>71</v>
          </cell>
          <cell r="H1823" t="str">
            <v>C</v>
          </cell>
          <cell r="I1823" t="str">
            <v>A</v>
          </cell>
          <cell r="J1823" t="str">
            <v>K. DENZA</v>
          </cell>
          <cell r="K1823">
            <v>1</v>
          </cell>
          <cell r="L1823">
            <v>215</v>
          </cell>
          <cell r="M1823">
            <v>60022824</v>
          </cell>
          <cell r="N1823" t="str">
            <v>6/B/2004</v>
          </cell>
          <cell r="P1823" t="str">
            <v>FN4B06D1S458602</v>
          </cell>
          <cell r="Q1823" t="str">
            <v>แผ่นรองและสายรัดเป็นสนิม</v>
          </cell>
        </row>
        <row r="1824">
          <cell r="A1824">
            <v>60022838</v>
          </cell>
          <cell r="B1824">
            <v>1823</v>
          </cell>
          <cell r="C1824" t="str">
            <v>CS01/3</v>
          </cell>
          <cell r="D1824" t="str">
            <v>SPCC-SD</v>
          </cell>
          <cell r="E1824" t="str">
            <v>AF1</v>
          </cell>
          <cell r="F1824">
            <v>1.2</v>
          </cell>
          <cell r="G1824">
            <v>71</v>
          </cell>
          <cell r="H1824" t="str">
            <v>C</v>
          </cell>
          <cell r="I1824" t="str">
            <v>A</v>
          </cell>
          <cell r="J1824" t="str">
            <v>K. DENZA</v>
          </cell>
          <cell r="K1824">
            <v>1</v>
          </cell>
          <cell r="L1824">
            <v>215</v>
          </cell>
          <cell r="M1824">
            <v>60022838</v>
          </cell>
          <cell r="N1824" t="str">
            <v>6/B/2004</v>
          </cell>
          <cell r="P1824" t="str">
            <v>FN4B06D1S458603</v>
          </cell>
          <cell r="Q1824" t="str">
            <v>แผ่นรองและสายรัดเป็นสนิม</v>
          </cell>
        </row>
        <row r="1825">
          <cell r="A1825">
            <v>60029299</v>
          </cell>
          <cell r="B1825">
            <v>1824</v>
          </cell>
          <cell r="C1825" t="str">
            <v>CS01/3</v>
          </cell>
          <cell r="D1825" t="str">
            <v>SPCC-SD</v>
          </cell>
          <cell r="E1825" t="str">
            <v>AF1</v>
          </cell>
          <cell r="F1825">
            <v>3</v>
          </cell>
          <cell r="G1825">
            <v>83</v>
          </cell>
          <cell r="H1825" t="str">
            <v>C</v>
          </cell>
          <cell r="I1825" t="str">
            <v>A</v>
          </cell>
          <cell r="J1825" t="str">
            <v>PSP</v>
          </cell>
          <cell r="K1825">
            <v>1</v>
          </cell>
          <cell r="L1825">
            <v>300</v>
          </cell>
          <cell r="M1825">
            <v>60029299</v>
          </cell>
          <cell r="N1825">
            <v>38410</v>
          </cell>
          <cell r="P1825" t="str">
            <v>IN5227D1S563601</v>
          </cell>
          <cell r="Q1825" t="str">
            <v>แผ่นรองและสายรัดเป็นสนิม</v>
          </cell>
        </row>
        <row r="1826">
          <cell r="A1826">
            <v>60029301</v>
          </cell>
          <cell r="B1826">
            <v>1825</v>
          </cell>
          <cell r="C1826" t="str">
            <v>CS01/3</v>
          </cell>
          <cell r="D1826" t="str">
            <v>SPCC-SD</v>
          </cell>
          <cell r="E1826" t="str">
            <v>AF1</v>
          </cell>
          <cell r="F1826">
            <v>3</v>
          </cell>
          <cell r="G1826">
            <v>83</v>
          </cell>
          <cell r="H1826" t="str">
            <v>C</v>
          </cell>
          <cell r="I1826" t="str">
            <v>A</v>
          </cell>
          <cell r="J1826" t="str">
            <v>PSP</v>
          </cell>
          <cell r="K1826">
            <v>1</v>
          </cell>
          <cell r="L1826">
            <v>334</v>
          </cell>
          <cell r="M1826">
            <v>60029301</v>
          </cell>
          <cell r="N1826">
            <v>38410</v>
          </cell>
          <cell r="P1826" t="str">
            <v>IN5227D1S563602</v>
          </cell>
          <cell r="Q1826" t="str">
            <v>แผ่นรองและสายรัดเป็นสนิม</v>
          </cell>
        </row>
        <row r="1827">
          <cell r="A1827">
            <v>60037027</v>
          </cell>
          <cell r="B1827">
            <v>1826</v>
          </cell>
          <cell r="C1827" t="str">
            <v>CS01/3</v>
          </cell>
          <cell r="D1827" t="str">
            <v>SPCEN-SD</v>
          </cell>
          <cell r="E1827" t="str">
            <v>AF3</v>
          </cell>
          <cell r="F1827">
            <v>0.7</v>
          </cell>
          <cell r="G1827">
            <v>70</v>
          </cell>
          <cell r="H1827" t="str">
            <v>C</v>
          </cell>
          <cell r="I1827" t="str">
            <v>A</v>
          </cell>
          <cell r="J1827" t="str">
            <v>PSP</v>
          </cell>
          <cell r="K1827">
            <v>1</v>
          </cell>
          <cell r="L1827">
            <v>170</v>
          </cell>
          <cell r="M1827">
            <v>60037027</v>
          </cell>
          <cell r="N1827">
            <v>38536</v>
          </cell>
          <cell r="P1827" t="str">
            <v>IN5703D1S105801</v>
          </cell>
          <cell r="Q1827" t="str">
            <v>สภาพปกติ</v>
          </cell>
        </row>
        <row r="1828">
          <cell r="A1828">
            <v>60011462</v>
          </cell>
          <cell r="B1828">
            <v>1827</v>
          </cell>
          <cell r="C1828" t="str">
            <v>CS01/3</v>
          </cell>
          <cell r="D1828" t="str">
            <v>SPCEN-SD</v>
          </cell>
          <cell r="E1828" t="str">
            <v>AF3</v>
          </cell>
          <cell r="F1828">
            <v>0.7</v>
          </cell>
          <cell r="G1828">
            <v>90</v>
          </cell>
          <cell r="H1828" t="str">
            <v>C</v>
          </cell>
          <cell r="I1828" t="str">
            <v>A</v>
          </cell>
          <cell r="J1828" t="str">
            <v>PSP</v>
          </cell>
          <cell r="K1828">
            <v>1</v>
          </cell>
          <cell r="L1828">
            <v>390</v>
          </cell>
          <cell r="M1828">
            <v>60011462</v>
          </cell>
          <cell r="N1828">
            <v>38042</v>
          </cell>
          <cell r="P1828" t="str">
            <v>IN4225DZZ022501</v>
          </cell>
          <cell r="Q1828" t="str">
            <v>แผ่นรองและสายรัดเป็นสนิม</v>
          </cell>
        </row>
        <row r="1829">
          <cell r="A1829">
            <v>60015907</v>
          </cell>
          <cell r="B1829">
            <v>1828</v>
          </cell>
          <cell r="C1829" t="str">
            <v>CS01/3</v>
          </cell>
          <cell r="D1829" t="str">
            <v>SPCEN-SD</v>
          </cell>
          <cell r="E1829" t="str">
            <v>AF3</v>
          </cell>
          <cell r="F1829">
            <v>0.7</v>
          </cell>
          <cell r="G1829">
            <v>90</v>
          </cell>
          <cell r="H1829" t="str">
            <v>C</v>
          </cell>
          <cell r="I1829" t="str">
            <v>A</v>
          </cell>
          <cell r="J1829" t="str">
            <v>PSP</v>
          </cell>
          <cell r="K1829">
            <v>1</v>
          </cell>
          <cell r="L1829">
            <v>275</v>
          </cell>
          <cell r="M1829">
            <v>60015907</v>
          </cell>
          <cell r="N1829">
            <v>38152</v>
          </cell>
          <cell r="P1829" t="str">
            <v>IN4614NZZ061401</v>
          </cell>
          <cell r="Q1829" t="str">
            <v>แผ่นรองและสายรัดเป็นสนิม</v>
          </cell>
        </row>
        <row r="1830">
          <cell r="A1830">
            <v>60018583</v>
          </cell>
          <cell r="B1830">
            <v>1829</v>
          </cell>
          <cell r="C1830" t="str">
            <v>CS01/3</v>
          </cell>
          <cell r="D1830" t="str">
            <v>SPCEN-SD</v>
          </cell>
          <cell r="E1830" t="str">
            <v>AF3</v>
          </cell>
          <cell r="F1830">
            <v>0.7</v>
          </cell>
          <cell r="G1830">
            <v>90</v>
          </cell>
          <cell r="H1830" t="str">
            <v>C</v>
          </cell>
          <cell r="I1830" t="str">
            <v>A</v>
          </cell>
          <cell r="J1830" t="str">
            <v>PSP</v>
          </cell>
          <cell r="K1830">
            <v>1</v>
          </cell>
          <cell r="L1830">
            <v>240</v>
          </cell>
          <cell r="M1830">
            <v>60018583</v>
          </cell>
          <cell r="N1830">
            <v>38224</v>
          </cell>
          <cell r="P1830" t="str">
            <v>IN4825D1S270903</v>
          </cell>
          <cell r="Q1830" t="str">
            <v>สภาพปกติ</v>
          </cell>
        </row>
        <row r="1831">
          <cell r="A1831">
            <v>60030767</v>
          </cell>
          <cell r="B1831">
            <v>1830</v>
          </cell>
          <cell r="C1831" t="str">
            <v>CS01/3</v>
          </cell>
          <cell r="D1831" t="str">
            <v>SPCEN-SD</v>
          </cell>
          <cell r="E1831" t="str">
            <v>AF3</v>
          </cell>
          <cell r="F1831">
            <v>0.8</v>
          </cell>
          <cell r="G1831">
            <v>40</v>
          </cell>
          <cell r="H1831" t="str">
            <v>C</v>
          </cell>
          <cell r="I1831" t="str">
            <v>A</v>
          </cell>
          <cell r="J1831" t="str">
            <v>JINFONG</v>
          </cell>
          <cell r="K1831">
            <v>1</v>
          </cell>
          <cell r="L1831">
            <v>73</v>
          </cell>
          <cell r="M1831">
            <v>60030767</v>
          </cell>
          <cell r="N1831">
            <v>38432</v>
          </cell>
          <cell r="P1831" t="str">
            <v>FN5321D1S819801</v>
          </cell>
          <cell r="Q1831" t="str">
            <v>แผ่นรองและสายรัดเป็นสนิม</v>
          </cell>
        </row>
        <row r="1832">
          <cell r="A1832">
            <v>60019174</v>
          </cell>
          <cell r="B1832">
            <v>1831</v>
          </cell>
          <cell r="C1832" t="str">
            <v>CS01/3</v>
          </cell>
          <cell r="D1832" t="str">
            <v>SPCEN-SD</v>
          </cell>
          <cell r="E1832" t="str">
            <v>AF3</v>
          </cell>
          <cell r="F1832">
            <v>0.8</v>
          </cell>
          <cell r="G1832">
            <v>64</v>
          </cell>
          <cell r="H1832" t="str">
            <v>C</v>
          </cell>
          <cell r="I1832" t="str">
            <v>A</v>
          </cell>
          <cell r="J1832" t="str">
            <v>TSA</v>
          </cell>
          <cell r="K1832">
            <v>1</v>
          </cell>
          <cell r="L1832">
            <v>160</v>
          </cell>
          <cell r="M1832">
            <v>60019174</v>
          </cell>
          <cell r="N1832">
            <v>38236</v>
          </cell>
          <cell r="P1832" t="str">
            <v>FN4906D1S294001</v>
          </cell>
          <cell r="Q1832" t="str">
            <v>สภาพปกติ</v>
          </cell>
        </row>
        <row r="1833">
          <cell r="A1833">
            <v>60019175</v>
          </cell>
          <cell r="B1833">
            <v>1832</v>
          </cell>
          <cell r="C1833" t="str">
            <v>CS01/3</v>
          </cell>
          <cell r="D1833" t="str">
            <v>SPCEN-SD</v>
          </cell>
          <cell r="E1833" t="str">
            <v>AF3</v>
          </cell>
          <cell r="F1833">
            <v>0.8</v>
          </cell>
          <cell r="G1833">
            <v>64</v>
          </cell>
          <cell r="H1833" t="str">
            <v>C</v>
          </cell>
          <cell r="I1833" t="str">
            <v>A</v>
          </cell>
          <cell r="J1833" t="str">
            <v>TSA</v>
          </cell>
          <cell r="K1833">
            <v>1</v>
          </cell>
          <cell r="L1833">
            <v>160</v>
          </cell>
          <cell r="M1833">
            <v>60019175</v>
          </cell>
          <cell r="N1833">
            <v>38236</v>
          </cell>
          <cell r="P1833" t="str">
            <v>FN4906D1S294002</v>
          </cell>
          <cell r="Q1833" t="str">
            <v>สภาพปกติ</v>
          </cell>
        </row>
        <row r="1834">
          <cell r="A1834">
            <v>60019176</v>
          </cell>
          <cell r="B1834">
            <v>1833</v>
          </cell>
          <cell r="C1834" t="str">
            <v>CS01/3</v>
          </cell>
          <cell r="D1834" t="str">
            <v>SPCEN-SD</v>
          </cell>
          <cell r="E1834" t="str">
            <v>AF3</v>
          </cell>
          <cell r="F1834">
            <v>0.8</v>
          </cell>
          <cell r="G1834">
            <v>64</v>
          </cell>
          <cell r="H1834" t="str">
            <v>C</v>
          </cell>
          <cell r="I1834" t="str">
            <v>A</v>
          </cell>
          <cell r="J1834" t="str">
            <v>TSA</v>
          </cell>
          <cell r="K1834">
            <v>1</v>
          </cell>
          <cell r="L1834">
            <v>160</v>
          </cell>
          <cell r="M1834">
            <v>60019176</v>
          </cell>
          <cell r="N1834">
            <v>38236</v>
          </cell>
          <cell r="P1834" t="str">
            <v>FN4906D1S294003</v>
          </cell>
          <cell r="Q1834" t="str">
            <v>สภาพปกติ</v>
          </cell>
        </row>
        <row r="1835">
          <cell r="A1835">
            <v>60011302</v>
          </cell>
          <cell r="B1835">
            <v>1834</v>
          </cell>
          <cell r="C1835" t="str">
            <v>CS01/3</v>
          </cell>
          <cell r="D1835" t="str">
            <v>SPCEN-SD</v>
          </cell>
          <cell r="E1835" t="str">
            <v>AF3</v>
          </cell>
          <cell r="F1835">
            <v>0.8</v>
          </cell>
          <cell r="G1835">
            <v>70</v>
          </cell>
          <cell r="H1835" t="str">
            <v>C</v>
          </cell>
          <cell r="I1835" t="str">
            <v>A</v>
          </cell>
          <cell r="J1835" t="str">
            <v>TSA</v>
          </cell>
          <cell r="K1835">
            <v>1</v>
          </cell>
          <cell r="L1835">
            <v>280</v>
          </cell>
          <cell r="M1835">
            <v>60011302</v>
          </cell>
          <cell r="N1835">
            <v>38037</v>
          </cell>
          <cell r="P1835" t="str">
            <v>FN4220DZZ220001</v>
          </cell>
          <cell r="Q1835" t="str">
            <v>สภาพปกติ</v>
          </cell>
        </row>
        <row r="1836">
          <cell r="A1836">
            <v>60014024</v>
          </cell>
          <cell r="B1836">
            <v>1835</v>
          </cell>
          <cell r="C1836" t="str">
            <v>CS01/3</v>
          </cell>
          <cell r="D1836" t="str">
            <v>SPCEN-SD</v>
          </cell>
          <cell r="E1836" t="str">
            <v>AF3</v>
          </cell>
          <cell r="F1836">
            <v>0.9</v>
          </cell>
          <cell r="G1836">
            <v>90</v>
          </cell>
          <cell r="H1836" t="str">
            <v>C</v>
          </cell>
          <cell r="I1836" t="str">
            <v>A</v>
          </cell>
          <cell r="J1836" t="str">
            <v>PSP</v>
          </cell>
          <cell r="K1836">
            <v>1</v>
          </cell>
          <cell r="L1836">
            <v>115</v>
          </cell>
          <cell r="M1836">
            <v>60014024</v>
          </cell>
          <cell r="N1836">
            <v>38110</v>
          </cell>
          <cell r="P1836" t="str">
            <v>IN4503NZZ050301</v>
          </cell>
          <cell r="Q1836" t="str">
            <v>แผ่นรองและสายรัดเป็นสนิม</v>
          </cell>
        </row>
        <row r="1837">
          <cell r="A1837">
            <v>60014889</v>
          </cell>
          <cell r="B1837">
            <v>1836</v>
          </cell>
          <cell r="C1837" t="str">
            <v>CS01/3</v>
          </cell>
          <cell r="D1837" t="str">
            <v>SPCEN-SD</v>
          </cell>
          <cell r="E1837" t="str">
            <v>AF3</v>
          </cell>
          <cell r="F1837">
            <v>1</v>
          </cell>
          <cell r="G1837">
            <v>120</v>
          </cell>
          <cell r="H1837" t="str">
            <v>C</v>
          </cell>
          <cell r="I1837" t="str">
            <v>A</v>
          </cell>
          <cell r="J1837" t="str">
            <v>PSP</v>
          </cell>
          <cell r="K1837">
            <v>1</v>
          </cell>
          <cell r="L1837">
            <v>470</v>
          </cell>
          <cell r="M1837">
            <v>60014889</v>
          </cell>
          <cell r="N1837">
            <v>38127</v>
          </cell>
          <cell r="P1837" t="str">
            <v>IN4520NZZ052001</v>
          </cell>
          <cell r="Q1837" t="str">
            <v>แผ่นรองและสายรัดเป็นสนิม</v>
          </cell>
        </row>
        <row r="1838">
          <cell r="A1838">
            <v>60010696</v>
          </cell>
          <cell r="B1838">
            <v>1837</v>
          </cell>
          <cell r="C1838" t="str">
            <v>CS01/3</v>
          </cell>
          <cell r="D1838" t="str">
            <v>SPCEN-SD</v>
          </cell>
          <cell r="E1838" t="str">
            <v>AF3</v>
          </cell>
          <cell r="F1838">
            <v>1.6</v>
          </cell>
          <cell r="G1838">
            <v>82</v>
          </cell>
          <cell r="H1838" t="str">
            <v>C</v>
          </cell>
          <cell r="I1838" t="str">
            <v>A</v>
          </cell>
          <cell r="J1838" t="str">
            <v>TSA</v>
          </cell>
          <cell r="K1838">
            <v>1</v>
          </cell>
          <cell r="L1838">
            <v>305</v>
          </cell>
          <cell r="M1838">
            <v>60010696</v>
          </cell>
          <cell r="N1838">
            <v>38026</v>
          </cell>
          <cell r="P1838" t="str">
            <v>FN4209DZZ020901</v>
          </cell>
          <cell r="Q1838" t="str">
            <v>แผ่นรองและสายรัดเป็นสนิม</v>
          </cell>
        </row>
        <row r="1839">
          <cell r="A1839">
            <v>60010697</v>
          </cell>
          <cell r="B1839">
            <v>1838</v>
          </cell>
          <cell r="C1839" t="str">
            <v>CS01/3</v>
          </cell>
          <cell r="D1839" t="str">
            <v>SPCEN-SD</v>
          </cell>
          <cell r="E1839" t="str">
            <v>AF3</v>
          </cell>
          <cell r="F1839">
            <v>1.6</v>
          </cell>
          <cell r="G1839">
            <v>82</v>
          </cell>
          <cell r="H1839" t="str">
            <v>C</v>
          </cell>
          <cell r="I1839" t="str">
            <v>A</v>
          </cell>
          <cell r="J1839" t="str">
            <v>TSA</v>
          </cell>
          <cell r="K1839">
            <v>1</v>
          </cell>
          <cell r="L1839">
            <v>305</v>
          </cell>
          <cell r="M1839">
            <v>60010697</v>
          </cell>
          <cell r="N1839">
            <v>38026</v>
          </cell>
          <cell r="P1839" t="str">
            <v>FN4209DZZ020902</v>
          </cell>
          <cell r="Q1839" t="str">
            <v>แผ่นรองและสายรัดเป็นสนิม</v>
          </cell>
        </row>
        <row r="1840">
          <cell r="A1840">
            <v>60010706</v>
          </cell>
          <cell r="B1840">
            <v>1839</v>
          </cell>
          <cell r="C1840" t="str">
            <v>CS01/3</v>
          </cell>
          <cell r="D1840" t="str">
            <v>SPCEN-SD</v>
          </cell>
          <cell r="E1840" t="str">
            <v>AF3</v>
          </cell>
          <cell r="F1840">
            <v>1.6</v>
          </cell>
          <cell r="G1840">
            <v>82</v>
          </cell>
          <cell r="H1840" t="str">
            <v>C</v>
          </cell>
          <cell r="I1840" t="str">
            <v>A</v>
          </cell>
          <cell r="J1840" t="str">
            <v>TSA</v>
          </cell>
          <cell r="K1840">
            <v>1</v>
          </cell>
          <cell r="L1840">
            <v>290</v>
          </cell>
          <cell r="M1840">
            <v>60010706</v>
          </cell>
          <cell r="N1840">
            <v>38026</v>
          </cell>
          <cell r="P1840" t="str">
            <v>FN4209DZZ020903</v>
          </cell>
          <cell r="Q1840" t="str">
            <v>สภาพปกติ</v>
          </cell>
        </row>
        <row r="1841">
          <cell r="A1841">
            <v>60010707</v>
          </cell>
          <cell r="B1841">
            <v>1840</v>
          </cell>
          <cell r="C1841" t="str">
            <v>CS01/3</v>
          </cell>
          <cell r="D1841" t="str">
            <v>SPCEN-SD</v>
          </cell>
          <cell r="E1841" t="str">
            <v>AF3</v>
          </cell>
          <cell r="F1841">
            <v>1.6</v>
          </cell>
          <cell r="G1841">
            <v>82</v>
          </cell>
          <cell r="H1841" t="str">
            <v>C</v>
          </cell>
          <cell r="I1841" t="str">
            <v>A</v>
          </cell>
          <cell r="J1841" t="str">
            <v>TSA</v>
          </cell>
          <cell r="K1841">
            <v>1</v>
          </cell>
          <cell r="L1841">
            <v>290</v>
          </cell>
          <cell r="M1841">
            <v>60010707</v>
          </cell>
          <cell r="N1841">
            <v>38026</v>
          </cell>
          <cell r="P1841" t="str">
            <v>FN4209DZZ020904</v>
          </cell>
          <cell r="Q1841" t="str">
            <v>สภาพปกติ</v>
          </cell>
        </row>
        <row r="1842">
          <cell r="A1842">
            <v>60010711</v>
          </cell>
          <cell r="B1842">
            <v>1841</v>
          </cell>
          <cell r="C1842" t="str">
            <v>CS01/3</v>
          </cell>
          <cell r="D1842" t="str">
            <v>SPCEN-SD</v>
          </cell>
          <cell r="E1842" t="str">
            <v>AF3</v>
          </cell>
          <cell r="F1842">
            <v>1.6</v>
          </cell>
          <cell r="G1842">
            <v>82</v>
          </cell>
          <cell r="H1842" t="str">
            <v>C</v>
          </cell>
          <cell r="I1842" t="str">
            <v>A</v>
          </cell>
          <cell r="J1842" t="str">
            <v>TSA</v>
          </cell>
          <cell r="K1842">
            <v>1</v>
          </cell>
          <cell r="L1842">
            <v>295</v>
          </cell>
          <cell r="M1842">
            <v>60010711</v>
          </cell>
          <cell r="N1842">
            <v>38026</v>
          </cell>
          <cell r="P1842" t="str">
            <v>FN4209DZZ020905</v>
          </cell>
          <cell r="Q1842" t="str">
            <v>กระดาษฉีกขาดและเป็นสนิม</v>
          </cell>
        </row>
        <row r="1843">
          <cell r="A1843">
            <v>60010712</v>
          </cell>
          <cell r="B1843">
            <v>1842</v>
          </cell>
          <cell r="C1843" t="str">
            <v>CS01/3</v>
          </cell>
          <cell r="D1843" t="str">
            <v>SPCEN-SD</v>
          </cell>
          <cell r="E1843" t="str">
            <v>AF3</v>
          </cell>
          <cell r="F1843">
            <v>1.6</v>
          </cell>
          <cell r="G1843">
            <v>82</v>
          </cell>
          <cell r="H1843" t="str">
            <v>C</v>
          </cell>
          <cell r="I1843" t="str">
            <v>A</v>
          </cell>
          <cell r="J1843" t="str">
            <v>PSP</v>
          </cell>
          <cell r="K1843">
            <v>1</v>
          </cell>
          <cell r="L1843">
            <v>295</v>
          </cell>
          <cell r="M1843">
            <v>60010712</v>
          </cell>
          <cell r="N1843">
            <v>38026</v>
          </cell>
          <cell r="P1843" t="str">
            <v>FN4209DZZ020906</v>
          </cell>
          <cell r="Q1843" t="str">
            <v>กระดาษฉีกขาด</v>
          </cell>
        </row>
        <row r="1844">
          <cell r="A1844">
            <v>60012770</v>
          </cell>
          <cell r="B1844">
            <v>1843</v>
          </cell>
          <cell r="C1844" t="str">
            <v>CS01/3</v>
          </cell>
          <cell r="D1844" t="str">
            <v>SPCEN-SD</v>
          </cell>
          <cell r="E1844" t="str">
            <v>AF3</v>
          </cell>
          <cell r="F1844">
            <v>1.6</v>
          </cell>
          <cell r="G1844">
            <v>82</v>
          </cell>
          <cell r="H1844" t="str">
            <v>C</v>
          </cell>
          <cell r="I1844" t="str">
            <v>A</v>
          </cell>
          <cell r="J1844" t="str">
            <v>TSA</v>
          </cell>
          <cell r="K1844">
            <v>1</v>
          </cell>
          <cell r="L1844">
            <v>265</v>
          </cell>
          <cell r="M1844">
            <v>60012770</v>
          </cell>
          <cell r="N1844">
            <v>38072</v>
          </cell>
          <cell r="P1844" t="str">
            <v>FN4326DZZ032607</v>
          </cell>
          <cell r="Q1844" t="str">
            <v>แผ่นรองและสายรัดเป็นสนิม</v>
          </cell>
        </row>
        <row r="1845">
          <cell r="A1845">
            <v>60012771</v>
          </cell>
          <cell r="B1845">
            <v>1844</v>
          </cell>
          <cell r="C1845" t="str">
            <v>CS01/3</v>
          </cell>
          <cell r="D1845" t="str">
            <v>SPCEN-SD</v>
          </cell>
          <cell r="E1845" t="str">
            <v>AF3</v>
          </cell>
          <cell r="F1845">
            <v>1.6</v>
          </cell>
          <cell r="G1845">
            <v>82</v>
          </cell>
          <cell r="H1845" t="str">
            <v>C</v>
          </cell>
          <cell r="I1845" t="str">
            <v>A</v>
          </cell>
          <cell r="J1845" t="str">
            <v>TSA</v>
          </cell>
          <cell r="K1845">
            <v>1</v>
          </cell>
          <cell r="L1845">
            <v>265</v>
          </cell>
          <cell r="M1845">
            <v>60012771</v>
          </cell>
          <cell r="N1845">
            <v>38072</v>
          </cell>
          <cell r="P1845" t="str">
            <v>FN4326DZZ032608</v>
          </cell>
          <cell r="Q1845" t="str">
            <v>แผ่นรองและสายรัดเป็นสนิม</v>
          </cell>
        </row>
        <row r="1846">
          <cell r="A1846">
            <v>60018063</v>
          </cell>
          <cell r="B1846">
            <v>1845</v>
          </cell>
          <cell r="C1846" t="str">
            <v>CS01/3</v>
          </cell>
          <cell r="D1846" t="str">
            <v>SPCEN-SD</v>
          </cell>
          <cell r="E1846" t="str">
            <v>AF3</v>
          </cell>
          <cell r="F1846">
            <v>1.6</v>
          </cell>
          <cell r="G1846">
            <v>82</v>
          </cell>
          <cell r="H1846" t="str">
            <v>C</v>
          </cell>
          <cell r="I1846" t="str">
            <v>A</v>
          </cell>
          <cell r="J1846" t="str">
            <v>TSA</v>
          </cell>
          <cell r="K1846">
            <v>1</v>
          </cell>
          <cell r="L1846">
            <v>345</v>
          </cell>
          <cell r="M1846">
            <v>60018063</v>
          </cell>
          <cell r="N1846">
            <v>38209</v>
          </cell>
          <cell r="P1846" t="str">
            <v>FN4810D1S235601</v>
          </cell>
          <cell r="Q1846" t="str">
            <v>สภาพปกติ</v>
          </cell>
        </row>
        <row r="1847">
          <cell r="A1847">
            <v>60018067</v>
          </cell>
          <cell r="B1847">
            <v>1846</v>
          </cell>
          <cell r="C1847" t="str">
            <v>CS01/3</v>
          </cell>
          <cell r="D1847" t="str">
            <v>SPCEN-SD</v>
          </cell>
          <cell r="E1847" t="str">
            <v>AF3</v>
          </cell>
          <cell r="F1847">
            <v>1.6</v>
          </cell>
          <cell r="G1847">
            <v>82</v>
          </cell>
          <cell r="H1847" t="str">
            <v>C</v>
          </cell>
          <cell r="I1847" t="str">
            <v>A</v>
          </cell>
          <cell r="J1847" t="str">
            <v>TSA</v>
          </cell>
          <cell r="K1847">
            <v>1</v>
          </cell>
          <cell r="L1847">
            <v>345</v>
          </cell>
          <cell r="M1847">
            <v>60018067</v>
          </cell>
          <cell r="N1847">
            <v>38209</v>
          </cell>
          <cell r="P1847" t="str">
            <v>FN4810D1S235602</v>
          </cell>
          <cell r="Q1847" t="str">
            <v>สภาพปกติ</v>
          </cell>
        </row>
        <row r="1848">
          <cell r="A1848">
            <v>60018641</v>
          </cell>
          <cell r="B1848">
            <v>1847</v>
          </cell>
          <cell r="C1848" t="str">
            <v>CS01/3</v>
          </cell>
          <cell r="D1848" t="str">
            <v>SPCEN-SD</v>
          </cell>
          <cell r="E1848" t="str">
            <v>AF3</v>
          </cell>
          <cell r="F1848">
            <v>1.6</v>
          </cell>
          <cell r="G1848">
            <v>82</v>
          </cell>
          <cell r="H1848" t="str">
            <v>C</v>
          </cell>
          <cell r="I1848" t="str">
            <v>A</v>
          </cell>
          <cell r="J1848" t="str">
            <v>TSA</v>
          </cell>
          <cell r="K1848">
            <v>1</v>
          </cell>
          <cell r="L1848">
            <v>450</v>
          </cell>
          <cell r="M1848">
            <v>60018641</v>
          </cell>
          <cell r="N1848">
            <v>38225</v>
          </cell>
          <cell r="P1848" t="str">
            <v>IN4826D1S273811</v>
          </cell>
          <cell r="Q1848" t="str">
            <v>กระดาษฉีกขาด</v>
          </cell>
        </row>
        <row r="1849">
          <cell r="A1849">
            <v>60011321</v>
          </cell>
          <cell r="B1849">
            <v>1848</v>
          </cell>
          <cell r="C1849" t="str">
            <v>CS01/3</v>
          </cell>
          <cell r="D1849" t="str">
            <v>SPCEN-SD</v>
          </cell>
          <cell r="E1849" t="str">
            <v>AF3</v>
          </cell>
          <cell r="F1849">
            <v>2</v>
          </cell>
          <cell r="G1849">
            <v>70</v>
          </cell>
          <cell r="H1849" t="str">
            <v>C</v>
          </cell>
          <cell r="I1849" t="str">
            <v>A</v>
          </cell>
          <cell r="J1849" t="str">
            <v>PSP</v>
          </cell>
          <cell r="K1849">
            <v>1</v>
          </cell>
          <cell r="L1849">
            <v>125</v>
          </cell>
          <cell r="M1849">
            <v>60011321</v>
          </cell>
          <cell r="N1849">
            <v>38037</v>
          </cell>
          <cell r="P1849" t="str">
            <v>IN4220DZZ022001</v>
          </cell>
          <cell r="Q1849" t="str">
            <v>แผ่นรองและสายรัดเป็นสนิม</v>
          </cell>
        </row>
        <row r="1850">
          <cell r="A1850">
            <v>60035457</v>
          </cell>
          <cell r="B1850">
            <v>1849</v>
          </cell>
          <cell r="C1850" t="str">
            <v>CS01/3</v>
          </cell>
          <cell r="D1850" t="str">
            <v>SPCEN-SD</v>
          </cell>
          <cell r="E1850" t="str">
            <v>AF3</v>
          </cell>
          <cell r="F1850">
            <v>2</v>
          </cell>
          <cell r="G1850">
            <v>107</v>
          </cell>
          <cell r="H1850" t="str">
            <v>C</v>
          </cell>
          <cell r="I1850" t="str">
            <v>A</v>
          </cell>
          <cell r="J1850" t="str">
            <v>PSP</v>
          </cell>
          <cell r="K1850">
            <v>1</v>
          </cell>
          <cell r="L1850">
            <v>183</v>
          </cell>
          <cell r="M1850">
            <v>60035457</v>
          </cell>
          <cell r="N1850">
            <v>38507</v>
          </cell>
          <cell r="O1850" t="str">
            <v>125514TCD016</v>
          </cell>
          <cell r="P1850" t="str">
            <v>IN5604D1S030401</v>
          </cell>
          <cell r="Q1850" t="str">
            <v>แผ่นรองและสายรัดเป็นสนิม</v>
          </cell>
        </row>
        <row r="1851">
          <cell r="A1851">
            <v>60020973</v>
          </cell>
          <cell r="B1851">
            <v>1850</v>
          </cell>
          <cell r="C1851" t="str">
            <v>CS01/3</v>
          </cell>
          <cell r="D1851" t="str">
            <v>SPHC P/O</v>
          </cell>
          <cell r="E1851" t="str">
            <v>CA1</v>
          </cell>
          <cell r="F1851">
            <v>1.4</v>
          </cell>
          <cell r="G1851">
            <v>69</v>
          </cell>
          <cell r="H1851" t="str">
            <v>C</v>
          </cell>
          <cell r="I1851" t="str">
            <v>A</v>
          </cell>
          <cell r="J1851" t="str">
            <v>PSP</v>
          </cell>
          <cell r="K1851">
            <v>1</v>
          </cell>
          <cell r="L1851">
            <v>285</v>
          </cell>
          <cell r="M1851">
            <v>60020973</v>
          </cell>
          <cell r="N1851" t="str">
            <v>5/A/2004</v>
          </cell>
          <cell r="P1851" t="str">
            <v>IN4A05D1S370301</v>
          </cell>
          <cell r="Q1851" t="str">
            <v>สภาพปกติ</v>
          </cell>
        </row>
        <row r="1852">
          <cell r="A1852">
            <v>60026054</v>
          </cell>
          <cell r="B1852">
            <v>1851</v>
          </cell>
          <cell r="C1852" t="str">
            <v>CS01/3</v>
          </cell>
          <cell r="D1852" t="str">
            <v>SPHC P/O</v>
          </cell>
          <cell r="E1852" t="str">
            <v>CA1</v>
          </cell>
          <cell r="F1852">
            <v>1.4</v>
          </cell>
          <cell r="G1852">
            <v>69</v>
          </cell>
          <cell r="H1852" t="str">
            <v>C</v>
          </cell>
          <cell r="I1852" t="str">
            <v>A</v>
          </cell>
          <cell r="J1852" t="str">
            <v>PSP</v>
          </cell>
          <cell r="K1852">
            <v>1</v>
          </cell>
          <cell r="L1852">
            <v>115</v>
          </cell>
          <cell r="M1852">
            <v>60026054</v>
          </cell>
          <cell r="N1852">
            <v>38356</v>
          </cell>
          <cell r="P1852" t="str">
            <v>IN5104D1S587302</v>
          </cell>
          <cell r="Q1852" t="str">
            <v>สภาพปกติ</v>
          </cell>
        </row>
        <row r="1853">
          <cell r="A1853">
            <v>60030485</v>
          </cell>
          <cell r="B1853">
            <v>1852</v>
          </cell>
          <cell r="C1853" t="str">
            <v>CS01/3</v>
          </cell>
          <cell r="D1853" t="str">
            <v>SPHC P/O</v>
          </cell>
          <cell r="E1853" t="str">
            <v>CA1</v>
          </cell>
          <cell r="F1853">
            <v>1.4</v>
          </cell>
          <cell r="G1853">
            <v>133</v>
          </cell>
          <cell r="H1853" t="str">
            <v>C</v>
          </cell>
          <cell r="I1853" t="str">
            <v>A</v>
          </cell>
          <cell r="J1853" t="str">
            <v>SAS</v>
          </cell>
          <cell r="K1853">
            <v>1</v>
          </cell>
          <cell r="L1853">
            <v>285</v>
          </cell>
          <cell r="M1853">
            <v>60030485</v>
          </cell>
          <cell r="N1853">
            <v>38425</v>
          </cell>
          <cell r="P1853" t="str">
            <v>IN5314N1S794901</v>
          </cell>
          <cell r="Q1853" t="str">
            <v>สภาพปกติ</v>
          </cell>
        </row>
        <row r="1854">
          <cell r="A1854">
            <v>60037533</v>
          </cell>
          <cell r="B1854">
            <v>1853</v>
          </cell>
          <cell r="C1854" t="str">
            <v>CS01/3</v>
          </cell>
          <cell r="D1854" t="str">
            <v>SPHC P/O</v>
          </cell>
          <cell r="E1854" t="str">
            <v>CA1</v>
          </cell>
          <cell r="F1854">
            <v>1.4</v>
          </cell>
          <cell r="G1854">
            <v>133</v>
          </cell>
          <cell r="H1854" t="str">
            <v>C</v>
          </cell>
          <cell r="I1854" t="str">
            <v>A</v>
          </cell>
          <cell r="J1854" t="str">
            <v>PSP</v>
          </cell>
          <cell r="K1854">
            <v>1</v>
          </cell>
          <cell r="L1854">
            <v>371</v>
          </cell>
          <cell r="M1854">
            <v>60037533</v>
          </cell>
          <cell r="N1854">
            <v>38546</v>
          </cell>
          <cell r="P1854" t="str">
            <v>IN5713D1S124502</v>
          </cell>
          <cell r="Q1854" t="str">
            <v>สภาพปกติ</v>
          </cell>
        </row>
        <row r="1855">
          <cell r="A1855">
            <v>60028678</v>
          </cell>
          <cell r="B1855">
            <v>1854</v>
          </cell>
          <cell r="C1855" t="str">
            <v>CS01/3</v>
          </cell>
          <cell r="D1855" t="str">
            <v>SPHC P/O</v>
          </cell>
          <cell r="E1855" t="str">
            <v>CA1</v>
          </cell>
          <cell r="F1855">
            <v>1.4</v>
          </cell>
          <cell r="G1855">
            <v>193</v>
          </cell>
          <cell r="H1855" t="str">
            <v>C</v>
          </cell>
          <cell r="I1855" t="str">
            <v>A</v>
          </cell>
          <cell r="J1855" t="str">
            <v>SAS</v>
          </cell>
          <cell r="K1855">
            <v>1</v>
          </cell>
          <cell r="L1855">
            <v>255</v>
          </cell>
          <cell r="M1855">
            <v>60028678</v>
          </cell>
          <cell r="N1855">
            <v>38397</v>
          </cell>
          <cell r="P1855" t="str">
            <v>FN5314N1S794901</v>
          </cell>
          <cell r="Q1855" t="str">
            <v>แผ่นรองและสายรัดเป็นสนิม</v>
          </cell>
        </row>
        <row r="1856">
          <cell r="A1856">
            <v>60037078</v>
          </cell>
          <cell r="B1856">
            <v>1855</v>
          </cell>
          <cell r="C1856" t="str">
            <v>CS01/3</v>
          </cell>
          <cell r="D1856" t="str">
            <v>SPHC P/O</v>
          </cell>
          <cell r="E1856" t="str">
            <v>CA1</v>
          </cell>
          <cell r="F1856">
            <v>1.4</v>
          </cell>
          <cell r="G1856">
            <v>265</v>
          </cell>
          <cell r="H1856" t="str">
            <v>C</v>
          </cell>
          <cell r="I1856" t="str">
            <v>A</v>
          </cell>
          <cell r="J1856" t="str">
            <v>PSP</v>
          </cell>
          <cell r="K1856">
            <v>1</v>
          </cell>
          <cell r="L1856">
            <v>565</v>
          </cell>
          <cell r="M1856">
            <v>60037078</v>
          </cell>
          <cell r="N1856">
            <v>38538</v>
          </cell>
          <cell r="P1856" t="str">
            <v>IN5705D1S075701</v>
          </cell>
          <cell r="Q1856" t="str">
            <v>แผ่นรองและสายรัดเป็นสนิม</v>
          </cell>
        </row>
        <row r="1857">
          <cell r="A1857">
            <v>60024478</v>
          </cell>
          <cell r="B1857">
            <v>1856</v>
          </cell>
          <cell r="C1857" t="str">
            <v>CS01/3</v>
          </cell>
          <cell r="D1857" t="str">
            <v>SPHC P/O</v>
          </cell>
          <cell r="E1857" t="str">
            <v>CA1</v>
          </cell>
          <cell r="F1857">
            <v>1.6</v>
          </cell>
          <cell r="G1857">
            <v>40</v>
          </cell>
          <cell r="H1857" t="str">
            <v>C</v>
          </cell>
          <cell r="I1857" t="str">
            <v>A</v>
          </cell>
          <cell r="J1857" t="str">
            <v>TSA</v>
          </cell>
          <cell r="K1857">
            <v>1</v>
          </cell>
          <cell r="L1857">
            <v>110</v>
          </cell>
          <cell r="M1857">
            <v>60024478</v>
          </cell>
          <cell r="N1857" t="str">
            <v>10/C/2004</v>
          </cell>
          <cell r="P1857" t="str">
            <v>FN4C10N1S548001</v>
          </cell>
          <cell r="Q1857" t="str">
            <v>สภาพปกติ</v>
          </cell>
        </row>
        <row r="1858">
          <cell r="A1858">
            <v>60024484</v>
          </cell>
          <cell r="B1858">
            <v>1857</v>
          </cell>
          <cell r="C1858" t="str">
            <v>CS01/3</v>
          </cell>
          <cell r="D1858" t="str">
            <v>SPHC P/O</v>
          </cell>
          <cell r="E1858" t="str">
            <v>CA1</v>
          </cell>
          <cell r="F1858">
            <v>1.6</v>
          </cell>
          <cell r="G1858">
            <v>40</v>
          </cell>
          <cell r="H1858" t="str">
            <v>C</v>
          </cell>
          <cell r="I1858" t="str">
            <v>A</v>
          </cell>
          <cell r="J1858" t="str">
            <v>TSA</v>
          </cell>
          <cell r="K1858">
            <v>1</v>
          </cell>
          <cell r="L1858">
            <v>120</v>
          </cell>
          <cell r="M1858">
            <v>60024484</v>
          </cell>
          <cell r="N1858" t="str">
            <v>10/C/2004</v>
          </cell>
          <cell r="P1858" t="str">
            <v>FN4C10N1S548002</v>
          </cell>
          <cell r="Q1858" t="str">
            <v>สภาพปกติ</v>
          </cell>
        </row>
        <row r="1859">
          <cell r="A1859">
            <v>60030700</v>
          </cell>
          <cell r="B1859">
            <v>1858</v>
          </cell>
          <cell r="C1859" t="str">
            <v>CS01/3</v>
          </cell>
          <cell r="D1859" t="str">
            <v>SPHC P/O</v>
          </cell>
          <cell r="E1859" t="str">
            <v>CA1</v>
          </cell>
          <cell r="F1859">
            <v>1.8</v>
          </cell>
          <cell r="G1859">
            <v>108</v>
          </cell>
          <cell r="H1859" t="str">
            <v>C</v>
          </cell>
          <cell r="I1859" t="str">
            <v>A</v>
          </cell>
          <cell r="J1859" t="str">
            <v>PSP</v>
          </cell>
          <cell r="K1859">
            <v>1</v>
          </cell>
          <cell r="L1859">
            <v>329</v>
          </cell>
          <cell r="M1859">
            <v>60030700</v>
          </cell>
          <cell r="N1859">
            <v>38430</v>
          </cell>
          <cell r="P1859" t="str">
            <v>IN5319D1S798301</v>
          </cell>
          <cell r="Q1859" t="str">
            <v>แผ่นรองและสายรัดเป็นสนิม</v>
          </cell>
        </row>
        <row r="1860">
          <cell r="A1860">
            <v>60029715</v>
          </cell>
          <cell r="B1860">
            <v>1859</v>
          </cell>
          <cell r="C1860" t="str">
            <v>CS01/3</v>
          </cell>
          <cell r="D1860" t="str">
            <v>SPHC P/O</v>
          </cell>
          <cell r="E1860" t="str">
            <v>CA1</v>
          </cell>
          <cell r="F1860">
            <v>1.8</v>
          </cell>
          <cell r="G1860">
            <v>146</v>
          </cell>
          <cell r="H1860" t="str">
            <v>C</v>
          </cell>
          <cell r="I1860" t="str">
            <v>A</v>
          </cell>
          <cell r="J1860" t="str">
            <v>PSP</v>
          </cell>
          <cell r="K1860">
            <v>1</v>
          </cell>
          <cell r="L1860">
            <v>359</v>
          </cell>
          <cell r="M1860">
            <v>60029715</v>
          </cell>
          <cell r="N1860">
            <v>38414</v>
          </cell>
          <cell r="P1860" t="str">
            <v>N5303D1S757801</v>
          </cell>
          <cell r="Q1860" t="str">
            <v>สภาพปกติ</v>
          </cell>
        </row>
        <row r="1861">
          <cell r="A1861">
            <v>60024894</v>
          </cell>
          <cell r="B1861">
            <v>1860</v>
          </cell>
          <cell r="C1861" t="str">
            <v>CS01/3</v>
          </cell>
          <cell r="D1861" t="str">
            <v>SPHC P/O</v>
          </cell>
          <cell r="E1861" t="str">
            <v>CA1</v>
          </cell>
          <cell r="F1861">
            <v>1.8</v>
          </cell>
          <cell r="G1861">
            <v>185</v>
          </cell>
          <cell r="H1861" t="str">
            <v>C</v>
          </cell>
          <cell r="I1861" t="str">
            <v>A</v>
          </cell>
          <cell r="J1861" t="str">
            <v>PSP</v>
          </cell>
          <cell r="K1861">
            <v>1</v>
          </cell>
          <cell r="L1861">
            <v>805</v>
          </cell>
          <cell r="M1861">
            <v>60024894</v>
          </cell>
          <cell r="N1861" t="str">
            <v>15/C/2004</v>
          </cell>
          <cell r="P1861" t="str">
            <v>IN4C15D1S572301</v>
          </cell>
          <cell r="Q1861" t="str">
            <v>สภาพปกติ</v>
          </cell>
        </row>
        <row r="1862">
          <cell r="A1862">
            <v>60035887</v>
          </cell>
          <cell r="B1862">
            <v>1861</v>
          </cell>
          <cell r="C1862" t="str">
            <v>CS01/3</v>
          </cell>
          <cell r="D1862" t="str">
            <v>SPHC P/O</v>
          </cell>
          <cell r="E1862" t="str">
            <v>CA1</v>
          </cell>
          <cell r="F1862">
            <v>2.2999999999999998</v>
          </cell>
          <cell r="G1862">
            <v>68</v>
          </cell>
          <cell r="H1862" t="str">
            <v>C</v>
          </cell>
          <cell r="I1862" t="str">
            <v>A</v>
          </cell>
          <cell r="J1862" t="str">
            <v>PSP</v>
          </cell>
          <cell r="K1862">
            <v>1</v>
          </cell>
          <cell r="L1862">
            <v>208</v>
          </cell>
          <cell r="M1862">
            <v>60035887</v>
          </cell>
          <cell r="N1862">
            <v>38514</v>
          </cell>
          <cell r="P1862" t="str">
            <v>IN5611N1S046501</v>
          </cell>
          <cell r="Q1862" t="str">
            <v>สภาพปกติ</v>
          </cell>
        </row>
        <row r="1863">
          <cell r="A1863">
            <v>60020235</v>
          </cell>
          <cell r="B1863">
            <v>1862</v>
          </cell>
          <cell r="C1863" t="str">
            <v>CS01/3</v>
          </cell>
          <cell r="D1863" t="str">
            <v>SPHC P/O</v>
          </cell>
          <cell r="E1863" t="str">
            <v>CA1</v>
          </cell>
          <cell r="F1863">
            <v>2.2999999999999998</v>
          </cell>
          <cell r="G1863">
            <v>72</v>
          </cell>
          <cell r="H1863" t="str">
            <v>C</v>
          </cell>
          <cell r="I1863" t="str">
            <v>A</v>
          </cell>
          <cell r="J1863" t="str">
            <v>TSA</v>
          </cell>
          <cell r="K1863">
            <v>1</v>
          </cell>
          <cell r="L1863">
            <v>175</v>
          </cell>
          <cell r="M1863">
            <v>60020235</v>
          </cell>
          <cell r="N1863">
            <v>38257</v>
          </cell>
          <cell r="P1863" t="str">
            <v>FN4927D1S348501</v>
          </cell>
          <cell r="Q1863" t="str">
            <v>สภาพปกติ</v>
          </cell>
        </row>
        <row r="1864">
          <cell r="A1864">
            <v>60020799</v>
          </cell>
          <cell r="B1864">
            <v>1863</v>
          </cell>
          <cell r="C1864" t="str">
            <v>CS01/3</v>
          </cell>
          <cell r="D1864" t="str">
            <v>SPHC P/O</v>
          </cell>
          <cell r="E1864" t="str">
            <v>CA1</v>
          </cell>
          <cell r="F1864">
            <v>2.2999999999999998</v>
          </cell>
          <cell r="G1864">
            <v>72</v>
          </cell>
          <cell r="H1864" t="str">
            <v>C</v>
          </cell>
          <cell r="I1864" t="str">
            <v>A</v>
          </cell>
          <cell r="J1864" t="str">
            <v>PSP</v>
          </cell>
          <cell r="K1864">
            <v>1</v>
          </cell>
          <cell r="L1864">
            <v>120</v>
          </cell>
          <cell r="M1864">
            <v>60020799</v>
          </cell>
          <cell r="N1864" t="str">
            <v>2/A/2004</v>
          </cell>
          <cell r="P1864" t="str">
            <v>IN4A02D1S366402</v>
          </cell>
          <cell r="Q1864" t="str">
            <v>สภาพปกติ</v>
          </cell>
        </row>
        <row r="1865">
          <cell r="A1865">
            <v>60021858</v>
          </cell>
          <cell r="B1865">
            <v>1864</v>
          </cell>
          <cell r="C1865" t="str">
            <v>CS01/3</v>
          </cell>
          <cell r="D1865" t="str">
            <v>SPHC P/O</v>
          </cell>
          <cell r="E1865" t="str">
            <v>CA1</v>
          </cell>
          <cell r="F1865">
            <v>2.2999999999999998</v>
          </cell>
          <cell r="G1865">
            <v>103</v>
          </cell>
          <cell r="H1865" t="str">
            <v>C</v>
          </cell>
          <cell r="I1865" t="str">
            <v>A</v>
          </cell>
          <cell r="J1865" t="str">
            <v>TSA</v>
          </cell>
          <cell r="K1865">
            <v>1</v>
          </cell>
          <cell r="L1865">
            <v>280</v>
          </cell>
          <cell r="M1865">
            <v>60021858</v>
          </cell>
          <cell r="N1865" t="str">
            <v>19/A/2004</v>
          </cell>
          <cell r="P1865" t="str">
            <v>FN4S19D1S414301</v>
          </cell>
          <cell r="Q1865" t="str">
            <v>สภาพปกติ</v>
          </cell>
        </row>
        <row r="1866">
          <cell r="A1866">
            <v>60021859</v>
          </cell>
          <cell r="B1866">
            <v>1865</v>
          </cell>
          <cell r="C1866" t="str">
            <v>CS01/3</v>
          </cell>
          <cell r="D1866" t="str">
            <v>SPHC P/O</v>
          </cell>
          <cell r="E1866" t="str">
            <v>CA1</v>
          </cell>
          <cell r="F1866">
            <v>2.2999999999999998</v>
          </cell>
          <cell r="G1866">
            <v>103</v>
          </cell>
          <cell r="H1866" t="str">
            <v>C</v>
          </cell>
          <cell r="I1866" t="str">
            <v>A</v>
          </cell>
          <cell r="J1866" t="str">
            <v>TSA</v>
          </cell>
          <cell r="K1866">
            <v>1</v>
          </cell>
          <cell r="L1866">
            <v>280</v>
          </cell>
          <cell r="M1866">
            <v>60021859</v>
          </cell>
          <cell r="N1866" t="str">
            <v>19/A/2004</v>
          </cell>
          <cell r="P1866" t="str">
            <v>FN4S19D1S414302</v>
          </cell>
          <cell r="Q1866" t="str">
            <v>สภาพปกติ</v>
          </cell>
        </row>
        <row r="1867">
          <cell r="A1867">
            <v>60019874</v>
          </cell>
          <cell r="B1867">
            <v>1866</v>
          </cell>
          <cell r="C1867" t="str">
            <v>CS01/3</v>
          </cell>
          <cell r="D1867" t="str">
            <v>SPHC P/O</v>
          </cell>
          <cell r="E1867" t="str">
            <v>CA1</v>
          </cell>
          <cell r="F1867">
            <v>2.2999999999999998</v>
          </cell>
          <cell r="G1867">
            <v>117</v>
          </cell>
          <cell r="H1867" t="str">
            <v>C</v>
          </cell>
          <cell r="I1867" t="str">
            <v>A</v>
          </cell>
          <cell r="J1867" t="str">
            <v>THAI-RUNG</v>
          </cell>
          <cell r="K1867">
            <v>1</v>
          </cell>
          <cell r="L1867">
            <v>450</v>
          </cell>
          <cell r="M1867">
            <v>60019874</v>
          </cell>
          <cell r="N1867">
            <v>38250</v>
          </cell>
          <cell r="P1867" t="str">
            <v>FN4920D1S328701</v>
          </cell>
          <cell r="Q1867" t="str">
            <v>แผ่นรองและสายรัดเป็นสนิม</v>
          </cell>
        </row>
        <row r="1868">
          <cell r="A1868">
            <v>60019875</v>
          </cell>
          <cell r="B1868">
            <v>1867</v>
          </cell>
          <cell r="C1868" t="str">
            <v>CS01/3</v>
          </cell>
          <cell r="D1868" t="str">
            <v>SPHC P/O</v>
          </cell>
          <cell r="E1868" t="str">
            <v>CA1</v>
          </cell>
          <cell r="F1868">
            <v>2.2999999999999998</v>
          </cell>
          <cell r="G1868">
            <v>117</v>
          </cell>
          <cell r="H1868" t="str">
            <v>C</v>
          </cell>
          <cell r="I1868" t="str">
            <v>A</v>
          </cell>
          <cell r="J1868" t="str">
            <v>THAI-RUNG</v>
          </cell>
          <cell r="K1868">
            <v>1</v>
          </cell>
          <cell r="L1868">
            <v>480</v>
          </cell>
          <cell r="M1868">
            <v>60019875</v>
          </cell>
          <cell r="N1868">
            <v>38250</v>
          </cell>
          <cell r="P1868" t="str">
            <v>FN4920D1S328702</v>
          </cell>
          <cell r="Q1868" t="str">
            <v>แผ่นรองและสายรัดเป็นสนิม</v>
          </cell>
        </row>
        <row r="1869">
          <cell r="A1869">
            <v>60012857</v>
          </cell>
          <cell r="B1869">
            <v>1868</v>
          </cell>
          <cell r="C1869" t="str">
            <v>CS01/3</v>
          </cell>
          <cell r="D1869" t="str">
            <v>SPHC P/O</v>
          </cell>
          <cell r="E1869" t="str">
            <v>CA1</v>
          </cell>
          <cell r="F1869">
            <v>2.2999999999999998</v>
          </cell>
          <cell r="G1869">
            <v>143</v>
          </cell>
          <cell r="H1869" t="str">
            <v>C</v>
          </cell>
          <cell r="I1869" t="str">
            <v>A</v>
          </cell>
          <cell r="J1869" t="str">
            <v>TSA</v>
          </cell>
          <cell r="K1869">
            <v>1</v>
          </cell>
          <cell r="L1869">
            <v>390</v>
          </cell>
          <cell r="M1869">
            <v>60012857</v>
          </cell>
          <cell r="N1869" t="str">
            <v>19/A/2004</v>
          </cell>
          <cell r="P1869" t="str">
            <v>FN4A19D1S414301</v>
          </cell>
          <cell r="Q1869" t="str">
            <v>สภาพปกติ</v>
          </cell>
        </row>
        <row r="1870">
          <cell r="A1870">
            <v>60016539</v>
          </cell>
          <cell r="B1870">
            <v>1869</v>
          </cell>
          <cell r="C1870" t="str">
            <v>CS01/3</v>
          </cell>
          <cell r="D1870" t="str">
            <v>SPHC P/O</v>
          </cell>
          <cell r="E1870" t="str">
            <v>CA1</v>
          </cell>
          <cell r="F1870">
            <v>3</v>
          </cell>
          <cell r="G1870">
            <v>279</v>
          </cell>
          <cell r="H1870" t="str">
            <v>C</v>
          </cell>
          <cell r="I1870" t="str">
            <v>A</v>
          </cell>
          <cell r="J1870" t="str">
            <v>TSA</v>
          </cell>
          <cell r="K1870">
            <v>1</v>
          </cell>
          <cell r="L1870">
            <v>465</v>
          </cell>
          <cell r="M1870">
            <v>60016539</v>
          </cell>
          <cell r="N1870">
            <v>38171</v>
          </cell>
          <cell r="P1870" t="str">
            <v>FN4703DZZ070301</v>
          </cell>
          <cell r="Q1870" t="str">
            <v>แผ่นรองและสายรัดเป็นสนิม</v>
          </cell>
        </row>
        <row r="1871">
          <cell r="A1871">
            <v>60012273</v>
          </cell>
          <cell r="B1871">
            <v>1870</v>
          </cell>
          <cell r="C1871" t="str">
            <v>CS01/3</v>
          </cell>
          <cell r="D1871" t="str">
            <v>SPHC P/O</v>
          </cell>
          <cell r="E1871" t="str">
            <v>CA1</v>
          </cell>
          <cell r="F1871">
            <v>3.2</v>
          </cell>
          <cell r="G1871">
            <v>42</v>
          </cell>
          <cell r="H1871" t="str">
            <v>C</v>
          </cell>
          <cell r="I1871" t="str">
            <v>A</v>
          </cell>
          <cell r="J1871" t="str">
            <v>TSA</v>
          </cell>
          <cell r="K1871">
            <v>1</v>
          </cell>
          <cell r="L1871">
            <v>135</v>
          </cell>
          <cell r="M1871">
            <v>60012273</v>
          </cell>
          <cell r="N1871">
            <v>38063</v>
          </cell>
          <cell r="P1871" t="str">
            <v>FN4317DZZ031701</v>
          </cell>
          <cell r="Q1871" t="str">
            <v>แผ่นรองและสายรัดเป็นสนิม</v>
          </cell>
        </row>
        <row r="1872">
          <cell r="A1872">
            <v>60012274</v>
          </cell>
          <cell r="B1872">
            <v>1871</v>
          </cell>
          <cell r="C1872" t="str">
            <v>CS01/3</v>
          </cell>
          <cell r="D1872" t="str">
            <v>SPHC P/O</v>
          </cell>
          <cell r="E1872" t="str">
            <v>CA1</v>
          </cell>
          <cell r="F1872">
            <v>3.2</v>
          </cell>
          <cell r="G1872">
            <v>42</v>
          </cell>
          <cell r="H1872" t="str">
            <v>C</v>
          </cell>
          <cell r="I1872" t="str">
            <v>A</v>
          </cell>
          <cell r="J1872" t="str">
            <v>TSA</v>
          </cell>
          <cell r="K1872">
            <v>1</v>
          </cell>
          <cell r="L1872">
            <v>180</v>
          </cell>
          <cell r="M1872">
            <v>60012274</v>
          </cell>
          <cell r="N1872">
            <v>38063</v>
          </cell>
          <cell r="P1872" t="str">
            <v>FN4317DZZ031702</v>
          </cell>
          <cell r="Q1872" t="str">
            <v>แผ่นรองและสายรัดเป็นสนิม</v>
          </cell>
        </row>
        <row r="1873">
          <cell r="A1873">
            <v>60014609</v>
          </cell>
          <cell r="B1873">
            <v>1872</v>
          </cell>
          <cell r="C1873" t="str">
            <v>CS01/3</v>
          </cell>
          <cell r="D1873" t="str">
            <v>SPHC P/O</v>
          </cell>
          <cell r="E1873" t="str">
            <v>CA1</v>
          </cell>
          <cell r="F1873">
            <v>3.2</v>
          </cell>
          <cell r="G1873">
            <v>42</v>
          </cell>
          <cell r="H1873" t="str">
            <v>C</v>
          </cell>
          <cell r="I1873" t="str">
            <v>A</v>
          </cell>
          <cell r="J1873" t="str">
            <v>TSA</v>
          </cell>
          <cell r="K1873">
            <v>1</v>
          </cell>
          <cell r="L1873">
            <v>255</v>
          </cell>
          <cell r="M1873">
            <v>60014609</v>
          </cell>
          <cell r="N1873">
            <v>38120</v>
          </cell>
          <cell r="P1873" t="str">
            <v>FN4513DZZ051301</v>
          </cell>
          <cell r="Q1873" t="str">
            <v>แผ่นรองและสายรัดเป็นสนิม</v>
          </cell>
        </row>
        <row r="1874">
          <cell r="A1874">
            <v>60014610</v>
          </cell>
          <cell r="B1874">
            <v>1873</v>
          </cell>
          <cell r="C1874" t="str">
            <v>CS01/3</v>
          </cell>
          <cell r="D1874" t="str">
            <v>SPHC P/O</v>
          </cell>
          <cell r="E1874" t="str">
            <v>CA1</v>
          </cell>
          <cell r="F1874">
            <v>3.2</v>
          </cell>
          <cell r="G1874">
            <v>42</v>
          </cell>
          <cell r="H1874" t="str">
            <v>C</v>
          </cell>
          <cell r="I1874" t="str">
            <v>A</v>
          </cell>
          <cell r="J1874" t="str">
            <v>TSA</v>
          </cell>
          <cell r="K1874">
            <v>1</v>
          </cell>
          <cell r="L1874">
            <v>255</v>
          </cell>
          <cell r="M1874">
            <v>60014610</v>
          </cell>
          <cell r="N1874">
            <v>38120</v>
          </cell>
          <cell r="P1874" t="str">
            <v>FN4513DZZ051302</v>
          </cell>
          <cell r="Q1874" t="str">
            <v>แผ่นรองและสายรัดเป็นสนิม</v>
          </cell>
        </row>
        <row r="1875">
          <cell r="A1875">
            <v>60015940</v>
          </cell>
          <cell r="B1875">
            <v>1874</v>
          </cell>
          <cell r="C1875" t="str">
            <v>CS01/3</v>
          </cell>
          <cell r="D1875" t="str">
            <v>SPHC P/O</v>
          </cell>
          <cell r="E1875" t="str">
            <v>CA1</v>
          </cell>
          <cell r="F1875">
            <v>3.2</v>
          </cell>
          <cell r="G1875">
            <v>42</v>
          </cell>
          <cell r="H1875" t="str">
            <v>C</v>
          </cell>
          <cell r="I1875" t="str">
            <v>A</v>
          </cell>
          <cell r="J1875" t="str">
            <v>TSA</v>
          </cell>
          <cell r="K1875">
            <v>1</v>
          </cell>
          <cell r="L1875">
            <v>150</v>
          </cell>
          <cell r="M1875">
            <v>60015940</v>
          </cell>
          <cell r="N1875">
            <v>38153</v>
          </cell>
          <cell r="P1875" t="str">
            <v>FN4615DZZ061505</v>
          </cell>
          <cell r="Q1875" t="str">
            <v>แผ่นรองและสายรัดเป็นสนิม</v>
          </cell>
        </row>
        <row r="1876">
          <cell r="A1876">
            <v>60015948</v>
          </cell>
          <cell r="B1876">
            <v>1875</v>
          </cell>
          <cell r="C1876" t="str">
            <v>CS01/3</v>
          </cell>
          <cell r="D1876" t="str">
            <v>SPHC P/O</v>
          </cell>
          <cell r="E1876" t="str">
            <v>CA1</v>
          </cell>
          <cell r="F1876">
            <v>3.2</v>
          </cell>
          <cell r="G1876">
            <v>42</v>
          </cell>
          <cell r="H1876" t="str">
            <v>C</v>
          </cell>
          <cell r="I1876" t="str">
            <v>A</v>
          </cell>
          <cell r="J1876" t="str">
            <v>TSA</v>
          </cell>
          <cell r="K1876">
            <v>1</v>
          </cell>
          <cell r="L1876">
            <v>145</v>
          </cell>
          <cell r="M1876">
            <v>60015948</v>
          </cell>
          <cell r="N1876">
            <v>38153</v>
          </cell>
          <cell r="P1876" t="str">
            <v>FN4615DZZ061506</v>
          </cell>
          <cell r="Q1876" t="str">
            <v>แผ่นรองและสายรัดเป็นสนิม</v>
          </cell>
        </row>
        <row r="1877">
          <cell r="A1877">
            <v>60017148</v>
          </cell>
          <cell r="B1877">
            <v>1876</v>
          </cell>
          <cell r="C1877" t="str">
            <v>CS01/3</v>
          </cell>
          <cell r="D1877" t="str">
            <v>SPHC P/O</v>
          </cell>
          <cell r="E1877" t="str">
            <v>CA1</v>
          </cell>
          <cell r="F1877">
            <v>3.2</v>
          </cell>
          <cell r="G1877">
            <v>42</v>
          </cell>
          <cell r="H1877" t="str">
            <v>C</v>
          </cell>
          <cell r="I1877" t="str">
            <v>A</v>
          </cell>
          <cell r="J1877" t="str">
            <v>TSA</v>
          </cell>
          <cell r="K1877">
            <v>1</v>
          </cell>
          <cell r="L1877">
            <v>210</v>
          </cell>
          <cell r="M1877">
            <v>60017148</v>
          </cell>
          <cell r="N1877">
            <v>38187</v>
          </cell>
          <cell r="P1877" t="str">
            <v>FN4719DZZ071901</v>
          </cell>
          <cell r="Q1877" t="str">
            <v>แผ่นรองและสายรัดเป็นสนิม</v>
          </cell>
        </row>
        <row r="1878">
          <cell r="A1878">
            <v>60017385</v>
          </cell>
          <cell r="B1878">
            <v>1877</v>
          </cell>
          <cell r="C1878" t="str">
            <v>CS01/3</v>
          </cell>
          <cell r="D1878" t="str">
            <v>SPHC P/O</v>
          </cell>
          <cell r="E1878" t="str">
            <v>CA1</v>
          </cell>
          <cell r="F1878">
            <v>3.2</v>
          </cell>
          <cell r="G1878">
            <v>42</v>
          </cell>
          <cell r="H1878" t="str">
            <v>C</v>
          </cell>
          <cell r="I1878" t="str">
            <v>A</v>
          </cell>
          <cell r="J1878" t="str">
            <v>PSP</v>
          </cell>
          <cell r="K1878">
            <v>1</v>
          </cell>
          <cell r="L1878">
            <v>205</v>
          </cell>
          <cell r="M1878">
            <v>60017385</v>
          </cell>
          <cell r="N1878">
            <v>38194</v>
          </cell>
          <cell r="P1878" t="str">
            <v>IN4726D1S201108</v>
          </cell>
          <cell r="Q1878" t="str">
            <v>แผ่นรองและสายรัดเป็นสนิม</v>
          </cell>
        </row>
        <row r="1879">
          <cell r="A1879">
            <v>60017395</v>
          </cell>
          <cell r="B1879">
            <v>1878</v>
          </cell>
          <cell r="C1879" t="str">
            <v>CS01/3</v>
          </cell>
          <cell r="D1879" t="str">
            <v>SPHC P/O</v>
          </cell>
          <cell r="E1879" t="str">
            <v>CA1</v>
          </cell>
          <cell r="F1879">
            <v>3.2</v>
          </cell>
          <cell r="G1879">
            <v>42</v>
          </cell>
          <cell r="H1879" t="str">
            <v>C</v>
          </cell>
          <cell r="I1879" t="str">
            <v>A</v>
          </cell>
          <cell r="J1879" t="str">
            <v>PSP</v>
          </cell>
          <cell r="K1879">
            <v>1</v>
          </cell>
          <cell r="L1879">
            <v>205</v>
          </cell>
          <cell r="M1879">
            <v>60017395</v>
          </cell>
          <cell r="N1879">
            <v>38194</v>
          </cell>
          <cell r="P1879" t="str">
            <v>IN4726D1S201309</v>
          </cell>
          <cell r="Q1879" t="str">
            <v>แผ่นรองและสายรัดเป็นสนิม</v>
          </cell>
        </row>
        <row r="1880">
          <cell r="A1880">
            <v>60018244</v>
          </cell>
          <cell r="B1880">
            <v>1879</v>
          </cell>
          <cell r="C1880" t="str">
            <v>CS01/3</v>
          </cell>
          <cell r="D1880" t="str">
            <v>SPHC P/O</v>
          </cell>
          <cell r="E1880" t="str">
            <v>CA1</v>
          </cell>
          <cell r="F1880">
            <v>3.2</v>
          </cell>
          <cell r="G1880">
            <v>42</v>
          </cell>
          <cell r="H1880" t="str">
            <v>C</v>
          </cell>
          <cell r="I1880" t="str">
            <v>A</v>
          </cell>
          <cell r="J1880" t="str">
            <v>TSA</v>
          </cell>
          <cell r="K1880">
            <v>1</v>
          </cell>
          <cell r="L1880">
            <v>170</v>
          </cell>
          <cell r="M1880">
            <v>60018244</v>
          </cell>
          <cell r="N1880">
            <v>38213</v>
          </cell>
          <cell r="P1880" t="str">
            <v>FN4814D1S249610</v>
          </cell>
          <cell r="Q1880" t="str">
            <v>สภาพปกติ</v>
          </cell>
        </row>
        <row r="1881">
          <cell r="A1881">
            <v>60018252</v>
          </cell>
          <cell r="B1881">
            <v>1880</v>
          </cell>
          <cell r="C1881" t="str">
            <v>CS01/3</v>
          </cell>
          <cell r="D1881" t="str">
            <v>SPHC P/O</v>
          </cell>
          <cell r="E1881" t="str">
            <v>CA1</v>
          </cell>
          <cell r="F1881">
            <v>3.2</v>
          </cell>
          <cell r="G1881">
            <v>42</v>
          </cell>
          <cell r="H1881" t="str">
            <v>C</v>
          </cell>
          <cell r="I1881" t="str">
            <v>A</v>
          </cell>
          <cell r="J1881" t="str">
            <v>TSA</v>
          </cell>
          <cell r="K1881">
            <v>1</v>
          </cell>
          <cell r="L1881">
            <v>170</v>
          </cell>
          <cell r="M1881">
            <v>60018252</v>
          </cell>
          <cell r="N1881">
            <v>38213</v>
          </cell>
          <cell r="P1881" t="str">
            <v>FN4814D1S249611</v>
          </cell>
          <cell r="Q1881" t="str">
            <v>สภาพปกติ</v>
          </cell>
        </row>
        <row r="1882">
          <cell r="A1882">
            <v>60018522</v>
          </cell>
          <cell r="B1882">
            <v>1881</v>
          </cell>
          <cell r="C1882" t="str">
            <v>CS01/3</v>
          </cell>
          <cell r="D1882" t="str">
            <v>SPHC P/O</v>
          </cell>
          <cell r="E1882" t="str">
            <v>CA1</v>
          </cell>
          <cell r="F1882">
            <v>3.2</v>
          </cell>
          <cell r="G1882">
            <v>42</v>
          </cell>
          <cell r="H1882" t="str">
            <v>C</v>
          </cell>
          <cell r="I1882" t="str">
            <v>A</v>
          </cell>
          <cell r="J1882" t="str">
            <v>TSA</v>
          </cell>
          <cell r="K1882">
            <v>1</v>
          </cell>
          <cell r="L1882">
            <v>100</v>
          </cell>
          <cell r="M1882">
            <v>60018522</v>
          </cell>
          <cell r="N1882">
            <v>38223</v>
          </cell>
          <cell r="P1882" t="str">
            <v>FN4824D1S270112</v>
          </cell>
          <cell r="Q1882" t="str">
            <v>สภาพปกติ</v>
          </cell>
        </row>
        <row r="1883">
          <cell r="A1883">
            <v>60018523</v>
          </cell>
          <cell r="B1883">
            <v>1882</v>
          </cell>
          <cell r="C1883" t="str">
            <v>CS01/3</v>
          </cell>
          <cell r="D1883" t="str">
            <v>SPHC P/O</v>
          </cell>
          <cell r="E1883" t="str">
            <v>CA1</v>
          </cell>
          <cell r="F1883">
            <v>3.2</v>
          </cell>
          <cell r="G1883">
            <v>42</v>
          </cell>
          <cell r="H1883" t="str">
            <v>C</v>
          </cell>
          <cell r="I1883" t="str">
            <v>A</v>
          </cell>
          <cell r="J1883" t="str">
            <v>TSA</v>
          </cell>
          <cell r="K1883">
            <v>1</v>
          </cell>
          <cell r="L1883">
            <v>100</v>
          </cell>
          <cell r="M1883">
            <v>60018523</v>
          </cell>
          <cell r="N1883">
            <v>38223</v>
          </cell>
          <cell r="P1883" t="str">
            <v>FN4824D1S270113</v>
          </cell>
          <cell r="Q1883" t="str">
            <v>สภาพปกติ</v>
          </cell>
        </row>
        <row r="1884">
          <cell r="A1884">
            <v>60020103</v>
          </cell>
          <cell r="B1884">
            <v>1883</v>
          </cell>
          <cell r="C1884" t="str">
            <v>CS01/3</v>
          </cell>
          <cell r="D1884" t="str">
            <v>SPHC P/O</v>
          </cell>
          <cell r="E1884" t="str">
            <v>CA1</v>
          </cell>
          <cell r="F1884">
            <v>3.2</v>
          </cell>
          <cell r="G1884">
            <v>42</v>
          </cell>
          <cell r="H1884" t="str">
            <v>C</v>
          </cell>
          <cell r="I1884" t="str">
            <v>A</v>
          </cell>
          <cell r="J1884" t="str">
            <v>TSA</v>
          </cell>
          <cell r="K1884">
            <v>1</v>
          </cell>
          <cell r="L1884">
            <v>145</v>
          </cell>
          <cell r="M1884">
            <v>60020103</v>
          </cell>
          <cell r="N1884">
            <v>38254</v>
          </cell>
          <cell r="P1884" t="str">
            <v>FN4924N1S342514</v>
          </cell>
          <cell r="Q1884" t="str">
            <v>สภาพปกติ</v>
          </cell>
        </row>
        <row r="1885">
          <cell r="A1885">
            <v>60020110</v>
          </cell>
          <cell r="B1885">
            <v>1884</v>
          </cell>
          <cell r="C1885" t="str">
            <v>CS01/3</v>
          </cell>
          <cell r="D1885" t="str">
            <v>SPHC P/O</v>
          </cell>
          <cell r="E1885" t="str">
            <v>CA1</v>
          </cell>
          <cell r="F1885">
            <v>3.2</v>
          </cell>
          <cell r="G1885">
            <v>42</v>
          </cell>
          <cell r="H1885" t="str">
            <v>C</v>
          </cell>
          <cell r="I1885" t="str">
            <v>A</v>
          </cell>
          <cell r="J1885" t="str">
            <v>TSA</v>
          </cell>
          <cell r="K1885">
            <v>1</v>
          </cell>
          <cell r="L1885">
            <v>130</v>
          </cell>
          <cell r="M1885">
            <v>60020110</v>
          </cell>
          <cell r="N1885">
            <v>38254</v>
          </cell>
          <cell r="P1885" t="str">
            <v>FN4924N1S342515</v>
          </cell>
          <cell r="Q1885" t="str">
            <v>สภาพปกติ</v>
          </cell>
        </row>
        <row r="1886">
          <cell r="A1886">
            <v>60009372</v>
          </cell>
          <cell r="B1886">
            <v>1885</v>
          </cell>
          <cell r="C1886" t="str">
            <v>CS01/3</v>
          </cell>
          <cell r="D1886" t="str">
            <v>SPHC P/O</v>
          </cell>
          <cell r="E1886" t="str">
            <v>CA1</v>
          </cell>
          <cell r="F1886">
            <v>3.2</v>
          </cell>
          <cell r="G1886">
            <v>66</v>
          </cell>
          <cell r="H1886" t="str">
            <v>C</v>
          </cell>
          <cell r="I1886" t="str">
            <v>A</v>
          </cell>
          <cell r="J1886" t="str">
            <v>TSA</v>
          </cell>
          <cell r="K1886">
            <v>1</v>
          </cell>
          <cell r="L1886">
            <v>95</v>
          </cell>
          <cell r="M1886">
            <v>60009372</v>
          </cell>
          <cell r="N1886">
            <v>37994</v>
          </cell>
          <cell r="P1886" t="str">
            <v>FN4108DZZ010801</v>
          </cell>
          <cell r="Q1886" t="str">
            <v>กระดาษฉีกขาด</v>
          </cell>
        </row>
        <row r="1887">
          <cell r="A1887">
            <v>60009373</v>
          </cell>
          <cell r="B1887">
            <v>1886</v>
          </cell>
          <cell r="C1887" t="str">
            <v>CS01/3</v>
          </cell>
          <cell r="D1887" t="str">
            <v>SPHC P/O</v>
          </cell>
          <cell r="E1887" t="str">
            <v>CA1</v>
          </cell>
          <cell r="F1887">
            <v>3.2</v>
          </cell>
          <cell r="G1887">
            <v>66</v>
          </cell>
          <cell r="H1887" t="str">
            <v>C</v>
          </cell>
          <cell r="I1887" t="str">
            <v>A</v>
          </cell>
          <cell r="J1887" t="str">
            <v>TSA</v>
          </cell>
          <cell r="K1887">
            <v>1</v>
          </cell>
          <cell r="L1887">
            <v>95</v>
          </cell>
          <cell r="M1887">
            <v>60009373</v>
          </cell>
          <cell r="N1887">
            <v>37994</v>
          </cell>
          <cell r="P1887" t="str">
            <v>FN4108DZZ010802</v>
          </cell>
          <cell r="Q1887" t="str">
            <v>กระดาษฉีกขาด</v>
          </cell>
        </row>
        <row r="1888">
          <cell r="A1888">
            <v>60009374</v>
          </cell>
          <cell r="B1888">
            <v>1887</v>
          </cell>
          <cell r="C1888" t="str">
            <v>CS01/3</v>
          </cell>
          <cell r="D1888" t="str">
            <v>SPHC P/O</v>
          </cell>
          <cell r="E1888" t="str">
            <v>CA1</v>
          </cell>
          <cell r="F1888">
            <v>3.2</v>
          </cell>
          <cell r="G1888">
            <v>66</v>
          </cell>
          <cell r="H1888" t="str">
            <v>C</v>
          </cell>
          <cell r="I1888" t="str">
            <v>A</v>
          </cell>
          <cell r="J1888" t="str">
            <v>TSA</v>
          </cell>
          <cell r="K1888">
            <v>1</v>
          </cell>
          <cell r="L1888">
            <v>95</v>
          </cell>
          <cell r="M1888">
            <v>60009374</v>
          </cell>
          <cell r="N1888">
            <v>37994</v>
          </cell>
          <cell r="P1888" t="str">
            <v>FN4108DZZ010803</v>
          </cell>
          <cell r="Q1888" t="str">
            <v>กระดาษฉีกขาด</v>
          </cell>
        </row>
        <row r="1889">
          <cell r="A1889">
            <v>60013935</v>
          </cell>
          <cell r="B1889">
            <v>1888</v>
          </cell>
          <cell r="C1889" t="str">
            <v>CS01/3</v>
          </cell>
          <cell r="D1889" t="str">
            <v>SPHC P/O</v>
          </cell>
          <cell r="E1889" t="str">
            <v>CA1</v>
          </cell>
          <cell r="F1889">
            <v>3.2</v>
          </cell>
          <cell r="G1889">
            <v>66</v>
          </cell>
          <cell r="H1889" t="str">
            <v>C</v>
          </cell>
          <cell r="I1889" t="str">
            <v>A</v>
          </cell>
          <cell r="J1889" t="str">
            <v>TSA</v>
          </cell>
          <cell r="K1889">
            <v>1</v>
          </cell>
          <cell r="L1889">
            <v>355</v>
          </cell>
          <cell r="M1889">
            <v>60013935</v>
          </cell>
          <cell r="N1889">
            <v>38110</v>
          </cell>
          <cell r="P1889" t="str">
            <v>FN4503DZZ050304</v>
          </cell>
          <cell r="Q1889" t="str">
            <v>กระดาษฉีกขาด</v>
          </cell>
        </row>
        <row r="1890">
          <cell r="A1890">
            <v>60013943</v>
          </cell>
          <cell r="B1890">
            <v>1889</v>
          </cell>
          <cell r="C1890" t="str">
            <v>CS01/3</v>
          </cell>
          <cell r="D1890" t="str">
            <v>SPHC P/O</v>
          </cell>
          <cell r="E1890" t="str">
            <v>CA1</v>
          </cell>
          <cell r="F1890">
            <v>3.2</v>
          </cell>
          <cell r="G1890">
            <v>66</v>
          </cell>
          <cell r="H1890" t="str">
            <v>C</v>
          </cell>
          <cell r="I1890" t="str">
            <v>A</v>
          </cell>
          <cell r="J1890" t="str">
            <v>TSA</v>
          </cell>
          <cell r="K1890">
            <v>1</v>
          </cell>
          <cell r="L1890">
            <v>360</v>
          </cell>
          <cell r="M1890">
            <v>60013943</v>
          </cell>
          <cell r="N1890">
            <v>38110</v>
          </cell>
          <cell r="P1890" t="str">
            <v>FN4503DZZ050305</v>
          </cell>
          <cell r="Q1890" t="str">
            <v>กระดาษฉีกขาด</v>
          </cell>
        </row>
        <row r="1891">
          <cell r="A1891">
            <v>60011757</v>
          </cell>
          <cell r="B1891">
            <v>1890</v>
          </cell>
          <cell r="C1891" t="str">
            <v>CS01/3</v>
          </cell>
          <cell r="D1891" t="str">
            <v>SPHC P/O</v>
          </cell>
          <cell r="E1891" t="str">
            <v>CA1</v>
          </cell>
          <cell r="F1891">
            <v>3.2</v>
          </cell>
          <cell r="G1891">
            <v>100</v>
          </cell>
          <cell r="H1891" t="str">
            <v>C</v>
          </cell>
          <cell r="I1891" t="str">
            <v>A</v>
          </cell>
          <cell r="J1891" t="str">
            <v>TSA</v>
          </cell>
          <cell r="K1891">
            <v>1</v>
          </cell>
          <cell r="L1891">
            <v>315</v>
          </cell>
          <cell r="M1891">
            <v>60011757</v>
          </cell>
          <cell r="N1891">
            <v>38050</v>
          </cell>
          <cell r="P1891" t="str">
            <v>FN4304DZZ030401</v>
          </cell>
          <cell r="Q1891" t="str">
            <v>กระดาษฉีกขาด</v>
          </cell>
        </row>
        <row r="1892">
          <cell r="A1892">
            <v>60016456</v>
          </cell>
          <cell r="B1892">
            <v>1891</v>
          </cell>
          <cell r="C1892" t="str">
            <v>CS01/3</v>
          </cell>
          <cell r="D1892" t="str">
            <v>SPHC P/O</v>
          </cell>
          <cell r="E1892" t="str">
            <v>CA1</v>
          </cell>
          <cell r="F1892">
            <v>3.2</v>
          </cell>
          <cell r="G1892">
            <v>100</v>
          </cell>
          <cell r="H1892" t="str">
            <v>C</v>
          </cell>
          <cell r="I1892" t="str">
            <v>A</v>
          </cell>
          <cell r="J1892" t="str">
            <v>TSA</v>
          </cell>
          <cell r="K1892">
            <v>1</v>
          </cell>
          <cell r="L1892">
            <v>440</v>
          </cell>
          <cell r="M1892">
            <v>60016456</v>
          </cell>
          <cell r="N1892">
            <v>38169</v>
          </cell>
          <cell r="P1892" t="str">
            <v>FN4701DZZ070102</v>
          </cell>
          <cell r="Q1892" t="str">
            <v>แผ่นรองและสายรัดเป็นสนิม</v>
          </cell>
        </row>
        <row r="1893">
          <cell r="A1893">
            <v>60016465</v>
          </cell>
          <cell r="B1893">
            <v>1892</v>
          </cell>
          <cell r="C1893" t="str">
            <v>CS01/3</v>
          </cell>
          <cell r="D1893" t="str">
            <v>SPHC P/O</v>
          </cell>
          <cell r="E1893" t="str">
            <v>CA1</v>
          </cell>
          <cell r="F1893">
            <v>3.2</v>
          </cell>
          <cell r="G1893">
            <v>100</v>
          </cell>
          <cell r="H1893" t="str">
            <v>C</v>
          </cell>
          <cell r="I1893" t="str">
            <v>A</v>
          </cell>
          <cell r="J1893" t="str">
            <v>TSA</v>
          </cell>
          <cell r="K1893">
            <v>1</v>
          </cell>
          <cell r="L1893">
            <v>460</v>
          </cell>
          <cell r="M1893">
            <v>60016465</v>
          </cell>
          <cell r="N1893">
            <v>38169</v>
          </cell>
          <cell r="P1893" t="str">
            <v>FN4701DZZ070103</v>
          </cell>
          <cell r="Q1893" t="str">
            <v>แผ่นรองและสายรัดเป็นสนิม</v>
          </cell>
        </row>
        <row r="1894">
          <cell r="A1894">
            <v>60032204</v>
          </cell>
          <cell r="B1894">
            <v>1893</v>
          </cell>
          <cell r="C1894" t="str">
            <v>CS01/3</v>
          </cell>
          <cell r="D1894" t="str">
            <v>SPHC P/O</v>
          </cell>
          <cell r="E1894" t="str">
            <v>CA1</v>
          </cell>
          <cell r="F1894">
            <v>3.2</v>
          </cell>
          <cell r="G1894">
            <v>121</v>
          </cell>
          <cell r="H1894" t="str">
            <v>C</v>
          </cell>
          <cell r="I1894" t="str">
            <v>A</v>
          </cell>
          <cell r="J1894" t="str">
            <v>SAB</v>
          </cell>
          <cell r="K1894">
            <v>1</v>
          </cell>
          <cell r="L1894">
            <v>241</v>
          </cell>
          <cell r="M1894">
            <v>60032204</v>
          </cell>
          <cell r="N1894">
            <v>38461</v>
          </cell>
          <cell r="P1894" t="str">
            <v>FN5419N2S879001</v>
          </cell>
          <cell r="Q1894" t="str">
            <v>แผ่นรองและสายรัดเป็นสนิม</v>
          </cell>
        </row>
        <row r="1895">
          <cell r="A1895">
            <v>60025168</v>
          </cell>
          <cell r="B1895">
            <v>1894</v>
          </cell>
          <cell r="C1895" t="str">
            <v>CS01/3</v>
          </cell>
          <cell r="D1895" t="str">
            <v>SPHC P/O</v>
          </cell>
          <cell r="E1895" t="str">
            <v>CA1</v>
          </cell>
          <cell r="F1895">
            <v>4.5</v>
          </cell>
          <cell r="G1895">
            <v>38</v>
          </cell>
          <cell r="H1895" t="str">
            <v>C</v>
          </cell>
          <cell r="I1895" t="str">
            <v>A</v>
          </cell>
          <cell r="J1895" t="str">
            <v>TSA</v>
          </cell>
          <cell r="K1895">
            <v>1</v>
          </cell>
          <cell r="L1895">
            <v>179</v>
          </cell>
          <cell r="M1895">
            <v>60025168</v>
          </cell>
          <cell r="N1895" t="str">
            <v>18/C/2004</v>
          </cell>
          <cell r="P1895" t="str">
            <v>FN4C18D6E566901</v>
          </cell>
          <cell r="Q1895" t="str">
            <v>แผ่นรองและสายรัดเป็นสนิม</v>
          </cell>
        </row>
        <row r="1896">
          <cell r="A1896">
            <v>60025169</v>
          </cell>
          <cell r="B1896">
            <v>1895</v>
          </cell>
          <cell r="C1896" t="str">
            <v>CS01/3</v>
          </cell>
          <cell r="D1896" t="str">
            <v>SPHC P/O</v>
          </cell>
          <cell r="E1896" t="str">
            <v>CA1</v>
          </cell>
          <cell r="F1896">
            <v>4.5</v>
          </cell>
          <cell r="G1896">
            <v>38</v>
          </cell>
          <cell r="H1896" t="str">
            <v>C</v>
          </cell>
          <cell r="I1896" t="str">
            <v>A</v>
          </cell>
          <cell r="J1896" t="str">
            <v>TSA</v>
          </cell>
          <cell r="K1896">
            <v>1</v>
          </cell>
          <cell r="L1896">
            <v>180</v>
          </cell>
          <cell r="M1896">
            <v>60025169</v>
          </cell>
          <cell r="N1896" t="str">
            <v>18/C/2004</v>
          </cell>
          <cell r="P1896" t="str">
            <v>FN4C18D6E566902</v>
          </cell>
          <cell r="Q1896" t="str">
            <v>แผ่นรองและสายรัดเป็นสนิม</v>
          </cell>
        </row>
        <row r="1897">
          <cell r="A1897">
            <v>60028138</v>
          </cell>
          <cell r="B1897">
            <v>1896</v>
          </cell>
          <cell r="C1897" t="str">
            <v>CS01/3</v>
          </cell>
          <cell r="D1897" t="str">
            <v>SAPH440 P/O</v>
          </cell>
          <cell r="E1897" t="str">
            <v>CA5</v>
          </cell>
          <cell r="F1897">
            <v>2.6</v>
          </cell>
          <cell r="G1897">
            <v>42</v>
          </cell>
          <cell r="H1897" t="str">
            <v>C</v>
          </cell>
          <cell r="I1897" t="str">
            <v>A</v>
          </cell>
          <cell r="J1897" t="str">
            <v>PSP</v>
          </cell>
          <cell r="K1897">
            <v>1</v>
          </cell>
          <cell r="L1897">
            <v>265</v>
          </cell>
          <cell r="M1897">
            <v>60028138</v>
          </cell>
          <cell r="N1897">
            <v>38388</v>
          </cell>
          <cell r="P1897" t="str">
            <v>IN5205D1S696601</v>
          </cell>
          <cell r="Q1897" t="str">
            <v>แผ่นรองและสายรัดเป็นสนิม</v>
          </cell>
        </row>
        <row r="1898">
          <cell r="A1898">
            <v>60028147</v>
          </cell>
          <cell r="B1898">
            <v>1897</v>
          </cell>
          <cell r="C1898" t="str">
            <v>CS01/3</v>
          </cell>
          <cell r="D1898" t="str">
            <v>SAPH440 P/O</v>
          </cell>
          <cell r="E1898" t="str">
            <v>CA5</v>
          </cell>
          <cell r="F1898">
            <v>2.6</v>
          </cell>
          <cell r="G1898">
            <v>42</v>
          </cell>
          <cell r="H1898" t="str">
            <v>C</v>
          </cell>
          <cell r="I1898" t="str">
            <v>A</v>
          </cell>
          <cell r="J1898" t="str">
            <v>PSP</v>
          </cell>
          <cell r="K1898">
            <v>1</v>
          </cell>
          <cell r="L1898">
            <v>80</v>
          </cell>
          <cell r="M1898">
            <v>60028147</v>
          </cell>
          <cell r="N1898">
            <v>38388</v>
          </cell>
          <cell r="P1898" t="str">
            <v>IN5205D1S696602</v>
          </cell>
          <cell r="Q1898" t="str">
            <v>แผ่นรองและสายรัดเป็นสนิม</v>
          </cell>
        </row>
        <row r="1899">
          <cell r="A1899">
            <v>60030651</v>
          </cell>
          <cell r="B1899">
            <v>1898</v>
          </cell>
          <cell r="C1899" t="str">
            <v>CS01/3</v>
          </cell>
          <cell r="D1899" t="str">
            <v>SAPH440 P/O</v>
          </cell>
          <cell r="E1899" t="str">
            <v>CA5</v>
          </cell>
          <cell r="F1899">
            <v>2.6</v>
          </cell>
          <cell r="G1899">
            <v>124</v>
          </cell>
          <cell r="H1899" t="str">
            <v>C</v>
          </cell>
          <cell r="I1899" t="str">
            <v>A</v>
          </cell>
          <cell r="J1899" t="str">
            <v>SAS</v>
          </cell>
          <cell r="K1899">
            <v>1</v>
          </cell>
          <cell r="L1899">
            <v>374</v>
          </cell>
          <cell r="M1899">
            <v>60030651</v>
          </cell>
          <cell r="N1899">
            <v>38428</v>
          </cell>
          <cell r="P1899" t="str">
            <v>FN5317N1S747201</v>
          </cell>
          <cell r="Q1899" t="str">
            <v>แผ่นรองและสายรัดเป็นสนิม</v>
          </cell>
        </row>
        <row r="1900">
          <cell r="A1900">
            <v>60016785</v>
          </cell>
          <cell r="B1900">
            <v>1899</v>
          </cell>
          <cell r="C1900" t="str">
            <v>CS01/3</v>
          </cell>
          <cell r="D1900" t="str">
            <v>SAPH440 P/O</v>
          </cell>
          <cell r="E1900" t="str">
            <v>CA5</v>
          </cell>
          <cell r="F1900">
            <v>2.6</v>
          </cell>
          <cell r="G1900">
            <v>125</v>
          </cell>
          <cell r="H1900" t="str">
            <v>C</v>
          </cell>
          <cell r="I1900" t="str">
            <v>A</v>
          </cell>
          <cell r="J1900" t="str">
            <v>PSP</v>
          </cell>
          <cell r="K1900">
            <v>1</v>
          </cell>
          <cell r="L1900">
            <v>405</v>
          </cell>
          <cell r="M1900">
            <v>60016785</v>
          </cell>
          <cell r="N1900">
            <v>38176</v>
          </cell>
          <cell r="P1900" t="str">
            <v>IN4708DZZ070801</v>
          </cell>
          <cell r="Q1900" t="str">
            <v>แผ่นรองและสายรัดเป็นสนิม</v>
          </cell>
        </row>
        <row r="1901">
          <cell r="A1901">
            <v>90314</v>
          </cell>
          <cell r="B1901">
            <v>1900</v>
          </cell>
          <cell r="C1901" t="str">
            <v>CS01/3</v>
          </cell>
          <cell r="D1901" t="str">
            <v>SAPH440 P/O</v>
          </cell>
          <cell r="E1901" t="str">
            <v>CA5</v>
          </cell>
          <cell r="F1901">
            <v>2.6</v>
          </cell>
          <cell r="G1901">
            <v>125</v>
          </cell>
          <cell r="H1901" t="str">
            <v>C</v>
          </cell>
          <cell r="I1901" t="str">
            <v>A</v>
          </cell>
          <cell r="J1901" t="str">
            <v>TSA</v>
          </cell>
          <cell r="K1901">
            <v>1</v>
          </cell>
          <cell r="L1901">
            <v>531</v>
          </cell>
          <cell r="M1901">
            <v>90314</v>
          </cell>
          <cell r="N1901">
            <v>37466</v>
          </cell>
          <cell r="P1901" t="str">
            <v>FN2729ZZZZZZZ02</v>
          </cell>
          <cell r="Q1901" t="str">
            <v>แผ่นรองและสายรัดเป็นสนิม</v>
          </cell>
        </row>
        <row r="1902">
          <cell r="A1902">
            <v>90315</v>
          </cell>
          <cell r="B1902">
            <v>1901</v>
          </cell>
          <cell r="C1902" t="str">
            <v>CS01/3</v>
          </cell>
          <cell r="D1902" t="str">
            <v>SAPH440 P/O</v>
          </cell>
          <cell r="E1902" t="str">
            <v>CA5</v>
          </cell>
          <cell r="F1902">
            <v>2.6</v>
          </cell>
          <cell r="G1902">
            <v>125</v>
          </cell>
          <cell r="H1902" t="str">
            <v>C</v>
          </cell>
          <cell r="I1902" t="str">
            <v>A</v>
          </cell>
          <cell r="J1902" t="str">
            <v>TSA</v>
          </cell>
          <cell r="K1902">
            <v>1</v>
          </cell>
          <cell r="L1902">
            <v>490</v>
          </cell>
          <cell r="M1902">
            <v>90315</v>
          </cell>
          <cell r="N1902">
            <v>37466</v>
          </cell>
          <cell r="P1902" t="str">
            <v>FN2729ZZZZZZZ03</v>
          </cell>
          <cell r="Q1902" t="str">
            <v>แผ่นรองและสายรัดเป็นสนิม</v>
          </cell>
        </row>
        <row r="1903">
          <cell r="A1903">
            <v>60002243</v>
          </cell>
          <cell r="B1903">
            <v>1902</v>
          </cell>
          <cell r="C1903" t="str">
            <v>CS01/3</v>
          </cell>
          <cell r="D1903" t="str">
            <v>SAPH440 P/O</v>
          </cell>
          <cell r="E1903" t="str">
            <v>CA5</v>
          </cell>
          <cell r="F1903">
            <v>2.6</v>
          </cell>
          <cell r="G1903">
            <v>130</v>
          </cell>
          <cell r="H1903" t="str">
            <v>C</v>
          </cell>
          <cell r="I1903" t="str">
            <v>A</v>
          </cell>
          <cell r="J1903" t="str">
            <v>PSP</v>
          </cell>
          <cell r="K1903">
            <v>1</v>
          </cell>
          <cell r="L1903">
            <v>685</v>
          </cell>
          <cell r="M1903">
            <v>60002243</v>
          </cell>
          <cell r="N1903">
            <v>37770</v>
          </cell>
          <cell r="P1903" t="str">
            <v>IN3529NZZ052901</v>
          </cell>
          <cell r="Q1903" t="str">
            <v>สภาพปกติ</v>
          </cell>
        </row>
        <row r="1904">
          <cell r="A1904">
            <v>60021050</v>
          </cell>
          <cell r="B1904">
            <v>1903</v>
          </cell>
          <cell r="C1904" t="str">
            <v>CS01/3</v>
          </cell>
          <cell r="D1904" t="str">
            <v>SAPH440 P/O</v>
          </cell>
          <cell r="E1904" t="str">
            <v>CA5</v>
          </cell>
          <cell r="F1904">
            <v>3.2</v>
          </cell>
          <cell r="G1904">
            <v>100</v>
          </cell>
          <cell r="H1904" t="str">
            <v>C</v>
          </cell>
          <cell r="I1904" t="str">
            <v>A</v>
          </cell>
          <cell r="J1904" t="str">
            <v>PSP</v>
          </cell>
          <cell r="K1904">
            <v>1</v>
          </cell>
          <cell r="L1904">
            <v>300</v>
          </cell>
          <cell r="M1904">
            <v>60021050</v>
          </cell>
          <cell r="N1904">
            <v>38083</v>
          </cell>
          <cell r="P1904" t="str">
            <v>IN4406D1S379201</v>
          </cell>
          <cell r="Q1904" t="str">
            <v>สภาพปกติ</v>
          </cell>
        </row>
        <row r="1905">
          <cell r="A1905">
            <v>60028537</v>
          </cell>
          <cell r="B1905">
            <v>1904</v>
          </cell>
          <cell r="C1905" t="str">
            <v>CS01/3</v>
          </cell>
          <cell r="D1905" t="str">
            <v>SAPH440 P/O</v>
          </cell>
          <cell r="E1905" t="str">
            <v>CA5</v>
          </cell>
          <cell r="F1905">
            <v>3.2</v>
          </cell>
          <cell r="G1905">
            <v>123</v>
          </cell>
          <cell r="H1905" t="str">
            <v>C</v>
          </cell>
          <cell r="I1905" t="str">
            <v>A</v>
          </cell>
          <cell r="J1905" t="str">
            <v>SAS</v>
          </cell>
          <cell r="K1905">
            <v>1</v>
          </cell>
          <cell r="L1905">
            <v>475</v>
          </cell>
          <cell r="M1905">
            <v>60028537</v>
          </cell>
          <cell r="N1905">
            <v>38397</v>
          </cell>
          <cell r="P1905" t="str">
            <v>FN5214D1S714201</v>
          </cell>
          <cell r="Q1905" t="str">
            <v>สภาพปกติ</v>
          </cell>
        </row>
        <row r="1906">
          <cell r="A1906">
            <v>60023363</v>
          </cell>
          <cell r="B1906">
            <v>1905</v>
          </cell>
          <cell r="C1906" t="str">
            <v>CS01/3</v>
          </cell>
          <cell r="D1906" t="str">
            <v>SAPH440 P/O</v>
          </cell>
          <cell r="E1906" t="str">
            <v>CA5</v>
          </cell>
          <cell r="F1906">
            <v>4</v>
          </cell>
          <cell r="G1906">
            <v>60</v>
          </cell>
          <cell r="H1906" t="str">
            <v>C</v>
          </cell>
          <cell r="I1906" t="str">
            <v>A</v>
          </cell>
          <cell r="J1906" t="str">
            <v>PSP</v>
          </cell>
          <cell r="K1906">
            <v>1</v>
          </cell>
          <cell r="L1906">
            <v>437</v>
          </cell>
          <cell r="M1906">
            <v>60023363</v>
          </cell>
          <cell r="N1906" t="str">
            <v>17/B/2004</v>
          </cell>
          <cell r="P1906" t="str">
            <v>IN4B17D6E469901</v>
          </cell>
          <cell r="Q1906" t="str">
            <v>สภาพปกติ</v>
          </cell>
        </row>
        <row r="1907">
          <cell r="A1907">
            <v>60020312</v>
          </cell>
          <cell r="B1907">
            <v>1906</v>
          </cell>
          <cell r="C1907" t="str">
            <v>CS01/3</v>
          </cell>
          <cell r="D1907" t="str">
            <v>SAPH440 P/O</v>
          </cell>
          <cell r="E1907" t="str">
            <v>CA5</v>
          </cell>
          <cell r="F1907">
            <v>4</v>
          </cell>
          <cell r="G1907">
            <v>70</v>
          </cell>
          <cell r="H1907" t="str">
            <v>C</v>
          </cell>
          <cell r="I1907" t="str">
            <v>A</v>
          </cell>
          <cell r="J1907" t="str">
            <v>SAB</v>
          </cell>
          <cell r="K1907">
            <v>1</v>
          </cell>
          <cell r="L1907">
            <v>284</v>
          </cell>
          <cell r="M1907">
            <v>60020312</v>
          </cell>
          <cell r="N1907">
            <v>38258</v>
          </cell>
          <cell r="P1907" t="str">
            <v>FN4928D6E342401</v>
          </cell>
          <cell r="Q1907" t="str">
            <v>สภาพปกติ</v>
          </cell>
        </row>
        <row r="1908">
          <cell r="A1908">
            <v>60031004</v>
          </cell>
          <cell r="B1908">
            <v>1907</v>
          </cell>
          <cell r="C1908" t="str">
            <v>CS01/3</v>
          </cell>
          <cell r="D1908" t="str">
            <v>SAPH440 P/O</v>
          </cell>
          <cell r="E1908" t="str">
            <v>CA5</v>
          </cell>
          <cell r="F1908">
            <v>4</v>
          </cell>
          <cell r="G1908">
            <v>195</v>
          </cell>
          <cell r="H1908" t="str">
            <v>C</v>
          </cell>
          <cell r="I1908" t="str">
            <v>A</v>
          </cell>
          <cell r="J1908" t="str">
            <v>SAB</v>
          </cell>
          <cell r="K1908">
            <v>1</v>
          </cell>
          <cell r="L1908">
            <v>823</v>
          </cell>
          <cell r="M1908">
            <v>60031004</v>
          </cell>
          <cell r="N1908">
            <v>38435</v>
          </cell>
          <cell r="P1908" t="str">
            <v>FN5324D6E796001</v>
          </cell>
          <cell r="Q1908" t="str">
            <v>สภาพปกติ</v>
          </cell>
        </row>
        <row r="1909">
          <cell r="A1909">
            <v>60026562</v>
          </cell>
          <cell r="B1909">
            <v>1908</v>
          </cell>
          <cell r="C1909" t="str">
            <v>CS01/3</v>
          </cell>
          <cell r="D1909" t="str">
            <v>SAPH440 P/O</v>
          </cell>
          <cell r="E1909" t="str">
            <v>CA5</v>
          </cell>
          <cell r="F1909">
            <v>4.5</v>
          </cell>
          <cell r="G1909">
            <v>50</v>
          </cell>
          <cell r="H1909" t="str">
            <v>C</v>
          </cell>
          <cell r="I1909" t="str">
            <v>A</v>
          </cell>
          <cell r="J1909" t="str">
            <v>SAB</v>
          </cell>
          <cell r="K1909">
            <v>1</v>
          </cell>
          <cell r="L1909">
            <v>131</v>
          </cell>
          <cell r="M1909">
            <v>60026562</v>
          </cell>
          <cell r="N1909">
            <v>38364</v>
          </cell>
          <cell r="P1909" t="str">
            <v>FN5112D6E609601</v>
          </cell>
          <cell r="Q1909" t="str">
            <v>แผ่นรองและสายรัดเป็นสนิม</v>
          </cell>
        </row>
        <row r="1910">
          <cell r="A1910">
            <v>60037673</v>
          </cell>
          <cell r="B1910">
            <v>1909</v>
          </cell>
          <cell r="C1910" t="str">
            <v>CS01/3</v>
          </cell>
          <cell r="D1910" t="str">
            <v>SAPH440 P/O</v>
          </cell>
          <cell r="E1910" t="str">
            <v>CA5</v>
          </cell>
          <cell r="F1910">
            <v>6</v>
          </cell>
          <cell r="G1910">
            <v>53</v>
          </cell>
          <cell r="H1910" t="str">
            <v>C</v>
          </cell>
          <cell r="I1910" t="str">
            <v>A</v>
          </cell>
          <cell r="J1910" t="str">
            <v>PSP</v>
          </cell>
          <cell r="K1910">
            <v>1</v>
          </cell>
          <cell r="L1910">
            <v>382</v>
          </cell>
          <cell r="M1910">
            <v>60037673</v>
          </cell>
          <cell r="N1910">
            <v>38564</v>
          </cell>
          <cell r="P1910" t="str">
            <v>IN5731D2S141401</v>
          </cell>
          <cell r="Q1910" t="str">
            <v>กระดาษฉีกขาด</v>
          </cell>
        </row>
        <row r="1911">
          <cell r="A1911">
            <v>60038149</v>
          </cell>
          <cell r="B1911">
            <v>1910</v>
          </cell>
          <cell r="C1911" t="str">
            <v>CS01/3</v>
          </cell>
          <cell r="D1911" t="str">
            <v>SAPH440 P/O</v>
          </cell>
          <cell r="E1911" t="str">
            <v>CA5</v>
          </cell>
          <cell r="F1911">
            <v>6</v>
          </cell>
          <cell r="G1911">
            <v>53</v>
          </cell>
          <cell r="H1911" t="str">
            <v>C</v>
          </cell>
          <cell r="I1911" t="str">
            <v>A</v>
          </cell>
          <cell r="J1911" t="str">
            <v>PSP</v>
          </cell>
          <cell r="K1911">
            <v>1</v>
          </cell>
          <cell r="L1911">
            <v>306</v>
          </cell>
          <cell r="M1911">
            <v>60038149</v>
          </cell>
          <cell r="N1911">
            <v>38561</v>
          </cell>
          <cell r="P1911" t="str">
            <v>IN5728D2S163001</v>
          </cell>
          <cell r="Q1911" t="str">
            <v>สภาพปกติ</v>
          </cell>
        </row>
        <row r="1912">
          <cell r="A1912">
            <v>60038179</v>
          </cell>
          <cell r="B1912">
            <v>1911</v>
          </cell>
          <cell r="C1912" t="str">
            <v>CS01/3</v>
          </cell>
          <cell r="D1912" t="str">
            <v>SAPH440 P/O</v>
          </cell>
          <cell r="E1912" t="str">
            <v>CA5</v>
          </cell>
          <cell r="F1912">
            <v>6</v>
          </cell>
          <cell r="G1912">
            <v>53</v>
          </cell>
          <cell r="H1912" t="str">
            <v>C</v>
          </cell>
          <cell r="I1912" t="str">
            <v>A</v>
          </cell>
          <cell r="J1912" t="str">
            <v>PSP</v>
          </cell>
          <cell r="K1912">
            <v>1</v>
          </cell>
          <cell r="L1912">
            <v>228</v>
          </cell>
          <cell r="M1912">
            <v>60038179</v>
          </cell>
          <cell r="N1912">
            <v>38561</v>
          </cell>
          <cell r="P1912" t="str">
            <v>IN5728D2S163002</v>
          </cell>
          <cell r="Q1912" t="str">
            <v>สภาพปกติ</v>
          </cell>
        </row>
        <row r="1913">
          <cell r="A1913">
            <v>60038188</v>
          </cell>
          <cell r="B1913">
            <v>1912</v>
          </cell>
          <cell r="C1913" t="str">
            <v>CS01/3</v>
          </cell>
          <cell r="D1913" t="str">
            <v>SAPH440 P/O</v>
          </cell>
          <cell r="E1913" t="str">
            <v>CA5</v>
          </cell>
          <cell r="F1913">
            <v>6</v>
          </cell>
          <cell r="G1913">
            <v>53</v>
          </cell>
          <cell r="H1913" t="str">
            <v>C</v>
          </cell>
          <cell r="I1913" t="str">
            <v>A</v>
          </cell>
          <cell r="J1913" t="str">
            <v>PSP</v>
          </cell>
          <cell r="K1913">
            <v>1</v>
          </cell>
          <cell r="L1913">
            <v>296</v>
          </cell>
          <cell r="M1913">
            <v>60038188</v>
          </cell>
          <cell r="N1913">
            <v>38561</v>
          </cell>
          <cell r="P1913" t="str">
            <v>IN5728D2S163003</v>
          </cell>
          <cell r="Q1913" t="str">
            <v>สภาพปกติ</v>
          </cell>
        </row>
        <row r="1914">
          <cell r="A1914">
            <v>60038208</v>
          </cell>
          <cell r="B1914">
            <v>1913</v>
          </cell>
          <cell r="C1914" t="str">
            <v>CS01/3</v>
          </cell>
          <cell r="D1914" t="str">
            <v>SAPH440 P/O</v>
          </cell>
          <cell r="E1914" t="str">
            <v>CA5</v>
          </cell>
          <cell r="F1914">
            <v>6</v>
          </cell>
          <cell r="G1914">
            <v>53</v>
          </cell>
          <cell r="H1914" t="str">
            <v>C</v>
          </cell>
          <cell r="I1914" t="str">
            <v>A</v>
          </cell>
          <cell r="J1914" t="str">
            <v>PSP</v>
          </cell>
          <cell r="K1914">
            <v>1</v>
          </cell>
          <cell r="L1914">
            <v>230</v>
          </cell>
          <cell r="M1914">
            <v>60038208</v>
          </cell>
          <cell r="N1914">
            <v>38561</v>
          </cell>
          <cell r="P1914" t="str">
            <v>IN5728D2S163004</v>
          </cell>
          <cell r="Q1914" t="str">
            <v>สภาพปกติ</v>
          </cell>
        </row>
        <row r="1915">
          <cell r="A1915">
            <v>60002559</v>
          </cell>
          <cell r="B1915">
            <v>1914</v>
          </cell>
          <cell r="C1915" t="str">
            <v>CS01/3</v>
          </cell>
          <cell r="D1915" t="str">
            <v>SECC-SD</v>
          </cell>
          <cell r="E1915" t="str">
            <v>AH1</v>
          </cell>
          <cell r="F1915">
            <v>0.8</v>
          </cell>
          <cell r="G1915">
            <v>117</v>
          </cell>
          <cell r="H1915" t="str">
            <v>C</v>
          </cell>
          <cell r="I1915" t="str">
            <v>A</v>
          </cell>
          <cell r="J1915" t="str">
            <v>PSP</v>
          </cell>
          <cell r="K1915">
            <v>1</v>
          </cell>
          <cell r="L1915">
            <v>175</v>
          </cell>
          <cell r="M1915">
            <v>60002559</v>
          </cell>
          <cell r="N1915">
            <v>38786</v>
          </cell>
          <cell r="P1915" t="str">
            <v>IN3610DZZ061001</v>
          </cell>
          <cell r="Q1915" t="str">
            <v>สภาพปกติ</v>
          </cell>
        </row>
        <row r="1916">
          <cell r="A1916">
            <v>60009409</v>
          </cell>
          <cell r="B1916">
            <v>1915</v>
          </cell>
          <cell r="C1916" t="str">
            <v>CS01/3</v>
          </cell>
          <cell r="D1916" t="str">
            <v>SECC-SD</v>
          </cell>
          <cell r="E1916" t="str">
            <v>AH1</v>
          </cell>
          <cell r="F1916">
            <v>0.8</v>
          </cell>
          <cell r="G1916">
            <v>117</v>
          </cell>
          <cell r="H1916" t="str">
            <v>C</v>
          </cell>
          <cell r="I1916" t="str">
            <v>A</v>
          </cell>
          <cell r="J1916" t="str">
            <v>PSP</v>
          </cell>
          <cell r="K1916">
            <v>1</v>
          </cell>
          <cell r="L1916">
            <v>340</v>
          </cell>
          <cell r="M1916">
            <v>60009409</v>
          </cell>
          <cell r="N1916">
            <v>37994</v>
          </cell>
          <cell r="P1916" t="str">
            <v>IN4108NZZ010802</v>
          </cell>
          <cell r="Q1916" t="str">
            <v>กระดาษฉีกขาด</v>
          </cell>
        </row>
        <row r="1917">
          <cell r="A1917">
            <v>60004010</v>
          </cell>
          <cell r="B1917">
            <v>1916</v>
          </cell>
          <cell r="C1917" t="str">
            <v>CS01/3</v>
          </cell>
          <cell r="D1917" t="str">
            <v>SECC-SD</v>
          </cell>
          <cell r="E1917" t="str">
            <v>AH1</v>
          </cell>
          <cell r="F1917">
            <v>0.8</v>
          </cell>
          <cell r="G1917">
            <v>118</v>
          </cell>
          <cell r="H1917" t="str">
            <v>C</v>
          </cell>
          <cell r="I1917" t="str">
            <v>A</v>
          </cell>
          <cell r="J1917" t="str">
            <v>TSLA</v>
          </cell>
          <cell r="K1917">
            <v>1</v>
          </cell>
          <cell r="L1917">
            <v>175</v>
          </cell>
          <cell r="M1917">
            <v>60004010</v>
          </cell>
          <cell r="N1917">
            <v>37840</v>
          </cell>
          <cell r="P1917" t="str">
            <v>FN3807DZZ080701</v>
          </cell>
          <cell r="Q1917" t="str">
            <v>แผ่นรองและสายรัดเป็นสนิม</v>
          </cell>
        </row>
        <row r="1918">
          <cell r="A1918">
            <v>60042638</v>
          </cell>
          <cell r="B1918">
            <v>1917</v>
          </cell>
          <cell r="C1918" t="str">
            <v>CS01/5</v>
          </cell>
          <cell r="D1918" t="str">
            <v>SPCC-SD</v>
          </cell>
          <cell r="E1918" t="str">
            <v>AF1</v>
          </cell>
          <cell r="F1918">
            <v>0.6</v>
          </cell>
          <cell r="G1918">
            <v>48</v>
          </cell>
          <cell r="H1918" t="str">
            <v>C</v>
          </cell>
          <cell r="I1918" t="str">
            <v>A</v>
          </cell>
          <cell r="J1918" t="str">
            <v>TSLA</v>
          </cell>
          <cell r="K1918">
            <v>1</v>
          </cell>
          <cell r="L1918">
            <v>124</v>
          </cell>
          <cell r="M1918">
            <v>60042638</v>
          </cell>
          <cell r="N1918" t="str">
            <v>19/A/2005</v>
          </cell>
          <cell r="P1918" t="str">
            <v>FN5A19D1S380901</v>
          </cell>
          <cell r="Q1918" t="str">
            <v>สภาพปกติ</v>
          </cell>
        </row>
        <row r="1919">
          <cell r="A1919">
            <v>60042639</v>
          </cell>
          <cell r="B1919">
            <v>1918</v>
          </cell>
          <cell r="C1919" t="str">
            <v>CS01/5</v>
          </cell>
          <cell r="D1919" t="str">
            <v>SPCC-SD</v>
          </cell>
          <cell r="E1919" t="str">
            <v>AF1</v>
          </cell>
          <cell r="F1919">
            <v>0.6</v>
          </cell>
          <cell r="G1919">
            <v>48</v>
          </cell>
          <cell r="H1919" t="str">
            <v>C</v>
          </cell>
          <cell r="I1919" t="str">
            <v>A</v>
          </cell>
          <cell r="J1919" t="str">
            <v>TSLA</v>
          </cell>
          <cell r="K1919">
            <v>1</v>
          </cell>
          <cell r="L1919">
            <v>124</v>
          </cell>
          <cell r="M1919">
            <v>60042639</v>
          </cell>
          <cell r="N1919" t="str">
            <v>19/A/2005</v>
          </cell>
          <cell r="P1919" t="str">
            <v>FN5A19D1S380902</v>
          </cell>
          <cell r="Q1919" t="str">
            <v>สภาพปกติ</v>
          </cell>
        </row>
        <row r="1920">
          <cell r="A1920">
            <v>60042640</v>
          </cell>
          <cell r="B1920">
            <v>1919</v>
          </cell>
          <cell r="C1920" t="str">
            <v>CS01/5</v>
          </cell>
          <cell r="D1920" t="str">
            <v>SPCC-SD</v>
          </cell>
          <cell r="E1920" t="str">
            <v>AF1</v>
          </cell>
          <cell r="F1920">
            <v>0.6</v>
          </cell>
          <cell r="G1920">
            <v>48</v>
          </cell>
          <cell r="H1920" t="str">
            <v>C</v>
          </cell>
          <cell r="I1920" t="str">
            <v>A</v>
          </cell>
          <cell r="J1920" t="str">
            <v>TSLA</v>
          </cell>
          <cell r="K1920">
            <v>1</v>
          </cell>
          <cell r="L1920">
            <v>124</v>
          </cell>
          <cell r="M1920">
            <v>60042640</v>
          </cell>
          <cell r="N1920" t="str">
            <v>19/A/2005</v>
          </cell>
          <cell r="P1920" t="str">
            <v>FN5A19D1S380903</v>
          </cell>
          <cell r="Q1920" t="str">
            <v>สภาพปกติ</v>
          </cell>
        </row>
        <row r="1921">
          <cell r="A1921">
            <v>60047195</v>
          </cell>
          <cell r="B1921">
            <v>1920</v>
          </cell>
          <cell r="C1921" t="str">
            <v>CS01/5</v>
          </cell>
          <cell r="D1921" t="str">
            <v>SPCC-SD</v>
          </cell>
          <cell r="E1921" t="str">
            <v>AF1</v>
          </cell>
          <cell r="F1921">
            <v>0.6</v>
          </cell>
          <cell r="G1921">
            <v>48</v>
          </cell>
          <cell r="H1921" t="str">
            <v>C</v>
          </cell>
          <cell r="I1921" t="str">
            <v>A</v>
          </cell>
          <cell r="J1921" t="str">
            <v>TSLA</v>
          </cell>
          <cell r="K1921">
            <v>1</v>
          </cell>
          <cell r="L1921">
            <v>156</v>
          </cell>
          <cell r="M1921">
            <v>60047195</v>
          </cell>
          <cell r="N1921" t="str">
            <v>11/C/2005</v>
          </cell>
          <cell r="P1921" t="str">
            <v>FN5C11N1S550101</v>
          </cell>
          <cell r="Q1921" t="str">
            <v>สภาพปกติ</v>
          </cell>
        </row>
        <row r="1922">
          <cell r="A1922">
            <v>60047196</v>
          </cell>
          <cell r="B1922">
            <v>1921</v>
          </cell>
          <cell r="C1922" t="str">
            <v>CS01/5</v>
          </cell>
          <cell r="D1922" t="str">
            <v>SPCC-SD</v>
          </cell>
          <cell r="E1922" t="str">
            <v>AF1</v>
          </cell>
          <cell r="F1922">
            <v>0.6</v>
          </cell>
          <cell r="G1922">
            <v>48</v>
          </cell>
          <cell r="H1922" t="str">
            <v>C</v>
          </cell>
          <cell r="I1922" t="str">
            <v>A</v>
          </cell>
          <cell r="J1922" t="str">
            <v>TSLA</v>
          </cell>
          <cell r="K1922">
            <v>1</v>
          </cell>
          <cell r="L1922">
            <v>156</v>
          </cell>
          <cell r="M1922">
            <v>60047196</v>
          </cell>
          <cell r="N1922" t="str">
            <v>11/C/2005</v>
          </cell>
          <cell r="P1922" t="str">
            <v>FN5C11N1S550102</v>
          </cell>
          <cell r="Q1922" t="str">
            <v>สภาพปกติ</v>
          </cell>
        </row>
        <row r="1923">
          <cell r="A1923">
            <v>60047197</v>
          </cell>
          <cell r="B1923">
            <v>1922</v>
          </cell>
          <cell r="C1923" t="str">
            <v>CS01/5</v>
          </cell>
          <cell r="D1923" t="str">
            <v>SPCC-SD</v>
          </cell>
          <cell r="E1923" t="str">
            <v>AF1</v>
          </cell>
          <cell r="F1923">
            <v>0.6</v>
          </cell>
          <cell r="G1923">
            <v>48</v>
          </cell>
          <cell r="H1923" t="str">
            <v>C</v>
          </cell>
          <cell r="I1923" t="str">
            <v>A</v>
          </cell>
          <cell r="J1923" t="str">
            <v>TSLA</v>
          </cell>
          <cell r="K1923">
            <v>1</v>
          </cell>
          <cell r="L1923">
            <v>156</v>
          </cell>
          <cell r="M1923">
            <v>60047197</v>
          </cell>
          <cell r="N1923" t="str">
            <v>11/C/2005</v>
          </cell>
          <cell r="P1923" t="str">
            <v>FN5C11N1S550103</v>
          </cell>
          <cell r="Q1923" t="str">
            <v>สภาพปกติ</v>
          </cell>
        </row>
        <row r="1924">
          <cell r="A1924">
            <v>60051359</v>
          </cell>
          <cell r="B1924">
            <v>1923</v>
          </cell>
          <cell r="C1924" t="str">
            <v>CS01/5</v>
          </cell>
          <cell r="D1924" t="str">
            <v>SPCC-SD</v>
          </cell>
          <cell r="E1924" t="str">
            <v>AF1</v>
          </cell>
          <cell r="F1924">
            <v>0.6</v>
          </cell>
          <cell r="G1924">
            <v>48</v>
          </cell>
          <cell r="H1924" t="str">
            <v>C</v>
          </cell>
          <cell r="I1924" t="str">
            <v>A</v>
          </cell>
          <cell r="J1924" t="str">
            <v>TSLA</v>
          </cell>
          <cell r="K1924">
            <v>1</v>
          </cell>
          <cell r="L1924">
            <v>104</v>
          </cell>
          <cell r="M1924">
            <v>60051359</v>
          </cell>
          <cell r="N1924">
            <v>38762</v>
          </cell>
          <cell r="P1924" t="str">
            <v>FN6214N1S732901</v>
          </cell>
          <cell r="Q1924" t="str">
            <v>แผ่นรองและสายรัดเป็นสนิม</v>
          </cell>
        </row>
        <row r="1925">
          <cell r="A1925">
            <v>60051361</v>
          </cell>
          <cell r="B1925">
            <v>1924</v>
          </cell>
          <cell r="C1925" t="str">
            <v>CS01/5</v>
          </cell>
          <cell r="D1925" t="str">
            <v>SPCC-SD</v>
          </cell>
          <cell r="E1925" t="str">
            <v>AF1</v>
          </cell>
          <cell r="F1925">
            <v>0.6</v>
          </cell>
          <cell r="G1925">
            <v>48</v>
          </cell>
          <cell r="H1925" t="str">
            <v>C</v>
          </cell>
          <cell r="I1925" t="str">
            <v>A</v>
          </cell>
          <cell r="J1925" t="str">
            <v>TSLA</v>
          </cell>
          <cell r="K1925">
            <v>1</v>
          </cell>
          <cell r="L1925">
            <v>100</v>
          </cell>
          <cell r="M1925">
            <v>60051361</v>
          </cell>
          <cell r="N1925">
            <v>38762</v>
          </cell>
          <cell r="P1925" t="str">
            <v>FN6214N1S732902</v>
          </cell>
          <cell r="Q1925" t="str">
            <v>แผ่นรองและสายรัดเป็นสนิม</v>
          </cell>
        </row>
        <row r="1926">
          <cell r="A1926">
            <v>60057296</v>
          </cell>
          <cell r="B1926">
            <v>1925</v>
          </cell>
          <cell r="C1926" t="str">
            <v>CS01/5</v>
          </cell>
          <cell r="D1926" t="str">
            <v>SPCC-SD</v>
          </cell>
          <cell r="E1926" t="str">
            <v>AF1</v>
          </cell>
          <cell r="F1926">
            <v>0.6</v>
          </cell>
          <cell r="G1926">
            <v>48</v>
          </cell>
          <cell r="H1926" t="str">
            <v>C</v>
          </cell>
          <cell r="I1926" t="str">
            <v>A</v>
          </cell>
          <cell r="J1926" t="str">
            <v>TSLA</v>
          </cell>
          <cell r="K1926">
            <v>1</v>
          </cell>
          <cell r="L1926">
            <v>135</v>
          </cell>
          <cell r="M1926">
            <v>60057296</v>
          </cell>
          <cell r="N1926">
            <v>38832</v>
          </cell>
          <cell r="P1926" t="str">
            <v>FN6425N1S956501</v>
          </cell>
          <cell r="Q1926" t="str">
            <v>สภาพปกติ</v>
          </cell>
        </row>
        <row r="1927">
          <cell r="A1927">
            <v>60057300</v>
          </cell>
          <cell r="B1927">
            <v>1926</v>
          </cell>
          <cell r="C1927" t="str">
            <v>CS01/5</v>
          </cell>
          <cell r="D1927" t="str">
            <v>SPCC-SD</v>
          </cell>
          <cell r="E1927" t="str">
            <v>AF1</v>
          </cell>
          <cell r="F1927">
            <v>0.6</v>
          </cell>
          <cell r="G1927">
            <v>48</v>
          </cell>
          <cell r="H1927" t="str">
            <v>C</v>
          </cell>
          <cell r="I1927" t="str">
            <v>A</v>
          </cell>
          <cell r="J1927" t="str">
            <v>TSLA</v>
          </cell>
          <cell r="K1927">
            <v>1</v>
          </cell>
          <cell r="L1927">
            <v>137</v>
          </cell>
          <cell r="M1927">
            <v>60057300</v>
          </cell>
          <cell r="N1927">
            <v>38832</v>
          </cell>
          <cell r="P1927" t="str">
            <v>FN6425N1S956502</v>
          </cell>
          <cell r="Q1927" t="str">
            <v>สภาพปกติ</v>
          </cell>
        </row>
        <row r="1928">
          <cell r="A1928">
            <v>60042453</v>
          </cell>
          <cell r="B1928">
            <v>1927</v>
          </cell>
          <cell r="C1928" t="str">
            <v>CS01/5</v>
          </cell>
          <cell r="D1928" t="str">
            <v>SPCC-SD</v>
          </cell>
          <cell r="E1928" t="str">
            <v>AF1</v>
          </cell>
          <cell r="F1928">
            <v>0.6</v>
          </cell>
          <cell r="G1928">
            <v>52</v>
          </cell>
          <cell r="H1928" t="str">
            <v>C</v>
          </cell>
          <cell r="I1928" t="str">
            <v>A</v>
          </cell>
          <cell r="J1928" t="str">
            <v xml:space="preserve">THAI -TAI -YO </v>
          </cell>
          <cell r="K1928">
            <v>1</v>
          </cell>
          <cell r="L1928">
            <v>98</v>
          </cell>
          <cell r="M1928">
            <v>60042453</v>
          </cell>
          <cell r="N1928" t="str">
            <v>16/A/2005</v>
          </cell>
          <cell r="P1928" t="str">
            <v>FN5A16D1S380201</v>
          </cell>
          <cell r="Q1928" t="str">
            <v>แผ่นรองและสายรัดเป็นสนิม</v>
          </cell>
        </row>
        <row r="1929">
          <cell r="A1929">
            <v>60042454</v>
          </cell>
          <cell r="B1929">
            <v>1928</v>
          </cell>
          <cell r="C1929" t="str">
            <v>CS01/5</v>
          </cell>
          <cell r="D1929" t="str">
            <v>SPCC-SD</v>
          </cell>
          <cell r="E1929" t="str">
            <v>AF1</v>
          </cell>
          <cell r="F1929">
            <v>0.6</v>
          </cell>
          <cell r="G1929">
            <v>52</v>
          </cell>
          <cell r="H1929" t="str">
            <v>C</v>
          </cell>
          <cell r="I1929" t="str">
            <v>A</v>
          </cell>
          <cell r="J1929" t="str">
            <v xml:space="preserve">THAI -TAI -YO </v>
          </cell>
          <cell r="K1929">
            <v>1</v>
          </cell>
          <cell r="L1929">
            <v>97</v>
          </cell>
          <cell r="M1929">
            <v>60042454</v>
          </cell>
          <cell r="N1929" t="str">
            <v>16/A/2005</v>
          </cell>
          <cell r="P1929" t="str">
            <v>FN5A16D1S380202</v>
          </cell>
          <cell r="Q1929" t="str">
            <v>แผ่นรองและสายรัดเป็นสนิม</v>
          </cell>
        </row>
        <row r="1930">
          <cell r="A1930">
            <v>60064602</v>
          </cell>
          <cell r="B1930">
            <v>1929</v>
          </cell>
          <cell r="C1930" t="str">
            <v>CS01/5</v>
          </cell>
          <cell r="D1930" t="str">
            <v>SPCC-SD</v>
          </cell>
          <cell r="E1930" t="str">
            <v>AF1</v>
          </cell>
          <cell r="F1930">
            <v>0.6</v>
          </cell>
          <cell r="G1930">
            <v>99</v>
          </cell>
          <cell r="H1930" t="str">
            <v>C</v>
          </cell>
          <cell r="I1930" t="str">
            <v>A</v>
          </cell>
          <cell r="J1930" t="str">
            <v>TSLA</v>
          </cell>
          <cell r="K1930">
            <v>1</v>
          </cell>
          <cell r="L1930">
            <v>162</v>
          </cell>
          <cell r="M1930">
            <v>60064602</v>
          </cell>
          <cell r="N1930">
            <v>38927</v>
          </cell>
          <cell r="P1930" t="str">
            <v>FN6729D1S249301</v>
          </cell>
          <cell r="Q1930" t="str">
            <v>สภาพปกติ</v>
          </cell>
        </row>
        <row r="1931">
          <cell r="A1931">
            <v>60064603</v>
          </cell>
          <cell r="B1931">
            <v>1930</v>
          </cell>
          <cell r="C1931" t="str">
            <v>CS01/5</v>
          </cell>
          <cell r="D1931" t="str">
            <v>SPCC-SD</v>
          </cell>
          <cell r="E1931" t="str">
            <v>AF1</v>
          </cell>
          <cell r="F1931">
            <v>0.6</v>
          </cell>
          <cell r="G1931">
            <v>99</v>
          </cell>
          <cell r="H1931" t="str">
            <v>C</v>
          </cell>
          <cell r="I1931" t="str">
            <v>A</v>
          </cell>
          <cell r="J1931" t="str">
            <v>TSLA</v>
          </cell>
          <cell r="K1931">
            <v>1</v>
          </cell>
          <cell r="L1931">
            <v>162</v>
          </cell>
          <cell r="M1931">
            <v>60064603</v>
          </cell>
          <cell r="N1931">
            <v>38927</v>
          </cell>
          <cell r="P1931" t="str">
            <v>FN6729D1S249302</v>
          </cell>
          <cell r="Q1931" t="str">
            <v>สภาพปกติ</v>
          </cell>
        </row>
        <row r="1932">
          <cell r="A1932">
            <v>60064604</v>
          </cell>
          <cell r="B1932">
            <v>1931</v>
          </cell>
          <cell r="C1932" t="str">
            <v>CS01/5</v>
          </cell>
          <cell r="D1932" t="str">
            <v>SPCC-SD</v>
          </cell>
          <cell r="E1932" t="str">
            <v>AF1</v>
          </cell>
          <cell r="F1932">
            <v>0.6</v>
          </cell>
          <cell r="G1932">
            <v>99</v>
          </cell>
          <cell r="H1932" t="str">
            <v>C</v>
          </cell>
          <cell r="I1932" t="str">
            <v>A</v>
          </cell>
          <cell r="J1932" t="str">
            <v>TSLA</v>
          </cell>
          <cell r="K1932">
            <v>1</v>
          </cell>
          <cell r="L1932">
            <v>162</v>
          </cell>
          <cell r="M1932">
            <v>60064604</v>
          </cell>
          <cell r="N1932">
            <v>38927</v>
          </cell>
          <cell r="P1932" t="str">
            <v>FN6729D1S249303</v>
          </cell>
          <cell r="Q1932" t="str">
            <v>สภาพปกติ</v>
          </cell>
        </row>
        <row r="1933">
          <cell r="A1933">
            <v>60064605</v>
          </cell>
          <cell r="B1933">
            <v>1932</v>
          </cell>
          <cell r="C1933" t="str">
            <v>CS01/5</v>
          </cell>
          <cell r="D1933" t="str">
            <v>SPCC-SD</v>
          </cell>
          <cell r="E1933" t="str">
            <v>AF1</v>
          </cell>
          <cell r="F1933">
            <v>0.6</v>
          </cell>
          <cell r="G1933">
            <v>99</v>
          </cell>
          <cell r="H1933" t="str">
            <v>C</v>
          </cell>
          <cell r="I1933" t="str">
            <v>A</v>
          </cell>
          <cell r="J1933" t="str">
            <v>TSLA</v>
          </cell>
          <cell r="K1933">
            <v>1</v>
          </cell>
          <cell r="L1933">
            <v>162</v>
          </cell>
          <cell r="M1933">
            <v>60064605</v>
          </cell>
          <cell r="N1933">
            <v>38927</v>
          </cell>
          <cell r="P1933" t="str">
            <v>FN6729D1S249304</v>
          </cell>
          <cell r="Q1933" t="str">
            <v>สภาพปกติ</v>
          </cell>
        </row>
        <row r="1934">
          <cell r="A1934">
            <v>60064606</v>
          </cell>
          <cell r="B1934">
            <v>1933</v>
          </cell>
          <cell r="C1934" t="str">
            <v>CS01/5</v>
          </cell>
          <cell r="D1934" t="str">
            <v>SPCC-SD</v>
          </cell>
          <cell r="E1934" t="str">
            <v>AF1</v>
          </cell>
          <cell r="F1934">
            <v>0.6</v>
          </cell>
          <cell r="G1934">
            <v>99</v>
          </cell>
          <cell r="H1934" t="str">
            <v>C</v>
          </cell>
          <cell r="I1934" t="str">
            <v>A</v>
          </cell>
          <cell r="J1934" t="str">
            <v>TSLA</v>
          </cell>
          <cell r="K1934">
            <v>1</v>
          </cell>
          <cell r="L1934">
            <v>162</v>
          </cell>
          <cell r="M1934">
            <v>60064606</v>
          </cell>
          <cell r="N1934">
            <v>38927</v>
          </cell>
          <cell r="P1934" t="str">
            <v>FN6729D1S249305</v>
          </cell>
          <cell r="Q1934" t="str">
            <v>สภาพปกติ</v>
          </cell>
        </row>
        <row r="1935">
          <cell r="A1935">
            <v>60055273</v>
          </cell>
          <cell r="B1935">
            <v>1934</v>
          </cell>
          <cell r="C1935" t="str">
            <v>CS01/5</v>
          </cell>
          <cell r="D1935" t="str">
            <v>SPCC-SD</v>
          </cell>
          <cell r="E1935" t="str">
            <v>AF1</v>
          </cell>
          <cell r="F1935">
            <v>0.6</v>
          </cell>
          <cell r="G1935">
            <v>105</v>
          </cell>
          <cell r="H1935" t="str">
            <v>C</v>
          </cell>
          <cell r="I1935" t="str">
            <v>A</v>
          </cell>
          <cell r="J1935" t="str">
            <v>TSLA</v>
          </cell>
          <cell r="K1935">
            <v>1</v>
          </cell>
          <cell r="L1935">
            <v>116</v>
          </cell>
          <cell r="M1935">
            <v>60055273</v>
          </cell>
          <cell r="N1935">
            <v>38799</v>
          </cell>
          <cell r="P1935" t="str">
            <v>FN6323N1S869201</v>
          </cell>
          <cell r="Q1935" t="str">
            <v>แผ่นรองและสายรัดเป็นสนิม</v>
          </cell>
        </row>
        <row r="1936">
          <cell r="A1936">
            <v>60057069</v>
          </cell>
          <cell r="B1936">
            <v>1935</v>
          </cell>
          <cell r="C1936" t="str">
            <v>CS01/5</v>
          </cell>
          <cell r="D1936" t="str">
            <v>SPCC-SD</v>
          </cell>
          <cell r="E1936" t="str">
            <v>AF1</v>
          </cell>
          <cell r="F1936">
            <v>0.6</v>
          </cell>
          <cell r="G1936">
            <v>105</v>
          </cell>
          <cell r="H1936" t="str">
            <v>C</v>
          </cell>
          <cell r="I1936" t="str">
            <v>A</v>
          </cell>
          <cell r="J1936" t="str">
            <v>TSLA</v>
          </cell>
          <cell r="K1936">
            <v>1</v>
          </cell>
          <cell r="L1936">
            <v>441</v>
          </cell>
          <cell r="M1936">
            <v>60057069</v>
          </cell>
          <cell r="N1936">
            <v>38828</v>
          </cell>
          <cell r="P1936" t="str">
            <v>FN6421N1S942301</v>
          </cell>
          <cell r="Q1936" t="str">
            <v>สภาพปกติ</v>
          </cell>
        </row>
        <row r="1937">
          <cell r="A1937">
            <v>60057649</v>
          </cell>
          <cell r="B1937">
            <v>1936</v>
          </cell>
          <cell r="C1937" t="str">
            <v>CS01/5</v>
          </cell>
          <cell r="D1937" t="str">
            <v>SPCC-SD</v>
          </cell>
          <cell r="E1937" t="str">
            <v>AF1</v>
          </cell>
          <cell r="F1937">
            <v>0.6</v>
          </cell>
          <cell r="G1937">
            <v>145</v>
          </cell>
          <cell r="H1937" t="str">
            <v>C</v>
          </cell>
          <cell r="I1937" t="str">
            <v>A</v>
          </cell>
          <cell r="J1937" t="str">
            <v>TSLA</v>
          </cell>
          <cell r="K1937">
            <v>1</v>
          </cell>
          <cell r="L1937">
            <v>430</v>
          </cell>
          <cell r="M1937">
            <v>60057649</v>
          </cell>
          <cell r="N1937">
            <v>38834</v>
          </cell>
          <cell r="P1937" t="str">
            <v>FN6427D1S970001</v>
          </cell>
          <cell r="Q1937" t="str">
            <v>สภาพปกติ</v>
          </cell>
        </row>
        <row r="1938">
          <cell r="A1938">
            <v>60063304</v>
          </cell>
          <cell r="B1938">
            <v>1937</v>
          </cell>
          <cell r="C1938" t="str">
            <v>CS01/5</v>
          </cell>
          <cell r="D1938" t="str">
            <v>SPCC-SD</v>
          </cell>
          <cell r="E1938" t="str">
            <v>AF1</v>
          </cell>
          <cell r="F1938">
            <v>0.6</v>
          </cell>
          <cell r="G1938">
            <v>344</v>
          </cell>
          <cell r="H1938" t="str">
            <v>C</v>
          </cell>
          <cell r="I1938" t="str">
            <v>A</v>
          </cell>
          <cell r="J1938" t="str">
            <v>Thai Industrial</v>
          </cell>
          <cell r="K1938">
            <v>1</v>
          </cell>
          <cell r="L1938">
            <v>580</v>
          </cell>
          <cell r="M1938">
            <v>60063304</v>
          </cell>
          <cell r="N1938">
            <v>38908</v>
          </cell>
          <cell r="O1938" t="str">
            <v>F26503SUD002</v>
          </cell>
          <cell r="P1938" t="str">
            <v>FN6710D1S180401</v>
          </cell>
          <cell r="Q1938" t="str">
            <v>สภาพปกติ</v>
          </cell>
        </row>
        <row r="1939">
          <cell r="A1939">
            <v>60063305</v>
          </cell>
          <cell r="B1939">
            <v>1938</v>
          </cell>
          <cell r="C1939" t="str">
            <v>CS01/5</v>
          </cell>
          <cell r="D1939" t="str">
            <v>SPCC-SD</v>
          </cell>
          <cell r="E1939" t="str">
            <v>AF1</v>
          </cell>
          <cell r="F1939">
            <v>0.6</v>
          </cell>
          <cell r="G1939">
            <v>344</v>
          </cell>
          <cell r="H1939" t="str">
            <v>C</v>
          </cell>
          <cell r="I1939" t="str">
            <v>A</v>
          </cell>
          <cell r="J1939" t="str">
            <v>Thai Industrial</v>
          </cell>
          <cell r="K1939">
            <v>1</v>
          </cell>
          <cell r="L1939">
            <v>610</v>
          </cell>
          <cell r="M1939">
            <v>60063305</v>
          </cell>
          <cell r="N1939">
            <v>38908</v>
          </cell>
          <cell r="P1939" t="str">
            <v>FN6710D1S180402</v>
          </cell>
          <cell r="Q1939" t="str">
            <v>สภาพปกติ</v>
          </cell>
        </row>
        <row r="1940">
          <cell r="A1940">
            <v>60063307</v>
          </cell>
          <cell r="B1940">
            <v>1939</v>
          </cell>
          <cell r="C1940" t="str">
            <v>CS01/5</v>
          </cell>
          <cell r="D1940" t="str">
            <v>SPCC-SD</v>
          </cell>
          <cell r="E1940" t="str">
            <v>AF1</v>
          </cell>
          <cell r="F1940">
            <v>0.6</v>
          </cell>
          <cell r="G1940">
            <v>344</v>
          </cell>
          <cell r="H1940" t="str">
            <v>C</v>
          </cell>
          <cell r="I1940" t="str">
            <v>A</v>
          </cell>
          <cell r="J1940" t="str">
            <v>Thai Industrial</v>
          </cell>
          <cell r="K1940">
            <v>1</v>
          </cell>
          <cell r="L1940">
            <v>420</v>
          </cell>
          <cell r="M1940">
            <v>60063307</v>
          </cell>
          <cell r="N1940">
            <v>38908</v>
          </cell>
          <cell r="P1940" t="str">
            <v>FN6710D1S180403</v>
          </cell>
          <cell r="Q1940" t="str">
            <v>สภาพปกติ</v>
          </cell>
        </row>
        <row r="1941">
          <cell r="A1941">
            <v>60063308</v>
          </cell>
          <cell r="B1941">
            <v>1940</v>
          </cell>
          <cell r="C1941" t="str">
            <v>CS01/5</v>
          </cell>
          <cell r="D1941" t="str">
            <v>SPCC-SD</v>
          </cell>
          <cell r="E1941" t="str">
            <v>AF1</v>
          </cell>
          <cell r="F1941">
            <v>0.6</v>
          </cell>
          <cell r="G1941">
            <v>344</v>
          </cell>
          <cell r="H1941" t="str">
            <v>C</v>
          </cell>
          <cell r="I1941" t="str">
            <v>A</v>
          </cell>
          <cell r="J1941" t="str">
            <v>Thai Industrial</v>
          </cell>
          <cell r="K1941">
            <v>1</v>
          </cell>
          <cell r="L1941">
            <v>433</v>
          </cell>
          <cell r="M1941">
            <v>60063308</v>
          </cell>
          <cell r="N1941">
            <v>38908</v>
          </cell>
          <cell r="P1941" t="str">
            <v>FN6710D1S180404</v>
          </cell>
          <cell r="Q1941" t="str">
            <v>สภาพปกติ</v>
          </cell>
        </row>
        <row r="1942">
          <cell r="A1942">
            <v>60066166</v>
          </cell>
          <cell r="B1942">
            <v>1941</v>
          </cell>
          <cell r="C1942" t="str">
            <v>CS01/5</v>
          </cell>
          <cell r="D1942" t="str">
            <v>SPCC-SD</v>
          </cell>
          <cell r="E1942" t="str">
            <v>AF1</v>
          </cell>
          <cell r="F1942">
            <v>0.7</v>
          </cell>
          <cell r="G1942">
            <v>44</v>
          </cell>
          <cell r="H1942" t="str">
            <v>C</v>
          </cell>
          <cell r="I1942" t="str">
            <v>A</v>
          </cell>
          <cell r="J1942" t="str">
            <v>Siam Inter</v>
          </cell>
          <cell r="K1942">
            <v>1</v>
          </cell>
          <cell r="L1942">
            <v>69</v>
          </cell>
          <cell r="M1942">
            <v>60066166</v>
          </cell>
          <cell r="N1942">
            <v>38944</v>
          </cell>
          <cell r="P1942" t="str">
            <v>FN6815D1S295801</v>
          </cell>
          <cell r="Q1942" t="str">
            <v>สภาพปกติ</v>
          </cell>
        </row>
        <row r="1943">
          <cell r="A1943">
            <v>60066167</v>
          </cell>
          <cell r="B1943">
            <v>1942</v>
          </cell>
          <cell r="C1943" t="str">
            <v>CS01/5</v>
          </cell>
          <cell r="D1943" t="str">
            <v>SPCC-SD</v>
          </cell>
          <cell r="E1943" t="str">
            <v>AF1</v>
          </cell>
          <cell r="F1943">
            <v>0.7</v>
          </cell>
          <cell r="G1943">
            <v>44</v>
          </cell>
          <cell r="H1943" t="str">
            <v>C</v>
          </cell>
          <cell r="I1943" t="str">
            <v>A</v>
          </cell>
          <cell r="J1943" t="str">
            <v>Siam Inter</v>
          </cell>
          <cell r="K1943">
            <v>1</v>
          </cell>
          <cell r="L1943">
            <v>69</v>
          </cell>
          <cell r="M1943">
            <v>60066167</v>
          </cell>
          <cell r="N1943">
            <v>38944</v>
          </cell>
          <cell r="P1943" t="str">
            <v>FN6815D1S295802</v>
          </cell>
          <cell r="Q1943" t="str">
            <v>สภาพปกติ</v>
          </cell>
        </row>
        <row r="1944">
          <cell r="A1944">
            <v>60066168</v>
          </cell>
          <cell r="B1944">
            <v>1943</v>
          </cell>
          <cell r="C1944" t="str">
            <v>CS01/5</v>
          </cell>
          <cell r="D1944" t="str">
            <v>SPCC-SD</v>
          </cell>
          <cell r="E1944" t="str">
            <v>AF1</v>
          </cell>
          <cell r="F1944">
            <v>0.7</v>
          </cell>
          <cell r="G1944">
            <v>44</v>
          </cell>
          <cell r="H1944" t="str">
            <v>C</v>
          </cell>
          <cell r="I1944" t="str">
            <v>A</v>
          </cell>
          <cell r="J1944" t="str">
            <v>Siam Inter</v>
          </cell>
          <cell r="K1944">
            <v>1</v>
          </cell>
          <cell r="L1944">
            <v>69</v>
          </cell>
          <cell r="M1944">
            <v>60066168</v>
          </cell>
          <cell r="N1944">
            <v>38944</v>
          </cell>
          <cell r="P1944" t="str">
            <v>FN6815D1S295803</v>
          </cell>
          <cell r="Q1944" t="str">
            <v>สภาพปกติ</v>
          </cell>
        </row>
        <row r="1945">
          <cell r="A1945">
            <v>60042735</v>
          </cell>
          <cell r="B1945">
            <v>1944</v>
          </cell>
          <cell r="C1945" t="str">
            <v>CS01/5</v>
          </cell>
          <cell r="D1945" t="str">
            <v>SPCC-SD</v>
          </cell>
          <cell r="E1945" t="str">
            <v>AF1</v>
          </cell>
          <cell r="F1945">
            <v>0.7</v>
          </cell>
          <cell r="G1945">
            <v>168</v>
          </cell>
          <cell r="H1945" t="str">
            <v>C</v>
          </cell>
          <cell r="I1945" t="str">
            <v>A</v>
          </cell>
          <cell r="J1945" t="str">
            <v>TSLA</v>
          </cell>
          <cell r="K1945">
            <v>1</v>
          </cell>
          <cell r="L1945">
            <v>682</v>
          </cell>
          <cell r="M1945">
            <v>60042735</v>
          </cell>
          <cell r="N1945" t="str">
            <v>20/A/2005</v>
          </cell>
          <cell r="P1945" t="str">
            <v>FN5A20D1S381101</v>
          </cell>
          <cell r="Q1945" t="str">
            <v>สภาพปกติ</v>
          </cell>
        </row>
        <row r="1946">
          <cell r="A1946">
            <v>60042753</v>
          </cell>
          <cell r="B1946">
            <v>1945</v>
          </cell>
          <cell r="C1946" t="str">
            <v>CS01/5</v>
          </cell>
          <cell r="D1946" t="str">
            <v>SPCC-SD</v>
          </cell>
          <cell r="E1946" t="str">
            <v>AF1</v>
          </cell>
          <cell r="F1946">
            <v>0.7</v>
          </cell>
          <cell r="G1946">
            <v>168</v>
          </cell>
          <cell r="H1946" t="str">
            <v>C</v>
          </cell>
          <cell r="I1946" t="str">
            <v>A</v>
          </cell>
          <cell r="J1946" t="str">
            <v>TSLA</v>
          </cell>
          <cell r="K1946">
            <v>1</v>
          </cell>
          <cell r="L1946">
            <v>406</v>
          </cell>
          <cell r="M1946">
            <v>60042753</v>
          </cell>
          <cell r="N1946" t="str">
            <v>20/A/2005</v>
          </cell>
          <cell r="P1946" t="str">
            <v>FN5A20D1S381102</v>
          </cell>
          <cell r="Q1946" t="str">
            <v>สภาพปกติ</v>
          </cell>
        </row>
        <row r="1947">
          <cell r="A1947">
            <v>60037881</v>
          </cell>
          <cell r="B1947">
            <v>1946</v>
          </cell>
          <cell r="C1947" t="str">
            <v>CS01/5</v>
          </cell>
          <cell r="D1947" t="str">
            <v>SPCC-SD</v>
          </cell>
          <cell r="E1947" t="str">
            <v>AF1</v>
          </cell>
          <cell r="F1947">
            <v>0.8</v>
          </cell>
          <cell r="G1947">
            <v>83</v>
          </cell>
          <cell r="H1947" t="str">
            <v>C</v>
          </cell>
          <cell r="I1947" t="str">
            <v>A</v>
          </cell>
          <cell r="J1947" t="str">
            <v>TSA</v>
          </cell>
          <cell r="K1947">
            <v>1</v>
          </cell>
          <cell r="L1947">
            <v>238</v>
          </cell>
          <cell r="M1947">
            <v>60037881</v>
          </cell>
          <cell r="N1947">
            <v>38553</v>
          </cell>
          <cell r="P1947" t="str">
            <v>FN5720N1S129701</v>
          </cell>
          <cell r="Q1947" t="str">
            <v>สภาพปกติ</v>
          </cell>
        </row>
        <row r="1948">
          <cell r="A1948">
            <v>60037882</v>
          </cell>
          <cell r="B1948">
            <v>1947</v>
          </cell>
          <cell r="C1948" t="str">
            <v>CS01/5</v>
          </cell>
          <cell r="D1948" t="str">
            <v>SPCC-SD</v>
          </cell>
          <cell r="E1948" t="str">
            <v>AF1</v>
          </cell>
          <cell r="F1948">
            <v>0.8</v>
          </cell>
          <cell r="G1948">
            <v>83</v>
          </cell>
          <cell r="H1948" t="str">
            <v>C</v>
          </cell>
          <cell r="I1948" t="str">
            <v>A</v>
          </cell>
          <cell r="J1948" t="str">
            <v>TSA</v>
          </cell>
          <cell r="K1948">
            <v>1</v>
          </cell>
          <cell r="L1948">
            <v>238</v>
          </cell>
          <cell r="M1948">
            <v>60037882</v>
          </cell>
          <cell r="N1948">
            <v>38553</v>
          </cell>
          <cell r="P1948" t="str">
            <v>FN5720N1S129702</v>
          </cell>
          <cell r="Q1948" t="str">
            <v>สภาพปกติ</v>
          </cell>
        </row>
        <row r="1949">
          <cell r="A1949">
            <v>60037883</v>
          </cell>
          <cell r="B1949">
            <v>1948</v>
          </cell>
          <cell r="C1949" t="str">
            <v>CS01/5</v>
          </cell>
          <cell r="D1949" t="str">
            <v>SPCC-SD</v>
          </cell>
          <cell r="E1949" t="str">
            <v>AF1</v>
          </cell>
          <cell r="F1949">
            <v>0.8</v>
          </cell>
          <cell r="G1949">
            <v>83</v>
          </cell>
          <cell r="H1949" t="str">
            <v>C</v>
          </cell>
          <cell r="I1949" t="str">
            <v>A</v>
          </cell>
          <cell r="J1949" t="str">
            <v>TSA</v>
          </cell>
          <cell r="K1949">
            <v>1</v>
          </cell>
          <cell r="L1949">
            <v>238</v>
          </cell>
          <cell r="M1949">
            <v>60037883</v>
          </cell>
          <cell r="N1949">
            <v>38553</v>
          </cell>
          <cell r="P1949" t="str">
            <v>FN5720N1S129703</v>
          </cell>
          <cell r="Q1949" t="str">
            <v>สภาพปกติ</v>
          </cell>
        </row>
        <row r="1950">
          <cell r="A1950">
            <v>60037884</v>
          </cell>
          <cell r="B1950">
            <v>1949</v>
          </cell>
          <cell r="C1950" t="str">
            <v>CS01/5</v>
          </cell>
          <cell r="D1950" t="str">
            <v>SPCC-SD</v>
          </cell>
          <cell r="E1950" t="str">
            <v>AF1</v>
          </cell>
          <cell r="F1950">
            <v>0.8</v>
          </cell>
          <cell r="G1950">
            <v>83</v>
          </cell>
          <cell r="H1950" t="str">
            <v>C</v>
          </cell>
          <cell r="I1950" t="str">
            <v>A</v>
          </cell>
          <cell r="J1950" t="str">
            <v>TSA</v>
          </cell>
          <cell r="K1950">
            <v>1</v>
          </cell>
          <cell r="L1950">
            <v>238</v>
          </cell>
          <cell r="M1950">
            <v>60037884</v>
          </cell>
          <cell r="N1950">
            <v>38553</v>
          </cell>
          <cell r="P1950" t="str">
            <v>FN5720N1S129704</v>
          </cell>
          <cell r="Q1950" t="str">
            <v>สภาพปกติ</v>
          </cell>
        </row>
        <row r="1951">
          <cell r="A1951">
            <v>60037885</v>
          </cell>
          <cell r="B1951">
            <v>1950</v>
          </cell>
          <cell r="C1951" t="str">
            <v>CS01/5</v>
          </cell>
          <cell r="D1951" t="str">
            <v>SPCC-SD</v>
          </cell>
          <cell r="E1951" t="str">
            <v>AF1</v>
          </cell>
          <cell r="F1951">
            <v>0.8</v>
          </cell>
          <cell r="G1951">
            <v>83</v>
          </cell>
          <cell r="H1951" t="str">
            <v>C</v>
          </cell>
          <cell r="I1951" t="str">
            <v>A</v>
          </cell>
          <cell r="J1951" t="str">
            <v>TSA</v>
          </cell>
          <cell r="K1951">
            <v>1</v>
          </cell>
          <cell r="L1951">
            <v>238</v>
          </cell>
          <cell r="M1951">
            <v>60037885</v>
          </cell>
          <cell r="N1951">
            <v>38553</v>
          </cell>
          <cell r="P1951" t="str">
            <v>FN5720N1S129705</v>
          </cell>
          <cell r="Q1951" t="str">
            <v>สภาพปกติ</v>
          </cell>
        </row>
        <row r="1952">
          <cell r="A1952">
            <v>60037886</v>
          </cell>
          <cell r="B1952">
            <v>1951</v>
          </cell>
          <cell r="C1952" t="str">
            <v>CS01/5</v>
          </cell>
          <cell r="D1952" t="str">
            <v>SPCC-SD</v>
          </cell>
          <cell r="E1952" t="str">
            <v>AF1</v>
          </cell>
          <cell r="F1952">
            <v>0.8</v>
          </cell>
          <cell r="G1952">
            <v>83</v>
          </cell>
          <cell r="H1952" t="str">
            <v>C</v>
          </cell>
          <cell r="I1952" t="str">
            <v>A</v>
          </cell>
          <cell r="J1952" t="str">
            <v>TSA</v>
          </cell>
          <cell r="K1952">
            <v>1</v>
          </cell>
          <cell r="L1952">
            <v>238</v>
          </cell>
          <cell r="M1952">
            <v>60037886</v>
          </cell>
          <cell r="N1952">
            <v>38553</v>
          </cell>
          <cell r="P1952" t="str">
            <v>FN5720N1S129706</v>
          </cell>
          <cell r="Q1952" t="str">
            <v>สภาพปกติ</v>
          </cell>
        </row>
        <row r="1953">
          <cell r="A1953">
            <v>60061896</v>
          </cell>
          <cell r="B1953">
            <v>1952</v>
          </cell>
          <cell r="C1953" t="str">
            <v>CS01/5</v>
          </cell>
          <cell r="D1953" t="str">
            <v>SPCC-SD</v>
          </cell>
          <cell r="E1953" t="str">
            <v>AF1</v>
          </cell>
          <cell r="F1953">
            <v>0.8</v>
          </cell>
          <cell r="G1953">
            <v>93</v>
          </cell>
          <cell r="H1953" t="str">
            <v>C</v>
          </cell>
          <cell r="I1953" t="str">
            <v>A</v>
          </cell>
          <cell r="J1953" t="str">
            <v>Thai Industrial</v>
          </cell>
          <cell r="K1953">
            <v>1</v>
          </cell>
          <cell r="L1953">
            <v>187</v>
          </cell>
          <cell r="M1953">
            <v>60061896</v>
          </cell>
          <cell r="N1953">
            <v>38887</v>
          </cell>
          <cell r="P1953" t="str">
            <v>FN6619D1S119801</v>
          </cell>
          <cell r="Q1953" t="str">
            <v>สภาพปกติ</v>
          </cell>
        </row>
        <row r="1954">
          <cell r="A1954">
            <v>60067007</v>
          </cell>
          <cell r="B1954">
            <v>1953</v>
          </cell>
          <cell r="C1954" t="str">
            <v>CS01/5</v>
          </cell>
          <cell r="D1954" t="str">
            <v>SPCC-SD</v>
          </cell>
          <cell r="E1954" t="str">
            <v>AF1</v>
          </cell>
          <cell r="F1954">
            <v>1</v>
          </cell>
          <cell r="G1954">
            <v>40</v>
          </cell>
          <cell r="H1954" t="str">
            <v>C</v>
          </cell>
          <cell r="I1954" t="str">
            <v>A</v>
          </cell>
          <cell r="J1954" t="str">
            <v>Cheow Chan</v>
          </cell>
          <cell r="K1954">
            <v>1</v>
          </cell>
          <cell r="L1954">
            <v>113</v>
          </cell>
          <cell r="M1954">
            <v>60067007</v>
          </cell>
          <cell r="N1954">
            <v>38954</v>
          </cell>
          <cell r="P1954" t="str">
            <v>FN6825N1S326001</v>
          </cell>
          <cell r="Q1954" t="str">
            <v>สภาพปกติ</v>
          </cell>
        </row>
        <row r="1955">
          <cell r="A1955">
            <v>60067008</v>
          </cell>
          <cell r="B1955">
            <v>1954</v>
          </cell>
          <cell r="C1955" t="str">
            <v>CS01/5</v>
          </cell>
          <cell r="D1955" t="str">
            <v>SPCC-SD</v>
          </cell>
          <cell r="E1955" t="str">
            <v>AF1</v>
          </cell>
          <cell r="F1955">
            <v>1</v>
          </cell>
          <cell r="G1955">
            <v>40</v>
          </cell>
          <cell r="H1955" t="str">
            <v>C</v>
          </cell>
          <cell r="I1955" t="str">
            <v>A</v>
          </cell>
          <cell r="J1955" t="str">
            <v>Cheow Chan</v>
          </cell>
          <cell r="K1955">
            <v>1</v>
          </cell>
          <cell r="L1955">
            <v>112</v>
          </cell>
          <cell r="M1955">
            <v>60067008</v>
          </cell>
          <cell r="N1955">
            <v>38954</v>
          </cell>
          <cell r="P1955" t="str">
            <v>FN6825N1S326002</v>
          </cell>
          <cell r="Q1955" t="str">
            <v>สภาพปกติ</v>
          </cell>
        </row>
        <row r="1956">
          <cell r="A1956">
            <v>60067018</v>
          </cell>
          <cell r="B1956">
            <v>1955</v>
          </cell>
          <cell r="C1956" t="str">
            <v>CS01/5</v>
          </cell>
          <cell r="D1956" t="str">
            <v>SPCC-SD</v>
          </cell>
          <cell r="E1956" t="str">
            <v>AF1</v>
          </cell>
          <cell r="F1956">
            <v>1</v>
          </cell>
          <cell r="G1956">
            <v>40</v>
          </cell>
          <cell r="H1956" t="str">
            <v>C</v>
          </cell>
          <cell r="I1956" t="str">
            <v>A</v>
          </cell>
          <cell r="J1956" t="str">
            <v>Cheow Chan</v>
          </cell>
          <cell r="K1956">
            <v>1</v>
          </cell>
          <cell r="L1956">
            <v>110</v>
          </cell>
          <cell r="M1956">
            <v>60067018</v>
          </cell>
          <cell r="N1956">
            <v>38954</v>
          </cell>
          <cell r="P1956" t="str">
            <v>FN6825D1S326001</v>
          </cell>
          <cell r="Q1956" t="str">
            <v>สภาพปกติ</v>
          </cell>
        </row>
        <row r="1957">
          <cell r="A1957">
            <v>60065781</v>
          </cell>
          <cell r="B1957">
            <v>1956</v>
          </cell>
          <cell r="C1957" t="str">
            <v>CS01/5</v>
          </cell>
          <cell r="D1957" t="str">
            <v>SPCC-SD</v>
          </cell>
          <cell r="E1957" t="str">
            <v>AF1</v>
          </cell>
          <cell r="F1957">
            <v>1</v>
          </cell>
          <cell r="G1957">
            <v>58</v>
          </cell>
          <cell r="H1957" t="str">
            <v>C</v>
          </cell>
          <cell r="I1957" t="str">
            <v>A</v>
          </cell>
          <cell r="J1957" t="str">
            <v>Cheow Chan</v>
          </cell>
          <cell r="K1957">
            <v>1</v>
          </cell>
          <cell r="L1957">
            <v>154</v>
          </cell>
          <cell r="M1957">
            <v>60065781</v>
          </cell>
          <cell r="N1957">
            <v>38937</v>
          </cell>
          <cell r="P1957" t="str">
            <v>FN6808D1S269201</v>
          </cell>
          <cell r="Q1957" t="str">
            <v>สภาพปกติ</v>
          </cell>
        </row>
        <row r="1958">
          <cell r="A1958">
            <v>60039544</v>
          </cell>
          <cell r="B1958">
            <v>1957</v>
          </cell>
          <cell r="C1958" t="str">
            <v>CS01/5</v>
          </cell>
          <cell r="D1958" t="str">
            <v>SPCC-SD</v>
          </cell>
          <cell r="E1958" t="str">
            <v>AF1</v>
          </cell>
          <cell r="F1958">
            <v>1</v>
          </cell>
          <cell r="G1958">
            <v>90</v>
          </cell>
          <cell r="H1958" t="str">
            <v>C</v>
          </cell>
          <cell r="I1958" t="str">
            <v>A</v>
          </cell>
          <cell r="J1958" t="str">
            <v>SAS</v>
          </cell>
          <cell r="K1958">
            <v>1</v>
          </cell>
          <cell r="L1958">
            <v>683</v>
          </cell>
          <cell r="M1958">
            <v>60039544</v>
          </cell>
          <cell r="N1958">
            <v>38955</v>
          </cell>
          <cell r="P1958" t="str">
            <v>FN5826N1S239601</v>
          </cell>
          <cell r="Q1958" t="str">
            <v>สภาพปกติ</v>
          </cell>
        </row>
        <row r="1959">
          <cell r="A1959">
            <v>60065772</v>
          </cell>
          <cell r="B1959">
            <v>1958</v>
          </cell>
          <cell r="C1959" t="str">
            <v>CS01/5</v>
          </cell>
          <cell r="D1959" t="str">
            <v>SPCC-SD</v>
          </cell>
          <cell r="E1959" t="str">
            <v>AF1</v>
          </cell>
          <cell r="F1959">
            <v>1</v>
          </cell>
          <cell r="G1959">
            <v>94</v>
          </cell>
          <cell r="H1959" t="str">
            <v>C</v>
          </cell>
          <cell r="I1959" t="str">
            <v>A</v>
          </cell>
          <cell r="J1959" t="str">
            <v>Cheow Chan</v>
          </cell>
          <cell r="K1959">
            <v>1</v>
          </cell>
          <cell r="L1959">
            <v>254</v>
          </cell>
          <cell r="M1959">
            <v>60065772</v>
          </cell>
          <cell r="N1959">
            <v>38937</v>
          </cell>
          <cell r="P1959" t="str">
            <v>FN6808D1S269201</v>
          </cell>
          <cell r="Q1959" t="str">
            <v>สภาพปกติ</v>
          </cell>
        </row>
        <row r="1960">
          <cell r="A1960">
            <v>60065773</v>
          </cell>
          <cell r="B1960">
            <v>1959</v>
          </cell>
          <cell r="C1960" t="str">
            <v>CS01/5</v>
          </cell>
          <cell r="D1960" t="str">
            <v>SPCC-SD</v>
          </cell>
          <cell r="E1960" t="str">
            <v>AF1</v>
          </cell>
          <cell r="F1960">
            <v>1</v>
          </cell>
          <cell r="G1960">
            <v>94</v>
          </cell>
          <cell r="H1960" t="str">
            <v>C</v>
          </cell>
          <cell r="I1960" t="str">
            <v>A</v>
          </cell>
          <cell r="J1960" t="str">
            <v>Cheow Chan</v>
          </cell>
          <cell r="K1960">
            <v>1</v>
          </cell>
          <cell r="L1960">
            <v>254</v>
          </cell>
          <cell r="M1960">
            <v>60065773</v>
          </cell>
          <cell r="N1960">
            <v>38937</v>
          </cell>
          <cell r="P1960" t="str">
            <v>FN6808D1S269202</v>
          </cell>
          <cell r="Q1960" t="str">
            <v>สภาพปกติ</v>
          </cell>
        </row>
        <row r="1961">
          <cell r="A1961">
            <v>60065774</v>
          </cell>
          <cell r="B1961">
            <v>1960</v>
          </cell>
          <cell r="C1961" t="str">
            <v>CS01/5</v>
          </cell>
          <cell r="D1961" t="str">
            <v>SPCC-SD</v>
          </cell>
          <cell r="E1961" t="str">
            <v>AF1</v>
          </cell>
          <cell r="F1961">
            <v>1</v>
          </cell>
          <cell r="G1961">
            <v>94</v>
          </cell>
          <cell r="H1961" t="str">
            <v>C</v>
          </cell>
          <cell r="I1961" t="str">
            <v>A</v>
          </cell>
          <cell r="J1961" t="str">
            <v>Cheow Chan</v>
          </cell>
          <cell r="K1961">
            <v>1</v>
          </cell>
          <cell r="L1961">
            <v>254</v>
          </cell>
          <cell r="M1961">
            <v>60065774</v>
          </cell>
          <cell r="N1961">
            <v>38937</v>
          </cell>
          <cell r="P1961" t="str">
            <v>FN6808D1S269203</v>
          </cell>
          <cell r="Q1961" t="str">
            <v>สภาพปกติ</v>
          </cell>
        </row>
        <row r="1962">
          <cell r="A1962">
            <v>60066001</v>
          </cell>
          <cell r="B1962">
            <v>1961</v>
          </cell>
          <cell r="C1962" t="str">
            <v>CS01/5</v>
          </cell>
          <cell r="D1962" t="str">
            <v>SPCC-SD</v>
          </cell>
          <cell r="E1962" t="str">
            <v>AF1</v>
          </cell>
          <cell r="F1962">
            <v>1</v>
          </cell>
          <cell r="G1962">
            <v>94</v>
          </cell>
          <cell r="H1962" t="str">
            <v>C</v>
          </cell>
          <cell r="I1962" t="str">
            <v>A</v>
          </cell>
          <cell r="J1962" t="str">
            <v>Cheow Chan</v>
          </cell>
          <cell r="K1962">
            <v>1</v>
          </cell>
          <cell r="L1962">
            <v>127</v>
          </cell>
          <cell r="M1962">
            <v>60066001</v>
          </cell>
          <cell r="N1962">
            <v>38940</v>
          </cell>
          <cell r="P1962" t="str">
            <v>FN6811D1S260701</v>
          </cell>
          <cell r="Q1962" t="str">
            <v>สภาพปกติ</v>
          </cell>
        </row>
        <row r="1963">
          <cell r="A1963">
            <v>60067264</v>
          </cell>
          <cell r="B1963">
            <v>1962</v>
          </cell>
          <cell r="C1963" t="str">
            <v>CS01/5</v>
          </cell>
          <cell r="D1963" t="str">
            <v>SPCC-SD</v>
          </cell>
          <cell r="E1963" t="str">
            <v>AF1</v>
          </cell>
          <cell r="F1963">
            <v>1</v>
          </cell>
          <cell r="G1963">
            <v>94</v>
          </cell>
          <cell r="H1963" t="str">
            <v>C</v>
          </cell>
          <cell r="I1963" t="str">
            <v>A</v>
          </cell>
          <cell r="J1963" t="str">
            <v>Cheow Chan</v>
          </cell>
          <cell r="K1963">
            <v>1</v>
          </cell>
          <cell r="L1963">
            <v>156</v>
          </cell>
          <cell r="M1963">
            <v>60067264</v>
          </cell>
          <cell r="N1963">
            <v>38960</v>
          </cell>
          <cell r="P1963" t="str">
            <v>FN6831D1S334001</v>
          </cell>
          <cell r="Q1963" t="str">
            <v>สภาพปกติ</v>
          </cell>
        </row>
        <row r="1964">
          <cell r="A1964">
            <v>60067265</v>
          </cell>
          <cell r="B1964">
            <v>1963</v>
          </cell>
          <cell r="C1964" t="str">
            <v>CS01/5</v>
          </cell>
          <cell r="D1964" t="str">
            <v>SPCC-SD</v>
          </cell>
          <cell r="E1964" t="str">
            <v>AF1</v>
          </cell>
          <cell r="F1964">
            <v>1</v>
          </cell>
          <cell r="G1964">
            <v>94</v>
          </cell>
          <cell r="H1964" t="str">
            <v>C</v>
          </cell>
          <cell r="I1964" t="str">
            <v>A</v>
          </cell>
          <cell r="J1964" t="str">
            <v>Cheow Chan</v>
          </cell>
          <cell r="K1964">
            <v>1</v>
          </cell>
          <cell r="L1964">
            <v>156</v>
          </cell>
          <cell r="M1964">
            <v>60067265</v>
          </cell>
          <cell r="N1964">
            <v>38960</v>
          </cell>
          <cell r="P1964" t="str">
            <v>FN6831D1S334002</v>
          </cell>
          <cell r="Q1964" t="str">
            <v>สภาพปกติ</v>
          </cell>
        </row>
        <row r="1965">
          <cell r="A1965">
            <v>60067266</v>
          </cell>
          <cell r="B1965">
            <v>1964</v>
          </cell>
          <cell r="C1965" t="str">
            <v>CS01/5</v>
          </cell>
          <cell r="D1965" t="str">
            <v>SPCC-SD</v>
          </cell>
          <cell r="E1965" t="str">
            <v>AF1</v>
          </cell>
          <cell r="F1965">
            <v>1</v>
          </cell>
          <cell r="G1965">
            <v>94</v>
          </cell>
          <cell r="H1965" t="str">
            <v>C</v>
          </cell>
          <cell r="I1965" t="str">
            <v>A</v>
          </cell>
          <cell r="J1965" t="str">
            <v>Cheow Chan</v>
          </cell>
          <cell r="K1965">
            <v>1</v>
          </cell>
          <cell r="L1965">
            <v>156</v>
          </cell>
          <cell r="M1965">
            <v>60067266</v>
          </cell>
          <cell r="N1965">
            <v>38960</v>
          </cell>
          <cell r="P1965" t="str">
            <v>FN6831D1S334003</v>
          </cell>
          <cell r="Q1965" t="str">
            <v>สภาพปกติ</v>
          </cell>
        </row>
        <row r="1966">
          <cell r="A1966">
            <v>60067267</v>
          </cell>
          <cell r="B1966">
            <v>1965</v>
          </cell>
          <cell r="C1966" t="str">
            <v>CS01/5</v>
          </cell>
          <cell r="D1966" t="str">
            <v>SPCC-SD</v>
          </cell>
          <cell r="E1966" t="str">
            <v>AF1</v>
          </cell>
          <cell r="F1966">
            <v>1</v>
          </cell>
          <cell r="G1966">
            <v>94</v>
          </cell>
          <cell r="H1966" t="str">
            <v>C</v>
          </cell>
          <cell r="I1966" t="str">
            <v>A</v>
          </cell>
          <cell r="J1966" t="str">
            <v>Cheow Chan</v>
          </cell>
          <cell r="K1966">
            <v>1</v>
          </cell>
          <cell r="L1966">
            <v>156</v>
          </cell>
          <cell r="M1966">
            <v>60067267</v>
          </cell>
          <cell r="N1966">
            <v>38960</v>
          </cell>
          <cell r="P1966" t="str">
            <v>FN6831D1S334004</v>
          </cell>
          <cell r="Q1966" t="str">
            <v>สภาพปกติ</v>
          </cell>
        </row>
        <row r="1967">
          <cell r="A1967">
            <v>60067268</v>
          </cell>
          <cell r="B1967">
            <v>1966</v>
          </cell>
          <cell r="C1967" t="str">
            <v>CS01/5</v>
          </cell>
          <cell r="D1967" t="str">
            <v>SPCC-SD</v>
          </cell>
          <cell r="E1967" t="str">
            <v>AF1</v>
          </cell>
          <cell r="F1967">
            <v>1</v>
          </cell>
          <cell r="G1967">
            <v>94</v>
          </cell>
          <cell r="H1967" t="str">
            <v>C</v>
          </cell>
          <cell r="I1967" t="str">
            <v>A</v>
          </cell>
          <cell r="J1967" t="str">
            <v>Cheow Chan</v>
          </cell>
          <cell r="K1967">
            <v>1</v>
          </cell>
          <cell r="L1967">
            <v>156</v>
          </cell>
          <cell r="M1967">
            <v>60067268</v>
          </cell>
          <cell r="N1967">
            <v>38960</v>
          </cell>
          <cell r="P1967" t="str">
            <v>FN6831D1S334005</v>
          </cell>
          <cell r="Q1967" t="str">
            <v>สภาพปกติ</v>
          </cell>
        </row>
        <row r="1968">
          <cell r="A1968">
            <v>60067269</v>
          </cell>
          <cell r="B1968">
            <v>1967</v>
          </cell>
          <cell r="C1968" t="str">
            <v>CS01/5</v>
          </cell>
          <cell r="D1968" t="str">
            <v>SPCC-SD</v>
          </cell>
          <cell r="E1968" t="str">
            <v>AF1</v>
          </cell>
          <cell r="F1968">
            <v>1</v>
          </cell>
          <cell r="G1968">
            <v>94</v>
          </cell>
          <cell r="H1968" t="str">
            <v>C</v>
          </cell>
          <cell r="I1968" t="str">
            <v>A</v>
          </cell>
          <cell r="J1968" t="str">
            <v>Cheow Chan</v>
          </cell>
          <cell r="K1968">
            <v>1</v>
          </cell>
          <cell r="L1968">
            <v>156</v>
          </cell>
          <cell r="M1968">
            <v>60067269</v>
          </cell>
          <cell r="N1968">
            <v>38960</v>
          </cell>
          <cell r="P1968" t="str">
            <v>FN6831D1S334006</v>
          </cell>
          <cell r="Q1968" t="str">
            <v>สภาพปกติ</v>
          </cell>
        </row>
        <row r="1969">
          <cell r="A1969">
            <v>60067270</v>
          </cell>
          <cell r="B1969">
            <v>1968</v>
          </cell>
          <cell r="C1969" t="str">
            <v>CS01/5</v>
          </cell>
          <cell r="D1969" t="str">
            <v>SPCC-SD</v>
          </cell>
          <cell r="E1969" t="str">
            <v>AF1</v>
          </cell>
          <cell r="F1969">
            <v>1</v>
          </cell>
          <cell r="G1969">
            <v>94</v>
          </cell>
          <cell r="H1969" t="str">
            <v>C</v>
          </cell>
          <cell r="I1969" t="str">
            <v>A</v>
          </cell>
          <cell r="J1969" t="str">
            <v>Cheow Chan</v>
          </cell>
          <cell r="K1969">
            <v>1</v>
          </cell>
          <cell r="L1969">
            <v>156</v>
          </cell>
          <cell r="M1969">
            <v>60067270</v>
          </cell>
          <cell r="N1969">
            <v>38960</v>
          </cell>
          <cell r="P1969" t="str">
            <v>FN6831D1S334007</v>
          </cell>
          <cell r="Q1969" t="str">
            <v>สภาพปกติ</v>
          </cell>
        </row>
        <row r="1970">
          <cell r="A1970">
            <v>60067271</v>
          </cell>
          <cell r="B1970">
            <v>1969</v>
          </cell>
          <cell r="C1970" t="str">
            <v>CS01/5</v>
          </cell>
          <cell r="D1970" t="str">
            <v>SPCC-SD</v>
          </cell>
          <cell r="E1970" t="str">
            <v>AF1</v>
          </cell>
          <cell r="F1970">
            <v>1</v>
          </cell>
          <cell r="G1970">
            <v>94</v>
          </cell>
          <cell r="H1970" t="str">
            <v>C</v>
          </cell>
          <cell r="I1970" t="str">
            <v>A</v>
          </cell>
          <cell r="J1970" t="str">
            <v>Cheow Chan</v>
          </cell>
          <cell r="K1970">
            <v>1</v>
          </cell>
          <cell r="L1970">
            <v>156</v>
          </cell>
          <cell r="M1970">
            <v>60067271</v>
          </cell>
          <cell r="N1970">
            <v>38960</v>
          </cell>
          <cell r="P1970" t="str">
            <v>FN6831D1S334008</v>
          </cell>
          <cell r="Q1970" t="str">
            <v>สภาพปกติ</v>
          </cell>
        </row>
        <row r="1971">
          <cell r="A1971">
            <v>60067272</v>
          </cell>
          <cell r="B1971">
            <v>1970</v>
          </cell>
          <cell r="C1971" t="str">
            <v>CS01/5</v>
          </cell>
          <cell r="D1971" t="str">
            <v>SPCC-SD</v>
          </cell>
          <cell r="E1971" t="str">
            <v>AF1</v>
          </cell>
          <cell r="F1971">
            <v>1</v>
          </cell>
          <cell r="G1971">
            <v>94</v>
          </cell>
          <cell r="H1971" t="str">
            <v>C</v>
          </cell>
          <cell r="I1971" t="str">
            <v>A</v>
          </cell>
          <cell r="J1971" t="str">
            <v>Cheow Chan</v>
          </cell>
          <cell r="K1971">
            <v>1</v>
          </cell>
          <cell r="L1971">
            <v>156</v>
          </cell>
          <cell r="M1971">
            <v>60067272</v>
          </cell>
          <cell r="N1971">
            <v>38960</v>
          </cell>
          <cell r="P1971" t="str">
            <v>FN6831D1S334009</v>
          </cell>
          <cell r="Q1971" t="str">
            <v>สภาพปกติ</v>
          </cell>
        </row>
        <row r="1972">
          <cell r="A1972">
            <v>60067273</v>
          </cell>
          <cell r="B1972">
            <v>1971</v>
          </cell>
          <cell r="C1972" t="str">
            <v>CS01/5</v>
          </cell>
          <cell r="D1972" t="str">
            <v>SPCC-SD</v>
          </cell>
          <cell r="E1972" t="str">
            <v>AF1</v>
          </cell>
          <cell r="F1972">
            <v>1</v>
          </cell>
          <cell r="G1972">
            <v>94</v>
          </cell>
          <cell r="H1972" t="str">
            <v>C</v>
          </cell>
          <cell r="I1972" t="str">
            <v>A</v>
          </cell>
          <cell r="J1972" t="str">
            <v>Cheow Chan</v>
          </cell>
          <cell r="K1972">
            <v>1</v>
          </cell>
          <cell r="L1972">
            <v>156</v>
          </cell>
          <cell r="M1972">
            <v>60067273</v>
          </cell>
          <cell r="N1972">
            <v>38960</v>
          </cell>
          <cell r="P1972" t="str">
            <v>FN6831D1S334010</v>
          </cell>
          <cell r="Q1972" t="str">
            <v>สภาพปกติ</v>
          </cell>
        </row>
        <row r="1973">
          <cell r="A1973">
            <v>60067279</v>
          </cell>
          <cell r="B1973">
            <v>1972</v>
          </cell>
          <cell r="C1973" t="str">
            <v>CS01/5</v>
          </cell>
          <cell r="D1973" t="str">
            <v>SPCC-SD</v>
          </cell>
          <cell r="E1973" t="str">
            <v>AF1</v>
          </cell>
          <cell r="F1973">
            <v>1</v>
          </cell>
          <cell r="G1973">
            <v>94</v>
          </cell>
          <cell r="H1973" t="str">
            <v>C</v>
          </cell>
          <cell r="I1973" t="str">
            <v>A</v>
          </cell>
          <cell r="J1973" t="str">
            <v>Cheow Chan</v>
          </cell>
          <cell r="K1973">
            <v>1</v>
          </cell>
          <cell r="L1973">
            <v>356</v>
          </cell>
          <cell r="M1973">
            <v>60067279</v>
          </cell>
          <cell r="N1973">
            <v>38960</v>
          </cell>
          <cell r="P1973" t="str">
            <v>FN6831D1S333801</v>
          </cell>
          <cell r="Q1973" t="str">
            <v>สภาพปกติ</v>
          </cell>
        </row>
        <row r="1974">
          <cell r="A1974">
            <v>60067280</v>
          </cell>
          <cell r="B1974">
            <v>1973</v>
          </cell>
          <cell r="C1974" t="str">
            <v>CS01/5</v>
          </cell>
          <cell r="D1974" t="str">
            <v>SPCC-SD</v>
          </cell>
          <cell r="E1974" t="str">
            <v>AF1</v>
          </cell>
          <cell r="F1974">
            <v>1</v>
          </cell>
          <cell r="G1974">
            <v>94</v>
          </cell>
          <cell r="H1974" t="str">
            <v>C</v>
          </cell>
          <cell r="I1974" t="str">
            <v>A</v>
          </cell>
          <cell r="J1974" t="str">
            <v>Cheow Chan</v>
          </cell>
          <cell r="K1974">
            <v>1</v>
          </cell>
          <cell r="L1974">
            <v>356</v>
          </cell>
          <cell r="M1974">
            <v>60067280</v>
          </cell>
          <cell r="N1974">
            <v>38960</v>
          </cell>
          <cell r="P1974" t="str">
            <v>FN6831D1S333802</v>
          </cell>
          <cell r="Q1974" t="str">
            <v>สภาพปกติ</v>
          </cell>
        </row>
        <row r="1975">
          <cell r="A1975">
            <v>60067291</v>
          </cell>
          <cell r="B1975">
            <v>1974</v>
          </cell>
          <cell r="C1975" t="str">
            <v>CS01/5</v>
          </cell>
          <cell r="D1975" t="str">
            <v>SPCC-SD</v>
          </cell>
          <cell r="E1975" t="str">
            <v>AF1</v>
          </cell>
          <cell r="F1975">
            <v>1</v>
          </cell>
          <cell r="G1975">
            <v>94</v>
          </cell>
          <cell r="H1975" t="str">
            <v>C</v>
          </cell>
          <cell r="I1975" t="str">
            <v>A</v>
          </cell>
          <cell r="J1975" t="str">
            <v>Cheow Chan</v>
          </cell>
          <cell r="K1975">
            <v>1</v>
          </cell>
          <cell r="L1975">
            <v>347</v>
          </cell>
          <cell r="M1975">
            <v>60067291</v>
          </cell>
          <cell r="N1975">
            <v>38960</v>
          </cell>
          <cell r="P1975" t="str">
            <v>FN6831D1S333811</v>
          </cell>
          <cell r="Q1975" t="str">
            <v>สภาพปกติ</v>
          </cell>
        </row>
        <row r="1976">
          <cell r="A1976">
            <v>60067292</v>
          </cell>
          <cell r="B1976">
            <v>1975</v>
          </cell>
          <cell r="C1976" t="str">
            <v>CS01/5</v>
          </cell>
          <cell r="D1976" t="str">
            <v>SPCC-SD</v>
          </cell>
          <cell r="E1976" t="str">
            <v>AF1</v>
          </cell>
          <cell r="F1976">
            <v>1</v>
          </cell>
          <cell r="G1976">
            <v>94</v>
          </cell>
          <cell r="H1976" t="str">
            <v>C</v>
          </cell>
          <cell r="I1976" t="str">
            <v>A</v>
          </cell>
          <cell r="J1976" t="str">
            <v>Cheow Chan</v>
          </cell>
          <cell r="K1976">
            <v>1</v>
          </cell>
          <cell r="L1976">
            <v>347</v>
          </cell>
          <cell r="M1976">
            <v>60067292</v>
          </cell>
          <cell r="N1976">
            <v>38960</v>
          </cell>
          <cell r="P1976" t="str">
            <v>FN6831D1S333812</v>
          </cell>
          <cell r="Q1976" t="str">
            <v>สภาพปกติ</v>
          </cell>
        </row>
        <row r="1977">
          <cell r="A1977">
            <v>60067293</v>
          </cell>
          <cell r="B1977">
            <v>1976</v>
          </cell>
          <cell r="C1977" t="str">
            <v>CS01/5</v>
          </cell>
          <cell r="D1977" t="str">
            <v>SPCC-SD</v>
          </cell>
          <cell r="E1977" t="str">
            <v>AF1</v>
          </cell>
          <cell r="F1977">
            <v>1</v>
          </cell>
          <cell r="G1977">
            <v>94</v>
          </cell>
          <cell r="H1977" t="str">
            <v>C</v>
          </cell>
          <cell r="I1977" t="str">
            <v>A</v>
          </cell>
          <cell r="J1977" t="str">
            <v>Cheow Chan</v>
          </cell>
          <cell r="K1977">
            <v>1</v>
          </cell>
          <cell r="L1977">
            <v>347</v>
          </cell>
          <cell r="M1977">
            <v>60067293</v>
          </cell>
          <cell r="N1977">
            <v>38960</v>
          </cell>
          <cell r="P1977" t="str">
            <v>FN6831D1S333813</v>
          </cell>
          <cell r="Q1977" t="str">
            <v>สภาพปกติ</v>
          </cell>
        </row>
        <row r="1978">
          <cell r="A1978">
            <v>60067294</v>
          </cell>
          <cell r="B1978">
            <v>1977</v>
          </cell>
          <cell r="C1978" t="str">
            <v>CS01/5</v>
          </cell>
          <cell r="D1978" t="str">
            <v>SPCC-SD</v>
          </cell>
          <cell r="E1978" t="str">
            <v>AF1</v>
          </cell>
          <cell r="F1978">
            <v>1</v>
          </cell>
          <cell r="G1978">
            <v>94</v>
          </cell>
          <cell r="H1978" t="str">
            <v>C</v>
          </cell>
          <cell r="I1978" t="str">
            <v>A</v>
          </cell>
          <cell r="J1978" t="str">
            <v>Cheow Chan</v>
          </cell>
          <cell r="K1978">
            <v>1</v>
          </cell>
          <cell r="L1978">
            <v>347</v>
          </cell>
          <cell r="M1978">
            <v>60067294</v>
          </cell>
          <cell r="N1978">
            <v>38960</v>
          </cell>
          <cell r="P1978" t="str">
            <v>FN6831D1S333814</v>
          </cell>
          <cell r="Q1978" t="str">
            <v>สภาพปกติ</v>
          </cell>
        </row>
        <row r="1979">
          <cell r="A1979">
            <v>60067295</v>
          </cell>
          <cell r="B1979">
            <v>1978</v>
          </cell>
          <cell r="C1979" t="str">
            <v>CS01/5</v>
          </cell>
          <cell r="D1979" t="str">
            <v>SPCC-SD</v>
          </cell>
          <cell r="E1979" t="str">
            <v>AF1</v>
          </cell>
          <cell r="F1979">
            <v>1</v>
          </cell>
          <cell r="G1979">
            <v>94</v>
          </cell>
          <cell r="H1979" t="str">
            <v>C</v>
          </cell>
          <cell r="I1979" t="str">
            <v>A</v>
          </cell>
          <cell r="J1979" t="str">
            <v>Cheow Chan</v>
          </cell>
          <cell r="K1979">
            <v>1</v>
          </cell>
          <cell r="L1979">
            <v>347</v>
          </cell>
          <cell r="M1979">
            <v>60067295</v>
          </cell>
          <cell r="N1979">
            <v>38960</v>
          </cell>
          <cell r="P1979" t="str">
            <v>FN6831D1S333815</v>
          </cell>
          <cell r="Q1979" t="str">
            <v>สภาพปกติ</v>
          </cell>
        </row>
        <row r="1980">
          <cell r="A1980">
            <v>60067296</v>
          </cell>
          <cell r="B1980">
            <v>1979</v>
          </cell>
          <cell r="C1980" t="str">
            <v>CS01/5</v>
          </cell>
          <cell r="D1980" t="str">
            <v>SPCC-SD</v>
          </cell>
          <cell r="E1980" t="str">
            <v>AF1</v>
          </cell>
          <cell r="F1980">
            <v>1</v>
          </cell>
          <cell r="G1980">
            <v>94</v>
          </cell>
          <cell r="H1980" t="str">
            <v>C</v>
          </cell>
          <cell r="I1980" t="str">
            <v>A</v>
          </cell>
          <cell r="J1980" t="str">
            <v>Cheow Chan</v>
          </cell>
          <cell r="K1980">
            <v>1</v>
          </cell>
          <cell r="L1980">
            <v>347</v>
          </cell>
          <cell r="M1980">
            <v>60067296</v>
          </cell>
          <cell r="N1980">
            <v>38960</v>
          </cell>
          <cell r="P1980" t="str">
            <v>FN6831D1S333816</v>
          </cell>
          <cell r="Q1980" t="str">
            <v>สภาพปกติ</v>
          </cell>
        </row>
        <row r="1981">
          <cell r="A1981">
            <v>60067297</v>
          </cell>
          <cell r="B1981">
            <v>1980</v>
          </cell>
          <cell r="C1981" t="str">
            <v>CS01/5</v>
          </cell>
          <cell r="D1981" t="str">
            <v>SPCC-SD</v>
          </cell>
          <cell r="E1981" t="str">
            <v>AF1</v>
          </cell>
          <cell r="F1981">
            <v>1</v>
          </cell>
          <cell r="G1981">
            <v>94</v>
          </cell>
          <cell r="H1981" t="str">
            <v>C</v>
          </cell>
          <cell r="I1981" t="str">
            <v>A</v>
          </cell>
          <cell r="J1981" t="str">
            <v>Cheow Chan</v>
          </cell>
          <cell r="K1981">
            <v>1</v>
          </cell>
          <cell r="L1981">
            <v>347</v>
          </cell>
          <cell r="M1981">
            <v>60067297</v>
          </cell>
          <cell r="N1981">
            <v>38960</v>
          </cell>
          <cell r="P1981" t="str">
            <v>FN6831D1S333817</v>
          </cell>
          <cell r="Q1981" t="str">
            <v>สภาพปกติ</v>
          </cell>
        </row>
        <row r="1982">
          <cell r="A1982">
            <v>60067298</v>
          </cell>
          <cell r="B1982">
            <v>1981</v>
          </cell>
          <cell r="C1982" t="str">
            <v>CS01/5</v>
          </cell>
          <cell r="D1982" t="str">
            <v>SPCC-SD</v>
          </cell>
          <cell r="E1982" t="str">
            <v>AF1</v>
          </cell>
          <cell r="F1982">
            <v>1</v>
          </cell>
          <cell r="G1982">
            <v>94</v>
          </cell>
          <cell r="H1982" t="str">
            <v>C</v>
          </cell>
          <cell r="I1982" t="str">
            <v>A</v>
          </cell>
          <cell r="J1982" t="str">
            <v>Cheow Chan</v>
          </cell>
          <cell r="K1982">
            <v>1</v>
          </cell>
          <cell r="L1982">
            <v>347</v>
          </cell>
          <cell r="M1982">
            <v>60067298</v>
          </cell>
          <cell r="N1982">
            <v>38960</v>
          </cell>
          <cell r="P1982" t="str">
            <v>FN6831D1S333818</v>
          </cell>
          <cell r="Q1982" t="str">
            <v>สภาพปกติ</v>
          </cell>
        </row>
        <row r="1983">
          <cell r="A1983">
            <v>60067299</v>
          </cell>
          <cell r="B1983">
            <v>1982</v>
          </cell>
          <cell r="C1983" t="str">
            <v>CS01/5</v>
          </cell>
          <cell r="D1983" t="str">
            <v>SPCC-SD</v>
          </cell>
          <cell r="E1983" t="str">
            <v>AF1</v>
          </cell>
          <cell r="F1983">
            <v>1</v>
          </cell>
          <cell r="G1983">
            <v>94</v>
          </cell>
          <cell r="H1983" t="str">
            <v>C</v>
          </cell>
          <cell r="I1983" t="str">
            <v>A</v>
          </cell>
          <cell r="J1983" t="str">
            <v>Cheow Chan</v>
          </cell>
          <cell r="K1983">
            <v>1</v>
          </cell>
          <cell r="L1983">
            <v>347</v>
          </cell>
          <cell r="M1983">
            <v>60067299</v>
          </cell>
          <cell r="N1983">
            <v>38960</v>
          </cell>
          <cell r="P1983" t="str">
            <v>FN6831D1S333819</v>
          </cell>
          <cell r="Q1983" t="str">
            <v>สภาพปกติ</v>
          </cell>
        </row>
        <row r="1984">
          <cell r="A1984">
            <v>60067300</v>
          </cell>
          <cell r="B1984">
            <v>1983</v>
          </cell>
          <cell r="C1984" t="str">
            <v>CS01/5</v>
          </cell>
          <cell r="D1984" t="str">
            <v>SPCC-SD</v>
          </cell>
          <cell r="E1984" t="str">
            <v>AF1</v>
          </cell>
          <cell r="F1984">
            <v>1</v>
          </cell>
          <cell r="G1984">
            <v>94</v>
          </cell>
          <cell r="H1984" t="str">
            <v>C</v>
          </cell>
          <cell r="I1984" t="str">
            <v>A</v>
          </cell>
          <cell r="J1984" t="str">
            <v>Cheow Chan</v>
          </cell>
          <cell r="K1984">
            <v>1</v>
          </cell>
          <cell r="L1984">
            <v>347</v>
          </cell>
          <cell r="M1984">
            <v>60067300</v>
          </cell>
          <cell r="N1984">
            <v>38960</v>
          </cell>
          <cell r="P1984" t="str">
            <v>FN6831D1S333820</v>
          </cell>
          <cell r="Q1984" t="str">
            <v>สภาพปกติ</v>
          </cell>
        </row>
        <row r="1985">
          <cell r="A1985">
            <v>60059888</v>
          </cell>
          <cell r="B1985">
            <v>1984</v>
          </cell>
          <cell r="C1985" t="str">
            <v>CS01/5</v>
          </cell>
          <cell r="D1985" t="str">
            <v>SPCC-SD</v>
          </cell>
          <cell r="E1985" t="str">
            <v>AF1</v>
          </cell>
          <cell r="F1985">
            <v>1</v>
          </cell>
          <cell r="G1985">
            <v>118</v>
          </cell>
          <cell r="H1985" t="str">
            <v>C</v>
          </cell>
          <cell r="I1985" t="str">
            <v>A</v>
          </cell>
          <cell r="J1985" t="str">
            <v>SAS</v>
          </cell>
          <cell r="K1985">
            <v>1</v>
          </cell>
          <cell r="L1985">
            <v>132</v>
          </cell>
          <cell r="M1985">
            <v>60059888</v>
          </cell>
          <cell r="N1985">
            <v>38862</v>
          </cell>
          <cell r="P1985" t="str">
            <v>FN6525N1S033301</v>
          </cell>
          <cell r="Q1985" t="str">
            <v>สภาพปกติ</v>
          </cell>
        </row>
        <row r="1986">
          <cell r="A1986">
            <v>60057862</v>
          </cell>
          <cell r="B1986">
            <v>1985</v>
          </cell>
          <cell r="C1986" t="str">
            <v>CS01/5</v>
          </cell>
          <cell r="D1986" t="str">
            <v>SPCC-SD</v>
          </cell>
          <cell r="E1986" t="str">
            <v>AF1</v>
          </cell>
          <cell r="F1986">
            <v>1.2</v>
          </cell>
          <cell r="G1986">
            <v>46</v>
          </cell>
          <cell r="H1986" t="str">
            <v>C</v>
          </cell>
          <cell r="I1986" t="str">
            <v>A</v>
          </cell>
          <cell r="J1986" t="str">
            <v>Cheow Chan</v>
          </cell>
          <cell r="K1986">
            <v>1</v>
          </cell>
          <cell r="L1986">
            <v>85</v>
          </cell>
          <cell r="M1986">
            <v>60057862</v>
          </cell>
          <cell r="N1986">
            <v>38836</v>
          </cell>
          <cell r="P1986" t="str">
            <v>FN6429N1S963301</v>
          </cell>
          <cell r="Q1986" t="str">
            <v>สภาพปกติ</v>
          </cell>
        </row>
        <row r="1987">
          <cell r="A1987">
            <v>60064479</v>
          </cell>
          <cell r="B1987">
            <v>1986</v>
          </cell>
          <cell r="C1987" t="str">
            <v>CS01/5</v>
          </cell>
          <cell r="D1987" t="str">
            <v>SPCC-SD</v>
          </cell>
          <cell r="E1987" t="str">
            <v>AF1</v>
          </cell>
          <cell r="F1987">
            <v>1.2</v>
          </cell>
          <cell r="G1987">
            <v>72</v>
          </cell>
          <cell r="H1987" t="str">
            <v>C</v>
          </cell>
          <cell r="I1987" t="str">
            <v>A</v>
          </cell>
          <cell r="J1987" t="str">
            <v>TSLA</v>
          </cell>
          <cell r="K1987">
            <v>1</v>
          </cell>
          <cell r="L1987">
            <v>135</v>
          </cell>
          <cell r="M1987">
            <v>60064479</v>
          </cell>
          <cell r="N1987">
            <v>38926</v>
          </cell>
          <cell r="P1987" t="str">
            <v>FN6728N1S248201</v>
          </cell>
          <cell r="Q1987" t="str">
            <v>สภาพปกติ</v>
          </cell>
        </row>
        <row r="1988">
          <cell r="A1988">
            <v>60064480</v>
          </cell>
          <cell r="B1988">
            <v>1987</v>
          </cell>
          <cell r="C1988" t="str">
            <v>CS01/5</v>
          </cell>
          <cell r="D1988" t="str">
            <v>SPCC-SD</v>
          </cell>
          <cell r="E1988" t="str">
            <v>AF1</v>
          </cell>
          <cell r="F1988">
            <v>1.2</v>
          </cell>
          <cell r="G1988">
            <v>72</v>
          </cell>
          <cell r="H1988" t="str">
            <v>C</v>
          </cell>
          <cell r="I1988" t="str">
            <v>A</v>
          </cell>
          <cell r="J1988" t="str">
            <v>TSLA</v>
          </cell>
          <cell r="K1988">
            <v>1</v>
          </cell>
          <cell r="L1988">
            <v>135</v>
          </cell>
          <cell r="M1988">
            <v>60064480</v>
          </cell>
          <cell r="N1988">
            <v>38926</v>
          </cell>
          <cell r="P1988" t="str">
            <v>FN6728N1S248202</v>
          </cell>
          <cell r="Q1988" t="str">
            <v>สภาพปกติ</v>
          </cell>
        </row>
        <row r="1989">
          <cell r="A1989">
            <v>60061821</v>
          </cell>
          <cell r="B1989">
            <v>1988</v>
          </cell>
          <cell r="C1989" t="str">
            <v>CS01/5</v>
          </cell>
          <cell r="D1989" t="str">
            <v>SPCC-SD</v>
          </cell>
          <cell r="E1989" t="str">
            <v>AF1</v>
          </cell>
          <cell r="F1989">
            <v>1.2</v>
          </cell>
          <cell r="G1989">
            <v>86</v>
          </cell>
          <cell r="H1989" t="str">
            <v>C</v>
          </cell>
          <cell r="I1989" t="str">
            <v>A</v>
          </cell>
          <cell r="J1989" t="str">
            <v>Cheow Chan</v>
          </cell>
          <cell r="K1989">
            <v>1</v>
          </cell>
          <cell r="L1989">
            <v>91</v>
          </cell>
          <cell r="M1989">
            <v>60061821</v>
          </cell>
          <cell r="N1989">
            <v>38886</v>
          </cell>
          <cell r="P1989" t="str">
            <v>FN6618N1S117501</v>
          </cell>
          <cell r="Q1989" t="str">
            <v>สภาพปกติ</v>
          </cell>
        </row>
        <row r="1990">
          <cell r="A1990">
            <v>60061822</v>
          </cell>
          <cell r="B1990">
            <v>1989</v>
          </cell>
          <cell r="C1990" t="str">
            <v>CS01/5</v>
          </cell>
          <cell r="D1990" t="str">
            <v>SPCC-SD</v>
          </cell>
          <cell r="E1990" t="str">
            <v>AF1</v>
          </cell>
          <cell r="F1990">
            <v>1.2</v>
          </cell>
          <cell r="G1990">
            <v>86</v>
          </cell>
          <cell r="H1990" t="str">
            <v>C</v>
          </cell>
          <cell r="I1990" t="str">
            <v>A</v>
          </cell>
          <cell r="J1990" t="str">
            <v>Cheow Chan</v>
          </cell>
          <cell r="K1990">
            <v>1</v>
          </cell>
          <cell r="L1990">
            <v>91</v>
          </cell>
          <cell r="M1990">
            <v>60061822</v>
          </cell>
          <cell r="N1990">
            <v>38886</v>
          </cell>
          <cell r="P1990" t="str">
            <v>FN6618N1S117502</v>
          </cell>
          <cell r="Q1990" t="str">
            <v>สภาพปกติ</v>
          </cell>
        </row>
        <row r="1991">
          <cell r="A1991">
            <v>60063396</v>
          </cell>
          <cell r="B1991">
            <v>1990</v>
          </cell>
          <cell r="C1991" t="str">
            <v>CS01/5</v>
          </cell>
          <cell r="D1991" t="str">
            <v>SPCC-SD</v>
          </cell>
          <cell r="E1991" t="str">
            <v>AF1</v>
          </cell>
          <cell r="F1991">
            <v>1.2</v>
          </cell>
          <cell r="G1991">
            <v>124</v>
          </cell>
          <cell r="H1991" t="str">
            <v>C</v>
          </cell>
          <cell r="I1991" t="str">
            <v>A</v>
          </cell>
          <cell r="J1991" t="str">
            <v>AAA</v>
          </cell>
          <cell r="K1991">
            <v>1</v>
          </cell>
          <cell r="L1991">
            <v>340</v>
          </cell>
          <cell r="M1991">
            <v>60063396</v>
          </cell>
          <cell r="N1991">
            <v>38910</v>
          </cell>
          <cell r="P1991" t="str">
            <v>FN6712D1S192101</v>
          </cell>
          <cell r="Q1991" t="str">
            <v>สภาพปกติ</v>
          </cell>
        </row>
        <row r="1992">
          <cell r="A1992">
            <v>60055037</v>
          </cell>
          <cell r="B1992">
            <v>1991</v>
          </cell>
          <cell r="C1992" t="str">
            <v>CS01/5</v>
          </cell>
          <cell r="D1992" t="str">
            <v>SPCC-SD</v>
          </cell>
          <cell r="E1992" t="str">
            <v>AF1</v>
          </cell>
          <cell r="F1992">
            <v>1.2</v>
          </cell>
          <cell r="G1992">
            <v>140</v>
          </cell>
          <cell r="H1992" t="str">
            <v>C</v>
          </cell>
          <cell r="I1992" t="str">
            <v>A</v>
          </cell>
          <cell r="J1992" t="str">
            <v>Cheow Chan</v>
          </cell>
          <cell r="K1992">
            <v>1</v>
          </cell>
          <cell r="L1992">
            <v>300</v>
          </cell>
          <cell r="M1992">
            <v>60055037</v>
          </cell>
          <cell r="N1992">
            <v>38796</v>
          </cell>
          <cell r="P1992" t="str">
            <v>FN6320D1S860001</v>
          </cell>
          <cell r="Q1992" t="str">
            <v>สภาพปกติ</v>
          </cell>
        </row>
        <row r="1993">
          <cell r="A1993">
            <v>60047244</v>
          </cell>
          <cell r="B1993">
            <v>1992</v>
          </cell>
          <cell r="C1993" t="str">
            <v>CS01/5</v>
          </cell>
          <cell r="D1993" t="str">
            <v>SPCC-SD</v>
          </cell>
          <cell r="E1993" t="str">
            <v>AF1</v>
          </cell>
          <cell r="F1993">
            <v>1.2</v>
          </cell>
          <cell r="G1993">
            <v>160</v>
          </cell>
          <cell r="H1993" t="str">
            <v>C</v>
          </cell>
          <cell r="I1993" t="str">
            <v>A</v>
          </cell>
          <cell r="J1993" t="str">
            <v>TSLA</v>
          </cell>
          <cell r="K1993">
            <v>1</v>
          </cell>
          <cell r="L1993">
            <v>105</v>
          </cell>
          <cell r="M1993">
            <v>60047244</v>
          </cell>
          <cell r="N1993" t="str">
            <v>12/C/2005</v>
          </cell>
          <cell r="P1993" t="str">
            <v>FN5C12D1S550501</v>
          </cell>
          <cell r="Q1993" t="str">
            <v>แผ่นรองและสายรัดเป็นสนิม</v>
          </cell>
        </row>
        <row r="1994">
          <cell r="A1994">
            <v>60065227</v>
          </cell>
          <cell r="B1994">
            <v>1993</v>
          </cell>
          <cell r="C1994" t="str">
            <v>CS01/5</v>
          </cell>
          <cell r="D1994" t="str">
            <v>SPCC-SD</v>
          </cell>
          <cell r="E1994" t="str">
            <v>AF1</v>
          </cell>
          <cell r="F1994">
            <v>1.2</v>
          </cell>
          <cell r="G1994">
            <v>98</v>
          </cell>
          <cell r="H1994" t="str">
            <v>C</v>
          </cell>
          <cell r="I1994" t="str">
            <v>A</v>
          </cell>
          <cell r="J1994" t="str">
            <v>SAS</v>
          </cell>
          <cell r="K1994">
            <v>1</v>
          </cell>
          <cell r="L1994">
            <v>378</v>
          </cell>
          <cell r="M1994">
            <v>60065227</v>
          </cell>
          <cell r="N1994">
            <v>38931</v>
          </cell>
          <cell r="O1994" t="str">
            <v>R26717SUD009</v>
          </cell>
          <cell r="P1994" t="str">
            <v>FN6802D1S236301</v>
          </cell>
          <cell r="Q1994" t="str">
            <v>สภาพปกติ</v>
          </cell>
        </row>
        <row r="1995">
          <cell r="A1995">
            <v>60063235</v>
          </cell>
          <cell r="B1995">
            <v>1994</v>
          </cell>
          <cell r="C1995" t="str">
            <v>CS01/5</v>
          </cell>
          <cell r="D1995" t="str">
            <v>SPCC-SD</v>
          </cell>
          <cell r="E1995" t="str">
            <v>AF1</v>
          </cell>
          <cell r="F1995">
            <v>1.2</v>
          </cell>
          <cell r="G1995">
            <v>235</v>
          </cell>
          <cell r="H1995" t="str">
            <v>C</v>
          </cell>
          <cell r="I1995" t="str">
            <v>A</v>
          </cell>
          <cell r="J1995" t="str">
            <v>SAS</v>
          </cell>
          <cell r="K1995">
            <v>1</v>
          </cell>
          <cell r="L1995">
            <v>268</v>
          </cell>
          <cell r="M1995">
            <v>60063235</v>
          </cell>
          <cell r="N1995">
            <v>38905</v>
          </cell>
          <cell r="O1995" t="str">
            <v>126520TCD001</v>
          </cell>
          <cell r="P1995" t="str">
            <v>FN6707D1S183201</v>
          </cell>
          <cell r="Q1995" t="str">
            <v>สภาพปกติ</v>
          </cell>
        </row>
        <row r="1996">
          <cell r="A1996">
            <v>60063732</v>
          </cell>
          <cell r="B1996">
            <v>1995</v>
          </cell>
          <cell r="C1996" t="str">
            <v>CS01/5</v>
          </cell>
          <cell r="D1996" t="str">
            <v>SPCC-SD</v>
          </cell>
          <cell r="E1996" t="str">
            <v>AF1</v>
          </cell>
          <cell r="F1996">
            <v>1.4</v>
          </cell>
          <cell r="G1996">
            <v>104</v>
          </cell>
          <cell r="H1996" t="str">
            <v>C</v>
          </cell>
          <cell r="I1996" t="str">
            <v>A</v>
          </cell>
          <cell r="J1996" t="str">
            <v>Cheow Chan</v>
          </cell>
          <cell r="K1996">
            <v>1</v>
          </cell>
          <cell r="L1996">
            <v>126</v>
          </cell>
          <cell r="M1996">
            <v>60063732</v>
          </cell>
          <cell r="N1996">
            <v>38915</v>
          </cell>
          <cell r="P1996" t="str">
            <v>FN6717D1S207201</v>
          </cell>
          <cell r="Q1996" t="str">
            <v>สภาพปกติ</v>
          </cell>
        </row>
        <row r="1997">
          <cell r="A1997">
            <v>60054560</v>
          </cell>
          <cell r="B1997">
            <v>1996</v>
          </cell>
          <cell r="C1997" t="str">
            <v>CS01/5</v>
          </cell>
          <cell r="D1997" t="str">
            <v>SPCC-SD</v>
          </cell>
          <cell r="E1997" t="str">
            <v>AF1</v>
          </cell>
          <cell r="F1997">
            <v>1.4</v>
          </cell>
          <cell r="G1997">
            <v>134</v>
          </cell>
          <cell r="H1997" t="str">
            <v>C</v>
          </cell>
          <cell r="I1997" t="str">
            <v>A</v>
          </cell>
          <cell r="J1997" t="str">
            <v>TSAL</v>
          </cell>
          <cell r="K1997">
            <v>1</v>
          </cell>
          <cell r="L1997">
            <v>108</v>
          </cell>
          <cell r="M1997">
            <v>60054560</v>
          </cell>
          <cell r="N1997">
            <v>38791</v>
          </cell>
          <cell r="P1997" t="str">
            <v>FN6315D2S835701</v>
          </cell>
          <cell r="Q1997" t="str">
            <v>แผ่นรองและสายรัดเป็นสนิม</v>
          </cell>
        </row>
        <row r="1998">
          <cell r="A1998">
            <v>60054561</v>
          </cell>
          <cell r="B1998">
            <v>1997</v>
          </cell>
          <cell r="C1998" t="str">
            <v>CS01/5</v>
          </cell>
          <cell r="D1998" t="str">
            <v>SPCC-SD</v>
          </cell>
          <cell r="E1998" t="str">
            <v>AF1</v>
          </cell>
          <cell r="F1998">
            <v>1.4</v>
          </cell>
          <cell r="G1998">
            <v>134</v>
          </cell>
          <cell r="H1998" t="str">
            <v>C</v>
          </cell>
          <cell r="I1998" t="str">
            <v>A</v>
          </cell>
          <cell r="J1998" t="str">
            <v>TSAL</v>
          </cell>
          <cell r="K1998">
            <v>1</v>
          </cell>
          <cell r="L1998">
            <v>108</v>
          </cell>
          <cell r="M1998">
            <v>60054561</v>
          </cell>
          <cell r="N1998">
            <v>38791</v>
          </cell>
          <cell r="P1998" t="str">
            <v>FN6315D2S835702</v>
          </cell>
          <cell r="Q1998" t="str">
            <v>แผ่นรองและสายรัดเป็นสนิม</v>
          </cell>
        </row>
        <row r="1999">
          <cell r="A1999">
            <v>60054562</v>
          </cell>
          <cell r="B1999">
            <v>1998</v>
          </cell>
          <cell r="C1999" t="str">
            <v>CS01/5</v>
          </cell>
          <cell r="D1999" t="str">
            <v>SPCC-SD</v>
          </cell>
          <cell r="E1999" t="str">
            <v>AF1</v>
          </cell>
          <cell r="F1999">
            <v>1.4</v>
          </cell>
          <cell r="G1999">
            <v>134</v>
          </cell>
          <cell r="H1999" t="str">
            <v>C</v>
          </cell>
          <cell r="I1999" t="str">
            <v>A</v>
          </cell>
          <cell r="J1999" t="str">
            <v>TSAL</v>
          </cell>
          <cell r="K1999">
            <v>1</v>
          </cell>
          <cell r="L1999">
            <v>108</v>
          </cell>
          <cell r="M1999">
            <v>60054562</v>
          </cell>
          <cell r="N1999">
            <v>38791</v>
          </cell>
          <cell r="P1999" t="str">
            <v>FN6315D2S835703</v>
          </cell>
          <cell r="Q1999" t="str">
            <v>แผ่นรองและสายรัดเป็นสนิม</v>
          </cell>
        </row>
        <row r="2000">
          <cell r="A2000">
            <v>60065668</v>
          </cell>
          <cell r="B2000">
            <v>1999</v>
          </cell>
          <cell r="C2000" t="str">
            <v>CS01/5</v>
          </cell>
          <cell r="D2000" t="str">
            <v>SPCC-SD</v>
          </cell>
          <cell r="E2000" t="str">
            <v>AF1</v>
          </cell>
          <cell r="F2000">
            <v>1.6</v>
          </cell>
          <cell r="G2000">
            <v>37</v>
          </cell>
          <cell r="H2000" t="str">
            <v>C</v>
          </cell>
          <cell r="I2000" t="str">
            <v>A</v>
          </cell>
          <cell r="J2000" t="str">
            <v>Cheow Chan</v>
          </cell>
          <cell r="K2000">
            <v>1</v>
          </cell>
          <cell r="L2000">
            <v>132</v>
          </cell>
          <cell r="M2000">
            <v>60065668</v>
          </cell>
          <cell r="N2000">
            <v>38935</v>
          </cell>
          <cell r="P2000" t="str">
            <v>FN6806N1S273101</v>
          </cell>
          <cell r="Q2000" t="str">
            <v>สภาพปกติ</v>
          </cell>
        </row>
        <row r="2001">
          <cell r="A2001">
            <v>60056276</v>
          </cell>
          <cell r="B2001">
            <v>2000</v>
          </cell>
          <cell r="C2001" t="str">
            <v>CS01/5</v>
          </cell>
          <cell r="D2001" t="str">
            <v>SPCC-SD</v>
          </cell>
          <cell r="E2001" t="str">
            <v>AF1</v>
          </cell>
          <cell r="F2001">
            <v>1.6</v>
          </cell>
          <cell r="G2001">
            <v>49</v>
          </cell>
          <cell r="H2001" t="str">
            <v>C</v>
          </cell>
          <cell r="I2001" t="str">
            <v>A</v>
          </cell>
          <cell r="J2001" t="str">
            <v>TSAL</v>
          </cell>
          <cell r="K2001">
            <v>1</v>
          </cell>
          <cell r="L2001">
            <v>110</v>
          </cell>
          <cell r="M2001">
            <v>60056276</v>
          </cell>
          <cell r="N2001">
            <v>38812</v>
          </cell>
          <cell r="P2001" t="str">
            <v>FN6405N2S914901</v>
          </cell>
        </row>
        <row r="2002">
          <cell r="A2002">
            <v>60061603</v>
          </cell>
          <cell r="B2002">
            <v>2001</v>
          </cell>
          <cell r="C2002" t="str">
            <v>CS01/5</v>
          </cell>
          <cell r="D2002" t="str">
            <v>SPCC-SD</v>
          </cell>
          <cell r="E2002" t="str">
            <v>AF1</v>
          </cell>
          <cell r="F2002">
            <v>1.6</v>
          </cell>
          <cell r="G2002">
            <v>49</v>
          </cell>
          <cell r="H2002" t="str">
            <v>C</v>
          </cell>
          <cell r="I2002" t="str">
            <v>A</v>
          </cell>
          <cell r="J2002" t="str">
            <v>TSAL</v>
          </cell>
          <cell r="K2002">
            <v>1</v>
          </cell>
          <cell r="L2002">
            <v>67</v>
          </cell>
          <cell r="M2002">
            <v>60061603</v>
          </cell>
          <cell r="N2002">
            <v>38882</v>
          </cell>
          <cell r="P2002" t="str">
            <v>FN6614D1S103301</v>
          </cell>
          <cell r="Q2002" t="str">
            <v>แผ่นรองและสายรัดเป็นสนิม</v>
          </cell>
        </row>
        <row r="2003">
          <cell r="A2003">
            <v>60061604</v>
          </cell>
          <cell r="B2003">
            <v>2002</v>
          </cell>
          <cell r="C2003" t="str">
            <v>CS01/5</v>
          </cell>
          <cell r="D2003" t="str">
            <v>SPCC-SD</v>
          </cell>
          <cell r="E2003" t="str">
            <v>AF1</v>
          </cell>
          <cell r="F2003">
            <v>1.6</v>
          </cell>
          <cell r="G2003">
            <v>49</v>
          </cell>
          <cell r="H2003" t="str">
            <v>C</v>
          </cell>
          <cell r="I2003" t="str">
            <v>A</v>
          </cell>
          <cell r="J2003" t="str">
            <v>TSAL</v>
          </cell>
          <cell r="K2003">
            <v>1</v>
          </cell>
          <cell r="L2003">
            <v>67</v>
          </cell>
          <cell r="M2003">
            <v>60061604</v>
          </cell>
          <cell r="N2003">
            <v>38882</v>
          </cell>
          <cell r="P2003" t="str">
            <v>FN6614D1S103302</v>
          </cell>
          <cell r="Q2003" t="str">
            <v>แผ่นรองและสายรัดเป็นสนิม</v>
          </cell>
        </row>
        <row r="2004">
          <cell r="A2004">
            <v>60061605</v>
          </cell>
          <cell r="B2004">
            <v>2003</v>
          </cell>
          <cell r="C2004" t="str">
            <v>CS01/5</v>
          </cell>
          <cell r="D2004" t="str">
            <v>SPCC-SD</v>
          </cell>
          <cell r="E2004" t="str">
            <v>AF1</v>
          </cell>
          <cell r="F2004">
            <v>1.6</v>
          </cell>
          <cell r="G2004">
            <v>49</v>
          </cell>
          <cell r="H2004" t="str">
            <v>C</v>
          </cell>
          <cell r="I2004" t="str">
            <v>A</v>
          </cell>
          <cell r="J2004" t="str">
            <v>TSAL</v>
          </cell>
          <cell r="K2004">
            <v>1</v>
          </cell>
          <cell r="L2004">
            <v>67</v>
          </cell>
          <cell r="M2004">
            <v>60061605</v>
          </cell>
          <cell r="N2004">
            <v>38882</v>
          </cell>
          <cell r="P2004" t="str">
            <v>FN6614D1S103303</v>
          </cell>
          <cell r="Q2004" t="str">
            <v>แผ่นรองและสายรัดเป็นสนิม</v>
          </cell>
        </row>
        <row r="2005">
          <cell r="A2005">
            <v>60061606</v>
          </cell>
          <cell r="B2005">
            <v>2004</v>
          </cell>
          <cell r="C2005" t="str">
            <v>CS01/5</v>
          </cell>
          <cell r="D2005" t="str">
            <v>SPCC-SD</v>
          </cell>
          <cell r="E2005" t="str">
            <v>AF1</v>
          </cell>
          <cell r="F2005">
            <v>1.6</v>
          </cell>
          <cell r="G2005">
            <v>49</v>
          </cell>
          <cell r="H2005" t="str">
            <v>C</v>
          </cell>
          <cell r="I2005" t="str">
            <v>A</v>
          </cell>
          <cell r="J2005" t="str">
            <v>TSAL</v>
          </cell>
          <cell r="K2005">
            <v>1</v>
          </cell>
          <cell r="L2005">
            <v>67</v>
          </cell>
          <cell r="M2005">
            <v>60061606</v>
          </cell>
          <cell r="N2005">
            <v>38882</v>
          </cell>
          <cell r="P2005" t="str">
            <v>FN6614D1S103304</v>
          </cell>
          <cell r="Q2005" t="str">
            <v>แผ่นรองและสายรัดเป็นสนิม</v>
          </cell>
        </row>
        <row r="2006">
          <cell r="A2006">
            <v>60061607</v>
          </cell>
          <cell r="B2006">
            <v>2005</v>
          </cell>
          <cell r="C2006" t="str">
            <v>CS01/5</v>
          </cell>
          <cell r="D2006" t="str">
            <v>SPCC-SD</v>
          </cell>
          <cell r="E2006" t="str">
            <v>AF1</v>
          </cell>
          <cell r="F2006">
            <v>1.6</v>
          </cell>
          <cell r="G2006">
            <v>49</v>
          </cell>
          <cell r="H2006" t="str">
            <v>C</v>
          </cell>
          <cell r="I2006" t="str">
            <v>A</v>
          </cell>
          <cell r="J2006" t="str">
            <v>TSAL</v>
          </cell>
          <cell r="K2006">
            <v>1</v>
          </cell>
          <cell r="L2006">
            <v>67</v>
          </cell>
          <cell r="M2006">
            <v>60061607</v>
          </cell>
          <cell r="N2006">
            <v>38882</v>
          </cell>
          <cell r="P2006" t="str">
            <v>FN6614D1S103305</v>
          </cell>
          <cell r="Q2006" t="str">
            <v>แผ่นรองและสายรัดเป็นสนิม</v>
          </cell>
        </row>
        <row r="2007">
          <cell r="A2007">
            <v>60061608</v>
          </cell>
          <cell r="B2007">
            <v>2006</v>
          </cell>
          <cell r="C2007" t="str">
            <v>CS01/5</v>
          </cell>
          <cell r="D2007" t="str">
            <v>SPCC-SD</v>
          </cell>
          <cell r="E2007" t="str">
            <v>AF1</v>
          </cell>
          <cell r="F2007">
            <v>1.6</v>
          </cell>
          <cell r="G2007">
            <v>49</v>
          </cell>
          <cell r="H2007" t="str">
            <v>C</v>
          </cell>
          <cell r="I2007" t="str">
            <v>A</v>
          </cell>
          <cell r="J2007" t="str">
            <v>TSAL</v>
          </cell>
          <cell r="K2007">
            <v>1</v>
          </cell>
          <cell r="L2007">
            <v>67</v>
          </cell>
          <cell r="M2007">
            <v>60061608</v>
          </cell>
          <cell r="N2007">
            <v>38882</v>
          </cell>
          <cell r="P2007" t="str">
            <v>FN6614D1S103306</v>
          </cell>
          <cell r="Q2007" t="str">
            <v>แผ่นรองและสายรัดเป็นสนิม</v>
          </cell>
        </row>
        <row r="2008">
          <cell r="A2008">
            <v>60053799</v>
          </cell>
          <cell r="B2008">
            <v>2007</v>
          </cell>
          <cell r="C2008" t="str">
            <v>CS01/5</v>
          </cell>
          <cell r="D2008" t="str">
            <v>SPCC-SD</v>
          </cell>
          <cell r="E2008" t="str">
            <v>AF1</v>
          </cell>
          <cell r="F2008">
            <v>1.6</v>
          </cell>
          <cell r="G2008">
            <v>74</v>
          </cell>
          <cell r="H2008" t="str">
            <v>C</v>
          </cell>
          <cell r="I2008" t="str">
            <v>A</v>
          </cell>
          <cell r="J2008" t="str">
            <v>TSAL</v>
          </cell>
          <cell r="K2008">
            <v>1</v>
          </cell>
          <cell r="L2008">
            <v>119</v>
          </cell>
          <cell r="M2008">
            <v>60053799</v>
          </cell>
          <cell r="N2008">
            <v>38786</v>
          </cell>
          <cell r="P2008" t="str">
            <v>FN6310N2S829701</v>
          </cell>
          <cell r="Q2008" t="str">
            <v>สภาพปกติ</v>
          </cell>
        </row>
        <row r="2009">
          <cell r="A2009">
            <v>60053801</v>
          </cell>
          <cell r="B2009">
            <v>2008</v>
          </cell>
          <cell r="C2009" t="str">
            <v>CS01/5</v>
          </cell>
          <cell r="D2009" t="str">
            <v>SPCC-SD</v>
          </cell>
          <cell r="E2009" t="str">
            <v>AF1</v>
          </cell>
          <cell r="F2009">
            <v>1.6</v>
          </cell>
          <cell r="G2009">
            <v>74</v>
          </cell>
          <cell r="H2009" t="str">
            <v>C</v>
          </cell>
          <cell r="I2009" t="str">
            <v>A</v>
          </cell>
          <cell r="J2009" t="str">
            <v>TSAL</v>
          </cell>
          <cell r="K2009">
            <v>1</v>
          </cell>
          <cell r="L2009">
            <v>119</v>
          </cell>
          <cell r="M2009">
            <v>60053801</v>
          </cell>
          <cell r="N2009">
            <v>38786</v>
          </cell>
          <cell r="P2009" t="str">
            <v>FN6310N2S829702</v>
          </cell>
          <cell r="Q2009" t="str">
            <v>สภาพปกติ</v>
          </cell>
        </row>
        <row r="2010">
          <cell r="A2010">
            <v>60058062</v>
          </cell>
          <cell r="B2010">
            <v>2009</v>
          </cell>
          <cell r="C2010" t="str">
            <v>CS01/5</v>
          </cell>
          <cell r="D2010" t="str">
            <v>SPCC-SD</v>
          </cell>
          <cell r="E2010" t="str">
            <v>AF1</v>
          </cell>
          <cell r="F2010">
            <v>1.6</v>
          </cell>
          <cell r="G2010">
            <v>81</v>
          </cell>
          <cell r="H2010" t="str">
            <v>C</v>
          </cell>
          <cell r="I2010" t="str">
            <v>A</v>
          </cell>
          <cell r="J2010" t="str">
            <v>Thai Industrial</v>
          </cell>
          <cell r="K2010">
            <v>1</v>
          </cell>
          <cell r="L2010">
            <v>188</v>
          </cell>
          <cell r="M2010">
            <v>60058062</v>
          </cell>
          <cell r="N2010">
            <v>38840</v>
          </cell>
          <cell r="P2010" t="str">
            <v>FN6503N1S976701</v>
          </cell>
          <cell r="Q2010" t="str">
            <v>สภาพปกติ</v>
          </cell>
        </row>
        <row r="2011">
          <cell r="A2011">
            <v>60058064</v>
          </cell>
          <cell r="B2011">
            <v>2010</v>
          </cell>
          <cell r="C2011" t="str">
            <v>CS01/5</v>
          </cell>
          <cell r="D2011" t="str">
            <v>SPCC-SD</v>
          </cell>
          <cell r="E2011" t="str">
            <v>AF1</v>
          </cell>
          <cell r="F2011">
            <v>1.6</v>
          </cell>
          <cell r="G2011">
            <v>81</v>
          </cell>
          <cell r="H2011" t="str">
            <v>C</v>
          </cell>
          <cell r="I2011" t="str">
            <v>A</v>
          </cell>
          <cell r="J2011" t="str">
            <v>Thai Industrial</v>
          </cell>
          <cell r="K2011">
            <v>1</v>
          </cell>
          <cell r="L2011">
            <v>188</v>
          </cell>
          <cell r="M2011">
            <v>60058064</v>
          </cell>
          <cell r="N2011">
            <v>38840</v>
          </cell>
          <cell r="P2011" t="str">
            <v>FN6503N1S976702</v>
          </cell>
          <cell r="Q2011" t="str">
            <v>สภาพปกติ</v>
          </cell>
        </row>
        <row r="2012">
          <cell r="A2012">
            <v>60055257</v>
          </cell>
          <cell r="B2012">
            <v>2011</v>
          </cell>
          <cell r="C2012" t="str">
            <v>CS01/5</v>
          </cell>
          <cell r="D2012" t="str">
            <v>SPCC-SD</v>
          </cell>
          <cell r="E2012" t="str">
            <v>AF1</v>
          </cell>
          <cell r="F2012">
            <v>1.6</v>
          </cell>
          <cell r="G2012">
            <v>82</v>
          </cell>
          <cell r="H2012" t="str">
            <v>C</v>
          </cell>
          <cell r="I2012" t="str">
            <v>A</v>
          </cell>
          <cell r="J2012" t="str">
            <v>TSA</v>
          </cell>
          <cell r="K2012">
            <v>1</v>
          </cell>
          <cell r="L2012">
            <v>300</v>
          </cell>
          <cell r="M2012">
            <v>60055257</v>
          </cell>
          <cell r="N2012">
            <v>38798</v>
          </cell>
          <cell r="P2012" t="str">
            <v>FN6322N2S871601</v>
          </cell>
          <cell r="Q2012" t="str">
            <v>สภาพปกติ</v>
          </cell>
        </row>
        <row r="2013">
          <cell r="A2013">
            <v>60055258</v>
          </cell>
          <cell r="B2013">
            <v>2012</v>
          </cell>
          <cell r="C2013" t="str">
            <v>CS01/5</v>
          </cell>
          <cell r="D2013" t="str">
            <v>SPCC-SD</v>
          </cell>
          <cell r="E2013" t="str">
            <v>AF1</v>
          </cell>
          <cell r="F2013">
            <v>1.6</v>
          </cell>
          <cell r="G2013">
            <v>82</v>
          </cell>
          <cell r="H2013" t="str">
            <v>C</v>
          </cell>
          <cell r="I2013" t="str">
            <v>A</v>
          </cell>
          <cell r="J2013" t="str">
            <v>TSA</v>
          </cell>
          <cell r="K2013">
            <v>1</v>
          </cell>
          <cell r="L2013">
            <v>300</v>
          </cell>
          <cell r="M2013">
            <v>60055258</v>
          </cell>
          <cell r="N2013">
            <v>38798</v>
          </cell>
          <cell r="P2013" t="str">
            <v>FN6322N2S871602</v>
          </cell>
          <cell r="Q2013" t="str">
            <v>สภาพปกติ</v>
          </cell>
        </row>
        <row r="2014">
          <cell r="A2014">
            <v>60050195</v>
          </cell>
          <cell r="B2014">
            <v>2013</v>
          </cell>
          <cell r="C2014" t="str">
            <v>CS01/5</v>
          </cell>
          <cell r="D2014" t="str">
            <v>SPCC-SD</v>
          </cell>
          <cell r="E2014" t="str">
            <v>AF1</v>
          </cell>
          <cell r="F2014">
            <v>1.6</v>
          </cell>
          <cell r="G2014">
            <v>96</v>
          </cell>
          <cell r="H2014" t="str">
            <v>C</v>
          </cell>
          <cell r="I2014" t="str">
            <v>A</v>
          </cell>
          <cell r="J2014" t="str">
            <v>TSAL</v>
          </cell>
          <cell r="K2014">
            <v>1</v>
          </cell>
          <cell r="L2014">
            <v>200</v>
          </cell>
          <cell r="M2014">
            <v>60050195</v>
          </cell>
          <cell r="N2014">
            <v>38742</v>
          </cell>
          <cell r="P2014" t="str">
            <v>FN6125N1S671001</v>
          </cell>
          <cell r="Q2014" t="str">
            <v>สภาพปกติ</v>
          </cell>
        </row>
        <row r="2015">
          <cell r="A2015">
            <v>60050196</v>
          </cell>
          <cell r="B2015">
            <v>2014</v>
          </cell>
          <cell r="C2015" t="str">
            <v>CS01/5</v>
          </cell>
          <cell r="D2015" t="str">
            <v>SPCC-SD</v>
          </cell>
          <cell r="E2015" t="str">
            <v>AF1</v>
          </cell>
          <cell r="F2015">
            <v>1.6</v>
          </cell>
          <cell r="G2015">
            <v>96</v>
          </cell>
          <cell r="H2015" t="str">
            <v>C</v>
          </cell>
          <cell r="I2015" t="str">
            <v>A</v>
          </cell>
          <cell r="J2015" t="str">
            <v>TSAL</v>
          </cell>
          <cell r="K2015">
            <v>1</v>
          </cell>
          <cell r="L2015">
            <v>200</v>
          </cell>
          <cell r="M2015">
            <v>60050196</v>
          </cell>
          <cell r="N2015">
            <v>38742</v>
          </cell>
          <cell r="P2015" t="str">
            <v>FN6125N1S671002</v>
          </cell>
          <cell r="Q2015" t="str">
            <v>สภาพปกติ</v>
          </cell>
        </row>
        <row r="2016">
          <cell r="A2016">
            <v>60053805</v>
          </cell>
          <cell r="B2016">
            <v>2015</v>
          </cell>
          <cell r="C2016" t="str">
            <v>CS01/5</v>
          </cell>
          <cell r="D2016" t="str">
            <v>SPCC-SD</v>
          </cell>
          <cell r="E2016" t="str">
            <v>AF1</v>
          </cell>
          <cell r="F2016">
            <v>1.6</v>
          </cell>
          <cell r="G2016">
            <v>96</v>
          </cell>
          <cell r="H2016" t="str">
            <v>C</v>
          </cell>
          <cell r="I2016" t="str">
            <v>A</v>
          </cell>
          <cell r="J2016" t="str">
            <v>TSAL</v>
          </cell>
          <cell r="K2016">
            <v>1</v>
          </cell>
          <cell r="L2016">
            <v>140</v>
          </cell>
          <cell r="M2016">
            <v>60053805</v>
          </cell>
          <cell r="N2016">
            <v>38786</v>
          </cell>
          <cell r="P2016" t="str">
            <v>FN6310D2S829701</v>
          </cell>
          <cell r="Q2016" t="str">
            <v>แผ่นรองและสายรัดเป็นสนิม</v>
          </cell>
        </row>
        <row r="2017">
          <cell r="A2017">
            <v>60045571</v>
          </cell>
          <cell r="B2017">
            <v>2016</v>
          </cell>
          <cell r="C2017" t="str">
            <v>CS01/5</v>
          </cell>
          <cell r="D2017" t="str">
            <v>SPCC-SD</v>
          </cell>
          <cell r="E2017" t="str">
            <v>AF1</v>
          </cell>
          <cell r="F2017">
            <v>1.6</v>
          </cell>
          <cell r="G2017">
            <v>104</v>
          </cell>
          <cell r="H2017" t="str">
            <v>C</v>
          </cell>
          <cell r="I2017" t="str">
            <v>A</v>
          </cell>
          <cell r="J2017" t="str">
            <v>Alfar Cast</v>
          </cell>
          <cell r="K2017">
            <v>1</v>
          </cell>
          <cell r="L2017">
            <v>320</v>
          </cell>
          <cell r="M2017">
            <v>60045571</v>
          </cell>
          <cell r="N2017" t="str">
            <v>22/B/2005</v>
          </cell>
          <cell r="P2017" t="str">
            <v>FN5B22D1S491501</v>
          </cell>
          <cell r="Q2017" t="str">
            <v>แผ่นรองและสายรัดเป็นสนิม</v>
          </cell>
        </row>
        <row r="2018">
          <cell r="A2018">
            <v>60064105</v>
          </cell>
          <cell r="B2018">
            <v>2017</v>
          </cell>
          <cell r="C2018" t="str">
            <v>CS01/5</v>
          </cell>
          <cell r="D2018" t="str">
            <v>SPCC-SD</v>
          </cell>
          <cell r="E2018" t="str">
            <v>AF1</v>
          </cell>
          <cell r="F2018">
            <v>1.6</v>
          </cell>
          <cell r="G2018">
            <v>111</v>
          </cell>
          <cell r="H2018" t="str">
            <v>C</v>
          </cell>
          <cell r="I2018" t="str">
            <v>A</v>
          </cell>
          <cell r="J2018" t="str">
            <v>K.S. Part</v>
          </cell>
          <cell r="K2018">
            <v>1</v>
          </cell>
          <cell r="L2018">
            <v>240</v>
          </cell>
          <cell r="M2018">
            <v>60064105</v>
          </cell>
          <cell r="N2018">
            <v>38919</v>
          </cell>
          <cell r="P2018" t="str">
            <v>FN6721D2S221801</v>
          </cell>
          <cell r="Q2018" t="str">
            <v>สภาพปกติ</v>
          </cell>
        </row>
        <row r="2019">
          <cell r="A2019">
            <v>60064106</v>
          </cell>
          <cell r="B2019">
            <v>2018</v>
          </cell>
          <cell r="C2019" t="str">
            <v>CS01/5</v>
          </cell>
          <cell r="D2019" t="str">
            <v>SPCC-SD</v>
          </cell>
          <cell r="E2019" t="str">
            <v>AF1</v>
          </cell>
          <cell r="F2019">
            <v>1.6</v>
          </cell>
          <cell r="G2019">
            <v>111</v>
          </cell>
          <cell r="H2019" t="str">
            <v>C</v>
          </cell>
          <cell r="I2019" t="str">
            <v>A</v>
          </cell>
          <cell r="J2019" t="str">
            <v>K.S. Part</v>
          </cell>
          <cell r="K2019">
            <v>1</v>
          </cell>
          <cell r="L2019">
            <v>240</v>
          </cell>
          <cell r="M2019">
            <v>60064106</v>
          </cell>
          <cell r="N2019">
            <v>38919</v>
          </cell>
          <cell r="P2019" t="str">
            <v>FN6721D2S221802</v>
          </cell>
          <cell r="Q2019" t="str">
            <v>สภาพปกติ</v>
          </cell>
        </row>
        <row r="2020">
          <cell r="A2020">
            <v>60054679</v>
          </cell>
          <cell r="B2020">
            <v>2019</v>
          </cell>
          <cell r="C2020" t="str">
            <v>CS01/5</v>
          </cell>
          <cell r="D2020" t="str">
            <v>SPCC-SD</v>
          </cell>
          <cell r="E2020" t="str">
            <v>AF1</v>
          </cell>
          <cell r="F2020">
            <v>1.6</v>
          </cell>
          <cell r="G2020">
            <v>306</v>
          </cell>
          <cell r="H2020" t="str">
            <v>C</v>
          </cell>
          <cell r="I2020" t="str">
            <v>A</v>
          </cell>
          <cell r="J2020" t="str">
            <v>CCK</v>
          </cell>
          <cell r="K2020">
            <v>1</v>
          </cell>
          <cell r="L2020">
            <v>1200</v>
          </cell>
          <cell r="M2020">
            <v>60054679</v>
          </cell>
          <cell r="N2020">
            <v>38792</v>
          </cell>
          <cell r="P2020" t="str">
            <v>FN6316D1S850101</v>
          </cell>
          <cell r="Q2020" t="str">
            <v>กระดาษฉีกขาดและเป็นสนิม</v>
          </cell>
        </row>
        <row r="2021">
          <cell r="A2021">
            <v>60055904</v>
          </cell>
          <cell r="B2021">
            <v>2020</v>
          </cell>
          <cell r="C2021" t="str">
            <v>CS01/5</v>
          </cell>
          <cell r="D2021" t="str">
            <v>SPCC-SD</v>
          </cell>
          <cell r="E2021" t="str">
            <v>AF1</v>
          </cell>
          <cell r="F2021">
            <v>1.6</v>
          </cell>
          <cell r="G2021">
            <v>313</v>
          </cell>
          <cell r="H2021" t="str">
            <v>C</v>
          </cell>
          <cell r="I2021" t="str">
            <v>A</v>
          </cell>
          <cell r="J2021" t="str">
            <v>CCK</v>
          </cell>
          <cell r="K2021">
            <v>1</v>
          </cell>
          <cell r="L2021">
            <v>1632</v>
          </cell>
          <cell r="M2021">
            <v>60055904</v>
          </cell>
          <cell r="N2021">
            <v>38807</v>
          </cell>
          <cell r="P2021" t="str">
            <v>IN6331N2S901901</v>
          </cell>
          <cell r="Q2021" t="str">
            <v>กระดาษฉีกขาด</v>
          </cell>
        </row>
        <row r="2022">
          <cell r="A2022">
            <v>6005591</v>
          </cell>
          <cell r="B2022">
            <v>2021</v>
          </cell>
          <cell r="C2022" t="str">
            <v>CS01/5</v>
          </cell>
          <cell r="D2022" t="str">
            <v>SPCC-SD</v>
          </cell>
          <cell r="E2022" t="str">
            <v>AF1</v>
          </cell>
          <cell r="F2022">
            <v>1.6</v>
          </cell>
          <cell r="G2022">
            <v>313</v>
          </cell>
          <cell r="H2022" t="str">
            <v>C</v>
          </cell>
          <cell r="I2022" t="str">
            <v>A</v>
          </cell>
          <cell r="J2022" t="str">
            <v>CCK</v>
          </cell>
          <cell r="K2022">
            <v>1</v>
          </cell>
          <cell r="L2022">
            <v>1590</v>
          </cell>
          <cell r="M2022">
            <v>6005591</v>
          </cell>
          <cell r="N2022">
            <v>38807</v>
          </cell>
          <cell r="P2022" t="str">
            <v>IN6331N2S901902</v>
          </cell>
          <cell r="Q2022" t="str">
            <v>กระดาษฉีกขาดมแผ่นรองและสายรัดเป็นสนิม</v>
          </cell>
        </row>
        <row r="2023">
          <cell r="A2023">
            <v>60055900</v>
          </cell>
          <cell r="B2023">
            <v>2022</v>
          </cell>
          <cell r="C2023" t="str">
            <v>CS01/5</v>
          </cell>
          <cell r="D2023" t="str">
            <v>SPCC-SD</v>
          </cell>
          <cell r="E2023" t="str">
            <v>AF1</v>
          </cell>
          <cell r="F2023">
            <v>1.6</v>
          </cell>
          <cell r="G2023">
            <v>413</v>
          </cell>
          <cell r="H2023" t="str">
            <v>C</v>
          </cell>
          <cell r="I2023" t="str">
            <v>A</v>
          </cell>
          <cell r="J2023" t="str">
            <v>CCK</v>
          </cell>
          <cell r="K2023">
            <v>1</v>
          </cell>
          <cell r="L2023">
            <v>948</v>
          </cell>
          <cell r="M2023">
            <v>60055900</v>
          </cell>
          <cell r="N2023">
            <v>38806</v>
          </cell>
          <cell r="P2023" t="str">
            <v>IN6330N2S903301</v>
          </cell>
          <cell r="Q2023" t="str">
            <v>กระดาษฉีกขาด</v>
          </cell>
        </row>
        <row r="2024">
          <cell r="A2024">
            <v>60056258</v>
          </cell>
          <cell r="B2024">
            <v>2023</v>
          </cell>
          <cell r="C2024" t="str">
            <v>CS01/5</v>
          </cell>
          <cell r="D2024" t="str">
            <v>SPCC-SD</v>
          </cell>
          <cell r="E2024" t="str">
            <v>AF1</v>
          </cell>
          <cell r="F2024">
            <v>1.6</v>
          </cell>
          <cell r="G2024">
            <v>413</v>
          </cell>
          <cell r="H2024" t="str">
            <v>C</v>
          </cell>
          <cell r="I2024" t="str">
            <v>A</v>
          </cell>
          <cell r="J2024" t="str">
            <v>CCK</v>
          </cell>
          <cell r="K2024">
            <v>1</v>
          </cell>
          <cell r="L2024">
            <v>3660</v>
          </cell>
          <cell r="M2024">
            <v>60056258</v>
          </cell>
          <cell r="N2024">
            <v>38811</v>
          </cell>
          <cell r="P2024" t="str">
            <v>IN6404N2S921501</v>
          </cell>
          <cell r="Q2024" t="str">
            <v>แผ่นรองและสายรัดเป็นสนิม</v>
          </cell>
        </row>
        <row r="2025">
          <cell r="A2025">
            <v>60063838</v>
          </cell>
          <cell r="B2025">
            <v>2024</v>
          </cell>
          <cell r="C2025" t="str">
            <v>CS01/5</v>
          </cell>
          <cell r="D2025" t="str">
            <v>SPCC-SD</v>
          </cell>
          <cell r="E2025" t="str">
            <v>AF1</v>
          </cell>
          <cell r="F2025">
            <v>1.6</v>
          </cell>
          <cell r="G2025">
            <v>444</v>
          </cell>
          <cell r="H2025" t="str">
            <v>C</v>
          </cell>
          <cell r="I2025" t="str">
            <v>A</v>
          </cell>
          <cell r="J2025" t="str">
            <v>CCK</v>
          </cell>
          <cell r="K2025">
            <v>1</v>
          </cell>
          <cell r="L2025">
            <v>748</v>
          </cell>
          <cell r="M2025">
            <v>60063838</v>
          </cell>
          <cell r="N2025">
            <v>38916</v>
          </cell>
          <cell r="P2025" t="str">
            <v>IN6718N2S210301</v>
          </cell>
          <cell r="Q2025" t="str">
            <v>กระดาษฉีกขาดมแผ่นรองและสายรัดเป็นสนิม</v>
          </cell>
        </row>
        <row r="2026">
          <cell r="A2026">
            <v>60061293</v>
          </cell>
          <cell r="B2026">
            <v>2025</v>
          </cell>
          <cell r="C2026" t="str">
            <v>CS01/5</v>
          </cell>
          <cell r="D2026" t="str">
            <v>SPCC-SD</v>
          </cell>
          <cell r="E2026" t="str">
            <v>AF1</v>
          </cell>
          <cell r="F2026">
            <v>1.6</v>
          </cell>
          <cell r="G2026">
            <v>493</v>
          </cell>
          <cell r="H2026" t="str">
            <v>C</v>
          </cell>
          <cell r="I2026" t="str">
            <v>A</v>
          </cell>
          <cell r="J2026" t="str">
            <v>Chibata</v>
          </cell>
          <cell r="K2026">
            <v>1</v>
          </cell>
          <cell r="L2026">
            <v>3762</v>
          </cell>
          <cell r="M2026">
            <v>60061293</v>
          </cell>
          <cell r="N2026">
            <v>38876</v>
          </cell>
          <cell r="O2026" t="str">
            <v>126425TCD014</v>
          </cell>
          <cell r="P2026" t="str">
            <v>IN6608D2S090501</v>
          </cell>
          <cell r="Q2026" t="str">
            <v>กระดาษฉีกขาด</v>
          </cell>
        </row>
        <row r="2027">
          <cell r="A2027">
            <v>60061916</v>
          </cell>
          <cell r="B2027">
            <v>2026</v>
          </cell>
          <cell r="C2027" t="str">
            <v>CS01/5</v>
          </cell>
          <cell r="D2027" t="str">
            <v>SPCC-SD</v>
          </cell>
          <cell r="E2027" t="str">
            <v>AF1</v>
          </cell>
          <cell r="F2027">
            <v>1.6</v>
          </cell>
          <cell r="G2027">
            <v>605</v>
          </cell>
          <cell r="H2027" t="str">
            <v>C</v>
          </cell>
          <cell r="I2027" t="str">
            <v>A</v>
          </cell>
          <cell r="J2027" t="str">
            <v>Thai Sonei</v>
          </cell>
          <cell r="K2027">
            <v>1</v>
          </cell>
          <cell r="L2027">
            <v>1230</v>
          </cell>
          <cell r="M2027">
            <v>60061916</v>
          </cell>
          <cell r="N2027">
            <v>38887</v>
          </cell>
          <cell r="P2027" t="str">
            <v>FN6619N2S120301</v>
          </cell>
          <cell r="Q2027" t="str">
            <v>สภาพปกติ</v>
          </cell>
        </row>
        <row r="2028">
          <cell r="A2028">
            <v>60039184</v>
          </cell>
          <cell r="B2028">
            <v>2027</v>
          </cell>
          <cell r="C2028" t="str">
            <v>CS01/5</v>
          </cell>
          <cell r="D2028" t="str">
            <v>SPCC-SD</v>
          </cell>
          <cell r="E2028" t="str">
            <v>AF1</v>
          </cell>
          <cell r="F2028">
            <v>2</v>
          </cell>
          <cell r="G2028">
            <v>69</v>
          </cell>
          <cell r="H2028" t="str">
            <v>C</v>
          </cell>
          <cell r="I2028" t="str">
            <v>A</v>
          </cell>
          <cell r="J2028" t="str">
            <v>Proten</v>
          </cell>
          <cell r="K2028">
            <v>1</v>
          </cell>
          <cell r="L2028">
            <v>173</v>
          </cell>
          <cell r="M2028">
            <v>60039184</v>
          </cell>
          <cell r="N2028">
            <v>38581</v>
          </cell>
          <cell r="P2028" t="str">
            <v>fn5817d1s215601</v>
          </cell>
          <cell r="Q2028" t="str">
            <v>สภาพปกติ</v>
          </cell>
        </row>
        <row r="2029">
          <cell r="A2029">
            <v>60043900</v>
          </cell>
          <cell r="B2029">
            <v>2028</v>
          </cell>
          <cell r="C2029" t="str">
            <v>CS01/5</v>
          </cell>
          <cell r="D2029" t="str">
            <v>SPCC-SD</v>
          </cell>
          <cell r="E2029" t="str">
            <v>AF1</v>
          </cell>
          <cell r="F2029">
            <v>2</v>
          </cell>
          <cell r="G2029">
            <v>70</v>
          </cell>
          <cell r="H2029" t="str">
            <v>C</v>
          </cell>
          <cell r="I2029" t="str">
            <v>A</v>
          </cell>
          <cell r="J2029" t="str">
            <v>Aegistek</v>
          </cell>
          <cell r="K2029">
            <v>1</v>
          </cell>
          <cell r="L2029">
            <v>158</v>
          </cell>
          <cell r="M2029">
            <v>60043900</v>
          </cell>
          <cell r="N2029" t="str">
            <v>6/b/2005</v>
          </cell>
          <cell r="P2029" t="str">
            <v>fn5b06d1s451501</v>
          </cell>
          <cell r="Q2029" t="str">
            <v>สภาพปกติ</v>
          </cell>
        </row>
        <row r="2030">
          <cell r="A2030">
            <v>60065795</v>
          </cell>
          <cell r="B2030">
            <v>2029</v>
          </cell>
          <cell r="C2030" t="str">
            <v>CS01/5</v>
          </cell>
          <cell r="D2030" t="str">
            <v>SPCC-SD</v>
          </cell>
          <cell r="E2030" t="str">
            <v>AF1</v>
          </cell>
          <cell r="F2030">
            <v>2</v>
          </cell>
          <cell r="G2030">
            <v>98</v>
          </cell>
          <cell r="H2030" t="str">
            <v>C</v>
          </cell>
          <cell r="I2030" t="str">
            <v>A</v>
          </cell>
          <cell r="J2030" t="str">
            <v>Cheow Chan</v>
          </cell>
          <cell r="K2030">
            <v>1</v>
          </cell>
          <cell r="L2030">
            <v>306</v>
          </cell>
          <cell r="M2030">
            <v>60065795</v>
          </cell>
          <cell r="N2030">
            <v>38937</v>
          </cell>
          <cell r="P2030" t="str">
            <v>fn6808d2s252901</v>
          </cell>
          <cell r="Q2030" t="str">
            <v>สภาพปกติ</v>
          </cell>
        </row>
        <row r="2031">
          <cell r="A2031">
            <v>60065805</v>
          </cell>
          <cell r="B2031">
            <v>2030</v>
          </cell>
          <cell r="C2031" t="str">
            <v>CS01/5</v>
          </cell>
          <cell r="D2031" t="str">
            <v>SPCC-SD</v>
          </cell>
          <cell r="E2031" t="str">
            <v>AF1</v>
          </cell>
          <cell r="F2031">
            <v>2</v>
          </cell>
          <cell r="G2031">
            <v>98</v>
          </cell>
          <cell r="H2031" t="str">
            <v>C</v>
          </cell>
          <cell r="I2031" t="str">
            <v>A</v>
          </cell>
          <cell r="J2031" t="str">
            <v>Cheow Chan</v>
          </cell>
          <cell r="K2031">
            <v>1</v>
          </cell>
          <cell r="L2031">
            <v>298</v>
          </cell>
          <cell r="M2031">
            <v>60065805</v>
          </cell>
          <cell r="N2031">
            <v>38937</v>
          </cell>
          <cell r="P2031" t="str">
            <v>fn6808d2s252902</v>
          </cell>
          <cell r="Q2031" t="str">
            <v>สภาพปกติ</v>
          </cell>
        </row>
        <row r="2032">
          <cell r="A2032">
            <v>60060170</v>
          </cell>
          <cell r="B2032">
            <v>2031</v>
          </cell>
          <cell r="C2032" t="str">
            <v>CS01/5</v>
          </cell>
          <cell r="D2032" t="str">
            <v>SPCC-SD</v>
          </cell>
          <cell r="E2032" t="str">
            <v>AF1</v>
          </cell>
          <cell r="F2032">
            <v>2</v>
          </cell>
          <cell r="G2032">
            <v>120</v>
          </cell>
          <cell r="H2032" t="str">
            <v>C</v>
          </cell>
          <cell r="I2032" t="str">
            <v>A</v>
          </cell>
          <cell r="J2032" t="str">
            <v>Cheow Chan</v>
          </cell>
          <cell r="K2032">
            <v>1</v>
          </cell>
          <cell r="L2032">
            <v>313</v>
          </cell>
          <cell r="M2032">
            <v>60060170</v>
          </cell>
          <cell r="N2032">
            <v>38866</v>
          </cell>
          <cell r="P2032" t="str">
            <v>FN6529D2S49801</v>
          </cell>
          <cell r="Q2032" t="str">
            <v>สภาพปกติ</v>
          </cell>
        </row>
        <row r="2033">
          <cell r="A2033">
            <v>60065789</v>
          </cell>
          <cell r="B2033">
            <v>2032</v>
          </cell>
          <cell r="C2033" t="str">
            <v>CS01/5</v>
          </cell>
          <cell r="D2033" t="str">
            <v>SPCC-SD</v>
          </cell>
          <cell r="E2033" t="str">
            <v>AF1</v>
          </cell>
          <cell r="F2033">
            <v>2</v>
          </cell>
          <cell r="G2033">
            <v>127</v>
          </cell>
          <cell r="H2033" t="str">
            <v>C</v>
          </cell>
          <cell r="I2033" t="str">
            <v>A</v>
          </cell>
          <cell r="J2033" t="str">
            <v>Cheow Chan</v>
          </cell>
          <cell r="K2033">
            <v>1</v>
          </cell>
          <cell r="L2033">
            <v>395</v>
          </cell>
          <cell r="M2033">
            <v>60065789</v>
          </cell>
          <cell r="N2033">
            <v>38937</v>
          </cell>
          <cell r="P2033" t="str">
            <v>FN6808D2S252901</v>
          </cell>
          <cell r="Q2033" t="str">
            <v>สภาพปกติ</v>
          </cell>
        </row>
        <row r="2034">
          <cell r="A2034">
            <v>60065790</v>
          </cell>
          <cell r="B2034">
            <v>2033</v>
          </cell>
          <cell r="C2034" t="str">
            <v>CS01/5</v>
          </cell>
          <cell r="D2034" t="str">
            <v>SPCC-SD</v>
          </cell>
          <cell r="E2034" t="str">
            <v>AF1</v>
          </cell>
          <cell r="F2034">
            <v>2</v>
          </cell>
          <cell r="G2034">
            <v>127</v>
          </cell>
          <cell r="H2034" t="str">
            <v>C</v>
          </cell>
          <cell r="I2034" t="str">
            <v>A</v>
          </cell>
          <cell r="J2034" t="str">
            <v>Cheow Chan</v>
          </cell>
          <cell r="K2034">
            <v>1</v>
          </cell>
          <cell r="L2034">
            <v>395</v>
          </cell>
          <cell r="M2034">
            <v>60065790</v>
          </cell>
          <cell r="N2034">
            <v>38937</v>
          </cell>
          <cell r="P2034" t="str">
            <v>FN6808D2S252902</v>
          </cell>
          <cell r="Q2034" t="str">
            <v>สภาพปกติ</v>
          </cell>
        </row>
        <row r="2035">
          <cell r="A2035">
            <v>60065802</v>
          </cell>
          <cell r="B2035">
            <v>2034</v>
          </cell>
          <cell r="C2035" t="str">
            <v>CS01/5</v>
          </cell>
          <cell r="D2035" t="str">
            <v>SPCC-SD</v>
          </cell>
          <cell r="E2035" t="str">
            <v>AF1</v>
          </cell>
          <cell r="F2035">
            <v>2</v>
          </cell>
          <cell r="G2035">
            <v>127</v>
          </cell>
          <cell r="H2035" t="str">
            <v>C</v>
          </cell>
          <cell r="I2035" t="str">
            <v>A</v>
          </cell>
          <cell r="J2035" t="str">
            <v>Cheow Chan</v>
          </cell>
          <cell r="K2035">
            <v>1</v>
          </cell>
          <cell r="L2035">
            <v>386</v>
          </cell>
          <cell r="M2035">
            <v>60065802</v>
          </cell>
          <cell r="N2035">
            <v>38937</v>
          </cell>
          <cell r="P2035" t="str">
            <v>FN6808D2S252903</v>
          </cell>
          <cell r="Q2035" t="str">
            <v>สภาพปกติ</v>
          </cell>
        </row>
        <row r="2036">
          <cell r="A2036">
            <v>60065803</v>
          </cell>
          <cell r="B2036">
            <v>2035</v>
          </cell>
          <cell r="C2036" t="str">
            <v>CS01/5</v>
          </cell>
          <cell r="D2036" t="str">
            <v>SPCC-SD</v>
          </cell>
          <cell r="E2036" t="str">
            <v>AF1</v>
          </cell>
          <cell r="F2036">
            <v>2</v>
          </cell>
          <cell r="G2036">
            <v>127</v>
          </cell>
          <cell r="H2036" t="str">
            <v>C</v>
          </cell>
          <cell r="I2036" t="str">
            <v>A</v>
          </cell>
          <cell r="J2036" t="str">
            <v>Cheow Chan</v>
          </cell>
          <cell r="K2036">
            <v>1</v>
          </cell>
          <cell r="L2036">
            <v>386</v>
          </cell>
          <cell r="M2036">
            <v>60065803</v>
          </cell>
          <cell r="N2036">
            <v>38937</v>
          </cell>
          <cell r="P2036" t="str">
            <v>FN6808D2S252904</v>
          </cell>
          <cell r="Q2036" t="str">
            <v>สภาพปกติ</v>
          </cell>
        </row>
        <row r="2037">
          <cell r="A2037">
            <v>60065480</v>
          </cell>
          <cell r="B2037">
            <v>2036</v>
          </cell>
          <cell r="C2037" t="str">
            <v>CS01/5</v>
          </cell>
          <cell r="D2037" t="str">
            <v>SPCC-SD</v>
          </cell>
          <cell r="E2037" t="str">
            <v>AF1</v>
          </cell>
          <cell r="F2037">
            <v>2.2999999999999998</v>
          </cell>
          <cell r="G2037">
            <v>106</v>
          </cell>
          <cell r="H2037" t="str">
            <v>C</v>
          </cell>
          <cell r="I2037" t="str">
            <v>A</v>
          </cell>
          <cell r="J2037" t="str">
            <v>Cheow Chan</v>
          </cell>
          <cell r="K2037">
            <v>1</v>
          </cell>
          <cell r="L2037">
            <v>331</v>
          </cell>
          <cell r="M2037">
            <v>60065480</v>
          </cell>
          <cell r="N2037">
            <v>38933</v>
          </cell>
          <cell r="P2037" t="str">
            <v>FN6804D1S267701</v>
          </cell>
          <cell r="Q2037" t="str">
            <v>สภาพปกติ</v>
          </cell>
        </row>
        <row r="2038">
          <cell r="A2038">
            <v>60065491</v>
          </cell>
          <cell r="B2038">
            <v>2037</v>
          </cell>
          <cell r="C2038" t="str">
            <v>CS01/5</v>
          </cell>
          <cell r="D2038" t="str">
            <v>SPCC-SD</v>
          </cell>
          <cell r="E2038" t="str">
            <v>AF1</v>
          </cell>
          <cell r="F2038">
            <v>2.2999999999999998</v>
          </cell>
          <cell r="G2038">
            <v>106</v>
          </cell>
          <cell r="H2038" t="str">
            <v>C</v>
          </cell>
          <cell r="I2038" t="str">
            <v>A</v>
          </cell>
          <cell r="J2038" t="str">
            <v>Cheow Chan</v>
          </cell>
          <cell r="K2038">
            <v>1</v>
          </cell>
          <cell r="L2038">
            <v>466</v>
          </cell>
          <cell r="M2038">
            <v>60065491</v>
          </cell>
          <cell r="N2038">
            <v>38933</v>
          </cell>
          <cell r="P2038" t="str">
            <v>FN6804D1S267702</v>
          </cell>
          <cell r="Q2038" t="str">
            <v>สภาพปกติ</v>
          </cell>
        </row>
        <row r="2039">
          <cell r="A2039">
            <v>60065492</v>
          </cell>
          <cell r="B2039">
            <v>2038</v>
          </cell>
          <cell r="C2039" t="str">
            <v>CS01/5</v>
          </cell>
          <cell r="D2039" t="str">
            <v>SPCC-SD</v>
          </cell>
          <cell r="E2039" t="str">
            <v>AF1</v>
          </cell>
          <cell r="F2039">
            <v>2.2999999999999998</v>
          </cell>
          <cell r="G2039">
            <v>106</v>
          </cell>
          <cell r="H2039" t="str">
            <v>C</v>
          </cell>
          <cell r="I2039" t="str">
            <v>A</v>
          </cell>
          <cell r="J2039" t="str">
            <v>Cheow Chan</v>
          </cell>
          <cell r="K2039">
            <v>1</v>
          </cell>
          <cell r="L2039">
            <v>466</v>
          </cell>
          <cell r="M2039">
            <v>60065492</v>
          </cell>
          <cell r="N2039">
            <v>38933</v>
          </cell>
          <cell r="P2039" t="str">
            <v>FN6804D1S267703</v>
          </cell>
          <cell r="Q2039" t="str">
            <v>สภาพปกติ</v>
          </cell>
        </row>
        <row r="2040">
          <cell r="A2040">
            <v>60065493</v>
          </cell>
          <cell r="B2040">
            <v>2039</v>
          </cell>
          <cell r="C2040" t="str">
            <v>CS01/5</v>
          </cell>
          <cell r="D2040" t="str">
            <v>SPCC-SD</v>
          </cell>
          <cell r="E2040" t="str">
            <v>AF1</v>
          </cell>
          <cell r="F2040">
            <v>2.2999999999999998</v>
          </cell>
          <cell r="G2040">
            <v>106</v>
          </cell>
          <cell r="H2040" t="str">
            <v>C</v>
          </cell>
          <cell r="I2040" t="str">
            <v>A</v>
          </cell>
          <cell r="J2040" t="str">
            <v>Cheow Chan</v>
          </cell>
          <cell r="K2040">
            <v>1</v>
          </cell>
          <cell r="L2040">
            <v>466</v>
          </cell>
          <cell r="M2040">
            <v>60065493</v>
          </cell>
          <cell r="N2040">
            <v>38933</v>
          </cell>
          <cell r="P2040" t="str">
            <v>FN6804D1S267704</v>
          </cell>
          <cell r="Q2040" t="str">
            <v>สภาพปกติ</v>
          </cell>
        </row>
        <row r="2041">
          <cell r="A2041">
            <v>60065494</v>
          </cell>
          <cell r="B2041">
            <v>2040</v>
          </cell>
          <cell r="C2041" t="str">
            <v>CS01/5</v>
          </cell>
          <cell r="D2041" t="str">
            <v>SPCC-SD</v>
          </cell>
          <cell r="E2041" t="str">
            <v>AF1</v>
          </cell>
          <cell r="F2041">
            <v>2.2999999999999998</v>
          </cell>
          <cell r="G2041">
            <v>106</v>
          </cell>
          <cell r="H2041" t="str">
            <v>C</v>
          </cell>
          <cell r="I2041" t="str">
            <v>A</v>
          </cell>
          <cell r="J2041" t="str">
            <v>Cheow Chan</v>
          </cell>
          <cell r="K2041">
            <v>1</v>
          </cell>
          <cell r="L2041">
            <v>466</v>
          </cell>
          <cell r="M2041">
            <v>60065494</v>
          </cell>
          <cell r="N2041">
            <v>38933</v>
          </cell>
          <cell r="P2041" t="str">
            <v>FN6804D1S267705</v>
          </cell>
          <cell r="Q2041" t="str">
            <v>สภาพปกติ</v>
          </cell>
        </row>
        <row r="2042">
          <cell r="A2042">
            <v>60065495</v>
          </cell>
          <cell r="B2042">
            <v>2041</v>
          </cell>
          <cell r="C2042" t="str">
            <v>CS01/5</v>
          </cell>
          <cell r="D2042" t="str">
            <v>SPCC-SD</v>
          </cell>
          <cell r="E2042" t="str">
            <v>AF1</v>
          </cell>
          <cell r="F2042">
            <v>2.2999999999999998</v>
          </cell>
          <cell r="G2042">
            <v>106</v>
          </cell>
          <cell r="H2042" t="str">
            <v>C</v>
          </cell>
          <cell r="I2042" t="str">
            <v>A</v>
          </cell>
          <cell r="J2042" t="str">
            <v>Cheow Chan</v>
          </cell>
          <cell r="K2042">
            <v>1</v>
          </cell>
          <cell r="L2042">
            <v>466</v>
          </cell>
          <cell r="M2042">
            <v>60065495</v>
          </cell>
          <cell r="N2042">
            <v>38933</v>
          </cell>
          <cell r="P2042" t="str">
            <v>FN6804D1S267706</v>
          </cell>
          <cell r="Q2042" t="str">
            <v>สภาพปกติ</v>
          </cell>
        </row>
        <row r="2043">
          <cell r="A2043">
            <v>60065193</v>
          </cell>
          <cell r="B2043">
            <v>2042</v>
          </cell>
          <cell r="C2043" t="str">
            <v>CS01/5</v>
          </cell>
          <cell r="D2043" t="str">
            <v>SPCC-SD</v>
          </cell>
          <cell r="E2043" t="str">
            <v>AF1</v>
          </cell>
          <cell r="F2043">
            <v>2.6</v>
          </cell>
          <cell r="G2043">
            <v>63</v>
          </cell>
          <cell r="H2043" t="str">
            <v>C</v>
          </cell>
          <cell r="I2043" t="str">
            <v>A</v>
          </cell>
          <cell r="J2043" t="str">
            <v>Cheow Chan</v>
          </cell>
          <cell r="K2043">
            <v>1</v>
          </cell>
          <cell r="L2043">
            <v>114</v>
          </cell>
          <cell r="M2043">
            <v>60065193</v>
          </cell>
          <cell r="N2043">
            <v>38931</v>
          </cell>
          <cell r="O2043" t="str">
            <v>126607TCD022</v>
          </cell>
          <cell r="P2043" t="str">
            <v>FN6802N2S253201</v>
          </cell>
          <cell r="Q2043" t="str">
            <v>สภาพปกติ</v>
          </cell>
        </row>
        <row r="2044">
          <cell r="A2044">
            <v>60065194</v>
          </cell>
          <cell r="B2044">
            <v>2043</v>
          </cell>
          <cell r="C2044" t="str">
            <v>CS01/5</v>
          </cell>
          <cell r="D2044" t="str">
            <v>SPCC-SD</v>
          </cell>
          <cell r="E2044" t="str">
            <v>AF1</v>
          </cell>
          <cell r="F2044">
            <v>2.6</v>
          </cell>
          <cell r="G2044">
            <v>63</v>
          </cell>
          <cell r="H2044" t="str">
            <v>C</v>
          </cell>
          <cell r="I2044" t="str">
            <v>A</v>
          </cell>
          <cell r="J2044" t="str">
            <v>Cheow Chan</v>
          </cell>
          <cell r="K2044">
            <v>1</v>
          </cell>
          <cell r="L2044">
            <v>114</v>
          </cell>
          <cell r="M2044">
            <v>60065194</v>
          </cell>
          <cell r="N2044">
            <v>38931</v>
          </cell>
          <cell r="O2044" t="str">
            <v>126607TCD022</v>
          </cell>
          <cell r="P2044" t="str">
            <v>FN6802N2S253202</v>
          </cell>
          <cell r="Q2044" t="str">
            <v>สภาพปกติ</v>
          </cell>
        </row>
        <row r="2045">
          <cell r="A2045">
            <v>60065196</v>
          </cell>
          <cell r="B2045">
            <v>2044</v>
          </cell>
          <cell r="C2045" t="str">
            <v>CS01/5</v>
          </cell>
          <cell r="D2045" t="str">
            <v>SPCC-SD</v>
          </cell>
          <cell r="E2045" t="str">
            <v>AF1</v>
          </cell>
          <cell r="F2045">
            <v>2.6</v>
          </cell>
          <cell r="G2045">
            <v>63</v>
          </cell>
          <cell r="H2045" t="str">
            <v>C</v>
          </cell>
          <cell r="I2045" t="str">
            <v>A</v>
          </cell>
          <cell r="J2045" t="str">
            <v>Cheow Chan</v>
          </cell>
          <cell r="K2045">
            <v>1</v>
          </cell>
          <cell r="L2045">
            <v>114</v>
          </cell>
          <cell r="M2045">
            <v>60065196</v>
          </cell>
          <cell r="N2045">
            <v>38931</v>
          </cell>
          <cell r="P2045" t="str">
            <v>FN6802N2S253203</v>
          </cell>
          <cell r="Q2045" t="str">
            <v>สภาพปกติ</v>
          </cell>
        </row>
        <row r="2046">
          <cell r="A2046">
            <v>60065197</v>
          </cell>
          <cell r="B2046">
            <v>2045</v>
          </cell>
          <cell r="C2046" t="str">
            <v>CS01/5</v>
          </cell>
          <cell r="D2046" t="str">
            <v>SPCC-SD</v>
          </cell>
          <cell r="E2046" t="str">
            <v>AF1</v>
          </cell>
          <cell r="F2046">
            <v>2.6</v>
          </cell>
          <cell r="G2046">
            <v>63</v>
          </cell>
          <cell r="H2046" t="str">
            <v>C</v>
          </cell>
          <cell r="I2046" t="str">
            <v>A</v>
          </cell>
          <cell r="J2046" t="str">
            <v>Cheow Chan</v>
          </cell>
          <cell r="K2046">
            <v>1</v>
          </cell>
          <cell r="L2046">
            <v>114</v>
          </cell>
          <cell r="M2046">
            <v>60065197</v>
          </cell>
          <cell r="N2046">
            <v>38931</v>
          </cell>
          <cell r="P2046" t="str">
            <v>FN6802N2S253204</v>
          </cell>
          <cell r="Q2046" t="str">
            <v>สภาพปกติ</v>
          </cell>
        </row>
        <row r="2047">
          <cell r="A2047">
            <v>60065198</v>
          </cell>
          <cell r="B2047">
            <v>2046</v>
          </cell>
          <cell r="C2047" t="str">
            <v>CS01/5</v>
          </cell>
          <cell r="D2047" t="str">
            <v>SPCC-SD</v>
          </cell>
          <cell r="E2047" t="str">
            <v>AF1</v>
          </cell>
          <cell r="F2047">
            <v>2.6</v>
          </cell>
          <cell r="G2047">
            <v>63</v>
          </cell>
          <cell r="H2047" t="str">
            <v>C</v>
          </cell>
          <cell r="I2047" t="str">
            <v>A</v>
          </cell>
          <cell r="J2047" t="str">
            <v>Cheow Chan</v>
          </cell>
          <cell r="K2047">
            <v>1</v>
          </cell>
          <cell r="L2047">
            <v>114</v>
          </cell>
          <cell r="M2047">
            <v>60065198</v>
          </cell>
          <cell r="N2047">
            <v>38931</v>
          </cell>
          <cell r="O2047" t="str">
            <v>126607TCD022</v>
          </cell>
          <cell r="P2047" t="str">
            <v>FN6802N2S253205</v>
          </cell>
          <cell r="Q2047" t="str">
            <v>สภาพปกติ</v>
          </cell>
        </row>
        <row r="2048">
          <cell r="A2048">
            <v>60065199</v>
          </cell>
          <cell r="B2048">
            <v>2047</v>
          </cell>
          <cell r="C2048" t="str">
            <v>CS01/5</v>
          </cell>
          <cell r="D2048" t="str">
            <v>SPCC-SD</v>
          </cell>
          <cell r="E2048" t="str">
            <v>AF1</v>
          </cell>
          <cell r="F2048">
            <v>2.6</v>
          </cell>
          <cell r="G2048">
            <v>63</v>
          </cell>
          <cell r="H2048" t="str">
            <v>C</v>
          </cell>
          <cell r="I2048" t="str">
            <v>A</v>
          </cell>
          <cell r="J2048" t="str">
            <v>Cheow Chan</v>
          </cell>
          <cell r="K2048">
            <v>1</v>
          </cell>
          <cell r="L2048">
            <v>114</v>
          </cell>
          <cell r="M2048">
            <v>60065199</v>
          </cell>
          <cell r="N2048">
            <v>38931</v>
          </cell>
          <cell r="P2048" t="str">
            <v>FN6802N2S253206</v>
          </cell>
          <cell r="Q2048" t="str">
            <v>สภาพปกติ</v>
          </cell>
        </row>
        <row r="2049">
          <cell r="A2049">
            <v>60065200</v>
          </cell>
          <cell r="B2049">
            <v>2048</v>
          </cell>
          <cell r="C2049" t="str">
            <v>CS01/5</v>
          </cell>
          <cell r="D2049" t="str">
            <v>SPCC-SD</v>
          </cell>
          <cell r="E2049" t="str">
            <v>AF1</v>
          </cell>
          <cell r="F2049">
            <v>2.6</v>
          </cell>
          <cell r="G2049">
            <v>63</v>
          </cell>
          <cell r="H2049" t="str">
            <v>C</v>
          </cell>
          <cell r="I2049" t="str">
            <v>A</v>
          </cell>
          <cell r="J2049" t="str">
            <v>Cheow Chan</v>
          </cell>
          <cell r="K2049">
            <v>1</v>
          </cell>
          <cell r="L2049">
            <v>114</v>
          </cell>
          <cell r="M2049">
            <v>60065200</v>
          </cell>
          <cell r="N2049">
            <v>38931</v>
          </cell>
          <cell r="P2049" t="str">
            <v>FN6802N2S253207</v>
          </cell>
          <cell r="Q2049" t="str">
            <v>สภาพปกติ</v>
          </cell>
        </row>
        <row r="2050">
          <cell r="A2050">
            <v>60065817</v>
          </cell>
          <cell r="B2050">
            <v>2049</v>
          </cell>
          <cell r="C2050" t="str">
            <v>CS01/5</v>
          </cell>
          <cell r="D2050" t="str">
            <v>SPCC-SD</v>
          </cell>
          <cell r="E2050" t="str">
            <v>AF1</v>
          </cell>
          <cell r="F2050">
            <v>2.6</v>
          </cell>
          <cell r="G2050">
            <v>172</v>
          </cell>
          <cell r="H2050" t="str">
            <v>C</v>
          </cell>
          <cell r="I2050" t="str">
            <v>A</v>
          </cell>
          <cell r="J2050" t="str">
            <v>SAS</v>
          </cell>
          <cell r="K2050">
            <v>1</v>
          </cell>
          <cell r="L2050">
            <v>245</v>
          </cell>
          <cell r="M2050">
            <v>60065817</v>
          </cell>
          <cell r="N2050">
            <v>38937</v>
          </cell>
          <cell r="P2050" t="str">
            <v>FN6808D1S260901</v>
          </cell>
          <cell r="Q2050" t="str">
            <v>สภาพปกติ</v>
          </cell>
        </row>
        <row r="2051">
          <cell r="A2051">
            <v>60066097</v>
          </cell>
          <cell r="B2051">
            <v>2050</v>
          </cell>
          <cell r="C2051" t="str">
            <v>CS01/5</v>
          </cell>
          <cell r="D2051" t="str">
            <v>SPCC-SD</v>
          </cell>
          <cell r="E2051" t="str">
            <v>AF1</v>
          </cell>
          <cell r="F2051">
            <v>2.6</v>
          </cell>
          <cell r="G2051">
            <v>172</v>
          </cell>
          <cell r="H2051" t="str">
            <v>C</v>
          </cell>
          <cell r="I2051" t="str">
            <v>A</v>
          </cell>
          <cell r="J2051" t="str">
            <v>SAS</v>
          </cell>
          <cell r="K2051">
            <v>1</v>
          </cell>
          <cell r="L2051">
            <v>504</v>
          </cell>
          <cell r="M2051">
            <v>60066097</v>
          </cell>
          <cell r="N2051">
            <v>38943</v>
          </cell>
          <cell r="P2051" t="str">
            <v>FN6814D2S292101</v>
          </cell>
          <cell r="Q2051" t="str">
            <v>สภาพปกติ</v>
          </cell>
        </row>
        <row r="2052">
          <cell r="A2052">
            <v>60066101</v>
          </cell>
          <cell r="B2052">
            <v>2051</v>
          </cell>
          <cell r="C2052" t="str">
            <v>CS01/5</v>
          </cell>
          <cell r="D2052" t="str">
            <v>SPCC-SD</v>
          </cell>
          <cell r="E2052" t="str">
            <v>AF1</v>
          </cell>
          <cell r="F2052">
            <v>2.6</v>
          </cell>
          <cell r="G2052">
            <v>172</v>
          </cell>
          <cell r="H2052" t="str">
            <v>C</v>
          </cell>
          <cell r="I2052" t="str">
            <v>A</v>
          </cell>
          <cell r="J2052" t="str">
            <v>SAS</v>
          </cell>
          <cell r="K2052">
            <v>1</v>
          </cell>
          <cell r="L2052">
            <v>505</v>
          </cell>
          <cell r="M2052">
            <v>60066101</v>
          </cell>
          <cell r="N2052">
            <v>38943</v>
          </cell>
          <cell r="P2052" t="str">
            <v>FN6814D2S292102</v>
          </cell>
          <cell r="Q2052" t="str">
            <v>สภาพปกติ</v>
          </cell>
        </row>
        <row r="2053">
          <cell r="A2053">
            <v>60066102</v>
          </cell>
          <cell r="B2053">
            <v>2052</v>
          </cell>
          <cell r="C2053" t="str">
            <v>CS01/5</v>
          </cell>
          <cell r="D2053" t="str">
            <v>SPCC-SD</v>
          </cell>
          <cell r="E2053" t="str">
            <v>AF1</v>
          </cell>
          <cell r="F2053">
            <v>2.6</v>
          </cell>
          <cell r="G2053">
            <v>172</v>
          </cell>
          <cell r="H2053" t="str">
            <v>C</v>
          </cell>
          <cell r="I2053" t="str">
            <v>A</v>
          </cell>
          <cell r="J2053" t="str">
            <v>SAS</v>
          </cell>
          <cell r="K2053">
            <v>1</v>
          </cell>
          <cell r="L2053">
            <v>504</v>
          </cell>
          <cell r="M2053">
            <v>60066102</v>
          </cell>
          <cell r="N2053">
            <v>38943</v>
          </cell>
          <cell r="P2053" t="str">
            <v>FN6814D2S292103</v>
          </cell>
          <cell r="Q2053" t="str">
            <v>สภาพปกติ</v>
          </cell>
        </row>
        <row r="2054">
          <cell r="A2054">
            <v>60066103</v>
          </cell>
          <cell r="B2054">
            <v>2053</v>
          </cell>
          <cell r="C2054" t="str">
            <v>CS01/5</v>
          </cell>
          <cell r="D2054" t="str">
            <v>SPCC-SD</v>
          </cell>
          <cell r="E2054" t="str">
            <v>AF1</v>
          </cell>
          <cell r="F2054">
            <v>2.6</v>
          </cell>
          <cell r="G2054">
            <v>172</v>
          </cell>
          <cell r="H2054" t="str">
            <v>C</v>
          </cell>
          <cell r="I2054" t="str">
            <v>A</v>
          </cell>
          <cell r="J2054" t="str">
            <v>SAS</v>
          </cell>
          <cell r="K2054">
            <v>1</v>
          </cell>
          <cell r="L2054">
            <v>504</v>
          </cell>
          <cell r="M2054">
            <v>60066103</v>
          </cell>
          <cell r="N2054">
            <v>38943</v>
          </cell>
          <cell r="P2054" t="str">
            <v>FN6814D2S292104</v>
          </cell>
          <cell r="Q2054" t="str">
            <v>สภาพปกติ</v>
          </cell>
        </row>
        <row r="2055">
          <cell r="A2055">
            <v>60056070</v>
          </cell>
          <cell r="B2055">
            <v>2054</v>
          </cell>
          <cell r="C2055" t="str">
            <v>CS01/5</v>
          </cell>
          <cell r="D2055" t="str">
            <v>SPCC-SD</v>
          </cell>
          <cell r="E2055" t="str">
            <v>AF1</v>
          </cell>
          <cell r="F2055">
            <v>2.6</v>
          </cell>
          <cell r="G2055">
            <v>94.5</v>
          </cell>
          <cell r="H2055" t="str">
            <v>C</v>
          </cell>
          <cell r="I2055" t="str">
            <v>A</v>
          </cell>
          <cell r="J2055" t="str">
            <v>Cheow Chan</v>
          </cell>
          <cell r="K2055">
            <v>1</v>
          </cell>
          <cell r="L2055">
            <v>253</v>
          </cell>
          <cell r="M2055">
            <v>60056070</v>
          </cell>
          <cell r="N2055">
            <v>38808</v>
          </cell>
          <cell r="P2055" t="str">
            <v>FN6401D2S893701</v>
          </cell>
          <cell r="Q2055" t="str">
            <v>สภาพปกติ</v>
          </cell>
        </row>
        <row r="2056">
          <cell r="A2056">
            <v>60067014</v>
          </cell>
          <cell r="B2056">
            <v>2055</v>
          </cell>
          <cell r="C2056" t="str">
            <v>CS01/5</v>
          </cell>
          <cell r="D2056" t="str">
            <v>SPCC-SD</v>
          </cell>
          <cell r="E2056" t="str">
            <v>AF1</v>
          </cell>
          <cell r="F2056">
            <v>3</v>
          </cell>
          <cell r="G2056">
            <v>53</v>
          </cell>
          <cell r="H2056" t="str">
            <v>C</v>
          </cell>
          <cell r="I2056" t="str">
            <v>A</v>
          </cell>
          <cell r="J2056" t="str">
            <v>Cheow Chan</v>
          </cell>
          <cell r="K2056">
            <v>1</v>
          </cell>
          <cell r="L2056">
            <v>163</v>
          </cell>
          <cell r="M2056">
            <v>60067014</v>
          </cell>
          <cell r="N2056">
            <v>38954</v>
          </cell>
          <cell r="P2056" t="str">
            <v>FN6825D1S322101</v>
          </cell>
          <cell r="Q2056" t="str">
            <v>สภาพปกติ</v>
          </cell>
        </row>
        <row r="2057">
          <cell r="A2057">
            <v>60067015</v>
          </cell>
          <cell r="B2057">
            <v>2056</v>
          </cell>
          <cell r="C2057" t="str">
            <v>CS01/5</v>
          </cell>
          <cell r="D2057" t="str">
            <v>SPCC-SD</v>
          </cell>
          <cell r="E2057" t="str">
            <v>AF1</v>
          </cell>
          <cell r="F2057">
            <v>3</v>
          </cell>
          <cell r="G2057">
            <v>53</v>
          </cell>
          <cell r="H2057" t="str">
            <v>C</v>
          </cell>
          <cell r="I2057" t="str">
            <v>A</v>
          </cell>
          <cell r="J2057" t="str">
            <v>Cheow Chan</v>
          </cell>
          <cell r="K2057">
            <v>1</v>
          </cell>
          <cell r="L2057">
            <v>165</v>
          </cell>
          <cell r="M2057">
            <v>60067015</v>
          </cell>
          <cell r="N2057">
            <v>38954</v>
          </cell>
          <cell r="P2057" t="str">
            <v>FN6825D1S322101</v>
          </cell>
          <cell r="Q2057" t="str">
            <v>สภาพปกติ</v>
          </cell>
        </row>
        <row r="2058">
          <cell r="A2058">
            <v>60067016</v>
          </cell>
          <cell r="B2058">
            <v>2057</v>
          </cell>
          <cell r="C2058" t="str">
            <v>CS01/5</v>
          </cell>
          <cell r="D2058" t="str">
            <v>SPCC-SD</v>
          </cell>
          <cell r="E2058" t="str">
            <v>AF1</v>
          </cell>
          <cell r="F2058">
            <v>3</v>
          </cell>
          <cell r="G2058">
            <v>53</v>
          </cell>
          <cell r="H2058" t="str">
            <v>C</v>
          </cell>
          <cell r="I2058" t="str">
            <v>A</v>
          </cell>
          <cell r="J2058" t="str">
            <v>Cheow Chan</v>
          </cell>
          <cell r="K2058">
            <v>1</v>
          </cell>
          <cell r="L2058">
            <v>165</v>
          </cell>
          <cell r="M2058">
            <v>60067016</v>
          </cell>
          <cell r="N2058">
            <v>38954</v>
          </cell>
          <cell r="P2058" t="str">
            <v>FN6825D1S322102</v>
          </cell>
          <cell r="Q2058" t="str">
            <v>สภาพปกติ</v>
          </cell>
        </row>
        <row r="2059">
          <cell r="A2059">
            <v>60059723</v>
          </cell>
          <cell r="B2059">
            <v>2058</v>
          </cell>
          <cell r="C2059" t="str">
            <v>CS01/5</v>
          </cell>
          <cell r="D2059" t="str">
            <v>SPCC-SD</v>
          </cell>
          <cell r="E2059" t="str">
            <v>AF1</v>
          </cell>
          <cell r="F2059">
            <v>3</v>
          </cell>
          <cell r="G2059">
            <v>110</v>
          </cell>
          <cell r="H2059" t="str">
            <v>C</v>
          </cell>
          <cell r="I2059" t="str">
            <v>A</v>
          </cell>
          <cell r="J2059" t="str">
            <v>Siam Inter</v>
          </cell>
          <cell r="K2059">
            <v>1</v>
          </cell>
          <cell r="L2059">
            <v>309</v>
          </cell>
          <cell r="M2059">
            <v>60059723</v>
          </cell>
          <cell r="N2059">
            <v>38860</v>
          </cell>
          <cell r="P2059" t="str">
            <v>FN6523D2S027201</v>
          </cell>
          <cell r="Q2059" t="str">
            <v>สภาพปกติ</v>
          </cell>
        </row>
        <row r="2060">
          <cell r="A2060">
            <v>60059725</v>
          </cell>
          <cell r="B2060">
            <v>2059</v>
          </cell>
          <cell r="C2060" t="str">
            <v>CS01/5</v>
          </cell>
          <cell r="D2060" t="str">
            <v>SPCC-SD</v>
          </cell>
          <cell r="E2060" t="str">
            <v>AF1</v>
          </cell>
          <cell r="F2060">
            <v>3</v>
          </cell>
          <cell r="G2060">
            <v>110</v>
          </cell>
          <cell r="H2060" t="str">
            <v>C</v>
          </cell>
          <cell r="I2060" t="str">
            <v>A</v>
          </cell>
          <cell r="J2060" t="str">
            <v>Siam Inter</v>
          </cell>
          <cell r="K2060">
            <v>1</v>
          </cell>
          <cell r="L2060">
            <v>309</v>
          </cell>
          <cell r="M2060">
            <v>60059725</v>
          </cell>
          <cell r="N2060">
            <v>38860</v>
          </cell>
          <cell r="P2060" t="str">
            <v>FN6523D2S027202</v>
          </cell>
          <cell r="Q2060" t="str">
            <v>สภาพปกติ</v>
          </cell>
        </row>
        <row r="2061">
          <cell r="A2061">
            <v>60064985</v>
          </cell>
          <cell r="B2061">
            <v>2060</v>
          </cell>
          <cell r="C2061" t="str">
            <v>CS01/5</v>
          </cell>
          <cell r="D2061" t="str">
            <v>SPCC-SD</v>
          </cell>
          <cell r="E2061" t="str">
            <v>AF1</v>
          </cell>
          <cell r="F2061">
            <v>3.2</v>
          </cell>
          <cell r="G2061">
            <v>48</v>
          </cell>
          <cell r="H2061" t="str">
            <v>C</v>
          </cell>
          <cell r="I2061" t="str">
            <v>A</v>
          </cell>
          <cell r="J2061" t="str">
            <v>Cheow Chan</v>
          </cell>
          <cell r="K2061">
            <v>1</v>
          </cell>
          <cell r="L2061">
            <v>194</v>
          </cell>
          <cell r="M2061">
            <v>60064985</v>
          </cell>
          <cell r="N2061">
            <v>38929</v>
          </cell>
          <cell r="P2061" t="str">
            <v>FN6731D2S253501</v>
          </cell>
          <cell r="Q2061" t="str">
            <v>สภาพปกติ</v>
          </cell>
        </row>
        <row r="2062">
          <cell r="A2062">
            <v>60066999</v>
          </cell>
          <cell r="B2062">
            <v>2061</v>
          </cell>
          <cell r="C2062" t="str">
            <v>CS01/5</v>
          </cell>
          <cell r="D2062" t="str">
            <v>SPCC-SD</v>
          </cell>
          <cell r="E2062" t="str">
            <v>AF1</v>
          </cell>
          <cell r="F2062">
            <v>3.2</v>
          </cell>
          <cell r="G2062">
            <v>48</v>
          </cell>
          <cell r="H2062" t="str">
            <v>C</v>
          </cell>
          <cell r="I2062" t="str">
            <v>A</v>
          </cell>
          <cell r="J2062" t="str">
            <v>Cheow Chan</v>
          </cell>
          <cell r="K2062">
            <v>1</v>
          </cell>
          <cell r="L2062">
            <v>102</v>
          </cell>
          <cell r="M2062">
            <v>60066999</v>
          </cell>
          <cell r="N2062">
            <v>38954</v>
          </cell>
          <cell r="P2062" t="str">
            <v>FN6825N1S323001</v>
          </cell>
          <cell r="Q2062" t="str">
            <v>สภาพปกติ</v>
          </cell>
        </row>
        <row r="2063">
          <cell r="A2063">
            <v>60065710</v>
          </cell>
          <cell r="B2063">
            <v>2062</v>
          </cell>
          <cell r="C2063" t="str">
            <v>CS01/5</v>
          </cell>
          <cell r="D2063" t="str">
            <v>SPCC-SD</v>
          </cell>
          <cell r="E2063" t="str">
            <v>AF1</v>
          </cell>
          <cell r="F2063">
            <v>3.2</v>
          </cell>
          <cell r="G2063">
            <v>107</v>
          </cell>
          <cell r="H2063" t="str">
            <v>C</v>
          </cell>
          <cell r="I2063" t="str">
            <v>A</v>
          </cell>
          <cell r="J2063" t="str">
            <v>Cheow Chan</v>
          </cell>
          <cell r="K2063">
            <v>1</v>
          </cell>
          <cell r="L2063">
            <v>269</v>
          </cell>
          <cell r="M2063">
            <v>60065710</v>
          </cell>
          <cell r="N2063">
            <v>38935</v>
          </cell>
          <cell r="P2063" t="str">
            <v>FN6806N2S268801</v>
          </cell>
          <cell r="Q2063" t="str">
            <v>สภาพปกติ</v>
          </cell>
        </row>
        <row r="2064">
          <cell r="A2064">
            <v>60057599</v>
          </cell>
          <cell r="B2064">
            <v>2063</v>
          </cell>
          <cell r="C2064" t="str">
            <v>CS01/5</v>
          </cell>
          <cell r="D2064" t="str">
            <v>SPCEN-SD</v>
          </cell>
          <cell r="E2064" t="str">
            <v>AF3</v>
          </cell>
          <cell r="F2064">
            <v>0.8</v>
          </cell>
          <cell r="G2064">
            <v>210</v>
          </cell>
          <cell r="H2064" t="str">
            <v>C</v>
          </cell>
          <cell r="I2064" t="str">
            <v>A</v>
          </cell>
          <cell r="J2064" t="str">
            <v>MITSUI</v>
          </cell>
          <cell r="K2064">
            <v>1</v>
          </cell>
          <cell r="L2064">
            <v>194</v>
          </cell>
          <cell r="M2064">
            <v>60057599</v>
          </cell>
          <cell r="N2064">
            <v>38834</v>
          </cell>
          <cell r="P2064" t="str">
            <v>FN6427D1S964501</v>
          </cell>
          <cell r="Q2064" t="str">
            <v>สภาพปกติ</v>
          </cell>
        </row>
        <row r="2065">
          <cell r="A2065">
            <v>60057600</v>
          </cell>
          <cell r="B2065">
            <v>2064</v>
          </cell>
          <cell r="C2065" t="str">
            <v>CS01/5</v>
          </cell>
          <cell r="D2065" t="str">
            <v>SPCEN-SD</v>
          </cell>
          <cell r="E2065" t="str">
            <v>AF3</v>
          </cell>
          <cell r="F2065">
            <v>0.8</v>
          </cell>
          <cell r="G2065">
            <v>210</v>
          </cell>
          <cell r="H2065" t="str">
            <v>C</v>
          </cell>
          <cell r="I2065" t="str">
            <v>A</v>
          </cell>
          <cell r="J2065" t="str">
            <v>MITSUI</v>
          </cell>
          <cell r="K2065">
            <v>1</v>
          </cell>
          <cell r="L2065">
            <v>209</v>
          </cell>
          <cell r="M2065">
            <v>60057600</v>
          </cell>
          <cell r="N2065">
            <v>38834</v>
          </cell>
          <cell r="P2065" t="str">
            <v>FN6427D1S964502</v>
          </cell>
          <cell r="Q2065" t="str">
            <v>สภาพปกติ</v>
          </cell>
        </row>
        <row r="2066">
          <cell r="A2066">
            <v>60062014</v>
          </cell>
          <cell r="B2066">
            <v>2065</v>
          </cell>
          <cell r="C2066" t="str">
            <v>CS01/5</v>
          </cell>
          <cell r="D2066" t="str">
            <v>SPCEN-SD</v>
          </cell>
          <cell r="E2066" t="str">
            <v>AF3</v>
          </cell>
          <cell r="F2066">
            <v>0.8</v>
          </cell>
          <cell r="G2066">
            <v>210</v>
          </cell>
          <cell r="H2066" t="str">
            <v>C</v>
          </cell>
          <cell r="I2066" t="str">
            <v>A</v>
          </cell>
          <cell r="J2066" t="str">
            <v>MITSUI</v>
          </cell>
          <cell r="K2066">
            <v>1</v>
          </cell>
          <cell r="L2066">
            <v>452</v>
          </cell>
          <cell r="M2066">
            <v>60062014</v>
          </cell>
          <cell r="N2066">
            <v>38889</v>
          </cell>
          <cell r="P2066" t="str">
            <v>FN6621N1S126103</v>
          </cell>
          <cell r="Q2066" t="str">
            <v>สภาพปกติ</v>
          </cell>
        </row>
        <row r="2067">
          <cell r="A2067">
            <v>60066284</v>
          </cell>
          <cell r="B2067">
            <v>2066</v>
          </cell>
          <cell r="C2067" t="str">
            <v>CS01/5</v>
          </cell>
          <cell r="D2067" t="str">
            <v>SPCEN-SD</v>
          </cell>
          <cell r="E2067" t="str">
            <v>AF3</v>
          </cell>
          <cell r="F2067">
            <v>1</v>
          </cell>
          <cell r="G2067">
            <v>131</v>
          </cell>
          <cell r="H2067" t="str">
            <v>C</v>
          </cell>
          <cell r="I2067" t="str">
            <v>A</v>
          </cell>
          <cell r="J2067" t="str">
            <v>Thai Industrial</v>
          </cell>
          <cell r="K2067">
            <v>1</v>
          </cell>
          <cell r="L2067">
            <v>266</v>
          </cell>
          <cell r="M2067">
            <v>60066284</v>
          </cell>
          <cell r="N2067">
            <v>38945</v>
          </cell>
          <cell r="P2067" t="str">
            <v>FN6816D1S299501</v>
          </cell>
          <cell r="Q2067" t="str">
            <v>สภาพปกติ</v>
          </cell>
        </row>
        <row r="2068">
          <cell r="A2068">
            <v>60029946</v>
          </cell>
          <cell r="B2068">
            <v>2067</v>
          </cell>
          <cell r="C2068" t="str">
            <v>CS01/5</v>
          </cell>
          <cell r="D2068" t="str">
            <v>SPCEN-SD</v>
          </cell>
          <cell r="E2068" t="str">
            <v>AF3</v>
          </cell>
          <cell r="F2068">
            <v>1.2</v>
          </cell>
          <cell r="G2068">
            <v>300</v>
          </cell>
          <cell r="H2068" t="str">
            <v>C</v>
          </cell>
          <cell r="I2068" t="str">
            <v>A</v>
          </cell>
          <cell r="J2068" t="str">
            <v>WANAVIT</v>
          </cell>
          <cell r="K2068">
            <v>1</v>
          </cell>
          <cell r="L2068">
            <v>813</v>
          </cell>
          <cell r="M2068">
            <v>60029946</v>
          </cell>
          <cell r="N2068">
            <v>38418</v>
          </cell>
          <cell r="P2068" t="str">
            <v>FN5307N1S781601</v>
          </cell>
          <cell r="Q2068" t="str">
            <v>แผ่นรองและสายรัดเป็นสนิม</v>
          </cell>
        </row>
        <row r="2069">
          <cell r="A2069">
            <v>60029947</v>
          </cell>
          <cell r="B2069">
            <v>2068</v>
          </cell>
          <cell r="C2069" t="str">
            <v>CS01/5</v>
          </cell>
          <cell r="D2069" t="str">
            <v>SPCEN-SD</v>
          </cell>
          <cell r="E2069" t="str">
            <v>AF3</v>
          </cell>
          <cell r="F2069">
            <v>1.2</v>
          </cell>
          <cell r="G2069">
            <v>300</v>
          </cell>
          <cell r="H2069" t="str">
            <v>C</v>
          </cell>
          <cell r="I2069" t="str">
            <v>A</v>
          </cell>
          <cell r="J2069" t="str">
            <v>WANAVIT</v>
          </cell>
          <cell r="K2069">
            <v>1</v>
          </cell>
          <cell r="L2069">
            <v>813</v>
          </cell>
          <cell r="M2069">
            <v>60029947</v>
          </cell>
          <cell r="N2069">
            <v>38418</v>
          </cell>
          <cell r="P2069" t="str">
            <v>FN5307N1S781602</v>
          </cell>
          <cell r="Q2069" t="str">
            <v>แผ่นรองและสายรัดเป็นสนิม</v>
          </cell>
        </row>
        <row r="2070">
          <cell r="A2070">
            <v>60061331</v>
          </cell>
          <cell r="B2070">
            <v>2069</v>
          </cell>
          <cell r="C2070" t="str">
            <v>CS01/5</v>
          </cell>
          <cell r="D2070" t="str">
            <v>SPCEN-SD</v>
          </cell>
          <cell r="E2070" t="str">
            <v>AF3</v>
          </cell>
          <cell r="F2070">
            <v>1.6</v>
          </cell>
          <cell r="G2070">
            <v>413</v>
          </cell>
          <cell r="H2070" t="str">
            <v>C</v>
          </cell>
          <cell r="I2070" t="str">
            <v>A</v>
          </cell>
          <cell r="J2070" t="str">
            <v>Chibata</v>
          </cell>
          <cell r="K2070">
            <v>1</v>
          </cell>
          <cell r="L2070">
            <v>3522</v>
          </cell>
          <cell r="M2070">
            <v>60061331</v>
          </cell>
          <cell r="N2070">
            <v>38876</v>
          </cell>
          <cell r="P2070" t="str">
            <v>IN6608D2S090301</v>
          </cell>
          <cell r="Q2070" t="str">
            <v>แผ่นรองและสายรัดเป็นสนิม</v>
          </cell>
        </row>
        <row r="2071">
          <cell r="A2071">
            <v>60041285</v>
          </cell>
          <cell r="B2071">
            <v>2070</v>
          </cell>
          <cell r="C2071" t="str">
            <v>CS01/5</v>
          </cell>
          <cell r="D2071" t="str">
            <v>SPHC P/O</v>
          </cell>
          <cell r="E2071" t="str">
            <v>CA1</v>
          </cell>
          <cell r="F2071">
            <v>1.4</v>
          </cell>
          <cell r="G2071">
            <v>196</v>
          </cell>
          <cell r="H2071" t="str">
            <v>C</v>
          </cell>
          <cell r="I2071" t="str">
            <v>A</v>
          </cell>
          <cell r="J2071" t="str">
            <v>SAS</v>
          </cell>
          <cell r="K2071">
            <v>1</v>
          </cell>
          <cell r="L2071">
            <v>586</v>
          </cell>
          <cell r="M2071">
            <v>60041285</v>
          </cell>
          <cell r="N2071" t="str">
            <v>1/A/2005</v>
          </cell>
          <cell r="P2071" t="str">
            <v>FN5A01D2S331301</v>
          </cell>
          <cell r="Q2071" t="str">
            <v>แผ่นรองและสายรัดเป็นสนิม</v>
          </cell>
        </row>
        <row r="2072">
          <cell r="A2072">
            <v>60043050</v>
          </cell>
          <cell r="B2072">
            <v>2071</v>
          </cell>
          <cell r="C2072" t="str">
            <v>CS01/5</v>
          </cell>
          <cell r="D2072" t="str">
            <v>SPHC P/O</v>
          </cell>
          <cell r="E2072" t="str">
            <v>CA1</v>
          </cell>
          <cell r="F2072">
            <v>1.4</v>
          </cell>
          <cell r="G2072">
            <v>360</v>
          </cell>
          <cell r="H2072" t="str">
            <v>C</v>
          </cell>
          <cell r="I2072" t="str">
            <v>A</v>
          </cell>
          <cell r="J2072" t="str">
            <v>SAS</v>
          </cell>
          <cell r="K2072">
            <v>1</v>
          </cell>
          <cell r="L2072">
            <v>476</v>
          </cell>
          <cell r="M2072">
            <v>60043050</v>
          </cell>
          <cell r="N2072" t="str">
            <v>25/A/2005</v>
          </cell>
          <cell r="P2072" t="str">
            <v>FN5A25D1S409201</v>
          </cell>
          <cell r="Q2072" t="str">
            <v>สภาพปกติ</v>
          </cell>
        </row>
        <row r="2073">
          <cell r="A2073">
            <v>60062152</v>
          </cell>
          <cell r="B2073">
            <v>2072</v>
          </cell>
          <cell r="C2073" t="str">
            <v>CS01/5</v>
          </cell>
          <cell r="D2073" t="str">
            <v>SPHC P/O</v>
          </cell>
          <cell r="E2073" t="str">
            <v>CA1</v>
          </cell>
          <cell r="F2073">
            <v>1.4</v>
          </cell>
          <cell r="G2073">
            <v>364</v>
          </cell>
          <cell r="H2073" t="str">
            <v>C</v>
          </cell>
          <cell r="I2073" t="str">
            <v>A</v>
          </cell>
          <cell r="J2073" t="str">
            <v>SAS</v>
          </cell>
          <cell r="K2073">
            <v>1</v>
          </cell>
          <cell r="L2073">
            <v>964</v>
          </cell>
          <cell r="M2073">
            <v>60062152</v>
          </cell>
          <cell r="N2073">
            <v>38890</v>
          </cell>
          <cell r="P2073" t="str">
            <v>FN6622D2S130601</v>
          </cell>
          <cell r="Q2073" t="str">
            <v>สภาพปกติ</v>
          </cell>
        </row>
        <row r="2074">
          <cell r="A2074">
            <v>60062218</v>
          </cell>
          <cell r="B2074">
            <v>2073</v>
          </cell>
          <cell r="C2074" t="str">
            <v>CS01/5</v>
          </cell>
          <cell r="D2074" t="str">
            <v>SPHC P/O</v>
          </cell>
          <cell r="E2074" t="str">
            <v>CA1</v>
          </cell>
          <cell r="F2074">
            <v>1.6</v>
          </cell>
          <cell r="G2074">
            <v>60</v>
          </cell>
          <cell r="H2074" t="str">
            <v>C</v>
          </cell>
          <cell r="I2074" t="str">
            <v>A</v>
          </cell>
          <cell r="J2074" t="str">
            <v>All Metel</v>
          </cell>
          <cell r="K2074">
            <v>1</v>
          </cell>
          <cell r="L2074">
            <v>77</v>
          </cell>
          <cell r="M2074">
            <v>60062218</v>
          </cell>
          <cell r="N2074">
            <v>38891</v>
          </cell>
          <cell r="P2074" t="str">
            <v>FN6623D1S133703</v>
          </cell>
          <cell r="Q2074" t="str">
            <v>สภาพปกติ</v>
          </cell>
        </row>
        <row r="2075">
          <cell r="A2075">
            <v>60062219</v>
          </cell>
          <cell r="B2075">
            <v>2074</v>
          </cell>
          <cell r="C2075" t="str">
            <v>CS01/5</v>
          </cell>
          <cell r="D2075" t="str">
            <v>SPHC P/O</v>
          </cell>
          <cell r="E2075" t="str">
            <v>CA1</v>
          </cell>
          <cell r="F2075">
            <v>1.6</v>
          </cell>
          <cell r="G2075">
            <v>60</v>
          </cell>
          <cell r="H2075" t="str">
            <v>C</v>
          </cell>
          <cell r="I2075" t="str">
            <v>A</v>
          </cell>
          <cell r="J2075" t="str">
            <v>All Metel</v>
          </cell>
          <cell r="K2075">
            <v>1</v>
          </cell>
          <cell r="L2075">
            <v>77</v>
          </cell>
          <cell r="M2075">
            <v>60062219</v>
          </cell>
          <cell r="N2075">
            <v>38891</v>
          </cell>
          <cell r="P2075" t="str">
            <v>FN6623D1S133701</v>
          </cell>
          <cell r="Q2075" t="str">
            <v>สภาพปกติ</v>
          </cell>
        </row>
        <row r="2076">
          <cell r="A2076">
            <v>60062220</v>
          </cell>
          <cell r="B2076">
            <v>2075</v>
          </cell>
          <cell r="C2076" t="str">
            <v>CS01/5</v>
          </cell>
          <cell r="D2076" t="str">
            <v>SPHC P/O</v>
          </cell>
          <cell r="E2076" t="str">
            <v>CA1</v>
          </cell>
          <cell r="F2076">
            <v>1.6</v>
          </cell>
          <cell r="G2076">
            <v>60</v>
          </cell>
          <cell r="H2076" t="str">
            <v>C</v>
          </cell>
          <cell r="I2076" t="str">
            <v>A</v>
          </cell>
          <cell r="J2076" t="str">
            <v>All Metel</v>
          </cell>
          <cell r="K2076">
            <v>1</v>
          </cell>
          <cell r="L2076">
            <v>77</v>
          </cell>
          <cell r="M2076">
            <v>60062220</v>
          </cell>
          <cell r="N2076">
            <v>38891</v>
          </cell>
          <cell r="P2076" t="str">
            <v>FN6623D1S133702</v>
          </cell>
          <cell r="Q2076" t="str">
            <v>สภาพปกติ</v>
          </cell>
        </row>
        <row r="2077">
          <cell r="A2077">
            <v>60062221</v>
          </cell>
          <cell r="B2077">
            <v>2076</v>
          </cell>
          <cell r="C2077" t="str">
            <v>CS01/5</v>
          </cell>
          <cell r="D2077" t="str">
            <v>SPHC P/O</v>
          </cell>
          <cell r="E2077" t="str">
            <v>CA1</v>
          </cell>
          <cell r="F2077">
            <v>1.6</v>
          </cell>
          <cell r="G2077">
            <v>60</v>
          </cell>
          <cell r="H2077" t="str">
            <v>C</v>
          </cell>
          <cell r="I2077" t="str">
            <v>A</v>
          </cell>
          <cell r="J2077" t="str">
            <v>All Metel</v>
          </cell>
          <cell r="K2077">
            <v>1</v>
          </cell>
          <cell r="L2077">
            <v>77</v>
          </cell>
          <cell r="M2077">
            <v>60062221</v>
          </cell>
          <cell r="N2077">
            <v>38891</v>
          </cell>
          <cell r="P2077" t="str">
            <v>FN6623D1S133704</v>
          </cell>
          <cell r="Q2077" t="str">
            <v>สภาพปกติ</v>
          </cell>
        </row>
        <row r="2078">
          <cell r="A2078">
            <v>60062222</v>
          </cell>
          <cell r="B2078">
            <v>2077</v>
          </cell>
          <cell r="C2078" t="str">
            <v>CS01/5</v>
          </cell>
          <cell r="D2078" t="str">
            <v>SPHC P/O</v>
          </cell>
          <cell r="E2078" t="str">
            <v>CA1</v>
          </cell>
          <cell r="F2078">
            <v>1.6</v>
          </cell>
          <cell r="G2078">
            <v>60</v>
          </cell>
          <cell r="H2078" t="str">
            <v>C</v>
          </cell>
          <cell r="I2078" t="str">
            <v>A</v>
          </cell>
          <cell r="J2078" t="str">
            <v>All Metel</v>
          </cell>
          <cell r="K2078">
            <v>1</v>
          </cell>
          <cell r="L2078">
            <v>77</v>
          </cell>
          <cell r="M2078">
            <v>60062222</v>
          </cell>
          <cell r="N2078">
            <v>38891</v>
          </cell>
          <cell r="P2078" t="str">
            <v>FN6623D1S133705</v>
          </cell>
          <cell r="Q2078" t="str">
            <v>สภาพปกติ</v>
          </cell>
        </row>
        <row r="2079">
          <cell r="A2079">
            <v>60062228</v>
          </cell>
          <cell r="B2079">
            <v>2078</v>
          </cell>
          <cell r="C2079" t="str">
            <v>CS01/5</v>
          </cell>
          <cell r="D2079" t="str">
            <v>SPHC P/O</v>
          </cell>
          <cell r="E2079" t="str">
            <v>CA1</v>
          </cell>
          <cell r="F2079">
            <v>1.6</v>
          </cell>
          <cell r="G2079">
            <v>60</v>
          </cell>
          <cell r="H2079" t="str">
            <v>C</v>
          </cell>
          <cell r="I2079" t="str">
            <v>A</v>
          </cell>
          <cell r="J2079" t="str">
            <v>All Metel</v>
          </cell>
          <cell r="K2079">
            <v>1</v>
          </cell>
          <cell r="L2079">
            <v>68</v>
          </cell>
          <cell r="M2079">
            <v>60062228</v>
          </cell>
          <cell r="N2079">
            <v>38891</v>
          </cell>
          <cell r="P2079" t="str">
            <v>FN6623D1S133706</v>
          </cell>
          <cell r="Q2079" t="str">
            <v>สภาพปกติ</v>
          </cell>
        </row>
        <row r="2080">
          <cell r="A2080">
            <v>60062229</v>
          </cell>
          <cell r="B2080">
            <v>2079</v>
          </cell>
          <cell r="C2080" t="str">
            <v>CS01/5</v>
          </cell>
          <cell r="D2080" t="str">
            <v>SPHC P/O</v>
          </cell>
          <cell r="E2080" t="str">
            <v>CA1</v>
          </cell>
          <cell r="F2080">
            <v>1.6</v>
          </cell>
          <cell r="G2080">
            <v>60</v>
          </cell>
          <cell r="H2080" t="str">
            <v>C</v>
          </cell>
          <cell r="I2080" t="str">
            <v>A</v>
          </cell>
          <cell r="J2080" t="str">
            <v>All Metel</v>
          </cell>
          <cell r="K2080">
            <v>1</v>
          </cell>
          <cell r="L2080">
            <v>68</v>
          </cell>
          <cell r="M2080">
            <v>60062229</v>
          </cell>
          <cell r="N2080">
            <v>38891</v>
          </cell>
          <cell r="P2080" t="str">
            <v>FN6623D1S133707</v>
          </cell>
          <cell r="Q2080" t="str">
            <v>สภาพปกติ</v>
          </cell>
        </row>
        <row r="2081">
          <cell r="A2081">
            <v>60056614</v>
          </cell>
          <cell r="B2081">
            <v>2080</v>
          </cell>
          <cell r="C2081" t="str">
            <v>CS01/5</v>
          </cell>
          <cell r="D2081" t="str">
            <v>SPHC P/O</v>
          </cell>
          <cell r="E2081" t="str">
            <v>CA1</v>
          </cell>
          <cell r="F2081">
            <v>1.6</v>
          </cell>
          <cell r="G2081">
            <v>92</v>
          </cell>
          <cell r="H2081" t="str">
            <v>C</v>
          </cell>
          <cell r="I2081" t="str">
            <v>A</v>
          </cell>
          <cell r="J2081" t="str">
            <v>Louis</v>
          </cell>
          <cell r="K2081">
            <v>1</v>
          </cell>
          <cell r="L2081">
            <v>149</v>
          </cell>
          <cell r="M2081">
            <v>60056614</v>
          </cell>
          <cell r="N2081">
            <v>38823</v>
          </cell>
          <cell r="P2081" t="str">
            <v>FN6416D2S927801</v>
          </cell>
          <cell r="Q2081" t="str">
            <v>สภาพปกติ</v>
          </cell>
        </row>
        <row r="2082">
          <cell r="A2082">
            <v>60065396</v>
          </cell>
          <cell r="B2082">
            <v>2081</v>
          </cell>
          <cell r="C2082" t="str">
            <v>CS01/5</v>
          </cell>
          <cell r="D2082" t="str">
            <v>SPHC P/O</v>
          </cell>
          <cell r="E2082" t="str">
            <v>CA1</v>
          </cell>
          <cell r="F2082">
            <v>1.6</v>
          </cell>
          <cell r="G2082">
            <v>104</v>
          </cell>
          <cell r="H2082" t="str">
            <v>C</v>
          </cell>
          <cell r="I2082" t="str">
            <v>A</v>
          </cell>
          <cell r="J2082" t="str">
            <v>File Componance</v>
          </cell>
          <cell r="K2082">
            <v>1</v>
          </cell>
          <cell r="L2082">
            <v>366</v>
          </cell>
          <cell r="M2082">
            <v>60065396</v>
          </cell>
          <cell r="N2082">
            <v>38932</v>
          </cell>
          <cell r="O2082" t="str">
            <v>136614NSI003</v>
          </cell>
          <cell r="P2082" t="str">
            <v>FN6803D1S264301</v>
          </cell>
          <cell r="Q2082" t="str">
            <v>สภาพปกติ</v>
          </cell>
        </row>
        <row r="2083">
          <cell r="A2083">
            <v>60065397</v>
          </cell>
          <cell r="B2083">
            <v>2082</v>
          </cell>
          <cell r="C2083" t="str">
            <v>CS01/5</v>
          </cell>
          <cell r="D2083" t="str">
            <v>SPHC P/O</v>
          </cell>
          <cell r="E2083" t="str">
            <v>CA1</v>
          </cell>
          <cell r="F2083">
            <v>1.6</v>
          </cell>
          <cell r="G2083">
            <v>104</v>
          </cell>
          <cell r="H2083" t="str">
            <v>C</v>
          </cell>
          <cell r="I2083" t="str">
            <v>A</v>
          </cell>
          <cell r="J2083" t="str">
            <v>File Componance</v>
          </cell>
          <cell r="K2083">
            <v>1</v>
          </cell>
          <cell r="L2083">
            <v>366</v>
          </cell>
          <cell r="M2083">
            <v>60065397</v>
          </cell>
          <cell r="N2083">
            <v>38932</v>
          </cell>
          <cell r="P2083" t="str">
            <v>FN6803D1S264302</v>
          </cell>
          <cell r="Q2083" t="str">
            <v>สภาพปกติ</v>
          </cell>
        </row>
        <row r="2084">
          <cell r="A2084">
            <v>60052853</v>
          </cell>
          <cell r="B2084">
            <v>2083</v>
          </cell>
          <cell r="C2084" t="str">
            <v>CS01/5</v>
          </cell>
          <cell r="D2084" t="str">
            <v>SPHC P/O</v>
          </cell>
          <cell r="E2084" t="str">
            <v>CA1</v>
          </cell>
          <cell r="F2084">
            <v>2</v>
          </cell>
          <cell r="G2084">
            <v>65</v>
          </cell>
          <cell r="H2084" t="str">
            <v>C</v>
          </cell>
          <cell r="I2084" t="str">
            <v>A</v>
          </cell>
          <cell r="J2084" t="str">
            <v>AAA</v>
          </cell>
          <cell r="K2084">
            <v>1</v>
          </cell>
          <cell r="L2084">
            <v>127</v>
          </cell>
          <cell r="M2084">
            <v>60052853</v>
          </cell>
          <cell r="N2084">
            <v>38776</v>
          </cell>
          <cell r="P2084" t="str">
            <v>FN6228N1S784201</v>
          </cell>
          <cell r="Q2084" t="str">
            <v>แผ่นรองและสายรัดเป็นสนิม</v>
          </cell>
        </row>
        <row r="2085">
          <cell r="A2085">
            <v>60060238</v>
          </cell>
          <cell r="B2085">
            <v>2084</v>
          </cell>
          <cell r="C2085" t="str">
            <v>CS01/5</v>
          </cell>
          <cell r="D2085" t="str">
            <v>SPHC P/O</v>
          </cell>
          <cell r="E2085" t="str">
            <v>CA1</v>
          </cell>
          <cell r="F2085">
            <v>2</v>
          </cell>
          <cell r="G2085">
            <v>87</v>
          </cell>
          <cell r="H2085" t="str">
            <v>C</v>
          </cell>
          <cell r="I2085" t="str">
            <v>A</v>
          </cell>
          <cell r="J2085" t="str">
            <v>Suppasin</v>
          </cell>
          <cell r="K2085">
            <v>1</v>
          </cell>
          <cell r="L2085">
            <v>318</v>
          </cell>
          <cell r="M2085">
            <v>60060238</v>
          </cell>
          <cell r="N2085">
            <v>38866</v>
          </cell>
          <cell r="P2085" t="str">
            <v>FN6529D2S052901</v>
          </cell>
          <cell r="Q2085" t="str">
            <v>สภาพปกติ</v>
          </cell>
        </row>
        <row r="2086">
          <cell r="A2086">
            <v>60060239</v>
          </cell>
          <cell r="B2086">
            <v>2085</v>
          </cell>
          <cell r="C2086" t="str">
            <v>CS01/5</v>
          </cell>
          <cell r="D2086" t="str">
            <v>SPHC P/O</v>
          </cell>
          <cell r="E2086" t="str">
            <v>CA1</v>
          </cell>
          <cell r="F2086">
            <v>2</v>
          </cell>
          <cell r="G2086">
            <v>87</v>
          </cell>
          <cell r="H2086" t="str">
            <v>C</v>
          </cell>
          <cell r="I2086" t="str">
            <v>A</v>
          </cell>
          <cell r="J2086" t="str">
            <v>Suppasin</v>
          </cell>
          <cell r="K2086">
            <v>1</v>
          </cell>
          <cell r="L2086">
            <v>318</v>
          </cell>
          <cell r="M2086">
            <v>60060239</v>
          </cell>
          <cell r="N2086">
            <v>38866</v>
          </cell>
          <cell r="P2086" t="str">
            <v>FN6529D2S052902</v>
          </cell>
          <cell r="Q2086" t="str">
            <v>สภาพปกติ</v>
          </cell>
        </row>
        <row r="2087">
          <cell r="A2087">
            <v>60060240</v>
          </cell>
          <cell r="B2087">
            <v>2086</v>
          </cell>
          <cell r="C2087" t="str">
            <v>CS01/5</v>
          </cell>
          <cell r="D2087" t="str">
            <v>SPHC P/O</v>
          </cell>
          <cell r="E2087" t="str">
            <v>CA1</v>
          </cell>
          <cell r="F2087">
            <v>2</v>
          </cell>
          <cell r="G2087">
            <v>87</v>
          </cell>
          <cell r="H2087" t="str">
            <v>C</v>
          </cell>
          <cell r="I2087" t="str">
            <v>A</v>
          </cell>
          <cell r="J2087" t="str">
            <v>Suppasin</v>
          </cell>
          <cell r="K2087">
            <v>1</v>
          </cell>
          <cell r="L2087">
            <v>318</v>
          </cell>
          <cell r="M2087">
            <v>60060240</v>
          </cell>
          <cell r="N2087">
            <v>38866</v>
          </cell>
          <cell r="P2087" t="str">
            <v>FN6529D2S052903</v>
          </cell>
          <cell r="Q2087" t="str">
            <v>สภาพปกติ</v>
          </cell>
        </row>
        <row r="2088">
          <cell r="A2088">
            <v>60060241</v>
          </cell>
          <cell r="B2088">
            <v>2087</v>
          </cell>
          <cell r="C2088" t="str">
            <v>CS01/5</v>
          </cell>
          <cell r="D2088" t="str">
            <v>SPHC P/O</v>
          </cell>
          <cell r="E2088" t="str">
            <v>CA1</v>
          </cell>
          <cell r="F2088">
            <v>2</v>
          </cell>
          <cell r="G2088">
            <v>87</v>
          </cell>
          <cell r="H2088" t="str">
            <v>C</v>
          </cell>
          <cell r="I2088" t="str">
            <v>A</v>
          </cell>
          <cell r="J2088" t="str">
            <v>Suppasin</v>
          </cell>
          <cell r="K2088">
            <v>1</v>
          </cell>
          <cell r="L2088">
            <v>318</v>
          </cell>
          <cell r="M2088">
            <v>60060241</v>
          </cell>
          <cell r="N2088">
            <v>38866</v>
          </cell>
          <cell r="P2088" t="str">
            <v>FN6529D2S052904</v>
          </cell>
          <cell r="Q2088" t="str">
            <v>สภาพปกติ</v>
          </cell>
        </row>
        <row r="2089">
          <cell r="A2089">
            <v>60054723</v>
          </cell>
          <cell r="B2089">
            <v>2088</v>
          </cell>
          <cell r="C2089" t="str">
            <v>CS01/5</v>
          </cell>
          <cell r="D2089" t="str">
            <v>SPHC P/O</v>
          </cell>
          <cell r="E2089" t="str">
            <v>CA1</v>
          </cell>
          <cell r="F2089">
            <v>2.2999999999999998</v>
          </cell>
          <cell r="G2089">
            <v>42</v>
          </cell>
          <cell r="H2089" t="str">
            <v>C</v>
          </cell>
          <cell r="I2089" t="str">
            <v>A</v>
          </cell>
          <cell r="J2089" t="str">
            <v>TSA</v>
          </cell>
          <cell r="K2089">
            <v>1</v>
          </cell>
          <cell r="L2089">
            <v>114</v>
          </cell>
          <cell r="M2089">
            <v>60054723</v>
          </cell>
          <cell r="N2089">
            <v>38793</v>
          </cell>
          <cell r="P2089" t="str">
            <v>FN6317N2S821201</v>
          </cell>
          <cell r="Q2089" t="str">
            <v>แผ่นรองและสายรัดเป็นสนิม</v>
          </cell>
        </row>
        <row r="2090">
          <cell r="A2090">
            <v>60052558</v>
          </cell>
          <cell r="B2090">
            <v>2089</v>
          </cell>
          <cell r="C2090" t="str">
            <v>CS01/5</v>
          </cell>
          <cell r="D2090" t="str">
            <v>SPHC P/O</v>
          </cell>
          <cell r="E2090" t="str">
            <v>CA1</v>
          </cell>
          <cell r="F2090">
            <v>2.2999999999999998</v>
          </cell>
          <cell r="G2090">
            <v>53</v>
          </cell>
          <cell r="H2090" t="str">
            <v>C</v>
          </cell>
          <cell r="I2090" t="str">
            <v>A</v>
          </cell>
          <cell r="J2090" t="str">
            <v>Khorach Sai Son</v>
          </cell>
          <cell r="K2090">
            <v>1</v>
          </cell>
          <cell r="L2090">
            <v>241</v>
          </cell>
          <cell r="M2090">
            <v>60052558</v>
          </cell>
          <cell r="N2090">
            <v>38771</v>
          </cell>
          <cell r="P2090" t="str">
            <v>FN6223D2S773301</v>
          </cell>
          <cell r="Q2090" t="str">
            <v>แผ่นรองและสายรัดเป็นสนิม</v>
          </cell>
        </row>
        <row r="2091">
          <cell r="A2091">
            <v>60032887</v>
          </cell>
          <cell r="B2091">
            <v>2090</v>
          </cell>
          <cell r="C2091" t="str">
            <v>CS01/5</v>
          </cell>
          <cell r="D2091" t="str">
            <v>SPHC P/O</v>
          </cell>
          <cell r="E2091" t="str">
            <v>CA1</v>
          </cell>
          <cell r="F2091">
            <v>2.2999999999999998</v>
          </cell>
          <cell r="G2091">
            <v>140</v>
          </cell>
          <cell r="H2091" t="str">
            <v>C</v>
          </cell>
          <cell r="I2091" t="str">
            <v>A</v>
          </cell>
          <cell r="J2091" t="str">
            <v>SAS</v>
          </cell>
          <cell r="K2091">
            <v>1</v>
          </cell>
          <cell r="L2091">
            <v>239</v>
          </cell>
          <cell r="M2091">
            <v>60032887</v>
          </cell>
          <cell r="N2091">
            <v>38470</v>
          </cell>
          <cell r="P2091" t="str">
            <v>FN5428D1S914601</v>
          </cell>
          <cell r="Q2091" t="str">
            <v>แผ่นรองและสายรัดเป็นสนิม</v>
          </cell>
        </row>
        <row r="2092">
          <cell r="A2092">
            <v>60062182</v>
          </cell>
          <cell r="B2092">
            <v>2091</v>
          </cell>
          <cell r="C2092" t="str">
            <v>CS01/5</v>
          </cell>
          <cell r="D2092" t="str">
            <v>SPHC P/O</v>
          </cell>
          <cell r="E2092" t="str">
            <v>CA1</v>
          </cell>
          <cell r="F2092">
            <v>2.2999999999999998</v>
          </cell>
          <cell r="G2092">
            <v>380</v>
          </cell>
          <cell r="H2092" t="str">
            <v>C</v>
          </cell>
          <cell r="I2092" t="str">
            <v>A</v>
          </cell>
          <cell r="J2092" t="str">
            <v>SAS</v>
          </cell>
          <cell r="K2092">
            <v>1</v>
          </cell>
          <cell r="L2092">
            <v>508</v>
          </cell>
          <cell r="M2092">
            <v>60062182</v>
          </cell>
          <cell r="N2092">
            <v>38891</v>
          </cell>
          <cell r="P2092" t="str">
            <v>FN6623N2S127601</v>
          </cell>
          <cell r="Q2092" t="str">
            <v>สภาพปกติ</v>
          </cell>
        </row>
        <row r="2093">
          <cell r="A2093">
            <v>60057103</v>
          </cell>
          <cell r="B2093">
            <v>2092</v>
          </cell>
          <cell r="C2093" t="str">
            <v>CS01/5</v>
          </cell>
          <cell r="D2093" t="str">
            <v>SPHC P/O</v>
          </cell>
          <cell r="E2093" t="str">
            <v>CA1</v>
          </cell>
          <cell r="F2093">
            <v>2.6</v>
          </cell>
          <cell r="G2093">
            <v>79</v>
          </cell>
          <cell r="H2093" t="str">
            <v>C</v>
          </cell>
          <cell r="I2093" t="str">
            <v>A</v>
          </cell>
          <cell r="J2093" t="str">
            <v>Thai Industrial</v>
          </cell>
          <cell r="K2093">
            <v>1</v>
          </cell>
          <cell r="L2093">
            <v>176</v>
          </cell>
          <cell r="M2093">
            <v>60057103</v>
          </cell>
          <cell r="N2093">
            <v>38829</v>
          </cell>
          <cell r="P2093" t="str">
            <v>FN6422N2S951401</v>
          </cell>
          <cell r="Q2093" t="str">
            <v>สภาพปกติ</v>
          </cell>
        </row>
        <row r="2094">
          <cell r="A2094">
            <v>60057104</v>
          </cell>
          <cell r="B2094">
            <v>2093</v>
          </cell>
          <cell r="C2094" t="str">
            <v>CS01/5</v>
          </cell>
          <cell r="D2094" t="str">
            <v>SPHC P/O</v>
          </cell>
          <cell r="E2094" t="str">
            <v>CA1</v>
          </cell>
          <cell r="F2094">
            <v>2.6</v>
          </cell>
          <cell r="G2094">
            <v>79</v>
          </cell>
          <cell r="H2094" t="str">
            <v>C</v>
          </cell>
          <cell r="I2094" t="str">
            <v>A</v>
          </cell>
          <cell r="J2094" t="str">
            <v>Thai Industrial</v>
          </cell>
          <cell r="K2094">
            <v>1</v>
          </cell>
          <cell r="L2094">
            <v>176</v>
          </cell>
          <cell r="M2094">
            <v>60057104</v>
          </cell>
          <cell r="N2094">
            <v>38829</v>
          </cell>
          <cell r="P2094" t="str">
            <v>FN6422N2S951402</v>
          </cell>
          <cell r="Q2094" t="str">
            <v>สภาพปกติ</v>
          </cell>
        </row>
        <row r="2095">
          <cell r="A2095">
            <v>60066021</v>
          </cell>
          <cell r="B2095">
            <v>2094</v>
          </cell>
          <cell r="C2095" t="str">
            <v>CS01/5</v>
          </cell>
          <cell r="D2095" t="str">
            <v>SPHC P/O</v>
          </cell>
          <cell r="E2095" t="str">
            <v>CA1</v>
          </cell>
          <cell r="F2095">
            <v>3</v>
          </cell>
          <cell r="G2095">
            <v>120</v>
          </cell>
          <cell r="H2095" t="str">
            <v>C</v>
          </cell>
          <cell r="I2095" t="str">
            <v>A</v>
          </cell>
          <cell r="J2095" t="str">
            <v>File Componance</v>
          </cell>
          <cell r="K2095">
            <v>1</v>
          </cell>
          <cell r="L2095">
            <v>463</v>
          </cell>
          <cell r="M2095">
            <v>60066021</v>
          </cell>
          <cell r="N2095">
            <v>38941</v>
          </cell>
          <cell r="P2095" t="str">
            <v>FN6812N1S288907</v>
          </cell>
          <cell r="Q2095" t="str">
            <v>สภาพปกติ</v>
          </cell>
        </row>
        <row r="2096">
          <cell r="A2096">
            <v>60066022</v>
          </cell>
          <cell r="B2096">
            <v>2095</v>
          </cell>
          <cell r="C2096" t="str">
            <v>CS01/5</v>
          </cell>
          <cell r="D2096" t="str">
            <v>SPHC P/O</v>
          </cell>
          <cell r="E2096" t="str">
            <v>CA1</v>
          </cell>
          <cell r="F2096">
            <v>3</v>
          </cell>
          <cell r="G2096">
            <v>120</v>
          </cell>
          <cell r="H2096" t="str">
            <v>C</v>
          </cell>
          <cell r="I2096" t="str">
            <v>A</v>
          </cell>
          <cell r="J2096" t="str">
            <v>File Componance</v>
          </cell>
          <cell r="K2096">
            <v>1</v>
          </cell>
          <cell r="L2096">
            <v>463</v>
          </cell>
          <cell r="M2096">
            <v>60066022</v>
          </cell>
          <cell r="N2096">
            <v>38941</v>
          </cell>
          <cell r="P2096" t="str">
            <v>FN6812N1S288908</v>
          </cell>
          <cell r="Q2096" t="str">
            <v>สภาพปกติ</v>
          </cell>
        </row>
        <row r="2097">
          <cell r="A2097">
            <v>60066023</v>
          </cell>
          <cell r="B2097">
            <v>2096</v>
          </cell>
          <cell r="C2097" t="str">
            <v>CS01/5</v>
          </cell>
          <cell r="D2097" t="str">
            <v>SPHC P/O</v>
          </cell>
          <cell r="E2097" t="str">
            <v>CA1</v>
          </cell>
          <cell r="F2097">
            <v>3</v>
          </cell>
          <cell r="G2097">
            <v>120</v>
          </cell>
          <cell r="H2097" t="str">
            <v>C</v>
          </cell>
          <cell r="I2097" t="str">
            <v>A</v>
          </cell>
          <cell r="J2097" t="str">
            <v>File Componance</v>
          </cell>
          <cell r="K2097">
            <v>1</v>
          </cell>
          <cell r="L2097">
            <v>463</v>
          </cell>
          <cell r="M2097">
            <v>60066023</v>
          </cell>
          <cell r="N2097">
            <v>38941</v>
          </cell>
          <cell r="P2097" t="str">
            <v>FN6812N1S288909</v>
          </cell>
          <cell r="Q2097" t="str">
            <v>สภาพปกติ</v>
          </cell>
        </row>
        <row r="2098">
          <cell r="A2098">
            <v>60066024</v>
          </cell>
          <cell r="B2098">
            <v>2097</v>
          </cell>
          <cell r="C2098" t="str">
            <v>CS01/5</v>
          </cell>
          <cell r="D2098" t="str">
            <v>SPHC P/O</v>
          </cell>
          <cell r="E2098" t="str">
            <v>CA1</v>
          </cell>
          <cell r="F2098">
            <v>3</v>
          </cell>
          <cell r="G2098">
            <v>120</v>
          </cell>
          <cell r="H2098" t="str">
            <v>C</v>
          </cell>
          <cell r="I2098" t="str">
            <v>A</v>
          </cell>
          <cell r="J2098" t="str">
            <v>File Componance</v>
          </cell>
          <cell r="K2098">
            <v>1</v>
          </cell>
          <cell r="L2098">
            <v>463</v>
          </cell>
          <cell r="M2098">
            <v>60066024</v>
          </cell>
          <cell r="N2098">
            <v>38941</v>
          </cell>
          <cell r="P2098" t="str">
            <v>FN6812N1S288910</v>
          </cell>
          <cell r="Q2098" t="str">
            <v>สภาพปกติ</v>
          </cell>
        </row>
        <row r="2099">
          <cell r="A2099">
            <v>60051595</v>
          </cell>
          <cell r="B2099">
            <v>2098</v>
          </cell>
          <cell r="C2099" t="str">
            <v>CS01/5</v>
          </cell>
          <cell r="D2099" t="str">
            <v>SPHC P/O</v>
          </cell>
          <cell r="E2099" t="str">
            <v>CA1</v>
          </cell>
          <cell r="F2099">
            <v>4</v>
          </cell>
          <cell r="G2099">
            <v>92</v>
          </cell>
          <cell r="H2099" t="str">
            <v>C</v>
          </cell>
          <cell r="I2099" t="str">
            <v>A</v>
          </cell>
          <cell r="J2099" t="str">
            <v>New Somthai</v>
          </cell>
          <cell r="K2099">
            <v>1</v>
          </cell>
          <cell r="L2099">
            <v>316</v>
          </cell>
          <cell r="M2099">
            <v>60051595</v>
          </cell>
          <cell r="N2099">
            <v>38764</v>
          </cell>
          <cell r="P2099" t="str">
            <v>FN6216N2S741801</v>
          </cell>
          <cell r="Q2099" t="str">
            <v>สภาพปกติ</v>
          </cell>
        </row>
        <row r="2100">
          <cell r="A2100">
            <v>60051596</v>
          </cell>
          <cell r="B2100">
            <v>2099</v>
          </cell>
          <cell r="C2100" t="str">
            <v>CS01/5</v>
          </cell>
          <cell r="D2100" t="str">
            <v>SPHC P/O</v>
          </cell>
          <cell r="E2100" t="str">
            <v>CA1</v>
          </cell>
          <cell r="F2100">
            <v>4</v>
          </cell>
          <cell r="G2100">
            <v>92</v>
          </cell>
          <cell r="H2100" t="str">
            <v>C</v>
          </cell>
          <cell r="I2100" t="str">
            <v>A</v>
          </cell>
          <cell r="J2100" t="str">
            <v>New Somthai</v>
          </cell>
          <cell r="K2100">
            <v>1</v>
          </cell>
          <cell r="L2100">
            <v>316</v>
          </cell>
          <cell r="M2100">
            <v>60051596</v>
          </cell>
          <cell r="N2100">
            <v>38764</v>
          </cell>
          <cell r="P2100" t="str">
            <v>FN6216N2S741802</v>
          </cell>
          <cell r="Q2100" t="str">
            <v>สภาพปกติ</v>
          </cell>
        </row>
        <row r="2101">
          <cell r="A2101">
            <v>60051597</v>
          </cell>
          <cell r="B2101">
            <v>2100</v>
          </cell>
          <cell r="C2101" t="str">
            <v>CS01/5</v>
          </cell>
          <cell r="D2101" t="str">
            <v>SPHC P/O</v>
          </cell>
          <cell r="E2101" t="str">
            <v>CA1</v>
          </cell>
          <cell r="F2101">
            <v>4</v>
          </cell>
          <cell r="G2101">
            <v>92</v>
          </cell>
          <cell r="H2101" t="str">
            <v>C</v>
          </cell>
          <cell r="I2101" t="str">
            <v>A</v>
          </cell>
          <cell r="J2101" t="str">
            <v>New Somthai</v>
          </cell>
          <cell r="K2101">
            <v>1</v>
          </cell>
          <cell r="L2101">
            <v>316</v>
          </cell>
          <cell r="M2101">
            <v>60051597</v>
          </cell>
          <cell r="N2101">
            <v>38764</v>
          </cell>
          <cell r="P2101" t="str">
            <v>FN6216N2S741803</v>
          </cell>
          <cell r="Q2101" t="str">
            <v>สภาพปกติ</v>
          </cell>
        </row>
        <row r="2102">
          <cell r="A2102">
            <v>60066707</v>
          </cell>
          <cell r="B2102">
            <v>2101</v>
          </cell>
          <cell r="C2102" t="str">
            <v>CS01/5</v>
          </cell>
          <cell r="D2102" t="str">
            <v>SPHC P/O</v>
          </cell>
          <cell r="E2102" t="str">
            <v>CA1</v>
          </cell>
          <cell r="F2102">
            <v>4</v>
          </cell>
          <cell r="G2102">
            <v>90.5</v>
          </cell>
          <cell r="H2102" t="str">
            <v>C</v>
          </cell>
          <cell r="I2102" t="str">
            <v>A</v>
          </cell>
          <cell r="J2102" t="str">
            <v>Aoyama</v>
          </cell>
          <cell r="K2102">
            <v>1</v>
          </cell>
          <cell r="L2102">
            <v>272</v>
          </cell>
          <cell r="M2102">
            <v>60066707</v>
          </cell>
          <cell r="N2102">
            <v>38951</v>
          </cell>
          <cell r="P2102" t="str">
            <v>FN6822N2S302701</v>
          </cell>
          <cell r="Q2102" t="str">
            <v>สภาพปกติ</v>
          </cell>
        </row>
        <row r="2103">
          <cell r="A2103">
            <v>60066708</v>
          </cell>
          <cell r="B2103">
            <v>2102</v>
          </cell>
          <cell r="C2103" t="str">
            <v>CS01/5</v>
          </cell>
          <cell r="D2103" t="str">
            <v>SPHC P/O</v>
          </cell>
          <cell r="E2103" t="str">
            <v>CA1</v>
          </cell>
          <cell r="F2103">
            <v>4</v>
          </cell>
          <cell r="G2103">
            <v>90.5</v>
          </cell>
          <cell r="H2103" t="str">
            <v>C</v>
          </cell>
          <cell r="I2103" t="str">
            <v>A</v>
          </cell>
          <cell r="J2103" t="str">
            <v>Aoyama</v>
          </cell>
          <cell r="K2103">
            <v>1</v>
          </cell>
          <cell r="L2103">
            <v>272</v>
          </cell>
          <cell r="M2103">
            <v>60066708</v>
          </cell>
          <cell r="N2103">
            <v>38951</v>
          </cell>
          <cell r="P2103" t="str">
            <v>FN6822N2S302702</v>
          </cell>
          <cell r="Q2103" t="str">
            <v>สภาพปกติ</v>
          </cell>
        </row>
        <row r="2104">
          <cell r="A2104">
            <v>60066709</v>
          </cell>
          <cell r="B2104">
            <v>2103</v>
          </cell>
          <cell r="C2104" t="str">
            <v>CS01/5</v>
          </cell>
          <cell r="D2104" t="str">
            <v>SPHC P/O</v>
          </cell>
          <cell r="E2104" t="str">
            <v>CA1</v>
          </cell>
          <cell r="F2104">
            <v>4</v>
          </cell>
          <cell r="G2104">
            <v>90.5</v>
          </cell>
          <cell r="H2104" t="str">
            <v>C</v>
          </cell>
          <cell r="I2104" t="str">
            <v>A</v>
          </cell>
          <cell r="J2104" t="str">
            <v>Aoyama</v>
          </cell>
          <cell r="K2104">
            <v>1</v>
          </cell>
          <cell r="L2104">
            <v>272</v>
          </cell>
          <cell r="M2104">
            <v>60066709</v>
          </cell>
          <cell r="N2104">
            <v>38951</v>
          </cell>
          <cell r="P2104" t="str">
            <v>FN6822N2S302703</v>
          </cell>
          <cell r="Q2104" t="str">
            <v>สภาพปกติ</v>
          </cell>
        </row>
        <row r="2105">
          <cell r="A2105">
            <v>60066710</v>
          </cell>
          <cell r="B2105">
            <v>2104</v>
          </cell>
          <cell r="C2105" t="str">
            <v>CS01/5</v>
          </cell>
          <cell r="D2105" t="str">
            <v>SPHC P/O</v>
          </cell>
          <cell r="E2105" t="str">
            <v>CA1</v>
          </cell>
          <cell r="F2105">
            <v>4</v>
          </cell>
          <cell r="G2105">
            <v>90.5</v>
          </cell>
          <cell r="H2105" t="str">
            <v>C</v>
          </cell>
          <cell r="I2105" t="str">
            <v>A</v>
          </cell>
          <cell r="J2105" t="str">
            <v>Aoyama</v>
          </cell>
          <cell r="K2105">
            <v>1</v>
          </cell>
          <cell r="L2105">
            <v>272</v>
          </cell>
          <cell r="M2105">
            <v>60066710</v>
          </cell>
          <cell r="N2105">
            <v>38951</v>
          </cell>
          <cell r="P2105" t="str">
            <v>FN6822N2S302704</v>
          </cell>
          <cell r="Q2105" t="str">
            <v>สภาพปกติ</v>
          </cell>
        </row>
        <row r="2106">
          <cell r="A2106">
            <v>60066711</v>
          </cell>
          <cell r="B2106">
            <v>2105</v>
          </cell>
          <cell r="C2106" t="str">
            <v>CS01/5</v>
          </cell>
          <cell r="D2106" t="str">
            <v>SPHC P/O</v>
          </cell>
          <cell r="E2106" t="str">
            <v>CA1</v>
          </cell>
          <cell r="F2106">
            <v>4</v>
          </cell>
          <cell r="G2106">
            <v>90.5</v>
          </cell>
          <cell r="H2106" t="str">
            <v>C</v>
          </cell>
          <cell r="I2106" t="str">
            <v>A</v>
          </cell>
          <cell r="J2106" t="str">
            <v>Aoyama</v>
          </cell>
          <cell r="K2106">
            <v>1</v>
          </cell>
          <cell r="L2106">
            <v>272</v>
          </cell>
          <cell r="M2106">
            <v>60066711</v>
          </cell>
          <cell r="N2106">
            <v>38951</v>
          </cell>
          <cell r="P2106" t="str">
            <v>FN6822N2S302705</v>
          </cell>
          <cell r="Q2106" t="str">
            <v>สภาพปกติ</v>
          </cell>
        </row>
        <row r="2107">
          <cell r="A2107">
            <v>60066712</v>
          </cell>
          <cell r="B2107">
            <v>2106</v>
          </cell>
          <cell r="C2107" t="str">
            <v>CS01/5</v>
          </cell>
          <cell r="D2107" t="str">
            <v>SPHC P/O</v>
          </cell>
          <cell r="E2107" t="str">
            <v>CA1</v>
          </cell>
          <cell r="F2107">
            <v>4</v>
          </cell>
          <cell r="G2107">
            <v>90.5</v>
          </cell>
          <cell r="H2107" t="str">
            <v>C</v>
          </cell>
          <cell r="I2107" t="str">
            <v>A</v>
          </cell>
          <cell r="J2107" t="str">
            <v>Aoyama</v>
          </cell>
          <cell r="K2107">
            <v>1</v>
          </cell>
          <cell r="L2107">
            <v>272</v>
          </cell>
          <cell r="M2107">
            <v>60066712</v>
          </cell>
          <cell r="N2107">
            <v>38951</v>
          </cell>
          <cell r="P2107" t="str">
            <v>FN6822N2S302706</v>
          </cell>
          <cell r="Q2107" t="str">
            <v>สภาพปกติ</v>
          </cell>
        </row>
        <row r="2108">
          <cell r="A2108">
            <v>60066713</v>
          </cell>
          <cell r="B2108">
            <v>2107</v>
          </cell>
          <cell r="C2108" t="str">
            <v>CS01/5</v>
          </cell>
          <cell r="D2108" t="str">
            <v>SPHC P/O</v>
          </cell>
          <cell r="E2108" t="str">
            <v>CA1</v>
          </cell>
          <cell r="F2108">
            <v>4</v>
          </cell>
          <cell r="G2108">
            <v>90.5</v>
          </cell>
          <cell r="H2108" t="str">
            <v>C</v>
          </cell>
          <cell r="I2108" t="str">
            <v>A</v>
          </cell>
          <cell r="J2108" t="str">
            <v>Aoyama</v>
          </cell>
          <cell r="K2108">
            <v>1</v>
          </cell>
          <cell r="L2108">
            <v>272</v>
          </cell>
          <cell r="M2108">
            <v>60066713</v>
          </cell>
          <cell r="N2108">
            <v>38951</v>
          </cell>
          <cell r="P2108" t="str">
            <v>FN6822N2S302707</v>
          </cell>
          <cell r="Q2108" t="str">
            <v>สภาพปกติ</v>
          </cell>
        </row>
        <row r="2109">
          <cell r="A2109">
            <v>60066714</v>
          </cell>
          <cell r="B2109">
            <v>2108</v>
          </cell>
          <cell r="C2109" t="str">
            <v>CS01/5</v>
          </cell>
          <cell r="D2109" t="str">
            <v>SPHC P/O</v>
          </cell>
          <cell r="E2109" t="str">
            <v>CA1</v>
          </cell>
          <cell r="F2109">
            <v>4</v>
          </cell>
          <cell r="G2109">
            <v>90.5</v>
          </cell>
          <cell r="H2109" t="str">
            <v>C</v>
          </cell>
          <cell r="I2109" t="str">
            <v>A</v>
          </cell>
          <cell r="J2109" t="str">
            <v>Aoyama</v>
          </cell>
          <cell r="K2109">
            <v>1</v>
          </cell>
          <cell r="L2109">
            <v>272</v>
          </cell>
          <cell r="M2109">
            <v>60066714</v>
          </cell>
          <cell r="N2109">
            <v>38951</v>
          </cell>
          <cell r="P2109" t="str">
            <v>FN6822N2S302708</v>
          </cell>
          <cell r="Q2109" t="str">
            <v>สภาพปกติ</v>
          </cell>
        </row>
        <row r="2110">
          <cell r="A2110">
            <v>60066715</v>
          </cell>
          <cell r="B2110">
            <v>2109</v>
          </cell>
          <cell r="C2110" t="str">
            <v>CS01/5</v>
          </cell>
          <cell r="D2110" t="str">
            <v>SPHC P/O</v>
          </cell>
          <cell r="E2110" t="str">
            <v>CA1</v>
          </cell>
          <cell r="F2110">
            <v>4</v>
          </cell>
          <cell r="G2110">
            <v>90.5</v>
          </cell>
          <cell r="H2110" t="str">
            <v>C</v>
          </cell>
          <cell r="I2110" t="str">
            <v>A</v>
          </cell>
          <cell r="J2110" t="str">
            <v>Aoyama</v>
          </cell>
          <cell r="K2110">
            <v>1</v>
          </cell>
          <cell r="L2110">
            <v>272</v>
          </cell>
          <cell r="M2110">
            <v>60066715</v>
          </cell>
          <cell r="N2110">
            <v>38951</v>
          </cell>
          <cell r="P2110" t="str">
            <v>FN6822N2S302709</v>
          </cell>
          <cell r="Q2110" t="str">
            <v>สภาพปกติ</v>
          </cell>
        </row>
        <row r="2111">
          <cell r="A2111">
            <v>60029325</v>
          </cell>
          <cell r="B2111">
            <v>2110</v>
          </cell>
          <cell r="C2111" t="str">
            <v>CS01/5</v>
          </cell>
          <cell r="D2111" t="str">
            <v>SAPH440 P/O</v>
          </cell>
          <cell r="E2111" t="str">
            <v>CA5</v>
          </cell>
          <cell r="F2111">
            <v>2.6</v>
          </cell>
          <cell r="G2111">
            <v>106</v>
          </cell>
          <cell r="H2111" t="str">
            <v>C</v>
          </cell>
          <cell r="I2111" t="str">
            <v>A</v>
          </cell>
          <cell r="J2111" t="str">
            <v>SAS</v>
          </cell>
          <cell r="K2111">
            <v>1</v>
          </cell>
          <cell r="L2111">
            <v>505</v>
          </cell>
          <cell r="M2111">
            <v>60029325</v>
          </cell>
          <cell r="N2111">
            <v>38411</v>
          </cell>
          <cell r="P2111" t="str">
            <v>FN5228D1S747001</v>
          </cell>
          <cell r="Q2111" t="str">
            <v>แผ่นรองและสายรัดเป็นสนิม</v>
          </cell>
        </row>
        <row r="2112">
          <cell r="A2112">
            <v>60029337</v>
          </cell>
          <cell r="B2112">
            <v>2111</v>
          </cell>
          <cell r="C2112" t="str">
            <v>CS01/5</v>
          </cell>
          <cell r="D2112" t="str">
            <v>SAPH440 P/O</v>
          </cell>
          <cell r="E2112" t="str">
            <v>CA5</v>
          </cell>
          <cell r="F2112">
            <v>2.6</v>
          </cell>
          <cell r="G2112">
            <v>124</v>
          </cell>
          <cell r="H2112" t="str">
            <v>C</v>
          </cell>
          <cell r="I2112" t="str">
            <v>A</v>
          </cell>
          <cell r="J2112" t="str">
            <v>SAS</v>
          </cell>
          <cell r="K2112">
            <v>1</v>
          </cell>
          <cell r="L2112">
            <v>445</v>
          </cell>
          <cell r="M2112">
            <v>60029337</v>
          </cell>
          <cell r="N2112">
            <v>38411</v>
          </cell>
          <cell r="P2112" t="str">
            <v>FN5228D1S747001</v>
          </cell>
          <cell r="Q2112" t="str">
            <v>แผ่นรองและสายรัดเป็นสนิม</v>
          </cell>
        </row>
        <row r="2113">
          <cell r="A2113">
            <v>60029330</v>
          </cell>
          <cell r="B2113">
            <v>2112</v>
          </cell>
          <cell r="C2113" t="str">
            <v>CS01/5</v>
          </cell>
          <cell r="D2113" t="str">
            <v>SAPH440 P/O</v>
          </cell>
          <cell r="E2113" t="str">
            <v>CA5</v>
          </cell>
          <cell r="F2113">
            <v>2.6</v>
          </cell>
          <cell r="G2113">
            <v>155</v>
          </cell>
          <cell r="H2113" t="str">
            <v>C</v>
          </cell>
          <cell r="I2113" t="str">
            <v>A</v>
          </cell>
          <cell r="J2113" t="str">
            <v>SAS</v>
          </cell>
          <cell r="K2113">
            <v>1</v>
          </cell>
          <cell r="L2113">
            <v>570</v>
          </cell>
          <cell r="M2113">
            <v>60029330</v>
          </cell>
          <cell r="N2113">
            <v>38411</v>
          </cell>
          <cell r="P2113" t="str">
            <v>FN5228D1S747001</v>
          </cell>
          <cell r="Q2113" t="str">
            <v>แผ่นรองและสายรัดเป็นสนิม</v>
          </cell>
        </row>
        <row r="2114">
          <cell r="A2114">
            <v>60028530</v>
          </cell>
          <cell r="B2114">
            <v>2113</v>
          </cell>
          <cell r="C2114" t="str">
            <v>CS01/5</v>
          </cell>
          <cell r="D2114" t="str">
            <v>SAPH440 P/O</v>
          </cell>
          <cell r="E2114" t="str">
            <v>CA5</v>
          </cell>
          <cell r="F2114">
            <v>3.2</v>
          </cell>
          <cell r="G2114">
            <v>181</v>
          </cell>
          <cell r="H2114" t="str">
            <v>C</v>
          </cell>
          <cell r="I2114" t="str">
            <v>A</v>
          </cell>
          <cell r="J2114" t="str">
            <v>SAS</v>
          </cell>
          <cell r="K2114">
            <v>1</v>
          </cell>
          <cell r="L2114">
            <v>705</v>
          </cell>
          <cell r="M2114">
            <v>60028530</v>
          </cell>
          <cell r="N2114">
            <v>38395</v>
          </cell>
          <cell r="P2114" t="str">
            <v>FN5212D1S714201</v>
          </cell>
          <cell r="Q2114" t="str">
            <v>แผ่นรองและสายรัดเป็นสนิม</v>
          </cell>
        </row>
        <row r="2115">
          <cell r="A2115">
            <v>60066480</v>
          </cell>
          <cell r="B2115">
            <v>2114</v>
          </cell>
          <cell r="C2115" t="str">
            <v>CS01/5</v>
          </cell>
          <cell r="D2115" t="str">
            <v>SAPH440 P/O</v>
          </cell>
          <cell r="E2115" t="str">
            <v>CA5</v>
          </cell>
          <cell r="F2115">
            <v>4</v>
          </cell>
          <cell r="G2115">
            <v>75</v>
          </cell>
          <cell r="H2115" t="str">
            <v>C</v>
          </cell>
          <cell r="I2115" t="str">
            <v>A</v>
          </cell>
          <cell r="J2115" t="str">
            <v>SAS</v>
          </cell>
          <cell r="K2115">
            <v>1</v>
          </cell>
          <cell r="L2115">
            <v>327</v>
          </cell>
          <cell r="M2115">
            <v>60066480</v>
          </cell>
          <cell r="N2115">
            <v>38948</v>
          </cell>
          <cell r="P2115" t="str">
            <v>FN6819N2S297501</v>
          </cell>
          <cell r="Q2115" t="str">
            <v>สภาพปกติ</v>
          </cell>
        </row>
        <row r="2116">
          <cell r="A2116">
            <v>60066481</v>
          </cell>
          <cell r="B2116">
            <v>2115</v>
          </cell>
          <cell r="C2116" t="str">
            <v>CS01/5</v>
          </cell>
          <cell r="D2116" t="str">
            <v>SAPH440 P/O</v>
          </cell>
          <cell r="E2116" t="str">
            <v>CA5</v>
          </cell>
          <cell r="F2116">
            <v>4</v>
          </cell>
          <cell r="G2116">
            <v>75</v>
          </cell>
          <cell r="H2116" t="str">
            <v>C</v>
          </cell>
          <cell r="I2116" t="str">
            <v>A</v>
          </cell>
          <cell r="J2116" t="str">
            <v>SAS</v>
          </cell>
          <cell r="K2116">
            <v>1</v>
          </cell>
          <cell r="L2116">
            <v>327</v>
          </cell>
          <cell r="M2116">
            <v>60066481</v>
          </cell>
          <cell r="N2116">
            <v>38948</v>
          </cell>
          <cell r="P2116" t="str">
            <v>FN6819N2S297502</v>
          </cell>
          <cell r="Q2116" t="str">
            <v>สภาพปกติ</v>
          </cell>
        </row>
        <row r="2117">
          <cell r="A2117">
            <v>60066482</v>
          </cell>
          <cell r="B2117">
            <v>2116</v>
          </cell>
          <cell r="C2117" t="str">
            <v>CS01/5</v>
          </cell>
          <cell r="D2117" t="str">
            <v>SAPH440 P/O</v>
          </cell>
          <cell r="E2117" t="str">
            <v>CA5</v>
          </cell>
          <cell r="F2117">
            <v>4</v>
          </cell>
          <cell r="G2117">
            <v>75</v>
          </cell>
          <cell r="H2117" t="str">
            <v>C</v>
          </cell>
          <cell r="I2117" t="str">
            <v>A</v>
          </cell>
          <cell r="J2117" t="str">
            <v>SAS</v>
          </cell>
          <cell r="K2117">
            <v>1</v>
          </cell>
          <cell r="L2117">
            <v>327</v>
          </cell>
          <cell r="M2117">
            <v>60066482</v>
          </cell>
          <cell r="N2117">
            <v>38948</v>
          </cell>
          <cell r="P2117" t="str">
            <v>FN6819N2S297503</v>
          </cell>
          <cell r="Q2117" t="str">
            <v>สภาพปกติ</v>
          </cell>
        </row>
        <row r="2118">
          <cell r="A2118">
            <v>60066497</v>
          </cell>
          <cell r="B2118">
            <v>2117</v>
          </cell>
          <cell r="C2118" t="str">
            <v>CS01/5</v>
          </cell>
          <cell r="D2118" t="str">
            <v>SAPH440 P/O</v>
          </cell>
          <cell r="E2118" t="str">
            <v>CA5</v>
          </cell>
          <cell r="F2118">
            <v>4</v>
          </cell>
          <cell r="G2118">
            <v>75</v>
          </cell>
          <cell r="H2118" t="str">
            <v>C</v>
          </cell>
          <cell r="I2118" t="str">
            <v>A</v>
          </cell>
          <cell r="J2118" t="str">
            <v>SAS</v>
          </cell>
          <cell r="K2118">
            <v>1</v>
          </cell>
          <cell r="L2118">
            <v>312</v>
          </cell>
          <cell r="M2118">
            <v>60066497</v>
          </cell>
          <cell r="N2118">
            <v>38948</v>
          </cell>
          <cell r="P2118" t="str">
            <v>FN6819N2S297507</v>
          </cell>
          <cell r="Q2118" t="str">
            <v>สภาพปกติ</v>
          </cell>
        </row>
        <row r="2119">
          <cell r="A2119">
            <v>60055098</v>
          </cell>
          <cell r="B2119">
            <v>2118</v>
          </cell>
          <cell r="C2119" t="str">
            <v>CS01/5</v>
          </cell>
          <cell r="D2119" t="str">
            <v>SPHC-DS</v>
          </cell>
          <cell r="E2119" t="str">
            <v>DS1</v>
          </cell>
          <cell r="F2119">
            <v>1.6</v>
          </cell>
          <cell r="G2119">
            <v>200</v>
          </cell>
          <cell r="H2119" t="str">
            <v>C</v>
          </cell>
          <cell r="I2119" t="str">
            <v>A</v>
          </cell>
          <cell r="J2119" t="str">
            <v>TSA</v>
          </cell>
          <cell r="K2119">
            <v>1</v>
          </cell>
          <cell r="L2119">
            <v>270</v>
          </cell>
          <cell r="M2119">
            <v>60055098</v>
          </cell>
          <cell r="N2119">
            <v>38797</v>
          </cell>
          <cell r="P2119" t="str">
            <v>FN6321N2S864101</v>
          </cell>
          <cell r="Q2119" t="str">
            <v>สภาพปกติ</v>
          </cell>
        </row>
        <row r="2120">
          <cell r="A2120">
            <v>60063527</v>
          </cell>
          <cell r="B2120">
            <v>2119</v>
          </cell>
          <cell r="C2120" t="str">
            <v>CS01/10</v>
          </cell>
          <cell r="D2120" t="str">
            <v>SPCC-SD</v>
          </cell>
          <cell r="E2120" t="str">
            <v>AF1</v>
          </cell>
          <cell r="F2120">
            <v>0.4</v>
          </cell>
          <cell r="G2120">
            <v>40</v>
          </cell>
          <cell r="H2120" t="str">
            <v>C</v>
          </cell>
          <cell r="I2120" t="str">
            <v>A</v>
          </cell>
          <cell r="K2120">
            <v>1</v>
          </cell>
          <cell r="L2120">
            <v>52</v>
          </cell>
          <cell r="M2120">
            <v>60063527</v>
          </cell>
          <cell r="N2120">
            <v>38912</v>
          </cell>
          <cell r="O2120" t="str">
            <v>126713SUD001</v>
          </cell>
          <cell r="P2120" t="str">
            <v>IN6714D1S202001</v>
          </cell>
          <cell r="Q2120" t="str">
            <v xml:space="preserve">สีฟ้า หมายเหตุยังไม่ได้ Coppy ให้ K เด่น </v>
          </cell>
        </row>
        <row r="2121">
          <cell r="A2121">
            <v>60063528</v>
          </cell>
          <cell r="B2121">
            <v>2120</v>
          </cell>
          <cell r="C2121" t="str">
            <v>CS01/10</v>
          </cell>
          <cell r="D2121" t="str">
            <v>SPCC-SD</v>
          </cell>
          <cell r="E2121" t="str">
            <v>AF1</v>
          </cell>
          <cell r="F2121">
            <v>0.4</v>
          </cell>
          <cell r="G2121">
            <v>443</v>
          </cell>
          <cell r="H2121" t="str">
            <v>C</v>
          </cell>
          <cell r="I2121" t="str">
            <v>A</v>
          </cell>
          <cell r="K2121">
            <v>1</v>
          </cell>
          <cell r="L2121">
            <v>576</v>
          </cell>
          <cell r="M2121">
            <v>60063528</v>
          </cell>
          <cell r="N2121">
            <v>38912</v>
          </cell>
          <cell r="O2121" t="str">
            <v>126713SUD001</v>
          </cell>
          <cell r="P2121" t="str">
            <v>IN6714D1S202001</v>
          </cell>
        </row>
        <row r="2122">
          <cell r="A2122">
            <v>60050732</v>
          </cell>
          <cell r="B2122">
            <v>2121</v>
          </cell>
          <cell r="C2122" t="str">
            <v>CS01/10</v>
          </cell>
          <cell r="D2122" t="str">
            <v>SPCC-SD</v>
          </cell>
          <cell r="E2122" t="str">
            <v>AF1</v>
          </cell>
          <cell r="F2122">
            <v>0.5</v>
          </cell>
          <cell r="G2122">
            <v>83</v>
          </cell>
          <cell r="H2122" t="str">
            <v>C</v>
          </cell>
          <cell r="I2122" t="str">
            <v>A</v>
          </cell>
          <cell r="K2122">
            <v>1</v>
          </cell>
          <cell r="L2122">
            <v>137</v>
          </cell>
          <cell r="M2122">
            <v>60050732</v>
          </cell>
          <cell r="N2122">
            <v>38748</v>
          </cell>
          <cell r="O2122" t="str">
            <v>125B04SUD003</v>
          </cell>
          <cell r="P2122" t="str">
            <v>IN6131N1S697601</v>
          </cell>
        </row>
        <row r="2123">
          <cell r="A2123">
            <v>60052404</v>
          </cell>
          <cell r="B2123">
            <v>2122</v>
          </cell>
          <cell r="C2123" t="str">
            <v>CS01/10</v>
          </cell>
          <cell r="D2123" t="str">
            <v>SPCC-SD</v>
          </cell>
          <cell r="E2123" t="str">
            <v>AF1</v>
          </cell>
          <cell r="F2123">
            <v>0.5</v>
          </cell>
          <cell r="G2123">
            <v>150</v>
          </cell>
          <cell r="H2123" t="str">
            <v>C</v>
          </cell>
          <cell r="I2123" t="str">
            <v>A</v>
          </cell>
          <cell r="K2123">
            <v>1</v>
          </cell>
          <cell r="L2123">
            <v>367</v>
          </cell>
          <cell r="M2123">
            <v>60052404</v>
          </cell>
          <cell r="N2123">
            <v>38769</v>
          </cell>
          <cell r="O2123" t="str">
            <v>125514TCD001</v>
          </cell>
          <cell r="P2123" t="str">
            <v>IN6221N1S757501</v>
          </cell>
        </row>
        <row r="2124">
          <cell r="A2124">
            <v>60052406</v>
          </cell>
          <cell r="B2124">
            <v>2123</v>
          </cell>
          <cell r="C2124" t="str">
            <v>CS01/10</v>
          </cell>
          <cell r="D2124" t="str">
            <v>SPCC-SD</v>
          </cell>
          <cell r="E2124" t="str">
            <v>AF1</v>
          </cell>
          <cell r="F2124">
            <v>0.5</v>
          </cell>
          <cell r="G2124">
            <v>150</v>
          </cell>
          <cell r="H2124" t="str">
            <v>C</v>
          </cell>
          <cell r="I2124" t="str">
            <v>A</v>
          </cell>
          <cell r="K2124">
            <v>1</v>
          </cell>
          <cell r="L2124">
            <v>360</v>
          </cell>
          <cell r="M2124">
            <v>60052406</v>
          </cell>
          <cell r="N2124">
            <v>38769</v>
          </cell>
          <cell r="O2124" t="str">
            <v>125514TCD001</v>
          </cell>
          <cell r="P2124" t="str">
            <v>IN6221N1S757502</v>
          </cell>
        </row>
        <row r="2125">
          <cell r="A2125">
            <v>60052504</v>
          </cell>
          <cell r="B2125">
            <v>2124</v>
          </cell>
          <cell r="C2125" t="str">
            <v>CS01/10</v>
          </cell>
          <cell r="D2125" t="str">
            <v>SPCC-SD</v>
          </cell>
          <cell r="E2125" t="str">
            <v>AF1</v>
          </cell>
          <cell r="F2125">
            <v>0.5</v>
          </cell>
          <cell r="G2125">
            <v>150</v>
          </cell>
          <cell r="H2125" t="str">
            <v>C</v>
          </cell>
          <cell r="I2125" t="str">
            <v>A</v>
          </cell>
          <cell r="K2125">
            <v>1</v>
          </cell>
          <cell r="L2125">
            <v>60</v>
          </cell>
          <cell r="M2125">
            <v>60052504</v>
          </cell>
          <cell r="N2125">
            <v>38769</v>
          </cell>
          <cell r="O2125" t="str">
            <v>125321TCD002</v>
          </cell>
          <cell r="P2125" t="str">
            <v>IN6221N1S764601</v>
          </cell>
        </row>
        <row r="2126">
          <cell r="A2126">
            <v>60052514</v>
          </cell>
          <cell r="B2126">
            <v>2125</v>
          </cell>
          <cell r="C2126" t="str">
            <v>CS01/10</v>
          </cell>
          <cell r="D2126" t="str">
            <v>SPCC-SD</v>
          </cell>
          <cell r="E2126" t="str">
            <v>AF1</v>
          </cell>
          <cell r="F2126">
            <v>0.5</v>
          </cell>
          <cell r="G2126">
            <v>150</v>
          </cell>
          <cell r="H2126" t="str">
            <v>C</v>
          </cell>
          <cell r="I2126" t="str">
            <v>A</v>
          </cell>
          <cell r="K2126">
            <v>1</v>
          </cell>
          <cell r="L2126">
            <v>342</v>
          </cell>
          <cell r="M2126">
            <v>60052514</v>
          </cell>
          <cell r="N2126">
            <v>38769</v>
          </cell>
          <cell r="O2126" t="str">
            <v>125321TCD003</v>
          </cell>
          <cell r="P2126" t="str">
            <v>IN6221N1S764602</v>
          </cell>
        </row>
        <row r="2127">
          <cell r="A2127">
            <v>60053704</v>
          </cell>
          <cell r="B2127">
            <v>2126</v>
          </cell>
          <cell r="C2127" t="str">
            <v>CS01/10</v>
          </cell>
          <cell r="D2127" t="str">
            <v>SPCC-SD</v>
          </cell>
          <cell r="E2127" t="str">
            <v>AF1</v>
          </cell>
          <cell r="F2127">
            <v>0.5</v>
          </cell>
          <cell r="G2127">
            <v>150</v>
          </cell>
          <cell r="H2127" t="str">
            <v>C</v>
          </cell>
          <cell r="I2127" t="str">
            <v>A</v>
          </cell>
          <cell r="K2127">
            <v>1</v>
          </cell>
          <cell r="L2127">
            <v>345</v>
          </cell>
          <cell r="M2127">
            <v>60053704</v>
          </cell>
          <cell r="N2127">
            <v>38785</v>
          </cell>
          <cell r="O2127" t="str">
            <v>125321TCD004</v>
          </cell>
          <cell r="P2127" t="str">
            <v>IN6309D1S814901</v>
          </cell>
        </row>
        <row r="2128">
          <cell r="A2128">
            <v>60053706</v>
          </cell>
          <cell r="B2128">
            <v>2127</v>
          </cell>
          <cell r="C2128" t="str">
            <v>CS01/10</v>
          </cell>
          <cell r="D2128" t="str">
            <v>SPCC-SD</v>
          </cell>
          <cell r="E2128" t="str">
            <v>AF1</v>
          </cell>
          <cell r="F2128">
            <v>0.5</v>
          </cell>
          <cell r="G2128">
            <v>150</v>
          </cell>
          <cell r="H2128" t="str">
            <v>C</v>
          </cell>
          <cell r="I2128" t="str">
            <v>A</v>
          </cell>
          <cell r="K2128">
            <v>1</v>
          </cell>
          <cell r="L2128">
            <v>347</v>
          </cell>
          <cell r="M2128">
            <v>60053706</v>
          </cell>
          <cell r="N2128">
            <v>38785</v>
          </cell>
          <cell r="O2128" t="str">
            <v>125321TCD004</v>
          </cell>
          <cell r="P2128" t="str">
            <v>IN6309D1S814902</v>
          </cell>
        </row>
        <row r="2129">
          <cell r="A2129">
            <v>60050731</v>
          </cell>
          <cell r="B2129">
            <v>2128</v>
          </cell>
          <cell r="C2129" t="str">
            <v>CS01/10</v>
          </cell>
          <cell r="D2129" t="str">
            <v>SPCC-SD</v>
          </cell>
          <cell r="E2129" t="str">
            <v>AF1</v>
          </cell>
          <cell r="F2129">
            <v>0.5</v>
          </cell>
          <cell r="G2129">
            <v>170</v>
          </cell>
          <cell r="H2129" t="str">
            <v>C</v>
          </cell>
          <cell r="I2129" t="str">
            <v>A</v>
          </cell>
          <cell r="K2129">
            <v>1</v>
          </cell>
          <cell r="L2129">
            <v>280</v>
          </cell>
          <cell r="M2129">
            <v>60050731</v>
          </cell>
          <cell r="N2129">
            <v>38748</v>
          </cell>
          <cell r="O2129" t="str">
            <v>25B04SUD005</v>
          </cell>
          <cell r="P2129" t="str">
            <v>IN6131D1S697601</v>
          </cell>
        </row>
        <row r="2130">
          <cell r="A2130">
            <v>60049480</v>
          </cell>
          <cell r="B2130">
            <v>2129</v>
          </cell>
          <cell r="C2130" t="str">
            <v>CS01/10</v>
          </cell>
          <cell r="D2130" t="str">
            <v>SPCC-SD</v>
          </cell>
          <cell r="E2130" t="str">
            <v>AF1</v>
          </cell>
          <cell r="F2130">
            <v>0.6</v>
          </cell>
          <cell r="G2130">
            <v>52</v>
          </cell>
          <cell r="H2130" t="str">
            <v>C</v>
          </cell>
          <cell r="I2130" t="str">
            <v>A</v>
          </cell>
          <cell r="K2130">
            <v>1</v>
          </cell>
          <cell r="L2130">
            <v>230</v>
          </cell>
          <cell r="M2130">
            <v>60049480</v>
          </cell>
          <cell r="N2130">
            <v>38730</v>
          </cell>
          <cell r="O2130" t="str">
            <v>126104TCD027</v>
          </cell>
          <cell r="P2130" t="str">
            <v>FN6113D1S641801</v>
          </cell>
        </row>
        <row r="2131">
          <cell r="A2131">
            <v>60049481</v>
          </cell>
          <cell r="B2131">
            <v>2130</v>
          </cell>
          <cell r="C2131" t="str">
            <v>CS01/10</v>
          </cell>
          <cell r="D2131" t="str">
            <v>SPCC-SD</v>
          </cell>
          <cell r="E2131" t="str">
            <v>AF1</v>
          </cell>
          <cell r="F2131">
            <v>0.6</v>
          </cell>
          <cell r="G2131">
            <v>52</v>
          </cell>
          <cell r="H2131" t="str">
            <v>C</v>
          </cell>
          <cell r="I2131" t="str">
            <v>A</v>
          </cell>
          <cell r="K2131">
            <v>1</v>
          </cell>
          <cell r="L2131">
            <v>230</v>
          </cell>
          <cell r="M2131">
            <v>60049481</v>
          </cell>
          <cell r="N2131">
            <v>38730</v>
          </cell>
          <cell r="O2131" t="str">
            <v>126104TCD027</v>
          </cell>
          <cell r="P2131" t="str">
            <v>FN6113D1S641802</v>
          </cell>
        </row>
        <row r="2132">
          <cell r="A2132">
            <v>60049482</v>
          </cell>
          <cell r="B2132">
            <v>2131</v>
          </cell>
          <cell r="C2132" t="str">
            <v>CS01/10</v>
          </cell>
          <cell r="D2132" t="str">
            <v>SPCC-SD</v>
          </cell>
          <cell r="E2132" t="str">
            <v>AF1</v>
          </cell>
          <cell r="F2132">
            <v>0.6</v>
          </cell>
          <cell r="G2132">
            <v>52</v>
          </cell>
          <cell r="H2132" t="str">
            <v>C</v>
          </cell>
          <cell r="I2132" t="str">
            <v>A</v>
          </cell>
          <cell r="K2132">
            <v>1</v>
          </cell>
          <cell r="L2132">
            <v>230</v>
          </cell>
          <cell r="M2132">
            <v>60049482</v>
          </cell>
          <cell r="N2132">
            <v>38730</v>
          </cell>
          <cell r="O2132" t="str">
            <v>126104TCD027</v>
          </cell>
          <cell r="P2132" t="str">
            <v>FN6113D1S641803</v>
          </cell>
        </row>
        <row r="2133">
          <cell r="A2133">
            <v>60049485</v>
          </cell>
          <cell r="B2133">
            <v>2132</v>
          </cell>
          <cell r="C2133" t="str">
            <v>CS01/10</v>
          </cell>
          <cell r="D2133" t="str">
            <v>SPCC-SD</v>
          </cell>
          <cell r="E2133" t="str">
            <v>AF1</v>
          </cell>
          <cell r="F2133">
            <v>0.6</v>
          </cell>
          <cell r="G2133">
            <v>52</v>
          </cell>
          <cell r="H2133" t="str">
            <v>C</v>
          </cell>
          <cell r="I2133" t="str">
            <v>A</v>
          </cell>
          <cell r="K2133">
            <v>1</v>
          </cell>
          <cell r="L2133">
            <v>214</v>
          </cell>
          <cell r="M2133">
            <v>60049485</v>
          </cell>
          <cell r="N2133">
            <v>38730</v>
          </cell>
          <cell r="O2133" t="str">
            <v>126104TCD027</v>
          </cell>
          <cell r="P2133" t="str">
            <v>FN6113D1S641804</v>
          </cell>
        </row>
        <row r="2134">
          <cell r="A2134">
            <v>60049486</v>
          </cell>
          <cell r="B2134">
            <v>2133</v>
          </cell>
          <cell r="C2134" t="str">
            <v>CS01/10</v>
          </cell>
          <cell r="D2134" t="str">
            <v>SPCC-SD</v>
          </cell>
          <cell r="E2134" t="str">
            <v>AF1</v>
          </cell>
          <cell r="F2134">
            <v>0.6</v>
          </cell>
          <cell r="G2134">
            <v>52</v>
          </cell>
          <cell r="H2134" t="str">
            <v>C</v>
          </cell>
          <cell r="I2134" t="str">
            <v>A</v>
          </cell>
          <cell r="K2134">
            <v>1</v>
          </cell>
          <cell r="L2134">
            <v>214</v>
          </cell>
          <cell r="M2134">
            <v>60049486</v>
          </cell>
          <cell r="N2134">
            <v>38730</v>
          </cell>
          <cell r="O2134" t="str">
            <v>126104TCD027</v>
          </cell>
          <cell r="P2134" t="str">
            <v>FN6113D1S641805</v>
          </cell>
        </row>
        <row r="2135">
          <cell r="A2135">
            <v>60049550</v>
          </cell>
          <cell r="B2135">
            <v>2134</v>
          </cell>
          <cell r="C2135" t="str">
            <v>CS01/10</v>
          </cell>
          <cell r="D2135" t="str">
            <v>SPCC-SD</v>
          </cell>
          <cell r="E2135" t="str">
            <v>AF1</v>
          </cell>
          <cell r="F2135">
            <v>0.6</v>
          </cell>
          <cell r="G2135">
            <v>52</v>
          </cell>
          <cell r="H2135" t="str">
            <v>C</v>
          </cell>
          <cell r="I2135" t="str">
            <v>A</v>
          </cell>
          <cell r="K2135">
            <v>1</v>
          </cell>
          <cell r="L2135">
            <v>130</v>
          </cell>
          <cell r="M2135">
            <v>60049550</v>
          </cell>
          <cell r="N2135">
            <v>38732</v>
          </cell>
          <cell r="O2135" t="str">
            <v>126104TCD028</v>
          </cell>
          <cell r="P2135" t="str">
            <v>FN6115N1S641701</v>
          </cell>
        </row>
        <row r="2136">
          <cell r="A2136">
            <v>60049551</v>
          </cell>
          <cell r="B2136">
            <v>2135</v>
          </cell>
          <cell r="C2136" t="str">
            <v>CS01/10</v>
          </cell>
          <cell r="D2136" t="str">
            <v>SPCC-SD</v>
          </cell>
          <cell r="E2136" t="str">
            <v>AF1</v>
          </cell>
          <cell r="F2136">
            <v>0.6</v>
          </cell>
          <cell r="G2136">
            <v>52</v>
          </cell>
          <cell r="H2136" t="str">
            <v>C</v>
          </cell>
          <cell r="I2136" t="str">
            <v>A</v>
          </cell>
          <cell r="K2136">
            <v>1</v>
          </cell>
          <cell r="L2136">
            <v>134</v>
          </cell>
          <cell r="M2136">
            <v>60049551</v>
          </cell>
          <cell r="N2136">
            <v>38732</v>
          </cell>
          <cell r="O2136" t="str">
            <v>126104TCD028</v>
          </cell>
          <cell r="P2136" t="str">
            <v>FN6115N1S641702</v>
          </cell>
        </row>
        <row r="2137">
          <cell r="A2137">
            <v>60049554</v>
          </cell>
          <cell r="B2137">
            <v>2136</v>
          </cell>
          <cell r="C2137" t="str">
            <v>CS01/10</v>
          </cell>
          <cell r="D2137" t="str">
            <v>SPCC-SD</v>
          </cell>
          <cell r="E2137" t="str">
            <v>AF1</v>
          </cell>
          <cell r="F2137">
            <v>0.6</v>
          </cell>
          <cell r="G2137">
            <v>52</v>
          </cell>
          <cell r="H2137" t="str">
            <v>C</v>
          </cell>
          <cell r="I2137" t="str">
            <v>A</v>
          </cell>
          <cell r="K2137">
            <v>1</v>
          </cell>
          <cell r="L2137">
            <v>106</v>
          </cell>
          <cell r="M2137">
            <v>60049554</v>
          </cell>
          <cell r="N2137">
            <v>38732</v>
          </cell>
          <cell r="O2137" t="str">
            <v>126104TCD028</v>
          </cell>
          <cell r="P2137" t="str">
            <v>FN6115N1S641703</v>
          </cell>
        </row>
        <row r="2138">
          <cell r="A2138">
            <v>60049555</v>
          </cell>
          <cell r="B2138">
            <v>2137</v>
          </cell>
          <cell r="C2138" t="str">
            <v>CS01/10</v>
          </cell>
          <cell r="D2138" t="str">
            <v>SPCC-SD</v>
          </cell>
          <cell r="E2138" t="str">
            <v>AF1</v>
          </cell>
          <cell r="F2138">
            <v>0.6</v>
          </cell>
          <cell r="G2138">
            <v>52</v>
          </cell>
          <cell r="H2138" t="str">
            <v>C</v>
          </cell>
          <cell r="I2138" t="str">
            <v>A</v>
          </cell>
          <cell r="K2138">
            <v>1</v>
          </cell>
          <cell r="L2138">
            <v>104</v>
          </cell>
          <cell r="M2138">
            <v>60049555</v>
          </cell>
          <cell r="N2138">
            <v>38732</v>
          </cell>
          <cell r="O2138" t="str">
            <v>126104TCD028</v>
          </cell>
          <cell r="P2138" t="str">
            <v>FN6115N1S641704</v>
          </cell>
        </row>
        <row r="2139">
          <cell r="A2139">
            <v>60049479</v>
          </cell>
          <cell r="B2139">
            <v>2138</v>
          </cell>
          <cell r="C2139" t="str">
            <v>CS01/10</v>
          </cell>
          <cell r="D2139" t="str">
            <v>SPCC-SD</v>
          </cell>
          <cell r="E2139" t="str">
            <v>AF1</v>
          </cell>
          <cell r="F2139">
            <v>0.6</v>
          </cell>
          <cell r="G2139">
            <v>83</v>
          </cell>
          <cell r="H2139" t="str">
            <v>C</v>
          </cell>
          <cell r="I2139" t="str">
            <v>A</v>
          </cell>
          <cell r="K2139">
            <v>1</v>
          </cell>
          <cell r="L2139">
            <v>370</v>
          </cell>
          <cell r="M2139">
            <v>60049479</v>
          </cell>
          <cell r="N2139">
            <v>38730</v>
          </cell>
          <cell r="O2139" t="str">
            <v>126104TCD027</v>
          </cell>
          <cell r="P2139" t="str">
            <v>FN6113D1S641801</v>
          </cell>
        </row>
        <row r="2140">
          <cell r="A2140">
            <v>60049547</v>
          </cell>
          <cell r="B2140">
            <v>2139</v>
          </cell>
          <cell r="C2140" t="str">
            <v>CS01/10</v>
          </cell>
          <cell r="D2140" t="str">
            <v>SPCC-SD</v>
          </cell>
          <cell r="E2140" t="str">
            <v>AF1</v>
          </cell>
          <cell r="F2140">
            <v>0.6</v>
          </cell>
          <cell r="G2140">
            <v>83</v>
          </cell>
          <cell r="H2140" t="str">
            <v>C</v>
          </cell>
          <cell r="I2140" t="str">
            <v>A</v>
          </cell>
          <cell r="K2140">
            <v>1</v>
          </cell>
          <cell r="L2140">
            <v>272</v>
          </cell>
          <cell r="M2140">
            <v>60049547</v>
          </cell>
          <cell r="N2140">
            <v>38731</v>
          </cell>
          <cell r="O2140" t="str">
            <v>126104TCD028</v>
          </cell>
          <cell r="P2140" t="str">
            <v>FN6114D1S641701</v>
          </cell>
        </row>
        <row r="2141">
          <cell r="A2141">
            <v>60050761</v>
          </cell>
          <cell r="B2141">
            <v>2140</v>
          </cell>
          <cell r="C2141" t="str">
            <v>CS01/10</v>
          </cell>
          <cell r="D2141" t="str">
            <v>SPCC-SD</v>
          </cell>
          <cell r="E2141" t="str">
            <v>AF1</v>
          </cell>
          <cell r="F2141">
            <v>0.6</v>
          </cell>
          <cell r="G2141">
            <v>83</v>
          </cell>
          <cell r="H2141" t="str">
            <v>C</v>
          </cell>
          <cell r="I2141" t="str">
            <v>A</v>
          </cell>
          <cell r="K2141">
            <v>1</v>
          </cell>
          <cell r="L2141">
            <v>202</v>
          </cell>
          <cell r="M2141">
            <v>60050761</v>
          </cell>
          <cell r="N2141">
            <v>38749</v>
          </cell>
          <cell r="O2141" t="str">
            <v>125809TCD004</v>
          </cell>
          <cell r="P2141" t="str">
            <v>FN6201N1S698101</v>
          </cell>
        </row>
        <row r="2142">
          <cell r="A2142">
            <v>60058281</v>
          </cell>
          <cell r="B2142">
            <v>2141</v>
          </cell>
          <cell r="C2142" t="str">
            <v>CS01/10</v>
          </cell>
          <cell r="D2142" t="str">
            <v>SPCC-SD</v>
          </cell>
          <cell r="E2142" t="str">
            <v>AF1</v>
          </cell>
          <cell r="F2142">
            <v>0.6</v>
          </cell>
          <cell r="G2142">
            <v>105</v>
          </cell>
          <cell r="H2142" t="str">
            <v>C</v>
          </cell>
          <cell r="I2142" t="str">
            <v>A</v>
          </cell>
          <cell r="K2142">
            <v>1</v>
          </cell>
          <cell r="L2142">
            <v>557</v>
          </cell>
          <cell r="M2142">
            <v>60058281</v>
          </cell>
          <cell r="N2142">
            <v>38841</v>
          </cell>
          <cell r="O2142" t="str">
            <v>126104TCD029</v>
          </cell>
          <cell r="P2142" t="str">
            <v>IN6504D1S979801</v>
          </cell>
        </row>
        <row r="2143">
          <cell r="A2143">
            <v>60062815</v>
          </cell>
          <cell r="B2143">
            <v>2142</v>
          </cell>
          <cell r="C2143" t="str">
            <v>CS01/10</v>
          </cell>
          <cell r="D2143" t="str">
            <v>SPCC-SD</v>
          </cell>
          <cell r="E2143" t="str">
            <v>AF1</v>
          </cell>
          <cell r="F2143">
            <v>0.7</v>
          </cell>
          <cell r="G2143">
            <v>44</v>
          </cell>
          <cell r="H2143" t="str">
            <v>C</v>
          </cell>
          <cell r="I2143" t="str">
            <v>A</v>
          </cell>
          <cell r="K2143">
            <v>1</v>
          </cell>
          <cell r="L2143">
            <v>65</v>
          </cell>
          <cell r="M2143">
            <v>60062815</v>
          </cell>
          <cell r="N2143">
            <v>38900</v>
          </cell>
          <cell r="O2143" t="str">
            <v>125907TCD001</v>
          </cell>
          <cell r="P2143" t="str">
            <v>IN6702N1S161401</v>
          </cell>
        </row>
        <row r="2144">
          <cell r="A2144">
            <v>60051024</v>
          </cell>
          <cell r="B2144">
            <v>2143</v>
          </cell>
          <cell r="C2144" t="str">
            <v>CS01/10</v>
          </cell>
          <cell r="D2144" t="str">
            <v>SPCC-SD</v>
          </cell>
          <cell r="E2144" t="str">
            <v>AF1</v>
          </cell>
          <cell r="F2144">
            <v>0.7</v>
          </cell>
          <cell r="G2144">
            <v>60</v>
          </cell>
          <cell r="H2144" t="str">
            <v>C</v>
          </cell>
          <cell r="I2144" t="str">
            <v>A</v>
          </cell>
          <cell r="K2144">
            <v>1</v>
          </cell>
          <cell r="L2144">
            <v>86</v>
          </cell>
          <cell r="M2144">
            <v>60051024</v>
          </cell>
          <cell r="N2144">
            <v>38754</v>
          </cell>
          <cell r="O2144" t="str">
            <v>125514TCD009</v>
          </cell>
          <cell r="P2144" t="str">
            <v>IN6206N1S711501</v>
          </cell>
        </row>
        <row r="2145">
          <cell r="A2145">
            <v>60040074</v>
          </cell>
          <cell r="B2145">
            <v>2144</v>
          </cell>
          <cell r="C2145" t="str">
            <v>CS01/10</v>
          </cell>
          <cell r="D2145" t="str">
            <v>SPCC-SD</v>
          </cell>
          <cell r="E2145" t="str">
            <v>AF1</v>
          </cell>
          <cell r="F2145">
            <v>0.7</v>
          </cell>
          <cell r="G2145">
            <v>90</v>
          </cell>
          <cell r="H2145" t="str">
            <v>C</v>
          </cell>
          <cell r="I2145" t="str">
            <v>A</v>
          </cell>
          <cell r="K2145">
            <v>1</v>
          </cell>
          <cell r="L2145">
            <v>216</v>
          </cell>
          <cell r="M2145">
            <v>60040074</v>
          </cell>
          <cell r="N2145">
            <v>38601</v>
          </cell>
          <cell r="O2145" t="str">
            <v>124830TCD001</v>
          </cell>
          <cell r="P2145" t="str">
            <v>IN5906N1S273901</v>
          </cell>
        </row>
        <row r="2146">
          <cell r="A2146">
            <v>60040599</v>
          </cell>
          <cell r="B2146">
            <v>2145</v>
          </cell>
          <cell r="C2146" t="str">
            <v>CS01/10</v>
          </cell>
          <cell r="D2146" t="str">
            <v>SPCC-SD</v>
          </cell>
          <cell r="E2146" t="str">
            <v>AF1</v>
          </cell>
          <cell r="F2146">
            <v>0.7</v>
          </cell>
          <cell r="G2146">
            <v>147</v>
          </cell>
          <cell r="H2146" t="str">
            <v>C</v>
          </cell>
          <cell r="I2146" t="str">
            <v>A</v>
          </cell>
          <cell r="K2146">
            <v>1</v>
          </cell>
          <cell r="L2146">
            <v>434</v>
          </cell>
          <cell r="M2146">
            <v>60040599</v>
          </cell>
          <cell r="N2146">
            <v>38609</v>
          </cell>
          <cell r="O2146" t="str">
            <v>125514TCD010</v>
          </cell>
          <cell r="P2146" t="str">
            <v>IN5914N1S286401</v>
          </cell>
        </row>
        <row r="2147">
          <cell r="A2147">
            <v>60049078</v>
          </cell>
          <cell r="B2147">
            <v>2146</v>
          </cell>
          <cell r="C2147" t="str">
            <v>CS01/10</v>
          </cell>
          <cell r="D2147" t="str">
            <v>SPCC-SD</v>
          </cell>
          <cell r="E2147" t="str">
            <v>AF1</v>
          </cell>
          <cell r="F2147">
            <v>0.8</v>
          </cell>
          <cell r="G2147">
            <v>36</v>
          </cell>
          <cell r="H2147" t="str">
            <v>C</v>
          </cell>
          <cell r="I2147" t="str">
            <v>A</v>
          </cell>
          <cell r="K2147">
            <v>1</v>
          </cell>
          <cell r="L2147">
            <v>80</v>
          </cell>
          <cell r="M2147">
            <v>60049078</v>
          </cell>
          <cell r="N2147">
            <v>38724</v>
          </cell>
          <cell r="O2147" t="str">
            <v>125B24SUD012</v>
          </cell>
          <cell r="P2147" t="str">
            <v>IN6107N1S627301</v>
          </cell>
        </row>
        <row r="2148">
          <cell r="A2148">
            <v>60049056</v>
          </cell>
          <cell r="B2148">
            <v>2147</v>
          </cell>
          <cell r="C2148" t="str">
            <v>CS01/10</v>
          </cell>
          <cell r="D2148" t="str">
            <v>SPCC-SD</v>
          </cell>
          <cell r="E2148" t="str">
            <v>AF1</v>
          </cell>
          <cell r="F2148">
            <v>0.8</v>
          </cell>
          <cell r="G2148">
            <v>46</v>
          </cell>
          <cell r="H2148" t="str">
            <v>C</v>
          </cell>
          <cell r="I2148" t="str">
            <v>A</v>
          </cell>
          <cell r="K2148">
            <v>1</v>
          </cell>
          <cell r="L2148">
            <v>112</v>
          </cell>
          <cell r="M2148">
            <v>60049056</v>
          </cell>
          <cell r="N2148">
            <v>38724</v>
          </cell>
          <cell r="O2148" t="str">
            <v>125B24SUD012</v>
          </cell>
          <cell r="P2148" t="str">
            <v>IN6107N1S627301</v>
          </cell>
        </row>
        <row r="2149">
          <cell r="A2149">
            <v>60049052</v>
          </cell>
          <cell r="B2149">
            <v>2148</v>
          </cell>
          <cell r="C2149" t="str">
            <v>CS01/10</v>
          </cell>
          <cell r="D2149" t="str">
            <v>SPCC-SD</v>
          </cell>
          <cell r="E2149" t="str">
            <v>AF1</v>
          </cell>
          <cell r="F2149">
            <v>0.8</v>
          </cell>
          <cell r="G2149">
            <v>74</v>
          </cell>
          <cell r="H2149" t="str">
            <v>C</v>
          </cell>
          <cell r="I2149" t="str">
            <v>A</v>
          </cell>
          <cell r="K2149">
            <v>1</v>
          </cell>
          <cell r="L2149">
            <v>152</v>
          </cell>
          <cell r="M2149">
            <v>60049052</v>
          </cell>
          <cell r="N2149">
            <v>38724</v>
          </cell>
          <cell r="O2149" t="str">
            <v>125B24SUD012</v>
          </cell>
          <cell r="P2149" t="str">
            <v>IN6107N1S627301</v>
          </cell>
        </row>
        <row r="2150">
          <cell r="A2150">
            <v>60049259</v>
          </cell>
          <cell r="B2150">
            <v>2149</v>
          </cell>
          <cell r="C2150" t="str">
            <v>CS01/10</v>
          </cell>
          <cell r="D2150" t="str">
            <v>SPCC-SD</v>
          </cell>
          <cell r="E2150" t="str">
            <v>AF1</v>
          </cell>
          <cell r="F2150">
            <v>0.8</v>
          </cell>
          <cell r="G2150">
            <v>80</v>
          </cell>
          <cell r="H2150" t="str">
            <v>C</v>
          </cell>
          <cell r="I2150" t="str">
            <v>A</v>
          </cell>
          <cell r="K2150">
            <v>1</v>
          </cell>
          <cell r="L2150">
            <v>80</v>
          </cell>
          <cell r="M2150">
            <v>60049259</v>
          </cell>
          <cell r="N2150">
            <v>38727</v>
          </cell>
          <cell r="O2150" t="str">
            <v>125C19SUD003</v>
          </cell>
          <cell r="P2150" t="str">
            <v>IN6110D1S635601</v>
          </cell>
        </row>
        <row r="2151">
          <cell r="A2151">
            <v>60042680</v>
          </cell>
          <cell r="B2151">
            <v>2150</v>
          </cell>
          <cell r="C2151" t="str">
            <v>CS01/10</v>
          </cell>
          <cell r="D2151" t="str">
            <v>SPCC-SD</v>
          </cell>
          <cell r="E2151" t="str">
            <v>AF1</v>
          </cell>
          <cell r="F2151">
            <v>0.8</v>
          </cell>
          <cell r="G2151">
            <v>83</v>
          </cell>
          <cell r="H2151" t="str">
            <v>C</v>
          </cell>
          <cell r="I2151" t="str">
            <v>A</v>
          </cell>
          <cell r="K2151">
            <v>1</v>
          </cell>
          <cell r="L2151">
            <v>202</v>
          </cell>
          <cell r="M2151">
            <v>60042680</v>
          </cell>
          <cell r="N2151" t="str">
            <v>19/A/2005</v>
          </cell>
          <cell r="O2151" t="str">
            <v>124B27SUD005</v>
          </cell>
          <cell r="P2151" t="str">
            <v>FN5A19N1S366501</v>
          </cell>
        </row>
        <row r="2152">
          <cell r="A2152">
            <v>60064090</v>
          </cell>
          <cell r="B2152">
            <v>2151</v>
          </cell>
          <cell r="C2152" t="str">
            <v>CS01/10</v>
          </cell>
          <cell r="D2152" t="str">
            <v>SPCC-SD</v>
          </cell>
          <cell r="E2152" t="str">
            <v>AF1</v>
          </cell>
          <cell r="F2152">
            <v>0.8</v>
          </cell>
          <cell r="G2152">
            <v>84</v>
          </cell>
          <cell r="H2152" t="str">
            <v>C</v>
          </cell>
          <cell r="I2152" t="str">
            <v>A</v>
          </cell>
          <cell r="K2152">
            <v>1</v>
          </cell>
          <cell r="L2152">
            <v>317</v>
          </cell>
          <cell r="M2152">
            <v>60064090</v>
          </cell>
          <cell r="N2152">
            <v>38919</v>
          </cell>
          <cell r="O2152" t="str">
            <v>126424SUD008</v>
          </cell>
          <cell r="P2152" t="str">
            <v>IN6721N1S225501</v>
          </cell>
        </row>
        <row r="2153">
          <cell r="A2153">
            <v>60054057</v>
          </cell>
          <cell r="B2153">
            <v>2152</v>
          </cell>
          <cell r="C2153" t="str">
            <v>CS01/10</v>
          </cell>
          <cell r="D2153" t="str">
            <v>SPCC-SD</v>
          </cell>
          <cell r="E2153" t="str">
            <v>AF1</v>
          </cell>
          <cell r="F2153">
            <v>0.8</v>
          </cell>
          <cell r="G2153">
            <v>100</v>
          </cell>
          <cell r="H2153" t="str">
            <v>C</v>
          </cell>
          <cell r="I2153" t="str">
            <v>A</v>
          </cell>
          <cell r="K2153">
            <v>1</v>
          </cell>
          <cell r="L2153">
            <v>664</v>
          </cell>
          <cell r="M2153">
            <v>60054057</v>
          </cell>
          <cell r="N2153">
            <v>38787</v>
          </cell>
          <cell r="O2153" t="str">
            <v>126218SUD003</v>
          </cell>
          <cell r="P2153" t="str">
            <v>IN6311N1S825301</v>
          </cell>
        </row>
        <row r="2154">
          <cell r="A2154">
            <v>60057547</v>
          </cell>
          <cell r="B2154">
            <v>2153</v>
          </cell>
          <cell r="C2154" t="str">
            <v>CS01/10</v>
          </cell>
          <cell r="D2154" t="str">
            <v>SPCC-SD</v>
          </cell>
          <cell r="E2154" t="str">
            <v>AF1</v>
          </cell>
          <cell r="F2154">
            <v>0.8</v>
          </cell>
          <cell r="G2154">
            <v>189</v>
          </cell>
          <cell r="H2154" t="str">
            <v>C</v>
          </cell>
          <cell r="I2154" t="str">
            <v>A</v>
          </cell>
          <cell r="K2154">
            <v>1</v>
          </cell>
          <cell r="L2154">
            <v>1254</v>
          </cell>
          <cell r="M2154">
            <v>60057547</v>
          </cell>
          <cell r="N2154">
            <v>38833</v>
          </cell>
          <cell r="O2154" t="str">
            <v>126424SUD009</v>
          </cell>
          <cell r="P2154" t="str">
            <v>IN6426N1S969701</v>
          </cell>
        </row>
        <row r="2155">
          <cell r="A2155">
            <v>60063400</v>
          </cell>
          <cell r="B2155">
            <v>2154</v>
          </cell>
          <cell r="C2155" t="str">
            <v>CS01/10</v>
          </cell>
          <cell r="D2155" t="str">
            <v>SPCC-SD</v>
          </cell>
          <cell r="E2155" t="str">
            <v>AF1</v>
          </cell>
          <cell r="F2155">
            <v>1</v>
          </cell>
          <cell r="G2155">
            <v>44</v>
          </cell>
          <cell r="H2155" t="str">
            <v>C</v>
          </cell>
          <cell r="I2155" t="str">
            <v>A</v>
          </cell>
          <cell r="K2155">
            <v>1</v>
          </cell>
          <cell r="L2155">
            <v>261</v>
          </cell>
          <cell r="M2155">
            <v>60063400</v>
          </cell>
          <cell r="N2155">
            <v>38910</v>
          </cell>
          <cell r="O2155" t="str">
            <v>126216SUD023</v>
          </cell>
          <cell r="P2155" t="str">
            <v>IN6712D1S193301</v>
          </cell>
        </row>
        <row r="2156">
          <cell r="A2156">
            <v>60061552</v>
          </cell>
          <cell r="B2156">
            <v>2155</v>
          </cell>
          <cell r="C2156" t="str">
            <v>CS01/10</v>
          </cell>
          <cell r="D2156" t="str">
            <v>SPCC-SD</v>
          </cell>
          <cell r="E2156" t="str">
            <v>AF1</v>
          </cell>
          <cell r="F2156">
            <v>1</v>
          </cell>
          <cell r="G2156">
            <v>73</v>
          </cell>
          <cell r="H2156" t="str">
            <v>C</v>
          </cell>
          <cell r="I2156" t="str">
            <v>A</v>
          </cell>
          <cell r="K2156">
            <v>1</v>
          </cell>
          <cell r="L2156">
            <v>470</v>
          </cell>
          <cell r="M2156">
            <v>60061552</v>
          </cell>
          <cell r="N2156">
            <v>38881</v>
          </cell>
          <cell r="P2156" t="str">
            <v>IN6613DZZ999901</v>
          </cell>
        </row>
        <row r="2157">
          <cell r="A2157">
            <v>60061553</v>
          </cell>
          <cell r="B2157">
            <v>2156</v>
          </cell>
          <cell r="C2157" t="str">
            <v>CS01/10</v>
          </cell>
          <cell r="D2157" t="str">
            <v>SPCC-SD</v>
          </cell>
          <cell r="E2157" t="str">
            <v>AF1</v>
          </cell>
          <cell r="F2157">
            <v>1</v>
          </cell>
          <cell r="G2157">
            <v>73</v>
          </cell>
          <cell r="H2157" t="str">
            <v>C</v>
          </cell>
          <cell r="I2157" t="str">
            <v>A</v>
          </cell>
          <cell r="K2157">
            <v>1</v>
          </cell>
          <cell r="L2157">
            <v>470</v>
          </cell>
          <cell r="M2157">
            <v>60061553</v>
          </cell>
          <cell r="N2157">
            <v>38881</v>
          </cell>
          <cell r="P2157" t="str">
            <v>IN6613DZZ999902</v>
          </cell>
        </row>
        <row r="2158">
          <cell r="A2158">
            <v>60061554</v>
          </cell>
          <cell r="B2158">
            <v>2157</v>
          </cell>
          <cell r="C2158" t="str">
            <v>CS01/10</v>
          </cell>
          <cell r="D2158" t="str">
            <v>SPCC-SD</v>
          </cell>
          <cell r="E2158" t="str">
            <v>AF1</v>
          </cell>
          <cell r="F2158">
            <v>1</v>
          </cell>
          <cell r="G2158">
            <v>73</v>
          </cell>
          <cell r="H2158" t="str">
            <v>C</v>
          </cell>
          <cell r="I2158" t="str">
            <v>A</v>
          </cell>
          <cell r="K2158">
            <v>1</v>
          </cell>
          <cell r="L2158">
            <v>408</v>
          </cell>
          <cell r="M2158">
            <v>60061554</v>
          </cell>
          <cell r="N2158">
            <v>38881</v>
          </cell>
          <cell r="P2158" t="str">
            <v>IN6613DZZ999903</v>
          </cell>
        </row>
        <row r="2159">
          <cell r="A2159">
            <v>60061555</v>
          </cell>
          <cell r="B2159">
            <v>2158</v>
          </cell>
          <cell r="C2159" t="str">
            <v>CS01/10</v>
          </cell>
          <cell r="D2159" t="str">
            <v>SPCC-SD</v>
          </cell>
          <cell r="E2159" t="str">
            <v>AF1</v>
          </cell>
          <cell r="F2159">
            <v>1</v>
          </cell>
          <cell r="G2159">
            <v>73</v>
          </cell>
          <cell r="H2159" t="str">
            <v>C</v>
          </cell>
          <cell r="I2159" t="str">
            <v>A</v>
          </cell>
          <cell r="K2159">
            <v>1</v>
          </cell>
          <cell r="L2159">
            <v>395</v>
          </cell>
          <cell r="M2159">
            <v>60061555</v>
          </cell>
          <cell r="N2159">
            <v>38881</v>
          </cell>
          <cell r="P2159" t="str">
            <v>IN6613DZZ999904</v>
          </cell>
        </row>
        <row r="2160">
          <cell r="A2160">
            <v>60061556</v>
          </cell>
          <cell r="B2160">
            <v>2159</v>
          </cell>
          <cell r="C2160" t="str">
            <v>CS01/10</v>
          </cell>
          <cell r="D2160" t="str">
            <v>SPCC-SD</v>
          </cell>
          <cell r="E2160" t="str">
            <v>AF1</v>
          </cell>
          <cell r="F2160">
            <v>1</v>
          </cell>
          <cell r="G2160">
            <v>73</v>
          </cell>
          <cell r="H2160" t="str">
            <v>C</v>
          </cell>
          <cell r="I2160" t="str">
            <v>A</v>
          </cell>
          <cell r="K2160">
            <v>1</v>
          </cell>
          <cell r="L2160">
            <v>464</v>
          </cell>
          <cell r="M2160">
            <v>60061556</v>
          </cell>
          <cell r="N2160">
            <v>38881</v>
          </cell>
          <cell r="O2160" t="str">
            <v>Z6613TCD001</v>
          </cell>
          <cell r="P2160" t="str">
            <v>IN6613DZZ999901</v>
          </cell>
        </row>
        <row r="2161">
          <cell r="A2161">
            <v>60061557</v>
          </cell>
          <cell r="B2161">
            <v>2160</v>
          </cell>
          <cell r="C2161" t="str">
            <v>CS01/10</v>
          </cell>
          <cell r="D2161" t="str">
            <v>SPCC-SD</v>
          </cell>
          <cell r="E2161" t="str">
            <v>AF1</v>
          </cell>
          <cell r="F2161">
            <v>1</v>
          </cell>
          <cell r="G2161">
            <v>73</v>
          </cell>
          <cell r="H2161" t="str">
            <v>C</v>
          </cell>
          <cell r="I2161" t="str">
            <v>A</v>
          </cell>
          <cell r="K2161">
            <v>1</v>
          </cell>
          <cell r="L2161">
            <v>470</v>
          </cell>
          <cell r="M2161">
            <v>60061557</v>
          </cell>
          <cell r="N2161">
            <v>38881</v>
          </cell>
          <cell r="O2161" t="str">
            <v>Z6613TCD002</v>
          </cell>
          <cell r="P2161" t="str">
            <v>IN6613DZZ999901</v>
          </cell>
        </row>
        <row r="2162">
          <cell r="A2162">
            <v>60061558</v>
          </cell>
          <cell r="B2162">
            <v>2161</v>
          </cell>
          <cell r="C2162" t="str">
            <v>CS01/10</v>
          </cell>
          <cell r="D2162" t="str">
            <v>SPCC-SD</v>
          </cell>
          <cell r="E2162" t="str">
            <v>AF1</v>
          </cell>
          <cell r="F2162">
            <v>1</v>
          </cell>
          <cell r="G2162">
            <v>73</v>
          </cell>
          <cell r="H2162" t="str">
            <v>C</v>
          </cell>
          <cell r="I2162" t="str">
            <v>A</v>
          </cell>
          <cell r="K2162">
            <v>1</v>
          </cell>
          <cell r="L2162">
            <v>465</v>
          </cell>
          <cell r="M2162">
            <v>60061558</v>
          </cell>
          <cell r="N2162">
            <v>38881</v>
          </cell>
          <cell r="O2162" t="str">
            <v>Z6613TCD003</v>
          </cell>
          <cell r="P2162" t="str">
            <v>IN6613DZZ999901</v>
          </cell>
        </row>
        <row r="2163">
          <cell r="A2163">
            <v>60043015</v>
          </cell>
          <cell r="B2163">
            <v>2162</v>
          </cell>
          <cell r="C2163" t="str">
            <v>CS01/10</v>
          </cell>
          <cell r="D2163" t="str">
            <v>SPCC-SD</v>
          </cell>
          <cell r="E2163" t="str">
            <v>AF1</v>
          </cell>
          <cell r="F2163">
            <v>1</v>
          </cell>
          <cell r="G2163">
            <v>87</v>
          </cell>
          <cell r="H2163" t="str">
            <v>C</v>
          </cell>
          <cell r="I2163" t="str">
            <v>A</v>
          </cell>
          <cell r="K2163">
            <v>1</v>
          </cell>
          <cell r="L2163">
            <v>632</v>
          </cell>
          <cell r="M2163">
            <v>60043015</v>
          </cell>
          <cell r="N2163" t="str">
            <v>25/A/2005</v>
          </cell>
          <cell r="O2163" t="str">
            <v>125A14SUD005</v>
          </cell>
          <cell r="P2163" t="str">
            <v>IN5A25N1S406901</v>
          </cell>
        </row>
        <row r="2164">
          <cell r="A2164">
            <v>60052652</v>
          </cell>
          <cell r="B2164">
            <v>2163</v>
          </cell>
          <cell r="C2164" t="str">
            <v>CS01/10</v>
          </cell>
          <cell r="D2164" t="str">
            <v>SPCC-SD</v>
          </cell>
          <cell r="E2164" t="str">
            <v>AF1</v>
          </cell>
          <cell r="F2164">
            <v>1</v>
          </cell>
          <cell r="G2164">
            <v>87</v>
          </cell>
          <cell r="H2164" t="str">
            <v>C</v>
          </cell>
          <cell r="I2164" t="str">
            <v>A</v>
          </cell>
          <cell r="K2164">
            <v>1</v>
          </cell>
          <cell r="L2164">
            <v>422</v>
          </cell>
          <cell r="M2164">
            <v>60052652</v>
          </cell>
          <cell r="N2164">
            <v>38772</v>
          </cell>
          <cell r="O2164" t="str">
            <v>126218SUD002</v>
          </cell>
          <cell r="P2164" t="str">
            <v>IN6224D1S77001</v>
          </cell>
        </row>
        <row r="2165">
          <cell r="A2165">
            <v>60052984</v>
          </cell>
          <cell r="B2165">
            <v>2164</v>
          </cell>
          <cell r="C2165" t="str">
            <v>CS01/10</v>
          </cell>
          <cell r="D2165" t="str">
            <v>SPCC-SD</v>
          </cell>
          <cell r="E2165" t="str">
            <v>AF1</v>
          </cell>
          <cell r="F2165">
            <v>1.2</v>
          </cell>
          <cell r="G2165">
            <v>90</v>
          </cell>
          <cell r="H2165" t="str">
            <v>C</v>
          </cell>
          <cell r="I2165" t="str">
            <v>A</v>
          </cell>
          <cell r="K2165">
            <v>1</v>
          </cell>
          <cell r="L2165">
            <v>88</v>
          </cell>
          <cell r="M2165">
            <v>60052984</v>
          </cell>
          <cell r="N2165">
            <v>38777</v>
          </cell>
          <cell r="O2165" t="str">
            <v>126118TCD002</v>
          </cell>
          <cell r="P2165" t="str">
            <v>IN6301N1S788501</v>
          </cell>
        </row>
        <row r="2166">
          <cell r="A2166">
            <v>60051390</v>
          </cell>
          <cell r="B2166">
            <v>2165</v>
          </cell>
          <cell r="C2166" t="str">
            <v>CS01/10</v>
          </cell>
          <cell r="D2166" t="str">
            <v>SPCC-SD</v>
          </cell>
          <cell r="E2166" t="str">
            <v>AF1</v>
          </cell>
          <cell r="F2166">
            <v>1.2</v>
          </cell>
          <cell r="G2166">
            <v>130</v>
          </cell>
          <cell r="H2166" t="str">
            <v>C</v>
          </cell>
          <cell r="I2166" t="str">
            <v>A</v>
          </cell>
          <cell r="K2166">
            <v>1</v>
          </cell>
          <cell r="L2166">
            <v>128</v>
          </cell>
          <cell r="M2166">
            <v>60051390</v>
          </cell>
          <cell r="N2166">
            <v>38763</v>
          </cell>
          <cell r="O2166" t="str">
            <v>126118TCD003</v>
          </cell>
          <cell r="P2166" t="str">
            <v>IN6215N1S738201</v>
          </cell>
        </row>
        <row r="2167">
          <cell r="A2167">
            <v>60063530</v>
          </cell>
          <cell r="B2167">
            <v>2166</v>
          </cell>
          <cell r="C2167" t="str">
            <v>CS01/10</v>
          </cell>
          <cell r="D2167" t="str">
            <v>SPCC-SD</v>
          </cell>
          <cell r="E2167" t="str">
            <v>AF1</v>
          </cell>
          <cell r="F2167">
            <v>1.2</v>
          </cell>
          <cell r="G2167">
            <v>161</v>
          </cell>
          <cell r="H2167" t="str">
            <v>C</v>
          </cell>
          <cell r="I2167" t="str">
            <v>A</v>
          </cell>
          <cell r="K2167">
            <v>1</v>
          </cell>
          <cell r="L2167">
            <v>624</v>
          </cell>
          <cell r="M2167">
            <v>60063530</v>
          </cell>
          <cell r="N2167">
            <v>38912</v>
          </cell>
          <cell r="O2167" t="str">
            <v>126605SUD005</v>
          </cell>
          <cell r="P2167" t="str">
            <v>IN67014D1S200801</v>
          </cell>
        </row>
        <row r="2168">
          <cell r="A2168">
            <v>60063474</v>
          </cell>
          <cell r="B2168">
            <v>2167</v>
          </cell>
          <cell r="C2168" t="str">
            <v>CS01/10</v>
          </cell>
          <cell r="D2168" t="str">
            <v>SPCC-SD</v>
          </cell>
          <cell r="E2168" t="str">
            <v>AF1</v>
          </cell>
          <cell r="F2168">
            <v>1.2</v>
          </cell>
          <cell r="G2168">
            <v>227</v>
          </cell>
          <cell r="H2168" t="str">
            <v>C</v>
          </cell>
          <cell r="I2168" t="str">
            <v>A</v>
          </cell>
          <cell r="K2168">
            <v>1</v>
          </cell>
          <cell r="L2168">
            <v>341</v>
          </cell>
          <cell r="M2168">
            <v>60063474</v>
          </cell>
          <cell r="N2168">
            <v>38911</v>
          </cell>
          <cell r="O2168" t="str">
            <v>126605SUD006</v>
          </cell>
          <cell r="P2168" t="str">
            <v>IN6713D1S196801</v>
          </cell>
        </row>
        <row r="2169">
          <cell r="A2169">
            <v>60063433</v>
          </cell>
          <cell r="B2169">
            <v>2168</v>
          </cell>
          <cell r="C2169" t="str">
            <v>CS01/10</v>
          </cell>
          <cell r="D2169" t="str">
            <v>SPCC-SD</v>
          </cell>
          <cell r="E2169" t="str">
            <v>AF1</v>
          </cell>
          <cell r="F2169">
            <v>1.4</v>
          </cell>
          <cell r="G2169">
            <v>39</v>
          </cell>
          <cell r="H2169" t="str">
            <v>C</v>
          </cell>
          <cell r="I2169" t="str">
            <v>A</v>
          </cell>
          <cell r="K2169">
            <v>1</v>
          </cell>
          <cell r="L2169">
            <v>55</v>
          </cell>
          <cell r="M2169">
            <v>60063433</v>
          </cell>
          <cell r="N2169">
            <v>38911</v>
          </cell>
          <cell r="O2169" t="str">
            <v>121316SUD021</v>
          </cell>
          <cell r="P2169" t="str">
            <v>IN6713N1S196101</v>
          </cell>
        </row>
        <row r="2170">
          <cell r="A2170">
            <v>60050381</v>
          </cell>
          <cell r="B2170">
            <v>2169</v>
          </cell>
          <cell r="C2170" t="str">
            <v>CS01/10</v>
          </cell>
          <cell r="D2170" t="str">
            <v>SPCC-SD</v>
          </cell>
          <cell r="E2170" t="str">
            <v>AF1</v>
          </cell>
          <cell r="F2170">
            <v>1.6</v>
          </cell>
          <cell r="G2170">
            <v>67</v>
          </cell>
          <cell r="H2170" t="str">
            <v>C</v>
          </cell>
          <cell r="I2170" t="str">
            <v>A</v>
          </cell>
          <cell r="K2170">
            <v>1</v>
          </cell>
          <cell r="L2170">
            <v>97</v>
          </cell>
          <cell r="M2170">
            <v>60050381</v>
          </cell>
          <cell r="N2170">
            <v>38744</v>
          </cell>
          <cell r="O2170" t="str">
            <v>125A21SUD002</v>
          </cell>
          <cell r="P2170" t="str">
            <v>FN6127N2S685401</v>
          </cell>
        </row>
        <row r="2171">
          <cell r="A2171">
            <v>60050401</v>
          </cell>
          <cell r="B2171">
            <v>2170</v>
          </cell>
          <cell r="C2171" t="str">
            <v>CS01/10</v>
          </cell>
          <cell r="D2171" t="str">
            <v>SPCC-SD</v>
          </cell>
          <cell r="E2171" t="str">
            <v>AF1</v>
          </cell>
          <cell r="F2171">
            <v>1.6</v>
          </cell>
          <cell r="G2171">
            <v>67</v>
          </cell>
          <cell r="H2171" t="str">
            <v>C</v>
          </cell>
          <cell r="I2171" t="str">
            <v>A</v>
          </cell>
          <cell r="K2171">
            <v>1</v>
          </cell>
          <cell r="L2171">
            <v>95</v>
          </cell>
          <cell r="M2171">
            <v>60050401</v>
          </cell>
          <cell r="N2171">
            <v>38744</v>
          </cell>
          <cell r="O2171" t="str">
            <v>125A21SUD003</v>
          </cell>
          <cell r="P2171" t="str">
            <v>FN6127N2S685402</v>
          </cell>
        </row>
        <row r="2172">
          <cell r="A2172">
            <v>60017704</v>
          </cell>
          <cell r="B2172">
            <v>2171</v>
          </cell>
          <cell r="C2172" t="str">
            <v>CS01/10</v>
          </cell>
          <cell r="D2172" t="str">
            <v>SPCC-SD</v>
          </cell>
          <cell r="E2172" t="str">
            <v>AF1</v>
          </cell>
          <cell r="F2172">
            <v>1.6</v>
          </cell>
          <cell r="G2172">
            <v>88</v>
          </cell>
          <cell r="H2172" t="str">
            <v>C</v>
          </cell>
          <cell r="I2172" t="str">
            <v>A</v>
          </cell>
          <cell r="K2172">
            <v>1</v>
          </cell>
          <cell r="L2172">
            <v>139</v>
          </cell>
          <cell r="M2172">
            <v>60017704</v>
          </cell>
          <cell r="N2172">
            <v>38750</v>
          </cell>
          <cell r="O2172" t="str">
            <v>124702TCD002</v>
          </cell>
          <cell r="P2172" t="str">
            <v>FN6220N1S748001</v>
          </cell>
        </row>
        <row r="2173">
          <cell r="A2173">
            <v>60060017</v>
          </cell>
          <cell r="B2173">
            <v>2172</v>
          </cell>
          <cell r="C2173" t="str">
            <v>CS01/10</v>
          </cell>
          <cell r="D2173" t="str">
            <v>SPCC-SD</v>
          </cell>
          <cell r="E2173" t="str">
            <v>AF1</v>
          </cell>
          <cell r="F2173">
            <v>1.6</v>
          </cell>
          <cell r="G2173">
            <v>104</v>
          </cell>
          <cell r="H2173" t="str">
            <v>C</v>
          </cell>
          <cell r="I2173" t="str">
            <v>A</v>
          </cell>
          <cell r="K2173">
            <v>1</v>
          </cell>
          <cell r="L2173">
            <v>348</v>
          </cell>
          <cell r="M2173">
            <v>60060017</v>
          </cell>
          <cell r="N2173">
            <v>38862</v>
          </cell>
          <cell r="O2173" t="str">
            <v>125423SUD003</v>
          </cell>
          <cell r="P2173" t="str">
            <v>IN6525D2S033901</v>
          </cell>
        </row>
        <row r="2174">
          <cell r="A2174">
            <v>60060018</v>
          </cell>
          <cell r="B2174">
            <v>2173</v>
          </cell>
          <cell r="C2174" t="str">
            <v>CS01/10</v>
          </cell>
          <cell r="D2174" t="str">
            <v>SPCC-SD</v>
          </cell>
          <cell r="E2174" t="str">
            <v>AF1</v>
          </cell>
          <cell r="F2174">
            <v>1.6</v>
          </cell>
          <cell r="G2174">
            <v>104</v>
          </cell>
          <cell r="H2174" t="str">
            <v>C</v>
          </cell>
          <cell r="I2174" t="str">
            <v>A</v>
          </cell>
          <cell r="K2174">
            <v>1</v>
          </cell>
          <cell r="L2174">
            <v>348</v>
          </cell>
          <cell r="M2174">
            <v>60060018</v>
          </cell>
          <cell r="N2174">
            <v>38862</v>
          </cell>
          <cell r="O2174" t="str">
            <v>125423SUD003</v>
          </cell>
          <cell r="P2174" t="str">
            <v>IN6525D2S033902</v>
          </cell>
        </row>
        <row r="2175">
          <cell r="A2175">
            <v>60060019</v>
          </cell>
          <cell r="B2175">
            <v>2174</v>
          </cell>
          <cell r="C2175" t="str">
            <v>CS01/10</v>
          </cell>
          <cell r="D2175" t="str">
            <v>SPCC-SD</v>
          </cell>
          <cell r="E2175" t="str">
            <v>AF1</v>
          </cell>
          <cell r="F2175">
            <v>1.6</v>
          </cell>
          <cell r="G2175">
            <v>104</v>
          </cell>
          <cell r="H2175" t="str">
            <v>C</v>
          </cell>
          <cell r="I2175" t="str">
            <v>A</v>
          </cell>
          <cell r="K2175">
            <v>1</v>
          </cell>
          <cell r="L2175">
            <v>348</v>
          </cell>
          <cell r="M2175">
            <v>60060019</v>
          </cell>
          <cell r="N2175">
            <v>38862</v>
          </cell>
          <cell r="O2175" t="str">
            <v>125423SUD003</v>
          </cell>
          <cell r="P2175" t="str">
            <v>IN6525D2S033903</v>
          </cell>
        </row>
        <row r="2176">
          <cell r="A2176">
            <v>60055843</v>
          </cell>
          <cell r="B2176">
            <v>2175</v>
          </cell>
          <cell r="C2176" t="str">
            <v>CS01/10</v>
          </cell>
          <cell r="D2176" t="str">
            <v>SPCC-SD</v>
          </cell>
          <cell r="E2176" t="str">
            <v>AF1</v>
          </cell>
          <cell r="F2176">
            <v>1.6</v>
          </cell>
          <cell r="G2176">
            <v>140</v>
          </cell>
          <cell r="H2176" t="str">
            <v>C</v>
          </cell>
          <cell r="I2176" t="str">
            <v>A</v>
          </cell>
          <cell r="K2176">
            <v>1</v>
          </cell>
          <cell r="L2176">
            <v>200</v>
          </cell>
          <cell r="M2176">
            <v>60055843</v>
          </cell>
          <cell r="N2176">
            <v>38806</v>
          </cell>
          <cell r="O2176" t="str">
            <v>126326SUD001</v>
          </cell>
          <cell r="P2176" t="str">
            <v>IN6330D2S895401</v>
          </cell>
        </row>
        <row r="2177">
          <cell r="A2177">
            <v>60055849</v>
          </cell>
          <cell r="B2177">
            <v>2176</v>
          </cell>
          <cell r="C2177" t="str">
            <v>CS01/10</v>
          </cell>
          <cell r="D2177" t="str">
            <v>SPCC-SD</v>
          </cell>
          <cell r="E2177" t="str">
            <v>AF1</v>
          </cell>
          <cell r="F2177">
            <v>1.6</v>
          </cell>
          <cell r="G2177">
            <v>140</v>
          </cell>
          <cell r="H2177" t="str">
            <v>C</v>
          </cell>
          <cell r="I2177" t="str">
            <v>A</v>
          </cell>
          <cell r="K2177">
            <v>1</v>
          </cell>
          <cell r="L2177">
            <v>224</v>
          </cell>
          <cell r="M2177">
            <v>60055849</v>
          </cell>
          <cell r="N2177">
            <v>38806</v>
          </cell>
          <cell r="O2177" t="str">
            <v>126326SUD001</v>
          </cell>
          <cell r="P2177" t="str">
            <v>IN6330D2S895402</v>
          </cell>
        </row>
        <row r="2178">
          <cell r="A2178">
            <v>60055855</v>
          </cell>
          <cell r="B2178">
            <v>2177</v>
          </cell>
          <cell r="C2178" t="str">
            <v>CS01/10</v>
          </cell>
          <cell r="D2178" t="str">
            <v>SPCC-SD</v>
          </cell>
          <cell r="E2178" t="str">
            <v>AF1</v>
          </cell>
          <cell r="F2178">
            <v>1.6</v>
          </cell>
          <cell r="G2178">
            <v>140</v>
          </cell>
          <cell r="H2178" t="str">
            <v>C</v>
          </cell>
          <cell r="I2178" t="str">
            <v>A</v>
          </cell>
          <cell r="K2178">
            <v>1</v>
          </cell>
          <cell r="L2178">
            <v>238</v>
          </cell>
          <cell r="M2178">
            <v>60055855</v>
          </cell>
          <cell r="N2178">
            <v>38806</v>
          </cell>
          <cell r="O2178" t="str">
            <v>126326SUD001</v>
          </cell>
          <cell r="P2178" t="str">
            <v>IN6330D2S895403</v>
          </cell>
        </row>
        <row r="2179">
          <cell r="A2179">
            <v>60054648</v>
          </cell>
          <cell r="B2179">
            <v>2178</v>
          </cell>
          <cell r="C2179" t="str">
            <v>CS01/10</v>
          </cell>
          <cell r="D2179" t="str">
            <v>SPCC-SD</v>
          </cell>
          <cell r="E2179" t="str">
            <v>AF1</v>
          </cell>
          <cell r="F2179">
            <v>1.6</v>
          </cell>
          <cell r="G2179">
            <v>150</v>
          </cell>
          <cell r="H2179" t="str">
            <v>C</v>
          </cell>
          <cell r="I2179" t="str">
            <v>A</v>
          </cell>
          <cell r="K2179">
            <v>1</v>
          </cell>
          <cell r="L2179">
            <v>336</v>
          </cell>
          <cell r="M2179">
            <v>60054648</v>
          </cell>
          <cell r="N2179">
            <v>38792</v>
          </cell>
          <cell r="O2179" t="str">
            <v>125A19TCD001</v>
          </cell>
          <cell r="P2179" t="str">
            <v>IN6316N2S847501</v>
          </cell>
        </row>
        <row r="2180">
          <cell r="A2180">
            <v>60055190</v>
          </cell>
          <cell r="B2180">
            <v>2179</v>
          </cell>
          <cell r="C2180" t="str">
            <v>CS01/10</v>
          </cell>
          <cell r="D2180" t="str">
            <v>SPCC-SD</v>
          </cell>
          <cell r="E2180" t="str">
            <v>AF1</v>
          </cell>
          <cell r="F2180">
            <v>1.6</v>
          </cell>
          <cell r="G2180">
            <v>150</v>
          </cell>
          <cell r="H2180" t="str">
            <v>C</v>
          </cell>
          <cell r="I2180" t="str">
            <v>A</v>
          </cell>
          <cell r="K2180">
            <v>1</v>
          </cell>
          <cell r="L2180">
            <v>220</v>
          </cell>
          <cell r="M2180">
            <v>60055190</v>
          </cell>
          <cell r="N2180">
            <v>38798</v>
          </cell>
          <cell r="O2180" t="str">
            <v>126224SUD001</v>
          </cell>
          <cell r="P2180" t="str">
            <v>IN6322D2S867401</v>
          </cell>
        </row>
        <row r="2181">
          <cell r="A2181">
            <v>60040487</v>
          </cell>
          <cell r="B2181">
            <v>2180</v>
          </cell>
          <cell r="C2181" t="str">
            <v>CS01/10</v>
          </cell>
          <cell r="D2181" t="str">
            <v>SPCC-SD</v>
          </cell>
          <cell r="E2181" t="str">
            <v>AF1</v>
          </cell>
          <cell r="F2181">
            <v>1.6</v>
          </cell>
          <cell r="G2181">
            <v>77.5</v>
          </cell>
          <cell r="H2181" t="str">
            <v>C</v>
          </cell>
          <cell r="I2181" t="str">
            <v>A</v>
          </cell>
          <cell r="K2181">
            <v>1</v>
          </cell>
          <cell r="L2181">
            <v>364</v>
          </cell>
          <cell r="M2181">
            <v>60040487</v>
          </cell>
          <cell r="N2181">
            <v>38797</v>
          </cell>
          <cell r="O2181" t="str">
            <v>124C20TCD004</v>
          </cell>
          <cell r="P2181" t="str">
            <v>IN6321DZZ999901</v>
          </cell>
        </row>
        <row r="2182">
          <cell r="A2182">
            <v>60056215</v>
          </cell>
          <cell r="B2182">
            <v>2181</v>
          </cell>
          <cell r="C2182" t="str">
            <v>CS01/10</v>
          </cell>
          <cell r="D2182" t="str">
            <v>SPCC-SD</v>
          </cell>
          <cell r="E2182" t="str">
            <v>AF1</v>
          </cell>
          <cell r="F2182">
            <v>2</v>
          </cell>
          <cell r="G2182">
            <v>56</v>
          </cell>
          <cell r="H2182" t="str">
            <v>C</v>
          </cell>
          <cell r="I2182" t="str">
            <v>A</v>
          </cell>
          <cell r="K2182">
            <v>1</v>
          </cell>
          <cell r="L2182">
            <v>82</v>
          </cell>
          <cell r="M2182">
            <v>60056215</v>
          </cell>
          <cell r="N2182">
            <v>38811</v>
          </cell>
          <cell r="O2182" t="str">
            <v>126318SUD002</v>
          </cell>
          <cell r="P2182" t="str">
            <v>IN6404N2S906501</v>
          </cell>
        </row>
        <row r="2183">
          <cell r="A2183">
            <v>60062320</v>
          </cell>
          <cell r="B2183">
            <v>2182</v>
          </cell>
          <cell r="C2183" t="str">
            <v>CS01/10</v>
          </cell>
          <cell r="D2183" t="str">
            <v>SPCC-SD</v>
          </cell>
          <cell r="E2183" t="str">
            <v>AF1</v>
          </cell>
          <cell r="F2183">
            <v>2</v>
          </cell>
          <cell r="G2183">
            <v>92</v>
          </cell>
          <cell r="H2183" t="str">
            <v>C</v>
          </cell>
          <cell r="I2183" t="str">
            <v>A</v>
          </cell>
          <cell r="K2183">
            <v>1</v>
          </cell>
          <cell r="L2183">
            <v>326</v>
          </cell>
          <cell r="M2183">
            <v>60062320</v>
          </cell>
          <cell r="N2183">
            <v>38892</v>
          </cell>
          <cell r="O2183" t="str">
            <v>126612SUD003</v>
          </cell>
          <cell r="P2183" t="str">
            <v>IN6624N2S140601</v>
          </cell>
        </row>
        <row r="2184">
          <cell r="A2184">
            <v>60060720</v>
          </cell>
          <cell r="B2184">
            <v>2183</v>
          </cell>
          <cell r="C2184" t="str">
            <v>CS01/10</v>
          </cell>
          <cell r="D2184" t="str">
            <v>SPCC-SD</v>
          </cell>
          <cell r="E2184" t="str">
            <v>AF1</v>
          </cell>
          <cell r="F2184">
            <v>2.2999999999999998</v>
          </cell>
          <cell r="G2184">
            <v>106</v>
          </cell>
          <cell r="H2184" t="str">
            <v>C</v>
          </cell>
          <cell r="I2184" t="str">
            <v>A</v>
          </cell>
          <cell r="K2184">
            <v>1</v>
          </cell>
          <cell r="L2184">
            <v>208</v>
          </cell>
          <cell r="M2184">
            <v>60060720</v>
          </cell>
          <cell r="N2184">
            <v>38869</v>
          </cell>
          <cell r="O2184" t="str">
            <v>126520TCD003</v>
          </cell>
          <cell r="P2184" t="str">
            <v>IN6601N1S064601</v>
          </cell>
        </row>
        <row r="2185">
          <cell r="A2185">
            <v>60061934</v>
          </cell>
          <cell r="B2185">
            <v>2184</v>
          </cell>
          <cell r="C2185" t="str">
            <v>CS01/10</v>
          </cell>
          <cell r="D2185" t="str">
            <v>SPCC-SD</v>
          </cell>
          <cell r="E2185" t="str">
            <v>AF1</v>
          </cell>
          <cell r="F2185">
            <v>2.6</v>
          </cell>
          <cell r="G2185">
            <v>102</v>
          </cell>
          <cell r="H2185" t="str">
            <v>C</v>
          </cell>
          <cell r="I2185" t="str">
            <v>A</v>
          </cell>
          <cell r="K2185">
            <v>1</v>
          </cell>
          <cell r="L2185">
            <v>450</v>
          </cell>
          <cell r="M2185">
            <v>60061934</v>
          </cell>
          <cell r="N2185">
            <v>38888</v>
          </cell>
          <cell r="P2185" t="str">
            <v>IN6620N2S115401</v>
          </cell>
        </row>
        <row r="2186">
          <cell r="A2186">
            <v>60053389</v>
          </cell>
          <cell r="B2186">
            <v>2185</v>
          </cell>
          <cell r="C2186" t="str">
            <v>CS01/10</v>
          </cell>
          <cell r="D2186" t="str">
            <v>SPCC-SD</v>
          </cell>
          <cell r="E2186" t="str">
            <v>AF1</v>
          </cell>
          <cell r="F2186">
            <v>3</v>
          </cell>
          <cell r="G2186">
            <v>39</v>
          </cell>
          <cell r="H2186" t="str">
            <v>C</v>
          </cell>
          <cell r="I2186" t="str">
            <v>A</v>
          </cell>
          <cell r="K2186">
            <v>1</v>
          </cell>
          <cell r="L2186">
            <v>162</v>
          </cell>
          <cell r="M2186">
            <v>60053389</v>
          </cell>
          <cell r="N2186">
            <v>38782</v>
          </cell>
          <cell r="P2186" t="str">
            <v>IN6306D2S806801</v>
          </cell>
        </row>
        <row r="2187">
          <cell r="A2187">
            <v>60053394</v>
          </cell>
          <cell r="B2187">
            <v>2186</v>
          </cell>
          <cell r="C2187" t="str">
            <v>CS01/10</v>
          </cell>
          <cell r="D2187" t="str">
            <v>SPCC-SD</v>
          </cell>
          <cell r="E2187" t="str">
            <v>AF1</v>
          </cell>
          <cell r="F2187">
            <v>3</v>
          </cell>
          <cell r="G2187">
            <v>39</v>
          </cell>
          <cell r="H2187" t="str">
            <v>C</v>
          </cell>
          <cell r="I2187" t="str">
            <v>A</v>
          </cell>
          <cell r="K2187">
            <v>1</v>
          </cell>
          <cell r="L2187">
            <v>162</v>
          </cell>
          <cell r="M2187">
            <v>60053394</v>
          </cell>
          <cell r="N2187">
            <v>38782</v>
          </cell>
          <cell r="P2187" t="str">
            <v>IN6306D2S806802</v>
          </cell>
        </row>
        <row r="2188">
          <cell r="A2188">
            <v>60053395</v>
          </cell>
          <cell r="B2188">
            <v>2187</v>
          </cell>
          <cell r="C2188" t="str">
            <v>CS01/10</v>
          </cell>
          <cell r="D2188" t="str">
            <v>SPCC-SD</v>
          </cell>
          <cell r="E2188" t="str">
            <v>AF1</v>
          </cell>
          <cell r="F2188">
            <v>3</v>
          </cell>
          <cell r="G2188">
            <v>39</v>
          </cell>
          <cell r="H2188" t="str">
            <v>C</v>
          </cell>
          <cell r="I2188" t="str">
            <v>A</v>
          </cell>
          <cell r="K2188">
            <v>1</v>
          </cell>
          <cell r="L2188">
            <v>160</v>
          </cell>
          <cell r="M2188">
            <v>60053395</v>
          </cell>
          <cell r="N2188">
            <v>38782</v>
          </cell>
          <cell r="P2188" t="str">
            <v>IN6306D2S806803</v>
          </cell>
        </row>
        <row r="2189">
          <cell r="A2189">
            <v>60053400</v>
          </cell>
          <cell r="B2189">
            <v>2188</v>
          </cell>
          <cell r="C2189" t="str">
            <v>CS01/10</v>
          </cell>
          <cell r="D2189" t="str">
            <v>SPCC-SD</v>
          </cell>
          <cell r="E2189" t="str">
            <v>AF1</v>
          </cell>
          <cell r="F2189">
            <v>3</v>
          </cell>
          <cell r="G2189">
            <v>39</v>
          </cell>
          <cell r="H2189" t="str">
            <v>C</v>
          </cell>
          <cell r="I2189" t="str">
            <v>A</v>
          </cell>
          <cell r="K2189">
            <v>1</v>
          </cell>
          <cell r="L2189">
            <v>160</v>
          </cell>
          <cell r="M2189">
            <v>60053400</v>
          </cell>
          <cell r="N2189">
            <v>38782</v>
          </cell>
          <cell r="P2189" t="str">
            <v>IN6306D2S806804</v>
          </cell>
        </row>
        <row r="2190">
          <cell r="A2190">
            <v>60046514</v>
          </cell>
          <cell r="B2190">
            <v>2189</v>
          </cell>
          <cell r="C2190" t="str">
            <v>CS01/10</v>
          </cell>
          <cell r="D2190" t="str">
            <v>SPCC-SD</v>
          </cell>
          <cell r="E2190" t="str">
            <v>AF1</v>
          </cell>
          <cell r="F2190">
            <v>3</v>
          </cell>
          <cell r="G2190">
            <v>78</v>
          </cell>
          <cell r="H2190" t="str">
            <v>C</v>
          </cell>
          <cell r="I2190" t="str">
            <v>A</v>
          </cell>
          <cell r="K2190">
            <v>1</v>
          </cell>
          <cell r="L2190">
            <v>392</v>
          </cell>
          <cell r="M2190">
            <v>60046514</v>
          </cell>
          <cell r="N2190" t="str">
            <v>1/C/2005</v>
          </cell>
          <cell r="P2190" t="str">
            <v>IN5C01D2S494201</v>
          </cell>
        </row>
        <row r="2191">
          <cell r="A2191">
            <v>60046519</v>
          </cell>
          <cell r="B2191">
            <v>2190</v>
          </cell>
          <cell r="C2191" t="str">
            <v>CS01/10</v>
          </cell>
          <cell r="D2191" t="str">
            <v>SPCC-SD</v>
          </cell>
          <cell r="E2191" t="str">
            <v>AF1</v>
          </cell>
          <cell r="F2191">
            <v>3</v>
          </cell>
          <cell r="G2191">
            <v>78</v>
          </cell>
          <cell r="H2191" t="str">
            <v>C</v>
          </cell>
          <cell r="I2191" t="str">
            <v>A</v>
          </cell>
          <cell r="K2191">
            <v>1</v>
          </cell>
          <cell r="L2191">
            <v>392</v>
          </cell>
          <cell r="M2191">
            <v>60046519</v>
          </cell>
          <cell r="N2191" t="str">
            <v>1/C/2005</v>
          </cell>
          <cell r="P2191" t="str">
            <v>IN5C01D2S494202</v>
          </cell>
        </row>
        <row r="2192">
          <cell r="A2192">
            <v>60046520</v>
          </cell>
          <cell r="B2192">
            <v>2191</v>
          </cell>
          <cell r="C2192" t="str">
            <v>CS01/10</v>
          </cell>
          <cell r="D2192" t="str">
            <v>SPCC-SD</v>
          </cell>
          <cell r="E2192" t="str">
            <v>AF1</v>
          </cell>
          <cell r="F2192">
            <v>3</v>
          </cell>
          <cell r="G2192">
            <v>78</v>
          </cell>
          <cell r="H2192" t="str">
            <v>C</v>
          </cell>
          <cell r="I2192" t="str">
            <v>A</v>
          </cell>
          <cell r="K2192">
            <v>1</v>
          </cell>
          <cell r="L2192">
            <v>326</v>
          </cell>
          <cell r="M2192">
            <v>60046520</v>
          </cell>
          <cell r="N2192" t="str">
            <v>1/C/2005</v>
          </cell>
          <cell r="P2192" t="str">
            <v>IN5C01D2S494203</v>
          </cell>
        </row>
        <row r="2193">
          <cell r="A2193">
            <v>60046525</v>
          </cell>
          <cell r="B2193">
            <v>2192</v>
          </cell>
          <cell r="C2193" t="str">
            <v>CS01/10</v>
          </cell>
          <cell r="D2193" t="str">
            <v>SPCC-SD</v>
          </cell>
          <cell r="E2193" t="str">
            <v>AF1</v>
          </cell>
          <cell r="F2193">
            <v>3</v>
          </cell>
          <cell r="G2193">
            <v>78</v>
          </cell>
          <cell r="H2193" t="str">
            <v>C</v>
          </cell>
          <cell r="I2193" t="str">
            <v>A</v>
          </cell>
          <cell r="K2193">
            <v>1</v>
          </cell>
          <cell r="L2193">
            <v>326</v>
          </cell>
          <cell r="M2193">
            <v>60046525</v>
          </cell>
          <cell r="N2193" t="str">
            <v>1/C/2005</v>
          </cell>
          <cell r="P2193" t="str">
            <v>IN5C01D2S494204</v>
          </cell>
        </row>
        <row r="2194">
          <cell r="A2194">
            <v>60046527</v>
          </cell>
          <cell r="B2194">
            <v>2193</v>
          </cell>
          <cell r="C2194" t="str">
            <v>CS01/10</v>
          </cell>
          <cell r="D2194" t="str">
            <v>SPCC-SD</v>
          </cell>
          <cell r="E2194" t="str">
            <v>AF1</v>
          </cell>
          <cell r="F2194">
            <v>3</v>
          </cell>
          <cell r="G2194">
            <v>78</v>
          </cell>
          <cell r="H2194" t="str">
            <v>C</v>
          </cell>
          <cell r="I2194" t="str">
            <v>A</v>
          </cell>
          <cell r="K2194">
            <v>1</v>
          </cell>
          <cell r="L2194">
            <v>230</v>
          </cell>
          <cell r="M2194">
            <v>60046527</v>
          </cell>
          <cell r="N2194" t="str">
            <v>1/C/2005</v>
          </cell>
          <cell r="P2194" t="str">
            <v>IN5C01D2S494204</v>
          </cell>
        </row>
        <row r="2195">
          <cell r="A2195">
            <v>60046532</v>
          </cell>
          <cell r="B2195">
            <v>2194</v>
          </cell>
          <cell r="C2195" t="str">
            <v>CS01/10</v>
          </cell>
          <cell r="D2195" t="str">
            <v>SPCC-SD</v>
          </cell>
          <cell r="E2195" t="str">
            <v>AF1</v>
          </cell>
          <cell r="F2195">
            <v>3</v>
          </cell>
          <cell r="G2195">
            <v>78</v>
          </cell>
          <cell r="H2195" t="str">
            <v>C</v>
          </cell>
          <cell r="I2195" t="str">
            <v>A</v>
          </cell>
          <cell r="K2195">
            <v>1</v>
          </cell>
          <cell r="L2195">
            <v>232</v>
          </cell>
          <cell r="M2195">
            <v>60046532</v>
          </cell>
          <cell r="N2195" t="str">
            <v>1/C/2005</v>
          </cell>
          <cell r="P2195" t="str">
            <v>IN5C01N2S494201</v>
          </cell>
        </row>
        <row r="2196">
          <cell r="A2196">
            <v>60046564</v>
          </cell>
          <cell r="B2196">
            <v>2195</v>
          </cell>
          <cell r="C2196" t="str">
            <v>CS01/10</v>
          </cell>
          <cell r="D2196" t="str">
            <v>SPCC-SD</v>
          </cell>
          <cell r="E2196" t="str">
            <v>AF1</v>
          </cell>
          <cell r="F2196">
            <v>3</v>
          </cell>
          <cell r="G2196">
            <v>78</v>
          </cell>
          <cell r="H2196" t="str">
            <v>C</v>
          </cell>
          <cell r="I2196" t="str">
            <v>A</v>
          </cell>
          <cell r="K2196">
            <v>1</v>
          </cell>
          <cell r="L2196">
            <v>224</v>
          </cell>
          <cell r="M2196">
            <v>60046564</v>
          </cell>
          <cell r="N2196" t="str">
            <v>2/C/2005</v>
          </cell>
          <cell r="P2196" t="str">
            <v>IN5C01N2S494202</v>
          </cell>
        </row>
        <row r="2197">
          <cell r="A2197">
            <v>60046569</v>
          </cell>
          <cell r="B2197">
            <v>2196</v>
          </cell>
          <cell r="C2197" t="str">
            <v>CS01/10</v>
          </cell>
          <cell r="D2197" t="str">
            <v>SPCC-SD</v>
          </cell>
          <cell r="E2197" t="str">
            <v>AF1</v>
          </cell>
          <cell r="F2197">
            <v>3</v>
          </cell>
          <cell r="G2197">
            <v>78</v>
          </cell>
          <cell r="H2197" t="str">
            <v>C</v>
          </cell>
          <cell r="I2197" t="str">
            <v>A</v>
          </cell>
          <cell r="K2197">
            <v>1</v>
          </cell>
          <cell r="L2197">
            <v>224</v>
          </cell>
          <cell r="M2197">
            <v>60046569</v>
          </cell>
          <cell r="N2197" t="str">
            <v>2/C/2005</v>
          </cell>
          <cell r="P2197" t="str">
            <v>IN5C01N2S494203</v>
          </cell>
        </row>
        <row r="2198">
          <cell r="A2198">
            <v>60053163</v>
          </cell>
          <cell r="B2198">
            <v>2197</v>
          </cell>
          <cell r="C2198" t="str">
            <v>CS01/10</v>
          </cell>
          <cell r="D2198" t="str">
            <v>SPCC-SD</v>
          </cell>
          <cell r="E2198" t="str">
            <v>AF1</v>
          </cell>
          <cell r="F2198">
            <v>3</v>
          </cell>
          <cell r="G2198">
            <v>78</v>
          </cell>
          <cell r="H2198" t="str">
            <v>C</v>
          </cell>
          <cell r="I2198" t="str">
            <v>A</v>
          </cell>
          <cell r="K2198">
            <v>1</v>
          </cell>
          <cell r="L2198">
            <v>274</v>
          </cell>
          <cell r="M2198">
            <v>60053163</v>
          </cell>
          <cell r="N2198">
            <v>38778</v>
          </cell>
          <cell r="P2198" t="str">
            <v>IN6302D2S787701</v>
          </cell>
        </row>
        <row r="2199">
          <cell r="A2199">
            <v>60063151</v>
          </cell>
          <cell r="B2199">
            <v>2198</v>
          </cell>
          <cell r="C2199" t="str">
            <v>CS01/10</v>
          </cell>
          <cell r="D2199" t="str">
            <v>SPCC-SD</v>
          </cell>
          <cell r="E2199" t="str">
            <v>AF1</v>
          </cell>
          <cell r="F2199">
            <v>3</v>
          </cell>
          <cell r="G2199">
            <v>80</v>
          </cell>
          <cell r="H2199" t="str">
            <v>C</v>
          </cell>
          <cell r="I2199" t="str">
            <v>A</v>
          </cell>
          <cell r="K2199">
            <v>1</v>
          </cell>
          <cell r="L2199">
            <v>276</v>
          </cell>
          <cell r="M2199">
            <v>60063151</v>
          </cell>
          <cell r="N2199">
            <v>38904</v>
          </cell>
          <cell r="P2199" t="str">
            <v>IN6706D2S175301</v>
          </cell>
        </row>
        <row r="2200">
          <cell r="A2200">
            <v>60063156</v>
          </cell>
          <cell r="B2200">
            <v>2199</v>
          </cell>
          <cell r="C2200" t="str">
            <v>CS01/10</v>
          </cell>
          <cell r="D2200" t="str">
            <v>SPCC-SD</v>
          </cell>
          <cell r="E2200" t="str">
            <v>AF1</v>
          </cell>
          <cell r="F2200">
            <v>3</v>
          </cell>
          <cell r="G2200">
            <v>80</v>
          </cell>
          <cell r="H2200" t="str">
            <v>C</v>
          </cell>
          <cell r="I2200" t="str">
            <v>A</v>
          </cell>
          <cell r="K2200">
            <v>1</v>
          </cell>
          <cell r="L2200">
            <v>278</v>
          </cell>
          <cell r="M2200">
            <v>60063156</v>
          </cell>
          <cell r="N2200">
            <v>38904</v>
          </cell>
          <cell r="P2200" t="str">
            <v>IN6706D2S175302</v>
          </cell>
        </row>
        <row r="2201">
          <cell r="A2201">
            <v>60048086</v>
          </cell>
          <cell r="B2201">
            <v>2200</v>
          </cell>
          <cell r="C2201" t="str">
            <v>CS01/10</v>
          </cell>
          <cell r="D2201" t="str">
            <v>SPCC-SD</v>
          </cell>
          <cell r="E2201" t="str">
            <v>AF1</v>
          </cell>
          <cell r="F2201">
            <v>3</v>
          </cell>
          <cell r="G2201">
            <v>90</v>
          </cell>
          <cell r="H2201" t="str">
            <v>C</v>
          </cell>
          <cell r="I2201" t="str">
            <v>A</v>
          </cell>
          <cell r="K2201">
            <v>1</v>
          </cell>
          <cell r="L2201">
            <v>398</v>
          </cell>
          <cell r="M2201">
            <v>60048086</v>
          </cell>
          <cell r="N2201" t="str">
            <v>21/C/2005</v>
          </cell>
          <cell r="P2201" t="str">
            <v>IN5C21N2S551701</v>
          </cell>
        </row>
        <row r="2202">
          <cell r="A2202">
            <v>60048087</v>
          </cell>
          <cell r="B2202">
            <v>2201</v>
          </cell>
          <cell r="C2202" t="str">
            <v>CS01/10</v>
          </cell>
          <cell r="D2202" t="str">
            <v>SPCC-SD</v>
          </cell>
          <cell r="E2202" t="str">
            <v>AF1</v>
          </cell>
          <cell r="F2202">
            <v>3</v>
          </cell>
          <cell r="G2202">
            <v>90</v>
          </cell>
          <cell r="H2202" t="str">
            <v>C</v>
          </cell>
          <cell r="I2202" t="str">
            <v>A</v>
          </cell>
          <cell r="K2202">
            <v>1</v>
          </cell>
          <cell r="L2202">
            <v>398</v>
          </cell>
          <cell r="M2202">
            <v>60048087</v>
          </cell>
          <cell r="N2202" t="str">
            <v>21/C/2005</v>
          </cell>
          <cell r="P2202" t="str">
            <v>IN5C21N2S551702</v>
          </cell>
        </row>
        <row r="2203">
          <cell r="A2203">
            <v>60048091</v>
          </cell>
          <cell r="B2203">
            <v>2202</v>
          </cell>
          <cell r="C2203" t="str">
            <v>CS01/10</v>
          </cell>
          <cell r="D2203" t="str">
            <v>SPCC-SD</v>
          </cell>
          <cell r="E2203" t="str">
            <v>AF1</v>
          </cell>
          <cell r="F2203">
            <v>3</v>
          </cell>
          <cell r="G2203">
            <v>90</v>
          </cell>
          <cell r="H2203" t="str">
            <v>C</v>
          </cell>
          <cell r="I2203" t="str">
            <v>A</v>
          </cell>
          <cell r="K2203">
            <v>1</v>
          </cell>
          <cell r="L2203">
            <v>394</v>
          </cell>
          <cell r="M2203">
            <v>60048091</v>
          </cell>
          <cell r="N2203" t="str">
            <v>21/C/2005</v>
          </cell>
          <cell r="P2203" t="str">
            <v>IN5C21N2S551703</v>
          </cell>
        </row>
        <row r="2204">
          <cell r="A2204">
            <v>60048092</v>
          </cell>
          <cell r="B2204">
            <v>2203</v>
          </cell>
          <cell r="C2204" t="str">
            <v>CS01/10</v>
          </cell>
          <cell r="D2204" t="str">
            <v>SPCC-SD</v>
          </cell>
          <cell r="E2204" t="str">
            <v>AF1</v>
          </cell>
          <cell r="F2204">
            <v>3</v>
          </cell>
          <cell r="G2204">
            <v>90</v>
          </cell>
          <cell r="H2204" t="str">
            <v>C</v>
          </cell>
          <cell r="I2204" t="str">
            <v>A</v>
          </cell>
          <cell r="K2204">
            <v>1</v>
          </cell>
          <cell r="L2204">
            <v>394</v>
          </cell>
          <cell r="M2204">
            <v>60048092</v>
          </cell>
          <cell r="N2204" t="str">
            <v>21/C/2005</v>
          </cell>
          <cell r="P2204" t="str">
            <v>IN5C21N2S551704</v>
          </cell>
        </row>
        <row r="2205">
          <cell r="A2205">
            <v>60048093</v>
          </cell>
          <cell r="B2205">
            <v>2204</v>
          </cell>
          <cell r="C2205" t="str">
            <v>CS01/10</v>
          </cell>
          <cell r="D2205" t="str">
            <v>SPCC-SD</v>
          </cell>
          <cell r="E2205" t="str">
            <v>AF1</v>
          </cell>
          <cell r="F2205">
            <v>3</v>
          </cell>
          <cell r="G2205">
            <v>90</v>
          </cell>
          <cell r="H2205" t="str">
            <v>C</v>
          </cell>
          <cell r="I2205" t="str">
            <v>A</v>
          </cell>
          <cell r="K2205">
            <v>1</v>
          </cell>
          <cell r="L2205">
            <v>406</v>
          </cell>
          <cell r="M2205">
            <v>60048093</v>
          </cell>
          <cell r="N2205" t="str">
            <v>21/C/2005</v>
          </cell>
          <cell r="P2205" t="str">
            <v>IN5C21N2S551705</v>
          </cell>
        </row>
        <row r="2206">
          <cell r="A2206">
            <v>60048097</v>
          </cell>
          <cell r="B2206">
            <v>2205</v>
          </cell>
          <cell r="C2206" t="str">
            <v>CS01/10</v>
          </cell>
          <cell r="D2206" t="str">
            <v>SPCC-SD</v>
          </cell>
          <cell r="E2206" t="str">
            <v>AF1</v>
          </cell>
          <cell r="F2206">
            <v>3</v>
          </cell>
          <cell r="G2206">
            <v>90</v>
          </cell>
          <cell r="H2206" t="str">
            <v>C</v>
          </cell>
          <cell r="I2206" t="str">
            <v>A</v>
          </cell>
          <cell r="K2206">
            <v>1</v>
          </cell>
          <cell r="L2206">
            <v>406</v>
          </cell>
          <cell r="M2206">
            <v>60048097</v>
          </cell>
          <cell r="N2206" t="str">
            <v>21/C/2005</v>
          </cell>
          <cell r="P2206" t="str">
            <v>IN5C21N2S551706</v>
          </cell>
        </row>
        <row r="2207">
          <cell r="A2207">
            <v>60049134</v>
          </cell>
          <cell r="B2207">
            <v>2206</v>
          </cell>
          <cell r="C2207" t="str">
            <v>CS01/10</v>
          </cell>
          <cell r="D2207" t="str">
            <v>SPCC-SD</v>
          </cell>
          <cell r="E2207" t="str">
            <v>AF1</v>
          </cell>
          <cell r="F2207">
            <v>3</v>
          </cell>
          <cell r="G2207">
            <v>90</v>
          </cell>
          <cell r="H2207" t="str">
            <v>C</v>
          </cell>
          <cell r="I2207" t="str">
            <v>A</v>
          </cell>
          <cell r="K2207">
            <v>1</v>
          </cell>
          <cell r="L2207">
            <v>388</v>
          </cell>
          <cell r="M2207">
            <v>60049134</v>
          </cell>
          <cell r="N2207">
            <v>39030</v>
          </cell>
          <cell r="P2207" t="str">
            <v>IN61109D2S617101</v>
          </cell>
        </row>
        <row r="2208">
          <cell r="A2208">
            <v>60049172</v>
          </cell>
          <cell r="B2208">
            <v>2207</v>
          </cell>
          <cell r="C2208" t="str">
            <v>CS01/10</v>
          </cell>
          <cell r="D2208" t="str">
            <v>SPCC-SD</v>
          </cell>
          <cell r="E2208" t="str">
            <v>AF1</v>
          </cell>
          <cell r="F2208">
            <v>3</v>
          </cell>
          <cell r="G2208">
            <v>90</v>
          </cell>
          <cell r="H2208" t="str">
            <v>C</v>
          </cell>
          <cell r="I2208" t="str">
            <v>A</v>
          </cell>
          <cell r="K2208">
            <v>1</v>
          </cell>
          <cell r="L2208">
            <v>389</v>
          </cell>
          <cell r="M2208">
            <v>60049172</v>
          </cell>
          <cell r="N2208">
            <v>39030</v>
          </cell>
          <cell r="P2208" t="str">
            <v>IN61109D2S617201</v>
          </cell>
        </row>
        <row r="2209">
          <cell r="A2209">
            <v>60049176</v>
          </cell>
          <cell r="B2209">
            <v>2208</v>
          </cell>
          <cell r="C2209" t="str">
            <v>CS01/10</v>
          </cell>
          <cell r="D2209" t="str">
            <v>SPCC-SD</v>
          </cell>
          <cell r="E2209" t="str">
            <v>AF1</v>
          </cell>
          <cell r="F2209">
            <v>3</v>
          </cell>
          <cell r="G2209">
            <v>90</v>
          </cell>
          <cell r="H2209" t="str">
            <v>C</v>
          </cell>
          <cell r="I2209" t="str">
            <v>A</v>
          </cell>
          <cell r="K2209">
            <v>1</v>
          </cell>
          <cell r="L2209">
            <v>367</v>
          </cell>
          <cell r="M2209">
            <v>60049176</v>
          </cell>
          <cell r="N2209">
            <v>39030</v>
          </cell>
          <cell r="P2209" t="str">
            <v>IN61109D2S617202</v>
          </cell>
        </row>
        <row r="2210">
          <cell r="A2210">
            <v>60049177</v>
          </cell>
          <cell r="B2210">
            <v>2209</v>
          </cell>
          <cell r="C2210" t="str">
            <v>CS01/10</v>
          </cell>
          <cell r="D2210" t="str">
            <v>SPCC-SD</v>
          </cell>
          <cell r="E2210" t="str">
            <v>AF1</v>
          </cell>
          <cell r="F2210">
            <v>3</v>
          </cell>
          <cell r="G2210">
            <v>90</v>
          </cell>
          <cell r="H2210" t="str">
            <v>C</v>
          </cell>
          <cell r="I2210" t="str">
            <v>A</v>
          </cell>
          <cell r="K2210">
            <v>1</v>
          </cell>
          <cell r="L2210">
            <v>399</v>
          </cell>
          <cell r="M2210">
            <v>60049177</v>
          </cell>
          <cell r="N2210">
            <v>39030</v>
          </cell>
          <cell r="P2210" t="str">
            <v>IN61109D2S617203</v>
          </cell>
        </row>
        <row r="2211">
          <cell r="A2211">
            <v>60049181</v>
          </cell>
          <cell r="B2211">
            <v>2210</v>
          </cell>
          <cell r="C2211" t="str">
            <v>CS01/10</v>
          </cell>
          <cell r="D2211" t="str">
            <v>SPCC-SD</v>
          </cell>
          <cell r="E2211" t="str">
            <v>AF1</v>
          </cell>
          <cell r="F2211">
            <v>3</v>
          </cell>
          <cell r="G2211">
            <v>90</v>
          </cell>
          <cell r="H2211" t="str">
            <v>C</v>
          </cell>
          <cell r="I2211" t="str">
            <v>A</v>
          </cell>
          <cell r="K2211">
            <v>1</v>
          </cell>
          <cell r="L2211">
            <v>399</v>
          </cell>
          <cell r="M2211">
            <v>60049181</v>
          </cell>
          <cell r="N2211">
            <v>39030</v>
          </cell>
          <cell r="P2211" t="str">
            <v>IN61109D2S617204</v>
          </cell>
        </row>
        <row r="2212">
          <cell r="A2212">
            <v>60049182</v>
          </cell>
          <cell r="B2212">
            <v>2211</v>
          </cell>
          <cell r="C2212" t="str">
            <v>CS01/10</v>
          </cell>
          <cell r="D2212" t="str">
            <v>SPCC-SD</v>
          </cell>
          <cell r="E2212" t="str">
            <v>AF1</v>
          </cell>
          <cell r="F2212">
            <v>3</v>
          </cell>
          <cell r="G2212">
            <v>90</v>
          </cell>
          <cell r="H2212" t="str">
            <v>C</v>
          </cell>
          <cell r="I2212" t="str">
            <v>A</v>
          </cell>
          <cell r="K2212">
            <v>1</v>
          </cell>
          <cell r="L2212">
            <v>389</v>
          </cell>
          <cell r="M2212">
            <v>60049182</v>
          </cell>
          <cell r="N2212">
            <v>39030</v>
          </cell>
          <cell r="P2212" t="str">
            <v>IN61109D2S617205</v>
          </cell>
        </row>
        <row r="2213">
          <cell r="A2213">
            <v>60049186</v>
          </cell>
          <cell r="B2213">
            <v>2212</v>
          </cell>
          <cell r="C2213" t="str">
            <v>CS01/10</v>
          </cell>
          <cell r="D2213" t="str">
            <v>SPCC-SD</v>
          </cell>
          <cell r="E2213" t="str">
            <v>AF1</v>
          </cell>
          <cell r="F2213">
            <v>3</v>
          </cell>
          <cell r="G2213">
            <v>90</v>
          </cell>
          <cell r="H2213" t="str">
            <v>C</v>
          </cell>
          <cell r="I2213" t="str">
            <v>A</v>
          </cell>
          <cell r="K2213">
            <v>1</v>
          </cell>
          <cell r="L2213">
            <v>389</v>
          </cell>
          <cell r="M2213">
            <v>60049186</v>
          </cell>
          <cell r="N2213">
            <v>39030</v>
          </cell>
          <cell r="P2213" t="str">
            <v>IN61109D2S617206</v>
          </cell>
        </row>
        <row r="2214">
          <cell r="A2214">
            <v>60049187</v>
          </cell>
          <cell r="B2214">
            <v>2213</v>
          </cell>
          <cell r="C2214" t="str">
            <v>CS01/10</v>
          </cell>
          <cell r="D2214" t="str">
            <v>SPCC-SD</v>
          </cell>
          <cell r="E2214" t="str">
            <v>AF1</v>
          </cell>
          <cell r="F2214">
            <v>3</v>
          </cell>
          <cell r="G2214">
            <v>90</v>
          </cell>
          <cell r="H2214" t="str">
            <v>C</v>
          </cell>
          <cell r="I2214" t="str">
            <v>A</v>
          </cell>
          <cell r="K2214">
            <v>1</v>
          </cell>
          <cell r="L2214">
            <v>405</v>
          </cell>
          <cell r="M2214">
            <v>60049187</v>
          </cell>
          <cell r="N2214">
            <v>39030</v>
          </cell>
          <cell r="P2214" t="str">
            <v>IN61109D2S617207</v>
          </cell>
        </row>
        <row r="2215">
          <cell r="A2215">
            <v>60049191</v>
          </cell>
          <cell r="B2215">
            <v>2214</v>
          </cell>
          <cell r="C2215" t="str">
            <v>CS01/10</v>
          </cell>
          <cell r="D2215" t="str">
            <v>SPCC-SD</v>
          </cell>
          <cell r="E2215" t="str">
            <v>AF1</v>
          </cell>
          <cell r="F2215">
            <v>3</v>
          </cell>
          <cell r="G2215">
            <v>90</v>
          </cell>
          <cell r="H2215" t="str">
            <v>C</v>
          </cell>
          <cell r="I2215" t="str">
            <v>A</v>
          </cell>
          <cell r="K2215">
            <v>1</v>
          </cell>
          <cell r="L2215">
            <v>405</v>
          </cell>
          <cell r="M2215">
            <v>60049191</v>
          </cell>
          <cell r="N2215">
            <v>39030</v>
          </cell>
          <cell r="P2215" t="str">
            <v>IN61109D2S617208</v>
          </cell>
        </row>
        <row r="2216">
          <cell r="A2216">
            <v>60049192</v>
          </cell>
          <cell r="B2216">
            <v>2215</v>
          </cell>
          <cell r="C2216" t="str">
            <v>CS01/10</v>
          </cell>
          <cell r="D2216" t="str">
            <v>SPCC-SD</v>
          </cell>
          <cell r="E2216" t="str">
            <v>AF1</v>
          </cell>
          <cell r="F2216">
            <v>3</v>
          </cell>
          <cell r="G2216">
            <v>90</v>
          </cell>
          <cell r="H2216" t="str">
            <v>C</v>
          </cell>
          <cell r="I2216" t="str">
            <v>A</v>
          </cell>
          <cell r="K2216">
            <v>1</v>
          </cell>
          <cell r="L2216">
            <v>405</v>
          </cell>
          <cell r="M2216">
            <v>60049192</v>
          </cell>
          <cell r="N2216">
            <v>38727</v>
          </cell>
          <cell r="P2216" t="str">
            <v>IN61109D2S617209</v>
          </cell>
        </row>
        <row r="2217">
          <cell r="A2217">
            <v>60049196</v>
          </cell>
          <cell r="B2217">
            <v>2216</v>
          </cell>
          <cell r="C2217" t="str">
            <v>CS01/10</v>
          </cell>
          <cell r="D2217" t="str">
            <v>SPCC-SD</v>
          </cell>
          <cell r="E2217" t="str">
            <v>AF1</v>
          </cell>
          <cell r="F2217">
            <v>3</v>
          </cell>
          <cell r="G2217">
            <v>90</v>
          </cell>
          <cell r="H2217" t="str">
            <v>C</v>
          </cell>
          <cell r="I2217" t="str">
            <v>A</v>
          </cell>
          <cell r="K2217">
            <v>1</v>
          </cell>
          <cell r="L2217">
            <v>405</v>
          </cell>
          <cell r="M2217">
            <v>60049196</v>
          </cell>
          <cell r="N2217">
            <v>38727</v>
          </cell>
          <cell r="P2217" t="str">
            <v>IN61109D2S617210</v>
          </cell>
        </row>
        <row r="2218">
          <cell r="A2218">
            <v>60049432</v>
          </cell>
          <cell r="B2218">
            <v>2217</v>
          </cell>
          <cell r="C2218" t="str">
            <v>CS01/10</v>
          </cell>
          <cell r="D2218" t="str">
            <v>SPCC-SD</v>
          </cell>
          <cell r="E2218" t="str">
            <v>AF1</v>
          </cell>
          <cell r="F2218">
            <v>3</v>
          </cell>
          <cell r="G2218">
            <v>90</v>
          </cell>
          <cell r="H2218" t="str">
            <v>C</v>
          </cell>
          <cell r="I2218" t="str">
            <v>A</v>
          </cell>
          <cell r="K2218">
            <v>1</v>
          </cell>
          <cell r="L2218">
            <v>388</v>
          </cell>
          <cell r="M2218">
            <v>60049432</v>
          </cell>
          <cell r="N2218">
            <v>38730</v>
          </cell>
          <cell r="P2218" t="str">
            <v>IN6113N2S617401</v>
          </cell>
        </row>
        <row r="2219">
          <cell r="A2219">
            <v>60049433</v>
          </cell>
          <cell r="B2219">
            <v>2218</v>
          </cell>
          <cell r="C2219" t="str">
            <v>CS01/10</v>
          </cell>
          <cell r="D2219" t="str">
            <v>SPCC-SD</v>
          </cell>
          <cell r="E2219" t="str">
            <v>AF1</v>
          </cell>
          <cell r="F2219">
            <v>3</v>
          </cell>
          <cell r="G2219">
            <v>90</v>
          </cell>
          <cell r="H2219" t="str">
            <v>C</v>
          </cell>
          <cell r="I2219" t="str">
            <v>A</v>
          </cell>
          <cell r="K2219">
            <v>1</v>
          </cell>
          <cell r="L2219">
            <v>388</v>
          </cell>
          <cell r="M2219">
            <v>60049433</v>
          </cell>
          <cell r="N2219">
            <v>38730</v>
          </cell>
          <cell r="P2219" t="str">
            <v>IN6113N2S617402</v>
          </cell>
        </row>
        <row r="2220">
          <cell r="A2220">
            <v>60049437</v>
          </cell>
          <cell r="B2220">
            <v>2219</v>
          </cell>
          <cell r="C2220" t="str">
            <v>CS01/10</v>
          </cell>
          <cell r="D2220" t="str">
            <v>SPCC-SD</v>
          </cell>
          <cell r="E2220" t="str">
            <v>AF1</v>
          </cell>
          <cell r="F2220">
            <v>3</v>
          </cell>
          <cell r="G2220">
            <v>90</v>
          </cell>
          <cell r="H2220" t="str">
            <v>C</v>
          </cell>
          <cell r="I2220" t="str">
            <v>A</v>
          </cell>
          <cell r="K2220">
            <v>1</v>
          </cell>
          <cell r="L2220">
            <v>394</v>
          </cell>
          <cell r="M2220">
            <v>60049437</v>
          </cell>
          <cell r="N2220">
            <v>38730</v>
          </cell>
          <cell r="P2220" t="str">
            <v>IN6113N2S617403</v>
          </cell>
        </row>
        <row r="2221">
          <cell r="A2221">
            <v>60049438</v>
          </cell>
          <cell r="B2221">
            <v>2220</v>
          </cell>
          <cell r="C2221" t="str">
            <v>CS01/10</v>
          </cell>
          <cell r="D2221" t="str">
            <v>SPCC-SD</v>
          </cell>
          <cell r="E2221" t="str">
            <v>AF1</v>
          </cell>
          <cell r="F2221">
            <v>3</v>
          </cell>
          <cell r="G2221">
            <v>90</v>
          </cell>
          <cell r="H2221" t="str">
            <v>C</v>
          </cell>
          <cell r="I2221" t="str">
            <v>A</v>
          </cell>
          <cell r="K2221">
            <v>1</v>
          </cell>
          <cell r="L2221">
            <v>394</v>
          </cell>
          <cell r="M2221">
            <v>60049438</v>
          </cell>
          <cell r="N2221">
            <v>38730</v>
          </cell>
          <cell r="P2221" t="str">
            <v>IN6113N2S617404</v>
          </cell>
        </row>
        <row r="2222">
          <cell r="A2222">
            <v>60049491</v>
          </cell>
          <cell r="B2222">
            <v>2221</v>
          </cell>
          <cell r="C2222" t="str">
            <v>CS01/10</v>
          </cell>
          <cell r="D2222" t="str">
            <v>SPCC-SD</v>
          </cell>
          <cell r="E2222" t="str">
            <v>AF1</v>
          </cell>
          <cell r="F2222">
            <v>3</v>
          </cell>
          <cell r="G2222">
            <v>90</v>
          </cell>
          <cell r="H2222" t="str">
            <v>C</v>
          </cell>
          <cell r="I2222" t="str">
            <v>A</v>
          </cell>
          <cell r="K2222">
            <v>1</v>
          </cell>
          <cell r="L2222">
            <v>398</v>
          </cell>
          <cell r="M2222">
            <v>60049491</v>
          </cell>
          <cell r="N2222">
            <v>38730</v>
          </cell>
          <cell r="P2222" t="str">
            <v>IN6113N2S617501</v>
          </cell>
        </row>
        <row r="2223">
          <cell r="A2223">
            <v>60049495</v>
          </cell>
          <cell r="B2223">
            <v>2222</v>
          </cell>
          <cell r="C2223" t="str">
            <v>CS01/10</v>
          </cell>
          <cell r="D2223" t="str">
            <v>SPCC-SD</v>
          </cell>
          <cell r="E2223" t="str">
            <v>AF1</v>
          </cell>
          <cell r="F2223">
            <v>3</v>
          </cell>
          <cell r="G2223">
            <v>90</v>
          </cell>
          <cell r="H2223" t="str">
            <v>C</v>
          </cell>
          <cell r="I2223" t="str">
            <v>A</v>
          </cell>
          <cell r="K2223">
            <v>1</v>
          </cell>
          <cell r="L2223">
            <v>398</v>
          </cell>
          <cell r="M2223">
            <v>60049495</v>
          </cell>
          <cell r="N2223">
            <v>38730</v>
          </cell>
          <cell r="P2223" t="str">
            <v>IN6113N2S617502</v>
          </cell>
        </row>
        <row r="2224">
          <cell r="A2224">
            <v>60049496</v>
          </cell>
          <cell r="B2224">
            <v>2223</v>
          </cell>
          <cell r="C2224" t="str">
            <v>CS01/10</v>
          </cell>
          <cell r="D2224" t="str">
            <v>SPCC-SD</v>
          </cell>
          <cell r="E2224" t="str">
            <v>AF1</v>
          </cell>
          <cell r="F2224">
            <v>3</v>
          </cell>
          <cell r="G2224">
            <v>90</v>
          </cell>
          <cell r="H2224" t="str">
            <v>C</v>
          </cell>
          <cell r="I2224" t="str">
            <v>A</v>
          </cell>
          <cell r="K2224">
            <v>1</v>
          </cell>
          <cell r="L2224">
            <v>428</v>
          </cell>
          <cell r="M2224">
            <v>60049496</v>
          </cell>
          <cell r="N2224">
            <v>38730</v>
          </cell>
          <cell r="P2224" t="str">
            <v>IN6113N2S617503</v>
          </cell>
        </row>
        <row r="2225">
          <cell r="A2225">
            <v>60049501</v>
          </cell>
          <cell r="B2225">
            <v>2224</v>
          </cell>
          <cell r="C2225" t="str">
            <v>CS01/10</v>
          </cell>
          <cell r="D2225" t="str">
            <v>SPCC-SD</v>
          </cell>
          <cell r="E2225" t="str">
            <v>AF1</v>
          </cell>
          <cell r="F2225">
            <v>3</v>
          </cell>
          <cell r="G2225">
            <v>90</v>
          </cell>
          <cell r="H2225" t="str">
            <v>C</v>
          </cell>
          <cell r="I2225" t="str">
            <v>A</v>
          </cell>
          <cell r="K2225">
            <v>1</v>
          </cell>
          <cell r="L2225">
            <v>392</v>
          </cell>
          <cell r="M2225">
            <v>60049501</v>
          </cell>
          <cell r="N2225">
            <v>38730</v>
          </cell>
          <cell r="P2225" t="str">
            <v>IN6113N2S617504</v>
          </cell>
        </row>
        <row r="2226">
          <cell r="A2226">
            <v>60049505</v>
          </cell>
          <cell r="B2226">
            <v>2225</v>
          </cell>
          <cell r="C2226" t="str">
            <v>CS01/10</v>
          </cell>
          <cell r="D2226" t="str">
            <v>SPCC-SD</v>
          </cell>
          <cell r="E2226" t="str">
            <v>AF1</v>
          </cell>
          <cell r="F2226">
            <v>3</v>
          </cell>
          <cell r="G2226">
            <v>90</v>
          </cell>
          <cell r="H2226" t="str">
            <v>C</v>
          </cell>
          <cell r="I2226" t="str">
            <v>A</v>
          </cell>
          <cell r="K2226">
            <v>1</v>
          </cell>
          <cell r="L2226">
            <v>392</v>
          </cell>
          <cell r="M2226">
            <v>60049505</v>
          </cell>
          <cell r="N2226">
            <v>38730</v>
          </cell>
          <cell r="P2226" t="str">
            <v>IN6113N2S617505</v>
          </cell>
        </row>
        <row r="2227">
          <cell r="A2227">
            <v>60050802</v>
          </cell>
          <cell r="B2227">
            <v>2226</v>
          </cell>
          <cell r="C2227" t="str">
            <v>CS01/10</v>
          </cell>
          <cell r="D2227" t="str">
            <v>SPCC-SD</v>
          </cell>
          <cell r="E2227" t="str">
            <v>AF1</v>
          </cell>
          <cell r="F2227">
            <v>3</v>
          </cell>
          <cell r="G2227">
            <v>90</v>
          </cell>
          <cell r="H2227" t="str">
            <v>C</v>
          </cell>
          <cell r="I2227" t="str">
            <v>A</v>
          </cell>
          <cell r="K2227">
            <v>1</v>
          </cell>
          <cell r="L2227">
            <v>339</v>
          </cell>
          <cell r="M2227">
            <v>60050802</v>
          </cell>
          <cell r="N2227">
            <v>38750</v>
          </cell>
          <cell r="P2227" t="str">
            <v>IN6202N2S703701</v>
          </cell>
        </row>
        <row r="2228">
          <cell r="A2228">
            <v>60052807</v>
          </cell>
          <cell r="B2228">
            <v>2227</v>
          </cell>
          <cell r="C2228" t="str">
            <v>CS01/10</v>
          </cell>
          <cell r="D2228" t="str">
            <v>SPCC-SD</v>
          </cell>
          <cell r="E2228" t="str">
            <v>AF1</v>
          </cell>
          <cell r="F2228">
            <v>3</v>
          </cell>
          <cell r="G2228">
            <v>90</v>
          </cell>
          <cell r="H2228" t="str">
            <v>C</v>
          </cell>
          <cell r="I2228" t="str">
            <v>A</v>
          </cell>
          <cell r="K2228">
            <v>1</v>
          </cell>
          <cell r="L2228">
            <v>255</v>
          </cell>
          <cell r="M2228">
            <v>60052807</v>
          </cell>
          <cell r="N2228">
            <v>38750</v>
          </cell>
          <cell r="P2228" t="str">
            <v>IN6202N2S703702</v>
          </cell>
        </row>
        <row r="2229">
          <cell r="A2229">
            <v>60050808</v>
          </cell>
          <cell r="B2229">
            <v>2228</v>
          </cell>
          <cell r="C2229" t="str">
            <v>CS01/10</v>
          </cell>
          <cell r="D2229" t="str">
            <v>SPCC-SD</v>
          </cell>
          <cell r="E2229" t="str">
            <v>AF1</v>
          </cell>
          <cell r="F2229">
            <v>3</v>
          </cell>
          <cell r="G2229">
            <v>90</v>
          </cell>
          <cell r="H2229" t="str">
            <v>C</v>
          </cell>
          <cell r="I2229" t="str">
            <v>A</v>
          </cell>
          <cell r="K2229">
            <v>1</v>
          </cell>
          <cell r="L2229">
            <v>255</v>
          </cell>
          <cell r="M2229">
            <v>60050808</v>
          </cell>
          <cell r="N2229">
            <v>38750</v>
          </cell>
          <cell r="P2229" t="str">
            <v>IN6202N2S703703</v>
          </cell>
        </row>
        <row r="2230">
          <cell r="A2230">
            <v>60050820</v>
          </cell>
          <cell r="B2230">
            <v>2229</v>
          </cell>
          <cell r="C2230" t="str">
            <v>CS01/10</v>
          </cell>
          <cell r="D2230" t="str">
            <v>SPCC-SD</v>
          </cell>
          <cell r="E2230" t="str">
            <v>AF1</v>
          </cell>
          <cell r="F2230">
            <v>3</v>
          </cell>
          <cell r="G2230">
            <v>90</v>
          </cell>
          <cell r="H2230" t="str">
            <v>C</v>
          </cell>
          <cell r="I2230" t="str">
            <v>A</v>
          </cell>
          <cell r="K2230">
            <v>1</v>
          </cell>
          <cell r="L2230">
            <v>339</v>
          </cell>
          <cell r="M2230">
            <v>60050820</v>
          </cell>
          <cell r="N2230">
            <v>38750</v>
          </cell>
          <cell r="P2230" t="str">
            <v>IN6202N2S703704</v>
          </cell>
        </row>
        <row r="2231">
          <cell r="A2231">
            <v>60050821</v>
          </cell>
          <cell r="B2231">
            <v>2230</v>
          </cell>
          <cell r="C2231" t="str">
            <v>CS01/10</v>
          </cell>
          <cell r="D2231" t="str">
            <v>SPCC-SD</v>
          </cell>
          <cell r="E2231" t="str">
            <v>AF1</v>
          </cell>
          <cell r="F2231">
            <v>3</v>
          </cell>
          <cell r="G2231">
            <v>90</v>
          </cell>
          <cell r="H2231" t="str">
            <v>C</v>
          </cell>
          <cell r="I2231" t="str">
            <v>A</v>
          </cell>
          <cell r="K2231">
            <v>1</v>
          </cell>
          <cell r="L2231">
            <v>339</v>
          </cell>
          <cell r="M2231">
            <v>60050821</v>
          </cell>
          <cell r="N2231">
            <v>38750</v>
          </cell>
          <cell r="P2231" t="str">
            <v>IN6202N2S703705</v>
          </cell>
        </row>
        <row r="2232">
          <cell r="A2232">
            <v>60050825</v>
          </cell>
          <cell r="B2232">
            <v>2231</v>
          </cell>
          <cell r="C2232" t="str">
            <v>CS01/10</v>
          </cell>
          <cell r="D2232" t="str">
            <v>SPCC-SD</v>
          </cell>
          <cell r="E2232" t="str">
            <v>AF1</v>
          </cell>
          <cell r="F2232">
            <v>3</v>
          </cell>
          <cell r="G2232">
            <v>90</v>
          </cell>
          <cell r="H2232" t="str">
            <v>C</v>
          </cell>
          <cell r="I2232" t="str">
            <v>A</v>
          </cell>
          <cell r="K2232">
            <v>1</v>
          </cell>
          <cell r="L2232">
            <v>333</v>
          </cell>
          <cell r="M2232">
            <v>60050825</v>
          </cell>
          <cell r="N2232">
            <v>38750</v>
          </cell>
          <cell r="P2232" t="str">
            <v>IN6202N2S703706</v>
          </cell>
        </row>
        <row r="2233">
          <cell r="A2233">
            <v>60050826</v>
          </cell>
          <cell r="B2233">
            <v>2232</v>
          </cell>
          <cell r="C2233" t="str">
            <v>CS01/10</v>
          </cell>
          <cell r="D2233" t="str">
            <v>SPCC-SD</v>
          </cell>
          <cell r="E2233" t="str">
            <v>AF1</v>
          </cell>
          <cell r="F2233">
            <v>3</v>
          </cell>
          <cell r="G2233">
            <v>90</v>
          </cell>
          <cell r="H2233" t="str">
            <v>C</v>
          </cell>
          <cell r="I2233" t="str">
            <v>A</v>
          </cell>
          <cell r="K2233">
            <v>1</v>
          </cell>
          <cell r="L2233">
            <v>333</v>
          </cell>
          <cell r="M2233">
            <v>60050826</v>
          </cell>
          <cell r="N2233">
            <v>38750</v>
          </cell>
          <cell r="P2233" t="str">
            <v>IN6202N2S703707</v>
          </cell>
        </row>
        <row r="2234">
          <cell r="A2234">
            <v>60050836</v>
          </cell>
          <cell r="B2234">
            <v>2233</v>
          </cell>
          <cell r="C2234" t="str">
            <v>CS01/10</v>
          </cell>
          <cell r="D2234" t="str">
            <v>SPCC-SD</v>
          </cell>
          <cell r="E2234" t="str">
            <v>AF1</v>
          </cell>
          <cell r="F2234">
            <v>3</v>
          </cell>
          <cell r="G2234">
            <v>90</v>
          </cell>
          <cell r="H2234" t="str">
            <v>C</v>
          </cell>
          <cell r="I2234" t="str">
            <v>A</v>
          </cell>
          <cell r="K2234">
            <v>1</v>
          </cell>
          <cell r="L2234">
            <v>379</v>
          </cell>
          <cell r="M2234">
            <v>60050836</v>
          </cell>
          <cell r="N2234">
            <v>38750</v>
          </cell>
          <cell r="P2234" t="str">
            <v>IN6202N2S703708</v>
          </cell>
        </row>
        <row r="2235">
          <cell r="A2235">
            <v>60050837</v>
          </cell>
          <cell r="B2235">
            <v>2234</v>
          </cell>
          <cell r="C2235" t="str">
            <v>CS01/10</v>
          </cell>
          <cell r="D2235" t="str">
            <v>SPCC-SD</v>
          </cell>
          <cell r="E2235" t="str">
            <v>AF1</v>
          </cell>
          <cell r="F2235">
            <v>3</v>
          </cell>
          <cell r="G2235">
            <v>90</v>
          </cell>
          <cell r="H2235" t="str">
            <v>C</v>
          </cell>
          <cell r="I2235" t="str">
            <v>A</v>
          </cell>
          <cell r="K2235">
            <v>1</v>
          </cell>
          <cell r="L2235">
            <v>377</v>
          </cell>
          <cell r="M2235">
            <v>60050837</v>
          </cell>
          <cell r="N2235">
            <v>38750</v>
          </cell>
          <cell r="P2235" t="str">
            <v>IN6202N2S703709</v>
          </cell>
        </row>
        <row r="2236">
          <cell r="A2236">
            <v>60050841</v>
          </cell>
          <cell r="B2236">
            <v>2235</v>
          </cell>
          <cell r="C2236" t="str">
            <v>CS01/10</v>
          </cell>
          <cell r="D2236" t="str">
            <v>SPCC-SD</v>
          </cell>
          <cell r="E2236" t="str">
            <v>AF1</v>
          </cell>
          <cell r="F2236">
            <v>3</v>
          </cell>
          <cell r="G2236">
            <v>90</v>
          </cell>
          <cell r="H2236" t="str">
            <v>C</v>
          </cell>
          <cell r="I2236" t="str">
            <v>A</v>
          </cell>
          <cell r="K2236">
            <v>1</v>
          </cell>
          <cell r="L2236">
            <v>369</v>
          </cell>
          <cell r="M2236">
            <v>60050841</v>
          </cell>
          <cell r="N2236">
            <v>38750</v>
          </cell>
          <cell r="P2236" t="str">
            <v>IN6202N2S703710</v>
          </cell>
        </row>
        <row r="2237">
          <cell r="A2237">
            <v>60050842</v>
          </cell>
          <cell r="B2237">
            <v>2236</v>
          </cell>
          <cell r="C2237" t="str">
            <v>CS01/10</v>
          </cell>
          <cell r="D2237" t="str">
            <v>SPCC-SD</v>
          </cell>
          <cell r="E2237" t="str">
            <v>AF1</v>
          </cell>
          <cell r="F2237">
            <v>3</v>
          </cell>
          <cell r="G2237">
            <v>90</v>
          </cell>
          <cell r="H2237" t="str">
            <v>C</v>
          </cell>
          <cell r="I2237" t="str">
            <v>A</v>
          </cell>
          <cell r="K2237">
            <v>1</v>
          </cell>
          <cell r="L2237">
            <v>369</v>
          </cell>
          <cell r="M2237">
            <v>60050842</v>
          </cell>
          <cell r="N2237">
            <v>38750</v>
          </cell>
          <cell r="P2237" t="str">
            <v>IN6202N2S703711</v>
          </cell>
        </row>
        <row r="2238">
          <cell r="A2238">
            <v>60050852</v>
          </cell>
          <cell r="B2238">
            <v>2237</v>
          </cell>
          <cell r="C2238" t="str">
            <v>CS01/10</v>
          </cell>
          <cell r="D2238" t="str">
            <v>SPCC-SD</v>
          </cell>
          <cell r="E2238" t="str">
            <v>AF1</v>
          </cell>
          <cell r="F2238">
            <v>3</v>
          </cell>
          <cell r="G2238">
            <v>90</v>
          </cell>
          <cell r="H2238" t="str">
            <v>C</v>
          </cell>
          <cell r="I2238" t="str">
            <v>A</v>
          </cell>
          <cell r="K2238">
            <v>1</v>
          </cell>
          <cell r="L2238">
            <v>387</v>
          </cell>
          <cell r="M2238">
            <v>60050852</v>
          </cell>
          <cell r="N2238">
            <v>38750</v>
          </cell>
          <cell r="P2238" t="str">
            <v>IN6202N2S703601</v>
          </cell>
        </row>
        <row r="2239">
          <cell r="A2239">
            <v>60050853</v>
          </cell>
          <cell r="B2239">
            <v>2238</v>
          </cell>
          <cell r="C2239" t="str">
            <v>CS01/10</v>
          </cell>
          <cell r="D2239" t="str">
            <v>SPCC-SD</v>
          </cell>
          <cell r="E2239" t="str">
            <v>AF1</v>
          </cell>
          <cell r="F2239">
            <v>3</v>
          </cell>
          <cell r="G2239">
            <v>90</v>
          </cell>
          <cell r="H2239" t="str">
            <v>C</v>
          </cell>
          <cell r="I2239" t="str">
            <v>A</v>
          </cell>
          <cell r="K2239">
            <v>1</v>
          </cell>
          <cell r="L2239">
            <v>387</v>
          </cell>
          <cell r="M2239">
            <v>60050853</v>
          </cell>
          <cell r="N2239">
            <v>38750</v>
          </cell>
          <cell r="P2239" t="str">
            <v>IN6202N2S703602</v>
          </cell>
        </row>
        <row r="2240">
          <cell r="A2240">
            <v>60050883</v>
          </cell>
          <cell r="B2240">
            <v>2239</v>
          </cell>
          <cell r="C2240" t="str">
            <v>CS01/10</v>
          </cell>
          <cell r="D2240" t="str">
            <v>SPCC-SD</v>
          </cell>
          <cell r="E2240" t="str">
            <v>AF1</v>
          </cell>
          <cell r="F2240">
            <v>3</v>
          </cell>
          <cell r="G2240">
            <v>90</v>
          </cell>
          <cell r="H2240" t="str">
            <v>C</v>
          </cell>
          <cell r="I2240" t="str">
            <v>A</v>
          </cell>
          <cell r="K2240">
            <v>1</v>
          </cell>
          <cell r="L2240">
            <v>340</v>
          </cell>
          <cell r="M2240">
            <v>60050883</v>
          </cell>
          <cell r="N2240">
            <v>38750</v>
          </cell>
          <cell r="P2240" t="str">
            <v>IN6202N2S703603</v>
          </cell>
        </row>
        <row r="2241">
          <cell r="A2241">
            <v>60065734</v>
          </cell>
          <cell r="B2241">
            <v>2240</v>
          </cell>
          <cell r="C2241" t="str">
            <v>CS01/13</v>
          </cell>
          <cell r="D2241" t="str">
            <v>SPCC-SD</v>
          </cell>
          <cell r="E2241" t="str">
            <v>AF1</v>
          </cell>
          <cell r="F2241">
            <v>0.4</v>
          </cell>
          <cell r="G2241">
            <v>60</v>
          </cell>
          <cell r="H2241" t="str">
            <v>C</v>
          </cell>
          <cell r="I2241" t="str">
            <v>A</v>
          </cell>
          <cell r="J2241" t="str">
            <v>PSP</v>
          </cell>
          <cell r="K2241">
            <v>1</v>
          </cell>
          <cell r="L2241">
            <v>303</v>
          </cell>
          <cell r="M2241">
            <v>60065734</v>
          </cell>
          <cell r="N2241">
            <v>38936</v>
          </cell>
          <cell r="P2241" t="str">
            <v>SN6807N1S261001</v>
          </cell>
          <cell r="Q2241" t="str">
            <v>สภาพปกติ</v>
          </cell>
        </row>
        <row r="2242">
          <cell r="A2242">
            <v>60065735</v>
          </cell>
          <cell r="B2242">
            <v>2241</v>
          </cell>
          <cell r="C2242" t="str">
            <v>CS01/13</v>
          </cell>
          <cell r="D2242" t="str">
            <v>SPCC-SD</v>
          </cell>
          <cell r="E2242" t="str">
            <v>AF1</v>
          </cell>
          <cell r="F2242">
            <v>0.4</v>
          </cell>
          <cell r="G2242">
            <v>60</v>
          </cell>
          <cell r="H2242" t="str">
            <v>C</v>
          </cell>
          <cell r="I2242" t="str">
            <v>A</v>
          </cell>
          <cell r="J2242" t="str">
            <v>PSP</v>
          </cell>
          <cell r="K2242">
            <v>1</v>
          </cell>
          <cell r="L2242">
            <v>303</v>
          </cell>
          <cell r="M2242">
            <v>60065735</v>
          </cell>
          <cell r="N2242">
            <v>38936</v>
          </cell>
          <cell r="P2242" t="str">
            <v>SN6807N1S261002</v>
          </cell>
          <cell r="Q2242" t="str">
            <v>สภาพปกติ</v>
          </cell>
        </row>
        <row r="2243">
          <cell r="A2243">
            <v>60066308</v>
          </cell>
          <cell r="B2243">
            <v>2242</v>
          </cell>
          <cell r="C2243" t="str">
            <v>CS01/13</v>
          </cell>
          <cell r="D2243" t="str">
            <v>SPCC-SD</v>
          </cell>
          <cell r="E2243" t="str">
            <v>AF1</v>
          </cell>
          <cell r="F2243">
            <v>0.5</v>
          </cell>
          <cell r="G2243">
            <v>79</v>
          </cell>
          <cell r="H2243" t="str">
            <v>C</v>
          </cell>
          <cell r="I2243" t="str">
            <v>A</v>
          </cell>
          <cell r="J2243" t="str">
            <v>PSP</v>
          </cell>
          <cell r="K2243">
            <v>1</v>
          </cell>
          <cell r="L2243">
            <v>142</v>
          </cell>
          <cell r="M2243">
            <v>60066308</v>
          </cell>
          <cell r="N2243">
            <v>38945</v>
          </cell>
          <cell r="P2243" t="str">
            <v>SN6816N1S299101</v>
          </cell>
          <cell r="Q2243" t="str">
            <v>สภาพปกติ</v>
          </cell>
        </row>
        <row r="2244">
          <cell r="A2244">
            <v>60066310</v>
          </cell>
          <cell r="B2244">
            <v>2243</v>
          </cell>
          <cell r="C2244" t="str">
            <v>CS01/13</v>
          </cell>
          <cell r="D2244" t="str">
            <v>SPCC-SD</v>
          </cell>
          <cell r="E2244" t="str">
            <v>AF1</v>
          </cell>
          <cell r="F2244">
            <v>0.5</v>
          </cell>
          <cell r="G2244">
            <v>79</v>
          </cell>
          <cell r="H2244" t="str">
            <v>C</v>
          </cell>
          <cell r="I2244" t="str">
            <v>A</v>
          </cell>
          <cell r="J2244" t="str">
            <v>PSP</v>
          </cell>
          <cell r="K2244">
            <v>1</v>
          </cell>
          <cell r="L2244">
            <v>121</v>
          </cell>
          <cell r="M2244">
            <v>60066310</v>
          </cell>
          <cell r="N2244">
            <v>38946</v>
          </cell>
          <cell r="P2244" t="str">
            <v>SN6816N1S299101</v>
          </cell>
          <cell r="Q2244" t="str">
            <v>สภาพปกติ</v>
          </cell>
        </row>
        <row r="2245">
          <cell r="A2245">
            <v>60066313</v>
          </cell>
          <cell r="B2245">
            <v>2244</v>
          </cell>
          <cell r="C2245" t="str">
            <v>CS01/13</v>
          </cell>
          <cell r="D2245" t="str">
            <v>SPCC-SD</v>
          </cell>
          <cell r="E2245" t="str">
            <v>AF1</v>
          </cell>
          <cell r="F2245">
            <v>0.5</v>
          </cell>
          <cell r="G2245">
            <v>123</v>
          </cell>
          <cell r="H2245" t="str">
            <v>C</v>
          </cell>
          <cell r="I2245" t="str">
            <v>A</v>
          </cell>
          <cell r="J2245" t="str">
            <v>PSP</v>
          </cell>
          <cell r="K2245">
            <v>1</v>
          </cell>
          <cell r="L2245">
            <v>130</v>
          </cell>
          <cell r="M2245">
            <v>60066313</v>
          </cell>
          <cell r="N2245">
            <v>38946</v>
          </cell>
          <cell r="P2245" t="str">
            <v>SN6817N1S299101</v>
          </cell>
          <cell r="Q2245" t="str">
            <v>สภาพปกติ</v>
          </cell>
        </row>
        <row r="2246">
          <cell r="A2246">
            <v>6006594</v>
          </cell>
          <cell r="B2246">
            <v>2245</v>
          </cell>
          <cell r="C2246" t="str">
            <v>CS01/13</v>
          </cell>
          <cell r="D2246" t="str">
            <v>SPCC-SD</v>
          </cell>
          <cell r="E2246" t="str">
            <v>AF1</v>
          </cell>
          <cell r="F2246">
            <v>0.5</v>
          </cell>
          <cell r="G2246">
            <v>300</v>
          </cell>
          <cell r="H2246" t="str">
            <v>C</v>
          </cell>
          <cell r="I2246" t="str">
            <v>A</v>
          </cell>
          <cell r="J2246" t="str">
            <v>PSP</v>
          </cell>
          <cell r="K2246">
            <v>1</v>
          </cell>
          <cell r="L2246">
            <v>405</v>
          </cell>
          <cell r="M2246">
            <v>6006594</v>
          </cell>
          <cell r="N2246">
            <v>38935</v>
          </cell>
          <cell r="P2246" t="str">
            <v>SN6806N1S272601</v>
          </cell>
          <cell r="Q2246" t="str">
            <v>สภาพปกติ</v>
          </cell>
        </row>
        <row r="2247">
          <cell r="A2247">
            <v>60066941</v>
          </cell>
          <cell r="B2247">
            <v>2246</v>
          </cell>
          <cell r="C2247" t="str">
            <v>CS01/13</v>
          </cell>
          <cell r="D2247" t="str">
            <v>SPCC-SD</v>
          </cell>
          <cell r="E2247" t="str">
            <v>AF1</v>
          </cell>
          <cell r="F2247">
            <v>0.6</v>
          </cell>
          <cell r="G2247">
            <v>135</v>
          </cell>
          <cell r="H2247" t="str">
            <v>C</v>
          </cell>
          <cell r="I2247" t="str">
            <v>A</v>
          </cell>
          <cell r="J2247" t="str">
            <v>PSP</v>
          </cell>
          <cell r="K2247">
            <v>1</v>
          </cell>
          <cell r="L2247">
            <v>196</v>
          </cell>
          <cell r="M2247">
            <v>60066941</v>
          </cell>
          <cell r="N2247">
            <v>38953</v>
          </cell>
          <cell r="P2247" t="str">
            <v>SN6824D1S320201</v>
          </cell>
          <cell r="Q2247" t="str">
            <v>สภาพปกติ</v>
          </cell>
        </row>
        <row r="2248">
          <cell r="A2248">
            <v>60066153</v>
          </cell>
          <cell r="B2248">
            <v>2247</v>
          </cell>
          <cell r="C2248" t="str">
            <v>CS01/13</v>
          </cell>
          <cell r="D2248" t="str">
            <v>SPCC-SD</v>
          </cell>
          <cell r="E2248" t="str">
            <v>AF1</v>
          </cell>
          <cell r="F2248">
            <v>0.7</v>
          </cell>
          <cell r="G2248">
            <v>30</v>
          </cell>
          <cell r="H2248" t="str">
            <v>C</v>
          </cell>
          <cell r="I2248" t="str">
            <v>A</v>
          </cell>
          <cell r="J2248" t="str">
            <v>PSP</v>
          </cell>
          <cell r="K2248">
            <v>1</v>
          </cell>
          <cell r="L2248">
            <v>119</v>
          </cell>
          <cell r="M2248">
            <v>60066153</v>
          </cell>
          <cell r="N2248">
            <v>38944</v>
          </cell>
          <cell r="P2248" t="str">
            <v>SN6815N1S295801</v>
          </cell>
          <cell r="Q2248" t="str">
            <v>สภาพปกติ</v>
          </cell>
        </row>
        <row r="2249">
          <cell r="A2249">
            <v>60066157</v>
          </cell>
          <cell r="B2249">
            <v>2248</v>
          </cell>
          <cell r="C2249" t="str">
            <v>CS01/13</v>
          </cell>
          <cell r="D2249" t="str">
            <v>SPCC-SD</v>
          </cell>
          <cell r="E2249" t="str">
            <v>AF1</v>
          </cell>
          <cell r="F2249">
            <v>0.7</v>
          </cell>
          <cell r="G2249">
            <v>30</v>
          </cell>
          <cell r="H2249" t="str">
            <v>C</v>
          </cell>
          <cell r="I2249" t="str">
            <v>A</v>
          </cell>
          <cell r="J2249" t="str">
            <v>PSP</v>
          </cell>
          <cell r="K2249">
            <v>1</v>
          </cell>
          <cell r="L2249">
            <v>119</v>
          </cell>
          <cell r="M2249">
            <v>60066157</v>
          </cell>
          <cell r="N2249">
            <v>38944</v>
          </cell>
          <cell r="P2249" t="str">
            <v>SN6815N1S295802</v>
          </cell>
          <cell r="Q2249" t="str">
            <v>สภาพปกติ</v>
          </cell>
        </row>
        <row r="2250">
          <cell r="A2250">
            <v>60066161</v>
          </cell>
          <cell r="B2250">
            <v>2249</v>
          </cell>
          <cell r="C2250" t="str">
            <v>CS01/13</v>
          </cell>
          <cell r="D2250" t="str">
            <v>SPCC-SD</v>
          </cell>
          <cell r="E2250" t="str">
            <v>AF1</v>
          </cell>
          <cell r="F2250">
            <v>0.7</v>
          </cell>
          <cell r="G2250">
            <v>30</v>
          </cell>
          <cell r="H2250" t="str">
            <v>C</v>
          </cell>
          <cell r="I2250" t="str">
            <v>A</v>
          </cell>
          <cell r="J2250" t="str">
            <v>PSP</v>
          </cell>
          <cell r="K2250">
            <v>1</v>
          </cell>
          <cell r="L2250">
            <v>119</v>
          </cell>
          <cell r="M2250">
            <v>60066161</v>
          </cell>
          <cell r="N2250">
            <v>38944</v>
          </cell>
          <cell r="P2250" t="str">
            <v>SN6815N1S295803</v>
          </cell>
          <cell r="Q2250" t="str">
            <v>สภาพปกติ</v>
          </cell>
        </row>
        <row r="2251">
          <cell r="A2251">
            <v>60066165</v>
          </cell>
          <cell r="B2251">
            <v>2250</v>
          </cell>
          <cell r="C2251" t="str">
            <v>CS01/13</v>
          </cell>
          <cell r="D2251" t="str">
            <v>SPCC-SD</v>
          </cell>
          <cell r="E2251" t="str">
            <v>AF1</v>
          </cell>
          <cell r="F2251">
            <v>0.7</v>
          </cell>
          <cell r="G2251">
            <v>30</v>
          </cell>
          <cell r="H2251" t="str">
            <v>C</v>
          </cell>
          <cell r="I2251" t="str">
            <v>A</v>
          </cell>
          <cell r="J2251" t="str">
            <v>PSP</v>
          </cell>
          <cell r="K2251">
            <v>1</v>
          </cell>
          <cell r="L2251">
            <v>119</v>
          </cell>
          <cell r="M2251">
            <v>60066165</v>
          </cell>
          <cell r="N2251">
            <v>38944</v>
          </cell>
          <cell r="P2251" t="str">
            <v>SN6815N1S295804</v>
          </cell>
          <cell r="Q2251" t="str">
            <v>สภาพปกติ</v>
          </cell>
        </row>
        <row r="2252">
          <cell r="A2252">
            <v>60066797</v>
          </cell>
          <cell r="B2252">
            <v>2251</v>
          </cell>
          <cell r="C2252" t="str">
            <v>CS01/13</v>
          </cell>
          <cell r="D2252" t="str">
            <v>SPCC-SD</v>
          </cell>
          <cell r="E2252" t="str">
            <v>AF1</v>
          </cell>
          <cell r="F2252">
            <v>0.8</v>
          </cell>
          <cell r="G2252">
            <v>105</v>
          </cell>
          <cell r="H2252" t="str">
            <v>C</v>
          </cell>
          <cell r="I2252" t="str">
            <v>A</v>
          </cell>
          <cell r="J2252" t="str">
            <v>PSP</v>
          </cell>
          <cell r="K2252">
            <v>1</v>
          </cell>
          <cell r="L2252">
            <v>257</v>
          </cell>
          <cell r="M2252">
            <v>60066797</v>
          </cell>
          <cell r="N2252">
            <v>38951</v>
          </cell>
          <cell r="P2252" t="str">
            <v>SN6822D1S313701</v>
          </cell>
          <cell r="Q2252" t="str">
            <v>สภาพปกติ</v>
          </cell>
        </row>
        <row r="2253">
          <cell r="A2253">
            <v>60065785</v>
          </cell>
          <cell r="B2253">
            <v>2252</v>
          </cell>
          <cell r="C2253" t="str">
            <v>CS01/13</v>
          </cell>
          <cell r="D2253" t="str">
            <v>SPCC-SD</v>
          </cell>
          <cell r="E2253" t="str">
            <v>AF1</v>
          </cell>
          <cell r="F2253">
            <v>1</v>
          </cell>
          <cell r="G2253">
            <v>44</v>
          </cell>
          <cell r="H2253" t="str">
            <v>C</v>
          </cell>
          <cell r="I2253" t="str">
            <v>A</v>
          </cell>
          <cell r="J2253" t="str">
            <v>PSP</v>
          </cell>
          <cell r="K2253">
            <v>1</v>
          </cell>
          <cell r="L2253">
            <v>114</v>
          </cell>
          <cell r="M2253">
            <v>60065785</v>
          </cell>
          <cell r="N2253">
            <v>38937</v>
          </cell>
          <cell r="P2253" t="str">
            <v>SN6808D1S279201</v>
          </cell>
          <cell r="Q2253" t="str">
            <v>สภาพปกติ</v>
          </cell>
        </row>
        <row r="2254">
          <cell r="A2254">
            <v>60066072</v>
          </cell>
          <cell r="B2254">
            <v>2253</v>
          </cell>
          <cell r="C2254" t="str">
            <v>CS01/13</v>
          </cell>
          <cell r="D2254" t="str">
            <v>SPCC-SD</v>
          </cell>
          <cell r="E2254" t="str">
            <v>AF1</v>
          </cell>
          <cell r="F2254">
            <v>1.2</v>
          </cell>
          <cell r="G2254">
            <v>46</v>
          </cell>
          <cell r="H2254" t="str">
            <v>C</v>
          </cell>
          <cell r="I2254" t="str">
            <v>A</v>
          </cell>
          <cell r="J2254" t="str">
            <v>PSP</v>
          </cell>
          <cell r="K2254">
            <v>1</v>
          </cell>
          <cell r="L2254">
            <v>123</v>
          </cell>
          <cell r="M2254">
            <v>60066072</v>
          </cell>
          <cell r="N2254">
            <v>38943</v>
          </cell>
          <cell r="P2254" t="str">
            <v>SN6814D1S292601</v>
          </cell>
          <cell r="Q2254" t="str">
            <v>สภาพปกติ</v>
          </cell>
        </row>
        <row r="2255">
          <cell r="A2255">
            <v>60066087</v>
          </cell>
          <cell r="B2255">
            <v>2254</v>
          </cell>
          <cell r="C2255" t="str">
            <v>CS01/13</v>
          </cell>
          <cell r="D2255" t="str">
            <v>SPCC-SD</v>
          </cell>
          <cell r="E2255" t="str">
            <v>AF1</v>
          </cell>
          <cell r="F2255">
            <v>1.2</v>
          </cell>
          <cell r="G2255">
            <v>46</v>
          </cell>
          <cell r="H2255" t="str">
            <v>C</v>
          </cell>
          <cell r="I2255" t="str">
            <v>A</v>
          </cell>
          <cell r="J2255" t="str">
            <v>PSP</v>
          </cell>
          <cell r="K2255">
            <v>1</v>
          </cell>
          <cell r="L2255">
            <v>123</v>
          </cell>
          <cell r="M2255">
            <v>60066087</v>
          </cell>
          <cell r="N2255">
            <v>38943</v>
          </cell>
          <cell r="P2255" t="str">
            <v>SN6814D1S292602</v>
          </cell>
          <cell r="Q2255" t="str">
            <v>สภาพปกติ</v>
          </cell>
        </row>
        <row r="2256">
          <cell r="A2256">
            <v>60066096</v>
          </cell>
          <cell r="B2256">
            <v>2255</v>
          </cell>
          <cell r="C2256" t="str">
            <v>CS01/13</v>
          </cell>
          <cell r="D2256" t="str">
            <v>SPCC-SD</v>
          </cell>
          <cell r="E2256" t="str">
            <v>AF1</v>
          </cell>
          <cell r="F2256">
            <v>1.2</v>
          </cell>
          <cell r="G2256">
            <v>46</v>
          </cell>
          <cell r="H2256" t="str">
            <v>C</v>
          </cell>
          <cell r="I2256" t="str">
            <v>A</v>
          </cell>
          <cell r="J2256" t="str">
            <v>PSP</v>
          </cell>
          <cell r="K2256">
            <v>1</v>
          </cell>
          <cell r="L2256">
            <v>118</v>
          </cell>
          <cell r="M2256">
            <v>60066096</v>
          </cell>
          <cell r="N2256">
            <v>38943</v>
          </cell>
          <cell r="P2256" t="str">
            <v>SN6814D1S292603</v>
          </cell>
          <cell r="Q2256" t="str">
            <v>สภาพปกติ</v>
          </cell>
        </row>
        <row r="2257">
          <cell r="A2257">
            <v>60066936</v>
          </cell>
          <cell r="B2257">
            <v>2256</v>
          </cell>
          <cell r="C2257" t="str">
            <v>CS01/13</v>
          </cell>
          <cell r="D2257" t="str">
            <v>SPCC-SD</v>
          </cell>
          <cell r="E2257" t="str">
            <v>AF1</v>
          </cell>
          <cell r="F2257">
            <v>1.2</v>
          </cell>
          <cell r="G2257">
            <v>138</v>
          </cell>
          <cell r="H2257" t="str">
            <v>C</v>
          </cell>
          <cell r="I2257" t="str">
            <v>A</v>
          </cell>
          <cell r="J2257" t="str">
            <v>PSP</v>
          </cell>
          <cell r="K2257">
            <v>1</v>
          </cell>
          <cell r="L2257">
            <v>280</v>
          </cell>
          <cell r="M2257">
            <v>60066936</v>
          </cell>
          <cell r="N2257">
            <v>38953</v>
          </cell>
          <cell r="P2257" t="str">
            <v>SN6824N1S322201</v>
          </cell>
          <cell r="Q2257" t="str">
            <v>สภาพปกติ</v>
          </cell>
        </row>
        <row r="2258">
          <cell r="A2258">
            <v>60066526</v>
          </cell>
          <cell r="B2258">
            <v>2257</v>
          </cell>
          <cell r="C2258" t="str">
            <v>CS01/13</v>
          </cell>
          <cell r="D2258" t="str">
            <v>SPCC-SD</v>
          </cell>
          <cell r="E2258" t="str">
            <v>AF1</v>
          </cell>
          <cell r="F2258">
            <v>1.2</v>
          </cell>
          <cell r="G2258">
            <v>150</v>
          </cell>
          <cell r="H2258" t="str">
            <v>C</v>
          </cell>
          <cell r="I2258" t="str">
            <v>A</v>
          </cell>
          <cell r="J2258" t="str">
            <v>PSP</v>
          </cell>
          <cell r="K2258">
            <v>1</v>
          </cell>
          <cell r="L2258">
            <v>410</v>
          </cell>
          <cell r="M2258">
            <v>60066526</v>
          </cell>
          <cell r="N2258">
            <v>38948</v>
          </cell>
          <cell r="P2258" t="str">
            <v>SN6819D1S305001</v>
          </cell>
          <cell r="Q2258" t="str">
            <v>สภาพปกติ</v>
          </cell>
        </row>
        <row r="2259">
          <cell r="A2259">
            <v>60066522</v>
          </cell>
          <cell r="B2259">
            <v>2258</v>
          </cell>
          <cell r="C2259" t="str">
            <v>CS01/13</v>
          </cell>
          <cell r="D2259" t="str">
            <v>SPCC-SD</v>
          </cell>
          <cell r="E2259" t="str">
            <v>AF1</v>
          </cell>
          <cell r="F2259">
            <v>1.2</v>
          </cell>
          <cell r="G2259">
            <v>175</v>
          </cell>
          <cell r="H2259" t="str">
            <v>C</v>
          </cell>
          <cell r="I2259" t="str">
            <v>A</v>
          </cell>
          <cell r="J2259" t="str">
            <v>PSP</v>
          </cell>
          <cell r="K2259">
            <v>1</v>
          </cell>
          <cell r="L2259">
            <v>635</v>
          </cell>
          <cell r="M2259">
            <v>60066522</v>
          </cell>
          <cell r="N2259">
            <v>38948</v>
          </cell>
          <cell r="P2259" t="str">
            <v>SN6819D1S305001</v>
          </cell>
          <cell r="Q2259" t="str">
            <v>สภาพปกติ</v>
          </cell>
        </row>
        <row r="2260">
          <cell r="A2260">
            <v>60066306</v>
          </cell>
          <cell r="B2260">
            <v>2259</v>
          </cell>
          <cell r="C2260" t="str">
            <v>CS01/13</v>
          </cell>
          <cell r="D2260" t="str">
            <v>SPCC-SD</v>
          </cell>
          <cell r="E2260" t="str">
            <v>AF1</v>
          </cell>
          <cell r="F2260">
            <v>2</v>
          </cell>
          <cell r="G2260">
            <v>92</v>
          </cell>
          <cell r="H2260" t="str">
            <v>C</v>
          </cell>
          <cell r="I2260" t="str">
            <v>A</v>
          </cell>
          <cell r="J2260" t="str">
            <v>PSP</v>
          </cell>
          <cell r="K2260">
            <v>1</v>
          </cell>
          <cell r="L2260">
            <v>184</v>
          </cell>
          <cell r="M2260">
            <v>60066306</v>
          </cell>
          <cell r="N2260">
            <v>38945</v>
          </cell>
          <cell r="P2260" t="str">
            <v>SN6816N2S298501</v>
          </cell>
          <cell r="Q2260" t="str">
            <v>สภาพปกติ</v>
          </cell>
        </row>
        <row r="2261">
          <cell r="A2261">
            <v>60066595</v>
          </cell>
          <cell r="B2261">
            <v>2260</v>
          </cell>
          <cell r="C2261" t="str">
            <v>CS01/13</v>
          </cell>
          <cell r="D2261" t="str">
            <v>SPCC-SD</v>
          </cell>
          <cell r="E2261" t="str">
            <v>AF1</v>
          </cell>
          <cell r="F2261">
            <v>2.2999999999999998</v>
          </cell>
          <cell r="G2261">
            <v>122.5</v>
          </cell>
          <cell r="H2261" t="str">
            <v>C</v>
          </cell>
          <cell r="I2261" t="str">
            <v>A</v>
          </cell>
          <cell r="J2261" t="str">
            <v>PSP</v>
          </cell>
          <cell r="K2261">
            <v>1</v>
          </cell>
          <cell r="L2261">
            <v>702</v>
          </cell>
          <cell r="M2261">
            <v>60066595</v>
          </cell>
          <cell r="N2261">
            <v>38950</v>
          </cell>
          <cell r="P2261" t="str">
            <v>SN6821D2S307901</v>
          </cell>
          <cell r="Q2261" t="str">
            <v>สภาพปกติ</v>
          </cell>
        </row>
        <row r="2262">
          <cell r="A2262">
            <v>60066596</v>
          </cell>
          <cell r="B2262">
            <v>2261</v>
          </cell>
          <cell r="C2262" t="str">
            <v>CS01/13</v>
          </cell>
          <cell r="D2262" t="str">
            <v>SPCC-SD</v>
          </cell>
          <cell r="E2262" t="str">
            <v>AF1</v>
          </cell>
          <cell r="F2262">
            <v>2.2999999999999998</v>
          </cell>
          <cell r="G2262">
            <v>122.5</v>
          </cell>
          <cell r="H2262" t="str">
            <v>C</v>
          </cell>
          <cell r="I2262" t="str">
            <v>A</v>
          </cell>
          <cell r="J2262" t="str">
            <v>PSP</v>
          </cell>
          <cell r="K2262">
            <v>1</v>
          </cell>
          <cell r="L2262">
            <v>702</v>
          </cell>
          <cell r="M2262">
            <v>60066596</v>
          </cell>
          <cell r="N2262">
            <v>38950</v>
          </cell>
          <cell r="P2262" t="str">
            <v>SN6821D2S307902</v>
          </cell>
          <cell r="Q2262" t="str">
            <v>สภาพปกติ</v>
          </cell>
        </row>
        <row r="2263">
          <cell r="A2263">
            <v>60066618</v>
          </cell>
          <cell r="B2263">
            <v>2262</v>
          </cell>
          <cell r="C2263" t="str">
            <v>CS01/13</v>
          </cell>
          <cell r="D2263" t="str">
            <v>SPCC-SD</v>
          </cell>
          <cell r="E2263" t="str">
            <v>AF1</v>
          </cell>
          <cell r="F2263">
            <v>2.2999999999999998</v>
          </cell>
          <cell r="G2263">
            <v>122.5</v>
          </cell>
          <cell r="H2263" t="str">
            <v>C</v>
          </cell>
          <cell r="I2263" t="str">
            <v>A</v>
          </cell>
          <cell r="J2263" t="str">
            <v>PSP</v>
          </cell>
          <cell r="K2263">
            <v>1</v>
          </cell>
          <cell r="L2263">
            <v>683</v>
          </cell>
          <cell r="M2263">
            <v>60066618</v>
          </cell>
          <cell r="N2263">
            <v>38950</v>
          </cell>
          <cell r="P2263" t="str">
            <v>SN6821D1S310101</v>
          </cell>
          <cell r="Q2263" t="str">
            <v>สภาพปกติ</v>
          </cell>
        </row>
        <row r="2264">
          <cell r="A2264">
            <v>60066619</v>
          </cell>
          <cell r="B2264">
            <v>2263</v>
          </cell>
          <cell r="C2264" t="str">
            <v>CS01/13</v>
          </cell>
          <cell r="D2264" t="str">
            <v>SPCC-SD</v>
          </cell>
          <cell r="E2264" t="str">
            <v>AF1</v>
          </cell>
          <cell r="F2264">
            <v>2.2999999999999998</v>
          </cell>
          <cell r="G2264">
            <v>122.5</v>
          </cell>
          <cell r="H2264" t="str">
            <v>C</v>
          </cell>
          <cell r="I2264" t="str">
            <v>A</v>
          </cell>
          <cell r="J2264" t="str">
            <v>PSP</v>
          </cell>
          <cell r="K2264">
            <v>1</v>
          </cell>
          <cell r="L2264">
            <v>683</v>
          </cell>
          <cell r="M2264">
            <v>60066619</v>
          </cell>
          <cell r="N2264">
            <v>38950</v>
          </cell>
          <cell r="P2264" t="str">
            <v>SN6821D1S310104</v>
          </cell>
          <cell r="Q2264" t="str">
            <v>สภาพปกติ</v>
          </cell>
        </row>
        <row r="2265">
          <cell r="A2265">
            <v>60066625</v>
          </cell>
          <cell r="B2265">
            <v>2264</v>
          </cell>
          <cell r="C2265" t="str">
            <v>CS01/13</v>
          </cell>
          <cell r="D2265" t="str">
            <v>SPCC-SD</v>
          </cell>
          <cell r="E2265" t="str">
            <v>AF1</v>
          </cell>
          <cell r="F2265">
            <v>2.2999999999999998</v>
          </cell>
          <cell r="G2265">
            <v>122.5</v>
          </cell>
          <cell r="H2265" t="str">
            <v>C</v>
          </cell>
          <cell r="I2265" t="str">
            <v>A</v>
          </cell>
          <cell r="J2265" t="str">
            <v>PSP</v>
          </cell>
          <cell r="K2265">
            <v>1</v>
          </cell>
          <cell r="L2265">
            <v>682</v>
          </cell>
          <cell r="M2265">
            <v>60066625</v>
          </cell>
          <cell r="N2265">
            <v>38950</v>
          </cell>
          <cell r="O2265" t="str">
            <v>126818PCI005</v>
          </cell>
          <cell r="P2265" t="str">
            <v>SN6821D1S310105</v>
          </cell>
          <cell r="Q2265" t="str">
            <v>สภาพปกติ</v>
          </cell>
        </row>
        <row r="2266">
          <cell r="A2266">
            <v>60066626</v>
          </cell>
          <cell r="B2266">
            <v>2265</v>
          </cell>
          <cell r="C2266" t="str">
            <v>CS01/13</v>
          </cell>
          <cell r="D2266" t="str">
            <v>SPCC-SD</v>
          </cell>
          <cell r="E2266" t="str">
            <v>AF1</v>
          </cell>
          <cell r="F2266">
            <v>2.2999999999999998</v>
          </cell>
          <cell r="G2266">
            <v>122.5</v>
          </cell>
          <cell r="H2266" t="str">
            <v>C</v>
          </cell>
          <cell r="I2266" t="str">
            <v>A</v>
          </cell>
          <cell r="J2266" t="str">
            <v>PSP</v>
          </cell>
          <cell r="K2266">
            <v>1</v>
          </cell>
          <cell r="L2266">
            <v>682</v>
          </cell>
          <cell r="M2266">
            <v>60066626</v>
          </cell>
          <cell r="N2266">
            <v>38950</v>
          </cell>
          <cell r="P2266" t="str">
            <v>SN6821D1S310106</v>
          </cell>
          <cell r="Q2266" t="str">
            <v>สภาพปกติ</v>
          </cell>
        </row>
        <row r="2267">
          <cell r="A2267">
            <v>60066769</v>
          </cell>
          <cell r="B2267">
            <v>2266</v>
          </cell>
          <cell r="C2267" t="str">
            <v>CS01/13</v>
          </cell>
          <cell r="D2267" t="str">
            <v>SPCEN-SD</v>
          </cell>
          <cell r="E2267" t="str">
            <v>AF3</v>
          </cell>
          <cell r="F2267">
            <v>0.7</v>
          </cell>
          <cell r="G2267">
            <v>345</v>
          </cell>
          <cell r="H2267" t="str">
            <v>C</v>
          </cell>
          <cell r="I2267" t="str">
            <v>A</v>
          </cell>
          <cell r="J2267" t="str">
            <v>PSP</v>
          </cell>
          <cell r="K2267">
            <v>1</v>
          </cell>
          <cell r="L2267">
            <v>2273</v>
          </cell>
          <cell r="M2267">
            <v>60066769</v>
          </cell>
          <cell r="N2267">
            <v>38951</v>
          </cell>
          <cell r="O2267" t="str">
            <v>125B28SUD004</v>
          </cell>
          <cell r="P2267" t="str">
            <v>SN6822D1S315101</v>
          </cell>
          <cell r="Q2267" t="str">
            <v>สภาพปกติ</v>
          </cell>
        </row>
        <row r="2268">
          <cell r="A2268">
            <v>60066764</v>
          </cell>
          <cell r="B2268">
            <v>2267</v>
          </cell>
          <cell r="C2268" t="str">
            <v>CS01/13</v>
          </cell>
          <cell r="D2268" t="str">
            <v>SPCEN-SD</v>
          </cell>
          <cell r="E2268" t="str">
            <v>AF3</v>
          </cell>
          <cell r="F2268">
            <v>0.8</v>
          </cell>
          <cell r="G2268">
            <v>53</v>
          </cell>
          <cell r="H2268" t="str">
            <v>C</v>
          </cell>
          <cell r="I2268" t="str">
            <v>A</v>
          </cell>
          <cell r="J2268" t="str">
            <v>PSP</v>
          </cell>
          <cell r="K2268">
            <v>1</v>
          </cell>
          <cell r="L2268">
            <v>56</v>
          </cell>
          <cell r="M2268">
            <v>60066764</v>
          </cell>
          <cell r="N2268">
            <v>38951</v>
          </cell>
          <cell r="P2268" t="str">
            <v>SN6822D1S314201</v>
          </cell>
          <cell r="Q2268" t="str">
            <v>สภาพปกติ</v>
          </cell>
        </row>
        <row r="2269">
          <cell r="A2269">
            <v>60066765</v>
          </cell>
          <cell r="B2269">
            <v>2268</v>
          </cell>
          <cell r="C2269" t="str">
            <v>CS01/13</v>
          </cell>
          <cell r="D2269" t="str">
            <v>SPCEN-SD</v>
          </cell>
          <cell r="E2269" t="str">
            <v>AF3</v>
          </cell>
          <cell r="F2269">
            <v>0.8</v>
          </cell>
          <cell r="G2269">
            <v>53</v>
          </cell>
          <cell r="H2269" t="str">
            <v>C</v>
          </cell>
          <cell r="I2269" t="str">
            <v>A</v>
          </cell>
          <cell r="J2269" t="str">
            <v>PSP</v>
          </cell>
          <cell r="K2269">
            <v>1</v>
          </cell>
          <cell r="L2269">
            <v>56</v>
          </cell>
          <cell r="M2269">
            <v>60066765</v>
          </cell>
          <cell r="N2269">
            <v>38951</v>
          </cell>
          <cell r="P2269" t="str">
            <v>SN6822D1S314202</v>
          </cell>
          <cell r="Q2269" t="str">
            <v>สภาพปกติ</v>
          </cell>
        </row>
        <row r="2270">
          <cell r="A2270">
            <v>60066766</v>
          </cell>
          <cell r="B2270">
            <v>2269</v>
          </cell>
          <cell r="C2270" t="str">
            <v>CS01/13</v>
          </cell>
          <cell r="D2270" t="str">
            <v>SPCEN-SD</v>
          </cell>
          <cell r="E2270" t="str">
            <v>AF3</v>
          </cell>
          <cell r="F2270">
            <v>0.8</v>
          </cell>
          <cell r="G2270">
            <v>53</v>
          </cell>
          <cell r="H2270" t="str">
            <v>C</v>
          </cell>
          <cell r="I2270" t="str">
            <v>A</v>
          </cell>
          <cell r="J2270" t="str">
            <v>PSP</v>
          </cell>
          <cell r="K2270">
            <v>1</v>
          </cell>
          <cell r="L2270">
            <v>57</v>
          </cell>
          <cell r="M2270">
            <v>60066766</v>
          </cell>
          <cell r="N2270">
            <v>38951</v>
          </cell>
          <cell r="P2270" t="str">
            <v>SN6822D1S314203</v>
          </cell>
          <cell r="Q2270" t="str">
            <v>สภาพปกติ</v>
          </cell>
        </row>
        <row r="2271">
          <cell r="A2271">
            <v>60065728</v>
          </cell>
          <cell r="B2271">
            <v>2270</v>
          </cell>
          <cell r="C2271" t="str">
            <v>CS01/13</v>
          </cell>
          <cell r="D2271" t="str">
            <v>SPCEN-SD</v>
          </cell>
          <cell r="E2271" t="str">
            <v>AF3</v>
          </cell>
          <cell r="F2271">
            <v>0.8</v>
          </cell>
          <cell r="G2271">
            <v>62</v>
          </cell>
          <cell r="H2271" t="str">
            <v>C</v>
          </cell>
          <cell r="I2271" t="str">
            <v>A</v>
          </cell>
          <cell r="J2271" t="str">
            <v>PSP</v>
          </cell>
          <cell r="K2271">
            <v>1</v>
          </cell>
          <cell r="L2271">
            <v>406</v>
          </cell>
          <cell r="M2271">
            <v>60065728</v>
          </cell>
          <cell r="N2271">
            <v>38936</v>
          </cell>
          <cell r="P2271" t="str">
            <v>SN6807D1S279301</v>
          </cell>
          <cell r="Q2271" t="str">
            <v>สภาพปกติ</v>
          </cell>
        </row>
        <row r="2272">
          <cell r="A2272">
            <v>60066761</v>
          </cell>
          <cell r="B2272">
            <v>2271</v>
          </cell>
          <cell r="C2272" t="str">
            <v>CS01/13</v>
          </cell>
          <cell r="D2272" t="str">
            <v>SPCEN-SD</v>
          </cell>
          <cell r="E2272" t="str">
            <v>AF3</v>
          </cell>
          <cell r="F2272">
            <v>0.8</v>
          </cell>
          <cell r="G2272">
            <v>80</v>
          </cell>
          <cell r="H2272" t="str">
            <v>C</v>
          </cell>
          <cell r="I2272" t="str">
            <v>A</v>
          </cell>
          <cell r="J2272" t="str">
            <v>PSP</v>
          </cell>
          <cell r="K2272">
            <v>1</v>
          </cell>
          <cell r="L2272">
            <v>322</v>
          </cell>
          <cell r="M2272">
            <v>60066761</v>
          </cell>
          <cell r="N2272">
            <v>38951</v>
          </cell>
          <cell r="O2272" t="str">
            <v>126816SUD008</v>
          </cell>
          <cell r="P2272" t="str">
            <v>SN6822N1S314701</v>
          </cell>
          <cell r="Q2272" t="str">
            <v>สภาพปกติ</v>
          </cell>
        </row>
        <row r="2273">
          <cell r="A2273">
            <v>60066340</v>
          </cell>
          <cell r="B2273">
            <v>2272</v>
          </cell>
          <cell r="C2273" t="str">
            <v>CS01/13</v>
          </cell>
          <cell r="D2273" t="str">
            <v>SPCEN-SD</v>
          </cell>
          <cell r="E2273" t="str">
            <v>AF3</v>
          </cell>
          <cell r="F2273">
            <v>0.8</v>
          </cell>
          <cell r="G2273">
            <v>85</v>
          </cell>
          <cell r="H2273" t="str">
            <v>C</v>
          </cell>
          <cell r="I2273" t="str">
            <v>A</v>
          </cell>
          <cell r="J2273" t="str">
            <v>PSP</v>
          </cell>
          <cell r="K2273">
            <v>1</v>
          </cell>
          <cell r="L2273">
            <v>287</v>
          </cell>
          <cell r="M2273">
            <v>60066340</v>
          </cell>
          <cell r="N2273">
            <v>38946</v>
          </cell>
          <cell r="P2273" t="str">
            <v>SN6817D1S300101</v>
          </cell>
          <cell r="Q2273" t="str">
            <v>สภาพปกติ</v>
          </cell>
        </row>
        <row r="2274">
          <cell r="A2274">
            <v>60066343</v>
          </cell>
          <cell r="B2274">
            <v>2273</v>
          </cell>
          <cell r="C2274" t="str">
            <v>CS01/13</v>
          </cell>
          <cell r="D2274" t="str">
            <v>SPCEN-SD</v>
          </cell>
          <cell r="E2274" t="str">
            <v>AF3</v>
          </cell>
          <cell r="F2274">
            <v>0.8</v>
          </cell>
          <cell r="G2274">
            <v>85</v>
          </cell>
          <cell r="H2274" t="str">
            <v>C</v>
          </cell>
          <cell r="I2274" t="str">
            <v>A</v>
          </cell>
          <cell r="J2274" t="str">
            <v>PSP</v>
          </cell>
          <cell r="K2274">
            <v>1</v>
          </cell>
          <cell r="L2274">
            <v>257</v>
          </cell>
          <cell r="M2274">
            <v>60066343</v>
          </cell>
          <cell r="N2274">
            <v>38946</v>
          </cell>
          <cell r="P2274" t="str">
            <v>SN6817D1S300102</v>
          </cell>
          <cell r="Q2274" t="str">
            <v>สภาพปกติ</v>
          </cell>
        </row>
        <row r="2275">
          <cell r="A2275">
            <v>60066346</v>
          </cell>
          <cell r="B2275">
            <v>2274</v>
          </cell>
          <cell r="C2275" t="str">
            <v>CS01/13</v>
          </cell>
          <cell r="D2275" t="str">
            <v>SPCEN-SD</v>
          </cell>
          <cell r="E2275" t="str">
            <v>AF3</v>
          </cell>
          <cell r="F2275">
            <v>0.8</v>
          </cell>
          <cell r="G2275">
            <v>85</v>
          </cell>
          <cell r="H2275" t="str">
            <v>C</v>
          </cell>
          <cell r="I2275" t="str">
            <v>A</v>
          </cell>
          <cell r="J2275" t="str">
            <v>PSP</v>
          </cell>
          <cell r="K2275">
            <v>1</v>
          </cell>
          <cell r="L2275">
            <v>546</v>
          </cell>
          <cell r="M2275">
            <v>60066346</v>
          </cell>
          <cell r="N2275">
            <v>38946</v>
          </cell>
          <cell r="P2275" t="str">
            <v>SN6817D1S300103</v>
          </cell>
          <cell r="Q2275" t="str">
            <v>สภาพปกติ</v>
          </cell>
        </row>
        <row r="2276">
          <cell r="A2276">
            <v>60066445</v>
          </cell>
          <cell r="B2276">
            <v>2275</v>
          </cell>
          <cell r="C2276" t="str">
            <v>CS01/13</v>
          </cell>
          <cell r="D2276" t="str">
            <v>SPCEN-SD</v>
          </cell>
          <cell r="E2276" t="str">
            <v>AF3</v>
          </cell>
          <cell r="F2276">
            <v>0.8</v>
          </cell>
          <cell r="G2276">
            <v>85</v>
          </cell>
          <cell r="H2276" t="str">
            <v>C</v>
          </cell>
          <cell r="I2276" t="str">
            <v>A</v>
          </cell>
          <cell r="J2276" t="str">
            <v>PSP</v>
          </cell>
          <cell r="K2276">
            <v>1</v>
          </cell>
          <cell r="L2276">
            <v>438</v>
          </cell>
          <cell r="M2276">
            <v>60066445</v>
          </cell>
          <cell r="N2276">
            <v>38947</v>
          </cell>
          <cell r="P2276" t="str">
            <v>SN6818D1S301801</v>
          </cell>
          <cell r="Q2276" t="str">
            <v>สภาพปกติ</v>
          </cell>
        </row>
        <row r="2277">
          <cell r="A2277">
            <v>60065879</v>
          </cell>
          <cell r="B2277">
            <v>2276</v>
          </cell>
          <cell r="C2277" t="str">
            <v>CS01/13</v>
          </cell>
          <cell r="D2277" t="str">
            <v>SPCEN-SD</v>
          </cell>
          <cell r="E2277" t="str">
            <v>AF3</v>
          </cell>
          <cell r="F2277">
            <v>0.8</v>
          </cell>
          <cell r="G2277">
            <v>93</v>
          </cell>
          <cell r="H2277" t="str">
            <v>C</v>
          </cell>
          <cell r="I2277" t="str">
            <v>A</v>
          </cell>
          <cell r="J2277" t="str">
            <v>PSP</v>
          </cell>
          <cell r="K2277">
            <v>1</v>
          </cell>
          <cell r="L2277">
            <v>392</v>
          </cell>
          <cell r="M2277">
            <v>60065879</v>
          </cell>
          <cell r="N2277">
            <v>38938</v>
          </cell>
          <cell r="P2277" t="str">
            <v>SN6809N1S283801</v>
          </cell>
          <cell r="Q2277" t="str">
            <v>สภาพปกติ</v>
          </cell>
        </row>
        <row r="2278">
          <cell r="A2278">
            <v>60065988</v>
          </cell>
          <cell r="B2278">
            <v>2277</v>
          </cell>
          <cell r="C2278" t="str">
            <v>CS01/13</v>
          </cell>
          <cell r="D2278" t="str">
            <v>SPCEN-SD</v>
          </cell>
          <cell r="E2278" t="str">
            <v>AF3</v>
          </cell>
          <cell r="F2278">
            <v>0.8</v>
          </cell>
          <cell r="G2278">
            <v>105</v>
          </cell>
          <cell r="H2278" t="str">
            <v>C</v>
          </cell>
          <cell r="I2278" t="str">
            <v>A</v>
          </cell>
          <cell r="J2278" t="str">
            <v>PSP</v>
          </cell>
          <cell r="K2278">
            <v>1</v>
          </cell>
          <cell r="L2278">
            <v>676</v>
          </cell>
          <cell r="M2278">
            <v>60065988</v>
          </cell>
          <cell r="N2278">
            <v>38940</v>
          </cell>
          <cell r="P2278" t="str">
            <v>SN6811D1S290901</v>
          </cell>
          <cell r="Q2278" t="str">
            <v>สภาพปกติ</v>
          </cell>
        </row>
        <row r="2279">
          <cell r="A2279">
            <v>60066339</v>
          </cell>
          <cell r="B2279">
            <v>2278</v>
          </cell>
          <cell r="C2279" t="str">
            <v>CS01/13</v>
          </cell>
          <cell r="D2279" t="str">
            <v>SPCEN-SD</v>
          </cell>
          <cell r="E2279" t="str">
            <v>AF3</v>
          </cell>
          <cell r="F2279">
            <v>0.8</v>
          </cell>
          <cell r="G2279">
            <v>105</v>
          </cell>
          <cell r="H2279" t="str">
            <v>C</v>
          </cell>
          <cell r="I2279" t="str">
            <v>A</v>
          </cell>
          <cell r="J2279" t="str">
            <v>PSP</v>
          </cell>
          <cell r="K2279">
            <v>1</v>
          </cell>
          <cell r="L2279">
            <v>358</v>
          </cell>
          <cell r="M2279">
            <v>60066339</v>
          </cell>
          <cell r="N2279">
            <v>38940</v>
          </cell>
          <cell r="P2279" t="str">
            <v>SN6811D1S300101</v>
          </cell>
          <cell r="Q2279" t="str">
            <v>สภาพปกติ</v>
          </cell>
        </row>
        <row r="2280">
          <cell r="A2280">
            <v>60066342</v>
          </cell>
          <cell r="B2280">
            <v>2279</v>
          </cell>
          <cell r="C2280" t="str">
            <v>CS01/13</v>
          </cell>
          <cell r="D2280" t="str">
            <v>SPCEN-SD</v>
          </cell>
          <cell r="E2280" t="str">
            <v>AF3</v>
          </cell>
          <cell r="F2280">
            <v>0.8</v>
          </cell>
          <cell r="G2280">
            <v>105</v>
          </cell>
          <cell r="H2280" t="str">
            <v>C</v>
          </cell>
          <cell r="I2280" t="str">
            <v>A</v>
          </cell>
          <cell r="J2280" t="str">
            <v>PSP</v>
          </cell>
          <cell r="K2280">
            <v>1</v>
          </cell>
          <cell r="L2280">
            <v>320</v>
          </cell>
          <cell r="M2280">
            <v>60066342</v>
          </cell>
          <cell r="N2280">
            <v>38940</v>
          </cell>
          <cell r="P2280" t="str">
            <v>SN6811D1S300102</v>
          </cell>
          <cell r="Q2280" t="str">
            <v>สภาพปกติ</v>
          </cell>
        </row>
        <row r="2281">
          <cell r="A2281">
            <v>60066345</v>
          </cell>
          <cell r="B2281">
            <v>2280</v>
          </cell>
          <cell r="C2281" t="str">
            <v>CS01/13</v>
          </cell>
          <cell r="D2281" t="str">
            <v>SPCEN-SD</v>
          </cell>
          <cell r="E2281" t="str">
            <v>AF3</v>
          </cell>
          <cell r="F2281">
            <v>0.8</v>
          </cell>
          <cell r="G2281">
            <v>105</v>
          </cell>
          <cell r="H2281" t="str">
            <v>C</v>
          </cell>
          <cell r="I2281" t="str">
            <v>A</v>
          </cell>
          <cell r="J2281" t="str">
            <v>PSP</v>
          </cell>
          <cell r="K2281">
            <v>1</v>
          </cell>
          <cell r="L2281">
            <v>676</v>
          </cell>
          <cell r="M2281">
            <v>60066345</v>
          </cell>
          <cell r="N2281">
            <v>38940</v>
          </cell>
          <cell r="O2281" t="str">
            <v>125928SUD017</v>
          </cell>
          <cell r="P2281" t="str">
            <v>SN6811D1S300103</v>
          </cell>
          <cell r="Q2281" t="str">
            <v>สภาพปกติ</v>
          </cell>
        </row>
        <row r="2282">
          <cell r="A2282">
            <v>60066929</v>
          </cell>
          <cell r="B2282">
            <v>2281</v>
          </cell>
          <cell r="C2282" t="str">
            <v>CS01/13</v>
          </cell>
          <cell r="D2282" t="str">
            <v>SPCEN-SD</v>
          </cell>
          <cell r="E2282" t="str">
            <v>AF3</v>
          </cell>
          <cell r="F2282">
            <v>0.8</v>
          </cell>
          <cell r="G2282">
            <v>105</v>
          </cell>
          <cell r="H2282" t="str">
            <v>C</v>
          </cell>
          <cell r="I2282" t="str">
            <v>A</v>
          </cell>
          <cell r="J2282" t="str">
            <v>PSP</v>
          </cell>
          <cell r="K2282">
            <v>1</v>
          </cell>
          <cell r="L2282">
            <v>354</v>
          </cell>
          <cell r="M2282">
            <v>60066929</v>
          </cell>
          <cell r="N2282">
            <v>38952</v>
          </cell>
          <cell r="P2282" t="str">
            <v>SN6823N1S321501</v>
          </cell>
          <cell r="Q2282" t="str">
            <v>สภาพปกติ</v>
          </cell>
        </row>
        <row r="2283">
          <cell r="A2283">
            <v>60066012</v>
          </cell>
          <cell r="B2283">
            <v>2282</v>
          </cell>
          <cell r="C2283" t="str">
            <v>CS01/13</v>
          </cell>
          <cell r="D2283" t="str">
            <v>SPCEN-SD</v>
          </cell>
          <cell r="E2283" t="str">
            <v>AF3</v>
          </cell>
          <cell r="F2283">
            <v>0.9</v>
          </cell>
          <cell r="G2283">
            <v>90</v>
          </cell>
          <cell r="H2283" t="str">
            <v>C</v>
          </cell>
          <cell r="I2283" t="str">
            <v>A</v>
          </cell>
          <cell r="J2283" t="str">
            <v>PSP</v>
          </cell>
          <cell r="K2283">
            <v>1</v>
          </cell>
          <cell r="L2283">
            <v>88</v>
          </cell>
          <cell r="M2283">
            <v>60066012</v>
          </cell>
          <cell r="N2283">
            <v>38940</v>
          </cell>
          <cell r="P2283" t="str">
            <v>SN6811N1S292501</v>
          </cell>
          <cell r="Q2283" t="str">
            <v>สภาพปกติ</v>
          </cell>
        </row>
        <row r="2284">
          <cell r="A2284">
            <v>60065936</v>
          </cell>
          <cell r="B2284">
            <v>2283</v>
          </cell>
          <cell r="C2284" t="str">
            <v>CS01/13</v>
          </cell>
          <cell r="D2284" t="str">
            <v>SPCEN-SD</v>
          </cell>
          <cell r="E2284" t="str">
            <v>AF3</v>
          </cell>
          <cell r="F2284">
            <v>1</v>
          </cell>
          <cell r="G2284">
            <v>44</v>
          </cell>
          <cell r="H2284" t="str">
            <v>C</v>
          </cell>
          <cell r="I2284" t="str">
            <v>A</v>
          </cell>
          <cell r="J2284" t="str">
            <v>PSP</v>
          </cell>
          <cell r="K2284">
            <v>1</v>
          </cell>
          <cell r="L2284">
            <v>96</v>
          </cell>
          <cell r="M2284">
            <v>60065936</v>
          </cell>
          <cell r="N2284">
            <v>38939</v>
          </cell>
          <cell r="P2284" t="str">
            <v>SN6810D1S289501</v>
          </cell>
          <cell r="Q2284" t="str">
            <v>สภาพปกติ</v>
          </cell>
        </row>
        <row r="2285">
          <cell r="A2285">
            <v>60065941</v>
          </cell>
          <cell r="B2285">
            <v>2284</v>
          </cell>
          <cell r="C2285" t="str">
            <v>CS01/13</v>
          </cell>
          <cell r="D2285" t="str">
            <v>SPCEN-SD</v>
          </cell>
          <cell r="E2285" t="str">
            <v>AF3</v>
          </cell>
          <cell r="F2285">
            <v>1</v>
          </cell>
          <cell r="G2285">
            <v>44</v>
          </cell>
          <cell r="H2285" t="str">
            <v>C</v>
          </cell>
          <cell r="I2285" t="str">
            <v>A</v>
          </cell>
          <cell r="J2285" t="str">
            <v>PSP</v>
          </cell>
          <cell r="K2285">
            <v>1</v>
          </cell>
          <cell r="L2285">
            <v>113</v>
          </cell>
          <cell r="M2285">
            <v>60065941</v>
          </cell>
          <cell r="N2285">
            <v>38939</v>
          </cell>
          <cell r="P2285" t="str">
            <v>SN6810D1S289502</v>
          </cell>
          <cell r="Q2285" t="str">
            <v>สภาพปกติ</v>
          </cell>
        </row>
        <row r="2286">
          <cell r="A2286">
            <v>60065977</v>
          </cell>
          <cell r="B2286">
            <v>2285</v>
          </cell>
          <cell r="C2286" t="str">
            <v>CS01/13</v>
          </cell>
          <cell r="D2286" t="str">
            <v>SPCEN-SD</v>
          </cell>
          <cell r="E2286" t="str">
            <v>AF3</v>
          </cell>
          <cell r="F2286">
            <v>1</v>
          </cell>
          <cell r="G2286">
            <v>73</v>
          </cell>
          <cell r="H2286" t="str">
            <v>C</v>
          </cell>
          <cell r="I2286" t="str">
            <v>A</v>
          </cell>
          <cell r="J2286" t="str">
            <v>PSP</v>
          </cell>
          <cell r="K2286">
            <v>1</v>
          </cell>
          <cell r="L2286">
            <v>90</v>
          </cell>
          <cell r="M2286">
            <v>60065977</v>
          </cell>
          <cell r="N2286">
            <v>38939</v>
          </cell>
          <cell r="P2286" t="str">
            <v>SN6810N1S290801</v>
          </cell>
          <cell r="Q2286" t="str">
            <v>สภาพปกติ</v>
          </cell>
        </row>
        <row r="2287">
          <cell r="A2287">
            <v>60065980</v>
          </cell>
          <cell r="B2287">
            <v>2286</v>
          </cell>
          <cell r="C2287" t="str">
            <v>CS01/13</v>
          </cell>
          <cell r="D2287" t="str">
            <v>SPCEN-SD</v>
          </cell>
          <cell r="E2287" t="str">
            <v>AF3</v>
          </cell>
          <cell r="F2287">
            <v>1</v>
          </cell>
          <cell r="G2287">
            <v>73</v>
          </cell>
          <cell r="H2287" t="str">
            <v>C</v>
          </cell>
          <cell r="I2287" t="str">
            <v>A</v>
          </cell>
          <cell r="J2287" t="str">
            <v>PSP</v>
          </cell>
          <cell r="K2287">
            <v>1</v>
          </cell>
          <cell r="L2287">
            <v>364</v>
          </cell>
          <cell r="M2287">
            <v>60065980</v>
          </cell>
          <cell r="N2287">
            <v>38940</v>
          </cell>
          <cell r="P2287" t="str">
            <v>SN6811N1S290801</v>
          </cell>
          <cell r="Q2287" t="str">
            <v>สภาพปกติ</v>
          </cell>
        </row>
        <row r="2288">
          <cell r="A2288">
            <v>60066533</v>
          </cell>
          <cell r="B2288">
            <v>2287</v>
          </cell>
          <cell r="C2288" t="str">
            <v>CS01/13</v>
          </cell>
          <cell r="D2288" t="str">
            <v>SPCEN-SD</v>
          </cell>
          <cell r="E2288" t="str">
            <v>AF3</v>
          </cell>
          <cell r="F2288">
            <v>1</v>
          </cell>
          <cell r="G2288">
            <v>75</v>
          </cell>
          <cell r="H2288" t="str">
            <v>C</v>
          </cell>
          <cell r="I2288" t="str">
            <v>A</v>
          </cell>
          <cell r="J2288" t="str">
            <v>PSP</v>
          </cell>
          <cell r="K2288">
            <v>1</v>
          </cell>
          <cell r="L2288">
            <v>188</v>
          </cell>
          <cell r="M2288">
            <v>60066533</v>
          </cell>
          <cell r="N2288">
            <v>38948</v>
          </cell>
          <cell r="P2288" t="str">
            <v>SN6819D1S305701</v>
          </cell>
          <cell r="Q2288" t="str">
            <v>สภาพปกติ</v>
          </cell>
        </row>
        <row r="2289">
          <cell r="A2289">
            <v>60065665</v>
          </cell>
          <cell r="B2289">
            <v>2288</v>
          </cell>
          <cell r="C2289" t="str">
            <v>CS01/13</v>
          </cell>
          <cell r="D2289" t="str">
            <v>SPCEN-SD</v>
          </cell>
          <cell r="E2289" t="str">
            <v>AF3</v>
          </cell>
          <cell r="F2289">
            <v>1</v>
          </cell>
          <cell r="G2289">
            <v>90</v>
          </cell>
          <cell r="H2289" t="str">
            <v>C</v>
          </cell>
          <cell r="I2289" t="str">
            <v>A</v>
          </cell>
          <cell r="J2289" t="str">
            <v>PSP</v>
          </cell>
          <cell r="K2289">
            <v>1</v>
          </cell>
          <cell r="L2289">
            <v>255</v>
          </cell>
          <cell r="M2289">
            <v>60065665</v>
          </cell>
          <cell r="N2289">
            <v>38935</v>
          </cell>
          <cell r="P2289" t="str">
            <v>SN6806N1S276401</v>
          </cell>
          <cell r="Q2289" t="str">
            <v>สภาพปกติ</v>
          </cell>
        </row>
        <row r="2290">
          <cell r="A2290">
            <v>60066576</v>
          </cell>
          <cell r="B2290">
            <v>2289</v>
          </cell>
          <cell r="C2290" t="str">
            <v>CS01/13</v>
          </cell>
          <cell r="D2290" t="str">
            <v>SPCEN-SD</v>
          </cell>
          <cell r="E2290" t="str">
            <v>AF3</v>
          </cell>
          <cell r="F2290">
            <v>1</v>
          </cell>
          <cell r="G2290">
            <v>180</v>
          </cell>
          <cell r="H2290" t="str">
            <v>C</v>
          </cell>
          <cell r="I2290" t="str">
            <v>A</v>
          </cell>
          <cell r="J2290" t="str">
            <v>PSP</v>
          </cell>
          <cell r="K2290">
            <v>1</v>
          </cell>
          <cell r="L2290">
            <v>876</v>
          </cell>
          <cell r="M2290">
            <v>60066576</v>
          </cell>
          <cell r="N2290">
            <v>38948</v>
          </cell>
          <cell r="P2290" t="str">
            <v>SN6819N1S308501</v>
          </cell>
          <cell r="Q2290" t="str">
            <v>สภาพปกติ</v>
          </cell>
        </row>
        <row r="2291">
          <cell r="A2291">
            <v>60066529</v>
          </cell>
          <cell r="B2291">
            <v>2290</v>
          </cell>
          <cell r="C2291" t="str">
            <v>CS01/13</v>
          </cell>
          <cell r="D2291" t="str">
            <v>SPCEN-SD</v>
          </cell>
          <cell r="E2291" t="str">
            <v>AF3</v>
          </cell>
          <cell r="F2291">
            <v>1</v>
          </cell>
          <cell r="G2291">
            <v>292</v>
          </cell>
          <cell r="H2291" t="str">
            <v>C</v>
          </cell>
          <cell r="I2291" t="str">
            <v>A</v>
          </cell>
          <cell r="J2291" t="str">
            <v>PSP</v>
          </cell>
          <cell r="K2291">
            <v>1</v>
          </cell>
          <cell r="L2291">
            <v>1116</v>
          </cell>
          <cell r="M2291">
            <v>60066529</v>
          </cell>
          <cell r="N2291">
            <v>38948</v>
          </cell>
          <cell r="P2291" t="str">
            <v>SN6819D1S305701</v>
          </cell>
          <cell r="Q2291" t="str">
            <v>สภาพปกติ</v>
          </cell>
        </row>
        <row r="2292">
          <cell r="A2292">
            <v>60066349</v>
          </cell>
          <cell r="B2292">
            <v>2291</v>
          </cell>
          <cell r="C2292" t="str">
            <v>CS01/13</v>
          </cell>
          <cell r="D2292" t="str">
            <v>SPCEN-SD</v>
          </cell>
          <cell r="E2292" t="str">
            <v>AF3</v>
          </cell>
          <cell r="F2292">
            <v>1.6</v>
          </cell>
          <cell r="G2292">
            <v>35</v>
          </cell>
          <cell r="H2292" t="str">
            <v>C</v>
          </cell>
          <cell r="I2292" t="str">
            <v>A</v>
          </cell>
          <cell r="J2292" t="str">
            <v>PSP</v>
          </cell>
          <cell r="K2292">
            <v>1</v>
          </cell>
          <cell r="L2292">
            <v>55</v>
          </cell>
          <cell r="M2292">
            <v>60066349</v>
          </cell>
          <cell r="N2292">
            <v>38946</v>
          </cell>
          <cell r="P2292" t="str">
            <v>SN6817D1S298201</v>
          </cell>
          <cell r="Q2292" t="str">
            <v>สภาพปกติ</v>
          </cell>
        </row>
        <row r="2293">
          <cell r="A2293">
            <v>60066351</v>
          </cell>
          <cell r="B2293">
            <v>2292</v>
          </cell>
          <cell r="C2293" t="str">
            <v>CS01/13</v>
          </cell>
          <cell r="D2293" t="str">
            <v>SPCEN-SD</v>
          </cell>
          <cell r="E2293" t="str">
            <v>AF3</v>
          </cell>
          <cell r="F2293">
            <v>1.6</v>
          </cell>
          <cell r="G2293">
            <v>35</v>
          </cell>
          <cell r="H2293" t="str">
            <v>C</v>
          </cell>
          <cell r="I2293" t="str">
            <v>A</v>
          </cell>
          <cell r="J2293" t="str">
            <v>PSP</v>
          </cell>
          <cell r="K2293">
            <v>1</v>
          </cell>
          <cell r="L2293">
            <v>60</v>
          </cell>
          <cell r="M2293">
            <v>60066351</v>
          </cell>
          <cell r="N2293">
            <v>38946</v>
          </cell>
          <cell r="P2293" t="str">
            <v>SN6817D1S298202</v>
          </cell>
          <cell r="Q2293" t="str">
            <v>สภาพปกติ</v>
          </cell>
        </row>
        <row r="2294">
          <cell r="A2294">
            <v>60066353</v>
          </cell>
          <cell r="B2294">
            <v>2293</v>
          </cell>
          <cell r="C2294" t="str">
            <v>CS01/13</v>
          </cell>
          <cell r="D2294" t="str">
            <v>SPCEN-SD</v>
          </cell>
          <cell r="E2294" t="str">
            <v>AF3</v>
          </cell>
          <cell r="F2294">
            <v>1.6</v>
          </cell>
          <cell r="G2294">
            <v>35</v>
          </cell>
          <cell r="H2294" t="str">
            <v>C</v>
          </cell>
          <cell r="I2294" t="str">
            <v>A</v>
          </cell>
          <cell r="J2294" t="str">
            <v>PSP</v>
          </cell>
          <cell r="K2294">
            <v>1</v>
          </cell>
          <cell r="L2294">
            <v>54</v>
          </cell>
          <cell r="M2294">
            <v>60066353</v>
          </cell>
          <cell r="N2294">
            <v>38946</v>
          </cell>
          <cell r="P2294" t="str">
            <v>SN6817D1S298203</v>
          </cell>
          <cell r="Q2294" t="str">
            <v>สภาพปกติ</v>
          </cell>
        </row>
        <row r="2295">
          <cell r="A2295">
            <v>60066355</v>
          </cell>
          <cell r="B2295">
            <v>2294</v>
          </cell>
          <cell r="C2295" t="str">
            <v>CS01/13</v>
          </cell>
          <cell r="D2295" t="str">
            <v>SPCEN-SD</v>
          </cell>
          <cell r="E2295" t="str">
            <v>AF3</v>
          </cell>
          <cell r="F2295">
            <v>1.6</v>
          </cell>
          <cell r="G2295">
            <v>35</v>
          </cell>
          <cell r="H2295" t="str">
            <v>C</v>
          </cell>
          <cell r="I2295" t="str">
            <v>A</v>
          </cell>
          <cell r="J2295" t="str">
            <v>PSP</v>
          </cell>
          <cell r="K2295">
            <v>1</v>
          </cell>
          <cell r="L2295">
            <v>57</v>
          </cell>
          <cell r="M2295">
            <v>60066355</v>
          </cell>
          <cell r="N2295">
            <v>38946</v>
          </cell>
          <cell r="P2295" t="str">
            <v>SN6817D1S298204</v>
          </cell>
          <cell r="Q2295" t="str">
            <v>สภาพปกติ</v>
          </cell>
        </row>
        <row r="2296">
          <cell r="A2296">
            <v>60066357</v>
          </cell>
          <cell r="B2296">
            <v>2295</v>
          </cell>
          <cell r="C2296" t="str">
            <v>CS01/13</v>
          </cell>
          <cell r="D2296" t="str">
            <v>SPCEN-SD</v>
          </cell>
          <cell r="E2296" t="str">
            <v>AF3</v>
          </cell>
          <cell r="F2296">
            <v>1.6</v>
          </cell>
          <cell r="G2296">
            <v>35</v>
          </cell>
          <cell r="H2296" t="str">
            <v>C</v>
          </cell>
          <cell r="I2296" t="str">
            <v>A</v>
          </cell>
          <cell r="J2296" t="str">
            <v>PSP</v>
          </cell>
          <cell r="K2296">
            <v>1</v>
          </cell>
          <cell r="L2296">
            <v>52</v>
          </cell>
          <cell r="M2296">
            <v>60066357</v>
          </cell>
          <cell r="N2296">
            <v>38946</v>
          </cell>
          <cell r="P2296" t="str">
            <v>SN6817D1S298205</v>
          </cell>
          <cell r="Q2296" t="str">
            <v>สภาพปกติ</v>
          </cell>
        </row>
        <row r="2297">
          <cell r="A2297">
            <v>60066359</v>
          </cell>
          <cell r="B2297">
            <v>2296</v>
          </cell>
          <cell r="C2297" t="str">
            <v>CS01/13</v>
          </cell>
          <cell r="D2297" t="str">
            <v>SPCEN-SD</v>
          </cell>
          <cell r="E2297" t="str">
            <v>AF3</v>
          </cell>
          <cell r="F2297">
            <v>1.6</v>
          </cell>
          <cell r="G2297">
            <v>35</v>
          </cell>
          <cell r="H2297" t="str">
            <v>C</v>
          </cell>
          <cell r="I2297" t="str">
            <v>A</v>
          </cell>
          <cell r="J2297" t="str">
            <v>PSP</v>
          </cell>
          <cell r="K2297">
            <v>1</v>
          </cell>
          <cell r="L2297">
            <v>59</v>
          </cell>
          <cell r="M2297">
            <v>60066359</v>
          </cell>
          <cell r="N2297">
            <v>38946</v>
          </cell>
          <cell r="P2297" t="str">
            <v>SN6817D1S298206</v>
          </cell>
          <cell r="Q2297" t="str">
            <v>สภาพปกติ</v>
          </cell>
        </row>
        <row r="2298">
          <cell r="A2298">
            <v>60066369</v>
          </cell>
          <cell r="B2298">
            <v>2297</v>
          </cell>
          <cell r="C2298" t="str">
            <v>CS01/13</v>
          </cell>
          <cell r="D2298" t="str">
            <v>SPCEN-SD</v>
          </cell>
          <cell r="E2298" t="str">
            <v>AF3</v>
          </cell>
          <cell r="F2298">
            <v>1.6</v>
          </cell>
          <cell r="G2298">
            <v>35</v>
          </cell>
          <cell r="H2298" t="str">
            <v>C</v>
          </cell>
          <cell r="I2298" t="str">
            <v>A</v>
          </cell>
          <cell r="J2298" t="str">
            <v>PSP</v>
          </cell>
          <cell r="K2298">
            <v>1</v>
          </cell>
          <cell r="L2298">
            <v>68</v>
          </cell>
          <cell r="M2298">
            <v>60066369</v>
          </cell>
          <cell r="N2298">
            <v>38946</v>
          </cell>
          <cell r="P2298" t="str">
            <v>SN6817D1S298901</v>
          </cell>
          <cell r="Q2298" t="str">
            <v>สภาพปกติ</v>
          </cell>
        </row>
        <row r="2299">
          <cell r="A2299">
            <v>60066379</v>
          </cell>
          <cell r="B2299">
            <v>2298</v>
          </cell>
          <cell r="C2299" t="str">
            <v>CS01/13</v>
          </cell>
          <cell r="D2299" t="str">
            <v>SPCEN-SD</v>
          </cell>
          <cell r="E2299" t="str">
            <v>AF3</v>
          </cell>
          <cell r="F2299">
            <v>1.6</v>
          </cell>
          <cell r="G2299">
            <v>35</v>
          </cell>
          <cell r="H2299" t="str">
            <v>C</v>
          </cell>
          <cell r="I2299" t="str">
            <v>A</v>
          </cell>
          <cell r="J2299" t="str">
            <v>PSP</v>
          </cell>
          <cell r="K2299">
            <v>1</v>
          </cell>
          <cell r="L2299">
            <v>58</v>
          </cell>
          <cell r="M2299">
            <v>60066379</v>
          </cell>
          <cell r="N2299">
            <v>38946</v>
          </cell>
          <cell r="P2299" t="str">
            <v>SN6817N1S298401</v>
          </cell>
          <cell r="Q2299" t="str">
            <v>สภาพปกติ</v>
          </cell>
        </row>
        <row r="2300">
          <cell r="A2300">
            <v>60066381</v>
          </cell>
          <cell r="B2300">
            <v>2299</v>
          </cell>
          <cell r="C2300" t="str">
            <v>CS01/13</v>
          </cell>
          <cell r="D2300" t="str">
            <v>SPCEN-SD</v>
          </cell>
          <cell r="E2300" t="str">
            <v>AF3</v>
          </cell>
          <cell r="F2300">
            <v>1.6</v>
          </cell>
          <cell r="G2300">
            <v>35</v>
          </cell>
          <cell r="H2300" t="str">
            <v>C</v>
          </cell>
          <cell r="I2300" t="str">
            <v>A</v>
          </cell>
          <cell r="J2300" t="str">
            <v>PSP</v>
          </cell>
          <cell r="K2300">
            <v>1</v>
          </cell>
          <cell r="L2300">
            <v>57</v>
          </cell>
          <cell r="M2300">
            <v>60066381</v>
          </cell>
          <cell r="N2300">
            <v>38946</v>
          </cell>
          <cell r="P2300" t="str">
            <v>SN6817N1S298402</v>
          </cell>
          <cell r="Q2300" t="str">
            <v>สภาพปกติ</v>
          </cell>
        </row>
        <row r="2301">
          <cell r="A2301">
            <v>60066383</v>
          </cell>
          <cell r="B2301">
            <v>2300</v>
          </cell>
          <cell r="C2301" t="str">
            <v>CS01/13</v>
          </cell>
          <cell r="D2301" t="str">
            <v>SPCEN-SD</v>
          </cell>
          <cell r="E2301" t="str">
            <v>AF3</v>
          </cell>
          <cell r="F2301">
            <v>1.6</v>
          </cell>
          <cell r="G2301">
            <v>35</v>
          </cell>
          <cell r="H2301" t="str">
            <v>C</v>
          </cell>
          <cell r="I2301" t="str">
            <v>A</v>
          </cell>
          <cell r="J2301" t="str">
            <v>PSP</v>
          </cell>
          <cell r="K2301">
            <v>1</v>
          </cell>
          <cell r="L2301">
            <v>52</v>
          </cell>
          <cell r="M2301">
            <v>60066383</v>
          </cell>
          <cell r="N2301">
            <v>38946</v>
          </cell>
          <cell r="P2301" t="str">
            <v>SN6817N1S298403</v>
          </cell>
          <cell r="Q2301" t="str">
            <v>สภาพปกติ</v>
          </cell>
        </row>
        <row r="2302">
          <cell r="A2302">
            <v>60066385</v>
          </cell>
          <cell r="B2302">
            <v>2301</v>
          </cell>
          <cell r="C2302" t="str">
            <v>CS01/13</v>
          </cell>
          <cell r="D2302" t="str">
            <v>SPCEN-SD</v>
          </cell>
          <cell r="E2302" t="str">
            <v>AF3</v>
          </cell>
          <cell r="F2302">
            <v>1.6</v>
          </cell>
          <cell r="G2302">
            <v>35</v>
          </cell>
          <cell r="H2302" t="str">
            <v>C</v>
          </cell>
          <cell r="I2302" t="str">
            <v>A</v>
          </cell>
          <cell r="J2302" t="str">
            <v>PSP</v>
          </cell>
          <cell r="K2302">
            <v>1</v>
          </cell>
          <cell r="L2302">
            <v>46</v>
          </cell>
          <cell r="M2302">
            <v>60066385</v>
          </cell>
          <cell r="N2302">
            <v>38946</v>
          </cell>
          <cell r="P2302" t="str">
            <v>SN6817N1S298404</v>
          </cell>
          <cell r="Q2302" t="str">
            <v>สภาพปกติ</v>
          </cell>
        </row>
        <row r="2303">
          <cell r="A2303">
            <v>60066431</v>
          </cell>
          <cell r="B2303">
            <v>2302</v>
          </cell>
          <cell r="C2303" t="str">
            <v>CS01/13</v>
          </cell>
          <cell r="D2303" t="str">
            <v>SPCEN-SD</v>
          </cell>
          <cell r="E2303" t="str">
            <v>AF3</v>
          </cell>
          <cell r="F2303">
            <v>1.6</v>
          </cell>
          <cell r="G2303">
            <v>42</v>
          </cell>
          <cell r="H2303" t="str">
            <v>C</v>
          </cell>
          <cell r="I2303" t="str">
            <v>A</v>
          </cell>
          <cell r="J2303" t="str">
            <v>PSP</v>
          </cell>
          <cell r="K2303">
            <v>1</v>
          </cell>
          <cell r="L2303">
            <v>79</v>
          </cell>
          <cell r="M2303">
            <v>60066431</v>
          </cell>
          <cell r="N2303">
            <v>38947</v>
          </cell>
          <cell r="P2303" t="str">
            <v>SN6818D1S298601</v>
          </cell>
          <cell r="Q2303" t="str">
            <v>สภาพปกติ</v>
          </cell>
        </row>
        <row r="2304">
          <cell r="A2304">
            <v>60066432</v>
          </cell>
          <cell r="B2304">
            <v>2303</v>
          </cell>
          <cell r="C2304" t="str">
            <v>CS01/13</v>
          </cell>
          <cell r="D2304" t="str">
            <v>SPCEN-SD</v>
          </cell>
          <cell r="E2304" t="str">
            <v>AF3</v>
          </cell>
          <cell r="F2304">
            <v>1.6</v>
          </cell>
          <cell r="G2304">
            <v>42</v>
          </cell>
          <cell r="H2304" t="str">
            <v>C</v>
          </cell>
          <cell r="I2304" t="str">
            <v>A</v>
          </cell>
          <cell r="J2304" t="str">
            <v>PSP</v>
          </cell>
          <cell r="K2304">
            <v>1</v>
          </cell>
          <cell r="L2304">
            <v>56</v>
          </cell>
          <cell r="M2304">
            <v>60066432</v>
          </cell>
          <cell r="N2304">
            <v>38947</v>
          </cell>
          <cell r="P2304" t="str">
            <v>SN6818D1S298602</v>
          </cell>
          <cell r="Q2304" t="str">
            <v>สภาพปกติ</v>
          </cell>
        </row>
        <row r="2305">
          <cell r="A2305">
            <v>60066433</v>
          </cell>
          <cell r="B2305">
            <v>2304</v>
          </cell>
          <cell r="C2305" t="str">
            <v>CS01/13</v>
          </cell>
          <cell r="D2305" t="str">
            <v>SPCEN-SD</v>
          </cell>
          <cell r="E2305" t="str">
            <v>AF3</v>
          </cell>
          <cell r="F2305">
            <v>1.6</v>
          </cell>
          <cell r="G2305">
            <v>42</v>
          </cell>
          <cell r="H2305" t="str">
            <v>C</v>
          </cell>
          <cell r="I2305" t="str">
            <v>A</v>
          </cell>
          <cell r="J2305" t="str">
            <v>PSP</v>
          </cell>
          <cell r="K2305">
            <v>1</v>
          </cell>
          <cell r="L2305">
            <v>76</v>
          </cell>
          <cell r="M2305">
            <v>60066433</v>
          </cell>
          <cell r="N2305">
            <v>38947</v>
          </cell>
          <cell r="P2305" t="str">
            <v>SN6818D1S298603</v>
          </cell>
          <cell r="Q2305" t="str">
            <v>สภาพปกติ</v>
          </cell>
        </row>
        <row r="2306">
          <cell r="A2306">
            <v>60066436</v>
          </cell>
          <cell r="B2306">
            <v>2305</v>
          </cell>
          <cell r="C2306" t="str">
            <v>CS01/13</v>
          </cell>
          <cell r="D2306" t="str">
            <v>SPCEN-SD</v>
          </cell>
          <cell r="E2306" t="str">
            <v>AF3</v>
          </cell>
          <cell r="F2306">
            <v>1.6</v>
          </cell>
          <cell r="G2306">
            <v>42</v>
          </cell>
          <cell r="H2306" t="str">
            <v>C</v>
          </cell>
          <cell r="I2306" t="str">
            <v>A</v>
          </cell>
          <cell r="J2306" t="str">
            <v>PSP</v>
          </cell>
          <cell r="K2306">
            <v>1</v>
          </cell>
          <cell r="L2306">
            <v>115</v>
          </cell>
          <cell r="M2306">
            <v>60066436</v>
          </cell>
          <cell r="N2306">
            <v>38947</v>
          </cell>
          <cell r="P2306" t="str">
            <v>SN6818D1S298604</v>
          </cell>
          <cell r="Q2306" t="str">
            <v>สภาพปกติ</v>
          </cell>
        </row>
        <row r="2307">
          <cell r="A2307">
            <v>60066434</v>
          </cell>
          <cell r="B2307">
            <v>2306</v>
          </cell>
          <cell r="C2307" t="str">
            <v>CS01/13</v>
          </cell>
          <cell r="D2307" t="str">
            <v>SPCEN-SD</v>
          </cell>
          <cell r="E2307" t="str">
            <v>AF3</v>
          </cell>
          <cell r="F2307">
            <v>1.6</v>
          </cell>
          <cell r="G2307">
            <v>78</v>
          </cell>
          <cell r="H2307" t="str">
            <v>C</v>
          </cell>
          <cell r="I2307" t="str">
            <v>A</v>
          </cell>
          <cell r="J2307" t="str">
            <v>PSP</v>
          </cell>
          <cell r="K2307">
            <v>1</v>
          </cell>
          <cell r="L2307">
            <v>182</v>
          </cell>
          <cell r="M2307">
            <v>60066434</v>
          </cell>
          <cell r="N2307">
            <v>38947</v>
          </cell>
          <cell r="P2307" t="str">
            <v>SN6818D1S298601</v>
          </cell>
          <cell r="Q2307" t="str">
            <v>สภาพปกติ</v>
          </cell>
        </row>
        <row r="2308">
          <cell r="A2308">
            <v>60066435</v>
          </cell>
          <cell r="B2308">
            <v>2307</v>
          </cell>
          <cell r="C2308" t="str">
            <v>CS01/13</v>
          </cell>
          <cell r="D2308" t="str">
            <v>SPCEN-SD</v>
          </cell>
          <cell r="E2308" t="str">
            <v>AF3</v>
          </cell>
          <cell r="F2308">
            <v>1.6</v>
          </cell>
          <cell r="G2308">
            <v>78</v>
          </cell>
          <cell r="H2308" t="str">
            <v>C</v>
          </cell>
          <cell r="I2308" t="str">
            <v>A</v>
          </cell>
          <cell r="J2308" t="str">
            <v>PSP</v>
          </cell>
          <cell r="K2308">
            <v>1</v>
          </cell>
          <cell r="L2308">
            <v>181</v>
          </cell>
          <cell r="M2308">
            <v>60066435</v>
          </cell>
          <cell r="N2308">
            <v>38947</v>
          </cell>
          <cell r="P2308" t="str">
            <v>SN6818D1S298602</v>
          </cell>
          <cell r="Q2308" t="str">
            <v>สภาพปกติ</v>
          </cell>
        </row>
        <row r="2309">
          <cell r="A2309">
            <v>60066441</v>
          </cell>
          <cell r="B2309">
            <v>2308</v>
          </cell>
          <cell r="C2309" t="str">
            <v>CS01/13</v>
          </cell>
          <cell r="D2309" t="str">
            <v>SPCEN-SD</v>
          </cell>
          <cell r="E2309" t="str">
            <v>AF3</v>
          </cell>
          <cell r="F2309">
            <v>1.6</v>
          </cell>
          <cell r="G2309">
            <v>78</v>
          </cell>
          <cell r="H2309" t="str">
            <v>C</v>
          </cell>
          <cell r="I2309" t="str">
            <v>A</v>
          </cell>
          <cell r="J2309" t="str">
            <v>PSP</v>
          </cell>
          <cell r="K2309">
            <v>1</v>
          </cell>
          <cell r="L2309">
            <v>174</v>
          </cell>
          <cell r="M2309">
            <v>60066441</v>
          </cell>
          <cell r="N2309">
            <v>38947</v>
          </cell>
          <cell r="P2309" t="str">
            <v>SN6818D1S298603</v>
          </cell>
          <cell r="Q2309" t="str">
            <v>สภาพปกติ</v>
          </cell>
        </row>
        <row r="2310">
          <cell r="A2310">
            <v>60066987</v>
          </cell>
          <cell r="B2310">
            <v>2309</v>
          </cell>
          <cell r="C2310" t="str">
            <v>CS01/13</v>
          </cell>
          <cell r="D2310" t="str">
            <v>SPHC P/O</v>
          </cell>
          <cell r="E2310" t="str">
            <v>CA1</v>
          </cell>
          <cell r="F2310">
            <v>1.6</v>
          </cell>
          <cell r="G2310">
            <v>110</v>
          </cell>
          <cell r="H2310" t="str">
            <v>C</v>
          </cell>
          <cell r="I2310" t="str">
            <v>A</v>
          </cell>
          <cell r="J2310" t="str">
            <v>PSP</v>
          </cell>
          <cell r="K2310">
            <v>1</v>
          </cell>
          <cell r="L2310">
            <v>280</v>
          </cell>
          <cell r="M2310">
            <v>60066987</v>
          </cell>
          <cell r="N2310">
            <v>38954</v>
          </cell>
          <cell r="O2310" t="str">
            <v>136614NSI003</v>
          </cell>
          <cell r="P2310" t="str">
            <v>SN6825N2S323801</v>
          </cell>
          <cell r="Q2310" t="str">
            <v>สภาพปกติ</v>
          </cell>
        </row>
        <row r="2311">
          <cell r="A2311">
            <v>60066988</v>
          </cell>
          <cell r="B2311">
            <v>2310</v>
          </cell>
          <cell r="C2311" t="str">
            <v>CS01/13</v>
          </cell>
          <cell r="D2311" t="str">
            <v>SPHC P/O</v>
          </cell>
          <cell r="E2311" t="str">
            <v>CA1</v>
          </cell>
          <cell r="F2311">
            <v>1.6</v>
          </cell>
          <cell r="G2311">
            <v>110</v>
          </cell>
          <cell r="H2311" t="str">
            <v>C</v>
          </cell>
          <cell r="I2311" t="str">
            <v>A</v>
          </cell>
          <cell r="J2311" t="str">
            <v>PSP</v>
          </cell>
          <cell r="K2311">
            <v>1</v>
          </cell>
          <cell r="L2311">
            <v>280</v>
          </cell>
          <cell r="M2311">
            <v>60066988</v>
          </cell>
          <cell r="N2311">
            <v>38954</v>
          </cell>
          <cell r="P2311" t="str">
            <v>SN6825N2S323802</v>
          </cell>
          <cell r="Q2311" t="str">
            <v>สภาพปกติ</v>
          </cell>
        </row>
        <row r="2312">
          <cell r="A2312">
            <v>60066989</v>
          </cell>
          <cell r="B2312">
            <v>2311</v>
          </cell>
          <cell r="C2312" t="str">
            <v>CS01/13</v>
          </cell>
          <cell r="D2312" t="str">
            <v>SPHC P/O</v>
          </cell>
          <cell r="E2312" t="str">
            <v>CA1</v>
          </cell>
          <cell r="F2312">
            <v>1.6</v>
          </cell>
          <cell r="G2312">
            <v>110</v>
          </cell>
          <cell r="H2312" t="str">
            <v>C</v>
          </cell>
          <cell r="I2312" t="str">
            <v>A</v>
          </cell>
          <cell r="J2312" t="str">
            <v>PSP</v>
          </cell>
          <cell r="K2312">
            <v>1</v>
          </cell>
          <cell r="L2312">
            <v>280</v>
          </cell>
          <cell r="M2312">
            <v>60066989</v>
          </cell>
          <cell r="N2312">
            <v>38954</v>
          </cell>
          <cell r="P2312" t="str">
            <v>SN6825N2S323803</v>
          </cell>
          <cell r="Q2312" t="str">
            <v>สภาพปกติ</v>
          </cell>
        </row>
        <row r="2313">
          <cell r="A2313">
            <v>60066990</v>
          </cell>
          <cell r="B2313">
            <v>2312</v>
          </cell>
          <cell r="C2313" t="str">
            <v>CS01/13</v>
          </cell>
          <cell r="D2313" t="str">
            <v>SPHC P/O</v>
          </cell>
          <cell r="E2313" t="str">
            <v>CA1</v>
          </cell>
          <cell r="F2313">
            <v>1.6</v>
          </cell>
          <cell r="G2313">
            <v>110</v>
          </cell>
          <cell r="H2313" t="str">
            <v>C</v>
          </cell>
          <cell r="I2313" t="str">
            <v>A</v>
          </cell>
          <cell r="J2313" t="str">
            <v>PSP</v>
          </cell>
          <cell r="K2313">
            <v>1</v>
          </cell>
          <cell r="L2313">
            <v>280</v>
          </cell>
          <cell r="M2313">
            <v>60066990</v>
          </cell>
          <cell r="N2313">
            <v>38954</v>
          </cell>
          <cell r="O2313" t="str">
            <v>136614NSI003</v>
          </cell>
          <cell r="P2313" t="str">
            <v>SN6825N2S323804</v>
          </cell>
          <cell r="Q2313" t="str">
            <v>สภาพปกติ</v>
          </cell>
        </row>
        <row r="2314">
          <cell r="A2314">
            <v>60066991</v>
          </cell>
          <cell r="B2314">
            <v>2313</v>
          </cell>
          <cell r="C2314" t="str">
            <v>CS01/13</v>
          </cell>
          <cell r="D2314" t="str">
            <v>SPHC P/O</v>
          </cell>
          <cell r="E2314" t="str">
            <v>CA1</v>
          </cell>
          <cell r="F2314">
            <v>1.6</v>
          </cell>
          <cell r="G2314">
            <v>110</v>
          </cell>
          <cell r="H2314" t="str">
            <v>C</v>
          </cell>
          <cell r="I2314" t="str">
            <v>A</v>
          </cell>
          <cell r="J2314" t="str">
            <v>PSP</v>
          </cell>
          <cell r="K2314">
            <v>1</v>
          </cell>
          <cell r="L2314">
            <v>280</v>
          </cell>
          <cell r="M2314">
            <v>60066991</v>
          </cell>
          <cell r="N2314">
            <v>38954</v>
          </cell>
          <cell r="O2314" t="str">
            <v>136614NSI003</v>
          </cell>
          <cell r="P2314" t="str">
            <v>SN6825N2S323805</v>
          </cell>
          <cell r="Q2314" t="str">
            <v>สภาพปกติ</v>
          </cell>
        </row>
        <row r="2315">
          <cell r="A2315">
            <v>60066992</v>
          </cell>
          <cell r="B2315">
            <v>2314</v>
          </cell>
          <cell r="C2315" t="str">
            <v>CS01/13</v>
          </cell>
          <cell r="D2315" t="str">
            <v>SPHC P/O</v>
          </cell>
          <cell r="E2315" t="str">
            <v>CA1</v>
          </cell>
          <cell r="F2315">
            <v>1.6</v>
          </cell>
          <cell r="G2315">
            <v>110</v>
          </cell>
          <cell r="H2315" t="str">
            <v>C</v>
          </cell>
          <cell r="I2315" t="str">
            <v>A</v>
          </cell>
          <cell r="J2315" t="str">
            <v>PSP</v>
          </cell>
          <cell r="K2315">
            <v>1</v>
          </cell>
          <cell r="L2315">
            <v>280</v>
          </cell>
          <cell r="M2315">
            <v>60066992</v>
          </cell>
          <cell r="N2315">
            <v>38954</v>
          </cell>
          <cell r="P2315" t="str">
            <v>SN6825N2S323806</v>
          </cell>
          <cell r="Q2315" t="str">
            <v>สภาพปกติ</v>
          </cell>
        </row>
        <row r="2316">
          <cell r="A2316">
            <v>60065413</v>
          </cell>
          <cell r="B2316">
            <v>2315</v>
          </cell>
          <cell r="C2316" t="str">
            <v>CS01/13</v>
          </cell>
          <cell r="D2316" t="str">
            <v>SPHC P/O</v>
          </cell>
          <cell r="E2316" t="str">
            <v>CA1</v>
          </cell>
          <cell r="F2316">
            <v>1.6</v>
          </cell>
          <cell r="G2316">
            <v>143</v>
          </cell>
          <cell r="H2316" t="str">
            <v>C</v>
          </cell>
          <cell r="I2316" t="str">
            <v>A</v>
          </cell>
          <cell r="J2316" t="str">
            <v>PSP</v>
          </cell>
          <cell r="K2316">
            <v>1</v>
          </cell>
          <cell r="L2316">
            <v>385</v>
          </cell>
          <cell r="M2316">
            <v>60065413</v>
          </cell>
          <cell r="N2316">
            <v>38943</v>
          </cell>
          <cell r="O2316" t="str">
            <v>R36614NSI003</v>
          </cell>
          <cell r="P2316" t="str">
            <v>SN6814D2M287101</v>
          </cell>
          <cell r="Q2316" t="str">
            <v>สภาพปกติ</v>
          </cell>
        </row>
        <row r="2317">
          <cell r="A2317">
            <v>60066868</v>
          </cell>
          <cell r="B2317">
            <v>2316</v>
          </cell>
          <cell r="C2317" t="str">
            <v>CS01/13</v>
          </cell>
          <cell r="D2317" t="str">
            <v>SPHC P/O</v>
          </cell>
          <cell r="E2317" t="str">
            <v>CA1</v>
          </cell>
          <cell r="F2317">
            <v>2.2999999999999998</v>
          </cell>
          <cell r="G2317">
            <v>60</v>
          </cell>
          <cell r="H2317" t="str">
            <v>C</v>
          </cell>
          <cell r="I2317" t="str">
            <v>A</v>
          </cell>
          <cell r="J2317" t="str">
            <v>PSP</v>
          </cell>
          <cell r="K2317">
            <v>1</v>
          </cell>
          <cell r="L2317">
            <v>246</v>
          </cell>
          <cell r="M2317">
            <v>60066868</v>
          </cell>
          <cell r="N2317">
            <v>38952</v>
          </cell>
          <cell r="P2317" t="str">
            <v>SN6823N2S318701</v>
          </cell>
          <cell r="Q2317" t="str">
            <v>สภาพปกติ</v>
          </cell>
        </row>
        <row r="2318">
          <cell r="A2318">
            <v>60065820</v>
          </cell>
          <cell r="B2318">
            <v>2317</v>
          </cell>
          <cell r="C2318" t="str">
            <v>CS01/13</v>
          </cell>
          <cell r="D2318" t="str">
            <v>SPHC P/O</v>
          </cell>
          <cell r="E2318" t="str">
            <v>CA1</v>
          </cell>
          <cell r="F2318">
            <v>2.2999999999999998</v>
          </cell>
          <cell r="G2318">
            <v>140</v>
          </cell>
          <cell r="H2318" t="str">
            <v>C</v>
          </cell>
          <cell r="I2318" t="str">
            <v>A</v>
          </cell>
          <cell r="J2318" t="str">
            <v>PSP</v>
          </cell>
          <cell r="K2318">
            <v>1</v>
          </cell>
          <cell r="L2318">
            <v>675</v>
          </cell>
          <cell r="M2318">
            <v>60065820</v>
          </cell>
          <cell r="N2318">
            <v>38937</v>
          </cell>
          <cell r="P2318" t="str">
            <v>SN6808N1S280701</v>
          </cell>
          <cell r="Q2318" t="str">
            <v>สภาพปกติ</v>
          </cell>
        </row>
        <row r="2319">
          <cell r="A2319">
            <v>60066876</v>
          </cell>
          <cell r="B2319">
            <v>2318</v>
          </cell>
          <cell r="C2319" t="str">
            <v>CS01/13</v>
          </cell>
          <cell r="D2319" t="str">
            <v>SPHT-1 P/O</v>
          </cell>
          <cell r="E2319" t="str">
            <v>CA1</v>
          </cell>
          <cell r="F2319">
            <v>2.2999999999999998</v>
          </cell>
          <cell r="G2319">
            <v>152</v>
          </cell>
          <cell r="H2319" t="str">
            <v>C</v>
          </cell>
          <cell r="I2319" t="str">
            <v>A</v>
          </cell>
          <cell r="J2319" t="str">
            <v>PSP</v>
          </cell>
          <cell r="K2319">
            <v>1</v>
          </cell>
          <cell r="L2319">
            <v>438</v>
          </cell>
          <cell r="M2319">
            <v>60066876</v>
          </cell>
          <cell r="N2319">
            <v>38952</v>
          </cell>
          <cell r="P2319" t="str">
            <v>SN6823N2S318701</v>
          </cell>
          <cell r="Q2319" t="str">
            <v>สภาพปกติ</v>
          </cell>
        </row>
        <row r="2320">
          <cell r="A2320">
            <v>60066645</v>
          </cell>
          <cell r="B2320">
            <v>2319</v>
          </cell>
          <cell r="C2320" t="str">
            <v>CS01/13</v>
          </cell>
          <cell r="D2320" t="str">
            <v>SPHC P/O</v>
          </cell>
          <cell r="E2320" t="str">
            <v>CA1</v>
          </cell>
          <cell r="F2320">
            <v>2.9</v>
          </cell>
          <cell r="G2320">
            <v>43</v>
          </cell>
          <cell r="H2320" t="str">
            <v>C</v>
          </cell>
          <cell r="I2320" t="str">
            <v>A</v>
          </cell>
          <cell r="J2320" t="str">
            <v>PSP</v>
          </cell>
          <cell r="K2320">
            <v>1</v>
          </cell>
          <cell r="L2320">
            <v>70</v>
          </cell>
          <cell r="M2320">
            <v>60066645</v>
          </cell>
          <cell r="N2320">
            <v>38950</v>
          </cell>
          <cell r="P2320" t="str">
            <v>SN6821D2S305601</v>
          </cell>
          <cell r="Q2320" t="str">
            <v>สภาพปกติ</v>
          </cell>
        </row>
        <row r="2321">
          <cell r="A2321">
            <v>60066884</v>
          </cell>
          <cell r="B2321">
            <v>2320</v>
          </cell>
          <cell r="C2321" t="str">
            <v>CS01/13</v>
          </cell>
          <cell r="D2321" t="str">
            <v>SPHC P/O</v>
          </cell>
          <cell r="E2321" t="str">
            <v>CA1</v>
          </cell>
          <cell r="F2321">
            <v>3.2</v>
          </cell>
          <cell r="G2321">
            <v>174</v>
          </cell>
          <cell r="H2321" t="str">
            <v>C</v>
          </cell>
          <cell r="I2321" t="str">
            <v>A</v>
          </cell>
          <cell r="J2321" t="str">
            <v>PSP</v>
          </cell>
          <cell r="K2321">
            <v>1</v>
          </cell>
          <cell r="L2321">
            <v>890</v>
          </cell>
          <cell r="M2321">
            <v>60066884</v>
          </cell>
          <cell r="N2321">
            <v>38952</v>
          </cell>
          <cell r="P2321" t="str">
            <v>SN6823D2S315401</v>
          </cell>
          <cell r="Q2321" t="str">
            <v>สภาพปกติ</v>
          </cell>
        </row>
        <row r="2322">
          <cell r="A2322">
            <v>60066885</v>
          </cell>
          <cell r="B2322">
            <v>2321</v>
          </cell>
          <cell r="C2322" t="str">
            <v>CS01/13</v>
          </cell>
          <cell r="D2322" t="str">
            <v>SPHC P/O</v>
          </cell>
          <cell r="E2322" t="str">
            <v>CA1</v>
          </cell>
          <cell r="F2322">
            <v>3.2</v>
          </cell>
          <cell r="G2322">
            <v>174</v>
          </cell>
          <cell r="H2322" t="str">
            <v>C</v>
          </cell>
          <cell r="I2322" t="str">
            <v>A</v>
          </cell>
          <cell r="J2322" t="str">
            <v>PSP</v>
          </cell>
          <cell r="K2322">
            <v>1</v>
          </cell>
          <cell r="L2322">
            <v>890</v>
          </cell>
          <cell r="M2322">
            <v>60066885</v>
          </cell>
          <cell r="N2322">
            <v>38952</v>
          </cell>
          <cell r="P2322" t="str">
            <v>SN6823D2S315402</v>
          </cell>
          <cell r="Q2322" t="str">
            <v>สภาพปกติ</v>
          </cell>
        </row>
        <row r="2323">
          <cell r="A2323">
            <v>60066886</v>
          </cell>
          <cell r="B2323">
            <v>2322</v>
          </cell>
          <cell r="C2323" t="str">
            <v>CS01/13</v>
          </cell>
          <cell r="D2323" t="str">
            <v>SPHC P/O</v>
          </cell>
          <cell r="E2323" t="str">
            <v>CA1</v>
          </cell>
          <cell r="F2323">
            <v>3.2</v>
          </cell>
          <cell r="G2323">
            <v>174</v>
          </cell>
          <cell r="H2323" t="str">
            <v>C</v>
          </cell>
          <cell r="I2323" t="str">
            <v>A</v>
          </cell>
          <cell r="J2323" t="str">
            <v>PSP</v>
          </cell>
          <cell r="K2323">
            <v>1</v>
          </cell>
          <cell r="L2323">
            <v>890</v>
          </cell>
          <cell r="M2323">
            <v>60066886</v>
          </cell>
          <cell r="N2323">
            <v>38952</v>
          </cell>
          <cell r="P2323" t="str">
            <v>SN6823D2S315403</v>
          </cell>
          <cell r="Q2323" t="str">
            <v>สภาพปกติ</v>
          </cell>
        </row>
        <row r="2324">
          <cell r="A2324">
            <v>60066325</v>
          </cell>
          <cell r="B2324">
            <v>2323</v>
          </cell>
          <cell r="C2324" t="str">
            <v>CS01/13</v>
          </cell>
          <cell r="D2324" t="str">
            <v>SPHC P/O</v>
          </cell>
          <cell r="E2324" t="str">
            <v>CA1</v>
          </cell>
          <cell r="F2324">
            <v>3.2</v>
          </cell>
          <cell r="G2324">
            <v>230</v>
          </cell>
          <cell r="H2324" t="str">
            <v>C</v>
          </cell>
          <cell r="I2324" t="str">
            <v>A</v>
          </cell>
          <cell r="J2324" t="str">
            <v>PSP</v>
          </cell>
          <cell r="K2324">
            <v>1</v>
          </cell>
          <cell r="L2324">
            <v>1214</v>
          </cell>
          <cell r="M2324">
            <v>60066325</v>
          </cell>
          <cell r="N2324">
            <v>38946</v>
          </cell>
          <cell r="P2324" t="str">
            <v>SN6817N2S300401</v>
          </cell>
          <cell r="Q2324" t="str">
            <v>สภาพปกติ</v>
          </cell>
        </row>
        <row r="2325">
          <cell r="A2325">
            <v>60065521</v>
          </cell>
          <cell r="B2325">
            <v>2324</v>
          </cell>
          <cell r="C2325" t="str">
            <v>CS01/13</v>
          </cell>
          <cell r="D2325" t="str">
            <v>SPHC P/O</v>
          </cell>
          <cell r="E2325" t="str">
            <v>CA1</v>
          </cell>
          <cell r="F2325">
            <v>3.6</v>
          </cell>
          <cell r="G2325">
            <v>79</v>
          </cell>
          <cell r="H2325" t="str">
            <v>C</v>
          </cell>
          <cell r="I2325" t="str">
            <v>A</v>
          </cell>
          <cell r="J2325" t="str">
            <v>PSP</v>
          </cell>
          <cell r="K2325">
            <v>1</v>
          </cell>
          <cell r="L2325">
            <v>216</v>
          </cell>
          <cell r="M2325">
            <v>60065521</v>
          </cell>
          <cell r="N2325">
            <v>38934</v>
          </cell>
          <cell r="P2325" t="str">
            <v>SN6805N2S270901</v>
          </cell>
          <cell r="Q2325" t="str">
            <v>สภาพปกติ</v>
          </cell>
        </row>
        <row r="2326">
          <cell r="A2326">
            <v>60065525</v>
          </cell>
          <cell r="B2326">
            <v>2325</v>
          </cell>
          <cell r="C2326" t="str">
            <v>CS01/13</v>
          </cell>
          <cell r="D2326" t="str">
            <v>SPHC P/O</v>
          </cell>
          <cell r="E2326" t="str">
            <v>CA1</v>
          </cell>
          <cell r="F2326">
            <v>3.6</v>
          </cell>
          <cell r="G2326">
            <v>79</v>
          </cell>
          <cell r="H2326" t="str">
            <v>C</v>
          </cell>
          <cell r="I2326" t="str">
            <v>A</v>
          </cell>
          <cell r="J2326" t="str">
            <v>PSP</v>
          </cell>
          <cell r="K2326">
            <v>1</v>
          </cell>
          <cell r="L2326">
            <v>218</v>
          </cell>
          <cell r="M2326">
            <v>60065525</v>
          </cell>
          <cell r="N2326">
            <v>38934</v>
          </cell>
          <cell r="P2326" t="str">
            <v>SN6805N2S270902</v>
          </cell>
          <cell r="Q2326" t="str">
            <v>สภาพปกติ</v>
          </cell>
        </row>
        <row r="2327">
          <cell r="A2327">
            <v>60065533</v>
          </cell>
          <cell r="B2327">
            <v>2326</v>
          </cell>
          <cell r="C2327" t="str">
            <v>CS01/13</v>
          </cell>
          <cell r="D2327" t="str">
            <v>SPHC P/O</v>
          </cell>
          <cell r="E2327" t="str">
            <v>CA1</v>
          </cell>
          <cell r="F2327">
            <v>3.6</v>
          </cell>
          <cell r="G2327">
            <v>79</v>
          </cell>
          <cell r="H2327" t="str">
            <v>C</v>
          </cell>
          <cell r="I2327" t="str">
            <v>A</v>
          </cell>
          <cell r="J2327" t="str">
            <v>PSP</v>
          </cell>
          <cell r="K2327">
            <v>1</v>
          </cell>
          <cell r="L2327">
            <v>268</v>
          </cell>
          <cell r="M2327">
            <v>60065533</v>
          </cell>
          <cell r="N2327">
            <v>38934</v>
          </cell>
          <cell r="P2327" t="str">
            <v>SN6805N2S270903</v>
          </cell>
          <cell r="Q2327" t="str">
            <v>สภาพปกติ</v>
          </cell>
        </row>
        <row r="2328">
          <cell r="A2328">
            <v>60065537</v>
          </cell>
          <cell r="B2328">
            <v>2327</v>
          </cell>
          <cell r="C2328" t="str">
            <v>CS01/13</v>
          </cell>
          <cell r="D2328" t="str">
            <v>SPHC P/O</v>
          </cell>
          <cell r="E2328" t="str">
            <v>CA1</v>
          </cell>
          <cell r="F2328">
            <v>3.6</v>
          </cell>
          <cell r="G2328">
            <v>79</v>
          </cell>
          <cell r="H2328" t="str">
            <v>C</v>
          </cell>
          <cell r="I2328" t="str">
            <v>A</v>
          </cell>
          <cell r="J2328" t="str">
            <v>PSP</v>
          </cell>
          <cell r="K2328">
            <v>1</v>
          </cell>
          <cell r="L2328">
            <v>330</v>
          </cell>
          <cell r="M2328">
            <v>60065537</v>
          </cell>
          <cell r="N2328">
            <v>38934</v>
          </cell>
          <cell r="P2328" t="str">
            <v>SN6805N2S270904</v>
          </cell>
          <cell r="Q2328" t="str">
            <v>สภาพปกติ</v>
          </cell>
        </row>
        <row r="2329">
          <cell r="A2329">
            <v>60065563</v>
          </cell>
          <cell r="B2329">
            <v>2328</v>
          </cell>
          <cell r="C2329" t="str">
            <v>CS01/13</v>
          </cell>
          <cell r="D2329" t="str">
            <v>SPHC P/O</v>
          </cell>
          <cell r="E2329" t="str">
            <v>CA1</v>
          </cell>
          <cell r="F2329">
            <v>3.6</v>
          </cell>
          <cell r="G2329">
            <v>79</v>
          </cell>
          <cell r="H2329" t="str">
            <v>C</v>
          </cell>
          <cell r="I2329" t="str">
            <v>A</v>
          </cell>
          <cell r="J2329" t="str">
            <v>PSP</v>
          </cell>
          <cell r="K2329">
            <v>1</v>
          </cell>
          <cell r="L2329">
            <v>300</v>
          </cell>
          <cell r="M2329">
            <v>60065563</v>
          </cell>
          <cell r="N2329">
            <v>38934</v>
          </cell>
          <cell r="P2329" t="str">
            <v>SN6805N2S270905</v>
          </cell>
          <cell r="Q2329" t="str">
            <v>สภาพปกติ</v>
          </cell>
        </row>
        <row r="2330">
          <cell r="A2330">
            <v>60065567</v>
          </cell>
          <cell r="B2330">
            <v>2329</v>
          </cell>
          <cell r="C2330" t="str">
            <v>CS01/13</v>
          </cell>
          <cell r="D2330" t="str">
            <v>SPHC P/O</v>
          </cell>
          <cell r="E2330" t="str">
            <v>CA1</v>
          </cell>
          <cell r="F2330">
            <v>3.6</v>
          </cell>
          <cell r="G2330">
            <v>79</v>
          </cell>
          <cell r="H2330" t="str">
            <v>C</v>
          </cell>
          <cell r="I2330" t="str">
            <v>A</v>
          </cell>
          <cell r="J2330" t="str">
            <v>PSP</v>
          </cell>
          <cell r="K2330">
            <v>1</v>
          </cell>
          <cell r="L2330">
            <v>296</v>
          </cell>
          <cell r="M2330">
            <v>60065567</v>
          </cell>
          <cell r="N2330">
            <v>38934</v>
          </cell>
          <cell r="P2330" t="str">
            <v>SN6805N2S270906</v>
          </cell>
          <cell r="Q2330" t="str">
            <v>สภาพปกติ</v>
          </cell>
        </row>
        <row r="2331">
          <cell r="A2331">
            <v>60065571</v>
          </cell>
          <cell r="B2331">
            <v>2330</v>
          </cell>
          <cell r="C2331" t="str">
            <v>CS01/13</v>
          </cell>
          <cell r="D2331" t="str">
            <v>SPHC P/O</v>
          </cell>
          <cell r="E2331" t="str">
            <v>CA1</v>
          </cell>
          <cell r="F2331">
            <v>3.6</v>
          </cell>
          <cell r="G2331">
            <v>79</v>
          </cell>
          <cell r="H2331" t="str">
            <v>C</v>
          </cell>
          <cell r="I2331" t="str">
            <v>A</v>
          </cell>
          <cell r="J2331" t="str">
            <v>PSP</v>
          </cell>
          <cell r="K2331">
            <v>1</v>
          </cell>
          <cell r="L2331">
            <v>318</v>
          </cell>
          <cell r="M2331">
            <v>60065571</v>
          </cell>
          <cell r="N2331">
            <v>38934</v>
          </cell>
          <cell r="P2331" t="str">
            <v>SN6805N2S270907</v>
          </cell>
          <cell r="Q2331" t="str">
            <v>สภาพปกติ</v>
          </cell>
        </row>
        <row r="2332">
          <cell r="A2332">
            <v>60066464</v>
          </cell>
          <cell r="B2332">
            <v>2331</v>
          </cell>
          <cell r="C2332" t="str">
            <v>CS01/13</v>
          </cell>
          <cell r="D2332" t="str">
            <v>SPHC P/O</v>
          </cell>
          <cell r="E2332" t="str">
            <v>CA1</v>
          </cell>
          <cell r="F2332">
            <v>4.5</v>
          </cell>
          <cell r="G2332">
            <v>45</v>
          </cell>
          <cell r="H2332" t="str">
            <v>C</v>
          </cell>
          <cell r="I2332" t="str">
            <v>A</v>
          </cell>
          <cell r="J2332" t="str">
            <v>PSP</v>
          </cell>
          <cell r="K2332">
            <v>1</v>
          </cell>
          <cell r="L2332">
            <v>160</v>
          </cell>
          <cell r="M2332">
            <v>60066464</v>
          </cell>
          <cell r="N2332">
            <v>38947</v>
          </cell>
          <cell r="P2332" t="str">
            <v>SN6818D2S299401</v>
          </cell>
          <cell r="Q2332" t="str">
            <v>สภาพปกติ</v>
          </cell>
        </row>
        <row r="2333">
          <cell r="A2333">
            <v>60066805</v>
          </cell>
          <cell r="B2333">
            <v>2332</v>
          </cell>
          <cell r="C2333" t="str">
            <v>CS01/13</v>
          </cell>
          <cell r="D2333" t="str">
            <v>SPHC P/O</v>
          </cell>
          <cell r="E2333" t="str">
            <v>CA1</v>
          </cell>
          <cell r="F2333">
            <v>4.5</v>
          </cell>
          <cell r="G2333">
            <v>124</v>
          </cell>
          <cell r="H2333" t="str">
            <v>C</v>
          </cell>
          <cell r="I2333" t="str">
            <v>A</v>
          </cell>
          <cell r="J2333" t="str">
            <v>PSP</v>
          </cell>
          <cell r="K2333">
            <v>1</v>
          </cell>
          <cell r="L2333">
            <v>886</v>
          </cell>
          <cell r="M2333">
            <v>60066805</v>
          </cell>
          <cell r="N2333">
            <v>38951</v>
          </cell>
          <cell r="O2333" t="str">
            <v>136420PCI018</v>
          </cell>
          <cell r="P2333" t="str">
            <v>SN6822D2S313901</v>
          </cell>
          <cell r="Q2333" t="str">
            <v>สภาพปกติ</v>
          </cell>
        </row>
        <row r="2334">
          <cell r="A2334">
            <v>60066824</v>
          </cell>
          <cell r="B2334">
            <v>2333</v>
          </cell>
          <cell r="C2334" t="str">
            <v>CS01/13</v>
          </cell>
          <cell r="D2334" t="str">
            <v>SPHC P/O</v>
          </cell>
          <cell r="E2334" t="str">
            <v>CA1</v>
          </cell>
          <cell r="F2334">
            <v>4.5</v>
          </cell>
          <cell r="G2334">
            <v>124</v>
          </cell>
          <cell r="H2334" t="str">
            <v>C</v>
          </cell>
          <cell r="I2334" t="str">
            <v>A</v>
          </cell>
          <cell r="J2334" t="str">
            <v>PSP</v>
          </cell>
          <cell r="K2334">
            <v>1</v>
          </cell>
          <cell r="L2334">
            <v>858</v>
          </cell>
          <cell r="M2334">
            <v>60066824</v>
          </cell>
          <cell r="N2334">
            <v>38951</v>
          </cell>
          <cell r="O2334" t="str">
            <v>136420PCI019</v>
          </cell>
          <cell r="P2334" t="str">
            <v>SN6822D2S313902</v>
          </cell>
          <cell r="Q2334" t="str">
            <v>สภาพปกติ</v>
          </cell>
        </row>
        <row r="2335">
          <cell r="A2335">
            <v>60066834</v>
          </cell>
          <cell r="B2335">
            <v>2334</v>
          </cell>
          <cell r="C2335" t="str">
            <v>CS01/13</v>
          </cell>
          <cell r="D2335" t="str">
            <v>SPHC P/O</v>
          </cell>
          <cell r="E2335" t="str">
            <v>CA1</v>
          </cell>
          <cell r="F2335">
            <v>4.5</v>
          </cell>
          <cell r="G2335">
            <v>124</v>
          </cell>
          <cell r="H2335" t="str">
            <v>C</v>
          </cell>
          <cell r="I2335" t="str">
            <v>A</v>
          </cell>
          <cell r="J2335" t="str">
            <v>PSP</v>
          </cell>
          <cell r="K2335">
            <v>1</v>
          </cell>
          <cell r="L2335">
            <v>444</v>
          </cell>
          <cell r="M2335">
            <v>60066834</v>
          </cell>
          <cell r="N2335">
            <v>38952</v>
          </cell>
          <cell r="O2335" t="str">
            <v>136710PCI044</v>
          </cell>
          <cell r="P2335" t="str">
            <v>SN6823N2S312101</v>
          </cell>
          <cell r="Q2335" t="str">
            <v>สภาพปกติ</v>
          </cell>
        </row>
        <row r="2336">
          <cell r="A2336">
            <v>60066841</v>
          </cell>
          <cell r="B2336">
            <v>2335</v>
          </cell>
          <cell r="C2336" t="str">
            <v>CS01/13</v>
          </cell>
          <cell r="D2336" t="str">
            <v>SPHC P/O</v>
          </cell>
          <cell r="E2336" t="str">
            <v>CA1</v>
          </cell>
          <cell r="F2336">
            <v>4.5</v>
          </cell>
          <cell r="G2336">
            <v>124</v>
          </cell>
          <cell r="H2336" t="str">
            <v>C</v>
          </cell>
          <cell r="I2336" t="str">
            <v>A</v>
          </cell>
          <cell r="J2336" t="str">
            <v>PSP</v>
          </cell>
          <cell r="K2336">
            <v>1</v>
          </cell>
          <cell r="L2336">
            <v>444</v>
          </cell>
          <cell r="M2336">
            <v>60066841</v>
          </cell>
          <cell r="N2336">
            <v>38952</v>
          </cell>
          <cell r="O2336" t="str">
            <v>136710PCI044</v>
          </cell>
          <cell r="P2336" t="str">
            <v>SN6823N2S312102</v>
          </cell>
          <cell r="Q2336" t="str">
            <v>สภาพปกติ</v>
          </cell>
        </row>
        <row r="2337">
          <cell r="A2337">
            <v>60058279</v>
          </cell>
          <cell r="B2337">
            <v>2336</v>
          </cell>
          <cell r="C2337" t="str">
            <v>CS01/7</v>
          </cell>
          <cell r="D2337" t="str">
            <v>SPCC-SD</v>
          </cell>
          <cell r="E2337" t="str">
            <v>AF1</v>
          </cell>
          <cell r="F2337">
            <v>0.6</v>
          </cell>
          <cell r="G2337">
            <v>83</v>
          </cell>
          <cell r="H2337" t="str">
            <v>C</v>
          </cell>
          <cell r="I2337" t="str">
            <v>A</v>
          </cell>
          <cell r="K2337">
            <v>1</v>
          </cell>
          <cell r="L2337">
            <v>199</v>
          </cell>
          <cell r="M2337">
            <v>60058279</v>
          </cell>
          <cell r="N2337">
            <v>38841</v>
          </cell>
          <cell r="P2337" t="str">
            <v>FN6504D1S979801</v>
          </cell>
          <cell r="Q2337" t="str">
            <v>สภาพปกติ</v>
          </cell>
        </row>
        <row r="2338">
          <cell r="A2338">
            <v>60058282</v>
          </cell>
          <cell r="B2338">
            <v>2337</v>
          </cell>
          <cell r="C2338" t="str">
            <v>CS01/7</v>
          </cell>
          <cell r="D2338" t="str">
            <v>SPCC-SD</v>
          </cell>
          <cell r="E2338" t="str">
            <v>AF1</v>
          </cell>
          <cell r="F2338">
            <v>0.6</v>
          </cell>
          <cell r="G2338">
            <v>83</v>
          </cell>
          <cell r="H2338" t="str">
            <v>C</v>
          </cell>
          <cell r="I2338" t="str">
            <v>A</v>
          </cell>
          <cell r="K2338">
            <v>1</v>
          </cell>
          <cell r="L2338">
            <v>436</v>
          </cell>
          <cell r="M2338">
            <v>60058282</v>
          </cell>
          <cell r="N2338">
            <v>38841</v>
          </cell>
          <cell r="P2338" t="str">
            <v>FN6504D1S979802</v>
          </cell>
          <cell r="Q2338" t="str">
            <v>สภาพปกติ</v>
          </cell>
        </row>
        <row r="2339">
          <cell r="A2339">
            <v>60061530</v>
          </cell>
          <cell r="B2339">
            <v>2338</v>
          </cell>
          <cell r="C2339" t="str">
            <v>CS01/7</v>
          </cell>
          <cell r="D2339" t="str">
            <v>SPCC-SD</v>
          </cell>
          <cell r="E2339" t="str">
            <v>AF1</v>
          </cell>
          <cell r="F2339">
            <v>0.7</v>
          </cell>
          <cell r="G2339">
            <v>105</v>
          </cell>
          <cell r="H2339" t="str">
            <v>C</v>
          </cell>
          <cell r="I2339" t="str">
            <v>A</v>
          </cell>
          <cell r="K2339">
            <v>1</v>
          </cell>
          <cell r="L2339">
            <v>178</v>
          </cell>
          <cell r="M2339">
            <v>60061530</v>
          </cell>
          <cell r="N2339">
            <v>38881</v>
          </cell>
          <cell r="P2339" t="str">
            <v>FN6613D1S098501</v>
          </cell>
          <cell r="Q2339" t="str">
            <v>สภาพปกติ</v>
          </cell>
        </row>
        <row r="2340">
          <cell r="A2340">
            <v>60061531</v>
          </cell>
          <cell r="B2340">
            <v>2339</v>
          </cell>
          <cell r="C2340" t="str">
            <v>CS01/7</v>
          </cell>
          <cell r="D2340" t="str">
            <v>SPCC-SD</v>
          </cell>
          <cell r="E2340" t="str">
            <v>AF1</v>
          </cell>
          <cell r="F2340">
            <v>0.7</v>
          </cell>
          <cell r="G2340">
            <v>105</v>
          </cell>
          <cell r="H2340" t="str">
            <v>C</v>
          </cell>
          <cell r="I2340" t="str">
            <v>A</v>
          </cell>
          <cell r="K2340">
            <v>1</v>
          </cell>
          <cell r="L2340">
            <v>178</v>
          </cell>
          <cell r="M2340">
            <v>60061531</v>
          </cell>
          <cell r="N2340">
            <v>38881</v>
          </cell>
          <cell r="P2340" t="str">
            <v>FN6613D1S098502</v>
          </cell>
          <cell r="Q2340" t="str">
            <v>สภาพปกติ</v>
          </cell>
        </row>
        <row r="2341">
          <cell r="A2341">
            <v>60065281</v>
          </cell>
          <cell r="B2341">
            <v>2340</v>
          </cell>
          <cell r="C2341" t="str">
            <v>CS01/7</v>
          </cell>
          <cell r="D2341" t="str">
            <v>SPCC-SD</v>
          </cell>
          <cell r="E2341" t="str">
            <v>AF1</v>
          </cell>
          <cell r="F2341">
            <v>1.4</v>
          </cell>
          <cell r="G2341">
            <v>80</v>
          </cell>
          <cell r="H2341" t="str">
            <v>C</v>
          </cell>
          <cell r="I2341" t="str">
            <v>A</v>
          </cell>
          <cell r="K2341">
            <v>1</v>
          </cell>
          <cell r="L2341">
            <v>169</v>
          </cell>
          <cell r="M2341">
            <v>60065281</v>
          </cell>
          <cell r="N2341">
            <v>38931</v>
          </cell>
          <cell r="P2341" t="str">
            <v>FN6802D1S262001</v>
          </cell>
          <cell r="Q2341" t="str">
            <v>สภาพปกติ</v>
          </cell>
        </row>
        <row r="2342">
          <cell r="A2342">
            <v>60065284</v>
          </cell>
          <cell r="B2342">
            <v>2341</v>
          </cell>
          <cell r="C2342" t="str">
            <v>CS01/7</v>
          </cell>
          <cell r="D2342" t="str">
            <v>SPCC-SD</v>
          </cell>
          <cell r="E2342" t="str">
            <v>AF1</v>
          </cell>
          <cell r="F2342">
            <v>1.4</v>
          </cell>
          <cell r="G2342">
            <v>80</v>
          </cell>
          <cell r="H2342" t="str">
            <v>C</v>
          </cell>
          <cell r="I2342" t="str">
            <v>A</v>
          </cell>
          <cell r="K2342">
            <v>1</v>
          </cell>
          <cell r="L2342">
            <v>169</v>
          </cell>
          <cell r="M2342">
            <v>60065284</v>
          </cell>
          <cell r="N2342">
            <v>38931</v>
          </cell>
          <cell r="P2342" t="str">
            <v>FN6802D1S262002</v>
          </cell>
          <cell r="Q2342" t="str">
            <v>สภาพปกติ</v>
          </cell>
        </row>
        <row r="2343">
          <cell r="A2343">
            <v>60065285</v>
          </cell>
          <cell r="B2343">
            <v>2342</v>
          </cell>
          <cell r="C2343" t="str">
            <v>CS01/7</v>
          </cell>
          <cell r="D2343" t="str">
            <v>SPCC-SD</v>
          </cell>
          <cell r="E2343" t="str">
            <v>AF1</v>
          </cell>
          <cell r="F2343">
            <v>1.4</v>
          </cell>
          <cell r="G2343">
            <v>80</v>
          </cell>
          <cell r="H2343" t="str">
            <v>C</v>
          </cell>
          <cell r="I2343" t="str">
            <v>A</v>
          </cell>
          <cell r="K2343">
            <v>1</v>
          </cell>
          <cell r="L2343">
            <v>169</v>
          </cell>
          <cell r="M2343">
            <v>60065285</v>
          </cell>
          <cell r="N2343">
            <v>38931</v>
          </cell>
          <cell r="P2343" t="str">
            <v>FN6802D1S262003</v>
          </cell>
          <cell r="Q2343" t="str">
            <v>สภาพปกติ</v>
          </cell>
        </row>
        <row r="2344">
          <cell r="A2344">
            <v>60065286</v>
          </cell>
          <cell r="B2344">
            <v>2343</v>
          </cell>
          <cell r="C2344" t="str">
            <v>CS01/7</v>
          </cell>
          <cell r="D2344" t="str">
            <v>SPCC-SD</v>
          </cell>
          <cell r="E2344" t="str">
            <v>AF1</v>
          </cell>
          <cell r="F2344">
            <v>1.4</v>
          </cell>
          <cell r="G2344">
            <v>80</v>
          </cell>
          <cell r="H2344" t="str">
            <v>C</v>
          </cell>
          <cell r="I2344" t="str">
            <v>A</v>
          </cell>
          <cell r="K2344">
            <v>1</v>
          </cell>
          <cell r="L2344">
            <v>169</v>
          </cell>
          <cell r="M2344">
            <v>60065286</v>
          </cell>
          <cell r="N2344">
            <v>38931</v>
          </cell>
          <cell r="P2344" t="str">
            <v>FN6802D1S262004</v>
          </cell>
          <cell r="Q2344" t="str">
            <v>สภาพปกติ</v>
          </cell>
        </row>
        <row r="2345">
          <cell r="A2345">
            <v>60059623</v>
          </cell>
          <cell r="B2345">
            <v>2344</v>
          </cell>
          <cell r="C2345" t="str">
            <v>CS01/7</v>
          </cell>
          <cell r="D2345" t="str">
            <v>SPCC-SD</v>
          </cell>
          <cell r="E2345" t="str">
            <v>AF1</v>
          </cell>
          <cell r="F2345">
            <v>1.6</v>
          </cell>
          <cell r="G2345">
            <v>77</v>
          </cell>
          <cell r="H2345" t="str">
            <v>C</v>
          </cell>
          <cell r="I2345" t="str">
            <v>A</v>
          </cell>
          <cell r="K2345">
            <v>1</v>
          </cell>
          <cell r="L2345">
            <v>118</v>
          </cell>
          <cell r="M2345">
            <v>60059623</v>
          </cell>
          <cell r="N2345">
            <v>38860</v>
          </cell>
          <cell r="P2345" t="str">
            <v>FN6523N2S028806</v>
          </cell>
          <cell r="Q2345" t="str">
            <v>สภาพปกติ</v>
          </cell>
        </row>
        <row r="2346">
          <cell r="A2346">
            <v>60059625</v>
          </cell>
          <cell r="B2346">
            <v>2345</v>
          </cell>
          <cell r="C2346" t="str">
            <v>CS01/7</v>
          </cell>
          <cell r="D2346" t="str">
            <v>SPCC-SD</v>
          </cell>
          <cell r="E2346" t="str">
            <v>AF1</v>
          </cell>
          <cell r="F2346">
            <v>1.6</v>
          </cell>
          <cell r="G2346">
            <v>77</v>
          </cell>
          <cell r="H2346" t="str">
            <v>C</v>
          </cell>
          <cell r="I2346" t="str">
            <v>A</v>
          </cell>
          <cell r="K2346">
            <v>1</v>
          </cell>
          <cell r="L2346">
            <v>116</v>
          </cell>
          <cell r="M2346">
            <v>60059625</v>
          </cell>
          <cell r="N2346">
            <v>38860</v>
          </cell>
          <cell r="P2346" t="str">
            <v>FN6523N2S028807</v>
          </cell>
          <cell r="Q2346" t="str">
            <v>สภาพปกติ</v>
          </cell>
        </row>
        <row r="2347">
          <cell r="A2347">
            <v>60066318</v>
          </cell>
          <cell r="B2347">
            <v>2346</v>
          </cell>
          <cell r="C2347" t="str">
            <v>CS01/7</v>
          </cell>
          <cell r="D2347" t="str">
            <v>SPCEN-SD</v>
          </cell>
          <cell r="E2347" t="str">
            <v>AF3</v>
          </cell>
          <cell r="F2347">
            <v>0.6</v>
          </cell>
          <cell r="G2347">
            <v>94</v>
          </cell>
          <cell r="H2347" t="str">
            <v>C</v>
          </cell>
          <cell r="I2347" t="str">
            <v>A</v>
          </cell>
          <cell r="K2347">
            <v>1</v>
          </cell>
          <cell r="L2347">
            <v>182</v>
          </cell>
          <cell r="M2347">
            <v>60066318</v>
          </cell>
          <cell r="N2347">
            <v>38946</v>
          </cell>
          <cell r="P2347" t="str">
            <v>FN6817N1S301501</v>
          </cell>
          <cell r="Q2347" t="str">
            <v>สภาพปกติ</v>
          </cell>
        </row>
        <row r="2348">
          <cell r="A2348">
            <v>60065826</v>
          </cell>
          <cell r="B2348">
            <v>2347</v>
          </cell>
          <cell r="C2348" t="str">
            <v>CS01/7</v>
          </cell>
          <cell r="D2348" t="str">
            <v>SPHC P/O</v>
          </cell>
          <cell r="E2348" t="str">
            <v>CA1</v>
          </cell>
          <cell r="F2348">
            <v>1.6</v>
          </cell>
          <cell r="G2348">
            <v>34.5</v>
          </cell>
          <cell r="H2348" t="str">
            <v>C</v>
          </cell>
          <cell r="I2348" t="str">
            <v>A</v>
          </cell>
          <cell r="K2348">
            <v>1</v>
          </cell>
          <cell r="L2348">
            <v>84</v>
          </cell>
          <cell r="M2348">
            <v>60065826</v>
          </cell>
          <cell r="N2348">
            <v>38938</v>
          </cell>
          <cell r="P2348" t="str">
            <v>FN6809N1S280903</v>
          </cell>
          <cell r="Q2348" t="str">
            <v>สภาพปกติ</v>
          </cell>
        </row>
        <row r="2349">
          <cell r="A2349">
            <v>60065827</v>
          </cell>
          <cell r="B2349">
            <v>2348</v>
          </cell>
          <cell r="C2349" t="str">
            <v>CS01/7</v>
          </cell>
          <cell r="D2349" t="str">
            <v>SPHC P/O</v>
          </cell>
          <cell r="E2349" t="str">
            <v>CA1</v>
          </cell>
          <cell r="F2349">
            <v>1.6</v>
          </cell>
          <cell r="G2349">
            <v>34.5</v>
          </cell>
          <cell r="H2349" t="str">
            <v>C</v>
          </cell>
          <cell r="I2349" t="str">
            <v>A</v>
          </cell>
          <cell r="K2349">
            <v>1</v>
          </cell>
          <cell r="L2349">
            <v>84</v>
          </cell>
          <cell r="M2349">
            <v>60065827</v>
          </cell>
          <cell r="N2349">
            <v>38938</v>
          </cell>
          <cell r="P2349" t="str">
            <v>FN6809N1S280904</v>
          </cell>
          <cell r="Q2349" t="str">
            <v>สภาพปกติ</v>
          </cell>
        </row>
        <row r="2350">
          <cell r="A2350">
            <v>60065828</v>
          </cell>
          <cell r="B2350">
            <v>2349</v>
          </cell>
          <cell r="C2350" t="str">
            <v>CS01/7</v>
          </cell>
          <cell r="D2350" t="str">
            <v>SPHC P/O</v>
          </cell>
          <cell r="E2350" t="str">
            <v>CA1</v>
          </cell>
          <cell r="F2350">
            <v>1.6</v>
          </cell>
          <cell r="G2350">
            <v>34.5</v>
          </cell>
          <cell r="H2350" t="str">
            <v>C</v>
          </cell>
          <cell r="I2350" t="str">
            <v>A</v>
          </cell>
          <cell r="K2350">
            <v>1</v>
          </cell>
          <cell r="L2350">
            <v>84</v>
          </cell>
          <cell r="M2350">
            <v>60065828</v>
          </cell>
          <cell r="N2350">
            <v>38938</v>
          </cell>
          <cell r="P2350" t="str">
            <v>FN6809N1S280905</v>
          </cell>
          <cell r="Q2350" t="str">
            <v>สภาพปกติ</v>
          </cell>
        </row>
        <row r="2351">
          <cell r="A2351">
            <v>60065829</v>
          </cell>
          <cell r="B2351">
            <v>2350</v>
          </cell>
          <cell r="C2351" t="str">
            <v>CS01/7</v>
          </cell>
          <cell r="D2351" t="str">
            <v>SPHC P/O</v>
          </cell>
          <cell r="E2351" t="str">
            <v>CA1</v>
          </cell>
          <cell r="F2351">
            <v>1.6</v>
          </cell>
          <cell r="G2351">
            <v>34.5</v>
          </cell>
          <cell r="H2351" t="str">
            <v>C</v>
          </cell>
          <cell r="I2351" t="str">
            <v>A</v>
          </cell>
          <cell r="K2351">
            <v>1</v>
          </cell>
          <cell r="L2351">
            <v>84</v>
          </cell>
          <cell r="M2351">
            <v>60065829</v>
          </cell>
          <cell r="N2351">
            <v>38938</v>
          </cell>
          <cell r="P2351" t="str">
            <v>FN6809N1S280906</v>
          </cell>
          <cell r="Q2351" t="str">
            <v>สภาพปกติ</v>
          </cell>
        </row>
        <row r="2352">
          <cell r="A2352">
            <v>60065830</v>
          </cell>
          <cell r="B2352">
            <v>2351</v>
          </cell>
          <cell r="C2352" t="str">
            <v>CS01/7</v>
          </cell>
          <cell r="D2352" t="str">
            <v>SPHC P/O</v>
          </cell>
          <cell r="E2352" t="str">
            <v>CA1</v>
          </cell>
          <cell r="F2352">
            <v>1.6</v>
          </cell>
          <cell r="G2352">
            <v>34.5</v>
          </cell>
          <cell r="H2352" t="str">
            <v>C</v>
          </cell>
          <cell r="I2352" t="str">
            <v>A</v>
          </cell>
          <cell r="K2352">
            <v>1</v>
          </cell>
          <cell r="L2352">
            <v>84</v>
          </cell>
          <cell r="M2352">
            <v>60065830</v>
          </cell>
          <cell r="N2352">
            <v>38938</v>
          </cell>
          <cell r="P2352" t="str">
            <v>FN6809N1S280907</v>
          </cell>
          <cell r="Q2352" t="str">
            <v>สภาพปกติ</v>
          </cell>
        </row>
        <row r="2353">
          <cell r="A2353">
            <v>60065831</v>
          </cell>
          <cell r="B2353">
            <v>2352</v>
          </cell>
          <cell r="C2353" t="str">
            <v>CS01/7</v>
          </cell>
          <cell r="D2353" t="str">
            <v>SPHC P/O</v>
          </cell>
          <cell r="E2353" t="str">
            <v>CA1</v>
          </cell>
          <cell r="F2353">
            <v>1.6</v>
          </cell>
          <cell r="G2353">
            <v>34.5</v>
          </cell>
          <cell r="H2353" t="str">
            <v>C</v>
          </cell>
          <cell r="I2353" t="str">
            <v>A</v>
          </cell>
          <cell r="K2353">
            <v>1</v>
          </cell>
          <cell r="L2353">
            <v>84</v>
          </cell>
          <cell r="M2353">
            <v>60065831</v>
          </cell>
          <cell r="N2353">
            <v>38938</v>
          </cell>
          <cell r="P2353" t="str">
            <v>FN6809N1S280908</v>
          </cell>
          <cell r="Q2353" t="str">
            <v>สภาพปกติ</v>
          </cell>
        </row>
        <row r="2354">
          <cell r="A2354">
            <v>50049352</v>
          </cell>
          <cell r="B2354">
            <v>2353</v>
          </cell>
          <cell r="C2354" t="str">
            <v>HW01/2</v>
          </cell>
          <cell r="D2354" t="str">
            <v>HR HR1</v>
          </cell>
          <cell r="E2354" t="str">
            <v>AA1</v>
          </cell>
          <cell r="F2354">
            <v>6</v>
          </cell>
          <cell r="G2354">
            <v>1524</v>
          </cell>
          <cell r="H2354">
            <v>6096</v>
          </cell>
          <cell r="I2354" t="str">
            <v>A</v>
          </cell>
          <cell r="L2354">
            <v>1776</v>
          </cell>
          <cell r="M2354">
            <v>50049352</v>
          </cell>
          <cell r="N2354">
            <v>38191</v>
          </cell>
          <cell r="P2354" t="str">
            <v>IN4723N4L197601</v>
          </cell>
        </row>
        <row r="2355">
          <cell r="A2355">
            <v>50053352</v>
          </cell>
          <cell r="B2355">
            <v>2354</v>
          </cell>
          <cell r="C2355" t="str">
            <v>HW01/2</v>
          </cell>
          <cell r="D2355" t="str">
            <v>HR SS400</v>
          </cell>
          <cell r="E2355" t="str">
            <v>AA4</v>
          </cell>
          <cell r="F2355">
            <v>4.5</v>
          </cell>
          <cell r="G2355">
            <v>1219</v>
          </cell>
          <cell r="H2355">
            <v>4030</v>
          </cell>
          <cell r="I2355" t="str">
            <v>A</v>
          </cell>
          <cell r="L2355">
            <v>175</v>
          </cell>
          <cell r="M2355">
            <v>50053352</v>
          </cell>
          <cell r="N2355">
            <v>38231</v>
          </cell>
          <cell r="P2355" t="str">
            <v>IN4901DZZ999901</v>
          </cell>
        </row>
        <row r="2356">
          <cell r="A2356">
            <v>50048449</v>
          </cell>
          <cell r="B2356">
            <v>2355</v>
          </cell>
          <cell r="C2356" t="str">
            <v>HW01/2</v>
          </cell>
          <cell r="D2356" t="str">
            <v>HR SS400</v>
          </cell>
          <cell r="E2356" t="str">
            <v>AA4</v>
          </cell>
          <cell r="F2356">
            <v>6</v>
          </cell>
          <cell r="G2356">
            <v>1524</v>
          </cell>
          <cell r="H2356">
            <v>6096</v>
          </cell>
          <cell r="I2356" t="str">
            <v>A</v>
          </cell>
          <cell r="L2356">
            <v>1750</v>
          </cell>
          <cell r="M2356">
            <v>50048449</v>
          </cell>
          <cell r="N2356">
            <v>38185</v>
          </cell>
          <cell r="P2356" t="str">
            <v>IN4717DZZ071601</v>
          </cell>
        </row>
        <row r="2357">
          <cell r="A2357">
            <v>50048558</v>
          </cell>
          <cell r="B2357">
            <v>2356</v>
          </cell>
          <cell r="C2357" t="str">
            <v>HW01/2</v>
          </cell>
          <cell r="D2357" t="str">
            <v>HR SS400</v>
          </cell>
          <cell r="E2357" t="str">
            <v>AA4</v>
          </cell>
          <cell r="F2357">
            <v>6</v>
          </cell>
          <cell r="G2357">
            <v>1524</v>
          </cell>
          <cell r="H2357">
            <v>6096</v>
          </cell>
          <cell r="I2357" t="str">
            <v>A</v>
          </cell>
          <cell r="L2357">
            <v>435</v>
          </cell>
          <cell r="M2357">
            <v>50048558</v>
          </cell>
          <cell r="N2357">
            <v>38185</v>
          </cell>
          <cell r="P2357" t="str">
            <v>IN4717DZZ071701</v>
          </cell>
        </row>
        <row r="2358">
          <cell r="A2358">
            <v>20040041</v>
          </cell>
          <cell r="B2358">
            <v>2357</v>
          </cell>
          <cell r="C2358" t="str">
            <v>HW01/1</v>
          </cell>
          <cell r="D2358" t="str">
            <v>HR HR1</v>
          </cell>
          <cell r="E2358" t="str">
            <v>AA1</v>
          </cell>
          <cell r="F2358">
            <v>2.8</v>
          </cell>
          <cell r="G2358">
            <v>1219</v>
          </cell>
          <cell r="H2358">
            <v>2438</v>
          </cell>
          <cell r="I2358" t="str">
            <v>A</v>
          </cell>
          <cell r="L2358">
            <v>259</v>
          </cell>
          <cell r="M2358">
            <v>20040041</v>
          </cell>
          <cell r="N2358">
            <v>38469</v>
          </cell>
          <cell r="P2358" t="str">
            <v>IN5427N4L899701</v>
          </cell>
        </row>
        <row r="2359">
          <cell r="A2359">
            <v>20045890</v>
          </cell>
          <cell r="B2359">
            <v>2358</v>
          </cell>
          <cell r="C2359" t="str">
            <v>HW01/1</v>
          </cell>
          <cell r="D2359" t="str">
            <v>HR HR1</v>
          </cell>
          <cell r="E2359" t="str">
            <v>AA1</v>
          </cell>
          <cell r="F2359">
            <v>2.8</v>
          </cell>
          <cell r="G2359">
            <v>1219</v>
          </cell>
          <cell r="H2359">
            <v>2438</v>
          </cell>
          <cell r="I2359" t="str">
            <v>A</v>
          </cell>
          <cell r="L2359">
            <v>195</v>
          </cell>
          <cell r="M2359">
            <v>20045890</v>
          </cell>
          <cell r="N2359" t="str">
            <v>24/B/2005</v>
          </cell>
          <cell r="P2359" t="str">
            <v>IN5B24D4L508501</v>
          </cell>
        </row>
        <row r="2360">
          <cell r="A2360">
            <v>20043923</v>
          </cell>
          <cell r="B2360">
            <v>2359</v>
          </cell>
          <cell r="C2360" t="str">
            <v>HW01/1</v>
          </cell>
          <cell r="D2360" t="str">
            <v>HR HR1</v>
          </cell>
          <cell r="E2360" t="str">
            <v>AA1</v>
          </cell>
          <cell r="F2360">
            <v>4</v>
          </cell>
          <cell r="G2360">
            <v>1219</v>
          </cell>
          <cell r="H2360">
            <v>2438</v>
          </cell>
          <cell r="I2360" t="str">
            <v>A</v>
          </cell>
          <cell r="L2360">
            <v>190</v>
          </cell>
          <cell r="M2360">
            <v>20043923</v>
          </cell>
          <cell r="N2360">
            <v>38606</v>
          </cell>
          <cell r="P2360" t="str">
            <v>IN5911D1RSSSS01</v>
          </cell>
        </row>
        <row r="2361">
          <cell r="A2361">
            <v>20045820</v>
          </cell>
          <cell r="B2361">
            <v>2360</v>
          </cell>
          <cell r="C2361" t="str">
            <v>HW01/1</v>
          </cell>
          <cell r="D2361" t="str">
            <v>HR HR1</v>
          </cell>
          <cell r="E2361" t="str">
            <v>AA1</v>
          </cell>
          <cell r="F2361">
            <v>4</v>
          </cell>
          <cell r="G2361">
            <v>1219</v>
          </cell>
          <cell r="H2361">
            <v>2438</v>
          </cell>
          <cell r="I2361" t="str">
            <v>A</v>
          </cell>
          <cell r="L2361">
            <v>1405</v>
          </cell>
          <cell r="M2361">
            <v>20045820</v>
          </cell>
          <cell r="N2361" t="str">
            <v>20/B/2005</v>
          </cell>
          <cell r="P2361" t="str">
            <v>IN5B20D4L495901</v>
          </cell>
        </row>
        <row r="2362">
          <cell r="A2362">
            <v>20019320</v>
          </cell>
          <cell r="B2362">
            <v>2361</v>
          </cell>
          <cell r="C2362" t="str">
            <v>HW01/1</v>
          </cell>
          <cell r="D2362" t="str">
            <v>HR HR1</v>
          </cell>
          <cell r="E2362" t="str">
            <v>AA1</v>
          </cell>
          <cell r="F2362">
            <v>4</v>
          </cell>
          <cell r="G2362">
            <v>1524</v>
          </cell>
          <cell r="H2362">
            <v>2438</v>
          </cell>
          <cell r="I2362" t="str">
            <v>A</v>
          </cell>
          <cell r="L2362">
            <v>2940</v>
          </cell>
          <cell r="M2362">
            <v>20019320</v>
          </cell>
          <cell r="N2362">
            <v>37992</v>
          </cell>
          <cell r="P2362" t="str">
            <v>IN4106D4L010601</v>
          </cell>
        </row>
        <row r="2363">
          <cell r="A2363">
            <v>20019321</v>
          </cell>
          <cell r="B2363">
            <v>2362</v>
          </cell>
          <cell r="C2363" t="str">
            <v>HW01/1</v>
          </cell>
          <cell r="D2363" t="str">
            <v>HR HR1</v>
          </cell>
          <cell r="E2363" t="str">
            <v>AA1</v>
          </cell>
          <cell r="F2363">
            <v>4</v>
          </cell>
          <cell r="G2363">
            <v>1524</v>
          </cell>
          <cell r="H2363">
            <v>2438</v>
          </cell>
          <cell r="I2363" t="str">
            <v>A</v>
          </cell>
          <cell r="L2363">
            <v>2935</v>
          </cell>
          <cell r="M2363">
            <v>20019321</v>
          </cell>
          <cell r="N2363">
            <v>37992</v>
          </cell>
          <cell r="P2363" t="str">
            <v>IN4106D4L010602</v>
          </cell>
        </row>
        <row r="2364">
          <cell r="A2364">
            <v>20019322</v>
          </cell>
          <cell r="B2364">
            <v>2363</v>
          </cell>
          <cell r="C2364" t="str">
            <v>HW01/1</v>
          </cell>
          <cell r="D2364" t="str">
            <v>HR HR1</v>
          </cell>
          <cell r="E2364" t="str">
            <v>AA1</v>
          </cell>
          <cell r="F2364">
            <v>4</v>
          </cell>
          <cell r="G2364">
            <v>1524</v>
          </cell>
          <cell r="H2364">
            <v>2438</v>
          </cell>
          <cell r="I2364" t="str">
            <v>A</v>
          </cell>
          <cell r="L2364">
            <v>2940</v>
          </cell>
          <cell r="M2364">
            <v>20019322</v>
          </cell>
          <cell r="N2364">
            <v>37992</v>
          </cell>
          <cell r="P2364" t="str">
            <v>IN4106D4L010603</v>
          </cell>
        </row>
        <row r="2365">
          <cell r="A2365">
            <v>20019341</v>
          </cell>
          <cell r="B2365">
            <v>2364</v>
          </cell>
          <cell r="C2365" t="str">
            <v>HW01/1</v>
          </cell>
          <cell r="D2365" t="str">
            <v>HR HR1</v>
          </cell>
          <cell r="E2365" t="str">
            <v>AA1</v>
          </cell>
          <cell r="F2365">
            <v>4</v>
          </cell>
          <cell r="G2365">
            <v>1524</v>
          </cell>
          <cell r="H2365">
            <v>2438</v>
          </cell>
          <cell r="I2365" t="str">
            <v>A</v>
          </cell>
          <cell r="L2365">
            <v>2930</v>
          </cell>
          <cell r="M2365">
            <v>20019341</v>
          </cell>
          <cell r="N2365">
            <v>37993</v>
          </cell>
          <cell r="P2365" t="str">
            <v>IN4107D4L010701</v>
          </cell>
        </row>
        <row r="2366">
          <cell r="A2366">
            <v>20019355</v>
          </cell>
          <cell r="B2366">
            <v>2365</v>
          </cell>
          <cell r="C2366" t="str">
            <v>HW01/1</v>
          </cell>
          <cell r="D2366" t="str">
            <v>HR HR1</v>
          </cell>
          <cell r="E2366" t="str">
            <v>AA1</v>
          </cell>
          <cell r="F2366">
            <v>4</v>
          </cell>
          <cell r="G2366">
            <v>1524</v>
          </cell>
          <cell r="H2366">
            <v>2438</v>
          </cell>
          <cell r="I2366" t="str">
            <v>A</v>
          </cell>
          <cell r="L2366">
            <v>2940</v>
          </cell>
          <cell r="M2366">
            <v>20019355</v>
          </cell>
          <cell r="N2366">
            <v>37993</v>
          </cell>
          <cell r="P2366" t="str">
            <v>IN4107D4L010702</v>
          </cell>
        </row>
        <row r="2367">
          <cell r="A2367">
            <v>20033900</v>
          </cell>
          <cell r="B2367">
            <v>2366</v>
          </cell>
          <cell r="C2367" t="str">
            <v>HW01/1</v>
          </cell>
          <cell r="D2367" t="str">
            <v>HR HR1</v>
          </cell>
          <cell r="E2367" t="str">
            <v>AA1</v>
          </cell>
          <cell r="F2367">
            <v>4</v>
          </cell>
          <cell r="G2367">
            <v>1524</v>
          </cell>
          <cell r="H2367">
            <v>2438</v>
          </cell>
          <cell r="I2367" t="str">
            <v>A</v>
          </cell>
          <cell r="L2367">
            <v>2197</v>
          </cell>
          <cell r="M2367">
            <v>20033900</v>
          </cell>
          <cell r="N2367">
            <v>38507</v>
          </cell>
          <cell r="P2367" t="str">
            <v>IN5604D1RSSSS01</v>
          </cell>
        </row>
        <row r="2368">
          <cell r="A2368">
            <v>20033901</v>
          </cell>
          <cell r="B2368">
            <v>2367</v>
          </cell>
          <cell r="C2368" t="str">
            <v>HW01/1</v>
          </cell>
          <cell r="D2368" t="str">
            <v>HR HR1</v>
          </cell>
          <cell r="E2368" t="str">
            <v>AA1</v>
          </cell>
          <cell r="F2368">
            <v>4</v>
          </cell>
          <cell r="G2368">
            <v>1524</v>
          </cell>
          <cell r="H2368">
            <v>2438</v>
          </cell>
          <cell r="I2368" t="str">
            <v>A</v>
          </cell>
          <cell r="L2368">
            <v>2935</v>
          </cell>
          <cell r="M2368">
            <v>20033901</v>
          </cell>
          <cell r="N2368">
            <v>38507</v>
          </cell>
          <cell r="P2368" t="str">
            <v>IN5604D1RSSSS02</v>
          </cell>
        </row>
        <row r="2369">
          <cell r="A2369">
            <v>20033903</v>
          </cell>
          <cell r="B2369">
            <v>2368</v>
          </cell>
          <cell r="C2369" t="str">
            <v>HW01/1</v>
          </cell>
          <cell r="D2369" t="str">
            <v>HR HR1</v>
          </cell>
          <cell r="E2369" t="str">
            <v>AA1</v>
          </cell>
          <cell r="F2369">
            <v>4</v>
          </cell>
          <cell r="G2369">
            <v>1524</v>
          </cell>
          <cell r="H2369">
            <v>2438</v>
          </cell>
          <cell r="I2369" t="str">
            <v>A</v>
          </cell>
          <cell r="L2369">
            <v>3265</v>
          </cell>
          <cell r="M2369">
            <v>20033903</v>
          </cell>
          <cell r="N2369">
            <v>38507</v>
          </cell>
          <cell r="P2369" t="str">
            <v>IN5604D1RSSSS03</v>
          </cell>
        </row>
        <row r="2370">
          <cell r="A2370">
            <v>20033904</v>
          </cell>
          <cell r="B2370">
            <v>2369</v>
          </cell>
          <cell r="C2370" t="str">
            <v>HW01/1</v>
          </cell>
          <cell r="D2370" t="str">
            <v>HR HR1</v>
          </cell>
          <cell r="E2370" t="str">
            <v>AA1</v>
          </cell>
          <cell r="F2370">
            <v>4</v>
          </cell>
          <cell r="G2370">
            <v>1524</v>
          </cell>
          <cell r="H2370">
            <v>2438</v>
          </cell>
          <cell r="I2370" t="str">
            <v>A</v>
          </cell>
          <cell r="L2370">
            <v>3695</v>
          </cell>
          <cell r="M2370">
            <v>20033904</v>
          </cell>
          <cell r="N2370">
            <v>38507</v>
          </cell>
          <cell r="P2370" t="str">
            <v>IN5604D1RSSSS04</v>
          </cell>
        </row>
        <row r="2371">
          <cell r="A2371">
            <v>20033905</v>
          </cell>
          <cell r="B2371">
            <v>2370</v>
          </cell>
          <cell r="C2371" t="str">
            <v>HW01/1</v>
          </cell>
          <cell r="D2371" t="str">
            <v>HR HR1</v>
          </cell>
          <cell r="E2371" t="str">
            <v>AA1</v>
          </cell>
          <cell r="F2371">
            <v>4</v>
          </cell>
          <cell r="G2371">
            <v>1524</v>
          </cell>
          <cell r="H2371">
            <v>2438</v>
          </cell>
          <cell r="I2371" t="str">
            <v>A</v>
          </cell>
          <cell r="L2371">
            <v>2915</v>
          </cell>
          <cell r="M2371">
            <v>20033905</v>
          </cell>
          <cell r="N2371">
            <v>38507</v>
          </cell>
          <cell r="P2371" t="str">
            <v>IN5604D1RSSSS05</v>
          </cell>
        </row>
        <row r="2372">
          <cell r="A2372">
            <v>20033906</v>
          </cell>
          <cell r="B2372">
            <v>2371</v>
          </cell>
          <cell r="C2372" t="str">
            <v>HW01/1</v>
          </cell>
          <cell r="D2372" t="str">
            <v>HR HR1</v>
          </cell>
          <cell r="E2372" t="str">
            <v>AA1</v>
          </cell>
          <cell r="F2372">
            <v>4</v>
          </cell>
          <cell r="G2372">
            <v>1524</v>
          </cell>
          <cell r="H2372">
            <v>2438</v>
          </cell>
          <cell r="I2372" t="str">
            <v>A</v>
          </cell>
          <cell r="L2372">
            <v>2960</v>
          </cell>
          <cell r="M2372">
            <v>20033906</v>
          </cell>
          <cell r="N2372">
            <v>38507</v>
          </cell>
          <cell r="P2372" t="str">
            <v>IN5604D1RSSSS06</v>
          </cell>
        </row>
        <row r="2373">
          <cell r="A2373">
            <v>20033907</v>
          </cell>
          <cell r="B2373">
            <v>2372</v>
          </cell>
          <cell r="C2373" t="str">
            <v>HW01/1</v>
          </cell>
          <cell r="D2373" t="str">
            <v>HR HR1</v>
          </cell>
          <cell r="E2373" t="str">
            <v>AA1</v>
          </cell>
          <cell r="F2373">
            <v>4</v>
          </cell>
          <cell r="G2373">
            <v>1524</v>
          </cell>
          <cell r="H2373">
            <v>2438</v>
          </cell>
          <cell r="I2373" t="str">
            <v>A</v>
          </cell>
          <cell r="L2373">
            <v>3046</v>
          </cell>
          <cell r="M2373">
            <v>20033907</v>
          </cell>
          <cell r="N2373">
            <v>38507</v>
          </cell>
          <cell r="P2373" t="str">
            <v>IN5604D1RSSSS07</v>
          </cell>
        </row>
        <row r="2374">
          <cell r="A2374">
            <v>20033908</v>
          </cell>
          <cell r="B2374">
            <v>2373</v>
          </cell>
          <cell r="C2374" t="str">
            <v>HW01/1</v>
          </cell>
          <cell r="D2374" t="str">
            <v>HR HR1</v>
          </cell>
          <cell r="E2374" t="str">
            <v>AA1</v>
          </cell>
          <cell r="F2374">
            <v>4</v>
          </cell>
          <cell r="G2374">
            <v>1524</v>
          </cell>
          <cell r="H2374">
            <v>2438</v>
          </cell>
          <cell r="I2374" t="str">
            <v>A</v>
          </cell>
          <cell r="L2374">
            <v>2955</v>
          </cell>
          <cell r="M2374">
            <v>20033908</v>
          </cell>
          <cell r="N2374">
            <v>38507</v>
          </cell>
          <cell r="P2374" t="str">
            <v>IN5604D1RSSSS08</v>
          </cell>
        </row>
        <row r="2375">
          <cell r="A2375">
            <v>20036555</v>
          </cell>
          <cell r="B2375">
            <v>2374</v>
          </cell>
          <cell r="C2375" t="str">
            <v>HW01/1</v>
          </cell>
          <cell r="D2375" t="str">
            <v>HR HR1</v>
          </cell>
          <cell r="E2375" t="str">
            <v>AA1</v>
          </cell>
          <cell r="F2375">
            <v>4</v>
          </cell>
          <cell r="G2375">
            <v>1524</v>
          </cell>
          <cell r="H2375">
            <v>2438</v>
          </cell>
          <cell r="I2375" t="str">
            <v>A</v>
          </cell>
          <cell r="L2375">
            <v>3539</v>
          </cell>
          <cell r="M2375">
            <v>20036555</v>
          </cell>
          <cell r="N2375">
            <v>38507</v>
          </cell>
          <cell r="P2375" t="str">
            <v>IN5604D1RSSSS09</v>
          </cell>
        </row>
        <row r="2376">
          <cell r="A2376">
            <v>20049080</v>
          </cell>
          <cell r="B2376">
            <v>2375</v>
          </cell>
          <cell r="C2376" t="str">
            <v>HW01/1</v>
          </cell>
          <cell r="D2376" t="str">
            <v>HR HR1</v>
          </cell>
          <cell r="E2376" t="str">
            <v>AA1</v>
          </cell>
          <cell r="F2376">
            <v>5</v>
          </cell>
          <cell r="G2376">
            <v>1219</v>
          </cell>
          <cell r="H2376">
            <v>1460</v>
          </cell>
          <cell r="I2376" t="str">
            <v>A</v>
          </cell>
          <cell r="L2376">
            <v>279</v>
          </cell>
          <cell r="M2376">
            <v>20049080</v>
          </cell>
          <cell r="N2376">
            <v>38802</v>
          </cell>
          <cell r="P2376" t="str">
            <v>IN6326D3D885201</v>
          </cell>
        </row>
        <row r="2377">
          <cell r="A2377">
            <v>20022159</v>
          </cell>
          <cell r="B2377">
            <v>2376</v>
          </cell>
          <cell r="C2377" t="str">
            <v>HW01/1</v>
          </cell>
          <cell r="D2377" t="str">
            <v>HR HR1</v>
          </cell>
          <cell r="E2377" t="str">
            <v>AA1</v>
          </cell>
          <cell r="F2377">
            <v>6</v>
          </cell>
          <cell r="G2377">
            <v>1219</v>
          </cell>
          <cell r="H2377">
            <v>2458</v>
          </cell>
          <cell r="I2377" t="str">
            <v>A</v>
          </cell>
          <cell r="L2377">
            <v>850</v>
          </cell>
          <cell r="M2377">
            <v>20022159</v>
          </cell>
          <cell r="N2377">
            <v>38035</v>
          </cell>
          <cell r="P2377" t="str">
            <v>IN4218D4L021801</v>
          </cell>
        </row>
        <row r="2378">
          <cell r="A2378">
            <v>20043345</v>
          </cell>
          <cell r="B2378">
            <v>2377</v>
          </cell>
          <cell r="C2378" t="str">
            <v>HW01/1</v>
          </cell>
          <cell r="D2378" t="str">
            <v>HR HR1</v>
          </cell>
          <cell r="E2378" t="str">
            <v>AA1</v>
          </cell>
          <cell r="F2378">
            <v>8</v>
          </cell>
          <cell r="G2378">
            <v>1219</v>
          </cell>
          <cell r="H2378">
            <v>2438</v>
          </cell>
          <cell r="I2378" t="str">
            <v>A</v>
          </cell>
          <cell r="L2378">
            <v>2474</v>
          </cell>
          <cell r="M2378">
            <v>20043345</v>
          </cell>
          <cell r="N2378">
            <v>38580</v>
          </cell>
          <cell r="P2378" t="str">
            <v>IN5816D1RSSSS01</v>
          </cell>
        </row>
        <row r="2379">
          <cell r="A2379">
            <v>20002783</v>
          </cell>
          <cell r="B2379">
            <v>2378</v>
          </cell>
          <cell r="C2379" t="str">
            <v>HW01/1</v>
          </cell>
          <cell r="D2379" t="str">
            <v>HR HR1</v>
          </cell>
          <cell r="E2379" t="str">
            <v>AA1</v>
          </cell>
          <cell r="F2379">
            <v>8</v>
          </cell>
          <cell r="G2379">
            <v>1524</v>
          </cell>
          <cell r="H2379">
            <v>3048</v>
          </cell>
          <cell r="I2379" t="str">
            <v>A</v>
          </cell>
          <cell r="L2379">
            <v>3520</v>
          </cell>
          <cell r="M2379">
            <v>20002783</v>
          </cell>
          <cell r="N2379">
            <v>38505</v>
          </cell>
          <cell r="P2379" t="str">
            <v>IN5602DZZ030401</v>
          </cell>
        </row>
        <row r="2380">
          <cell r="A2380">
            <v>20003779</v>
          </cell>
          <cell r="B2380">
            <v>2379</v>
          </cell>
          <cell r="C2380" t="str">
            <v>HW01/1</v>
          </cell>
          <cell r="D2380" t="str">
            <v>HR HR1</v>
          </cell>
          <cell r="E2380" t="str">
            <v>AA1</v>
          </cell>
          <cell r="F2380">
            <v>8</v>
          </cell>
          <cell r="G2380">
            <v>1524</v>
          </cell>
          <cell r="H2380">
            <v>3048</v>
          </cell>
          <cell r="I2380" t="str">
            <v>A</v>
          </cell>
          <cell r="L2380">
            <v>3820</v>
          </cell>
          <cell r="M2380">
            <v>20003779</v>
          </cell>
          <cell r="N2380">
            <v>38505</v>
          </cell>
          <cell r="P2380" t="str">
            <v>IN5602DZZ032001</v>
          </cell>
        </row>
        <row r="2381">
          <cell r="A2381">
            <v>20033413</v>
          </cell>
          <cell r="B2381">
            <v>2380</v>
          </cell>
          <cell r="C2381" t="str">
            <v>HW01/1</v>
          </cell>
          <cell r="D2381" t="str">
            <v>HR HR1</v>
          </cell>
          <cell r="E2381" t="str">
            <v>AA1</v>
          </cell>
          <cell r="F2381">
            <v>8</v>
          </cell>
          <cell r="G2381">
            <v>1524</v>
          </cell>
          <cell r="H2381">
            <v>3048</v>
          </cell>
          <cell r="I2381" t="str">
            <v>A</v>
          </cell>
          <cell r="L2381">
            <v>3253</v>
          </cell>
          <cell r="M2381">
            <v>20033413</v>
          </cell>
          <cell r="N2381">
            <v>38505</v>
          </cell>
          <cell r="P2381" t="str">
            <v>IN5602D1RAAAA01</v>
          </cell>
        </row>
        <row r="2382">
          <cell r="A2382">
            <v>20033415</v>
          </cell>
          <cell r="B2382">
            <v>2381</v>
          </cell>
          <cell r="C2382" t="str">
            <v>HW01/1</v>
          </cell>
          <cell r="D2382" t="str">
            <v>HR HR1</v>
          </cell>
          <cell r="E2382" t="str">
            <v>AA1</v>
          </cell>
          <cell r="F2382">
            <v>8</v>
          </cell>
          <cell r="G2382">
            <v>1524</v>
          </cell>
          <cell r="H2382">
            <v>3048</v>
          </cell>
          <cell r="I2382" t="str">
            <v>A</v>
          </cell>
          <cell r="L2382">
            <v>3245</v>
          </cell>
          <cell r="M2382">
            <v>20033415</v>
          </cell>
          <cell r="N2382">
            <v>38505</v>
          </cell>
          <cell r="P2382" t="str">
            <v>IN5602D1RAAAA02</v>
          </cell>
        </row>
        <row r="2383">
          <cell r="A2383">
            <v>20030824</v>
          </cell>
          <cell r="B2383">
            <v>2382</v>
          </cell>
          <cell r="C2383" t="str">
            <v>HW01/1</v>
          </cell>
          <cell r="D2383" t="str">
            <v>HR SS400</v>
          </cell>
          <cell r="E2383" t="str">
            <v>AA4</v>
          </cell>
          <cell r="F2383">
            <v>2.2999999999999998</v>
          </cell>
          <cell r="G2383">
            <v>1219</v>
          </cell>
          <cell r="H2383">
            <v>2438</v>
          </cell>
          <cell r="I2383" t="str">
            <v>A</v>
          </cell>
          <cell r="L2383">
            <v>2692</v>
          </cell>
          <cell r="M2383">
            <v>20030824</v>
          </cell>
          <cell r="N2383">
            <v>38253</v>
          </cell>
          <cell r="P2383" t="str">
            <v>IN4923D6L342301</v>
          </cell>
        </row>
        <row r="2384">
          <cell r="A2384">
            <v>20032923</v>
          </cell>
          <cell r="B2384">
            <v>2383</v>
          </cell>
          <cell r="C2384" t="str">
            <v>HW01/1</v>
          </cell>
          <cell r="D2384" t="str">
            <v>HR SS400</v>
          </cell>
          <cell r="E2384" t="str">
            <v>AA4</v>
          </cell>
          <cell r="F2384">
            <v>2.2999999999999998</v>
          </cell>
          <cell r="G2384">
            <v>1219</v>
          </cell>
          <cell r="H2384">
            <v>2438</v>
          </cell>
          <cell r="I2384" t="str">
            <v>A</v>
          </cell>
          <cell r="L2384">
            <v>1030</v>
          </cell>
          <cell r="M2384">
            <v>20032923</v>
          </cell>
          <cell r="N2384" t="str">
            <v>10/B/2004</v>
          </cell>
          <cell r="P2384" t="str">
            <v>IN4B10D6L361301</v>
          </cell>
        </row>
        <row r="2385">
          <cell r="A2385">
            <v>20033628</v>
          </cell>
          <cell r="B2385">
            <v>2384</v>
          </cell>
          <cell r="C2385" t="str">
            <v>HW01/1</v>
          </cell>
          <cell r="D2385" t="str">
            <v>HR SS400</v>
          </cell>
          <cell r="E2385" t="str">
            <v>AA4</v>
          </cell>
          <cell r="F2385">
            <v>2.2999999999999998</v>
          </cell>
          <cell r="G2385">
            <v>1219</v>
          </cell>
          <cell r="H2385">
            <v>2438</v>
          </cell>
          <cell r="I2385" t="str">
            <v>A</v>
          </cell>
          <cell r="L2385">
            <v>1396</v>
          </cell>
          <cell r="M2385">
            <v>20033628</v>
          </cell>
          <cell r="N2385" t="str">
            <v>29/B/2004</v>
          </cell>
          <cell r="P2385" t="str">
            <v>IN4B29D1RSSSS01</v>
          </cell>
        </row>
        <row r="2386">
          <cell r="A2386">
            <v>20041460</v>
          </cell>
          <cell r="B2386">
            <v>2385</v>
          </cell>
          <cell r="C2386" t="str">
            <v>HW01/1</v>
          </cell>
          <cell r="D2386" t="str">
            <v>HR SS400</v>
          </cell>
          <cell r="E2386" t="str">
            <v>AA4</v>
          </cell>
          <cell r="F2386">
            <v>2.2999999999999998</v>
          </cell>
          <cell r="G2386">
            <v>1219</v>
          </cell>
          <cell r="H2386">
            <v>2438</v>
          </cell>
          <cell r="I2386" t="str">
            <v>A</v>
          </cell>
          <cell r="L2386">
            <v>107</v>
          </cell>
          <cell r="M2386">
            <v>20041460</v>
          </cell>
          <cell r="N2386">
            <v>38506</v>
          </cell>
          <cell r="P2386" t="str">
            <v>IN5603D4L0272001</v>
          </cell>
        </row>
        <row r="2387">
          <cell r="A2387">
            <v>20033734</v>
          </cell>
          <cell r="B2387">
            <v>2386</v>
          </cell>
          <cell r="C2387" t="str">
            <v>HW01/1</v>
          </cell>
          <cell r="D2387" t="str">
            <v>HR SS400</v>
          </cell>
          <cell r="E2387" t="str">
            <v>AA4</v>
          </cell>
          <cell r="F2387">
            <v>2.5</v>
          </cell>
          <cell r="G2387">
            <v>1219</v>
          </cell>
          <cell r="H2387">
            <v>2438</v>
          </cell>
          <cell r="I2387" t="str">
            <v>A</v>
          </cell>
          <cell r="L2387">
            <v>1533</v>
          </cell>
          <cell r="M2387">
            <v>20033734</v>
          </cell>
          <cell r="N2387" t="str">
            <v>1/C/2004</v>
          </cell>
          <cell r="P2387" t="str">
            <v>IN4C01D1RSSSS01</v>
          </cell>
        </row>
        <row r="2388">
          <cell r="A2388">
            <v>20045283</v>
          </cell>
          <cell r="B2388">
            <v>2387</v>
          </cell>
          <cell r="C2388" t="str">
            <v>HW01/1</v>
          </cell>
          <cell r="D2388" t="str">
            <v>HR SS400</v>
          </cell>
          <cell r="E2388" t="str">
            <v>AA4</v>
          </cell>
          <cell r="F2388">
            <v>2.5</v>
          </cell>
          <cell r="G2388">
            <v>1219</v>
          </cell>
          <cell r="H2388">
            <v>2438</v>
          </cell>
          <cell r="I2388" t="str">
            <v>A</v>
          </cell>
          <cell r="L2388">
            <v>1334</v>
          </cell>
          <cell r="M2388">
            <v>20045283</v>
          </cell>
          <cell r="N2388" t="str">
            <v>3/B/2004</v>
          </cell>
          <cell r="P2388" t="str">
            <v>IN4B03D1RSSSS01</v>
          </cell>
        </row>
        <row r="2389">
          <cell r="A2389">
            <v>20034949</v>
          </cell>
          <cell r="B2389">
            <v>2388</v>
          </cell>
          <cell r="C2389" t="str">
            <v>HW01/1</v>
          </cell>
          <cell r="D2389" t="str">
            <v>HR SS400</v>
          </cell>
          <cell r="E2389" t="str">
            <v>AA4</v>
          </cell>
          <cell r="F2389">
            <v>3</v>
          </cell>
          <cell r="G2389">
            <v>1219</v>
          </cell>
          <cell r="H2389">
            <v>2438</v>
          </cell>
          <cell r="I2389" t="str">
            <v>A</v>
          </cell>
          <cell r="L2389">
            <v>70</v>
          </cell>
          <cell r="M2389">
            <v>20034949</v>
          </cell>
          <cell r="N2389">
            <v>38364</v>
          </cell>
          <cell r="P2389" t="str">
            <v>IN5112D6L630801</v>
          </cell>
        </row>
        <row r="2390">
          <cell r="A2390">
            <v>20042143</v>
          </cell>
          <cell r="B2390">
            <v>2389</v>
          </cell>
          <cell r="C2390" t="str">
            <v>HW01/1</v>
          </cell>
          <cell r="D2390" t="str">
            <v>HR SS400</v>
          </cell>
          <cell r="E2390" t="str">
            <v>AA4</v>
          </cell>
          <cell r="F2390">
            <v>4.5</v>
          </cell>
          <cell r="G2390">
            <v>968</v>
          </cell>
          <cell r="H2390">
            <v>1219</v>
          </cell>
          <cell r="I2390" t="str">
            <v>A</v>
          </cell>
          <cell r="L2390">
            <v>628</v>
          </cell>
          <cell r="M2390">
            <v>20042143</v>
          </cell>
          <cell r="N2390">
            <v>38534</v>
          </cell>
          <cell r="P2390" t="str">
            <v>IN5701D1RSSSS01</v>
          </cell>
        </row>
        <row r="2391">
          <cell r="A2391">
            <v>20033630</v>
          </cell>
          <cell r="B2391">
            <v>2390</v>
          </cell>
          <cell r="C2391" t="str">
            <v>HW01/1</v>
          </cell>
          <cell r="D2391" t="str">
            <v>HR SS400</v>
          </cell>
          <cell r="E2391" t="str">
            <v>AA4</v>
          </cell>
          <cell r="F2391">
            <v>7</v>
          </cell>
          <cell r="G2391">
            <v>1219</v>
          </cell>
          <cell r="H2391">
            <v>2438</v>
          </cell>
          <cell r="I2391" t="str">
            <v>A</v>
          </cell>
          <cell r="L2391">
            <v>2506</v>
          </cell>
          <cell r="M2391">
            <v>20033630</v>
          </cell>
          <cell r="N2391" t="str">
            <v>29/B/2004</v>
          </cell>
          <cell r="P2391" t="str">
            <v>IN4B29D1RSSSS01</v>
          </cell>
        </row>
        <row r="2392">
          <cell r="A2392">
            <v>20033631</v>
          </cell>
          <cell r="B2392">
            <v>2391</v>
          </cell>
          <cell r="C2392" t="str">
            <v>HW01/1</v>
          </cell>
          <cell r="D2392" t="str">
            <v>HR SS400</v>
          </cell>
          <cell r="E2392" t="str">
            <v>AA4</v>
          </cell>
          <cell r="F2392">
            <v>7</v>
          </cell>
          <cell r="G2392">
            <v>1219</v>
          </cell>
          <cell r="H2392">
            <v>2438</v>
          </cell>
          <cell r="I2392" t="str">
            <v>A</v>
          </cell>
          <cell r="L2392">
            <v>482</v>
          </cell>
          <cell r="M2392">
            <v>20033631</v>
          </cell>
          <cell r="N2392" t="str">
            <v>29/B/2004</v>
          </cell>
          <cell r="P2392" t="str">
            <v>IN4B29D1RSSSS02</v>
          </cell>
        </row>
        <row r="2393">
          <cell r="A2393">
            <v>20033633</v>
          </cell>
          <cell r="B2393">
            <v>2392</v>
          </cell>
          <cell r="C2393" t="str">
            <v>HW01/1</v>
          </cell>
          <cell r="D2393" t="str">
            <v>HR SS400</v>
          </cell>
          <cell r="E2393" t="str">
            <v>AA4</v>
          </cell>
          <cell r="F2393">
            <v>7</v>
          </cell>
          <cell r="G2393">
            <v>1219</v>
          </cell>
          <cell r="H2393">
            <v>2438</v>
          </cell>
          <cell r="I2393" t="str">
            <v>A</v>
          </cell>
          <cell r="L2393">
            <v>1313</v>
          </cell>
          <cell r="M2393">
            <v>20033633</v>
          </cell>
          <cell r="N2393" t="str">
            <v>29/B/2004</v>
          </cell>
          <cell r="P2393" t="str">
            <v>IN4B29D1RSSSS03</v>
          </cell>
        </row>
        <row r="2394">
          <cell r="A2394">
            <v>20035848</v>
          </cell>
          <cell r="B2394">
            <v>2393</v>
          </cell>
          <cell r="C2394" t="str">
            <v>HW01/1</v>
          </cell>
          <cell r="D2394" t="str">
            <v>HR SS400</v>
          </cell>
          <cell r="E2394" t="str">
            <v>AA4</v>
          </cell>
          <cell r="F2394">
            <v>7</v>
          </cell>
          <cell r="G2394">
            <v>1219</v>
          </cell>
          <cell r="H2394">
            <v>2438</v>
          </cell>
          <cell r="I2394" t="str">
            <v>A</v>
          </cell>
          <cell r="L2394">
            <v>2318</v>
          </cell>
          <cell r="M2394">
            <v>20035848</v>
          </cell>
          <cell r="N2394">
            <v>38383</v>
          </cell>
          <cell r="P2394" t="str">
            <v>IN5131D1RSSSS01</v>
          </cell>
        </row>
        <row r="2395">
          <cell r="A2395">
            <v>20036560</v>
          </cell>
          <cell r="B2395">
            <v>2394</v>
          </cell>
          <cell r="C2395" t="str">
            <v>HW01/1</v>
          </cell>
          <cell r="D2395" t="str">
            <v>HR SS400</v>
          </cell>
          <cell r="E2395" t="str">
            <v>AA4</v>
          </cell>
          <cell r="F2395">
            <v>7</v>
          </cell>
          <cell r="G2395">
            <v>1219</v>
          </cell>
          <cell r="H2395">
            <v>2438</v>
          </cell>
          <cell r="I2395" t="str">
            <v>A</v>
          </cell>
          <cell r="L2395">
            <v>1812</v>
          </cell>
          <cell r="M2395">
            <v>20036560</v>
          </cell>
          <cell r="N2395">
            <v>38395</v>
          </cell>
          <cell r="P2395" t="str">
            <v>IN5212D1RSSSS01</v>
          </cell>
        </row>
        <row r="2396">
          <cell r="A2396">
            <v>20028499</v>
          </cell>
          <cell r="B2396">
            <v>2395</v>
          </cell>
          <cell r="C2396" t="str">
            <v>HW01/1</v>
          </cell>
          <cell r="D2396" t="str">
            <v>HR SS400</v>
          </cell>
          <cell r="E2396" t="str">
            <v>AA4</v>
          </cell>
          <cell r="F2396">
            <v>8</v>
          </cell>
          <cell r="G2396">
            <v>1219</v>
          </cell>
          <cell r="H2396">
            <v>2140</v>
          </cell>
          <cell r="I2396" t="str">
            <v>A</v>
          </cell>
          <cell r="L2396">
            <v>495</v>
          </cell>
          <cell r="M2396">
            <v>20028499</v>
          </cell>
          <cell r="N2396">
            <v>38202</v>
          </cell>
          <cell r="P2396" t="str">
            <v>IN4803D1RSSSS01</v>
          </cell>
        </row>
        <row r="2397">
          <cell r="A2397">
            <v>20031985</v>
          </cell>
          <cell r="B2397">
            <v>2396</v>
          </cell>
          <cell r="C2397" t="str">
            <v>HW01/1</v>
          </cell>
          <cell r="D2397" t="str">
            <v>HR SS400</v>
          </cell>
          <cell r="E2397" t="str">
            <v>AA4</v>
          </cell>
          <cell r="F2397">
            <v>8</v>
          </cell>
          <cell r="G2397">
            <v>1524</v>
          </cell>
          <cell r="H2397">
            <v>3048</v>
          </cell>
          <cell r="I2397" t="str">
            <v>A</v>
          </cell>
          <cell r="L2397">
            <v>1470</v>
          </cell>
          <cell r="M2397">
            <v>20031985</v>
          </cell>
          <cell r="N2397" t="str">
            <v>19/A/2004</v>
          </cell>
          <cell r="P2397" t="str">
            <v>IN4A19D4L406001</v>
          </cell>
        </row>
        <row r="2398">
          <cell r="A2398">
            <v>20033428</v>
          </cell>
          <cell r="B2398">
            <v>2397</v>
          </cell>
          <cell r="C2398" t="str">
            <v>HW01/1</v>
          </cell>
          <cell r="D2398" t="str">
            <v>HR SS400</v>
          </cell>
          <cell r="E2398" t="str">
            <v>AA4</v>
          </cell>
          <cell r="F2398">
            <v>10</v>
          </cell>
          <cell r="G2398">
            <v>1219</v>
          </cell>
          <cell r="H2398">
            <v>2438</v>
          </cell>
          <cell r="I2398" t="str">
            <v>A</v>
          </cell>
          <cell r="L2398">
            <v>471</v>
          </cell>
          <cell r="M2398">
            <v>20033428</v>
          </cell>
          <cell r="N2398" t="str">
            <v>24/B/2004</v>
          </cell>
          <cell r="P2398" t="str">
            <v>IN4B24N1RSSSS01</v>
          </cell>
        </row>
        <row r="2399">
          <cell r="A2399">
            <v>50060933</v>
          </cell>
          <cell r="B2399">
            <v>2398</v>
          </cell>
          <cell r="C2399" t="str">
            <v>HW01/1</v>
          </cell>
          <cell r="D2399" t="str">
            <v>HR HR1</v>
          </cell>
          <cell r="E2399" t="str">
            <v>AA1</v>
          </cell>
          <cell r="F2399">
            <v>1.6</v>
          </cell>
          <cell r="G2399">
            <v>1219</v>
          </cell>
          <cell r="H2399">
            <v>3000</v>
          </cell>
          <cell r="I2399" t="str">
            <v>A</v>
          </cell>
          <cell r="L2399">
            <v>272</v>
          </cell>
          <cell r="M2399">
            <v>50060933</v>
          </cell>
          <cell r="N2399" t="str">
            <v>12/B/2004</v>
          </cell>
          <cell r="P2399" t="str">
            <v>KN4B12DZZ999901</v>
          </cell>
        </row>
        <row r="2400">
          <cell r="A2400">
            <v>50100475</v>
          </cell>
          <cell r="B2400">
            <v>2399</v>
          </cell>
          <cell r="C2400" t="str">
            <v>HW01/1</v>
          </cell>
          <cell r="D2400" t="str">
            <v>HR HR1</v>
          </cell>
          <cell r="E2400" t="str">
            <v>AA1</v>
          </cell>
          <cell r="F2400">
            <v>2</v>
          </cell>
          <cell r="G2400">
            <v>1219</v>
          </cell>
          <cell r="H2400">
            <v>1887</v>
          </cell>
          <cell r="I2400" t="str">
            <v>A</v>
          </cell>
          <cell r="L2400">
            <v>325</v>
          </cell>
          <cell r="M2400">
            <v>50100475</v>
          </cell>
          <cell r="N2400" t="str">
            <v>2/A/2005</v>
          </cell>
          <cell r="P2400" t="str">
            <v>IN5A02D4D341901</v>
          </cell>
        </row>
        <row r="2401">
          <cell r="A2401">
            <v>50005255</v>
          </cell>
          <cell r="B2401">
            <v>2400</v>
          </cell>
          <cell r="C2401" t="str">
            <v>HW01/1</v>
          </cell>
          <cell r="D2401" t="str">
            <v>HR HR1</v>
          </cell>
          <cell r="E2401" t="str">
            <v>AA1</v>
          </cell>
          <cell r="F2401">
            <v>2</v>
          </cell>
          <cell r="G2401">
            <v>1219</v>
          </cell>
          <cell r="H2401">
            <v>2325</v>
          </cell>
          <cell r="I2401" t="str">
            <v>A</v>
          </cell>
          <cell r="L2401">
            <v>130</v>
          </cell>
          <cell r="M2401">
            <v>50005255</v>
          </cell>
          <cell r="N2401" t="str">
            <v>2/C/2004</v>
          </cell>
          <cell r="P2401" t="str">
            <v>IN4C02DZZ070801</v>
          </cell>
        </row>
        <row r="2402">
          <cell r="A2402">
            <v>50019080</v>
          </cell>
          <cell r="B2402">
            <v>2401</v>
          </cell>
          <cell r="C2402" t="str">
            <v>HW01/1</v>
          </cell>
          <cell r="D2402" t="str">
            <v>HR HR1</v>
          </cell>
          <cell r="E2402" t="str">
            <v>AA1</v>
          </cell>
          <cell r="F2402">
            <v>3.2</v>
          </cell>
          <cell r="G2402">
            <v>1270</v>
          </cell>
          <cell r="H2402">
            <v>1340</v>
          </cell>
          <cell r="I2402" t="str">
            <v>A</v>
          </cell>
          <cell r="L2402">
            <v>90</v>
          </cell>
          <cell r="M2402">
            <v>50019080</v>
          </cell>
          <cell r="N2402" t="str">
            <v>5/A/2003</v>
          </cell>
          <cell r="P2402" t="str">
            <v>IN3A05DZZ100501</v>
          </cell>
        </row>
        <row r="2403">
          <cell r="A2403">
            <v>50099210</v>
          </cell>
          <cell r="B2403">
            <v>2402</v>
          </cell>
          <cell r="C2403" t="str">
            <v>HW01/1</v>
          </cell>
          <cell r="D2403" t="str">
            <v>HR HR1</v>
          </cell>
          <cell r="E2403" t="str">
            <v>AA1</v>
          </cell>
          <cell r="F2403">
            <v>4</v>
          </cell>
          <cell r="G2403">
            <v>1219</v>
          </cell>
          <cell r="H2403">
            <v>2350</v>
          </cell>
          <cell r="I2403" t="str">
            <v>A</v>
          </cell>
          <cell r="L2403">
            <v>1080</v>
          </cell>
          <cell r="M2403">
            <v>50099210</v>
          </cell>
          <cell r="N2403">
            <v>38612</v>
          </cell>
          <cell r="P2403" t="str">
            <v>IN5917D4L252001</v>
          </cell>
        </row>
        <row r="2404">
          <cell r="A2404">
            <v>50044217</v>
          </cell>
          <cell r="B2404">
            <v>2403</v>
          </cell>
          <cell r="C2404" t="str">
            <v>HW01/1</v>
          </cell>
          <cell r="D2404" t="str">
            <v>HR HR1</v>
          </cell>
          <cell r="E2404" t="str">
            <v>AA1</v>
          </cell>
          <cell r="F2404">
            <v>4</v>
          </cell>
          <cell r="G2404">
            <v>1524</v>
          </cell>
          <cell r="H2404">
            <v>2622</v>
          </cell>
          <cell r="I2404" t="str">
            <v>A</v>
          </cell>
          <cell r="L2404">
            <v>125</v>
          </cell>
          <cell r="M2404">
            <v>50044217</v>
          </cell>
          <cell r="N2404">
            <v>38138</v>
          </cell>
          <cell r="P2404" t="str">
            <v>IN4531D4L053101</v>
          </cell>
        </row>
        <row r="2405">
          <cell r="A2405">
            <v>50061791</v>
          </cell>
          <cell r="B2405">
            <v>2404</v>
          </cell>
          <cell r="C2405" t="str">
            <v>HW01/1</v>
          </cell>
          <cell r="D2405" t="str">
            <v>HR SS400</v>
          </cell>
          <cell r="E2405" t="str">
            <v>AA4</v>
          </cell>
          <cell r="F2405">
            <v>2.5</v>
          </cell>
          <cell r="G2405">
            <v>1219</v>
          </cell>
          <cell r="H2405">
            <v>2520</v>
          </cell>
          <cell r="I2405" t="str">
            <v>A</v>
          </cell>
          <cell r="L2405">
            <v>2096</v>
          </cell>
          <cell r="M2405">
            <v>50061791</v>
          </cell>
          <cell r="N2405" t="str">
            <v>22/B/2004</v>
          </cell>
          <cell r="P2405" t="str">
            <v>KN4B22DZZ999901</v>
          </cell>
        </row>
        <row r="2406">
          <cell r="A2406">
            <v>50107509</v>
          </cell>
          <cell r="B2406">
            <v>2405</v>
          </cell>
          <cell r="C2406" t="str">
            <v>HW01/1</v>
          </cell>
          <cell r="D2406" t="str">
            <v>HR SS400</v>
          </cell>
          <cell r="E2406" t="str">
            <v>AA4</v>
          </cell>
          <cell r="F2406">
            <v>2.5</v>
          </cell>
          <cell r="G2406">
            <v>1219</v>
          </cell>
          <cell r="H2406">
            <v>2520</v>
          </cell>
          <cell r="I2406" t="str">
            <v>A</v>
          </cell>
          <cell r="L2406">
            <v>904</v>
          </cell>
          <cell r="M2406">
            <v>50107509</v>
          </cell>
          <cell r="N2406" t="str">
            <v>24/B/2005</v>
          </cell>
          <cell r="P2406" t="str">
            <v>IN5B24D4D494701</v>
          </cell>
        </row>
        <row r="2407">
          <cell r="A2407">
            <v>50113528</v>
          </cell>
          <cell r="B2407">
            <v>2406</v>
          </cell>
          <cell r="C2407" t="str">
            <v>HW01/1</v>
          </cell>
          <cell r="D2407" t="str">
            <v>HR SS400</v>
          </cell>
          <cell r="E2407" t="str">
            <v>AA4</v>
          </cell>
          <cell r="F2407">
            <v>2.5</v>
          </cell>
          <cell r="G2407">
            <v>1219</v>
          </cell>
          <cell r="H2407">
            <v>2520</v>
          </cell>
          <cell r="I2407" t="str">
            <v>A</v>
          </cell>
          <cell r="L2407">
            <v>602</v>
          </cell>
          <cell r="M2407">
            <v>50113528</v>
          </cell>
          <cell r="N2407">
            <v>38728</v>
          </cell>
          <cell r="P2407" t="str">
            <v>IN6111D1D638201</v>
          </cell>
        </row>
        <row r="2408">
          <cell r="A2408">
            <v>50060698</v>
          </cell>
          <cell r="B2408">
            <v>2407</v>
          </cell>
          <cell r="C2408" t="str">
            <v>HW01/1</v>
          </cell>
          <cell r="D2408" t="str">
            <v>HR SS400</v>
          </cell>
          <cell r="E2408" t="str">
            <v>AA4</v>
          </cell>
          <cell r="F2408">
            <v>2.5</v>
          </cell>
          <cell r="G2408">
            <v>1219</v>
          </cell>
          <cell r="H2408">
            <v>2600</v>
          </cell>
          <cell r="I2408" t="str">
            <v>A</v>
          </cell>
          <cell r="L2408">
            <v>1546</v>
          </cell>
          <cell r="M2408">
            <v>50060698</v>
          </cell>
          <cell r="N2408" t="str">
            <v>10/B/2004</v>
          </cell>
          <cell r="P2408" t="str">
            <v>KN4B10DZZ999901</v>
          </cell>
        </row>
        <row r="2409">
          <cell r="A2409">
            <v>50071646</v>
          </cell>
          <cell r="B2409">
            <v>2408</v>
          </cell>
          <cell r="C2409" t="str">
            <v>HW01/1</v>
          </cell>
          <cell r="D2409" t="str">
            <v>HR SS400</v>
          </cell>
          <cell r="E2409" t="str">
            <v>AA4</v>
          </cell>
          <cell r="F2409">
            <v>2.95</v>
          </cell>
          <cell r="G2409">
            <v>1219</v>
          </cell>
          <cell r="H2409">
            <v>2061</v>
          </cell>
          <cell r="I2409" t="str">
            <v>A</v>
          </cell>
          <cell r="L2409">
            <v>69</v>
          </cell>
          <cell r="M2409">
            <v>50071646</v>
          </cell>
          <cell r="N2409">
            <v>38400</v>
          </cell>
          <cell r="P2409" t="str">
            <v>IN5217D4D735801</v>
          </cell>
        </row>
        <row r="2410">
          <cell r="A2410">
            <v>50051671</v>
          </cell>
          <cell r="B2410">
            <v>2409</v>
          </cell>
          <cell r="C2410" t="str">
            <v>HW01/1</v>
          </cell>
          <cell r="D2410" t="str">
            <v>HR SS400</v>
          </cell>
          <cell r="E2410" t="str">
            <v>AA4</v>
          </cell>
          <cell r="F2410">
            <v>5</v>
          </cell>
          <cell r="G2410">
            <v>1219</v>
          </cell>
          <cell r="H2410">
            <v>2200</v>
          </cell>
          <cell r="I2410" t="str">
            <v>A</v>
          </cell>
          <cell r="L2410">
            <v>1052</v>
          </cell>
          <cell r="M2410">
            <v>50051671</v>
          </cell>
          <cell r="N2410">
            <v>38215</v>
          </cell>
          <cell r="P2410" t="str">
            <v>IN4816D4D243401</v>
          </cell>
        </row>
        <row r="2411">
          <cell r="A2411">
            <v>50091481</v>
          </cell>
          <cell r="B2411">
            <v>2410</v>
          </cell>
          <cell r="C2411" t="str">
            <v>HW01/1</v>
          </cell>
          <cell r="D2411" t="str">
            <v>HR SS400</v>
          </cell>
          <cell r="E2411" t="str">
            <v>AA4</v>
          </cell>
          <cell r="F2411">
            <v>6</v>
          </cell>
          <cell r="G2411">
            <v>1524</v>
          </cell>
          <cell r="H2411">
            <v>2438</v>
          </cell>
          <cell r="I2411" t="str">
            <v>A</v>
          </cell>
          <cell r="L2411">
            <v>1400</v>
          </cell>
          <cell r="M2411">
            <v>50091481</v>
          </cell>
          <cell r="N2411">
            <v>38551</v>
          </cell>
          <cell r="P2411" t="str">
            <v>IN5718D2RBBBB01</v>
          </cell>
        </row>
        <row r="2412">
          <cell r="A2412">
            <v>50049957</v>
          </cell>
          <cell r="B2412">
            <v>2411</v>
          </cell>
          <cell r="C2412" t="str">
            <v>HW01/1</v>
          </cell>
          <cell r="D2412" t="str">
            <v>HR SS400</v>
          </cell>
          <cell r="E2412" t="str">
            <v>AA4</v>
          </cell>
          <cell r="F2412">
            <v>8</v>
          </cell>
          <cell r="G2412">
            <v>1062</v>
          </cell>
          <cell r="H2412">
            <v>1590</v>
          </cell>
          <cell r="I2412" t="str">
            <v>A</v>
          </cell>
          <cell r="L2412">
            <v>104</v>
          </cell>
          <cell r="M2412">
            <v>50049957</v>
          </cell>
          <cell r="N2412">
            <v>38238</v>
          </cell>
          <cell r="P2412" t="str">
            <v>IN4908D6E201801</v>
          </cell>
        </row>
        <row r="2413">
          <cell r="A2413">
            <v>50054066</v>
          </cell>
          <cell r="B2413">
            <v>2412</v>
          </cell>
          <cell r="C2413" t="str">
            <v>HW01/1</v>
          </cell>
          <cell r="D2413" t="str">
            <v>HR SS400</v>
          </cell>
          <cell r="E2413" t="str">
            <v>AA4</v>
          </cell>
          <cell r="F2413">
            <v>8</v>
          </cell>
          <cell r="G2413">
            <v>1260</v>
          </cell>
          <cell r="H2413">
            <v>1600</v>
          </cell>
          <cell r="I2413" t="str">
            <v>A</v>
          </cell>
          <cell r="L2413">
            <v>126</v>
          </cell>
          <cell r="M2413">
            <v>50054066</v>
          </cell>
          <cell r="N2413">
            <v>38238</v>
          </cell>
          <cell r="P2413" t="str">
            <v>IN4908D6E284201</v>
          </cell>
        </row>
        <row r="2414">
          <cell r="A2414">
            <v>60060307</v>
          </cell>
          <cell r="B2414">
            <v>2413</v>
          </cell>
          <cell r="C2414" t="str">
            <v>CS01/8</v>
          </cell>
          <cell r="D2414" t="str">
            <v>SPCEN-SD</v>
          </cell>
          <cell r="E2414" t="str">
            <v>AF3</v>
          </cell>
          <cell r="F2414">
            <v>1</v>
          </cell>
          <cell r="G2414">
            <v>143</v>
          </cell>
          <cell r="H2414" t="str">
            <v>C</v>
          </cell>
          <cell r="I2414" t="str">
            <v>A</v>
          </cell>
          <cell r="J2414" t="str">
            <v>SAB</v>
          </cell>
          <cell r="K2414">
            <v>1</v>
          </cell>
          <cell r="L2414">
            <v>255</v>
          </cell>
          <cell r="M2414">
            <v>60060307</v>
          </cell>
        </row>
        <row r="2415">
          <cell r="A2415">
            <v>60052660</v>
          </cell>
          <cell r="B2415">
            <v>2414</v>
          </cell>
          <cell r="C2415" t="str">
            <v>CS01/8</v>
          </cell>
          <cell r="D2415" t="str">
            <v>SPHC P/O</v>
          </cell>
          <cell r="E2415" t="str">
            <v>CA1</v>
          </cell>
          <cell r="F2415">
            <v>1.2</v>
          </cell>
          <cell r="G2415">
            <v>104</v>
          </cell>
          <cell r="H2415" t="str">
            <v>C</v>
          </cell>
          <cell r="I2415" t="str">
            <v>A</v>
          </cell>
          <cell r="J2415" t="str">
            <v>SAB</v>
          </cell>
          <cell r="K2415">
            <v>1</v>
          </cell>
          <cell r="L2415">
            <v>253</v>
          </cell>
          <cell r="M2415">
            <v>60052660</v>
          </cell>
          <cell r="N2415">
            <v>38772</v>
          </cell>
          <cell r="P2415" t="str">
            <v>FN6224D2S779001</v>
          </cell>
        </row>
        <row r="2416">
          <cell r="A2416">
            <v>60063527</v>
          </cell>
          <cell r="B2416">
            <v>2415</v>
          </cell>
          <cell r="C2416" t="str">
            <v>CS01/10</v>
          </cell>
          <cell r="D2416" t="str">
            <v>SPCC-SD</v>
          </cell>
          <cell r="E2416" t="str">
            <v>AF1</v>
          </cell>
          <cell r="F2416">
            <v>0.4</v>
          </cell>
          <cell r="G2416">
            <v>40</v>
          </cell>
          <cell r="H2416" t="str">
            <v>C</v>
          </cell>
          <cell r="I2416" t="str">
            <v>A</v>
          </cell>
          <cell r="K2416">
            <v>1</v>
          </cell>
          <cell r="L2416">
            <v>52</v>
          </cell>
          <cell r="M2416">
            <v>60063527</v>
          </cell>
          <cell r="N2416">
            <v>38912</v>
          </cell>
          <cell r="O2416" t="str">
            <v>126713SUD001</v>
          </cell>
          <cell r="P2416" t="str">
            <v>IN6714D1S202001</v>
          </cell>
        </row>
        <row r="2417">
          <cell r="A2417">
            <v>60063528</v>
          </cell>
          <cell r="B2417">
            <v>2416</v>
          </cell>
          <cell r="C2417" t="str">
            <v>CS01/10</v>
          </cell>
          <cell r="D2417" t="str">
            <v>SPCC-SD</v>
          </cell>
          <cell r="E2417" t="str">
            <v>AF1</v>
          </cell>
          <cell r="F2417">
            <v>0.4</v>
          </cell>
          <cell r="G2417">
            <v>443</v>
          </cell>
          <cell r="H2417" t="str">
            <v>C</v>
          </cell>
          <cell r="I2417" t="str">
            <v>A</v>
          </cell>
          <cell r="K2417">
            <v>1</v>
          </cell>
          <cell r="L2417">
            <v>576</v>
          </cell>
          <cell r="M2417">
            <v>60063528</v>
          </cell>
          <cell r="N2417">
            <v>38912</v>
          </cell>
          <cell r="O2417" t="str">
            <v>126713SUD001</v>
          </cell>
          <cell r="P2417" t="str">
            <v>IN6714D1S202001</v>
          </cell>
        </row>
        <row r="2418">
          <cell r="A2418">
            <v>60050732</v>
          </cell>
          <cell r="B2418">
            <v>2417</v>
          </cell>
          <cell r="C2418" t="str">
            <v>CS01/10</v>
          </cell>
          <cell r="D2418" t="str">
            <v>SPCC-SD</v>
          </cell>
          <cell r="E2418" t="str">
            <v>AF1</v>
          </cell>
          <cell r="F2418">
            <v>0.5</v>
          </cell>
          <cell r="G2418">
            <v>83</v>
          </cell>
          <cell r="H2418" t="str">
            <v>C</v>
          </cell>
          <cell r="I2418" t="str">
            <v>A</v>
          </cell>
          <cell r="K2418">
            <v>1</v>
          </cell>
          <cell r="L2418">
            <v>137</v>
          </cell>
          <cell r="M2418">
            <v>60050732</v>
          </cell>
          <cell r="N2418">
            <v>38748</v>
          </cell>
          <cell r="O2418" t="str">
            <v>125B04SUD003</v>
          </cell>
          <cell r="P2418" t="str">
            <v>IN6131N1S697601</v>
          </cell>
        </row>
        <row r="2419">
          <cell r="A2419">
            <v>60052404</v>
          </cell>
          <cell r="B2419">
            <v>2418</v>
          </cell>
          <cell r="C2419" t="str">
            <v>CS01/10</v>
          </cell>
          <cell r="D2419" t="str">
            <v>SPCC-SD</v>
          </cell>
          <cell r="E2419" t="str">
            <v>AF1</v>
          </cell>
          <cell r="F2419">
            <v>0.5</v>
          </cell>
          <cell r="G2419">
            <v>150</v>
          </cell>
          <cell r="H2419" t="str">
            <v>C</v>
          </cell>
          <cell r="I2419" t="str">
            <v>A</v>
          </cell>
          <cell r="K2419">
            <v>1</v>
          </cell>
          <cell r="L2419">
            <v>367</v>
          </cell>
          <cell r="M2419">
            <v>60052404</v>
          </cell>
          <cell r="N2419">
            <v>38769</v>
          </cell>
          <cell r="O2419" t="str">
            <v>125514TCD001</v>
          </cell>
          <cell r="P2419" t="str">
            <v>IN6221N1S757501</v>
          </cell>
        </row>
        <row r="2420">
          <cell r="A2420">
            <v>60052406</v>
          </cell>
          <cell r="B2420">
            <v>2419</v>
          </cell>
          <cell r="C2420" t="str">
            <v>CS01/10</v>
          </cell>
          <cell r="D2420" t="str">
            <v>SPCC-SD</v>
          </cell>
          <cell r="E2420" t="str">
            <v>AF1</v>
          </cell>
          <cell r="F2420">
            <v>0.5</v>
          </cell>
          <cell r="G2420">
            <v>150</v>
          </cell>
          <cell r="H2420" t="str">
            <v>C</v>
          </cell>
          <cell r="I2420" t="str">
            <v>A</v>
          </cell>
          <cell r="K2420">
            <v>1</v>
          </cell>
          <cell r="L2420">
            <v>360</v>
          </cell>
          <cell r="M2420">
            <v>60052406</v>
          </cell>
          <cell r="N2420">
            <v>38769</v>
          </cell>
          <cell r="O2420" t="str">
            <v>125514TCD001</v>
          </cell>
          <cell r="P2420" t="str">
            <v>IN6221N1S757502</v>
          </cell>
        </row>
        <row r="2421">
          <cell r="A2421">
            <v>60052504</v>
          </cell>
          <cell r="B2421">
            <v>2420</v>
          </cell>
          <cell r="C2421" t="str">
            <v>CS01/10</v>
          </cell>
          <cell r="D2421" t="str">
            <v>SPCC-SD</v>
          </cell>
          <cell r="E2421" t="str">
            <v>AF1</v>
          </cell>
          <cell r="F2421">
            <v>0.5</v>
          </cell>
          <cell r="G2421">
            <v>150</v>
          </cell>
          <cell r="H2421" t="str">
            <v>C</v>
          </cell>
          <cell r="I2421" t="str">
            <v>A</v>
          </cell>
          <cell r="K2421">
            <v>1</v>
          </cell>
          <cell r="L2421">
            <v>60</v>
          </cell>
          <cell r="M2421">
            <v>60052504</v>
          </cell>
          <cell r="N2421">
            <v>38769</v>
          </cell>
          <cell r="O2421" t="str">
            <v>125321TCD002</v>
          </cell>
          <cell r="P2421" t="str">
            <v>IN6221N1S764601</v>
          </cell>
        </row>
        <row r="2422">
          <cell r="A2422">
            <v>60052514</v>
          </cell>
          <cell r="B2422">
            <v>2421</v>
          </cell>
          <cell r="C2422" t="str">
            <v>CS01/10</v>
          </cell>
          <cell r="D2422" t="str">
            <v>SPCC-SD</v>
          </cell>
          <cell r="E2422" t="str">
            <v>AF1</v>
          </cell>
          <cell r="F2422">
            <v>0.5</v>
          </cell>
          <cell r="G2422">
            <v>150</v>
          </cell>
          <cell r="H2422" t="str">
            <v>C</v>
          </cell>
          <cell r="I2422" t="str">
            <v>A</v>
          </cell>
          <cell r="K2422">
            <v>1</v>
          </cell>
          <cell r="L2422">
            <v>342</v>
          </cell>
          <cell r="M2422">
            <v>60052514</v>
          </cell>
          <cell r="N2422">
            <v>38769</v>
          </cell>
          <cell r="O2422" t="str">
            <v>125321TCD003</v>
          </cell>
          <cell r="P2422" t="str">
            <v>IN6221N1S764602</v>
          </cell>
        </row>
        <row r="2423">
          <cell r="A2423">
            <v>60053704</v>
          </cell>
          <cell r="B2423">
            <v>2422</v>
          </cell>
          <cell r="C2423" t="str">
            <v>CS01/10</v>
          </cell>
          <cell r="D2423" t="str">
            <v>SPCC-SD</v>
          </cell>
          <cell r="E2423" t="str">
            <v>AF1</v>
          </cell>
          <cell r="F2423">
            <v>0.5</v>
          </cell>
          <cell r="G2423">
            <v>150</v>
          </cell>
          <cell r="H2423" t="str">
            <v>C</v>
          </cell>
          <cell r="I2423" t="str">
            <v>A</v>
          </cell>
          <cell r="K2423">
            <v>1</v>
          </cell>
          <cell r="L2423">
            <v>345</v>
          </cell>
          <cell r="M2423">
            <v>60053704</v>
          </cell>
          <cell r="N2423">
            <v>38785</v>
          </cell>
          <cell r="O2423" t="str">
            <v>125321TCD004</v>
          </cell>
          <cell r="P2423" t="str">
            <v>IN6309D1S814901</v>
          </cell>
        </row>
        <row r="2424">
          <cell r="A2424">
            <v>60053706</v>
          </cell>
          <cell r="B2424">
            <v>2423</v>
          </cell>
          <cell r="C2424" t="str">
            <v>CS01/10</v>
          </cell>
          <cell r="D2424" t="str">
            <v>SPCC-SD</v>
          </cell>
          <cell r="E2424" t="str">
            <v>AF1</v>
          </cell>
          <cell r="F2424">
            <v>0.5</v>
          </cell>
          <cell r="G2424">
            <v>150</v>
          </cell>
          <cell r="H2424" t="str">
            <v>C</v>
          </cell>
          <cell r="I2424" t="str">
            <v>A</v>
          </cell>
          <cell r="K2424">
            <v>1</v>
          </cell>
          <cell r="L2424">
            <v>347</v>
          </cell>
          <cell r="M2424">
            <v>60053706</v>
          </cell>
          <cell r="N2424">
            <v>38785</v>
          </cell>
          <cell r="O2424" t="str">
            <v>125321TCD004</v>
          </cell>
          <cell r="P2424" t="str">
            <v>IN6309D1S814902</v>
          </cell>
        </row>
        <row r="2425">
          <cell r="A2425">
            <v>60050731</v>
          </cell>
          <cell r="B2425">
            <v>2424</v>
          </cell>
          <cell r="C2425" t="str">
            <v>CS01/10</v>
          </cell>
          <cell r="D2425" t="str">
            <v>SPCC-SD</v>
          </cell>
          <cell r="E2425" t="str">
            <v>AF1</v>
          </cell>
          <cell r="F2425">
            <v>0.5</v>
          </cell>
          <cell r="G2425">
            <v>170</v>
          </cell>
          <cell r="H2425" t="str">
            <v>C</v>
          </cell>
          <cell r="I2425" t="str">
            <v>A</v>
          </cell>
          <cell r="K2425">
            <v>1</v>
          </cell>
          <cell r="L2425">
            <v>280</v>
          </cell>
          <cell r="M2425">
            <v>60050731</v>
          </cell>
          <cell r="N2425">
            <v>38748</v>
          </cell>
          <cell r="O2425" t="str">
            <v>25B04SUD005</v>
          </cell>
          <cell r="P2425" t="str">
            <v>IN6131D1S697601</v>
          </cell>
        </row>
        <row r="2426">
          <cell r="A2426">
            <v>60049480</v>
          </cell>
          <cell r="B2426">
            <v>2425</v>
          </cell>
          <cell r="C2426" t="str">
            <v>CS01/10</v>
          </cell>
          <cell r="D2426" t="str">
            <v>SPCC-SD</v>
          </cell>
          <cell r="E2426" t="str">
            <v>AF1</v>
          </cell>
          <cell r="F2426">
            <v>0.6</v>
          </cell>
          <cell r="G2426">
            <v>52</v>
          </cell>
          <cell r="H2426" t="str">
            <v>C</v>
          </cell>
          <cell r="I2426" t="str">
            <v>A</v>
          </cell>
          <cell r="K2426">
            <v>1</v>
          </cell>
          <cell r="L2426">
            <v>230</v>
          </cell>
          <cell r="M2426">
            <v>60049480</v>
          </cell>
          <cell r="N2426">
            <v>38730</v>
          </cell>
          <cell r="O2426" t="str">
            <v>126104TCD027</v>
          </cell>
          <cell r="P2426" t="str">
            <v>FN6113D1S641801</v>
          </cell>
        </row>
        <row r="2427">
          <cell r="A2427">
            <v>60049481</v>
          </cell>
          <cell r="B2427">
            <v>2426</v>
          </cell>
          <cell r="C2427" t="str">
            <v>CS01/10</v>
          </cell>
          <cell r="D2427" t="str">
            <v>SPCC-SD</v>
          </cell>
          <cell r="E2427" t="str">
            <v>AF1</v>
          </cell>
          <cell r="F2427">
            <v>0.6</v>
          </cell>
          <cell r="G2427">
            <v>52</v>
          </cell>
          <cell r="H2427" t="str">
            <v>C</v>
          </cell>
          <cell r="I2427" t="str">
            <v>A</v>
          </cell>
          <cell r="K2427">
            <v>1</v>
          </cell>
          <cell r="L2427">
            <v>230</v>
          </cell>
          <cell r="M2427">
            <v>60049481</v>
          </cell>
          <cell r="N2427">
            <v>38730</v>
          </cell>
          <cell r="O2427" t="str">
            <v>126104TCD027</v>
          </cell>
          <cell r="P2427" t="str">
            <v>FN6113D1S641802</v>
          </cell>
        </row>
        <row r="2428">
          <cell r="A2428">
            <v>60049482</v>
          </cell>
          <cell r="B2428">
            <v>2427</v>
          </cell>
          <cell r="C2428" t="str">
            <v>CS01/10</v>
          </cell>
          <cell r="D2428" t="str">
            <v>SPCC-SD</v>
          </cell>
          <cell r="E2428" t="str">
            <v>AF1</v>
          </cell>
          <cell r="F2428">
            <v>0.6</v>
          </cell>
          <cell r="G2428">
            <v>52</v>
          </cell>
          <cell r="H2428" t="str">
            <v>C</v>
          </cell>
          <cell r="I2428" t="str">
            <v>A</v>
          </cell>
          <cell r="K2428">
            <v>1</v>
          </cell>
          <cell r="L2428">
            <v>230</v>
          </cell>
          <cell r="M2428">
            <v>60049482</v>
          </cell>
          <cell r="N2428">
            <v>38730</v>
          </cell>
          <cell r="O2428" t="str">
            <v>126104TCD027</v>
          </cell>
          <cell r="P2428" t="str">
            <v>FN6113D1S641803</v>
          </cell>
        </row>
        <row r="2429">
          <cell r="A2429">
            <v>60049485</v>
          </cell>
          <cell r="B2429">
            <v>2428</v>
          </cell>
          <cell r="C2429" t="str">
            <v>CS01/10</v>
          </cell>
          <cell r="D2429" t="str">
            <v>SPCC-SD</v>
          </cell>
          <cell r="E2429" t="str">
            <v>AF1</v>
          </cell>
          <cell r="F2429">
            <v>0.6</v>
          </cell>
          <cell r="G2429">
            <v>52</v>
          </cell>
          <cell r="H2429" t="str">
            <v>C</v>
          </cell>
          <cell r="I2429" t="str">
            <v>A</v>
          </cell>
          <cell r="K2429">
            <v>1</v>
          </cell>
          <cell r="L2429">
            <v>214</v>
          </cell>
          <cell r="M2429">
            <v>60049485</v>
          </cell>
          <cell r="N2429">
            <v>38730</v>
          </cell>
          <cell r="O2429" t="str">
            <v>126104TCD027</v>
          </cell>
          <cell r="P2429" t="str">
            <v>FN6113D1S641804</v>
          </cell>
        </row>
        <row r="2430">
          <cell r="A2430">
            <v>60049486</v>
          </cell>
          <cell r="B2430">
            <v>2429</v>
          </cell>
          <cell r="C2430" t="str">
            <v>CS01/10</v>
          </cell>
          <cell r="D2430" t="str">
            <v>SPCC-SD</v>
          </cell>
          <cell r="E2430" t="str">
            <v>AF1</v>
          </cell>
          <cell r="F2430">
            <v>0.6</v>
          </cell>
          <cell r="G2430">
            <v>52</v>
          </cell>
          <cell r="H2430" t="str">
            <v>C</v>
          </cell>
          <cell r="I2430" t="str">
            <v>A</v>
          </cell>
          <cell r="K2430">
            <v>1</v>
          </cell>
          <cell r="L2430">
            <v>214</v>
          </cell>
          <cell r="M2430">
            <v>60049486</v>
          </cell>
          <cell r="N2430">
            <v>38730</v>
          </cell>
          <cell r="O2430" t="str">
            <v>126104TCD027</v>
          </cell>
          <cell r="P2430" t="str">
            <v>FN6113D1S641805</v>
          </cell>
        </row>
        <row r="2431">
          <cell r="A2431">
            <v>60049550</v>
          </cell>
          <cell r="B2431">
            <v>2430</v>
          </cell>
          <cell r="C2431" t="str">
            <v>CS01/10</v>
          </cell>
          <cell r="D2431" t="str">
            <v>SPCC-SD</v>
          </cell>
          <cell r="E2431" t="str">
            <v>AF1</v>
          </cell>
          <cell r="F2431">
            <v>0.6</v>
          </cell>
          <cell r="G2431">
            <v>52</v>
          </cell>
          <cell r="H2431" t="str">
            <v>C</v>
          </cell>
          <cell r="I2431" t="str">
            <v>A</v>
          </cell>
          <cell r="K2431">
            <v>1</v>
          </cell>
          <cell r="L2431">
            <v>130</v>
          </cell>
          <cell r="M2431">
            <v>60049550</v>
          </cell>
          <cell r="N2431">
            <v>38732</v>
          </cell>
          <cell r="O2431" t="str">
            <v>126104TCD028</v>
          </cell>
          <cell r="P2431" t="str">
            <v>FN6115N1S641701</v>
          </cell>
        </row>
        <row r="2432">
          <cell r="A2432">
            <v>60049551</v>
          </cell>
          <cell r="B2432">
            <v>2431</v>
          </cell>
          <cell r="C2432" t="str">
            <v>CS01/10</v>
          </cell>
          <cell r="D2432" t="str">
            <v>SPCC-SD</v>
          </cell>
          <cell r="E2432" t="str">
            <v>AF1</v>
          </cell>
          <cell r="F2432">
            <v>0.6</v>
          </cell>
          <cell r="G2432">
            <v>52</v>
          </cell>
          <cell r="H2432" t="str">
            <v>C</v>
          </cell>
          <cell r="I2432" t="str">
            <v>A</v>
          </cell>
          <cell r="K2432">
            <v>1</v>
          </cell>
          <cell r="L2432">
            <v>134</v>
          </cell>
          <cell r="M2432">
            <v>60049551</v>
          </cell>
          <cell r="N2432">
            <v>38732</v>
          </cell>
          <cell r="O2432" t="str">
            <v>126104TCD028</v>
          </cell>
          <cell r="P2432" t="str">
            <v>FN6115N1S641702</v>
          </cell>
        </row>
        <row r="2433">
          <cell r="A2433">
            <v>60049554</v>
          </cell>
          <cell r="B2433">
            <v>2432</v>
          </cell>
          <cell r="C2433" t="str">
            <v>CS01/10</v>
          </cell>
          <cell r="D2433" t="str">
            <v>SPCC-SD</v>
          </cell>
          <cell r="E2433" t="str">
            <v>AF1</v>
          </cell>
          <cell r="F2433">
            <v>0.6</v>
          </cell>
          <cell r="G2433">
            <v>52</v>
          </cell>
          <cell r="H2433" t="str">
            <v>C</v>
          </cell>
          <cell r="I2433" t="str">
            <v>A</v>
          </cell>
          <cell r="K2433">
            <v>1</v>
          </cell>
          <cell r="L2433">
            <v>106</v>
          </cell>
          <cell r="M2433">
            <v>60049554</v>
          </cell>
          <cell r="N2433">
            <v>38732</v>
          </cell>
          <cell r="O2433" t="str">
            <v>126104TCD028</v>
          </cell>
          <cell r="P2433" t="str">
            <v>FN6115N1S641703</v>
          </cell>
        </row>
        <row r="2434">
          <cell r="A2434">
            <v>60049555</v>
          </cell>
          <cell r="B2434">
            <v>2433</v>
          </cell>
          <cell r="C2434" t="str">
            <v>CS01/10</v>
          </cell>
          <cell r="D2434" t="str">
            <v>SPCC-SD</v>
          </cell>
          <cell r="E2434" t="str">
            <v>AF1</v>
          </cell>
          <cell r="F2434">
            <v>0.6</v>
          </cell>
          <cell r="G2434">
            <v>52</v>
          </cell>
          <cell r="H2434" t="str">
            <v>C</v>
          </cell>
          <cell r="I2434" t="str">
            <v>A</v>
          </cell>
          <cell r="K2434">
            <v>1</v>
          </cell>
          <cell r="L2434">
            <v>104</v>
          </cell>
          <cell r="M2434">
            <v>60049555</v>
          </cell>
          <cell r="N2434">
            <v>38732</v>
          </cell>
          <cell r="O2434" t="str">
            <v>126104TCD028</v>
          </cell>
          <cell r="P2434" t="str">
            <v>FN6115N1S641704</v>
          </cell>
        </row>
        <row r="2435">
          <cell r="A2435">
            <v>60049479</v>
          </cell>
          <cell r="B2435">
            <v>2434</v>
          </cell>
          <cell r="C2435" t="str">
            <v>CS01/10</v>
          </cell>
          <cell r="D2435" t="str">
            <v>SPCC-SD</v>
          </cell>
          <cell r="E2435" t="str">
            <v>AF1</v>
          </cell>
          <cell r="F2435">
            <v>0.6</v>
          </cell>
          <cell r="G2435">
            <v>83</v>
          </cell>
          <cell r="H2435" t="str">
            <v>C</v>
          </cell>
          <cell r="I2435" t="str">
            <v>A</v>
          </cell>
          <cell r="K2435">
            <v>1</v>
          </cell>
          <cell r="L2435">
            <v>370</v>
          </cell>
          <cell r="M2435">
            <v>60049479</v>
          </cell>
          <cell r="N2435">
            <v>38730</v>
          </cell>
          <cell r="O2435" t="str">
            <v>126104TCD027</v>
          </cell>
          <cell r="P2435" t="str">
            <v>FN6113D1S641801</v>
          </cell>
        </row>
        <row r="2436">
          <cell r="A2436">
            <v>60049547</v>
          </cell>
          <cell r="B2436">
            <v>2435</v>
          </cell>
          <cell r="C2436" t="str">
            <v>CS01/10</v>
          </cell>
          <cell r="D2436" t="str">
            <v>SPCC-SD</v>
          </cell>
          <cell r="E2436" t="str">
            <v>AF1</v>
          </cell>
          <cell r="F2436">
            <v>0.6</v>
          </cell>
          <cell r="G2436">
            <v>83</v>
          </cell>
          <cell r="H2436" t="str">
            <v>C</v>
          </cell>
          <cell r="I2436" t="str">
            <v>A</v>
          </cell>
          <cell r="K2436">
            <v>1</v>
          </cell>
          <cell r="L2436">
            <v>272</v>
          </cell>
          <cell r="M2436">
            <v>60049547</v>
          </cell>
          <cell r="N2436">
            <v>38731</v>
          </cell>
          <cell r="O2436" t="str">
            <v>126104TCD028</v>
          </cell>
          <cell r="P2436" t="str">
            <v>FN6114D1S641701</v>
          </cell>
        </row>
        <row r="2437">
          <cell r="A2437">
            <v>60050761</v>
          </cell>
          <cell r="B2437">
            <v>2436</v>
          </cell>
          <cell r="C2437" t="str">
            <v>CS01/10</v>
          </cell>
          <cell r="D2437" t="str">
            <v>SPCC-SD</v>
          </cell>
          <cell r="E2437" t="str">
            <v>AF1</v>
          </cell>
          <cell r="F2437">
            <v>0.6</v>
          </cell>
          <cell r="G2437">
            <v>83</v>
          </cell>
          <cell r="H2437" t="str">
            <v>C</v>
          </cell>
          <cell r="I2437" t="str">
            <v>A</v>
          </cell>
          <cell r="K2437">
            <v>1</v>
          </cell>
          <cell r="L2437">
            <v>202</v>
          </cell>
          <cell r="M2437">
            <v>60050761</v>
          </cell>
          <cell r="N2437">
            <v>38749</v>
          </cell>
          <cell r="O2437" t="str">
            <v>125809TCD004</v>
          </cell>
          <cell r="P2437" t="str">
            <v>FN6201N1S698101</v>
          </cell>
        </row>
        <row r="2438">
          <cell r="A2438">
            <v>60058281</v>
          </cell>
          <cell r="B2438">
            <v>2437</v>
          </cell>
          <cell r="C2438" t="str">
            <v>CS01/10</v>
          </cell>
          <cell r="D2438" t="str">
            <v>SPCC-SD</v>
          </cell>
          <cell r="E2438" t="str">
            <v>AF1</v>
          </cell>
          <cell r="F2438">
            <v>0.6</v>
          </cell>
          <cell r="G2438">
            <v>105</v>
          </cell>
          <cell r="H2438" t="str">
            <v>C</v>
          </cell>
          <cell r="I2438" t="str">
            <v>A</v>
          </cell>
          <cell r="K2438">
            <v>1</v>
          </cell>
          <cell r="L2438">
            <v>557</v>
          </cell>
          <cell r="M2438">
            <v>60058281</v>
          </cell>
          <cell r="N2438">
            <v>38841</v>
          </cell>
          <cell r="O2438" t="str">
            <v>126104TCD029</v>
          </cell>
          <cell r="P2438" t="str">
            <v>IN6504D1S979801</v>
          </cell>
        </row>
        <row r="2439">
          <cell r="A2439">
            <v>60062815</v>
          </cell>
          <cell r="B2439">
            <v>2438</v>
          </cell>
          <cell r="C2439" t="str">
            <v>CS01/10</v>
          </cell>
          <cell r="D2439" t="str">
            <v>SPCC-SD</v>
          </cell>
          <cell r="E2439" t="str">
            <v>AF1</v>
          </cell>
          <cell r="F2439">
            <v>0.7</v>
          </cell>
          <cell r="G2439">
            <v>44</v>
          </cell>
          <cell r="H2439" t="str">
            <v>C</v>
          </cell>
          <cell r="I2439" t="str">
            <v>A</v>
          </cell>
          <cell r="K2439">
            <v>1</v>
          </cell>
          <cell r="L2439">
            <v>65</v>
          </cell>
          <cell r="M2439">
            <v>60062815</v>
          </cell>
          <cell r="N2439">
            <v>38900</v>
          </cell>
          <cell r="O2439" t="str">
            <v>125907TCD001</v>
          </cell>
          <cell r="P2439" t="str">
            <v>IN6702N1S161401</v>
          </cell>
        </row>
        <row r="2440">
          <cell r="A2440">
            <v>60051024</v>
          </cell>
          <cell r="B2440">
            <v>2439</v>
          </cell>
          <cell r="C2440" t="str">
            <v>CS01/10</v>
          </cell>
          <cell r="D2440" t="str">
            <v>SPCC-SD</v>
          </cell>
          <cell r="E2440" t="str">
            <v>AF1</v>
          </cell>
          <cell r="F2440">
            <v>0.7</v>
          </cell>
          <cell r="G2440">
            <v>60</v>
          </cell>
          <cell r="H2440" t="str">
            <v>C</v>
          </cell>
          <cell r="I2440" t="str">
            <v>A</v>
          </cell>
          <cell r="K2440">
            <v>1</v>
          </cell>
          <cell r="L2440">
            <v>86</v>
          </cell>
          <cell r="M2440">
            <v>60051024</v>
          </cell>
          <cell r="N2440">
            <v>38754</v>
          </cell>
          <cell r="O2440" t="str">
            <v>125514TCD009</v>
          </cell>
          <cell r="P2440" t="str">
            <v>IN6206N1S711501</v>
          </cell>
        </row>
        <row r="2441">
          <cell r="A2441">
            <v>60040074</v>
          </cell>
          <cell r="B2441">
            <v>2440</v>
          </cell>
          <cell r="C2441" t="str">
            <v>CS01/10</v>
          </cell>
          <cell r="D2441" t="str">
            <v>SPCC-SD</v>
          </cell>
          <cell r="E2441" t="str">
            <v>AF1</v>
          </cell>
          <cell r="F2441">
            <v>0.7</v>
          </cell>
          <cell r="G2441">
            <v>90</v>
          </cell>
          <cell r="H2441" t="str">
            <v>C</v>
          </cell>
          <cell r="I2441" t="str">
            <v>A</v>
          </cell>
          <cell r="K2441">
            <v>1</v>
          </cell>
          <cell r="L2441">
            <v>216</v>
          </cell>
          <cell r="M2441">
            <v>60040074</v>
          </cell>
          <cell r="N2441">
            <v>38601</v>
          </cell>
          <cell r="O2441" t="str">
            <v>124830TCD001</v>
          </cell>
          <cell r="P2441" t="str">
            <v>IN5906N1S273901</v>
          </cell>
        </row>
        <row r="2442">
          <cell r="A2442">
            <v>60040599</v>
          </cell>
          <cell r="B2442">
            <v>2441</v>
          </cell>
          <cell r="C2442" t="str">
            <v>CS01/10</v>
          </cell>
          <cell r="D2442" t="str">
            <v>SPCC-SD</v>
          </cell>
          <cell r="E2442" t="str">
            <v>AF1</v>
          </cell>
          <cell r="F2442">
            <v>0.7</v>
          </cell>
          <cell r="G2442">
            <v>147</v>
          </cell>
          <cell r="H2442" t="str">
            <v>C</v>
          </cell>
          <cell r="I2442" t="str">
            <v>A</v>
          </cell>
          <cell r="K2442">
            <v>1</v>
          </cell>
          <cell r="L2442">
            <v>434</v>
          </cell>
          <cell r="M2442">
            <v>60040599</v>
          </cell>
          <cell r="N2442">
            <v>38609</v>
          </cell>
          <cell r="O2442" t="str">
            <v>125514TCD010</v>
          </cell>
          <cell r="P2442" t="str">
            <v>IN5914N1S286401</v>
          </cell>
        </row>
        <row r="2443">
          <cell r="A2443">
            <v>60049078</v>
          </cell>
          <cell r="B2443">
            <v>2442</v>
          </cell>
          <cell r="C2443" t="str">
            <v>CS01/10</v>
          </cell>
          <cell r="D2443" t="str">
            <v>SPCC-SD</v>
          </cell>
          <cell r="E2443" t="str">
            <v>AF1</v>
          </cell>
          <cell r="F2443">
            <v>0.8</v>
          </cell>
          <cell r="G2443">
            <v>36</v>
          </cell>
          <cell r="H2443" t="str">
            <v>C</v>
          </cell>
          <cell r="I2443" t="str">
            <v>A</v>
          </cell>
          <cell r="K2443">
            <v>1</v>
          </cell>
          <cell r="L2443">
            <v>80</v>
          </cell>
          <cell r="M2443">
            <v>60049078</v>
          </cell>
          <cell r="N2443">
            <v>38724</v>
          </cell>
          <cell r="O2443" t="str">
            <v>125B24SUD012</v>
          </cell>
          <cell r="P2443" t="str">
            <v>IN6107N1S627301</v>
          </cell>
        </row>
        <row r="2444">
          <cell r="A2444">
            <v>60049056</v>
          </cell>
          <cell r="B2444">
            <v>2443</v>
          </cell>
          <cell r="C2444" t="str">
            <v>CS01/10</v>
          </cell>
          <cell r="D2444" t="str">
            <v>SPCC-SD</v>
          </cell>
          <cell r="E2444" t="str">
            <v>AF1</v>
          </cell>
          <cell r="F2444">
            <v>0.8</v>
          </cell>
          <cell r="G2444">
            <v>46</v>
          </cell>
          <cell r="H2444" t="str">
            <v>C</v>
          </cell>
          <cell r="I2444" t="str">
            <v>A</v>
          </cell>
          <cell r="K2444">
            <v>1</v>
          </cell>
          <cell r="L2444">
            <v>112</v>
          </cell>
          <cell r="M2444">
            <v>60049056</v>
          </cell>
          <cell r="N2444">
            <v>38724</v>
          </cell>
          <cell r="O2444" t="str">
            <v>125B24SUD012</v>
          </cell>
          <cell r="P2444" t="str">
            <v>IN6107N1S627301</v>
          </cell>
        </row>
        <row r="2445">
          <cell r="A2445">
            <v>60049052</v>
          </cell>
          <cell r="B2445">
            <v>2444</v>
          </cell>
          <cell r="C2445" t="str">
            <v>CS01/10</v>
          </cell>
          <cell r="D2445" t="str">
            <v>SPCC-SD</v>
          </cell>
          <cell r="E2445" t="str">
            <v>AF1</v>
          </cell>
          <cell r="F2445">
            <v>0.8</v>
          </cell>
          <cell r="G2445">
            <v>74</v>
          </cell>
          <cell r="H2445" t="str">
            <v>C</v>
          </cell>
          <cell r="I2445" t="str">
            <v>A</v>
          </cell>
          <cell r="K2445">
            <v>1</v>
          </cell>
          <cell r="L2445">
            <v>152</v>
          </cell>
          <cell r="M2445">
            <v>60049052</v>
          </cell>
          <cell r="N2445">
            <v>38724</v>
          </cell>
          <cell r="O2445" t="str">
            <v>125B24SUD012</v>
          </cell>
          <cell r="P2445" t="str">
            <v>IN6107N1S627301</v>
          </cell>
        </row>
        <row r="2446">
          <cell r="A2446">
            <v>60049259</v>
          </cell>
          <cell r="B2446">
            <v>2445</v>
          </cell>
          <cell r="C2446" t="str">
            <v>CS01/10</v>
          </cell>
          <cell r="D2446" t="str">
            <v>SPCC-SD</v>
          </cell>
          <cell r="E2446" t="str">
            <v>AF1</v>
          </cell>
          <cell r="F2446">
            <v>0.8</v>
          </cell>
          <cell r="G2446">
            <v>80</v>
          </cell>
          <cell r="H2446" t="str">
            <v>C</v>
          </cell>
          <cell r="I2446" t="str">
            <v>A</v>
          </cell>
          <cell r="K2446">
            <v>1</v>
          </cell>
          <cell r="L2446">
            <v>80</v>
          </cell>
          <cell r="M2446">
            <v>60049259</v>
          </cell>
          <cell r="N2446">
            <v>38727</v>
          </cell>
          <cell r="O2446" t="str">
            <v>125C19SUD003</v>
          </cell>
          <cell r="P2446" t="str">
            <v>IN6110D1S635601</v>
          </cell>
        </row>
        <row r="2447">
          <cell r="A2447">
            <v>60042680</v>
          </cell>
          <cell r="B2447">
            <v>2446</v>
          </cell>
          <cell r="C2447" t="str">
            <v>CS01/10</v>
          </cell>
          <cell r="D2447" t="str">
            <v>SPCC-SD</v>
          </cell>
          <cell r="E2447" t="str">
            <v>AF1</v>
          </cell>
          <cell r="F2447">
            <v>0.8</v>
          </cell>
          <cell r="G2447">
            <v>83</v>
          </cell>
          <cell r="H2447" t="str">
            <v>C</v>
          </cell>
          <cell r="I2447" t="str">
            <v>A</v>
          </cell>
          <cell r="K2447">
            <v>1</v>
          </cell>
          <cell r="L2447">
            <v>202</v>
          </cell>
          <cell r="M2447">
            <v>60042680</v>
          </cell>
          <cell r="N2447" t="str">
            <v>19/A/2005</v>
          </cell>
          <cell r="O2447" t="str">
            <v>124B27SUD005</v>
          </cell>
          <cell r="P2447" t="str">
            <v>FN5A19N1S366501</v>
          </cell>
        </row>
        <row r="2448">
          <cell r="A2448">
            <v>60064090</v>
          </cell>
          <cell r="B2448">
            <v>2447</v>
          </cell>
          <cell r="C2448" t="str">
            <v>CS01/10</v>
          </cell>
          <cell r="D2448" t="str">
            <v>SPCC-SD</v>
          </cell>
          <cell r="E2448" t="str">
            <v>AF1</v>
          </cell>
          <cell r="F2448">
            <v>0.8</v>
          </cell>
          <cell r="G2448">
            <v>84</v>
          </cell>
          <cell r="H2448" t="str">
            <v>C</v>
          </cell>
          <cell r="I2448" t="str">
            <v>A</v>
          </cell>
          <cell r="K2448">
            <v>1</v>
          </cell>
          <cell r="L2448">
            <v>317</v>
          </cell>
          <cell r="M2448">
            <v>60064090</v>
          </cell>
          <cell r="N2448">
            <v>38919</v>
          </cell>
          <cell r="O2448" t="str">
            <v>126424SUD008</v>
          </cell>
          <cell r="P2448" t="str">
            <v>IN6721N1S225501</v>
          </cell>
        </row>
        <row r="2449">
          <cell r="A2449">
            <v>60054057</v>
          </cell>
          <cell r="B2449">
            <v>2448</v>
          </cell>
          <cell r="C2449" t="str">
            <v>CS01/10</v>
          </cell>
          <cell r="D2449" t="str">
            <v>SPCC-SD</v>
          </cell>
          <cell r="E2449" t="str">
            <v>AF1</v>
          </cell>
          <cell r="F2449">
            <v>0.8</v>
          </cell>
          <cell r="G2449">
            <v>100</v>
          </cell>
          <cell r="H2449" t="str">
            <v>C</v>
          </cell>
          <cell r="I2449" t="str">
            <v>A</v>
          </cell>
          <cell r="K2449">
            <v>1</v>
          </cell>
          <cell r="L2449">
            <v>664</v>
          </cell>
          <cell r="M2449">
            <v>60054057</v>
          </cell>
          <cell r="N2449">
            <v>38787</v>
          </cell>
          <cell r="O2449" t="str">
            <v>126218SUD003</v>
          </cell>
          <cell r="P2449" t="str">
            <v>IN6311N1S825301</v>
          </cell>
        </row>
        <row r="2450">
          <cell r="A2450">
            <v>60057547</v>
          </cell>
          <cell r="B2450">
            <v>2449</v>
          </cell>
          <cell r="C2450" t="str">
            <v>CS01/10</v>
          </cell>
          <cell r="D2450" t="str">
            <v>SPCC-SD</v>
          </cell>
          <cell r="E2450" t="str">
            <v>AF1</v>
          </cell>
          <cell r="F2450">
            <v>0.8</v>
          </cell>
          <cell r="G2450">
            <v>189</v>
          </cell>
          <cell r="H2450" t="str">
            <v>C</v>
          </cell>
          <cell r="I2450" t="str">
            <v>A</v>
          </cell>
          <cell r="K2450">
            <v>1</v>
          </cell>
          <cell r="L2450">
            <v>1254</v>
          </cell>
          <cell r="M2450">
            <v>60057547</v>
          </cell>
          <cell r="N2450">
            <v>38833</v>
          </cell>
          <cell r="O2450" t="str">
            <v>126424SUD009</v>
          </cell>
          <cell r="P2450" t="str">
            <v>IN6426N1S969701</v>
          </cell>
        </row>
        <row r="2451">
          <cell r="A2451">
            <v>60063400</v>
          </cell>
          <cell r="B2451">
            <v>2450</v>
          </cell>
          <cell r="C2451" t="str">
            <v>CS01/10</v>
          </cell>
          <cell r="D2451" t="str">
            <v>SPCC-SD</v>
          </cell>
          <cell r="E2451" t="str">
            <v>AF1</v>
          </cell>
          <cell r="F2451">
            <v>1</v>
          </cell>
          <cell r="G2451">
            <v>44</v>
          </cell>
          <cell r="H2451" t="str">
            <v>C</v>
          </cell>
          <cell r="I2451" t="str">
            <v>A</v>
          </cell>
          <cell r="K2451">
            <v>1</v>
          </cell>
          <cell r="L2451">
            <v>261</v>
          </cell>
          <cell r="M2451">
            <v>60063400</v>
          </cell>
          <cell r="N2451">
            <v>38910</v>
          </cell>
          <cell r="O2451" t="str">
            <v>126216SUD023</v>
          </cell>
          <cell r="P2451" t="str">
            <v>IN6712D1S193301</v>
          </cell>
        </row>
        <row r="2452">
          <cell r="A2452">
            <v>60061552</v>
          </cell>
          <cell r="B2452">
            <v>2451</v>
          </cell>
          <cell r="C2452" t="str">
            <v>CS01/10</v>
          </cell>
          <cell r="D2452" t="str">
            <v>SPCC-SD</v>
          </cell>
          <cell r="E2452" t="str">
            <v>AF1</v>
          </cell>
          <cell r="F2452">
            <v>1</v>
          </cell>
          <cell r="G2452">
            <v>73</v>
          </cell>
          <cell r="H2452" t="str">
            <v>C</v>
          </cell>
          <cell r="I2452" t="str">
            <v>A</v>
          </cell>
          <cell r="K2452">
            <v>1</v>
          </cell>
          <cell r="L2452">
            <v>470</v>
          </cell>
          <cell r="M2452">
            <v>60061552</v>
          </cell>
          <cell r="N2452">
            <v>38881</v>
          </cell>
          <cell r="P2452" t="str">
            <v>IN6613DZZ999901</v>
          </cell>
        </row>
        <row r="2453">
          <cell r="A2453">
            <v>60061553</v>
          </cell>
          <cell r="B2453">
            <v>2452</v>
          </cell>
          <cell r="C2453" t="str">
            <v>CS01/10</v>
          </cell>
          <cell r="D2453" t="str">
            <v>SPCC-SD</v>
          </cell>
          <cell r="E2453" t="str">
            <v>AF1</v>
          </cell>
          <cell r="F2453">
            <v>1</v>
          </cell>
          <cell r="G2453">
            <v>73</v>
          </cell>
          <cell r="H2453" t="str">
            <v>C</v>
          </cell>
          <cell r="I2453" t="str">
            <v>A</v>
          </cell>
          <cell r="K2453">
            <v>1</v>
          </cell>
          <cell r="L2453">
            <v>470</v>
          </cell>
          <cell r="M2453">
            <v>60061553</v>
          </cell>
          <cell r="N2453">
            <v>38881</v>
          </cell>
          <cell r="P2453" t="str">
            <v>IN6613DZZ999902</v>
          </cell>
        </row>
        <row r="2454">
          <cell r="A2454">
            <v>60061554</v>
          </cell>
          <cell r="B2454">
            <v>2453</v>
          </cell>
          <cell r="C2454" t="str">
            <v>CS01/10</v>
          </cell>
          <cell r="D2454" t="str">
            <v>SPCC-SD</v>
          </cell>
          <cell r="E2454" t="str">
            <v>AF1</v>
          </cell>
          <cell r="F2454">
            <v>1</v>
          </cell>
          <cell r="G2454">
            <v>73</v>
          </cell>
          <cell r="H2454" t="str">
            <v>C</v>
          </cell>
          <cell r="I2454" t="str">
            <v>A</v>
          </cell>
          <cell r="K2454">
            <v>1</v>
          </cell>
          <cell r="L2454">
            <v>408</v>
          </cell>
          <cell r="M2454">
            <v>60061554</v>
          </cell>
          <cell r="N2454">
            <v>38881</v>
          </cell>
          <cell r="P2454" t="str">
            <v>IN6613DZZ999903</v>
          </cell>
        </row>
        <row r="2455">
          <cell r="A2455">
            <v>60061555</v>
          </cell>
          <cell r="B2455">
            <v>2454</v>
          </cell>
          <cell r="C2455" t="str">
            <v>CS01/10</v>
          </cell>
          <cell r="D2455" t="str">
            <v>SPCC-SD</v>
          </cell>
          <cell r="E2455" t="str">
            <v>AF1</v>
          </cell>
          <cell r="F2455">
            <v>1</v>
          </cell>
          <cell r="G2455">
            <v>73</v>
          </cell>
          <cell r="H2455" t="str">
            <v>C</v>
          </cell>
          <cell r="I2455" t="str">
            <v>A</v>
          </cell>
          <cell r="K2455">
            <v>1</v>
          </cell>
          <cell r="L2455">
            <v>395</v>
          </cell>
          <cell r="M2455">
            <v>60061555</v>
          </cell>
          <cell r="N2455">
            <v>38881</v>
          </cell>
          <cell r="P2455" t="str">
            <v>IN6613DZZ999904</v>
          </cell>
        </row>
        <row r="2456">
          <cell r="A2456">
            <v>60061556</v>
          </cell>
          <cell r="B2456">
            <v>2455</v>
          </cell>
          <cell r="C2456" t="str">
            <v>CS01/10</v>
          </cell>
          <cell r="D2456" t="str">
            <v>SPCC-SD</v>
          </cell>
          <cell r="E2456" t="str">
            <v>AF1</v>
          </cell>
          <cell r="F2456">
            <v>1</v>
          </cell>
          <cell r="G2456">
            <v>73</v>
          </cell>
          <cell r="H2456" t="str">
            <v>C</v>
          </cell>
          <cell r="I2456" t="str">
            <v>A</v>
          </cell>
          <cell r="K2456">
            <v>1</v>
          </cell>
          <cell r="L2456">
            <v>464</v>
          </cell>
          <cell r="M2456">
            <v>60061556</v>
          </cell>
          <cell r="N2456">
            <v>38881</v>
          </cell>
          <cell r="O2456" t="str">
            <v>Z6613TCD001</v>
          </cell>
          <cell r="P2456" t="str">
            <v>IN6613DZZ999901</v>
          </cell>
        </row>
        <row r="2457">
          <cell r="A2457">
            <v>60061557</v>
          </cell>
          <cell r="B2457">
            <v>2456</v>
          </cell>
          <cell r="C2457" t="str">
            <v>CS01/10</v>
          </cell>
          <cell r="D2457" t="str">
            <v>SPCC-SD</v>
          </cell>
          <cell r="E2457" t="str">
            <v>AF1</v>
          </cell>
          <cell r="F2457">
            <v>1</v>
          </cell>
          <cell r="G2457">
            <v>73</v>
          </cell>
          <cell r="H2457" t="str">
            <v>C</v>
          </cell>
          <cell r="I2457" t="str">
            <v>A</v>
          </cell>
          <cell r="K2457">
            <v>1</v>
          </cell>
          <cell r="L2457">
            <v>470</v>
          </cell>
          <cell r="M2457">
            <v>60061557</v>
          </cell>
          <cell r="N2457">
            <v>38881</v>
          </cell>
          <cell r="O2457" t="str">
            <v>Z6613TCD002</v>
          </cell>
          <cell r="P2457" t="str">
            <v>IN6613DZZ999901</v>
          </cell>
        </row>
        <row r="2458">
          <cell r="A2458">
            <v>60061558</v>
          </cell>
          <cell r="B2458">
            <v>2457</v>
          </cell>
          <cell r="C2458" t="str">
            <v>CS01/10</v>
          </cell>
          <cell r="D2458" t="str">
            <v>SPCC-SD</v>
          </cell>
          <cell r="E2458" t="str">
            <v>AF1</v>
          </cell>
          <cell r="F2458">
            <v>1</v>
          </cell>
          <cell r="G2458">
            <v>73</v>
          </cell>
          <cell r="H2458" t="str">
            <v>C</v>
          </cell>
          <cell r="I2458" t="str">
            <v>A</v>
          </cell>
          <cell r="K2458">
            <v>1</v>
          </cell>
          <cell r="L2458">
            <v>465</v>
          </cell>
          <cell r="M2458">
            <v>60061558</v>
          </cell>
          <cell r="N2458">
            <v>38881</v>
          </cell>
          <cell r="O2458" t="str">
            <v>Z6613TCD003</v>
          </cell>
          <cell r="P2458" t="str">
            <v>IN6613DZZ999901</v>
          </cell>
        </row>
        <row r="2459">
          <cell r="A2459">
            <v>60043015</v>
          </cell>
          <cell r="B2459">
            <v>2458</v>
          </cell>
          <cell r="C2459" t="str">
            <v>CS01/10</v>
          </cell>
          <cell r="D2459" t="str">
            <v>SPCC-SD</v>
          </cell>
          <cell r="E2459" t="str">
            <v>AF1</v>
          </cell>
          <cell r="F2459">
            <v>1</v>
          </cell>
          <cell r="G2459">
            <v>87</v>
          </cell>
          <cell r="H2459" t="str">
            <v>C</v>
          </cell>
          <cell r="I2459" t="str">
            <v>A</v>
          </cell>
          <cell r="K2459">
            <v>1</v>
          </cell>
          <cell r="L2459">
            <v>632</v>
          </cell>
          <cell r="M2459">
            <v>60043015</v>
          </cell>
          <cell r="N2459" t="str">
            <v>25/A/2005</v>
          </cell>
          <cell r="O2459" t="str">
            <v>125A14SUD005</v>
          </cell>
          <cell r="P2459" t="str">
            <v>IN5A25N1S406901</v>
          </cell>
        </row>
        <row r="2460">
          <cell r="A2460">
            <v>60052652</v>
          </cell>
          <cell r="B2460">
            <v>2459</v>
          </cell>
          <cell r="C2460" t="str">
            <v>CS01/10</v>
          </cell>
          <cell r="D2460" t="str">
            <v>SPCC-SD</v>
          </cell>
          <cell r="E2460" t="str">
            <v>AF1</v>
          </cell>
          <cell r="F2460">
            <v>1</v>
          </cell>
          <cell r="G2460">
            <v>87</v>
          </cell>
          <cell r="H2460" t="str">
            <v>C</v>
          </cell>
          <cell r="I2460" t="str">
            <v>A</v>
          </cell>
          <cell r="K2460">
            <v>1</v>
          </cell>
          <cell r="L2460">
            <v>422</v>
          </cell>
          <cell r="M2460">
            <v>60052652</v>
          </cell>
          <cell r="N2460">
            <v>38772</v>
          </cell>
          <cell r="O2460" t="str">
            <v>126218SUD002</v>
          </cell>
          <cell r="P2460" t="str">
            <v>IN6224D1S77001</v>
          </cell>
        </row>
        <row r="2461">
          <cell r="A2461">
            <v>60052984</v>
          </cell>
          <cell r="B2461">
            <v>2460</v>
          </cell>
          <cell r="C2461" t="str">
            <v>CS01/10</v>
          </cell>
          <cell r="D2461" t="str">
            <v>SPCC-SD</v>
          </cell>
          <cell r="E2461" t="str">
            <v>AF1</v>
          </cell>
          <cell r="F2461">
            <v>1.2</v>
          </cell>
          <cell r="G2461">
            <v>90</v>
          </cell>
          <cell r="H2461" t="str">
            <v>C</v>
          </cell>
          <cell r="I2461" t="str">
            <v>A</v>
          </cell>
          <cell r="K2461">
            <v>1</v>
          </cell>
          <cell r="L2461">
            <v>88</v>
          </cell>
          <cell r="M2461">
            <v>60052984</v>
          </cell>
          <cell r="N2461">
            <v>38777</v>
          </cell>
          <cell r="O2461" t="str">
            <v>126118TCD002</v>
          </cell>
          <cell r="P2461" t="str">
            <v>IN6301N1S788501</v>
          </cell>
        </row>
        <row r="2462">
          <cell r="A2462">
            <v>60051390</v>
          </cell>
          <cell r="B2462">
            <v>2461</v>
          </cell>
          <cell r="C2462" t="str">
            <v>CS01/10</v>
          </cell>
          <cell r="D2462" t="str">
            <v>SPCC-SD</v>
          </cell>
          <cell r="E2462" t="str">
            <v>AF1</v>
          </cell>
          <cell r="F2462">
            <v>1.2</v>
          </cell>
          <cell r="G2462">
            <v>130</v>
          </cell>
          <cell r="H2462" t="str">
            <v>C</v>
          </cell>
          <cell r="I2462" t="str">
            <v>A</v>
          </cell>
          <cell r="K2462">
            <v>1</v>
          </cell>
          <cell r="L2462">
            <v>128</v>
          </cell>
          <cell r="M2462">
            <v>60051390</v>
          </cell>
          <cell r="N2462">
            <v>38763</v>
          </cell>
          <cell r="O2462" t="str">
            <v>126118TCD003</v>
          </cell>
          <cell r="P2462" t="str">
            <v>IN6215N1S738201</v>
          </cell>
        </row>
        <row r="2463">
          <cell r="A2463">
            <v>60063530</v>
          </cell>
          <cell r="B2463">
            <v>2462</v>
          </cell>
          <cell r="C2463" t="str">
            <v>CS01/10</v>
          </cell>
          <cell r="D2463" t="str">
            <v>SPCC-SD</v>
          </cell>
          <cell r="E2463" t="str">
            <v>AF1</v>
          </cell>
          <cell r="F2463">
            <v>1.2</v>
          </cell>
          <cell r="G2463">
            <v>161</v>
          </cell>
          <cell r="H2463" t="str">
            <v>C</v>
          </cell>
          <cell r="I2463" t="str">
            <v>A</v>
          </cell>
          <cell r="K2463">
            <v>1</v>
          </cell>
          <cell r="L2463">
            <v>624</v>
          </cell>
          <cell r="M2463">
            <v>60063530</v>
          </cell>
          <cell r="N2463">
            <v>38912</v>
          </cell>
          <cell r="O2463" t="str">
            <v>126605SUD005</v>
          </cell>
          <cell r="P2463" t="str">
            <v>IN67014D1S200801</v>
          </cell>
        </row>
        <row r="2464">
          <cell r="A2464">
            <v>60063474</v>
          </cell>
          <cell r="B2464">
            <v>2463</v>
          </cell>
          <cell r="C2464" t="str">
            <v>CS01/10</v>
          </cell>
          <cell r="D2464" t="str">
            <v>SPCC-SD</v>
          </cell>
          <cell r="E2464" t="str">
            <v>AF1</v>
          </cell>
          <cell r="F2464">
            <v>1.2</v>
          </cell>
          <cell r="G2464">
            <v>227</v>
          </cell>
          <cell r="H2464" t="str">
            <v>C</v>
          </cell>
          <cell r="I2464" t="str">
            <v>A</v>
          </cell>
          <cell r="K2464">
            <v>1</v>
          </cell>
          <cell r="L2464">
            <v>341</v>
          </cell>
          <cell r="M2464">
            <v>60063474</v>
          </cell>
          <cell r="N2464">
            <v>38911</v>
          </cell>
          <cell r="O2464" t="str">
            <v>126605SUD006</v>
          </cell>
          <cell r="P2464" t="str">
            <v>IN6713D1S196801</v>
          </cell>
        </row>
        <row r="2465">
          <cell r="A2465">
            <v>60063433</v>
          </cell>
          <cell r="B2465">
            <v>2464</v>
          </cell>
          <cell r="C2465" t="str">
            <v>CS01/10</v>
          </cell>
          <cell r="D2465" t="str">
            <v>SPCC-SD</v>
          </cell>
          <cell r="E2465" t="str">
            <v>AF1</v>
          </cell>
          <cell r="F2465">
            <v>1.4</v>
          </cell>
          <cell r="G2465">
            <v>39</v>
          </cell>
          <cell r="H2465" t="str">
            <v>C</v>
          </cell>
          <cell r="I2465" t="str">
            <v>A</v>
          </cell>
          <cell r="K2465">
            <v>1</v>
          </cell>
          <cell r="L2465">
            <v>55</v>
          </cell>
          <cell r="M2465">
            <v>60063433</v>
          </cell>
          <cell r="N2465">
            <v>38911</v>
          </cell>
          <cell r="O2465" t="str">
            <v>121316SUD021</v>
          </cell>
          <cell r="P2465" t="str">
            <v>IN6713N1S196101</v>
          </cell>
        </row>
        <row r="2466">
          <cell r="A2466">
            <v>60050381</v>
          </cell>
          <cell r="B2466">
            <v>2465</v>
          </cell>
          <cell r="C2466" t="str">
            <v>CS01/10</v>
          </cell>
          <cell r="D2466" t="str">
            <v>SPCC-SD</v>
          </cell>
          <cell r="E2466" t="str">
            <v>AF1</v>
          </cell>
          <cell r="F2466">
            <v>1.6</v>
          </cell>
          <cell r="G2466">
            <v>67</v>
          </cell>
          <cell r="H2466" t="str">
            <v>C</v>
          </cell>
          <cell r="I2466" t="str">
            <v>A</v>
          </cell>
          <cell r="K2466">
            <v>1</v>
          </cell>
          <cell r="L2466">
            <v>97</v>
          </cell>
          <cell r="M2466">
            <v>60050381</v>
          </cell>
          <cell r="N2466">
            <v>38744</v>
          </cell>
          <cell r="O2466" t="str">
            <v>125A21SUD002</v>
          </cell>
          <cell r="P2466" t="str">
            <v>FN6127N2S685401</v>
          </cell>
        </row>
        <row r="2467">
          <cell r="A2467">
            <v>60050401</v>
          </cell>
          <cell r="B2467">
            <v>2466</v>
          </cell>
          <cell r="C2467" t="str">
            <v>CS01/10</v>
          </cell>
          <cell r="D2467" t="str">
            <v>SPCC-SD</v>
          </cell>
          <cell r="E2467" t="str">
            <v>AF1</v>
          </cell>
          <cell r="F2467">
            <v>1.6</v>
          </cell>
          <cell r="G2467">
            <v>67</v>
          </cell>
          <cell r="H2467" t="str">
            <v>C</v>
          </cell>
          <cell r="I2467" t="str">
            <v>A</v>
          </cell>
          <cell r="K2467">
            <v>1</v>
          </cell>
          <cell r="L2467">
            <v>95</v>
          </cell>
          <cell r="M2467">
            <v>60050401</v>
          </cell>
          <cell r="N2467">
            <v>38744</v>
          </cell>
          <cell r="O2467" t="str">
            <v>125A21SUD003</v>
          </cell>
          <cell r="P2467" t="str">
            <v>FN6127N2S685402</v>
          </cell>
        </row>
        <row r="2468">
          <cell r="A2468">
            <v>60017704</v>
          </cell>
          <cell r="B2468">
            <v>2467</v>
          </cell>
          <cell r="C2468" t="str">
            <v>CS01/10</v>
          </cell>
          <cell r="D2468" t="str">
            <v>SPCC-SD</v>
          </cell>
          <cell r="E2468" t="str">
            <v>AF1</v>
          </cell>
          <cell r="F2468">
            <v>1.6</v>
          </cell>
          <cell r="G2468">
            <v>88</v>
          </cell>
          <cell r="H2468" t="str">
            <v>C</v>
          </cell>
          <cell r="I2468" t="str">
            <v>A</v>
          </cell>
          <cell r="K2468">
            <v>1</v>
          </cell>
          <cell r="L2468">
            <v>139</v>
          </cell>
          <cell r="M2468">
            <v>60017704</v>
          </cell>
          <cell r="N2468">
            <v>38750</v>
          </cell>
          <cell r="O2468" t="str">
            <v>124702TCD002</v>
          </cell>
          <cell r="P2468" t="str">
            <v>FN6220N1S748001</v>
          </cell>
        </row>
        <row r="2469">
          <cell r="A2469">
            <v>60060017</v>
          </cell>
          <cell r="B2469">
            <v>2468</v>
          </cell>
          <cell r="C2469" t="str">
            <v>CS01/10</v>
          </cell>
          <cell r="D2469" t="str">
            <v>SPCC-SD</v>
          </cell>
          <cell r="E2469" t="str">
            <v>AF1</v>
          </cell>
          <cell r="F2469">
            <v>1.6</v>
          </cell>
          <cell r="G2469">
            <v>104</v>
          </cell>
          <cell r="H2469" t="str">
            <v>C</v>
          </cell>
          <cell r="I2469" t="str">
            <v>A</v>
          </cell>
          <cell r="K2469">
            <v>1</v>
          </cell>
          <cell r="L2469">
            <v>348</v>
          </cell>
          <cell r="M2469">
            <v>60060017</v>
          </cell>
          <cell r="N2469">
            <v>38862</v>
          </cell>
          <cell r="O2469" t="str">
            <v>125423SUD003</v>
          </cell>
          <cell r="P2469" t="str">
            <v>IN6525D2S033901</v>
          </cell>
        </row>
        <row r="2470">
          <cell r="A2470">
            <v>60060018</v>
          </cell>
          <cell r="B2470">
            <v>2469</v>
          </cell>
          <cell r="C2470" t="str">
            <v>CS01/10</v>
          </cell>
          <cell r="D2470" t="str">
            <v>SPCC-SD</v>
          </cell>
          <cell r="E2470" t="str">
            <v>AF1</v>
          </cell>
          <cell r="F2470">
            <v>1.6</v>
          </cell>
          <cell r="G2470">
            <v>104</v>
          </cell>
          <cell r="H2470" t="str">
            <v>C</v>
          </cell>
          <cell r="I2470" t="str">
            <v>A</v>
          </cell>
          <cell r="K2470">
            <v>1</v>
          </cell>
          <cell r="L2470">
            <v>348</v>
          </cell>
          <cell r="M2470">
            <v>60060018</v>
          </cell>
          <cell r="N2470">
            <v>38862</v>
          </cell>
          <cell r="O2470" t="str">
            <v>125423SUD003</v>
          </cell>
          <cell r="P2470" t="str">
            <v>IN6525D2S033902</v>
          </cell>
        </row>
        <row r="2471">
          <cell r="A2471">
            <v>60060019</v>
          </cell>
          <cell r="B2471">
            <v>2470</v>
          </cell>
          <cell r="C2471" t="str">
            <v>CS01/10</v>
          </cell>
          <cell r="D2471" t="str">
            <v>SPCC-SD</v>
          </cell>
          <cell r="E2471" t="str">
            <v>AF1</v>
          </cell>
          <cell r="F2471">
            <v>1.6</v>
          </cell>
          <cell r="G2471">
            <v>104</v>
          </cell>
          <cell r="H2471" t="str">
            <v>C</v>
          </cell>
          <cell r="I2471" t="str">
            <v>A</v>
          </cell>
          <cell r="K2471">
            <v>1</v>
          </cell>
          <cell r="L2471">
            <v>348</v>
          </cell>
          <cell r="M2471">
            <v>60060019</v>
          </cell>
          <cell r="N2471">
            <v>38862</v>
          </cell>
          <cell r="O2471" t="str">
            <v>125423SUD003</v>
          </cell>
          <cell r="P2471" t="str">
            <v>IN6525D2S033903</v>
          </cell>
        </row>
        <row r="2472">
          <cell r="A2472">
            <v>60055843</v>
          </cell>
          <cell r="B2472">
            <v>2471</v>
          </cell>
          <cell r="C2472" t="str">
            <v>CS01/10</v>
          </cell>
          <cell r="D2472" t="str">
            <v>SPCC-SD</v>
          </cell>
          <cell r="E2472" t="str">
            <v>AF1</v>
          </cell>
          <cell r="F2472">
            <v>1.6</v>
          </cell>
          <cell r="G2472">
            <v>140</v>
          </cell>
          <cell r="H2472" t="str">
            <v>C</v>
          </cell>
          <cell r="I2472" t="str">
            <v>A</v>
          </cell>
          <cell r="K2472">
            <v>1</v>
          </cell>
          <cell r="L2472">
            <v>200</v>
          </cell>
          <cell r="M2472">
            <v>60055843</v>
          </cell>
          <cell r="N2472">
            <v>38806</v>
          </cell>
          <cell r="O2472" t="str">
            <v>126326SUD001</v>
          </cell>
          <cell r="P2472" t="str">
            <v>IN6330D2S895401</v>
          </cell>
        </row>
        <row r="2473">
          <cell r="A2473">
            <v>60055849</v>
          </cell>
          <cell r="B2473">
            <v>2472</v>
          </cell>
          <cell r="C2473" t="str">
            <v>CS01/10</v>
          </cell>
          <cell r="D2473" t="str">
            <v>SPCC-SD</v>
          </cell>
          <cell r="E2473" t="str">
            <v>AF1</v>
          </cell>
          <cell r="F2473">
            <v>1.6</v>
          </cell>
          <cell r="G2473">
            <v>140</v>
          </cell>
          <cell r="H2473" t="str">
            <v>C</v>
          </cell>
          <cell r="I2473" t="str">
            <v>A</v>
          </cell>
          <cell r="K2473">
            <v>1</v>
          </cell>
          <cell r="L2473">
            <v>224</v>
          </cell>
          <cell r="M2473">
            <v>60055849</v>
          </cell>
          <cell r="N2473">
            <v>38806</v>
          </cell>
          <cell r="O2473" t="str">
            <v>126326SUD001</v>
          </cell>
          <cell r="P2473" t="str">
            <v>IN6330D2S895402</v>
          </cell>
        </row>
        <row r="2474">
          <cell r="A2474">
            <v>60055855</v>
          </cell>
          <cell r="B2474">
            <v>2473</v>
          </cell>
          <cell r="C2474" t="str">
            <v>CS01/10</v>
          </cell>
          <cell r="D2474" t="str">
            <v>SPCC-SD</v>
          </cell>
          <cell r="E2474" t="str">
            <v>AF1</v>
          </cell>
          <cell r="F2474">
            <v>1.6</v>
          </cell>
          <cell r="G2474">
            <v>140</v>
          </cell>
          <cell r="H2474" t="str">
            <v>C</v>
          </cell>
          <cell r="I2474" t="str">
            <v>A</v>
          </cell>
          <cell r="K2474">
            <v>1</v>
          </cell>
          <cell r="L2474">
            <v>238</v>
          </cell>
          <cell r="M2474">
            <v>60055855</v>
          </cell>
          <cell r="N2474">
            <v>38806</v>
          </cell>
          <cell r="O2474" t="str">
            <v>126326SUD001</v>
          </cell>
          <cell r="P2474" t="str">
            <v>IN6330D2S895403</v>
          </cell>
        </row>
        <row r="2475">
          <cell r="A2475">
            <v>60054648</v>
          </cell>
          <cell r="B2475">
            <v>2474</v>
          </cell>
          <cell r="C2475" t="str">
            <v>CS01/10</v>
          </cell>
          <cell r="D2475" t="str">
            <v>SPCC-SD</v>
          </cell>
          <cell r="E2475" t="str">
            <v>AF1</v>
          </cell>
          <cell r="F2475">
            <v>1.6</v>
          </cell>
          <cell r="G2475">
            <v>150</v>
          </cell>
          <cell r="H2475" t="str">
            <v>C</v>
          </cell>
          <cell r="I2475" t="str">
            <v>A</v>
          </cell>
          <cell r="K2475">
            <v>1</v>
          </cell>
          <cell r="L2475">
            <v>336</v>
          </cell>
          <cell r="M2475">
            <v>60054648</v>
          </cell>
          <cell r="N2475">
            <v>38792</v>
          </cell>
          <cell r="O2475" t="str">
            <v>125A19TCD001</v>
          </cell>
          <cell r="P2475" t="str">
            <v>IN6316N2S847501</v>
          </cell>
        </row>
        <row r="2476">
          <cell r="A2476">
            <v>60055190</v>
          </cell>
          <cell r="B2476">
            <v>2475</v>
          </cell>
          <cell r="C2476" t="str">
            <v>CS01/10</v>
          </cell>
          <cell r="D2476" t="str">
            <v>SPCC-SD</v>
          </cell>
          <cell r="E2476" t="str">
            <v>AF1</v>
          </cell>
          <cell r="F2476">
            <v>1.6</v>
          </cell>
          <cell r="G2476">
            <v>150</v>
          </cell>
          <cell r="H2476" t="str">
            <v>C</v>
          </cell>
          <cell r="I2476" t="str">
            <v>A</v>
          </cell>
          <cell r="K2476">
            <v>1</v>
          </cell>
          <cell r="L2476">
            <v>220</v>
          </cell>
          <cell r="M2476">
            <v>60055190</v>
          </cell>
          <cell r="N2476">
            <v>38798</v>
          </cell>
          <cell r="O2476" t="str">
            <v>126224SUD001</v>
          </cell>
          <cell r="P2476" t="str">
            <v>IN6322D2S867401</v>
          </cell>
        </row>
        <row r="2477">
          <cell r="A2477">
            <v>60040487</v>
          </cell>
          <cell r="B2477">
            <v>2476</v>
          </cell>
          <cell r="C2477" t="str">
            <v>CS01/10</v>
          </cell>
          <cell r="D2477" t="str">
            <v>SPCC-SD</v>
          </cell>
          <cell r="E2477" t="str">
            <v>AF1</v>
          </cell>
          <cell r="F2477">
            <v>1.6</v>
          </cell>
          <cell r="G2477">
            <v>77.5</v>
          </cell>
          <cell r="H2477" t="str">
            <v>C</v>
          </cell>
          <cell r="I2477" t="str">
            <v>A</v>
          </cell>
          <cell r="K2477">
            <v>1</v>
          </cell>
          <cell r="L2477">
            <v>364</v>
          </cell>
          <cell r="M2477">
            <v>60040487</v>
          </cell>
          <cell r="N2477">
            <v>38797</v>
          </cell>
          <cell r="O2477" t="str">
            <v>124C20TCD004</v>
          </cell>
          <cell r="P2477" t="str">
            <v>IN6321DZZ999901</v>
          </cell>
        </row>
        <row r="2478">
          <cell r="A2478">
            <v>60056215</v>
          </cell>
          <cell r="B2478">
            <v>2477</v>
          </cell>
          <cell r="C2478" t="str">
            <v>CS01/10</v>
          </cell>
          <cell r="D2478" t="str">
            <v>SPCC-SD</v>
          </cell>
          <cell r="E2478" t="str">
            <v>AF1</v>
          </cell>
          <cell r="F2478">
            <v>2</v>
          </cell>
          <cell r="G2478">
            <v>56</v>
          </cell>
          <cell r="H2478" t="str">
            <v>C</v>
          </cell>
          <cell r="I2478" t="str">
            <v>A</v>
          </cell>
          <cell r="K2478">
            <v>1</v>
          </cell>
          <cell r="L2478">
            <v>82</v>
          </cell>
          <cell r="M2478">
            <v>60056215</v>
          </cell>
          <cell r="N2478">
            <v>38811</v>
          </cell>
          <cell r="O2478" t="str">
            <v>126318SUD002</v>
          </cell>
          <cell r="P2478" t="str">
            <v>IN6404N2S906501</v>
          </cell>
        </row>
        <row r="2479">
          <cell r="A2479">
            <v>60062320</v>
          </cell>
          <cell r="B2479">
            <v>2478</v>
          </cell>
          <cell r="C2479" t="str">
            <v>CS01/10</v>
          </cell>
          <cell r="D2479" t="str">
            <v>SPCC-SD</v>
          </cell>
          <cell r="E2479" t="str">
            <v>AF1</v>
          </cell>
          <cell r="F2479">
            <v>2</v>
          </cell>
          <cell r="G2479">
            <v>92</v>
          </cell>
          <cell r="H2479" t="str">
            <v>C</v>
          </cell>
          <cell r="I2479" t="str">
            <v>A</v>
          </cell>
          <cell r="K2479">
            <v>1</v>
          </cell>
          <cell r="L2479">
            <v>326</v>
          </cell>
          <cell r="M2479">
            <v>60062320</v>
          </cell>
          <cell r="N2479">
            <v>38892</v>
          </cell>
          <cell r="O2479" t="str">
            <v>126612SUD003</v>
          </cell>
          <cell r="P2479" t="str">
            <v>IN6624N2S140601</v>
          </cell>
        </row>
        <row r="2480">
          <cell r="A2480">
            <v>60060720</v>
          </cell>
          <cell r="B2480">
            <v>2479</v>
          </cell>
          <cell r="C2480" t="str">
            <v>CS01/10</v>
          </cell>
          <cell r="D2480" t="str">
            <v>SPCC-SD</v>
          </cell>
          <cell r="E2480" t="str">
            <v>AF1</v>
          </cell>
          <cell r="F2480">
            <v>2.2999999999999998</v>
          </cell>
          <cell r="G2480">
            <v>106</v>
          </cell>
          <cell r="H2480" t="str">
            <v>C</v>
          </cell>
          <cell r="I2480" t="str">
            <v>A</v>
          </cell>
          <cell r="K2480">
            <v>1</v>
          </cell>
          <cell r="L2480">
            <v>208</v>
          </cell>
          <cell r="M2480">
            <v>60060720</v>
          </cell>
          <cell r="N2480">
            <v>38869</v>
          </cell>
          <cell r="O2480" t="str">
            <v>126520TCD003</v>
          </cell>
          <cell r="P2480" t="str">
            <v>IN6601N1S064601</v>
          </cell>
        </row>
        <row r="2481">
          <cell r="A2481">
            <v>60061934</v>
          </cell>
          <cell r="B2481">
            <v>2480</v>
          </cell>
          <cell r="C2481" t="str">
            <v>CS01/10</v>
          </cell>
          <cell r="D2481" t="str">
            <v>SPCC-SD</v>
          </cell>
          <cell r="E2481" t="str">
            <v>AF1</v>
          </cell>
          <cell r="F2481">
            <v>2.6</v>
          </cell>
          <cell r="G2481">
            <v>102</v>
          </cell>
          <cell r="H2481" t="str">
            <v>C</v>
          </cell>
          <cell r="I2481" t="str">
            <v>A</v>
          </cell>
          <cell r="K2481">
            <v>1</v>
          </cell>
          <cell r="L2481">
            <v>450</v>
          </cell>
          <cell r="M2481">
            <v>60061934</v>
          </cell>
          <cell r="N2481">
            <v>38888</v>
          </cell>
          <cell r="P2481" t="str">
            <v>IN6620N2S115401</v>
          </cell>
        </row>
        <row r="2482">
          <cell r="A2482">
            <v>60053389</v>
          </cell>
          <cell r="B2482">
            <v>2481</v>
          </cell>
          <cell r="C2482" t="str">
            <v>CS01/10</v>
          </cell>
          <cell r="D2482" t="str">
            <v>SPCC-SD</v>
          </cell>
          <cell r="E2482" t="str">
            <v>AF1</v>
          </cell>
          <cell r="F2482">
            <v>3</v>
          </cell>
          <cell r="G2482">
            <v>39</v>
          </cell>
          <cell r="H2482" t="str">
            <v>C</v>
          </cell>
          <cell r="I2482" t="str">
            <v>A</v>
          </cell>
          <cell r="K2482">
            <v>1</v>
          </cell>
          <cell r="L2482">
            <v>162</v>
          </cell>
          <cell r="M2482">
            <v>60053389</v>
          </cell>
          <cell r="N2482">
            <v>38782</v>
          </cell>
          <cell r="P2482" t="str">
            <v>IN6306D2S806801</v>
          </cell>
        </row>
        <row r="2483">
          <cell r="A2483">
            <v>60053394</v>
          </cell>
          <cell r="B2483">
            <v>2482</v>
          </cell>
          <cell r="C2483" t="str">
            <v>CS01/10</v>
          </cell>
          <cell r="D2483" t="str">
            <v>SPCC-SD</v>
          </cell>
          <cell r="E2483" t="str">
            <v>AF1</v>
          </cell>
          <cell r="F2483">
            <v>3</v>
          </cell>
          <cell r="G2483">
            <v>39</v>
          </cell>
          <cell r="H2483" t="str">
            <v>C</v>
          </cell>
          <cell r="I2483" t="str">
            <v>A</v>
          </cell>
          <cell r="K2483">
            <v>1</v>
          </cell>
          <cell r="L2483">
            <v>162</v>
          </cell>
          <cell r="M2483">
            <v>60053394</v>
          </cell>
          <cell r="N2483">
            <v>38782</v>
          </cell>
          <cell r="P2483" t="str">
            <v>IN6306D2S806802</v>
          </cell>
        </row>
        <row r="2484">
          <cell r="A2484">
            <v>60053395</v>
          </cell>
          <cell r="B2484">
            <v>2483</v>
          </cell>
          <cell r="C2484" t="str">
            <v>CS01/10</v>
          </cell>
          <cell r="D2484" t="str">
            <v>SPCC-SD</v>
          </cell>
          <cell r="E2484" t="str">
            <v>AF1</v>
          </cell>
          <cell r="F2484">
            <v>3</v>
          </cell>
          <cell r="G2484">
            <v>39</v>
          </cell>
          <cell r="H2484" t="str">
            <v>C</v>
          </cell>
          <cell r="I2484" t="str">
            <v>A</v>
          </cell>
          <cell r="K2484">
            <v>1</v>
          </cell>
          <cell r="L2484">
            <v>160</v>
          </cell>
          <cell r="M2484">
            <v>60053395</v>
          </cell>
          <cell r="N2484">
            <v>38782</v>
          </cell>
          <cell r="P2484" t="str">
            <v>IN6306D2S806803</v>
          </cell>
        </row>
        <row r="2485">
          <cell r="A2485">
            <v>60053400</v>
          </cell>
          <cell r="B2485">
            <v>2484</v>
          </cell>
          <cell r="C2485" t="str">
            <v>CS01/10</v>
          </cell>
          <cell r="D2485" t="str">
            <v>SPCC-SD</v>
          </cell>
          <cell r="E2485" t="str">
            <v>AF1</v>
          </cell>
          <cell r="F2485">
            <v>3</v>
          </cell>
          <cell r="G2485">
            <v>39</v>
          </cell>
          <cell r="H2485" t="str">
            <v>C</v>
          </cell>
          <cell r="I2485" t="str">
            <v>A</v>
          </cell>
          <cell r="K2485">
            <v>1</v>
          </cell>
          <cell r="L2485">
            <v>160</v>
          </cell>
          <cell r="M2485">
            <v>60053400</v>
          </cell>
          <cell r="N2485">
            <v>38782</v>
          </cell>
          <cell r="P2485" t="str">
            <v>IN6306D2S806804</v>
          </cell>
        </row>
        <row r="2486">
          <cell r="A2486">
            <v>60046514</v>
          </cell>
          <cell r="B2486">
            <v>2485</v>
          </cell>
          <cell r="C2486" t="str">
            <v>CS01/10</v>
          </cell>
          <cell r="D2486" t="str">
            <v>SPCC-SD</v>
          </cell>
          <cell r="E2486" t="str">
            <v>AF1</v>
          </cell>
          <cell r="F2486">
            <v>3</v>
          </cell>
          <cell r="G2486">
            <v>78</v>
          </cell>
          <cell r="H2486" t="str">
            <v>C</v>
          </cell>
          <cell r="I2486" t="str">
            <v>A</v>
          </cell>
          <cell r="K2486">
            <v>1</v>
          </cell>
          <cell r="L2486">
            <v>392</v>
          </cell>
          <cell r="M2486">
            <v>60046514</v>
          </cell>
          <cell r="N2486" t="str">
            <v>1/C/2005</v>
          </cell>
          <cell r="P2486" t="str">
            <v>IN5C01D2S494201</v>
          </cell>
        </row>
        <row r="2487">
          <cell r="A2487">
            <v>60046519</v>
          </cell>
          <cell r="B2487">
            <v>2486</v>
          </cell>
          <cell r="C2487" t="str">
            <v>CS01/10</v>
          </cell>
          <cell r="D2487" t="str">
            <v>SPCC-SD</v>
          </cell>
          <cell r="E2487" t="str">
            <v>AF1</v>
          </cell>
          <cell r="F2487">
            <v>3</v>
          </cell>
          <cell r="G2487">
            <v>78</v>
          </cell>
          <cell r="H2487" t="str">
            <v>C</v>
          </cell>
          <cell r="I2487" t="str">
            <v>A</v>
          </cell>
          <cell r="K2487">
            <v>1</v>
          </cell>
          <cell r="L2487">
            <v>392</v>
          </cell>
          <cell r="M2487">
            <v>60046519</v>
          </cell>
          <cell r="N2487" t="str">
            <v>1/C/2005</v>
          </cell>
          <cell r="P2487" t="str">
            <v>IN5C01D2S494202</v>
          </cell>
        </row>
        <row r="2488">
          <cell r="A2488">
            <v>60046520</v>
          </cell>
          <cell r="B2488">
            <v>2487</v>
          </cell>
          <cell r="C2488" t="str">
            <v>CS01/10</v>
          </cell>
          <cell r="D2488" t="str">
            <v>SPCC-SD</v>
          </cell>
          <cell r="E2488" t="str">
            <v>AF1</v>
          </cell>
          <cell r="F2488">
            <v>3</v>
          </cell>
          <cell r="G2488">
            <v>78</v>
          </cell>
          <cell r="H2488" t="str">
            <v>C</v>
          </cell>
          <cell r="I2488" t="str">
            <v>A</v>
          </cell>
          <cell r="K2488">
            <v>1</v>
          </cell>
          <cell r="L2488">
            <v>326</v>
          </cell>
          <cell r="M2488">
            <v>60046520</v>
          </cell>
          <cell r="N2488" t="str">
            <v>1/C/2005</v>
          </cell>
          <cell r="P2488" t="str">
            <v>IN5C01D2S494203</v>
          </cell>
        </row>
        <row r="2489">
          <cell r="A2489">
            <v>60046525</v>
          </cell>
          <cell r="B2489">
            <v>2488</v>
          </cell>
          <cell r="C2489" t="str">
            <v>CS01/10</v>
          </cell>
          <cell r="D2489" t="str">
            <v>SPCC-SD</v>
          </cell>
          <cell r="E2489" t="str">
            <v>AF1</v>
          </cell>
          <cell r="F2489">
            <v>3</v>
          </cell>
          <cell r="G2489">
            <v>78</v>
          </cell>
          <cell r="H2489" t="str">
            <v>C</v>
          </cell>
          <cell r="I2489" t="str">
            <v>A</v>
          </cell>
          <cell r="K2489">
            <v>1</v>
          </cell>
          <cell r="L2489">
            <v>326</v>
          </cell>
          <cell r="M2489">
            <v>60046525</v>
          </cell>
          <cell r="N2489" t="str">
            <v>1/C/2005</v>
          </cell>
          <cell r="P2489" t="str">
            <v>IN5C01D2S494204</v>
          </cell>
        </row>
        <row r="2490">
          <cell r="A2490">
            <v>60046527</v>
          </cell>
          <cell r="B2490">
            <v>2489</v>
          </cell>
          <cell r="C2490" t="str">
            <v>CS01/10</v>
          </cell>
          <cell r="D2490" t="str">
            <v>SPCC-SD</v>
          </cell>
          <cell r="E2490" t="str">
            <v>AF1</v>
          </cell>
          <cell r="F2490">
            <v>3</v>
          </cell>
          <cell r="G2490">
            <v>78</v>
          </cell>
          <cell r="H2490" t="str">
            <v>C</v>
          </cell>
          <cell r="I2490" t="str">
            <v>A</v>
          </cell>
          <cell r="K2490">
            <v>1</v>
          </cell>
          <cell r="L2490">
            <v>230</v>
          </cell>
          <cell r="M2490">
            <v>60046527</v>
          </cell>
          <cell r="N2490" t="str">
            <v>1/C/2005</v>
          </cell>
          <cell r="P2490" t="str">
            <v>IN5C01D2S494204</v>
          </cell>
        </row>
        <row r="2491">
          <cell r="A2491">
            <v>60046532</v>
          </cell>
          <cell r="B2491">
            <v>2490</v>
          </cell>
          <cell r="C2491" t="str">
            <v>CS01/10</v>
          </cell>
          <cell r="D2491" t="str">
            <v>SPCC-SD</v>
          </cell>
          <cell r="E2491" t="str">
            <v>AF1</v>
          </cell>
          <cell r="F2491">
            <v>3</v>
          </cell>
          <cell r="G2491">
            <v>78</v>
          </cell>
          <cell r="H2491" t="str">
            <v>C</v>
          </cell>
          <cell r="I2491" t="str">
            <v>A</v>
          </cell>
          <cell r="K2491">
            <v>1</v>
          </cell>
          <cell r="L2491">
            <v>232</v>
          </cell>
          <cell r="M2491">
            <v>60046532</v>
          </cell>
          <cell r="N2491" t="str">
            <v>1/C/2005</v>
          </cell>
          <cell r="P2491" t="str">
            <v>IN5C01N2S494201</v>
          </cell>
        </row>
        <row r="2492">
          <cell r="A2492">
            <v>60046564</v>
          </cell>
          <cell r="B2492">
            <v>2491</v>
          </cell>
          <cell r="C2492" t="str">
            <v>CS01/10</v>
          </cell>
          <cell r="D2492" t="str">
            <v>SPCC-SD</v>
          </cell>
          <cell r="E2492" t="str">
            <v>AF1</v>
          </cell>
          <cell r="F2492">
            <v>3</v>
          </cell>
          <cell r="G2492">
            <v>78</v>
          </cell>
          <cell r="H2492" t="str">
            <v>C</v>
          </cell>
          <cell r="I2492" t="str">
            <v>A</v>
          </cell>
          <cell r="K2492">
            <v>1</v>
          </cell>
          <cell r="L2492">
            <v>224</v>
          </cell>
          <cell r="M2492">
            <v>60046564</v>
          </cell>
          <cell r="N2492" t="str">
            <v>2/C/2005</v>
          </cell>
          <cell r="P2492" t="str">
            <v>IN5C01N2S494202</v>
          </cell>
        </row>
        <row r="2493">
          <cell r="A2493">
            <v>60046569</v>
          </cell>
          <cell r="B2493">
            <v>2492</v>
          </cell>
          <cell r="C2493" t="str">
            <v>CS01/10</v>
          </cell>
          <cell r="D2493" t="str">
            <v>SPCC-SD</v>
          </cell>
          <cell r="E2493" t="str">
            <v>AF1</v>
          </cell>
          <cell r="F2493">
            <v>3</v>
          </cell>
          <cell r="G2493">
            <v>78</v>
          </cell>
          <cell r="H2493" t="str">
            <v>C</v>
          </cell>
          <cell r="I2493" t="str">
            <v>A</v>
          </cell>
          <cell r="K2493">
            <v>1</v>
          </cell>
          <cell r="L2493">
            <v>224</v>
          </cell>
          <cell r="M2493">
            <v>60046569</v>
          </cell>
          <cell r="N2493" t="str">
            <v>2/C/2005</v>
          </cell>
          <cell r="P2493" t="str">
            <v>IN5C01N2S494203</v>
          </cell>
        </row>
        <row r="2494">
          <cell r="A2494">
            <v>60053163</v>
          </cell>
          <cell r="B2494">
            <v>2493</v>
          </cell>
          <cell r="C2494" t="str">
            <v>CS01/10</v>
          </cell>
          <cell r="D2494" t="str">
            <v>SPCC-SD</v>
          </cell>
          <cell r="E2494" t="str">
            <v>AF1</v>
          </cell>
          <cell r="F2494">
            <v>3</v>
          </cell>
          <cell r="G2494">
            <v>78</v>
          </cell>
          <cell r="H2494" t="str">
            <v>C</v>
          </cell>
          <cell r="I2494" t="str">
            <v>A</v>
          </cell>
          <cell r="K2494">
            <v>1</v>
          </cell>
          <cell r="L2494">
            <v>274</v>
          </cell>
          <cell r="M2494">
            <v>60053163</v>
          </cell>
          <cell r="N2494">
            <v>38778</v>
          </cell>
          <cell r="P2494" t="str">
            <v>IN6302D2S787701</v>
          </cell>
        </row>
        <row r="2495">
          <cell r="A2495">
            <v>60063151</v>
          </cell>
          <cell r="B2495">
            <v>2494</v>
          </cell>
          <cell r="C2495" t="str">
            <v>CS01/10</v>
          </cell>
          <cell r="D2495" t="str">
            <v>SPCC-SD</v>
          </cell>
          <cell r="E2495" t="str">
            <v>AF1</v>
          </cell>
          <cell r="F2495">
            <v>3</v>
          </cell>
          <cell r="G2495">
            <v>80</v>
          </cell>
          <cell r="H2495" t="str">
            <v>C</v>
          </cell>
          <cell r="I2495" t="str">
            <v>A</v>
          </cell>
          <cell r="K2495">
            <v>1</v>
          </cell>
          <cell r="L2495">
            <v>276</v>
          </cell>
          <cell r="M2495">
            <v>60063151</v>
          </cell>
          <cell r="N2495">
            <v>38904</v>
          </cell>
          <cell r="P2495" t="str">
            <v>IN6706D2S175301</v>
          </cell>
        </row>
        <row r="2496">
          <cell r="A2496">
            <v>60063156</v>
          </cell>
          <cell r="B2496">
            <v>2495</v>
          </cell>
          <cell r="C2496" t="str">
            <v>CS01/10</v>
          </cell>
          <cell r="D2496" t="str">
            <v>SPCC-SD</v>
          </cell>
          <cell r="E2496" t="str">
            <v>AF1</v>
          </cell>
          <cell r="F2496">
            <v>3</v>
          </cell>
          <cell r="G2496">
            <v>80</v>
          </cell>
          <cell r="H2496" t="str">
            <v>C</v>
          </cell>
          <cell r="I2496" t="str">
            <v>A</v>
          </cell>
          <cell r="K2496">
            <v>1</v>
          </cell>
          <cell r="L2496">
            <v>278</v>
          </cell>
          <cell r="M2496">
            <v>60063156</v>
          </cell>
          <cell r="N2496">
            <v>38904</v>
          </cell>
          <cell r="P2496" t="str">
            <v>IN6706D2S175302</v>
          </cell>
        </row>
        <row r="2497">
          <cell r="A2497">
            <v>60048086</v>
          </cell>
          <cell r="B2497">
            <v>2496</v>
          </cell>
          <cell r="C2497" t="str">
            <v>CS01/10</v>
          </cell>
          <cell r="D2497" t="str">
            <v>SPCC-SD</v>
          </cell>
          <cell r="E2497" t="str">
            <v>AF1</v>
          </cell>
          <cell r="F2497">
            <v>3</v>
          </cell>
          <cell r="G2497">
            <v>90</v>
          </cell>
          <cell r="H2497" t="str">
            <v>C</v>
          </cell>
          <cell r="I2497" t="str">
            <v>A</v>
          </cell>
          <cell r="K2497">
            <v>1</v>
          </cell>
          <cell r="L2497">
            <v>398</v>
          </cell>
          <cell r="M2497">
            <v>60048086</v>
          </cell>
          <cell r="N2497" t="str">
            <v>21/C/2005</v>
          </cell>
          <cell r="P2497" t="str">
            <v>IN5C21N2S551701</v>
          </cell>
        </row>
        <row r="2498">
          <cell r="A2498">
            <v>60048087</v>
          </cell>
          <cell r="B2498">
            <v>2497</v>
          </cell>
          <cell r="C2498" t="str">
            <v>CS01/10</v>
          </cell>
          <cell r="D2498" t="str">
            <v>SPCC-SD</v>
          </cell>
          <cell r="E2498" t="str">
            <v>AF1</v>
          </cell>
          <cell r="F2498">
            <v>3</v>
          </cell>
          <cell r="G2498">
            <v>90</v>
          </cell>
          <cell r="H2498" t="str">
            <v>C</v>
          </cell>
          <cell r="I2498" t="str">
            <v>A</v>
          </cell>
          <cell r="K2498">
            <v>1</v>
          </cell>
          <cell r="L2498">
            <v>398</v>
          </cell>
          <cell r="M2498">
            <v>60048087</v>
          </cell>
          <cell r="N2498" t="str">
            <v>21/C/2005</v>
          </cell>
          <cell r="P2498" t="str">
            <v>IN5C21N2S551702</v>
          </cell>
        </row>
        <row r="2499">
          <cell r="A2499">
            <v>60048091</v>
          </cell>
          <cell r="B2499">
            <v>2498</v>
          </cell>
          <cell r="C2499" t="str">
            <v>CS01/10</v>
          </cell>
          <cell r="D2499" t="str">
            <v>SPCC-SD</v>
          </cell>
          <cell r="E2499" t="str">
            <v>AF1</v>
          </cell>
          <cell r="F2499">
            <v>3</v>
          </cell>
          <cell r="G2499">
            <v>90</v>
          </cell>
          <cell r="H2499" t="str">
            <v>C</v>
          </cell>
          <cell r="I2499" t="str">
            <v>A</v>
          </cell>
          <cell r="K2499">
            <v>1</v>
          </cell>
          <cell r="L2499">
            <v>394</v>
          </cell>
          <cell r="M2499">
            <v>60048091</v>
          </cell>
          <cell r="N2499" t="str">
            <v>21/C/2005</v>
          </cell>
          <cell r="P2499" t="str">
            <v>IN5C21N2S551703</v>
          </cell>
        </row>
        <row r="2500">
          <cell r="A2500">
            <v>60048092</v>
          </cell>
          <cell r="B2500">
            <v>2499</v>
          </cell>
          <cell r="C2500" t="str">
            <v>CS01/10</v>
          </cell>
          <cell r="D2500" t="str">
            <v>SPCC-SD</v>
          </cell>
          <cell r="E2500" t="str">
            <v>AF1</v>
          </cell>
          <cell r="F2500">
            <v>3</v>
          </cell>
          <cell r="G2500">
            <v>90</v>
          </cell>
          <cell r="H2500" t="str">
            <v>C</v>
          </cell>
          <cell r="I2500" t="str">
            <v>A</v>
          </cell>
          <cell r="K2500">
            <v>1</v>
          </cell>
          <cell r="L2500">
            <v>394</v>
          </cell>
          <cell r="M2500">
            <v>60048092</v>
          </cell>
          <cell r="N2500" t="str">
            <v>21/C/2005</v>
          </cell>
          <cell r="P2500" t="str">
            <v>IN5C21N2S551704</v>
          </cell>
        </row>
        <row r="2501">
          <cell r="A2501">
            <v>60048093</v>
          </cell>
          <cell r="B2501">
            <v>2500</v>
          </cell>
          <cell r="C2501" t="str">
            <v>CS01/10</v>
          </cell>
          <cell r="D2501" t="str">
            <v>SPCC-SD</v>
          </cell>
          <cell r="E2501" t="str">
            <v>AF1</v>
          </cell>
          <cell r="F2501">
            <v>3</v>
          </cell>
          <cell r="G2501">
            <v>90</v>
          </cell>
          <cell r="H2501" t="str">
            <v>C</v>
          </cell>
          <cell r="I2501" t="str">
            <v>A</v>
          </cell>
          <cell r="K2501">
            <v>1</v>
          </cell>
          <cell r="L2501">
            <v>406</v>
          </cell>
          <cell r="M2501">
            <v>60048093</v>
          </cell>
          <cell r="N2501" t="str">
            <v>21/C/2005</v>
          </cell>
          <cell r="P2501" t="str">
            <v>IN5C21N2S551705</v>
          </cell>
        </row>
        <row r="2502">
          <cell r="A2502">
            <v>60048097</v>
          </cell>
          <cell r="B2502">
            <v>2501</v>
          </cell>
          <cell r="C2502" t="str">
            <v>CS01/10</v>
          </cell>
          <cell r="D2502" t="str">
            <v>SPCC-SD</v>
          </cell>
          <cell r="E2502" t="str">
            <v>AF1</v>
          </cell>
          <cell r="F2502">
            <v>3</v>
          </cell>
          <cell r="G2502">
            <v>90</v>
          </cell>
          <cell r="H2502" t="str">
            <v>C</v>
          </cell>
          <cell r="I2502" t="str">
            <v>A</v>
          </cell>
          <cell r="K2502">
            <v>1</v>
          </cell>
          <cell r="L2502">
            <v>406</v>
          </cell>
          <cell r="M2502">
            <v>60048097</v>
          </cell>
          <cell r="N2502" t="str">
            <v>21/C/2005</v>
          </cell>
          <cell r="P2502" t="str">
            <v>IN5C21N2S551706</v>
          </cell>
        </row>
        <row r="2503">
          <cell r="A2503">
            <v>60049134</v>
          </cell>
          <cell r="B2503">
            <v>2502</v>
          </cell>
          <cell r="C2503" t="str">
            <v>CS01/10</v>
          </cell>
          <cell r="D2503" t="str">
            <v>SPCC-SD</v>
          </cell>
          <cell r="E2503" t="str">
            <v>AF1</v>
          </cell>
          <cell r="F2503">
            <v>3</v>
          </cell>
          <cell r="G2503">
            <v>90</v>
          </cell>
          <cell r="H2503" t="str">
            <v>C</v>
          </cell>
          <cell r="I2503" t="str">
            <v>A</v>
          </cell>
          <cell r="K2503">
            <v>1</v>
          </cell>
          <cell r="L2503">
            <v>388</v>
          </cell>
          <cell r="M2503">
            <v>60049134</v>
          </cell>
          <cell r="N2503">
            <v>39030</v>
          </cell>
          <cell r="P2503" t="str">
            <v>IN61109D2S617101</v>
          </cell>
        </row>
        <row r="2504">
          <cell r="A2504">
            <v>60049172</v>
          </cell>
          <cell r="B2504">
            <v>2503</v>
          </cell>
          <cell r="C2504" t="str">
            <v>CS01/10</v>
          </cell>
          <cell r="D2504" t="str">
            <v>SPCC-SD</v>
          </cell>
          <cell r="E2504" t="str">
            <v>AF1</v>
          </cell>
          <cell r="F2504">
            <v>3</v>
          </cell>
          <cell r="G2504">
            <v>90</v>
          </cell>
          <cell r="H2504" t="str">
            <v>C</v>
          </cell>
          <cell r="I2504" t="str">
            <v>A</v>
          </cell>
          <cell r="K2504">
            <v>1</v>
          </cell>
          <cell r="L2504">
            <v>389</v>
          </cell>
          <cell r="M2504">
            <v>60049172</v>
          </cell>
          <cell r="N2504">
            <v>39030</v>
          </cell>
          <cell r="P2504" t="str">
            <v>IN61109D2S617201</v>
          </cell>
        </row>
        <row r="2505">
          <cell r="A2505">
            <v>60049176</v>
          </cell>
          <cell r="B2505">
            <v>2504</v>
          </cell>
          <cell r="C2505" t="str">
            <v>CS01/10</v>
          </cell>
          <cell r="D2505" t="str">
            <v>SPCC-SD</v>
          </cell>
          <cell r="E2505" t="str">
            <v>AF1</v>
          </cell>
          <cell r="F2505">
            <v>3</v>
          </cell>
          <cell r="G2505">
            <v>90</v>
          </cell>
          <cell r="H2505" t="str">
            <v>C</v>
          </cell>
          <cell r="I2505" t="str">
            <v>A</v>
          </cell>
          <cell r="K2505">
            <v>1</v>
          </cell>
          <cell r="L2505">
            <v>367</v>
          </cell>
          <cell r="M2505">
            <v>60049176</v>
          </cell>
          <cell r="N2505">
            <v>39030</v>
          </cell>
          <cell r="P2505" t="str">
            <v>IN61109D2S617202</v>
          </cell>
        </row>
        <row r="2506">
          <cell r="A2506">
            <v>60049177</v>
          </cell>
          <cell r="B2506">
            <v>2505</v>
          </cell>
          <cell r="C2506" t="str">
            <v>CS01/10</v>
          </cell>
          <cell r="D2506" t="str">
            <v>SPCC-SD</v>
          </cell>
          <cell r="E2506" t="str">
            <v>AF1</v>
          </cell>
          <cell r="F2506">
            <v>3</v>
          </cell>
          <cell r="G2506">
            <v>90</v>
          </cell>
          <cell r="H2506" t="str">
            <v>C</v>
          </cell>
          <cell r="I2506" t="str">
            <v>A</v>
          </cell>
          <cell r="K2506">
            <v>1</v>
          </cell>
          <cell r="L2506">
            <v>399</v>
          </cell>
          <cell r="M2506">
            <v>60049177</v>
          </cell>
          <cell r="N2506">
            <v>39030</v>
          </cell>
          <cell r="P2506" t="str">
            <v>IN61109D2S617203</v>
          </cell>
        </row>
        <row r="2507">
          <cell r="A2507">
            <v>60049181</v>
          </cell>
          <cell r="B2507">
            <v>2506</v>
          </cell>
          <cell r="C2507" t="str">
            <v>CS01/10</v>
          </cell>
          <cell r="D2507" t="str">
            <v>SPCC-SD</v>
          </cell>
          <cell r="E2507" t="str">
            <v>AF1</v>
          </cell>
          <cell r="F2507">
            <v>3</v>
          </cell>
          <cell r="G2507">
            <v>90</v>
          </cell>
          <cell r="H2507" t="str">
            <v>C</v>
          </cell>
          <cell r="I2507" t="str">
            <v>A</v>
          </cell>
          <cell r="K2507">
            <v>1</v>
          </cell>
          <cell r="L2507">
            <v>399</v>
          </cell>
          <cell r="M2507">
            <v>60049181</v>
          </cell>
          <cell r="N2507">
            <v>39030</v>
          </cell>
          <cell r="P2507" t="str">
            <v>IN61109D2S617204</v>
          </cell>
        </row>
        <row r="2508">
          <cell r="A2508">
            <v>60049182</v>
          </cell>
          <cell r="B2508">
            <v>2507</v>
          </cell>
          <cell r="C2508" t="str">
            <v>CS01/10</v>
          </cell>
          <cell r="D2508" t="str">
            <v>SPCC-SD</v>
          </cell>
          <cell r="E2508" t="str">
            <v>AF1</v>
          </cell>
          <cell r="F2508">
            <v>3</v>
          </cell>
          <cell r="G2508">
            <v>90</v>
          </cell>
          <cell r="H2508" t="str">
            <v>C</v>
          </cell>
          <cell r="I2508" t="str">
            <v>A</v>
          </cell>
          <cell r="K2508">
            <v>1</v>
          </cell>
          <cell r="L2508">
            <v>389</v>
          </cell>
          <cell r="M2508">
            <v>60049182</v>
          </cell>
          <cell r="N2508">
            <v>39030</v>
          </cell>
          <cell r="P2508" t="str">
            <v>IN61109D2S617205</v>
          </cell>
        </row>
        <row r="2509">
          <cell r="A2509">
            <v>60049186</v>
          </cell>
          <cell r="B2509">
            <v>2508</v>
          </cell>
          <cell r="C2509" t="str">
            <v>CS01/10</v>
          </cell>
          <cell r="D2509" t="str">
            <v>SPCC-SD</v>
          </cell>
          <cell r="E2509" t="str">
            <v>AF1</v>
          </cell>
          <cell r="F2509">
            <v>3</v>
          </cell>
          <cell r="G2509">
            <v>90</v>
          </cell>
          <cell r="H2509" t="str">
            <v>C</v>
          </cell>
          <cell r="I2509" t="str">
            <v>A</v>
          </cell>
          <cell r="K2509">
            <v>1</v>
          </cell>
          <cell r="L2509">
            <v>389</v>
          </cell>
          <cell r="M2509">
            <v>60049186</v>
          </cell>
          <cell r="N2509">
            <v>39030</v>
          </cell>
          <cell r="P2509" t="str">
            <v>IN61109D2S617206</v>
          </cell>
        </row>
        <row r="2510">
          <cell r="A2510">
            <v>60049187</v>
          </cell>
          <cell r="B2510">
            <v>2509</v>
          </cell>
          <cell r="C2510" t="str">
            <v>CS01/10</v>
          </cell>
          <cell r="D2510" t="str">
            <v>SPCC-SD</v>
          </cell>
          <cell r="E2510" t="str">
            <v>AF1</v>
          </cell>
          <cell r="F2510">
            <v>3</v>
          </cell>
          <cell r="G2510">
            <v>90</v>
          </cell>
          <cell r="H2510" t="str">
            <v>C</v>
          </cell>
          <cell r="I2510" t="str">
            <v>A</v>
          </cell>
          <cell r="K2510">
            <v>1</v>
          </cell>
          <cell r="L2510">
            <v>405</v>
          </cell>
          <cell r="M2510">
            <v>60049187</v>
          </cell>
          <cell r="N2510">
            <v>39030</v>
          </cell>
          <cell r="P2510" t="str">
            <v>IN61109D2S617207</v>
          </cell>
        </row>
        <row r="2511">
          <cell r="A2511">
            <v>60049191</v>
          </cell>
          <cell r="B2511">
            <v>2510</v>
          </cell>
          <cell r="C2511" t="str">
            <v>CS01/10</v>
          </cell>
          <cell r="D2511" t="str">
            <v>SPCC-SD</v>
          </cell>
          <cell r="E2511" t="str">
            <v>AF1</v>
          </cell>
          <cell r="F2511">
            <v>3</v>
          </cell>
          <cell r="G2511">
            <v>90</v>
          </cell>
          <cell r="H2511" t="str">
            <v>C</v>
          </cell>
          <cell r="I2511" t="str">
            <v>A</v>
          </cell>
          <cell r="K2511">
            <v>1</v>
          </cell>
          <cell r="L2511">
            <v>405</v>
          </cell>
          <cell r="M2511">
            <v>60049191</v>
          </cell>
          <cell r="N2511">
            <v>39030</v>
          </cell>
          <cell r="P2511" t="str">
            <v>IN61109D2S617208</v>
          </cell>
        </row>
        <row r="2512">
          <cell r="A2512">
            <v>60049192</v>
          </cell>
          <cell r="B2512">
            <v>2511</v>
          </cell>
          <cell r="C2512" t="str">
            <v>CS01/10</v>
          </cell>
          <cell r="D2512" t="str">
            <v>SPCC-SD</v>
          </cell>
          <cell r="E2512" t="str">
            <v>AF1</v>
          </cell>
          <cell r="F2512">
            <v>3</v>
          </cell>
          <cell r="G2512">
            <v>90</v>
          </cell>
          <cell r="H2512" t="str">
            <v>C</v>
          </cell>
          <cell r="I2512" t="str">
            <v>A</v>
          </cell>
          <cell r="K2512">
            <v>1</v>
          </cell>
          <cell r="L2512">
            <v>405</v>
          </cell>
          <cell r="M2512">
            <v>60049192</v>
          </cell>
          <cell r="N2512">
            <v>38727</v>
          </cell>
          <cell r="P2512" t="str">
            <v>IN61109D2S617209</v>
          </cell>
        </row>
        <row r="2513">
          <cell r="A2513">
            <v>60049196</v>
          </cell>
          <cell r="B2513">
            <v>2512</v>
          </cell>
          <cell r="C2513" t="str">
            <v>CS01/10</v>
          </cell>
          <cell r="D2513" t="str">
            <v>SPCC-SD</v>
          </cell>
          <cell r="E2513" t="str">
            <v>AF1</v>
          </cell>
          <cell r="F2513">
            <v>3</v>
          </cell>
          <cell r="G2513">
            <v>90</v>
          </cell>
          <cell r="H2513" t="str">
            <v>C</v>
          </cell>
          <cell r="I2513" t="str">
            <v>A</v>
          </cell>
          <cell r="K2513">
            <v>1</v>
          </cell>
          <cell r="L2513">
            <v>405</v>
          </cell>
          <cell r="M2513">
            <v>60049196</v>
          </cell>
          <cell r="N2513">
            <v>38727</v>
          </cell>
          <cell r="P2513" t="str">
            <v>IN61109D2S617210</v>
          </cell>
        </row>
        <row r="2514">
          <cell r="A2514">
            <v>60049432</v>
          </cell>
          <cell r="B2514">
            <v>2513</v>
          </cell>
          <cell r="C2514" t="str">
            <v>CS01/10</v>
          </cell>
          <cell r="D2514" t="str">
            <v>SPCC-SD</v>
          </cell>
          <cell r="E2514" t="str">
            <v>AF1</v>
          </cell>
          <cell r="F2514">
            <v>3</v>
          </cell>
          <cell r="G2514">
            <v>90</v>
          </cell>
          <cell r="H2514" t="str">
            <v>C</v>
          </cell>
          <cell r="I2514" t="str">
            <v>A</v>
          </cell>
          <cell r="K2514">
            <v>1</v>
          </cell>
          <cell r="L2514">
            <v>388</v>
          </cell>
          <cell r="M2514">
            <v>60049432</v>
          </cell>
          <cell r="N2514">
            <v>38730</v>
          </cell>
          <cell r="P2514" t="str">
            <v>IN6113N2S617401</v>
          </cell>
        </row>
        <row r="2515">
          <cell r="A2515">
            <v>60049433</v>
          </cell>
          <cell r="B2515">
            <v>2514</v>
          </cell>
          <cell r="C2515" t="str">
            <v>CS01/10</v>
          </cell>
          <cell r="D2515" t="str">
            <v>SPCC-SD</v>
          </cell>
          <cell r="E2515" t="str">
            <v>AF1</v>
          </cell>
          <cell r="F2515">
            <v>3</v>
          </cell>
          <cell r="G2515">
            <v>90</v>
          </cell>
          <cell r="H2515" t="str">
            <v>C</v>
          </cell>
          <cell r="I2515" t="str">
            <v>A</v>
          </cell>
          <cell r="K2515">
            <v>1</v>
          </cell>
          <cell r="L2515">
            <v>388</v>
          </cell>
          <cell r="M2515">
            <v>60049433</v>
          </cell>
          <cell r="N2515">
            <v>38730</v>
          </cell>
          <cell r="P2515" t="str">
            <v>IN6113N2S617402</v>
          </cell>
        </row>
        <row r="2516">
          <cell r="A2516">
            <v>60049437</v>
          </cell>
          <cell r="B2516">
            <v>2515</v>
          </cell>
          <cell r="C2516" t="str">
            <v>CS01/10</v>
          </cell>
          <cell r="D2516" t="str">
            <v>SPCC-SD</v>
          </cell>
          <cell r="E2516" t="str">
            <v>AF1</v>
          </cell>
          <cell r="F2516">
            <v>3</v>
          </cell>
          <cell r="G2516">
            <v>90</v>
          </cell>
          <cell r="H2516" t="str">
            <v>C</v>
          </cell>
          <cell r="I2516" t="str">
            <v>A</v>
          </cell>
          <cell r="K2516">
            <v>1</v>
          </cell>
          <cell r="L2516">
            <v>394</v>
          </cell>
          <cell r="M2516">
            <v>60049437</v>
          </cell>
          <cell r="N2516">
            <v>38730</v>
          </cell>
          <cell r="P2516" t="str">
            <v>IN6113N2S617403</v>
          </cell>
        </row>
        <row r="2517">
          <cell r="A2517">
            <v>60049438</v>
          </cell>
          <cell r="B2517">
            <v>2516</v>
          </cell>
          <cell r="C2517" t="str">
            <v>CS01/10</v>
          </cell>
          <cell r="D2517" t="str">
            <v>SPCC-SD</v>
          </cell>
          <cell r="E2517" t="str">
            <v>AF1</v>
          </cell>
          <cell r="F2517">
            <v>3</v>
          </cell>
          <cell r="G2517">
            <v>90</v>
          </cell>
          <cell r="H2517" t="str">
            <v>C</v>
          </cell>
          <cell r="I2517" t="str">
            <v>A</v>
          </cell>
          <cell r="K2517">
            <v>1</v>
          </cell>
          <cell r="L2517">
            <v>394</v>
          </cell>
          <cell r="M2517">
            <v>60049438</v>
          </cell>
          <cell r="N2517">
            <v>38730</v>
          </cell>
          <cell r="P2517" t="str">
            <v>IN6113N2S617404</v>
          </cell>
        </row>
        <row r="2518">
          <cell r="A2518">
            <v>60049491</v>
          </cell>
          <cell r="B2518">
            <v>2517</v>
          </cell>
          <cell r="C2518" t="str">
            <v>CS01/10</v>
          </cell>
          <cell r="D2518" t="str">
            <v>SPCC-SD</v>
          </cell>
          <cell r="E2518" t="str">
            <v>AF1</v>
          </cell>
          <cell r="F2518">
            <v>3</v>
          </cell>
          <cell r="G2518">
            <v>90</v>
          </cell>
          <cell r="H2518" t="str">
            <v>C</v>
          </cell>
          <cell r="I2518" t="str">
            <v>A</v>
          </cell>
          <cell r="K2518">
            <v>1</v>
          </cell>
          <cell r="L2518">
            <v>398</v>
          </cell>
          <cell r="M2518">
            <v>60049491</v>
          </cell>
          <cell r="N2518">
            <v>38730</v>
          </cell>
          <cell r="P2518" t="str">
            <v>IN6113N2S617501</v>
          </cell>
        </row>
        <row r="2519">
          <cell r="A2519">
            <v>60049495</v>
          </cell>
          <cell r="B2519">
            <v>2518</v>
          </cell>
          <cell r="C2519" t="str">
            <v>CS01/10</v>
          </cell>
          <cell r="D2519" t="str">
            <v>SPCC-SD</v>
          </cell>
          <cell r="E2519" t="str">
            <v>AF1</v>
          </cell>
          <cell r="F2519">
            <v>3</v>
          </cell>
          <cell r="G2519">
            <v>90</v>
          </cell>
          <cell r="H2519" t="str">
            <v>C</v>
          </cell>
          <cell r="I2519" t="str">
            <v>A</v>
          </cell>
          <cell r="K2519">
            <v>1</v>
          </cell>
          <cell r="L2519">
            <v>398</v>
          </cell>
          <cell r="M2519">
            <v>60049495</v>
          </cell>
          <cell r="N2519">
            <v>38730</v>
          </cell>
          <cell r="P2519" t="str">
            <v>IN6113N2S617502</v>
          </cell>
        </row>
        <row r="2520">
          <cell r="A2520">
            <v>60049496</v>
          </cell>
          <cell r="B2520">
            <v>2519</v>
          </cell>
          <cell r="C2520" t="str">
            <v>CS01/10</v>
          </cell>
          <cell r="D2520" t="str">
            <v>SPCC-SD</v>
          </cell>
          <cell r="E2520" t="str">
            <v>AF1</v>
          </cell>
          <cell r="F2520">
            <v>3</v>
          </cell>
          <cell r="G2520">
            <v>90</v>
          </cell>
          <cell r="H2520" t="str">
            <v>C</v>
          </cell>
          <cell r="I2520" t="str">
            <v>A</v>
          </cell>
          <cell r="K2520">
            <v>1</v>
          </cell>
          <cell r="L2520">
            <v>428</v>
          </cell>
          <cell r="M2520">
            <v>60049496</v>
          </cell>
          <cell r="N2520">
            <v>38730</v>
          </cell>
          <cell r="P2520" t="str">
            <v>IN6113N2S617503</v>
          </cell>
        </row>
        <row r="2521">
          <cell r="A2521">
            <v>60049501</v>
          </cell>
          <cell r="B2521">
            <v>2520</v>
          </cell>
          <cell r="C2521" t="str">
            <v>CS01/10</v>
          </cell>
          <cell r="D2521" t="str">
            <v>SPCC-SD</v>
          </cell>
          <cell r="E2521" t="str">
            <v>AF1</v>
          </cell>
          <cell r="F2521">
            <v>3</v>
          </cell>
          <cell r="G2521">
            <v>90</v>
          </cell>
          <cell r="H2521" t="str">
            <v>C</v>
          </cell>
          <cell r="I2521" t="str">
            <v>A</v>
          </cell>
          <cell r="K2521">
            <v>1</v>
          </cell>
          <cell r="L2521">
            <v>392</v>
          </cell>
          <cell r="M2521">
            <v>60049501</v>
          </cell>
          <cell r="N2521">
            <v>38730</v>
          </cell>
          <cell r="P2521" t="str">
            <v>IN6113N2S617504</v>
          </cell>
        </row>
        <row r="2522">
          <cell r="A2522">
            <v>60049505</v>
          </cell>
          <cell r="B2522">
            <v>2521</v>
          </cell>
          <cell r="C2522" t="str">
            <v>CS01/10</v>
          </cell>
          <cell r="D2522" t="str">
            <v>SPCC-SD</v>
          </cell>
          <cell r="E2522" t="str">
            <v>AF1</v>
          </cell>
          <cell r="F2522">
            <v>3</v>
          </cell>
          <cell r="G2522">
            <v>90</v>
          </cell>
          <cell r="H2522" t="str">
            <v>C</v>
          </cell>
          <cell r="I2522" t="str">
            <v>A</v>
          </cell>
          <cell r="K2522">
            <v>1</v>
          </cell>
          <cell r="L2522">
            <v>392</v>
          </cell>
          <cell r="M2522">
            <v>60049505</v>
          </cell>
          <cell r="N2522">
            <v>38730</v>
          </cell>
          <cell r="P2522" t="str">
            <v>IN6113N2S617505</v>
          </cell>
        </row>
        <row r="2523">
          <cell r="A2523">
            <v>60050802</v>
          </cell>
          <cell r="B2523">
            <v>2522</v>
          </cell>
          <cell r="C2523" t="str">
            <v>CS01/10</v>
          </cell>
          <cell r="D2523" t="str">
            <v>SPCC-SD</v>
          </cell>
          <cell r="E2523" t="str">
            <v>AF1</v>
          </cell>
          <cell r="F2523">
            <v>3</v>
          </cell>
          <cell r="G2523">
            <v>90</v>
          </cell>
          <cell r="H2523" t="str">
            <v>C</v>
          </cell>
          <cell r="I2523" t="str">
            <v>A</v>
          </cell>
          <cell r="K2523">
            <v>1</v>
          </cell>
          <cell r="L2523">
            <v>339</v>
          </cell>
          <cell r="M2523">
            <v>60050802</v>
          </cell>
          <cell r="N2523">
            <v>38750</v>
          </cell>
          <cell r="P2523" t="str">
            <v>IN6202N2S703701</v>
          </cell>
        </row>
        <row r="2524">
          <cell r="A2524">
            <v>60052807</v>
          </cell>
          <cell r="B2524">
            <v>2523</v>
          </cell>
          <cell r="C2524" t="str">
            <v>CS01/10</v>
          </cell>
          <cell r="D2524" t="str">
            <v>SPCC-SD</v>
          </cell>
          <cell r="E2524" t="str">
            <v>AF1</v>
          </cell>
          <cell r="F2524">
            <v>3</v>
          </cell>
          <cell r="G2524">
            <v>90</v>
          </cell>
          <cell r="H2524" t="str">
            <v>C</v>
          </cell>
          <cell r="I2524" t="str">
            <v>A</v>
          </cell>
          <cell r="K2524">
            <v>1</v>
          </cell>
          <cell r="L2524">
            <v>255</v>
          </cell>
          <cell r="M2524">
            <v>60052807</v>
          </cell>
          <cell r="N2524">
            <v>38750</v>
          </cell>
          <cell r="P2524" t="str">
            <v>IN6202N2S703702</v>
          </cell>
        </row>
        <row r="2525">
          <cell r="A2525">
            <v>60050808</v>
          </cell>
          <cell r="B2525">
            <v>2524</v>
          </cell>
          <cell r="C2525" t="str">
            <v>CS01/10</v>
          </cell>
          <cell r="D2525" t="str">
            <v>SPCC-SD</v>
          </cell>
          <cell r="E2525" t="str">
            <v>AF1</v>
          </cell>
          <cell r="F2525">
            <v>3</v>
          </cell>
          <cell r="G2525">
            <v>90</v>
          </cell>
          <cell r="H2525" t="str">
            <v>C</v>
          </cell>
          <cell r="I2525" t="str">
            <v>A</v>
          </cell>
          <cell r="K2525">
            <v>1</v>
          </cell>
          <cell r="L2525">
            <v>255</v>
          </cell>
          <cell r="M2525">
            <v>60050808</v>
          </cell>
          <cell r="N2525">
            <v>38750</v>
          </cell>
          <cell r="P2525" t="str">
            <v>IN6202N2S703703</v>
          </cell>
        </row>
        <row r="2526">
          <cell r="A2526">
            <v>60050820</v>
          </cell>
          <cell r="B2526">
            <v>2525</v>
          </cell>
          <cell r="C2526" t="str">
            <v>CS01/10</v>
          </cell>
          <cell r="D2526" t="str">
            <v>SPCC-SD</v>
          </cell>
          <cell r="E2526" t="str">
            <v>AF1</v>
          </cell>
          <cell r="F2526">
            <v>3</v>
          </cell>
          <cell r="G2526">
            <v>90</v>
          </cell>
          <cell r="H2526" t="str">
            <v>C</v>
          </cell>
          <cell r="I2526" t="str">
            <v>A</v>
          </cell>
          <cell r="K2526">
            <v>1</v>
          </cell>
          <cell r="L2526">
            <v>339</v>
          </cell>
          <cell r="M2526">
            <v>60050820</v>
          </cell>
          <cell r="N2526">
            <v>38750</v>
          </cell>
          <cell r="P2526" t="str">
            <v>IN6202N2S703704</v>
          </cell>
        </row>
        <row r="2527">
          <cell r="A2527">
            <v>60050821</v>
          </cell>
          <cell r="B2527">
            <v>2526</v>
          </cell>
          <cell r="C2527" t="str">
            <v>CS01/10</v>
          </cell>
          <cell r="D2527" t="str">
            <v>SPCC-SD</v>
          </cell>
          <cell r="E2527" t="str">
            <v>AF1</v>
          </cell>
          <cell r="F2527">
            <v>3</v>
          </cell>
          <cell r="G2527">
            <v>90</v>
          </cell>
          <cell r="H2527" t="str">
            <v>C</v>
          </cell>
          <cell r="I2527" t="str">
            <v>A</v>
          </cell>
          <cell r="K2527">
            <v>1</v>
          </cell>
          <cell r="L2527">
            <v>339</v>
          </cell>
          <cell r="M2527">
            <v>60050821</v>
          </cell>
          <cell r="N2527">
            <v>38750</v>
          </cell>
          <cell r="P2527" t="str">
            <v>IN6202N2S703705</v>
          </cell>
        </row>
        <row r="2528">
          <cell r="A2528">
            <v>60050825</v>
          </cell>
          <cell r="B2528">
            <v>2527</v>
          </cell>
          <cell r="C2528" t="str">
            <v>CS01/10</v>
          </cell>
          <cell r="D2528" t="str">
            <v>SPCC-SD</v>
          </cell>
          <cell r="E2528" t="str">
            <v>AF1</v>
          </cell>
          <cell r="F2528">
            <v>3</v>
          </cell>
          <cell r="G2528">
            <v>90</v>
          </cell>
          <cell r="H2528" t="str">
            <v>C</v>
          </cell>
          <cell r="I2528" t="str">
            <v>A</v>
          </cell>
          <cell r="K2528">
            <v>1</v>
          </cell>
          <cell r="L2528">
            <v>333</v>
          </cell>
          <cell r="M2528">
            <v>60050825</v>
          </cell>
          <cell r="N2528">
            <v>38750</v>
          </cell>
          <cell r="P2528" t="str">
            <v>IN6202N2S703706</v>
          </cell>
        </row>
        <row r="2529">
          <cell r="A2529">
            <v>60050826</v>
          </cell>
          <cell r="B2529">
            <v>2528</v>
          </cell>
          <cell r="C2529" t="str">
            <v>CS01/10</v>
          </cell>
          <cell r="D2529" t="str">
            <v>SPCC-SD</v>
          </cell>
          <cell r="E2529" t="str">
            <v>AF1</v>
          </cell>
          <cell r="F2529">
            <v>3</v>
          </cell>
          <cell r="G2529">
            <v>90</v>
          </cell>
          <cell r="H2529" t="str">
            <v>C</v>
          </cell>
          <cell r="I2529" t="str">
            <v>A</v>
          </cell>
          <cell r="K2529">
            <v>1</v>
          </cell>
          <cell r="L2529">
            <v>333</v>
          </cell>
          <cell r="M2529">
            <v>60050826</v>
          </cell>
          <cell r="N2529">
            <v>38750</v>
          </cell>
          <cell r="P2529" t="str">
            <v>IN6202N2S703707</v>
          </cell>
        </row>
        <row r="2530">
          <cell r="A2530">
            <v>60050836</v>
          </cell>
          <cell r="B2530">
            <v>2529</v>
          </cell>
          <cell r="C2530" t="str">
            <v>CS01/10</v>
          </cell>
          <cell r="D2530" t="str">
            <v>SPCC-SD</v>
          </cell>
          <cell r="E2530" t="str">
            <v>AF1</v>
          </cell>
          <cell r="F2530">
            <v>3</v>
          </cell>
          <cell r="G2530">
            <v>90</v>
          </cell>
          <cell r="H2530" t="str">
            <v>C</v>
          </cell>
          <cell r="I2530" t="str">
            <v>A</v>
          </cell>
          <cell r="K2530">
            <v>1</v>
          </cell>
          <cell r="L2530">
            <v>379</v>
          </cell>
          <cell r="M2530">
            <v>60050836</v>
          </cell>
          <cell r="N2530">
            <v>38750</v>
          </cell>
          <cell r="P2530" t="str">
            <v>IN6202N2S703708</v>
          </cell>
        </row>
        <row r="2531">
          <cell r="A2531">
            <v>60050837</v>
          </cell>
          <cell r="B2531">
            <v>2530</v>
          </cell>
          <cell r="C2531" t="str">
            <v>CS01/10</v>
          </cell>
          <cell r="D2531" t="str">
            <v>SPCC-SD</v>
          </cell>
          <cell r="E2531" t="str">
            <v>AF1</v>
          </cell>
          <cell r="F2531">
            <v>3</v>
          </cell>
          <cell r="G2531">
            <v>90</v>
          </cell>
          <cell r="H2531" t="str">
            <v>C</v>
          </cell>
          <cell r="I2531" t="str">
            <v>A</v>
          </cell>
          <cell r="K2531">
            <v>1</v>
          </cell>
          <cell r="L2531">
            <v>377</v>
          </cell>
          <cell r="M2531">
            <v>60050837</v>
          </cell>
          <cell r="N2531">
            <v>38750</v>
          </cell>
          <cell r="P2531" t="str">
            <v>IN6202N2S703709</v>
          </cell>
        </row>
        <row r="2532">
          <cell r="A2532">
            <v>60050841</v>
          </cell>
          <cell r="B2532">
            <v>2531</v>
          </cell>
          <cell r="C2532" t="str">
            <v>CS01/10</v>
          </cell>
          <cell r="D2532" t="str">
            <v>SPCC-SD</v>
          </cell>
          <cell r="E2532" t="str">
            <v>AF1</v>
          </cell>
          <cell r="F2532">
            <v>3</v>
          </cell>
          <cell r="G2532">
            <v>90</v>
          </cell>
          <cell r="H2532" t="str">
            <v>C</v>
          </cell>
          <cell r="I2532" t="str">
            <v>A</v>
          </cell>
          <cell r="K2532">
            <v>1</v>
          </cell>
          <cell r="L2532">
            <v>369</v>
          </cell>
          <cell r="M2532">
            <v>60050841</v>
          </cell>
          <cell r="N2532">
            <v>38750</v>
          </cell>
          <cell r="P2532" t="str">
            <v>IN6202N2S703710</v>
          </cell>
        </row>
        <row r="2533">
          <cell r="A2533">
            <v>60050842</v>
          </cell>
          <cell r="B2533">
            <v>2532</v>
          </cell>
          <cell r="C2533" t="str">
            <v>CS01/10</v>
          </cell>
          <cell r="D2533" t="str">
            <v>SPCC-SD</v>
          </cell>
          <cell r="E2533" t="str">
            <v>AF1</v>
          </cell>
          <cell r="F2533">
            <v>3</v>
          </cell>
          <cell r="G2533">
            <v>90</v>
          </cell>
          <cell r="H2533" t="str">
            <v>C</v>
          </cell>
          <cell r="I2533" t="str">
            <v>A</v>
          </cell>
          <cell r="K2533">
            <v>1</v>
          </cell>
          <cell r="L2533">
            <v>369</v>
          </cell>
          <cell r="M2533">
            <v>60050842</v>
          </cell>
          <cell r="N2533">
            <v>38750</v>
          </cell>
          <cell r="P2533" t="str">
            <v>IN6202N2S703711</v>
          </cell>
        </row>
        <row r="2534">
          <cell r="A2534">
            <v>60050852</v>
          </cell>
          <cell r="B2534">
            <v>2533</v>
          </cell>
          <cell r="C2534" t="str">
            <v>CS01/10</v>
          </cell>
          <cell r="D2534" t="str">
            <v>SPCC-SD</v>
          </cell>
          <cell r="E2534" t="str">
            <v>AF1</v>
          </cell>
          <cell r="F2534">
            <v>3</v>
          </cell>
          <cell r="G2534">
            <v>90</v>
          </cell>
          <cell r="H2534" t="str">
            <v>C</v>
          </cell>
          <cell r="I2534" t="str">
            <v>A</v>
          </cell>
          <cell r="K2534">
            <v>1</v>
          </cell>
          <cell r="L2534">
            <v>387</v>
          </cell>
          <cell r="M2534">
            <v>60050852</v>
          </cell>
          <cell r="N2534">
            <v>38750</v>
          </cell>
          <cell r="P2534" t="str">
            <v>IN6202N2S703601</v>
          </cell>
        </row>
        <row r="2535">
          <cell r="A2535">
            <v>60050853</v>
          </cell>
          <cell r="B2535">
            <v>2534</v>
          </cell>
          <cell r="C2535" t="str">
            <v>CS01/10</v>
          </cell>
          <cell r="D2535" t="str">
            <v>SPCC-SD</v>
          </cell>
          <cell r="E2535" t="str">
            <v>AF1</v>
          </cell>
          <cell r="F2535">
            <v>3</v>
          </cell>
          <cell r="G2535">
            <v>90</v>
          </cell>
          <cell r="H2535" t="str">
            <v>C</v>
          </cell>
          <cell r="I2535" t="str">
            <v>A</v>
          </cell>
          <cell r="K2535">
            <v>1</v>
          </cell>
          <cell r="L2535">
            <v>387</v>
          </cell>
          <cell r="M2535">
            <v>60050853</v>
          </cell>
          <cell r="N2535">
            <v>38750</v>
          </cell>
          <cell r="P2535" t="str">
            <v>IN6202N2S703602</v>
          </cell>
        </row>
        <row r="2536">
          <cell r="A2536">
            <v>60050883</v>
          </cell>
          <cell r="B2536">
            <v>2535</v>
          </cell>
          <cell r="C2536" t="str">
            <v>CS01/10</v>
          </cell>
          <cell r="D2536" t="str">
            <v>SPCC-SD</v>
          </cell>
          <cell r="E2536" t="str">
            <v>AF1</v>
          </cell>
          <cell r="F2536">
            <v>3</v>
          </cell>
          <cell r="G2536">
            <v>90</v>
          </cell>
          <cell r="H2536" t="str">
            <v>C</v>
          </cell>
          <cell r="I2536" t="str">
            <v>A</v>
          </cell>
          <cell r="K2536">
            <v>1</v>
          </cell>
          <cell r="L2536">
            <v>340</v>
          </cell>
          <cell r="M2536">
            <v>60050883</v>
          </cell>
          <cell r="N2536">
            <v>38750</v>
          </cell>
          <cell r="P2536" t="str">
            <v>IN6202N2S703603</v>
          </cell>
        </row>
        <row r="2537">
          <cell r="A2537">
            <v>60044039</v>
          </cell>
          <cell r="B2537">
            <v>2536</v>
          </cell>
          <cell r="C2537" t="str">
            <v>CS01/9</v>
          </cell>
          <cell r="D2537" t="str">
            <v>SPCC-SD</v>
          </cell>
          <cell r="E2537" t="str">
            <v>AF1</v>
          </cell>
          <cell r="F2537">
            <v>0.6</v>
          </cell>
          <cell r="G2537">
            <v>79</v>
          </cell>
          <cell r="H2537" t="str">
            <v>C</v>
          </cell>
          <cell r="I2537" t="str">
            <v>A</v>
          </cell>
          <cell r="J2537" t="str">
            <v>T.S.L.A</v>
          </cell>
          <cell r="K2537">
            <v>1</v>
          </cell>
          <cell r="L2537">
            <v>220</v>
          </cell>
          <cell r="M2537">
            <v>60044039</v>
          </cell>
          <cell r="N2537">
            <v>38663</v>
          </cell>
          <cell r="P2537" t="str">
            <v>FN5B07D1S454301</v>
          </cell>
          <cell r="Q2537" t="str">
            <v>สภาพดี</v>
          </cell>
        </row>
        <row r="2538">
          <cell r="A2538">
            <v>60044040</v>
          </cell>
          <cell r="B2538">
            <v>2537</v>
          </cell>
          <cell r="C2538" t="str">
            <v>CS01/9</v>
          </cell>
          <cell r="D2538" t="str">
            <v>SPCC-SD</v>
          </cell>
          <cell r="E2538" t="str">
            <v>AF1</v>
          </cell>
          <cell r="F2538">
            <v>0.6</v>
          </cell>
          <cell r="G2538">
            <v>79</v>
          </cell>
          <cell r="H2538" t="str">
            <v>C</v>
          </cell>
          <cell r="I2538" t="str">
            <v>A</v>
          </cell>
          <cell r="J2538" t="str">
            <v>T.S.L.A</v>
          </cell>
          <cell r="K2538">
            <v>1</v>
          </cell>
          <cell r="L2538">
            <v>220</v>
          </cell>
          <cell r="M2538">
            <v>60044040</v>
          </cell>
          <cell r="N2538">
            <v>38663</v>
          </cell>
          <cell r="P2538" t="str">
            <v>FN5B07D1S454302</v>
          </cell>
          <cell r="Q2538" t="str">
            <v>สภาพดี</v>
          </cell>
        </row>
        <row r="2539">
          <cell r="A2539">
            <v>60044043</v>
          </cell>
          <cell r="B2539">
            <v>2538</v>
          </cell>
          <cell r="C2539" t="str">
            <v>CS01/9</v>
          </cell>
          <cell r="D2539" t="str">
            <v>SPCC-SD</v>
          </cell>
          <cell r="E2539" t="str">
            <v>AF1</v>
          </cell>
          <cell r="F2539">
            <v>0.6</v>
          </cell>
          <cell r="G2539">
            <v>79</v>
          </cell>
          <cell r="H2539" t="str">
            <v>C</v>
          </cell>
          <cell r="I2539" t="str">
            <v>A</v>
          </cell>
          <cell r="J2539" t="str">
            <v>T.S.L.A</v>
          </cell>
          <cell r="K2539">
            <v>1</v>
          </cell>
          <cell r="L2539">
            <v>220</v>
          </cell>
          <cell r="M2539">
            <v>60044043</v>
          </cell>
          <cell r="N2539">
            <v>38663</v>
          </cell>
          <cell r="P2539" t="str">
            <v>FN5B07D1S454303</v>
          </cell>
          <cell r="Q2539" t="str">
            <v>สภาพดี</v>
          </cell>
        </row>
        <row r="2540">
          <cell r="A2540">
            <v>60044044</v>
          </cell>
          <cell r="B2540">
            <v>2539</v>
          </cell>
          <cell r="C2540" t="str">
            <v>CS01/9</v>
          </cell>
          <cell r="D2540" t="str">
            <v>SPCC-SD</v>
          </cell>
          <cell r="E2540" t="str">
            <v>AF1</v>
          </cell>
          <cell r="F2540">
            <v>0.6</v>
          </cell>
          <cell r="G2540">
            <v>79</v>
          </cell>
          <cell r="H2540" t="str">
            <v>C</v>
          </cell>
          <cell r="I2540" t="str">
            <v>A</v>
          </cell>
          <cell r="J2540" t="str">
            <v>T.S.L.A</v>
          </cell>
          <cell r="K2540">
            <v>1</v>
          </cell>
          <cell r="L2540">
            <v>220</v>
          </cell>
          <cell r="M2540">
            <v>60044044</v>
          </cell>
          <cell r="N2540">
            <v>38663</v>
          </cell>
          <cell r="P2540" t="str">
            <v>FN5B07D1S454304</v>
          </cell>
          <cell r="Q2540" t="str">
            <v>สภาพดี</v>
          </cell>
        </row>
        <row r="2541">
          <cell r="A2541">
            <v>60062497</v>
          </cell>
          <cell r="B2541">
            <v>2540</v>
          </cell>
          <cell r="C2541" t="str">
            <v>CS01/9</v>
          </cell>
          <cell r="D2541" t="str">
            <v>SPCC-SD</v>
          </cell>
          <cell r="E2541" t="str">
            <v>AF1</v>
          </cell>
          <cell r="F2541">
            <v>0.6</v>
          </cell>
          <cell r="G2541">
            <v>143</v>
          </cell>
          <cell r="H2541" t="str">
            <v>C</v>
          </cell>
          <cell r="I2541" t="str">
            <v>A</v>
          </cell>
          <cell r="J2541" t="str">
            <v>STORE</v>
          </cell>
          <cell r="K2541">
            <v>1</v>
          </cell>
          <cell r="L2541">
            <v>940</v>
          </cell>
          <cell r="M2541">
            <v>60062497</v>
          </cell>
          <cell r="N2541">
            <v>38896</v>
          </cell>
          <cell r="P2541" t="str">
            <v>IN6628D1S147701</v>
          </cell>
          <cell r="Q2541" t="str">
            <v>สภาพดี</v>
          </cell>
        </row>
        <row r="2542">
          <cell r="A2542">
            <v>60062500</v>
          </cell>
          <cell r="B2542">
            <v>2541</v>
          </cell>
          <cell r="C2542" t="str">
            <v>CS01/9</v>
          </cell>
          <cell r="D2542" t="str">
            <v>SPCC-SD</v>
          </cell>
          <cell r="E2542" t="str">
            <v>AF1</v>
          </cell>
          <cell r="F2542">
            <v>0.6</v>
          </cell>
          <cell r="G2542">
            <v>143</v>
          </cell>
          <cell r="H2542" t="str">
            <v>C</v>
          </cell>
          <cell r="I2542" t="str">
            <v>A</v>
          </cell>
          <cell r="J2542" t="str">
            <v>STORE</v>
          </cell>
          <cell r="K2542">
            <v>1</v>
          </cell>
          <cell r="L2542">
            <v>865</v>
          </cell>
          <cell r="M2542">
            <v>60062500</v>
          </cell>
          <cell r="N2542">
            <v>38896</v>
          </cell>
          <cell r="P2542" t="str">
            <v>IN6628D1S147702</v>
          </cell>
          <cell r="Q2542" t="str">
            <v>สภาพดี</v>
          </cell>
        </row>
        <row r="2543">
          <cell r="A2543">
            <v>60062486</v>
          </cell>
          <cell r="B2543">
            <v>2542</v>
          </cell>
          <cell r="C2543" t="str">
            <v>CS01/9</v>
          </cell>
          <cell r="D2543" t="str">
            <v>SPCC-SD</v>
          </cell>
          <cell r="E2543" t="str">
            <v>AF1</v>
          </cell>
          <cell r="F2543">
            <v>0.6</v>
          </cell>
          <cell r="G2543">
            <v>213</v>
          </cell>
          <cell r="H2543" t="str">
            <v>C</v>
          </cell>
          <cell r="I2543" t="str">
            <v>A</v>
          </cell>
          <cell r="J2543" t="str">
            <v>STORE</v>
          </cell>
          <cell r="K2543">
            <v>1</v>
          </cell>
          <cell r="L2543">
            <v>1396</v>
          </cell>
          <cell r="M2543">
            <v>60062486</v>
          </cell>
          <cell r="N2543">
            <v>38896</v>
          </cell>
          <cell r="P2543" t="str">
            <v>IN6628D1S147801</v>
          </cell>
          <cell r="Q2543" t="str">
            <v>สภาพดี</v>
          </cell>
        </row>
        <row r="2544">
          <cell r="A2544">
            <v>60062489</v>
          </cell>
          <cell r="B2544">
            <v>2543</v>
          </cell>
          <cell r="C2544" t="str">
            <v>CS01/9</v>
          </cell>
          <cell r="D2544" t="str">
            <v>SPCC-SD</v>
          </cell>
          <cell r="E2544" t="str">
            <v>AF1</v>
          </cell>
          <cell r="F2544">
            <v>0.6</v>
          </cell>
          <cell r="G2544">
            <v>213</v>
          </cell>
          <cell r="H2544" t="str">
            <v>C</v>
          </cell>
          <cell r="I2544" t="str">
            <v>A</v>
          </cell>
          <cell r="J2544" t="str">
            <v>STORE</v>
          </cell>
          <cell r="K2544">
            <v>1</v>
          </cell>
          <cell r="L2544">
            <v>1528</v>
          </cell>
          <cell r="M2544">
            <v>60062489</v>
          </cell>
          <cell r="N2544">
            <v>38896</v>
          </cell>
          <cell r="P2544" t="str">
            <v>IN6628D1S147802</v>
          </cell>
          <cell r="Q2544" t="str">
            <v>สภาพดี</v>
          </cell>
        </row>
        <row r="2545">
          <cell r="A2545">
            <v>60062492</v>
          </cell>
          <cell r="B2545">
            <v>2544</v>
          </cell>
          <cell r="C2545" t="str">
            <v>CS01/9</v>
          </cell>
          <cell r="D2545" t="str">
            <v>SPCC-SD</v>
          </cell>
          <cell r="E2545" t="str">
            <v>AF1</v>
          </cell>
          <cell r="F2545">
            <v>0.6</v>
          </cell>
          <cell r="G2545">
            <v>213</v>
          </cell>
          <cell r="H2545" t="str">
            <v>C</v>
          </cell>
          <cell r="I2545" t="str">
            <v>A</v>
          </cell>
          <cell r="J2545" t="str">
            <v>STORE</v>
          </cell>
          <cell r="K2545">
            <v>1</v>
          </cell>
          <cell r="L2545">
            <v>1526</v>
          </cell>
          <cell r="M2545">
            <v>60062492</v>
          </cell>
          <cell r="N2545">
            <v>38896</v>
          </cell>
          <cell r="P2545" t="str">
            <v>IN6628D1S147803</v>
          </cell>
          <cell r="Q2545" t="str">
            <v>สภาพดี</v>
          </cell>
        </row>
        <row r="2546">
          <cell r="A2546">
            <v>60031513</v>
          </cell>
          <cell r="B2546">
            <v>2545</v>
          </cell>
          <cell r="C2546" t="str">
            <v>CS01/9</v>
          </cell>
          <cell r="D2546" t="str">
            <v>SPCC-SD</v>
          </cell>
          <cell r="E2546" t="str">
            <v>AF1</v>
          </cell>
          <cell r="F2546">
            <v>0.8</v>
          </cell>
          <cell r="G2546">
            <v>125</v>
          </cell>
          <cell r="H2546" t="str">
            <v>C</v>
          </cell>
          <cell r="I2546" t="str">
            <v>A</v>
          </cell>
          <cell r="J2546" t="str">
            <v>STORE</v>
          </cell>
          <cell r="K2546">
            <v>1</v>
          </cell>
          <cell r="L2546">
            <v>550</v>
          </cell>
          <cell r="M2546">
            <v>60031513</v>
          </cell>
          <cell r="N2546">
            <v>38443</v>
          </cell>
          <cell r="P2546" t="str">
            <v>FN5401D1S847901</v>
          </cell>
          <cell r="Q2546" t="str">
            <v>สภาพดี</v>
          </cell>
        </row>
        <row r="2547">
          <cell r="A2547">
            <v>60031516</v>
          </cell>
          <cell r="B2547">
            <v>2546</v>
          </cell>
          <cell r="C2547" t="str">
            <v>CS01/9</v>
          </cell>
          <cell r="D2547" t="str">
            <v>SPCC-SD</v>
          </cell>
          <cell r="E2547" t="str">
            <v>AF1</v>
          </cell>
          <cell r="F2547">
            <v>0.8</v>
          </cell>
          <cell r="G2547">
            <v>125</v>
          </cell>
          <cell r="H2547" t="str">
            <v>C</v>
          </cell>
          <cell r="I2547" t="str">
            <v>A</v>
          </cell>
          <cell r="J2547" t="str">
            <v>STORE</v>
          </cell>
          <cell r="K2547">
            <v>1</v>
          </cell>
          <cell r="L2547">
            <v>367</v>
          </cell>
          <cell r="M2547">
            <v>60031516</v>
          </cell>
          <cell r="N2547">
            <v>38443</v>
          </cell>
          <cell r="P2547" t="str">
            <v>FN5401D1S847902</v>
          </cell>
          <cell r="Q2547" t="str">
            <v>สภาพดี</v>
          </cell>
        </row>
        <row r="2548">
          <cell r="A2548">
            <v>60056156</v>
          </cell>
          <cell r="B2548">
            <v>2547</v>
          </cell>
          <cell r="C2548" t="str">
            <v>CS01/9</v>
          </cell>
          <cell r="D2548" t="str">
            <v>SPCC-SD</v>
          </cell>
          <cell r="E2548" t="str">
            <v>AF1</v>
          </cell>
          <cell r="F2548">
            <v>1</v>
          </cell>
          <cell r="G2548">
            <v>32</v>
          </cell>
          <cell r="H2548" t="str">
            <v>C</v>
          </cell>
          <cell r="I2548" t="str">
            <v>A</v>
          </cell>
          <cell r="J2548" t="str">
            <v>CHEOW CHAN</v>
          </cell>
          <cell r="K2548">
            <v>1</v>
          </cell>
          <cell r="L2548">
            <v>380</v>
          </cell>
          <cell r="M2548">
            <v>60056156</v>
          </cell>
          <cell r="N2548">
            <v>38780</v>
          </cell>
          <cell r="P2548" t="str">
            <v>FN6403D1RSSSS01</v>
          </cell>
          <cell r="Q2548" t="str">
            <v>สายรัดเป็นสนิม</v>
          </cell>
        </row>
        <row r="2549">
          <cell r="A2549">
            <v>60057892</v>
          </cell>
          <cell r="B2549">
            <v>2548</v>
          </cell>
          <cell r="C2549" t="str">
            <v>CS01/9</v>
          </cell>
          <cell r="D2549" t="str">
            <v>SPCC-SD</v>
          </cell>
          <cell r="E2549" t="str">
            <v>AF1</v>
          </cell>
          <cell r="F2549">
            <v>1</v>
          </cell>
          <cell r="G2549">
            <v>40</v>
          </cell>
          <cell r="H2549" t="str">
            <v>C</v>
          </cell>
          <cell r="I2549" t="str">
            <v>A</v>
          </cell>
          <cell r="J2549" t="str">
            <v>CHEOW CHAN</v>
          </cell>
          <cell r="K2549">
            <v>1</v>
          </cell>
          <cell r="L2549">
            <v>105</v>
          </cell>
          <cell r="M2549">
            <v>60057892</v>
          </cell>
          <cell r="N2549">
            <v>38753</v>
          </cell>
          <cell r="O2549" t="str">
            <v>126424SUD007</v>
          </cell>
          <cell r="P2549" t="str">
            <v>FN6502D1S963901</v>
          </cell>
          <cell r="Q2549" t="str">
            <v>สายรัดเป็นสนิม</v>
          </cell>
        </row>
        <row r="2550">
          <cell r="A2550">
            <v>60057893</v>
          </cell>
          <cell r="B2550">
            <v>2549</v>
          </cell>
          <cell r="C2550" t="str">
            <v>CS01/9</v>
          </cell>
          <cell r="D2550" t="str">
            <v>SPCC-SD</v>
          </cell>
          <cell r="E2550" t="str">
            <v>AF1</v>
          </cell>
          <cell r="F2550">
            <v>1</v>
          </cell>
          <cell r="G2550">
            <v>40</v>
          </cell>
          <cell r="H2550" t="str">
            <v>C</v>
          </cell>
          <cell r="I2550" t="str">
            <v>A</v>
          </cell>
          <cell r="J2550" t="str">
            <v>CHEOW CHAN</v>
          </cell>
          <cell r="K2550">
            <v>1</v>
          </cell>
          <cell r="L2550">
            <v>105</v>
          </cell>
          <cell r="M2550">
            <v>60057893</v>
          </cell>
          <cell r="N2550">
            <v>38753</v>
          </cell>
          <cell r="O2550" t="str">
            <v>126424SUD007</v>
          </cell>
          <cell r="P2550" t="str">
            <v>FN6502D1S963902</v>
          </cell>
          <cell r="Q2550" t="str">
            <v>สายรัดเป็นสนิม</v>
          </cell>
        </row>
        <row r="2551">
          <cell r="A2551">
            <v>60057894</v>
          </cell>
          <cell r="B2551">
            <v>2550</v>
          </cell>
          <cell r="C2551" t="str">
            <v>CS01/9</v>
          </cell>
          <cell r="D2551" t="str">
            <v>SPCC-SD</v>
          </cell>
          <cell r="E2551" t="str">
            <v>AF1</v>
          </cell>
          <cell r="F2551">
            <v>1</v>
          </cell>
          <cell r="G2551">
            <v>40</v>
          </cell>
          <cell r="H2551" t="str">
            <v>C</v>
          </cell>
          <cell r="I2551" t="str">
            <v>A</v>
          </cell>
          <cell r="J2551" t="str">
            <v>CHEOW CHAN</v>
          </cell>
          <cell r="K2551">
            <v>1</v>
          </cell>
          <cell r="L2551">
            <v>105</v>
          </cell>
          <cell r="M2551">
            <v>60057894</v>
          </cell>
          <cell r="N2551">
            <v>38753</v>
          </cell>
          <cell r="O2551" t="str">
            <v>126424SUD007</v>
          </cell>
          <cell r="P2551" t="str">
            <v>FN6502D1S963903</v>
          </cell>
          <cell r="Q2551" t="str">
            <v>สายรัดเป็นสนิม</v>
          </cell>
        </row>
        <row r="2552">
          <cell r="A2552">
            <v>60057895</v>
          </cell>
          <cell r="B2552">
            <v>2551</v>
          </cell>
          <cell r="C2552" t="str">
            <v>CS01/9</v>
          </cell>
          <cell r="D2552" t="str">
            <v>SPCC-SD</v>
          </cell>
          <cell r="E2552" t="str">
            <v>AF1</v>
          </cell>
          <cell r="F2552">
            <v>1</v>
          </cell>
          <cell r="G2552">
            <v>40</v>
          </cell>
          <cell r="H2552" t="str">
            <v>C</v>
          </cell>
          <cell r="I2552" t="str">
            <v>A</v>
          </cell>
          <cell r="J2552" t="str">
            <v>CHEOW CHAN</v>
          </cell>
          <cell r="K2552">
            <v>1</v>
          </cell>
          <cell r="L2552">
            <v>105</v>
          </cell>
          <cell r="M2552">
            <v>60057895</v>
          </cell>
          <cell r="N2552">
            <v>38753</v>
          </cell>
          <cell r="O2552" t="str">
            <v>126424SUD007</v>
          </cell>
          <cell r="P2552" t="str">
            <v>FN6502D1S963904</v>
          </cell>
          <cell r="Q2552" t="str">
            <v>สายรัดเป็นสนิม</v>
          </cell>
        </row>
        <row r="2553">
          <cell r="A2553">
            <v>60057896</v>
          </cell>
          <cell r="B2553">
            <v>2552</v>
          </cell>
          <cell r="C2553" t="str">
            <v>CS01/9</v>
          </cell>
          <cell r="D2553" t="str">
            <v>SPCC-SD</v>
          </cell>
          <cell r="E2553" t="str">
            <v>AF1</v>
          </cell>
          <cell r="F2553">
            <v>1</v>
          </cell>
          <cell r="G2553">
            <v>40</v>
          </cell>
          <cell r="H2553" t="str">
            <v>C</v>
          </cell>
          <cell r="I2553" t="str">
            <v>A</v>
          </cell>
          <cell r="J2553" t="str">
            <v>CHEOW CHAN</v>
          </cell>
          <cell r="K2553">
            <v>1</v>
          </cell>
          <cell r="L2553">
            <v>105</v>
          </cell>
          <cell r="M2553">
            <v>60057896</v>
          </cell>
          <cell r="N2553">
            <v>38753</v>
          </cell>
          <cell r="O2553" t="str">
            <v>126424SUD007</v>
          </cell>
          <cell r="P2553" t="str">
            <v>FN6502D1S963905</v>
          </cell>
          <cell r="Q2553" t="str">
            <v>สายรัดเป็นสนิม</v>
          </cell>
        </row>
        <row r="2554">
          <cell r="A2554">
            <v>60067446</v>
          </cell>
          <cell r="B2554">
            <v>2553</v>
          </cell>
          <cell r="C2554" t="str">
            <v>CS01/9</v>
          </cell>
          <cell r="D2554" t="str">
            <v>SPCC-SD</v>
          </cell>
          <cell r="E2554" t="str">
            <v>AF1</v>
          </cell>
          <cell r="F2554">
            <v>1.2</v>
          </cell>
          <cell r="G2554">
            <v>20</v>
          </cell>
          <cell r="H2554" t="str">
            <v>C</v>
          </cell>
          <cell r="I2554" t="str">
            <v>A</v>
          </cell>
          <cell r="J2554" t="str">
            <v>S.A.S</v>
          </cell>
          <cell r="K2554">
            <v>1</v>
          </cell>
          <cell r="L2554">
            <v>397</v>
          </cell>
          <cell r="M2554">
            <v>60067446</v>
          </cell>
          <cell r="N2554">
            <v>38757</v>
          </cell>
          <cell r="O2554" t="str">
            <v>126227SUD004</v>
          </cell>
          <cell r="P2554" t="str">
            <v>FN6902D4R332601</v>
          </cell>
          <cell r="Q2554" t="str">
            <v>สภาพดี</v>
          </cell>
        </row>
        <row r="2555">
          <cell r="A2555">
            <v>60067447</v>
          </cell>
          <cell r="B2555">
            <v>2554</v>
          </cell>
          <cell r="C2555" t="str">
            <v>CS01/9</v>
          </cell>
          <cell r="D2555" t="str">
            <v>SPCC-SD</v>
          </cell>
          <cell r="E2555" t="str">
            <v>AF1</v>
          </cell>
          <cell r="F2555">
            <v>1.2</v>
          </cell>
          <cell r="G2555">
            <v>20</v>
          </cell>
          <cell r="H2555" t="str">
            <v>C</v>
          </cell>
          <cell r="I2555" t="str">
            <v>A</v>
          </cell>
          <cell r="J2555" t="str">
            <v>S.A.S</v>
          </cell>
          <cell r="K2555">
            <v>1</v>
          </cell>
          <cell r="L2555">
            <v>417</v>
          </cell>
          <cell r="M2555">
            <v>60067447</v>
          </cell>
          <cell r="N2555">
            <v>38757</v>
          </cell>
          <cell r="O2555" t="str">
            <v>126227SUD004</v>
          </cell>
          <cell r="P2555" t="str">
            <v>FN6902D4R332602</v>
          </cell>
          <cell r="Q2555" t="str">
            <v>สภาพดี</v>
          </cell>
        </row>
        <row r="2556">
          <cell r="A2556">
            <v>60067448</v>
          </cell>
          <cell r="B2556">
            <v>2555</v>
          </cell>
          <cell r="C2556" t="str">
            <v>CS01/9</v>
          </cell>
          <cell r="D2556" t="str">
            <v>SPCC-SD</v>
          </cell>
          <cell r="E2556" t="str">
            <v>AF1</v>
          </cell>
          <cell r="F2556">
            <v>1.2</v>
          </cell>
          <cell r="G2556">
            <v>20</v>
          </cell>
          <cell r="H2556" t="str">
            <v>C</v>
          </cell>
          <cell r="I2556" t="str">
            <v>A</v>
          </cell>
          <cell r="J2556" t="str">
            <v>S.A.S</v>
          </cell>
          <cell r="K2556">
            <v>1</v>
          </cell>
          <cell r="L2556">
            <v>416</v>
          </cell>
          <cell r="M2556">
            <v>60067448</v>
          </cell>
          <cell r="N2556">
            <v>38757</v>
          </cell>
          <cell r="O2556" t="str">
            <v>126227SUD004</v>
          </cell>
          <cell r="P2556" t="str">
            <v>FN6902D4R332603</v>
          </cell>
          <cell r="Q2556" t="str">
            <v>สภาพดี</v>
          </cell>
        </row>
        <row r="2557">
          <cell r="A2557">
            <v>60067449</v>
          </cell>
          <cell r="B2557">
            <v>2556</v>
          </cell>
          <cell r="C2557" t="str">
            <v>CS01/9</v>
          </cell>
          <cell r="D2557" t="str">
            <v>SPCC-SD</v>
          </cell>
          <cell r="E2557" t="str">
            <v>AF1</v>
          </cell>
          <cell r="F2557">
            <v>1.2</v>
          </cell>
          <cell r="G2557">
            <v>20</v>
          </cell>
          <cell r="H2557" t="str">
            <v>C</v>
          </cell>
          <cell r="I2557" t="str">
            <v>A</v>
          </cell>
          <cell r="J2557" t="str">
            <v>S.A.S</v>
          </cell>
          <cell r="K2557">
            <v>1</v>
          </cell>
          <cell r="L2557">
            <v>396</v>
          </cell>
          <cell r="M2557">
            <v>60067449</v>
          </cell>
          <cell r="N2557">
            <v>38757</v>
          </cell>
          <cell r="O2557" t="str">
            <v>126227SUD004</v>
          </cell>
          <cell r="P2557" t="str">
            <v>FN6902D4R332604</v>
          </cell>
          <cell r="Q2557" t="str">
            <v>สภาพดี</v>
          </cell>
        </row>
        <row r="2558">
          <cell r="A2558">
            <v>60034225</v>
          </cell>
          <cell r="B2558">
            <v>2557</v>
          </cell>
          <cell r="C2558" t="str">
            <v>CS01/9</v>
          </cell>
          <cell r="D2558" t="str">
            <v>SPCC-SD</v>
          </cell>
          <cell r="E2558" t="str">
            <v>AF1</v>
          </cell>
          <cell r="F2558">
            <v>1.2</v>
          </cell>
          <cell r="G2558">
            <v>48</v>
          </cell>
          <cell r="H2558" t="str">
            <v>C</v>
          </cell>
          <cell r="I2558" t="str">
            <v>A</v>
          </cell>
          <cell r="J2558" t="str">
            <v>WANAVIT</v>
          </cell>
          <cell r="K2558">
            <v>1</v>
          </cell>
          <cell r="L2558">
            <v>138</v>
          </cell>
          <cell r="M2558">
            <v>60034225</v>
          </cell>
          <cell r="N2558" t="str">
            <v>19/05/2005</v>
          </cell>
          <cell r="P2558" t="str">
            <v>FN5519D1S979101</v>
          </cell>
          <cell r="Q2558" t="str">
            <v>สภาพดี</v>
          </cell>
        </row>
        <row r="2559">
          <cell r="A2559">
            <v>60052086</v>
          </cell>
          <cell r="B2559">
            <v>2558</v>
          </cell>
          <cell r="C2559" t="str">
            <v>CS01/9</v>
          </cell>
          <cell r="D2559" t="str">
            <v>SPCC-SD</v>
          </cell>
          <cell r="E2559" t="str">
            <v>AF1</v>
          </cell>
          <cell r="F2559">
            <v>1.4</v>
          </cell>
          <cell r="G2559">
            <v>317</v>
          </cell>
          <cell r="H2559" t="str">
            <v>C</v>
          </cell>
          <cell r="I2559" t="str">
            <v>A</v>
          </cell>
          <cell r="J2559" t="str">
            <v>STORE</v>
          </cell>
          <cell r="K2559">
            <v>1</v>
          </cell>
          <cell r="L2559">
            <v>302</v>
          </cell>
          <cell r="M2559">
            <v>60052086</v>
          </cell>
          <cell r="N2559" t="str">
            <v>30/03/2006</v>
          </cell>
          <cell r="P2559" t="str">
            <v>FN6330N1S895101</v>
          </cell>
          <cell r="Q2559" t="str">
            <v>สภาพดี</v>
          </cell>
        </row>
        <row r="2560">
          <cell r="A2560">
            <v>60056044</v>
          </cell>
          <cell r="B2560">
            <v>2559</v>
          </cell>
          <cell r="C2560" t="str">
            <v>CS01/9</v>
          </cell>
          <cell r="D2560" t="str">
            <v>SPCC-SD</v>
          </cell>
          <cell r="E2560" t="str">
            <v>AF1</v>
          </cell>
          <cell r="F2560">
            <v>1.6</v>
          </cell>
          <cell r="G2560">
            <v>30</v>
          </cell>
          <cell r="H2560" t="str">
            <v>C</v>
          </cell>
          <cell r="I2560" t="str">
            <v>A</v>
          </cell>
          <cell r="J2560" t="str">
            <v>CHEOW CHAN</v>
          </cell>
          <cell r="K2560">
            <v>1</v>
          </cell>
          <cell r="L2560">
            <v>379</v>
          </cell>
          <cell r="M2560">
            <v>60056044</v>
          </cell>
          <cell r="N2560">
            <v>38721</v>
          </cell>
          <cell r="P2560" t="str">
            <v>FN6401D1RSSSS01</v>
          </cell>
          <cell r="Q2560" t="str">
            <v>สายรัดเป็นสนิม</v>
          </cell>
        </row>
        <row r="2561">
          <cell r="A2561">
            <v>60060642</v>
          </cell>
          <cell r="B2561">
            <v>2560</v>
          </cell>
          <cell r="C2561" t="str">
            <v>CS01/9</v>
          </cell>
          <cell r="D2561" t="str">
            <v>SPCC-SD</v>
          </cell>
          <cell r="E2561" t="str">
            <v>AF1</v>
          </cell>
          <cell r="F2561">
            <v>1.6</v>
          </cell>
          <cell r="G2561">
            <v>30</v>
          </cell>
          <cell r="H2561" t="str">
            <v>C</v>
          </cell>
          <cell r="I2561" t="str">
            <v>A</v>
          </cell>
          <cell r="J2561" t="str">
            <v>CHEOW CHAN</v>
          </cell>
          <cell r="K2561">
            <v>1</v>
          </cell>
          <cell r="L2561">
            <v>86</v>
          </cell>
          <cell r="M2561">
            <v>60060642</v>
          </cell>
          <cell r="N2561" t="str">
            <v>31/05/2006</v>
          </cell>
          <cell r="P2561" t="str">
            <v>IN6531N1S062101</v>
          </cell>
          <cell r="Q2561" t="str">
            <v>สายรัดเป็นสนิม</v>
          </cell>
        </row>
        <row r="2562">
          <cell r="A2562">
            <v>60060647</v>
          </cell>
          <cell r="B2562">
            <v>2561</v>
          </cell>
          <cell r="C2562" t="str">
            <v>CS01/9</v>
          </cell>
          <cell r="D2562" t="str">
            <v>SPCC-SD</v>
          </cell>
          <cell r="E2562" t="str">
            <v>AF1</v>
          </cell>
          <cell r="F2562">
            <v>1.6</v>
          </cell>
          <cell r="G2562">
            <v>30</v>
          </cell>
          <cell r="H2562" t="str">
            <v>C</v>
          </cell>
          <cell r="I2562" t="str">
            <v>A</v>
          </cell>
          <cell r="J2562" t="str">
            <v>CHEOW CHAN</v>
          </cell>
          <cell r="K2562">
            <v>1</v>
          </cell>
          <cell r="L2562">
            <v>132</v>
          </cell>
          <cell r="M2562">
            <v>60060647</v>
          </cell>
          <cell r="N2562" t="str">
            <v>31/05/2006</v>
          </cell>
          <cell r="P2562" t="str">
            <v>IN6531N1S062102</v>
          </cell>
          <cell r="Q2562" t="str">
            <v>สายรัดเป็นสนิม</v>
          </cell>
        </row>
        <row r="2563">
          <cell r="A2563">
            <v>60046556</v>
          </cell>
          <cell r="B2563">
            <v>2562</v>
          </cell>
          <cell r="C2563" t="str">
            <v>CS01/9</v>
          </cell>
          <cell r="D2563" t="str">
            <v>SPCC-SD</v>
          </cell>
          <cell r="E2563" t="str">
            <v>AF1</v>
          </cell>
          <cell r="F2563">
            <v>1.6</v>
          </cell>
          <cell r="G2563">
            <v>77</v>
          </cell>
          <cell r="H2563" t="str">
            <v>C</v>
          </cell>
          <cell r="I2563" t="str">
            <v>A</v>
          </cell>
          <cell r="J2563" t="str">
            <v>T.S.A</v>
          </cell>
          <cell r="K2563">
            <v>1</v>
          </cell>
          <cell r="L2563">
            <v>254</v>
          </cell>
          <cell r="M2563">
            <v>60046556</v>
          </cell>
          <cell r="N2563">
            <v>38395</v>
          </cell>
          <cell r="P2563" t="str">
            <v>FN5C02N1S524501</v>
          </cell>
          <cell r="Q2563" t="str">
            <v>สภาพดี</v>
          </cell>
        </row>
        <row r="2564">
          <cell r="A2564">
            <v>60059886</v>
          </cell>
          <cell r="B2564">
            <v>2563</v>
          </cell>
          <cell r="C2564" t="str">
            <v>CS01/9</v>
          </cell>
          <cell r="D2564" t="str">
            <v>SPCC-SD</v>
          </cell>
          <cell r="E2564" t="str">
            <v>AF1</v>
          </cell>
          <cell r="F2564">
            <v>1.6</v>
          </cell>
          <cell r="G2564">
            <v>232.8</v>
          </cell>
          <cell r="H2564" t="str">
            <v>C</v>
          </cell>
          <cell r="I2564" t="str">
            <v>A</v>
          </cell>
          <cell r="J2564" t="str">
            <v>T.S.A</v>
          </cell>
          <cell r="K2564">
            <v>1</v>
          </cell>
          <cell r="L2564">
            <v>648</v>
          </cell>
          <cell r="M2564">
            <v>60059886</v>
          </cell>
          <cell r="N2564" t="str">
            <v>25/05/2006</v>
          </cell>
          <cell r="P2564" t="str">
            <v>FN6525N2S046601</v>
          </cell>
          <cell r="Q2564" t="str">
            <v>สายรัดเป็นสนิม</v>
          </cell>
        </row>
        <row r="2565">
          <cell r="A2565">
            <v>60057779</v>
          </cell>
          <cell r="B2565">
            <v>2564</v>
          </cell>
          <cell r="C2565" t="str">
            <v>CS01/9</v>
          </cell>
          <cell r="D2565" t="str">
            <v>SPCC-SD</v>
          </cell>
          <cell r="E2565" t="str">
            <v>AF1</v>
          </cell>
          <cell r="F2565">
            <v>2</v>
          </cell>
          <cell r="G2565">
            <v>33</v>
          </cell>
          <cell r="H2565" t="str">
            <v>C</v>
          </cell>
          <cell r="I2565" t="str">
            <v>A</v>
          </cell>
          <cell r="J2565" t="str">
            <v>CHEOW CHAN</v>
          </cell>
          <cell r="K2565">
            <v>1</v>
          </cell>
          <cell r="L2565">
            <v>259</v>
          </cell>
          <cell r="M2565">
            <v>60057779</v>
          </cell>
          <cell r="N2565" t="str">
            <v>28/04/2006</v>
          </cell>
          <cell r="P2565" t="str">
            <v>FN6428D6E925401</v>
          </cell>
          <cell r="Q2565" t="str">
            <v>สภาพดี</v>
          </cell>
        </row>
        <row r="2566">
          <cell r="A2566">
            <v>60057780</v>
          </cell>
          <cell r="B2566">
            <v>2565</v>
          </cell>
          <cell r="C2566" t="str">
            <v>CS01/9</v>
          </cell>
          <cell r="D2566" t="str">
            <v>SPCC-SD</v>
          </cell>
          <cell r="E2566" t="str">
            <v>AF1</v>
          </cell>
          <cell r="F2566">
            <v>2</v>
          </cell>
          <cell r="G2566">
            <v>38</v>
          </cell>
          <cell r="H2566" t="str">
            <v>C</v>
          </cell>
          <cell r="I2566" t="str">
            <v>A</v>
          </cell>
          <cell r="J2566" t="str">
            <v>CHEOW CHAN</v>
          </cell>
          <cell r="K2566">
            <v>1</v>
          </cell>
          <cell r="L2566">
            <v>298</v>
          </cell>
          <cell r="M2566">
            <v>60057780</v>
          </cell>
          <cell r="N2566" t="str">
            <v>28/04/2006</v>
          </cell>
          <cell r="P2566" t="str">
            <v>FN6428D6E925401</v>
          </cell>
          <cell r="Q2566" t="str">
            <v>สภาพดี</v>
          </cell>
        </row>
        <row r="2567">
          <cell r="A2567">
            <v>60061343</v>
          </cell>
          <cell r="B2567">
            <v>2566</v>
          </cell>
          <cell r="C2567" t="str">
            <v>CS01/9</v>
          </cell>
          <cell r="D2567" t="str">
            <v>SPCC-SD</v>
          </cell>
          <cell r="E2567" t="str">
            <v>AF1</v>
          </cell>
          <cell r="F2567">
            <v>2</v>
          </cell>
          <cell r="G2567">
            <v>148</v>
          </cell>
          <cell r="H2567" t="str">
            <v>C</v>
          </cell>
          <cell r="I2567" t="str">
            <v>A</v>
          </cell>
          <cell r="J2567" t="str">
            <v>CHEOW CHAN</v>
          </cell>
          <cell r="K2567">
            <v>1</v>
          </cell>
          <cell r="L2567">
            <v>289</v>
          </cell>
          <cell r="M2567">
            <v>60061343</v>
          </cell>
          <cell r="N2567">
            <v>38935</v>
          </cell>
          <cell r="P2567" t="str">
            <v>FN6608D2S086201</v>
          </cell>
          <cell r="Q2567" t="str">
            <v>สายรัดเป็นสนิม</v>
          </cell>
        </row>
        <row r="2568">
          <cell r="A2568">
            <v>60053728</v>
          </cell>
          <cell r="B2568">
            <v>2567</v>
          </cell>
          <cell r="C2568" t="str">
            <v>CS01/9</v>
          </cell>
          <cell r="D2568" t="str">
            <v>SPCC-SD</v>
          </cell>
          <cell r="E2568" t="str">
            <v>AF1</v>
          </cell>
          <cell r="F2568">
            <v>2</v>
          </cell>
          <cell r="G2568">
            <v>226</v>
          </cell>
          <cell r="H2568" t="str">
            <v>C</v>
          </cell>
          <cell r="I2568" t="str">
            <v>A</v>
          </cell>
          <cell r="J2568" t="str">
            <v>STORE</v>
          </cell>
          <cell r="K2568">
            <v>1</v>
          </cell>
          <cell r="L2568">
            <v>242</v>
          </cell>
          <cell r="M2568">
            <v>60053728</v>
          </cell>
          <cell r="N2568">
            <v>38963</v>
          </cell>
          <cell r="O2568" t="str">
            <v>125B24SUD015</v>
          </cell>
          <cell r="P2568" t="str">
            <v>FN6410N1S894601</v>
          </cell>
          <cell r="Q2568" t="str">
            <v>สภาพดี</v>
          </cell>
        </row>
        <row r="2569">
          <cell r="A2569">
            <v>60064238</v>
          </cell>
          <cell r="B2569">
            <v>2568</v>
          </cell>
          <cell r="C2569" t="str">
            <v>CS01/9</v>
          </cell>
          <cell r="D2569" t="str">
            <v>SPCC-SD</v>
          </cell>
          <cell r="E2569" t="str">
            <v>AF1</v>
          </cell>
          <cell r="F2569">
            <v>2.2999999999999998</v>
          </cell>
          <cell r="G2569">
            <v>122.5</v>
          </cell>
          <cell r="H2569" t="str">
            <v>C</v>
          </cell>
          <cell r="I2569" t="str">
            <v>A</v>
          </cell>
          <cell r="J2569" t="str">
            <v>STORE</v>
          </cell>
          <cell r="K2569">
            <v>1</v>
          </cell>
          <cell r="L2569">
            <v>492</v>
          </cell>
          <cell r="M2569">
            <v>60064238</v>
          </cell>
          <cell r="N2569" t="str">
            <v>25/072006</v>
          </cell>
          <cell r="P2569" t="str">
            <v>SN6725N2S235101</v>
          </cell>
          <cell r="Q2569" t="str">
            <v>สายรัดเป็นสนิม</v>
          </cell>
        </row>
        <row r="2570">
          <cell r="A2570">
            <v>60064244</v>
          </cell>
          <cell r="B2570">
            <v>2569</v>
          </cell>
          <cell r="C2570" t="str">
            <v>CS01/9</v>
          </cell>
          <cell r="D2570" t="str">
            <v>SPCC-SD</v>
          </cell>
          <cell r="E2570" t="str">
            <v>AF1</v>
          </cell>
          <cell r="F2570">
            <v>2.2999999999999998</v>
          </cell>
          <cell r="G2570">
            <v>122.5</v>
          </cell>
          <cell r="H2570" t="str">
            <v>C</v>
          </cell>
          <cell r="I2570" t="str">
            <v>A</v>
          </cell>
          <cell r="J2570" t="str">
            <v>STORE</v>
          </cell>
          <cell r="K2570">
            <v>1</v>
          </cell>
          <cell r="L2570">
            <v>492</v>
          </cell>
          <cell r="M2570">
            <v>60064244</v>
          </cell>
          <cell r="N2570" t="str">
            <v>25/07/2006</v>
          </cell>
          <cell r="O2570" t="str">
            <v>126714TCD020</v>
          </cell>
          <cell r="P2570" t="str">
            <v>SN6725N2S235102</v>
          </cell>
          <cell r="Q2570" t="str">
            <v>สายรัดเป็นสนิม</v>
          </cell>
        </row>
        <row r="2571">
          <cell r="A2571">
            <v>60038348</v>
          </cell>
          <cell r="B2571">
            <v>2570</v>
          </cell>
          <cell r="C2571" t="str">
            <v>CS01/9</v>
          </cell>
          <cell r="D2571" t="str">
            <v>SPCC-SD</v>
          </cell>
          <cell r="E2571" t="str">
            <v>AF1</v>
          </cell>
          <cell r="F2571">
            <v>2.6</v>
          </cell>
          <cell r="G2571">
            <v>172</v>
          </cell>
          <cell r="H2571" t="str">
            <v>C</v>
          </cell>
          <cell r="I2571" t="str">
            <v>A</v>
          </cell>
          <cell r="J2571" t="str">
            <v>S.A.S</v>
          </cell>
          <cell r="K2571">
            <v>1</v>
          </cell>
          <cell r="L2571">
            <v>185</v>
          </cell>
          <cell r="M2571">
            <v>60038348</v>
          </cell>
          <cell r="N2571">
            <v>38391</v>
          </cell>
          <cell r="P2571" t="str">
            <v>FN5802D1S563201</v>
          </cell>
          <cell r="Q2571" t="str">
            <v>สภาพดี</v>
          </cell>
        </row>
        <row r="2572">
          <cell r="A2572">
            <v>60031419</v>
          </cell>
          <cell r="B2572">
            <v>2571</v>
          </cell>
          <cell r="C2572" t="str">
            <v>CS01/9</v>
          </cell>
          <cell r="D2572" t="str">
            <v>SPCC-SD</v>
          </cell>
          <cell r="E2572" t="str">
            <v>AF1</v>
          </cell>
          <cell r="F2572">
            <v>3</v>
          </cell>
          <cell r="G2572">
            <v>67</v>
          </cell>
          <cell r="H2572" t="str">
            <v>C</v>
          </cell>
          <cell r="I2572" t="str">
            <v>A</v>
          </cell>
          <cell r="J2572" t="str">
            <v>STORE</v>
          </cell>
          <cell r="K2572">
            <v>1</v>
          </cell>
          <cell r="L2572">
            <v>261</v>
          </cell>
          <cell r="M2572">
            <v>60031419</v>
          </cell>
          <cell r="N2572" t="str">
            <v>31/03/2005</v>
          </cell>
          <cell r="P2572" t="str">
            <v>FN5331D1S563201</v>
          </cell>
          <cell r="Q2572" t="str">
            <v>สภาพดี</v>
          </cell>
        </row>
        <row r="2573">
          <cell r="A2573">
            <v>60063129</v>
          </cell>
          <cell r="B2573">
            <v>2572</v>
          </cell>
          <cell r="C2573" t="str">
            <v>CS01/9</v>
          </cell>
          <cell r="D2573" t="str">
            <v>SPCC-SD</v>
          </cell>
          <cell r="E2573" t="str">
            <v>AF1</v>
          </cell>
          <cell r="F2573">
            <v>3</v>
          </cell>
          <cell r="G2573">
            <v>80</v>
          </cell>
          <cell r="H2573" t="str">
            <v>C</v>
          </cell>
          <cell r="I2573" t="str">
            <v>A</v>
          </cell>
          <cell r="J2573" t="str">
            <v>STORE</v>
          </cell>
          <cell r="K2573">
            <v>1</v>
          </cell>
          <cell r="L2573">
            <v>254</v>
          </cell>
          <cell r="M2573">
            <v>60063129</v>
          </cell>
          <cell r="N2573">
            <v>38875</v>
          </cell>
          <cell r="P2573" t="str">
            <v>IN6706N2S175301</v>
          </cell>
          <cell r="Q2573" t="str">
            <v>สภาพดี</v>
          </cell>
        </row>
        <row r="2574">
          <cell r="A2574">
            <v>60063135</v>
          </cell>
          <cell r="B2574">
            <v>2573</v>
          </cell>
          <cell r="C2574" t="str">
            <v>CS01/9</v>
          </cell>
          <cell r="D2574" t="str">
            <v>SPCC-SD</v>
          </cell>
          <cell r="E2574" t="str">
            <v>AF1</v>
          </cell>
          <cell r="F2574">
            <v>3</v>
          </cell>
          <cell r="G2574">
            <v>80</v>
          </cell>
          <cell r="H2574" t="str">
            <v>C</v>
          </cell>
          <cell r="I2574" t="str">
            <v>A</v>
          </cell>
          <cell r="J2574" t="str">
            <v>STORE</v>
          </cell>
          <cell r="K2574">
            <v>1</v>
          </cell>
          <cell r="L2574">
            <v>196</v>
          </cell>
          <cell r="M2574">
            <v>60063135</v>
          </cell>
          <cell r="N2574">
            <v>38875</v>
          </cell>
          <cell r="P2574" t="str">
            <v>IN6706N2S175302</v>
          </cell>
          <cell r="Q2574" t="str">
            <v>สภาพดี</v>
          </cell>
        </row>
        <row r="2575">
          <cell r="A2575">
            <v>60066784</v>
          </cell>
          <cell r="B2575">
            <v>2574</v>
          </cell>
          <cell r="C2575" t="str">
            <v>CS01/9</v>
          </cell>
          <cell r="D2575" t="str">
            <v>SPCC-SD</v>
          </cell>
          <cell r="E2575" t="str">
            <v>AF1</v>
          </cell>
          <cell r="F2575">
            <v>3</v>
          </cell>
          <cell r="G2575">
            <v>284</v>
          </cell>
          <cell r="H2575" t="str">
            <v>C</v>
          </cell>
          <cell r="I2575" t="str">
            <v>A</v>
          </cell>
          <cell r="J2575" t="str">
            <v>T.S.A</v>
          </cell>
          <cell r="K2575">
            <v>1</v>
          </cell>
          <cell r="L2575">
            <v>1050</v>
          </cell>
          <cell r="M2575">
            <v>60066784</v>
          </cell>
          <cell r="N2575" t="str">
            <v>22/8/2006</v>
          </cell>
          <cell r="O2575" t="str">
            <v>126713TCD019</v>
          </cell>
          <cell r="P2575" t="str">
            <v>FN6822D2S309501</v>
          </cell>
          <cell r="Q2575" t="str">
            <v>สภาพดี</v>
          </cell>
        </row>
        <row r="2576">
          <cell r="A2576">
            <v>60047320</v>
          </cell>
          <cell r="B2576">
            <v>2575</v>
          </cell>
          <cell r="C2576" t="str">
            <v>CS01/9</v>
          </cell>
          <cell r="D2576" t="str">
            <v>SPCC-SD</v>
          </cell>
          <cell r="E2576" t="str">
            <v>AF1</v>
          </cell>
          <cell r="F2576">
            <v>3</v>
          </cell>
          <cell r="G2576">
            <v>45</v>
          </cell>
          <cell r="H2576" t="str">
            <v>C</v>
          </cell>
          <cell r="I2576" t="str">
            <v>A</v>
          </cell>
          <cell r="J2576" t="str">
            <v>STORE</v>
          </cell>
          <cell r="K2576">
            <v>1</v>
          </cell>
          <cell r="L2576">
            <v>121</v>
          </cell>
          <cell r="M2576">
            <v>60047320</v>
          </cell>
          <cell r="N2576" t="str">
            <v>13/12/2005</v>
          </cell>
          <cell r="P2576" t="str">
            <v>FN5C13D2S566901</v>
          </cell>
          <cell r="Q2576" t="str">
            <v>สภาพดี</v>
          </cell>
        </row>
        <row r="2577">
          <cell r="A2577">
            <v>60047321</v>
          </cell>
          <cell r="B2577">
            <v>2576</v>
          </cell>
          <cell r="C2577" t="str">
            <v>CS01/9</v>
          </cell>
          <cell r="D2577" t="str">
            <v>SPCC-SD</v>
          </cell>
          <cell r="E2577" t="str">
            <v>AF1</v>
          </cell>
          <cell r="F2577">
            <v>3</v>
          </cell>
          <cell r="G2577">
            <v>45</v>
          </cell>
          <cell r="H2577" t="str">
            <v>C</v>
          </cell>
          <cell r="I2577" t="str">
            <v>A</v>
          </cell>
          <cell r="J2577" t="str">
            <v>STORE</v>
          </cell>
          <cell r="K2577">
            <v>1</v>
          </cell>
          <cell r="L2577">
            <v>121</v>
          </cell>
          <cell r="M2577">
            <v>60047321</v>
          </cell>
          <cell r="N2577" t="str">
            <v>13/12/2005</v>
          </cell>
          <cell r="P2577" t="str">
            <v>FN5C13D2S566902</v>
          </cell>
          <cell r="Q2577" t="str">
            <v>สภาพดี</v>
          </cell>
        </row>
        <row r="2578">
          <cell r="A2578">
            <v>60047322</v>
          </cell>
          <cell r="B2578">
            <v>2577</v>
          </cell>
          <cell r="C2578" t="str">
            <v>CS01/9</v>
          </cell>
          <cell r="D2578" t="str">
            <v>SPCC-SD</v>
          </cell>
          <cell r="E2578" t="str">
            <v>AF1</v>
          </cell>
          <cell r="F2578">
            <v>3</v>
          </cell>
          <cell r="G2578">
            <v>45</v>
          </cell>
          <cell r="H2578" t="str">
            <v>C</v>
          </cell>
          <cell r="I2578" t="str">
            <v>A</v>
          </cell>
          <cell r="J2578" t="str">
            <v>STORE</v>
          </cell>
          <cell r="K2578">
            <v>1</v>
          </cell>
          <cell r="L2578">
            <v>121</v>
          </cell>
          <cell r="M2578">
            <v>60047322</v>
          </cell>
          <cell r="N2578" t="str">
            <v>13/12/2005</v>
          </cell>
          <cell r="P2578" t="str">
            <v>FN5C13D2S566903</v>
          </cell>
          <cell r="Q2578" t="str">
            <v>สภาพดี</v>
          </cell>
        </row>
        <row r="2579">
          <cell r="A2579">
            <v>60047323</v>
          </cell>
          <cell r="B2579">
            <v>2578</v>
          </cell>
          <cell r="C2579" t="str">
            <v>CS01/9</v>
          </cell>
          <cell r="D2579" t="str">
            <v>SPCC-SD</v>
          </cell>
          <cell r="E2579" t="str">
            <v>AF1</v>
          </cell>
          <cell r="F2579">
            <v>3</v>
          </cell>
          <cell r="G2579">
            <v>45</v>
          </cell>
          <cell r="H2579" t="str">
            <v>C</v>
          </cell>
          <cell r="I2579" t="str">
            <v>A</v>
          </cell>
          <cell r="J2579" t="str">
            <v>STORE</v>
          </cell>
          <cell r="K2579">
            <v>1</v>
          </cell>
          <cell r="L2579">
            <v>121</v>
          </cell>
          <cell r="M2579">
            <v>60047323</v>
          </cell>
          <cell r="N2579" t="str">
            <v>13/12/2005</v>
          </cell>
          <cell r="P2579" t="str">
            <v>FN5C13D2S566904</v>
          </cell>
          <cell r="Q2579" t="str">
            <v>สภาพดี</v>
          </cell>
        </row>
        <row r="2580">
          <cell r="A2580">
            <v>60047324</v>
          </cell>
          <cell r="B2580">
            <v>2579</v>
          </cell>
          <cell r="C2580" t="str">
            <v>CS01/9</v>
          </cell>
          <cell r="D2580" t="str">
            <v>SPCC-SD</v>
          </cell>
          <cell r="E2580" t="str">
            <v>AF1</v>
          </cell>
          <cell r="F2580">
            <v>3</v>
          </cell>
          <cell r="G2580">
            <v>45</v>
          </cell>
          <cell r="H2580" t="str">
            <v>C</v>
          </cell>
          <cell r="I2580" t="str">
            <v>A</v>
          </cell>
          <cell r="J2580" t="str">
            <v>STORE</v>
          </cell>
          <cell r="K2580">
            <v>1</v>
          </cell>
          <cell r="L2580">
            <v>121</v>
          </cell>
          <cell r="M2580">
            <v>60047324</v>
          </cell>
          <cell r="N2580" t="str">
            <v>13/12/2005</v>
          </cell>
          <cell r="P2580" t="str">
            <v>FN5C13D2S566905</v>
          </cell>
          <cell r="Q2580" t="str">
            <v>สภาพดี</v>
          </cell>
        </row>
        <row r="2581">
          <cell r="A2581">
            <v>60047325</v>
          </cell>
          <cell r="B2581">
            <v>2580</v>
          </cell>
          <cell r="C2581" t="str">
            <v>CS01/9</v>
          </cell>
          <cell r="D2581" t="str">
            <v>SPCC-SD</v>
          </cell>
          <cell r="E2581" t="str">
            <v>AF1</v>
          </cell>
          <cell r="F2581">
            <v>3</v>
          </cell>
          <cell r="G2581">
            <v>45</v>
          </cell>
          <cell r="H2581" t="str">
            <v>C</v>
          </cell>
          <cell r="I2581" t="str">
            <v>A</v>
          </cell>
          <cell r="J2581" t="str">
            <v>STORE</v>
          </cell>
          <cell r="K2581">
            <v>1</v>
          </cell>
          <cell r="L2581">
            <v>121</v>
          </cell>
          <cell r="M2581">
            <v>60047325</v>
          </cell>
          <cell r="N2581" t="str">
            <v>13/12/2005</v>
          </cell>
          <cell r="P2581" t="str">
            <v>FN5C13D2S566906</v>
          </cell>
          <cell r="Q2581" t="str">
            <v>สภาพดี</v>
          </cell>
        </row>
        <row r="2582">
          <cell r="A2582">
            <v>60047326</v>
          </cell>
          <cell r="B2582">
            <v>2581</v>
          </cell>
          <cell r="C2582" t="str">
            <v>CS01/9</v>
          </cell>
          <cell r="D2582" t="str">
            <v>SPCC-SD</v>
          </cell>
          <cell r="E2582" t="str">
            <v>AF1</v>
          </cell>
          <cell r="F2582">
            <v>3</v>
          </cell>
          <cell r="G2582">
            <v>45</v>
          </cell>
          <cell r="H2582" t="str">
            <v>C</v>
          </cell>
          <cell r="I2582" t="str">
            <v>A</v>
          </cell>
          <cell r="J2582" t="str">
            <v>STORE</v>
          </cell>
          <cell r="K2582">
            <v>1</v>
          </cell>
          <cell r="L2582">
            <v>121</v>
          </cell>
          <cell r="M2582">
            <v>60047326</v>
          </cell>
          <cell r="N2582" t="str">
            <v>13/12/2005</v>
          </cell>
          <cell r="P2582" t="str">
            <v>FN5C13D2S566907</v>
          </cell>
          <cell r="Q2582" t="str">
            <v>สภาพดี</v>
          </cell>
        </row>
        <row r="2583">
          <cell r="A2583">
            <v>60047327</v>
          </cell>
          <cell r="B2583">
            <v>2582</v>
          </cell>
          <cell r="C2583" t="str">
            <v>CS01/9</v>
          </cell>
          <cell r="D2583" t="str">
            <v>SPCC-SD</v>
          </cell>
          <cell r="E2583" t="str">
            <v>AF1</v>
          </cell>
          <cell r="F2583">
            <v>3</v>
          </cell>
          <cell r="G2583">
            <v>45</v>
          </cell>
          <cell r="H2583" t="str">
            <v>C</v>
          </cell>
          <cell r="I2583" t="str">
            <v>A</v>
          </cell>
          <cell r="J2583" t="str">
            <v>STORE</v>
          </cell>
          <cell r="K2583">
            <v>1</v>
          </cell>
          <cell r="L2583">
            <v>121</v>
          </cell>
          <cell r="M2583">
            <v>60047327</v>
          </cell>
          <cell r="N2583" t="str">
            <v>13/12/2005</v>
          </cell>
          <cell r="P2583" t="str">
            <v>FN5C13D2S566908</v>
          </cell>
          <cell r="Q2583" t="str">
            <v>สภาพดี</v>
          </cell>
        </row>
        <row r="2584">
          <cell r="A2584">
            <v>60047328</v>
          </cell>
          <cell r="B2584">
            <v>2583</v>
          </cell>
          <cell r="C2584" t="str">
            <v>CS01/9</v>
          </cell>
          <cell r="D2584" t="str">
            <v>SPCC-SD</v>
          </cell>
          <cell r="E2584" t="str">
            <v>AF1</v>
          </cell>
          <cell r="F2584">
            <v>3</v>
          </cell>
          <cell r="G2584">
            <v>45</v>
          </cell>
          <cell r="H2584" t="str">
            <v>C</v>
          </cell>
          <cell r="I2584" t="str">
            <v>A</v>
          </cell>
          <cell r="J2584" t="str">
            <v>STORE</v>
          </cell>
          <cell r="K2584">
            <v>1</v>
          </cell>
          <cell r="L2584">
            <v>121</v>
          </cell>
          <cell r="M2584">
            <v>60047328</v>
          </cell>
          <cell r="N2584" t="str">
            <v>13/12/2005</v>
          </cell>
          <cell r="P2584" t="str">
            <v>FN5C13D2S566909</v>
          </cell>
          <cell r="Q2584" t="str">
            <v>สภาพดี</v>
          </cell>
        </row>
        <row r="2585">
          <cell r="A2585">
            <v>60048473</v>
          </cell>
          <cell r="B2585">
            <v>2584</v>
          </cell>
          <cell r="C2585" t="str">
            <v>CS01/9</v>
          </cell>
          <cell r="D2585" t="str">
            <v>SPCC-SD</v>
          </cell>
          <cell r="E2585" t="str">
            <v>AF1</v>
          </cell>
          <cell r="F2585">
            <v>3</v>
          </cell>
          <cell r="G2585">
            <v>45</v>
          </cell>
          <cell r="H2585" t="str">
            <v>C</v>
          </cell>
          <cell r="I2585" t="str">
            <v>A</v>
          </cell>
          <cell r="J2585" t="str">
            <v>STORE</v>
          </cell>
          <cell r="K2585">
            <v>1</v>
          </cell>
          <cell r="L2585">
            <v>128</v>
          </cell>
          <cell r="M2585">
            <v>60048473</v>
          </cell>
          <cell r="N2585" t="str">
            <v>30/06/2006</v>
          </cell>
          <cell r="P2585" t="str">
            <v>FN5C24D2S589110</v>
          </cell>
          <cell r="Q2585" t="str">
            <v>สภาพดี</v>
          </cell>
        </row>
        <row r="2586">
          <cell r="A2586">
            <v>60048474</v>
          </cell>
          <cell r="B2586">
            <v>2585</v>
          </cell>
          <cell r="C2586" t="str">
            <v>CS01/9</v>
          </cell>
          <cell r="D2586" t="str">
            <v>SPCC-SD</v>
          </cell>
          <cell r="E2586" t="str">
            <v>AF1</v>
          </cell>
          <cell r="F2586">
            <v>3</v>
          </cell>
          <cell r="G2586">
            <v>45</v>
          </cell>
          <cell r="H2586" t="str">
            <v>C</v>
          </cell>
          <cell r="I2586" t="str">
            <v>A</v>
          </cell>
          <cell r="J2586" t="str">
            <v>STORE</v>
          </cell>
          <cell r="K2586">
            <v>1</v>
          </cell>
          <cell r="L2586">
            <v>128</v>
          </cell>
          <cell r="M2586">
            <v>60048474</v>
          </cell>
          <cell r="N2586" t="str">
            <v>30/06/2006</v>
          </cell>
          <cell r="P2586" t="str">
            <v>FN5C24D2S589111</v>
          </cell>
          <cell r="Q2586" t="str">
            <v>สภาพดี</v>
          </cell>
        </row>
        <row r="2587">
          <cell r="A2587">
            <v>60048475</v>
          </cell>
          <cell r="B2587">
            <v>2586</v>
          </cell>
          <cell r="C2587" t="str">
            <v>CS01/9</v>
          </cell>
          <cell r="D2587" t="str">
            <v>SPCC-SD</v>
          </cell>
          <cell r="E2587" t="str">
            <v>AF1</v>
          </cell>
          <cell r="F2587">
            <v>3</v>
          </cell>
          <cell r="G2587">
            <v>45</v>
          </cell>
          <cell r="H2587" t="str">
            <v>C</v>
          </cell>
          <cell r="I2587" t="str">
            <v>A</v>
          </cell>
          <cell r="J2587" t="str">
            <v>STORE</v>
          </cell>
          <cell r="K2587">
            <v>1</v>
          </cell>
          <cell r="L2587">
            <v>128</v>
          </cell>
          <cell r="M2587">
            <v>60048475</v>
          </cell>
          <cell r="N2587" t="str">
            <v>30/06/2006</v>
          </cell>
          <cell r="P2587" t="str">
            <v>FN5C24D2S589112</v>
          </cell>
          <cell r="Q2587" t="str">
            <v>สภาพดี</v>
          </cell>
        </row>
        <row r="2588">
          <cell r="A2588">
            <v>60059745</v>
          </cell>
          <cell r="B2588">
            <v>2587</v>
          </cell>
          <cell r="C2588" t="str">
            <v>CS01/9</v>
          </cell>
          <cell r="D2588" t="str">
            <v>SPCC-SD</v>
          </cell>
          <cell r="E2588" t="str">
            <v>AF1</v>
          </cell>
          <cell r="F2588">
            <v>3.2</v>
          </cell>
          <cell r="G2588">
            <v>52</v>
          </cell>
          <cell r="H2588" t="str">
            <v>C</v>
          </cell>
          <cell r="I2588" t="str">
            <v>A</v>
          </cell>
          <cell r="J2588" t="str">
            <v>T.S.A</v>
          </cell>
          <cell r="K2588">
            <v>1</v>
          </cell>
          <cell r="L2588">
            <v>96</v>
          </cell>
          <cell r="M2588">
            <v>60059745</v>
          </cell>
          <cell r="N2588" t="str">
            <v>24/05/2006</v>
          </cell>
          <cell r="P2588" t="str">
            <v>FN6524N2S034601</v>
          </cell>
          <cell r="Q2588" t="str">
            <v>สายรัดเป็นสนิม</v>
          </cell>
        </row>
        <row r="2589">
          <cell r="A2589">
            <v>60061210</v>
          </cell>
          <cell r="B2589">
            <v>2588</v>
          </cell>
          <cell r="C2589" t="str">
            <v>CS01/9</v>
          </cell>
          <cell r="D2589" t="str">
            <v>SPCC-SD</v>
          </cell>
          <cell r="E2589" t="str">
            <v>AF1</v>
          </cell>
          <cell r="F2589">
            <v>3.2</v>
          </cell>
          <cell r="G2589">
            <v>65</v>
          </cell>
          <cell r="H2589" t="str">
            <v>C</v>
          </cell>
          <cell r="I2589" t="str">
            <v>A</v>
          </cell>
          <cell r="J2589" t="str">
            <v>T.S.A</v>
          </cell>
          <cell r="K2589">
            <v>1</v>
          </cell>
          <cell r="L2589">
            <v>184</v>
          </cell>
          <cell r="M2589">
            <v>60061210</v>
          </cell>
          <cell r="N2589">
            <v>38904</v>
          </cell>
          <cell r="P2589" t="str">
            <v>FN6607D2S089601</v>
          </cell>
          <cell r="Q2589" t="str">
            <v>สภาพดี</v>
          </cell>
        </row>
        <row r="2590">
          <cell r="A2590">
            <v>60061260</v>
          </cell>
          <cell r="B2590">
            <v>2589</v>
          </cell>
          <cell r="C2590" t="str">
            <v>CS01/9</v>
          </cell>
          <cell r="D2590" t="str">
            <v>SPCC-SD</v>
          </cell>
          <cell r="E2590" t="str">
            <v>AF1</v>
          </cell>
          <cell r="F2590">
            <v>3.2</v>
          </cell>
          <cell r="G2590">
            <v>143</v>
          </cell>
          <cell r="H2590" t="str">
            <v>C</v>
          </cell>
          <cell r="I2590" t="str">
            <v>A</v>
          </cell>
          <cell r="J2590" t="str">
            <v>CHEOW CHAN</v>
          </cell>
          <cell r="K2590">
            <v>1</v>
          </cell>
          <cell r="L2590">
            <v>402</v>
          </cell>
          <cell r="M2590">
            <v>60061260</v>
          </cell>
          <cell r="N2590">
            <v>38935</v>
          </cell>
          <cell r="P2590" t="str">
            <v>FN6608N2S070601</v>
          </cell>
          <cell r="Q2590" t="str">
            <v>สภาพดี</v>
          </cell>
        </row>
        <row r="2591">
          <cell r="A2591">
            <v>60061261</v>
          </cell>
          <cell r="B2591">
            <v>2590</v>
          </cell>
          <cell r="C2591" t="str">
            <v>CS01/9</v>
          </cell>
          <cell r="D2591" t="str">
            <v>SPCC-SD</v>
          </cell>
          <cell r="E2591" t="str">
            <v>AF1</v>
          </cell>
          <cell r="F2591">
            <v>3.2</v>
          </cell>
          <cell r="G2591">
            <v>143</v>
          </cell>
          <cell r="H2591" t="str">
            <v>C</v>
          </cell>
          <cell r="I2591" t="str">
            <v>A</v>
          </cell>
          <cell r="J2591" t="str">
            <v>CHEOW CHAN</v>
          </cell>
          <cell r="K2591">
            <v>1</v>
          </cell>
          <cell r="L2591">
            <v>402</v>
          </cell>
          <cell r="M2591">
            <v>60061261</v>
          </cell>
          <cell r="N2591">
            <v>38935</v>
          </cell>
          <cell r="P2591" t="str">
            <v>FN6608N2S070602</v>
          </cell>
          <cell r="Q2591" t="str">
            <v>สภาพดี</v>
          </cell>
        </row>
        <row r="2592">
          <cell r="A2592">
            <v>60061653</v>
          </cell>
          <cell r="B2592">
            <v>2591</v>
          </cell>
          <cell r="C2592" t="str">
            <v>CS01/9</v>
          </cell>
          <cell r="D2592" t="str">
            <v>SPCEN-SD</v>
          </cell>
          <cell r="E2592" t="str">
            <v>AF3</v>
          </cell>
          <cell r="F2592">
            <v>0.7</v>
          </cell>
          <cell r="G2592">
            <v>235</v>
          </cell>
          <cell r="H2592" t="str">
            <v>C</v>
          </cell>
          <cell r="I2592" t="str">
            <v>A</v>
          </cell>
          <cell r="J2592" t="str">
            <v>STORE</v>
          </cell>
          <cell r="K2592">
            <v>1</v>
          </cell>
          <cell r="L2592">
            <v>1182</v>
          </cell>
          <cell r="M2592">
            <v>60061653</v>
          </cell>
          <cell r="N2592" t="str">
            <v>15/06/2006</v>
          </cell>
          <cell r="P2592" t="str">
            <v>FN6615N1S107001</v>
          </cell>
          <cell r="Q2592" t="str">
            <v>สภาพดี</v>
          </cell>
        </row>
        <row r="2593">
          <cell r="A2593">
            <v>60061656</v>
          </cell>
          <cell r="B2593">
            <v>2592</v>
          </cell>
          <cell r="C2593" t="str">
            <v>CS01/9</v>
          </cell>
          <cell r="D2593" t="str">
            <v>SPCEN-SD</v>
          </cell>
          <cell r="E2593" t="str">
            <v>AF3</v>
          </cell>
          <cell r="F2593">
            <v>0.7</v>
          </cell>
          <cell r="G2593">
            <v>235</v>
          </cell>
          <cell r="H2593" t="str">
            <v>C</v>
          </cell>
          <cell r="I2593" t="str">
            <v>A</v>
          </cell>
          <cell r="J2593" t="str">
            <v>STORE</v>
          </cell>
          <cell r="K2593">
            <v>1</v>
          </cell>
          <cell r="L2593">
            <v>1431</v>
          </cell>
          <cell r="M2593">
            <v>60061656</v>
          </cell>
          <cell r="N2593" t="str">
            <v>15/06/2006</v>
          </cell>
          <cell r="P2593" t="str">
            <v>FN6615N1S107002</v>
          </cell>
          <cell r="Q2593" t="str">
            <v>สภาพดี</v>
          </cell>
        </row>
        <row r="2594">
          <cell r="A2594">
            <v>60031865</v>
          </cell>
          <cell r="B2594">
            <v>2593</v>
          </cell>
          <cell r="C2594" t="str">
            <v>CS01/9</v>
          </cell>
          <cell r="D2594" t="str">
            <v>SPCEN-SD</v>
          </cell>
          <cell r="E2594" t="str">
            <v>AF3</v>
          </cell>
          <cell r="F2594">
            <v>0.9</v>
          </cell>
          <cell r="G2594">
            <v>83</v>
          </cell>
          <cell r="H2594" t="str">
            <v>C</v>
          </cell>
          <cell r="I2594" t="str">
            <v>A</v>
          </cell>
          <cell r="J2594" t="str">
            <v>T,S.A</v>
          </cell>
          <cell r="K2594">
            <v>1</v>
          </cell>
          <cell r="L2594">
            <v>276</v>
          </cell>
          <cell r="M2594">
            <v>60031865</v>
          </cell>
          <cell r="N2594">
            <v>38507</v>
          </cell>
          <cell r="P2594" t="str">
            <v>FN5406N1S874201</v>
          </cell>
          <cell r="Q2594" t="str">
            <v>สภาพดี</v>
          </cell>
        </row>
        <row r="2595">
          <cell r="A2595">
            <v>60060115</v>
          </cell>
          <cell r="B2595">
            <v>2594</v>
          </cell>
          <cell r="C2595" t="str">
            <v>CS01/9</v>
          </cell>
          <cell r="D2595" t="str">
            <v>SPCEN-SD</v>
          </cell>
          <cell r="E2595" t="str">
            <v>AF3</v>
          </cell>
          <cell r="F2595">
            <v>1.2</v>
          </cell>
          <cell r="G2595">
            <v>183</v>
          </cell>
          <cell r="H2595" t="str">
            <v>C</v>
          </cell>
          <cell r="I2595" t="str">
            <v>A</v>
          </cell>
          <cell r="J2595" t="str">
            <v>SIAM INTER LOCK</v>
          </cell>
          <cell r="K2595">
            <v>1</v>
          </cell>
          <cell r="L2595">
            <v>1302</v>
          </cell>
          <cell r="M2595">
            <v>60060115</v>
          </cell>
          <cell r="N2595" t="str">
            <v>26/05/2006</v>
          </cell>
          <cell r="P2595" t="str">
            <v>FN6526D2S042801</v>
          </cell>
          <cell r="Q2595" t="str">
            <v>สภาพดี</v>
          </cell>
        </row>
        <row r="2596">
          <cell r="A2596">
            <v>60046653</v>
          </cell>
          <cell r="B2596">
            <v>2595</v>
          </cell>
          <cell r="C2596" t="str">
            <v>CS01/9</v>
          </cell>
          <cell r="D2596" t="str">
            <v>SPCEN-SD</v>
          </cell>
          <cell r="E2596" t="str">
            <v>AF3</v>
          </cell>
          <cell r="F2596">
            <v>1.6</v>
          </cell>
          <cell r="G2596">
            <v>43</v>
          </cell>
          <cell r="H2596" t="str">
            <v>C</v>
          </cell>
          <cell r="I2596" t="str">
            <v>A</v>
          </cell>
          <cell r="J2596" t="str">
            <v>BUNYARAT PLASE</v>
          </cell>
          <cell r="K2596">
            <v>1</v>
          </cell>
          <cell r="L2596">
            <v>45</v>
          </cell>
          <cell r="M2596">
            <v>60046653</v>
          </cell>
          <cell r="N2596">
            <v>38423</v>
          </cell>
          <cell r="P2596" t="str">
            <v>FN5C03N1S5236</v>
          </cell>
          <cell r="Q2596" t="str">
            <v>สายรัดเป็นสนิม</v>
          </cell>
        </row>
        <row r="2597">
          <cell r="A2597">
            <v>60066511</v>
          </cell>
          <cell r="B2597">
            <v>2596</v>
          </cell>
          <cell r="C2597" t="str">
            <v>CS01/9</v>
          </cell>
          <cell r="D2597" t="str">
            <v>SPCEN-SD</v>
          </cell>
          <cell r="E2597" t="str">
            <v>AF3</v>
          </cell>
          <cell r="F2597">
            <v>1.6</v>
          </cell>
          <cell r="G2597">
            <v>360</v>
          </cell>
          <cell r="H2597" t="str">
            <v>C</v>
          </cell>
          <cell r="I2597" t="str">
            <v>A</v>
          </cell>
          <cell r="J2597" t="str">
            <v>T.S.A</v>
          </cell>
          <cell r="K2597">
            <v>1</v>
          </cell>
          <cell r="L2597">
            <v>1201</v>
          </cell>
          <cell r="M2597">
            <v>60066511</v>
          </cell>
          <cell r="N2597" t="str">
            <v>19/08/2006</v>
          </cell>
          <cell r="O2597" t="str">
            <v>125B16SUD009</v>
          </cell>
          <cell r="P2597" t="str">
            <v>FN6819N2S306701</v>
          </cell>
          <cell r="Q2597" t="str">
            <v>สภาพดี</v>
          </cell>
        </row>
        <row r="2598">
          <cell r="A2598">
            <v>60066516</v>
          </cell>
          <cell r="B2598">
            <v>2597</v>
          </cell>
          <cell r="C2598" t="str">
            <v>CS01/9</v>
          </cell>
          <cell r="D2598" t="str">
            <v>SPCEN-SD</v>
          </cell>
          <cell r="E2598" t="str">
            <v>AF3</v>
          </cell>
          <cell r="F2598">
            <v>1.6</v>
          </cell>
          <cell r="G2598">
            <v>360</v>
          </cell>
          <cell r="H2598" t="str">
            <v>C</v>
          </cell>
          <cell r="I2598" t="str">
            <v>A</v>
          </cell>
          <cell r="J2598" t="str">
            <v>T.S.A</v>
          </cell>
          <cell r="K2598">
            <v>1</v>
          </cell>
          <cell r="L2598">
            <v>1187</v>
          </cell>
          <cell r="M2598">
            <v>60066516</v>
          </cell>
          <cell r="N2598" t="str">
            <v>19/08/2006</v>
          </cell>
          <cell r="O2598" t="str">
            <v>125B16SUD009</v>
          </cell>
          <cell r="P2598" t="str">
            <v>FN6819N2S306702</v>
          </cell>
          <cell r="Q2598" t="str">
            <v>สภาพดี</v>
          </cell>
        </row>
        <row r="2599">
          <cell r="A2599">
            <v>60064126</v>
          </cell>
          <cell r="B2599">
            <v>2598</v>
          </cell>
          <cell r="C2599" t="str">
            <v>CS01/9</v>
          </cell>
          <cell r="D2599" t="str">
            <v>SPCEN-SD</v>
          </cell>
          <cell r="E2599" t="str">
            <v>AF3</v>
          </cell>
          <cell r="F2599">
            <v>2</v>
          </cell>
          <cell r="G2599">
            <v>92</v>
          </cell>
          <cell r="H2599" t="str">
            <v>C</v>
          </cell>
          <cell r="I2599" t="str">
            <v>A</v>
          </cell>
          <cell r="J2599" t="str">
            <v>STORE</v>
          </cell>
          <cell r="K2599">
            <v>1</v>
          </cell>
          <cell r="L2599">
            <v>288</v>
          </cell>
          <cell r="M2599">
            <v>60064126</v>
          </cell>
          <cell r="N2599" t="str">
            <v>21/07/2006</v>
          </cell>
          <cell r="P2599" t="str">
            <v>SN6721D2S228401</v>
          </cell>
          <cell r="Q2599" t="str">
            <v>สภาพดี</v>
          </cell>
        </row>
        <row r="2600">
          <cell r="A2600">
            <v>60062303</v>
          </cell>
          <cell r="B2600">
            <v>2599</v>
          </cell>
          <cell r="C2600" t="str">
            <v>CS01/9</v>
          </cell>
          <cell r="D2600" t="str">
            <v>SPCEN-SD</v>
          </cell>
          <cell r="E2600" t="str">
            <v>AF3</v>
          </cell>
          <cell r="F2600">
            <v>2</v>
          </cell>
          <cell r="G2600">
            <v>120</v>
          </cell>
          <cell r="H2600" t="str">
            <v>C</v>
          </cell>
          <cell r="I2600" t="str">
            <v>A</v>
          </cell>
          <cell r="J2600" t="str">
            <v>CHEOW CHAN</v>
          </cell>
          <cell r="K2600">
            <v>1</v>
          </cell>
          <cell r="L2600">
            <v>368</v>
          </cell>
          <cell r="M2600">
            <v>60062303</v>
          </cell>
          <cell r="N2600" t="str">
            <v>24/06/2006</v>
          </cell>
          <cell r="O2600" t="str">
            <v>125B09SUD005</v>
          </cell>
          <cell r="P2600" t="str">
            <v>FN6624N2S136501</v>
          </cell>
          <cell r="Q2600" t="str">
            <v>สภาพดี</v>
          </cell>
        </row>
        <row r="2601">
          <cell r="A2601">
            <v>60062313</v>
          </cell>
          <cell r="B2601">
            <v>2600</v>
          </cell>
          <cell r="C2601" t="str">
            <v>CS01/9</v>
          </cell>
          <cell r="D2601" t="str">
            <v>SPCEN-SD</v>
          </cell>
          <cell r="E2601" t="str">
            <v>AF3</v>
          </cell>
          <cell r="F2601">
            <v>2</v>
          </cell>
          <cell r="G2601">
            <v>120</v>
          </cell>
          <cell r="H2601" t="str">
            <v>C</v>
          </cell>
          <cell r="I2601" t="str">
            <v>A</v>
          </cell>
          <cell r="J2601" t="str">
            <v>CHEOW CHAN</v>
          </cell>
          <cell r="K2601">
            <v>1</v>
          </cell>
          <cell r="L2601">
            <v>364</v>
          </cell>
          <cell r="M2601">
            <v>60062313</v>
          </cell>
          <cell r="N2601" t="str">
            <v>24/06/2006</v>
          </cell>
          <cell r="O2601" t="str">
            <v>125B09SUD005</v>
          </cell>
          <cell r="P2601" t="str">
            <v>FN6624N2S136502</v>
          </cell>
          <cell r="Q2601" t="str">
            <v>สภาพดี</v>
          </cell>
        </row>
        <row r="2602">
          <cell r="A2602">
            <v>60064115</v>
          </cell>
          <cell r="B2602">
            <v>2601</v>
          </cell>
          <cell r="C2602" t="str">
            <v>CS01/9</v>
          </cell>
          <cell r="D2602" t="str">
            <v>SPCC-SD</v>
          </cell>
          <cell r="E2602" t="str">
            <v>AG1</v>
          </cell>
          <cell r="F2602">
            <v>1.6</v>
          </cell>
          <cell r="G2602">
            <v>96</v>
          </cell>
          <cell r="H2602" t="str">
            <v>C</v>
          </cell>
          <cell r="I2602" t="str">
            <v>A</v>
          </cell>
          <cell r="J2602" t="str">
            <v>STORE</v>
          </cell>
          <cell r="K2602">
            <v>1</v>
          </cell>
          <cell r="L2602">
            <v>206</v>
          </cell>
          <cell r="M2602">
            <v>60064115</v>
          </cell>
          <cell r="N2602" t="str">
            <v>21/07/2006</v>
          </cell>
          <cell r="P2602" t="str">
            <v>SN6721D2S221801</v>
          </cell>
          <cell r="Q2602" t="str">
            <v>สภาพดี</v>
          </cell>
        </row>
        <row r="2603">
          <cell r="A2603">
            <v>60057881</v>
          </cell>
          <cell r="B2603">
            <v>2602</v>
          </cell>
          <cell r="C2603" t="str">
            <v>CS01/9</v>
          </cell>
          <cell r="D2603" t="str">
            <v>SPHC-P/O</v>
          </cell>
          <cell r="E2603" t="str">
            <v>CA1</v>
          </cell>
          <cell r="F2603">
            <v>1.2</v>
          </cell>
          <cell r="G2603">
            <v>168</v>
          </cell>
          <cell r="H2603" t="str">
            <v>C</v>
          </cell>
          <cell r="I2603" t="str">
            <v>A</v>
          </cell>
          <cell r="J2603" t="str">
            <v>S.A.S</v>
          </cell>
          <cell r="K2603">
            <v>1</v>
          </cell>
          <cell r="L2603">
            <v>325</v>
          </cell>
          <cell r="M2603">
            <v>60057881</v>
          </cell>
          <cell r="N2603" t="str">
            <v>29/04/2006</v>
          </cell>
          <cell r="P2603" t="str">
            <v>FN6429N1S966701</v>
          </cell>
          <cell r="Q2603" t="str">
            <v>สภาพดี</v>
          </cell>
        </row>
        <row r="2604">
          <cell r="A2604">
            <v>60057882</v>
          </cell>
          <cell r="B2604">
            <v>2603</v>
          </cell>
          <cell r="C2604" t="str">
            <v>CS01/9</v>
          </cell>
          <cell r="D2604" t="str">
            <v>SPHC-P/O</v>
          </cell>
          <cell r="E2604" t="str">
            <v>CA1</v>
          </cell>
          <cell r="F2604">
            <v>1.2</v>
          </cell>
          <cell r="G2604">
            <v>168</v>
          </cell>
          <cell r="H2604" t="str">
            <v>C</v>
          </cell>
          <cell r="I2604" t="str">
            <v>A</v>
          </cell>
          <cell r="J2604" t="str">
            <v>S.A.S</v>
          </cell>
          <cell r="K2604">
            <v>1</v>
          </cell>
          <cell r="L2604">
            <v>325</v>
          </cell>
          <cell r="M2604">
            <v>60057882</v>
          </cell>
          <cell r="N2604" t="str">
            <v>29/04/2006</v>
          </cell>
          <cell r="P2604" t="str">
            <v>FN6429N1S966702</v>
          </cell>
          <cell r="Q2604" t="str">
            <v>สภาพดี</v>
          </cell>
        </row>
        <row r="2605">
          <cell r="A2605">
            <v>60056775</v>
          </cell>
          <cell r="B2605">
            <v>2604</v>
          </cell>
          <cell r="C2605" t="str">
            <v>CS01/9</v>
          </cell>
          <cell r="D2605" t="str">
            <v>SPHC-P/O</v>
          </cell>
          <cell r="E2605" t="str">
            <v>CA1</v>
          </cell>
          <cell r="F2605">
            <v>1.4</v>
          </cell>
          <cell r="G2605">
            <v>196</v>
          </cell>
          <cell r="H2605" t="str">
            <v>C</v>
          </cell>
          <cell r="I2605" t="str">
            <v>A</v>
          </cell>
          <cell r="J2605" t="str">
            <v>S.A.S</v>
          </cell>
          <cell r="K2605">
            <v>1</v>
          </cell>
          <cell r="L2605">
            <v>272</v>
          </cell>
          <cell r="M2605">
            <v>60056775</v>
          </cell>
          <cell r="N2605" t="str">
            <v>19/04/2006</v>
          </cell>
          <cell r="P2605" t="str">
            <v>FN6419D2S929601</v>
          </cell>
          <cell r="Q2605" t="str">
            <v>สภาพดี</v>
          </cell>
        </row>
        <row r="2606">
          <cell r="A2606">
            <v>60056774</v>
          </cell>
          <cell r="B2606">
            <v>2605</v>
          </cell>
          <cell r="C2606" t="str">
            <v>CS01/9</v>
          </cell>
          <cell r="D2606" t="str">
            <v>SPHC-P/O</v>
          </cell>
          <cell r="E2606" t="str">
            <v>CA1</v>
          </cell>
          <cell r="F2606">
            <v>1.4</v>
          </cell>
          <cell r="G2606">
            <v>285</v>
          </cell>
          <cell r="H2606" t="str">
            <v>C</v>
          </cell>
          <cell r="I2606" t="str">
            <v>A</v>
          </cell>
          <cell r="J2606" t="str">
            <v>S.A.S</v>
          </cell>
          <cell r="K2606">
            <v>1</v>
          </cell>
          <cell r="L2606">
            <v>398</v>
          </cell>
          <cell r="M2606">
            <v>60056774</v>
          </cell>
          <cell r="N2606" t="str">
            <v>19/04/2006</v>
          </cell>
          <cell r="P2606" t="str">
            <v>FN6419D2S929601</v>
          </cell>
          <cell r="Q2606" t="str">
            <v>สภาพดี</v>
          </cell>
        </row>
        <row r="2607">
          <cell r="A2607">
            <v>60052618</v>
          </cell>
          <cell r="B2607">
            <v>2606</v>
          </cell>
          <cell r="C2607" t="str">
            <v>CS01/9</v>
          </cell>
          <cell r="D2607" t="str">
            <v>SPHC-P/O</v>
          </cell>
          <cell r="E2607" t="str">
            <v>CA1</v>
          </cell>
          <cell r="F2607">
            <v>1.6</v>
          </cell>
          <cell r="G2607">
            <v>64</v>
          </cell>
          <cell r="H2607" t="str">
            <v>C</v>
          </cell>
          <cell r="I2607" t="str">
            <v>A</v>
          </cell>
          <cell r="J2607" t="str">
            <v>T.S.A</v>
          </cell>
          <cell r="K2607">
            <v>1</v>
          </cell>
          <cell r="L2607">
            <v>132</v>
          </cell>
          <cell r="M2607">
            <v>60052618</v>
          </cell>
          <cell r="N2607" t="str">
            <v>24/02/2006</v>
          </cell>
          <cell r="P2607" t="str">
            <v>FN6224N2S779201</v>
          </cell>
          <cell r="Q2607" t="str">
            <v>สายรัดเป็นสนิม</v>
          </cell>
        </row>
        <row r="2608">
          <cell r="A2608">
            <v>60052619</v>
          </cell>
          <cell r="B2608">
            <v>2607</v>
          </cell>
          <cell r="C2608" t="str">
            <v>CS01/9</v>
          </cell>
          <cell r="D2608" t="str">
            <v>SPHC-P/O</v>
          </cell>
          <cell r="E2608" t="str">
            <v>CA1</v>
          </cell>
          <cell r="F2608">
            <v>1.6</v>
          </cell>
          <cell r="G2608">
            <v>64</v>
          </cell>
          <cell r="H2608" t="str">
            <v>C</v>
          </cell>
          <cell r="I2608" t="str">
            <v>A</v>
          </cell>
          <cell r="J2608" t="str">
            <v>T.S.A</v>
          </cell>
          <cell r="K2608">
            <v>1</v>
          </cell>
          <cell r="L2608">
            <v>132</v>
          </cell>
          <cell r="M2608">
            <v>60052619</v>
          </cell>
          <cell r="N2608" t="str">
            <v>24/02/2006</v>
          </cell>
          <cell r="P2608" t="str">
            <v>FN6224N2S779202</v>
          </cell>
          <cell r="Q2608" t="str">
            <v>สายรัดเป็นสนิม</v>
          </cell>
        </row>
        <row r="2609">
          <cell r="A2609">
            <v>60053856</v>
          </cell>
          <cell r="B2609">
            <v>2608</v>
          </cell>
          <cell r="C2609" t="str">
            <v>CS01/9</v>
          </cell>
          <cell r="D2609" t="str">
            <v>SPHC-P/O</v>
          </cell>
          <cell r="E2609" t="str">
            <v>CA1</v>
          </cell>
          <cell r="F2609">
            <v>1.8</v>
          </cell>
          <cell r="G2609">
            <v>292</v>
          </cell>
          <cell r="H2609" t="str">
            <v>C</v>
          </cell>
          <cell r="I2609" t="str">
            <v>A</v>
          </cell>
          <cell r="J2609" t="str">
            <v>STORE</v>
          </cell>
          <cell r="K2609">
            <v>1</v>
          </cell>
          <cell r="L2609">
            <v>930</v>
          </cell>
          <cell r="M2609">
            <v>60053856</v>
          </cell>
          <cell r="N2609">
            <v>38993</v>
          </cell>
          <cell r="P2609" t="str">
            <v>FN6318N2S861501</v>
          </cell>
          <cell r="Q2609" t="str">
            <v>สภาพดี</v>
          </cell>
        </row>
        <row r="2610">
          <cell r="A2610">
            <v>60054983</v>
          </cell>
          <cell r="B2610">
            <v>2609</v>
          </cell>
          <cell r="C2610" t="str">
            <v>CS01/9</v>
          </cell>
          <cell r="D2610" t="str">
            <v>SPHC-P/O</v>
          </cell>
          <cell r="E2610" t="str">
            <v>CA1</v>
          </cell>
          <cell r="F2610">
            <v>1.8</v>
          </cell>
          <cell r="G2610">
            <v>292</v>
          </cell>
          <cell r="H2610" t="str">
            <v>C</v>
          </cell>
          <cell r="I2610" t="str">
            <v>A</v>
          </cell>
          <cell r="J2610" t="str">
            <v>STORE</v>
          </cell>
          <cell r="K2610">
            <v>1</v>
          </cell>
          <cell r="L2610">
            <v>926</v>
          </cell>
          <cell r="M2610">
            <v>60054983</v>
          </cell>
          <cell r="N2610" t="str">
            <v>18/03/2006</v>
          </cell>
          <cell r="P2610" t="str">
            <v>FN6318N2S861502</v>
          </cell>
          <cell r="Q2610" t="str">
            <v>สภาพดี</v>
          </cell>
        </row>
        <row r="2611">
          <cell r="A2611">
            <v>60055458</v>
          </cell>
          <cell r="B2611">
            <v>2610</v>
          </cell>
          <cell r="C2611" t="str">
            <v>CS01/9</v>
          </cell>
          <cell r="D2611" t="str">
            <v>SPHC-P/O</v>
          </cell>
          <cell r="E2611" t="str">
            <v>CA1</v>
          </cell>
          <cell r="F2611">
            <v>2.2999999999999998</v>
          </cell>
          <cell r="G2611">
            <v>42</v>
          </cell>
          <cell r="H2611" t="str">
            <v>C</v>
          </cell>
          <cell r="I2611" t="str">
            <v>A</v>
          </cell>
          <cell r="J2611" t="str">
            <v>T.S.A</v>
          </cell>
          <cell r="K2611">
            <v>1</v>
          </cell>
          <cell r="L2611">
            <v>61</v>
          </cell>
          <cell r="M2611">
            <v>60055458</v>
          </cell>
          <cell r="N2611" t="str">
            <v>25/03/2006</v>
          </cell>
          <cell r="P2611" t="str">
            <v>FN6325N2S882509</v>
          </cell>
          <cell r="Q2611" t="str">
            <v>สภาพดี</v>
          </cell>
        </row>
        <row r="2612">
          <cell r="A2612">
            <v>60055459</v>
          </cell>
          <cell r="B2612">
            <v>2611</v>
          </cell>
          <cell r="C2612" t="str">
            <v>CS01/9</v>
          </cell>
          <cell r="D2612" t="str">
            <v>SPHC-P/O</v>
          </cell>
          <cell r="E2612" t="str">
            <v>CA1</v>
          </cell>
          <cell r="F2612">
            <v>2.2999999999999998</v>
          </cell>
          <cell r="G2612">
            <v>42</v>
          </cell>
          <cell r="H2612" t="str">
            <v>C</v>
          </cell>
          <cell r="I2612" t="str">
            <v>A</v>
          </cell>
          <cell r="J2612" t="str">
            <v>T.S.A</v>
          </cell>
          <cell r="K2612">
            <v>1</v>
          </cell>
          <cell r="L2612">
            <v>61</v>
          </cell>
          <cell r="M2612">
            <v>60055459</v>
          </cell>
          <cell r="N2612" t="str">
            <v>25/03/2006</v>
          </cell>
          <cell r="P2612" t="str">
            <v>FN6325N2S882510</v>
          </cell>
          <cell r="Q2612" t="str">
            <v>สภาพดี</v>
          </cell>
        </row>
        <row r="2613">
          <cell r="A2613">
            <v>60055460</v>
          </cell>
          <cell r="B2613">
            <v>2612</v>
          </cell>
          <cell r="C2613" t="str">
            <v>CS01/9</v>
          </cell>
          <cell r="D2613" t="str">
            <v>SPHC-P/O</v>
          </cell>
          <cell r="E2613" t="str">
            <v>CA1</v>
          </cell>
          <cell r="F2613">
            <v>2.2999999999999998</v>
          </cell>
          <cell r="G2613">
            <v>42</v>
          </cell>
          <cell r="H2613" t="str">
            <v>C</v>
          </cell>
          <cell r="I2613" t="str">
            <v>A</v>
          </cell>
          <cell r="J2613" t="str">
            <v>T.S.A</v>
          </cell>
          <cell r="K2613">
            <v>1</v>
          </cell>
          <cell r="L2613">
            <v>61</v>
          </cell>
          <cell r="M2613">
            <v>60055460</v>
          </cell>
          <cell r="N2613" t="str">
            <v>25/03/2006</v>
          </cell>
          <cell r="P2613" t="str">
            <v>FN6325N2S882501</v>
          </cell>
          <cell r="Q2613" t="str">
            <v>สภาพดี</v>
          </cell>
        </row>
        <row r="2614">
          <cell r="A2614">
            <v>60055461</v>
          </cell>
          <cell r="B2614">
            <v>2613</v>
          </cell>
          <cell r="C2614" t="str">
            <v>CS01/9</v>
          </cell>
          <cell r="D2614" t="str">
            <v>SPHC-P/O</v>
          </cell>
          <cell r="E2614" t="str">
            <v>CA1</v>
          </cell>
          <cell r="F2614">
            <v>2.2999999999999998</v>
          </cell>
          <cell r="G2614">
            <v>42</v>
          </cell>
          <cell r="H2614" t="str">
            <v>C</v>
          </cell>
          <cell r="I2614" t="str">
            <v>A</v>
          </cell>
          <cell r="J2614" t="str">
            <v>T.S.A</v>
          </cell>
          <cell r="K2614">
            <v>1</v>
          </cell>
          <cell r="L2614">
            <v>61</v>
          </cell>
          <cell r="M2614">
            <v>60055461</v>
          </cell>
          <cell r="N2614" t="str">
            <v>25/03/2006</v>
          </cell>
          <cell r="P2614" t="str">
            <v>FN6325N2S882502</v>
          </cell>
          <cell r="Q2614" t="str">
            <v>สภาพดี</v>
          </cell>
        </row>
        <row r="2615">
          <cell r="A2615">
            <v>60055462</v>
          </cell>
          <cell r="B2615">
            <v>2614</v>
          </cell>
          <cell r="C2615" t="str">
            <v>CS01/9</v>
          </cell>
          <cell r="D2615" t="str">
            <v>SPHC-P/O</v>
          </cell>
          <cell r="E2615" t="str">
            <v>CA1</v>
          </cell>
          <cell r="F2615">
            <v>2.2999999999999998</v>
          </cell>
          <cell r="G2615">
            <v>42</v>
          </cell>
          <cell r="H2615" t="str">
            <v>C</v>
          </cell>
          <cell r="I2615" t="str">
            <v>A</v>
          </cell>
          <cell r="J2615" t="str">
            <v>T.S.A</v>
          </cell>
          <cell r="K2615">
            <v>1</v>
          </cell>
          <cell r="L2615">
            <v>61</v>
          </cell>
          <cell r="M2615">
            <v>60055462</v>
          </cell>
          <cell r="N2615" t="str">
            <v>25/03/2006</v>
          </cell>
          <cell r="P2615" t="str">
            <v>FN6325N2S882503</v>
          </cell>
          <cell r="Q2615" t="str">
            <v>สภาพดี</v>
          </cell>
        </row>
        <row r="2616">
          <cell r="A2616">
            <v>60055463</v>
          </cell>
          <cell r="B2616">
            <v>2615</v>
          </cell>
          <cell r="C2616" t="str">
            <v>CS01/9</v>
          </cell>
          <cell r="D2616" t="str">
            <v>SPHC-P/O</v>
          </cell>
          <cell r="E2616" t="str">
            <v>CA1</v>
          </cell>
          <cell r="F2616">
            <v>2.2999999999999998</v>
          </cell>
          <cell r="G2616">
            <v>42</v>
          </cell>
          <cell r="H2616" t="str">
            <v>C</v>
          </cell>
          <cell r="I2616" t="str">
            <v>A</v>
          </cell>
          <cell r="J2616" t="str">
            <v>T.S.A</v>
          </cell>
          <cell r="K2616">
            <v>1</v>
          </cell>
          <cell r="L2616">
            <v>61</v>
          </cell>
          <cell r="M2616">
            <v>60055463</v>
          </cell>
          <cell r="N2616" t="str">
            <v>25/03/2006</v>
          </cell>
          <cell r="P2616" t="str">
            <v>FN6325N2S882504</v>
          </cell>
          <cell r="Q2616" t="str">
            <v>สภาพดี</v>
          </cell>
        </row>
        <row r="2617">
          <cell r="A2617">
            <v>60055464</v>
          </cell>
          <cell r="B2617">
            <v>2616</v>
          </cell>
          <cell r="C2617" t="str">
            <v>CS01/9</v>
          </cell>
          <cell r="D2617" t="str">
            <v>SPHC-P/O</v>
          </cell>
          <cell r="E2617" t="str">
            <v>CA1</v>
          </cell>
          <cell r="F2617">
            <v>2.2999999999999998</v>
          </cell>
          <cell r="G2617">
            <v>42</v>
          </cell>
          <cell r="H2617" t="str">
            <v>C</v>
          </cell>
          <cell r="I2617" t="str">
            <v>A</v>
          </cell>
          <cell r="J2617" t="str">
            <v>T.S.A</v>
          </cell>
          <cell r="K2617">
            <v>1</v>
          </cell>
          <cell r="L2617">
            <v>61</v>
          </cell>
          <cell r="M2617">
            <v>60055464</v>
          </cell>
          <cell r="N2617" t="str">
            <v>25/03/2006</v>
          </cell>
          <cell r="P2617" t="str">
            <v>FN6325N2S882505</v>
          </cell>
          <cell r="Q2617" t="str">
            <v>สภาพดี</v>
          </cell>
        </row>
        <row r="2618">
          <cell r="A2618">
            <v>60055465</v>
          </cell>
          <cell r="B2618">
            <v>2617</v>
          </cell>
          <cell r="C2618" t="str">
            <v>CS01/9</v>
          </cell>
          <cell r="D2618" t="str">
            <v>SPHC-P/O</v>
          </cell>
          <cell r="E2618" t="str">
            <v>CA1</v>
          </cell>
          <cell r="F2618">
            <v>2.2999999999999998</v>
          </cell>
          <cell r="G2618">
            <v>42</v>
          </cell>
          <cell r="H2618" t="str">
            <v>C</v>
          </cell>
          <cell r="I2618" t="str">
            <v>A</v>
          </cell>
          <cell r="J2618" t="str">
            <v>T.S.A</v>
          </cell>
          <cell r="K2618">
            <v>1</v>
          </cell>
          <cell r="L2618">
            <v>61</v>
          </cell>
          <cell r="M2618">
            <v>60055465</v>
          </cell>
          <cell r="N2618" t="str">
            <v>25/03/2006</v>
          </cell>
          <cell r="P2618" t="str">
            <v>FN6325N2S882506</v>
          </cell>
          <cell r="Q2618" t="str">
            <v>สภาพดี</v>
          </cell>
        </row>
        <row r="2619">
          <cell r="A2619">
            <v>60055466</v>
          </cell>
          <cell r="B2619">
            <v>2618</v>
          </cell>
          <cell r="C2619" t="str">
            <v>CS01/9</v>
          </cell>
          <cell r="D2619" t="str">
            <v>SPHC-P/O</v>
          </cell>
          <cell r="E2619" t="str">
            <v>CA1</v>
          </cell>
          <cell r="F2619">
            <v>2.2999999999999998</v>
          </cell>
          <cell r="G2619">
            <v>42</v>
          </cell>
          <cell r="H2619" t="str">
            <v>C</v>
          </cell>
          <cell r="I2619" t="str">
            <v>A</v>
          </cell>
          <cell r="J2619" t="str">
            <v>T.S.A</v>
          </cell>
          <cell r="K2619">
            <v>1</v>
          </cell>
          <cell r="L2619">
            <v>61</v>
          </cell>
          <cell r="M2619">
            <v>60055466</v>
          </cell>
          <cell r="N2619" t="str">
            <v>25/03/2006</v>
          </cell>
          <cell r="P2619" t="str">
            <v>FN6325N2S882507</v>
          </cell>
          <cell r="Q2619" t="str">
            <v>สภาพดี</v>
          </cell>
        </row>
        <row r="2620">
          <cell r="A2620">
            <v>60055467</v>
          </cell>
          <cell r="B2620">
            <v>2619</v>
          </cell>
          <cell r="C2620" t="str">
            <v>CS01/9</v>
          </cell>
          <cell r="D2620" t="str">
            <v>SPHC-P/O</v>
          </cell>
          <cell r="E2620" t="str">
            <v>CA1</v>
          </cell>
          <cell r="F2620">
            <v>2.2999999999999998</v>
          </cell>
          <cell r="G2620">
            <v>42</v>
          </cell>
          <cell r="H2620" t="str">
            <v>C</v>
          </cell>
          <cell r="I2620" t="str">
            <v>A</v>
          </cell>
          <cell r="J2620" t="str">
            <v>T.S.A</v>
          </cell>
          <cell r="K2620">
            <v>1</v>
          </cell>
          <cell r="L2620">
            <v>61</v>
          </cell>
          <cell r="M2620">
            <v>60055467</v>
          </cell>
          <cell r="N2620" t="str">
            <v>25/03/2006</v>
          </cell>
          <cell r="P2620" t="str">
            <v>FN6325N2S882508</v>
          </cell>
          <cell r="Q2620" t="str">
            <v>สภาพดี</v>
          </cell>
        </row>
        <row r="2621">
          <cell r="A2621">
            <v>60061650</v>
          </cell>
          <cell r="B2621">
            <v>2620</v>
          </cell>
          <cell r="C2621" t="str">
            <v>CS01/9</v>
          </cell>
          <cell r="D2621" t="str">
            <v>SPHC-P/O</v>
          </cell>
          <cell r="E2621" t="str">
            <v>CA1</v>
          </cell>
          <cell r="F2621">
            <v>2.9</v>
          </cell>
          <cell r="G2621">
            <v>43</v>
          </cell>
          <cell r="H2621" t="str">
            <v>C</v>
          </cell>
          <cell r="I2621" t="str">
            <v>A</v>
          </cell>
          <cell r="J2621" t="str">
            <v>STORE</v>
          </cell>
          <cell r="K2621">
            <v>1</v>
          </cell>
          <cell r="L2621">
            <v>74</v>
          </cell>
          <cell r="M2621">
            <v>60061650</v>
          </cell>
          <cell r="N2621" t="str">
            <v>15/06/2006</v>
          </cell>
          <cell r="P2621" t="str">
            <v>IN6615N2S109301</v>
          </cell>
          <cell r="Q2621" t="str">
            <v>สภาพดี</v>
          </cell>
        </row>
        <row r="2622">
          <cell r="A2622">
            <v>60053491</v>
          </cell>
          <cell r="B2622">
            <v>2621</v>
          </cell>
          <cell r="C2622" t="str">
            <v>CS01/9</v>
          </cell>
          <cell r="D2622" t="str">
            <v>SPHC-P/O</v>
          </cell>
          <cell r="E2622" t="str">
            <v>CA1</v>
          </cell>
          <cell r="F2622">
            <v>4.5</v>
          </cell>
          <cell r="G2622">
            <v>81</v>
          </cell>
          <cell r="H2622" t="str">
            <v>C</v>
          </cell>
          <cell r="I2622" t="str">
            <v>A</v>
          </cell>
          <cell r="J2622" t="str">
            <v>STORE</v>
          </cell>
          <cell r="K2622">
            <v>1</v>
          </cell>
          <cell r="L2622">
            <v>710</v>
          </cell>
          <cell r="M2622">
            <v>60053491</v>
          </cell>
          <cell r="N2622">
            <v>38901</v>
          </cell>
          <cell r="P2622" t="str">
            <v>FN6307N2S812101</v>
          </cell>
          <cell r="Q2622" t="str">
            <v>สภาพดี</v>
          </cell>
        </row>
        <row r="2623">
          <cell r="A2623">
            <v>60042982</v>
          </cell>
          <cell r="B2623">
            <v>2622</v>
          </cell>
          <cell r="C2623" t="str">
            <v>CS01/9</v>
          </cell>
          <cell r="D2623" t="str">
            <v>SPHC-P/O</v>
          </cell>
          <cell r="E2623" t="str">
            <v>CA1</v>
          </cell>
          <cell r="F2623">
            <v>4.5</v>
          </cell>
          <cell r="G2623">
            <v>83</v>
          </cell>
          <cell r="H2623" t="str">
            <v>C</v>
          </cell>
          <cell r="I2623" t="str">
            <v>A</v>
          </cell>
          <cell r="J2623" t="str">
            <v>STORE</v>
          </cell>
          <cell r="K2623">
            <v>1</v>
          </cell>
          <cell r="L2623">
            <v>604</v>
          </cell>
          <cell r="M2623">
            <v>60042982</v>
          </cell>
          <cell r="N2623" t="str">
            <v>24/10/2005</v>
          </cell>
          <cell r="P2623" t="str">
            <v>FN5A24D2S400001</v>
          </cell>
          <cell r="Q2623" t="str">
            <v>สภาพดี</v>
          </cell>
        </row>
        <row r="2624">
          <cell r="A2624">
            <v>60042969</v>
          </cell>
          <cell r="B2624">
            <v>2623</v>
          </cell>
          <cell r="C2624" t="str">
            <v>CS01/9</v>
          </cell>
          <cell r="D2624" t="str">
            <v>SPHC-P/O</v>
          </cell>
          <cell r="E2624" t="str">
            <v>CA1</v>
          </cell>
          <cell r="F2624">
            <v>4.5</v>
          </cell>
          <cell r="G2624">
            <v>99</v>
          </cell>
          <cell r="H2624" t="str">
            <v>C</v>
          </cell>
          <cell r="I2624" t="str">
            <v>A</v>
          </cell>
          <cell r="J2624" t="str">
            <v>STORE</v>
          </cell>
          <cell r="K2624">
            <v>1</v>
          </cell>
          <cell r="L2624">
            <v>722</v>
          </cell>
          <cell r="M2624">
            <v>60042969</v>
          </cell>
          <cell r="N2624" t="str">
            <v>23/10/2005</v>
          </cell>
          <cell r="P2624" t="str">
            <v>FN5A23D2S398301</v>
          </cell>
          <cell r="Q2624" t="str">
            <v>สภาพดี</v>
          </cell>
        </row>
        <row r="2625">
          <cell r="A2625">
            <v>60052812</v>
          </cell>
          <cell r="B2625">
            <v>2624</v>
          </cell>
          <cell r="C2625" t="str">
            <v>CS01/6</v>
          </cell>
          <cell r="D2625" t="str">
            <v>SPCC-SD</v>
          </cell>
          <cell r="E2625" t="str">
            <v>AF1</v>
          </cell>
          <cell r="F2625">
            <v>0.5</v>
          </cell>
          <cell r="G2625">
            <v>100</v>
          </cell>
          <cell r="H2625" t="str">
            <v>C</v>
          </cell>
          <cell r="I2625" t="str">
            <v>A</v>
          </cell>
          <cell r="J2625" t="str">
            <v>STORE</v>
          </cell>
          <cell r="K2625">
            <v>1</v>
          </cell>
          <cell r="L2625">
            <v>474</v>
          </cell>
          <cell r="M2625">
            <v>60052812</v>
          </cell>
          <cell r="N2625" t="str">
            <v>27/02/2006</v>
          </cell>
          <cell r="O2625" t="str">
            <v>12321TCD001</v>
          </cell>
          <cell r="P2625" t="str">
            <v>FN6227N1S785001</v>
          </cell>
          <cell r="Q2625" t="str">
            <v>สภาพดี</v>
          </cell>
        </row>
        <row r="2626">
          <cell r="A2626">
            <v>60041569</v>
          </cell>
          <cell r="B2626">
            <v>2625</v>
          </cell>
          <cell r="C2626" t="str">
            <v>CS01/6</v>
          </cell>
          <cell r="D2626" t="str">
            <v>SPCC-SD</v>
          </cell>
          <cell r="E2626" t="str">
            <v>AF1</v>
          </cell>
          <cell r="F2626">
            <v>0.6</v>
          </cell>
          <cell r="G2626">
            <v>52</v>
          </cell>
          <cell r="H2626" t="str">
            <v>C</v>
          </cell>
          <cell r="I2626" t="str">
            <v>A</v>
          </cell>
          <cell r="J2626" t="str">
            <v>T.S.A</v>
          </cell>
          <cell r="K2626">
            <v>1</v>
          </cell>
          <cell r="L2626">
            <v>157</v>
          </cell>
          <cell r="M2626">
            <v>60041569</v>
          </cell>
          <cell r="N2626">
            <v>38513</v>
          </cell>
          <cell r="O2626" t="str">
            <v>125809TCD005</v>
          </cell>
          <cell r="P2626" t="str">
            <v>FN5A06N1S345201</v>
          </cell>
          <cell r="Q2626" t="str">
            <v>สภาพดี</v>
          </cell>
        </row>
        <row r="2627">
          <cell r="A2627">
            <v>60041570</v>
          </cell>
          <cell r="B2627">
            <v>2626</v>
          </cell>
          <cell r="C2627" t="str">
            <v>CS01/6</v>
          </cell>
          <cell r="D2627" t="str">
            <v>SPCC-SD</v>
          </cell>
          <cell r="E2627" t="str">
            <v>AF1</v>
          </cell>
          <cell r="F2627">
            <v>0.6</v>
          </cell>
          <cell r="G2627">
            <v>52</v>
          </cell>
          <cell r="H2627" t="str">
            <v>C</v>
          </cell>
          <cell r="I2627" t="str">
            <v>A</v>
          </cell>
          <cell r="J2627" t="str">
            <v>T.S.A</v>
          </cell>
          <cell r="K2627">
            <v>1</v>
          </cell>
          <cell r="L2627">
            <v>159</v>
          </cell>
          <cell r="M2627">
            <v>60041570</v>
          </cell>
          <cell r="N2627">
            <v>38513</v>
          </cell>
          <cell r="O2627" t="str">
            <v>125809TCD005</v>
          </cell>
          <cell r="P2627" t="str">
            <v>FN5A06N1S345202</v>
          </cell>
          <cell r="Q2627" t="str">
            <v>สภาพดี</v>
          </cell>
        </row>
        <row r="2628">
          <cell r="A2628">
            <v>60053439</v>
          </cell>
          <cell r="B2628">
            <v>2627</v>
          </cell>
          <cell r="C2628" t="str">
            <v>CS01/6</v>
          </cell>
          <cell r="D2628" t="str">
            <v>SPCC-SD</v>
          </cell>
          <cell r="E2628" t="str">
            <v>AF1</v>
          </cell>
          <cell r="F2628">
            <v>0.6</v>
          </cell>
          <cell r="G2628">
            <v>83</v>
          </cell>
          <cell r="H2628" t="str">
            <v>C</v>
          </cell>
          <cell r="I2628" t="str">
            <v>A</v>
          </cell>
          <cell r="J2628" t="str">
            <v>T.S.A</v>
          </cell>
          <cell r="K2628">
            <v>1</v>
          </cell>
          <cell r="L2628">
            <v>168</v>
          </cell>
          <cell r="M2628">
            <v>60053439</v>
          </cell>
          <cell r="N2628">
            <v>38871</v>
          </cell>
          <cell r="O2628" t="str">
            <v>126216SUD022</v>
          </cell>
          <cell r="P2628" t="str">
            <v>FN6306D1S798801</v>
          </cell>
          <cell r="Q2628" t="str">
            <v>สภาพดี</v>
          </cell>
        </row>
        <row r="2629">
          <cell r="A2629">
            <v>60053446</v>
          </cell>
          <cell r="B2629">
            <v>2628</v>
          </cell>
          <cell r="C2629" t="str">
            <v>CS01/6</v>
          </cell>
          <cell r="D2629" t="str">
            <v>SPCC-SD</v>
          </cell>
          <cell r="E2629" t="str">
            <v>AF1</v>
          </cell>
          <cell r="F2629">
            <v>0.6</v>
          </cell>
          <cell r="G2629">
            <v>83</v>
          </cell>
          <cell r="H2629" t="str">
            <v>C</v>
          </cell>
          <cell r="I2629" t="str">
            <v>A</v>
          </cell>
          <cell r="J2629" t="str">
            <v>T.S.A</v>
          </cell>
          <cell r="K2629">
            <v>1</v>
          </cell>
          <cell r="L2629">
            <v>168</v>
          </cell>
          <cell r="M2629">
            <v>60053446</v>
          </cell>
          <cell r="N2629">
            <v>38871</v>
          </cell>
          <cell r="O2629" t="str">
            <v>126216SUD022</v>
          </cell>
          <cell r="P2629" t="str">
            <v>FN6306D1S798802</v>
          </cell>
          <cell r="Q2629" t="str">
            <v>สภาพดี</v>
          </cell>
        </row>
        <row r="2630">
          <cell r="A2630">
            <v>60053453</v>
          </cell>
          <cell r="B2630">
            <v>2629</v>
          </cell>
          <cell r="C2630" t="str">
            <v>CS01/6</v>
          </cell>
          <cell r="D2630" t="str">
            <v>SPCC-SD</v>
          </cell>
          <cell r="E2630" t="str">
            <v>AF1</v>
          </cell>
          <cell r="F2630">
            <v>0.6</v>
          </cell>
          <cell r="G2630">
            <v>83</v>
          </cell>
          <cell r="H2630" t="str">
            <v>C</v>
          </cell>
          <cell r="I2630" t="str">
            <v>A</v>
          </cell>
          <cell r="J2630" t="str">
            <v>T.S.A</v>
          </cell>
          <cell r="K2630">
            <v>1</v>
          </cell>
          <cell r="L2630">
            <v>168</v>
          </cell>
          <cell r="M2630">
            <v>60053453</v>
          </cell>
          <cell r="N2630">
            <v>38871</v>
          </cell>
          <cell r="O2630" t="str">
            <v>126216SUD022</v>
          </cell>
          <cell r="P2630" t="str">
            <v>FN6306D1S798803</v>
          </cell>
          <cell r="Q2630" t="str">
            <v>สภาพดี</v>
          </cell>
        </row>
        <row r="2631">
          <cell r="A2631">
            <v>60059036</v>
          </cell>
          <cell r="B2631">
            <v>2630</v>
          </cell>
          <cell r="C2631" t="str">
            <v>CS01/6</v>
          </cell>
          <cell r="D2631" t="str">
            <v>SPCC-SD</v>
          </cell>
          <cell r="E2631" t="str">
            <v>AF1</v>
          </cell>
          <cell r="F2631">
            <v>1</v>
          </cell>
          <cell r="G2631">
            <v>117</v>
          </cell>
          <cell r="H2631" t="str">
            <v>C</v>
          </cell>
          <cell r="I2631" t="str">
            <v>A</v>
          </cell>
          <cell r="J2631" t="str">
            <v>T.S.A</v>
          </cell>
          <cell r="K2631">
            <v>1</v>
          </cell>
          <cell r="L2631">
            <v>308</v>
          </cell>
          <cell r="M2631">
            <v>60059036</v>
          </cell>
          <cell r="N2631" t="str">
            <v>16/05/2006</v>
          </cell>
          <cell r="O2631" t="str">
            <v>126511SUD001</v>
          </cell>
          <cell r="P2631" t="str">
            <v>FN6516D1S007201</v>
          </cell>
          <cell r="Q2631" t="str">
            <v>สภาพดี</v>
          </cell>
        </row>
        <row r="2632">
          <cell r="A2632">
            <v>60061749</v>
          </cell>
          <cell r="B2632">
            <v>2631</v>
          </cell>
          <cell r="C2632" t="str">
            <v>CS01/6</v>
          </cell>
          <cell r="D2632" t="str">
            <v>SPCC-SD</v>
          </cell>
          <cell r="E2632" t="str">
            <v>AF1</v>
          </cell>
          <cell r="F2632">
            <v>1</v>
          </cell>
          <cell r="G2632">
            <v>117</v>
          </cell>
          <cell r="H2632" t="str">
            <v>C</v>
          </cell>
          <cell r="I2632" t="str">
            <v>A</v>
          </cell>
          <cell r="J2632" t="str">
            <v>T.S.A</v>
          </cell>
          <cell r="K2632">
            <v>1</v>
          </cell>
          <cell r="L2632">
            <v>290</v>
          </cell>
          <cell r="M2632">
            <v>60061749</v>
          </cell>
          <cell r="N2632" t="str">
            <v>16/06/2006</v>
          </cell>
          <cell r="O2632" t="str">
            <v>126511SUD002</v>
          </cell>
          <cell r="P2632" t="str">
            <v>FN6616D1S108702</v>
          </cell>
          <cell r="Q2632" t="str">
            <v>สภาพดี</v>
          </cell>
        </row>
        <row r="2633">
          <cell r="A2633">
            <v>60061750</v>
          </cell>
          <cell r="B2633">
            <v>2632</v>
          </cell>
          <cell r="C2633" t="str">
            <v>CS01/6</v>
          </cell>
          <cell r="D2633" t="str">
            <v>SPCC-SD</v>
          </cell>
          <cell r="E2633" t="str">
            <v>AF1</v>
          </cell>
          <cell r="F2633">
            <v>1</v>
          </cell>
          <cell r="G2633">
            <v>117</v>
          </cell>
          <cell r="H2633" t="str">
            <v>C</v>
          </cell>
          <cell r="I2633" t="str">
            <v>A</v>
          </cell>
          <cell r="J2633" t="str">
            <v>T.S.A</v>
          </cell>
          <cell r="K2633">
            <v>1</v>
          </cell>
          <cell r="L2633">
            <v>277</v>
          </cell>
          <cell r="M2633">
            <v>60061750</v>
          </cell>
          <cell r="N2633" t="str">
            <v>16/06/2006</v>
          </cell>
          <cell r="O2633" t="str">
            <v>126511SUD002</v>
          </cell>
          <cell r="P2633" t="str">
            <v>FN6616D1S108703</v>
          </cell>
          <cell r="Q2633" t="str">
            <v>สภาพดี</v>
          </cell>
        </row>
        <row r="2634">
          <cell r="A2634">
            <v>60061751</v>
          </cell>
          <cell r="B2634">
            <v>2633</v>
          </cell>
          <cell r="C2634" t="str">
            <v>CS01/6</v>
          </cell>
          <cell r="D2634" t="str">
            <v>SPCC-SD</v>
          </cell>
          <cell r="E2634" t="str">
            <v>AF1</v>
          </cell>
          <cell r="F2634">
            <v>1</v>
          </cell>
          <cell r="G2634">
            <v>117</v>
          </cell>
          <cell r="H2634" t="str">
            <v>C</v>
          </cell>
          <cell r="I2634" t="str">
            <v>A</v>
          </cell>
          <cell r="J2634" t="str">
            <v>T.S.A</v>
          </cell>
          <cell r="K2634">
            <v>1</v>
          </cell>
          <cell r="L2634">
            <v>277</v>
          </cell>
          <cell r="M2634">
            <v>60061751</v>
          </cell>
          <cell r="N2634" t="str">
            <v>16/06/2006</v>
          </cell>
          <cell r="O2634" t="str">
            <v>126511SUD002</v>
          </cell>
          <cell r="P2634" t="str">
            <v>FN6616D1S108704</v>
          </cell>
          <cell r="Q2634" t="str">
            <v>สภาพดี</v>
          </cell>
        </row>
        <row r="2635">
          <cell r="A2635">
            <v>60061752</v>
          </cell>
          <cell r="B2635">
            <v>2634</v>
          </cell>
          <cell r="C2635" t="str">
            <v>CS01/6</v>
          </cell>
          <cell r="D2635" t="str">
            <v>SPCC-SD</v>
          </cell>
          <cell r="E2635" t="str">
            <v>AF1</v>
          </cell>
          <cell r="F2635">
            <v>1</v>
          </cell>
          <cell r="G2635">
            <v>117</v>
          </cell>
          <cell r="H2635" t="str">
            <v>C</v>
          </cell>
          <cell r="I2635" t="str">
            <v>A</v>
          </cell>
          <cell r="J2635" t="str">
            <v>T.S.A</v>
          </cell>
          <cell r="K2635">
            <v>1</v>
          </cell>
          <cell r="L2635">
            <v>277</v>
          </cell>
          <cell r="M2635">
            <v>60061752</v>
          </cell>
          <cell r="N2635" t="str">
            <v>16/06/2006</v>
          </cell>
          <cell r="O2635" t="str">
            <v>126511SUD002</v>
          </cell>
          <cell r="P2635" t="str">
            <v>FN6616D1S108705</v>
          </cell>
          <cell r="Q2635" t="str">
            <v>สภาพดี</v>
          </cell>
        </row>
        <row r="2636">
          <cell r="A2636">
            <v>60061753</v>
          </cell>
          <cell r="B2636">
            <v>2635</v>
          </cell>
          <cell r="C2636" t="str">
            <v>CS01/6</v>
          </cell>
          <cell r="D2636" t="str">
            <v>SPCC-SD</v>
          </cell>
          <cell r="E2636" t="str">
            <v>AF1</v>
          </cell>
          <cell r="F2636">
            <v>1</v>
          </cell>
          <cell r="G2636">
            <v>117</v>
          </cell>
          <cell r="H2636" t="str">
            <v>C</v>
          </cell>
          <cell r="I2636" t="str">
            <v>A</v>
          </cell>
          <cell r="J2636" t="str">
            <v>T.S.A</v>
          </cell>
          <cell r="K2636">
            <v>1</v>
          </cell>
          <cell r="L2636">
            <v>296</v>
          </cell>
          <cell r="M2636">
            <v>60061753</v>
          </cell>
          <cell r="N2636" t="str">
            <v>16/06/2006</v>
          </cell>
          <cell r="O2636" t="str">
            <v>126511SUD002</v>
          </cell>
          <cell r="P2636" t="str">
            <v>FN6616D1S108706</v>
          </cell>
          <cell r="Q2636" t="str">
            <v>สภาพดี</v>
          </cell>
        </row>
        <row r="2637">
          <cell r="A2637">
            <v>60061754</v>
          </cell>
          <cell r="B2637">
            <v>2636</v>
          </cell>
          <cell r="C2637" t="str">
            <v>CS01/6</v>
          </cell>
          <cell r="D2637" t="str">
            <v>SPCC-SD</v>
          </cell>
          <cell r="E2637" t="str">
            <v>AF1</v>
          </cell>
          <cell r="F2637">
            <v>1</v>
          </cell>
          <cell r="G2637">
            <v>117</v>
          </cell>
          <cell r="H2637" t="str">
            <v>C</v>
          </cell>
          <cell r="I2637" t="str">
            <v>A</v>
          </cell>
          <cell r="J2637" t="str">
            <v>T.S.A</v>
          </cell>
          <cell r="K2637">
            <v>1</v>
          </cell>
          <cell r="L2637">
            <v>296</v>
          </cell>
          <cell r="M2637">
            <v>60061754</v>
          </cell>
          <cell r="N2637" t="str">
            <v>16/06/2006</v>
          </cell>
          <cell r="O2637" t="str">
            <v>126511SUD002</v>
          </cell>
          <cell r="P2637" t="str">
            <v>FN6616D1S108707</v>
          </cell>
          <cell r="Q2637" t="str">
            <v>สภาพดี</v>
          </cell>
        </row>
        <row r="2638">
          <cell r="A2638">
            <v>60061755</v>
          </cell>
          <cell r="B2638">
            <v>2637</v>
          </cell>
          <cell r="C2638" t="str">
            <v>CS01/6</v>
          </cell>
          <cell r="D2638" t="str">
            <v>SPCC-SD</v>
          </cell>
          <cell r="E2638" t="str">
            <v>AF1</v>
          </cell>
          <cell r="F2638">
            <v>1</v>
          </cell>
          <cell r="G2638">
            <v>117</v>
          </cell>
          <cell r="H2638" t="str">
            <v>C</v>
          </cell>
          <cell r="I2638" t="str">
            <v>A</v>
          </cell>
          <cell r="J2638" t="str">
            <v>T.S.A</v>
          </cell>
          <cell r="K2638">
            <v>1</v>
          </cell>
          <cell r="L2638">
            <v>296</v>
          </cell>
          <cell r="M2638">
            <v>60061755</v>
          </cell>
          <cell r="N2638" t="str">
            <v>16/06/2006</v>
          </cell>
          <cell r="O2638" t="str">
            <v>126511SUD002</v>
          </cell>
          <cell r="P2638" t="str">
            <v>FN6616D1S108708</v>
          </cell>
          <cell r="Q2638" t="str">
            <v>สภาพดี</v>
          </cell>
        </row>
        <row r="2639">
          <cell r="A2639">
            <v>60066925</v>
          </cell>
          <cell r="B2639">
            <v>2638</v>
          </cell>
          <cell r="C2639" t="str">
            <v>CS01/6</v>
          </cell>
          <cell r="D2639" t="str">
            <v>SPCC-SD</v>
          </cell>
          <cell r="E2639" t="str">
            <v>AF1</v>
          </cell>
          <cell r="F2639">
            <v>1</v>
          </cell>
          <cell r="G2639">
            <v>160</v>
          </cell>
          <cell r="H2639" t="str">
            <v>C</v>
          </cell>
          <cell r="I2639" t="str">
            <v>A</v>
          </cell>
          <cell r="J2639" t="str">
            <v>T.S.A</v>
          </cell>
          <cell r="K2639">
            <v>1</v>
          </cell>
          <cell r="L2639">
            <v>846</v>
          </cell>
          <cell r="M2639">
            <v>60066925</v>
          </cell>
          <cell r="N2639" t="str">
            <v>23/08/2006</v>
          </cell>
          <cell r="O2639" t="str">
            <v>125215SUD003</v>
          </cell>
          <cell r="P2639" t="str">
            <v>FN6823N1S322601</v>
          </cell>
          <cell r="Q2639" t="str">
            <v>สภาพดี</v>
          </cell>
        </row>
        <row r="2640">
          <cell r="A2640">
            <v>60030051</v>
          </cell>
          <cell r="B2640">
            <v>2639</v>
          </cell>
          <cell r="C2640" t="str">
            <v>CS01/6</v>
          </cell>
          <cell r="D2640" t="str">
            <v>SPCC-SD</v>
          </cell>
          <cell r="E2640" t="str">
            <v>AF1</v>
          </cell>
          <cell r="F2640">
            <v>1</v>
          </cell>
          <cell r="G2640">
            <v>45</v>
          </cell>
          <cell r="H2640" t="str">
            <v>C</v>
          </cell>
          <cell r="I2640" t="str">
            <v>A</v>
          </cell>
          <cell r="J2640" t="str">
            <v>T.S.A</v>
          </cell>
          <cell r="K2640">
            <v>1</v>
          </cell>
          <cell r="L2640">
            <v>96</v>
          </cell>
          <cell r="M2640">
            <v>60030051</v>
          </cell>
          <cell r="N2640">
            <v>38598</v>
          </cell>
          <cell r="O2640" t="str">
            <v>R25215SUD003</v>
          </cell>
          <cell r="P2640" t="str">
            <v>FN5309N1S779101</v>
          </cell>
          <cell r="Q2640" t="str">
            <v>สายรัดเป็นสนิม</v>
          </cell>
        </row>
        <row r="2641">
          <cell r="A2641">
            <v>60030052</v>
          </cell>
          <cell r="B2641">
            <v>2640</v>
          </cell>
          <cell r="C2641" t="str">
            <v>CS01/6</v>
          </cell>
          <cell r="D2641" t="str">
            <v>SPCC-SD</v>
          </cell>
          <cell r="E2641" t="str">
            <v>AF1</v>
          </cell>
          <cell r="F2641">
            <v>1</v>
          </cell>
          <cell r="G2641">
            <v>45</v>
          </cell>
          <cell r="H2641" t="str">
            <v>C</v>
          </cell>
          <cell r="I2641" t="str">
            <v>A</v>
          </cell>
          <cell r="J2641" t="str">
            <v>T.S.A</v>
          </cell>
          <cell r="K2641">
            <v>1</v>
          </cell>
          <cell r="L2641">
            <v>96</v>
          </cell>
          <cell r="M2641">
            <v>60030052</v>
          </cell>
          <cell r="N2641">
            <v>38598</v>
          </cell>
          <cell r="O2641" t="str">
            <v>124C20TCD001</v>
          </cell>
          <cell r="P2641" t="str">
            <v>FN5309N1S779102</v>
          </cell>
          <cell r="Q2641" t="str">
            <v>สภาพดี</v>
          </cell>
        </row>
        <row r="2642">
          <cell r="A2642">
            <v>60061875</v>
          </cell>
          <cell r="B2642">
            <v>2641</v>
          </cell>
          <cell r="C2642" t="str">
            <v>CS01/6</v>
          </cell>
          <cell r="D2642" t="str">
            <v>SPCC-SD</v>
          </cell>
          <cell r="E2642" t="str">
            <v>AF1</v>
          </cell>
          <cell r="F2642">
            <v>1.4</v>
          </cell>
          <cell r="G2642">
            <v>46.5</v>
          </cell>
          <cell r="H2642" t="str">
            <v>C</v>
          </cell>
          <cell r="I2642" t="str">
            <v>A</v>
          </cell>
          <cell r="J2642" t="str">
            <v>T.S.A</v>
          </cell>
          <cell r="K2642">
            <v>1</v>
          </cell>
          <cell r="L2642">
            <v>63</v>
          </cell>
          <cell r="M2642">
            <v>60061875</v>
          </cell>
          <cell r="N2642" t="str">
            <v>19/06/2006</v>
          </cell>
          <cell r="O2642" t="str">
            <v>125B16SUD019</v>
          </cell>
          <cell r="P2642" t="str">
            <v>FN6619D1S114901</v>
          </cell>
          <cell r="Q2642" t="str">
            <v>สภาพดี</v>
          </cell>
        </row>
        <row r="2643">
          <cell r="A2643">
            <v>60047687</v>
          </cell>
          <cell r="B2643">
            <v>2642</v>
          </cell>
          <cell r="C2643" t="str">
            <v>CS01/6</v>
          </cell>
          <cell r="D2643" t="str">
            <v>SPCC-SD</v>
          </cell>
          <cell r="E2643" t="str">
            <v>AF1</v>
          </cell>
          <cell r="F2643">
            <v>1.6</v>
          </cell>
          <cell r="G2643">
            <v>77</v>
          </cell>
          <cell r="H2643" t="str">
            <v>C</v>
          </cell>
          <cell r="I2643" t="str">
            <v>A</v>
          </cell>
          <cell r="J2643" t="str">
            <v>T.S.A</v>
          </cell>
          <cell r="K2643">
            <v>1</v>
          </cell>
          <cell r="L2643">
            <v>592</v>
          </cell>
          <cell r="M2643">
            <v>60047687</v>
          </cell>
          <cell r="N2643" t="str">
            <v>16/12/2005</v>
          </cell>
          <cell r="O2643" t="str">
            <v>125A24TCD001</v>
          </cell>
          <cell r="P2643" t="str">
            <v>FN5C16D2S579501</v>
          </cell>
          <cell r="Q2643" t="str">
            <v>สภาพดี</v>
          </cell>
        </row>
        <row r="2644">
          <cell r="A2644">
            <v>60048184</v>
          </cell>
          <cell r="B2644">
            <v>2643</v>
          </cell>
          <cell r="C2644" t="str">
            <v>CS01/6</v>
          </cell>
          <cell r="D2644" t="str">
            <v>SPCC-SD</v>
          </cell>
          <cell r="E2644" t="str">
            <v>AF1</v>
          </cell>
          <cell r="F2644">
            <v>1.6</v>
          </cell>
          <cell r="G2644">
            <v>77</v>
          </cell>
          <cell r="H2644" t="str">
            <v>C</v>
          </cell>
          <cell r="I2644" t="str">
            <v>A</v>
          </cell>
          <cell r="J2644" t="str">
            <v>T.S.A</v>
          </cell>
          <cell r="K2644">
            <v>1</v>
          </cell>
          <cell r="L2644">
            <v>578</v>
          </cell>
          <cell r="M2644">
            <v>60048184</v>
          </cell>
          <cell r="N2644" t="str">
            <v>21/12/2005</v>
          </cell>
          <cell r="O2644" t="str">
            <v>125805TCD001</v>
          </cell>
          <cell r="P2644" t="str">
            <v>FN5C21N1S513502</v>
          </cell>
          <cell r="Q2644" t="str">
            <v>สภาพดี</v>
          </cell>
        </row>
        <row r="2645">
          <cell r="A2645">
            <v>60048185</v>
          </cell>
          <cell r="B2645">
            <v>2644</v>
          </cell>
          <cell r="C2645" t="str">
            <v>CS01/6</v>
          </cell>
          <cell r="D2645" t="str">
            <v>SPCC-SD</v>
          </cell>
          <cell r="E2645" t="str">
            <v>AF1</v>
          </cell>
          <cell r="F2645">
            <v>1.6</v>
          </cell>
          <cell r="G2645">
            <v>77</v>
          </cell>
          <cell r="H2645" t="str">
            <v>C</v>
          </cell>
          <cell r="I2645" t="str">
            <v>A</v>
          </cell>
          <cell r="J2645" t="str">
            <v>T.S.A</v>
          </cell>
          <cell r="K2645">
            <v>1</v>
          </cell>
          <cell r="L2645">
            <v>578</v>
          </cell>
          <cell r="M2645">
            <v>60048185</v>
          </cell>
          <cell r="N2645" t="str">
            <v>21/12/2005</v>
          </cell>
          <cell r="O2645" t="str">
            <v>124C20TCD002</v>
          </cell>
          <cell r="P2645" t="str">
            <v>FN5C21N1S513503</v>
          </cell>
          <cell r="Q2645" t="str">
            <v>สภาพดี</v>
          </cell>
        </row>
        <row r="2646">
          <cell r="A2646">
            <v>60048188</v>
          </cell>
          <cell r="B2646">
            <v>2645</v>
          </cell>
          <cell r="C2646" t="str">
            <v>CS01/6</v>
          </cell>
          <cell r="D2646" t="str">
            <v>SPCC-SD</v>
          </cell>
          <cell r="E2646" t="str">
            <v>AF1</v>
          </cell>
          <cell r="F2646">
            <v>1.6</v>
          </cell>
          <cell r="G2646">
            <v>77</v>
          </cell>
          <cell r="H2646" t="str">
            <v>C</v>
          </cell>
          <cell r="I2646" t="str">
            <v>A</v>
          </cell>
          <cell r="J2646" t="str">
            <v>T.S.A</v>
          </cell>
          <cell r="K2646">
            <v>1</v>
          </cell>
          <cell r="L2646">
            <v>556</v>
          </cell>
          <cell r="M2646">
            <v>60048188</v>
          </cell>
          <cell r="N2646" t="str">
            <v>21/12/2005</v>
          </cell>
          <cell r="O2646" t="str">
            <v>124C20TCD002</v>
          </cell>
          <cell r="P2646" t="str">
            <v>FN5C21N1S513504</v>
          </cell>
          <cell r="Q2646" t="str">
            <v>สภาพดี</v>
          </cell>
        </row>
        <row r="2647">
          <cell r="A2647">
            <v>60059121</v>
          </cell>
          <cell r="B2647">
            <v>2646</v>
          </cell>
          <cell r="C2647" t="str">
            <v>CS01/6</v>
          </cell>
          <cell r="D2647" t="str">
            <v>SPCC-SD</v>
          </cell>
          <cell r="E2647" t="str">
            <v>AF1</v>
          </cell>
          <cell r="F2647">
            <v>1.6</v>
          </cell>
          <cell r="G2647">
            <v>77</v>
          </cell>
          <cell r="H2647" t="str">
            <v>C</v>
          </cell>
          <cell r="I2647" t="str">
            <v>A</v>
          </cell>
          <cell r="J2647" t="str">
            <v>T.S.A</v>
          </cell>
          <cell r="K2647">
            <v>1</v>
          </cell>
          <cell r="L2647">
            <v>286</v>
          </cell>
          <cell r="M2647">
            <v>60059121</v>
          </cell>
          <cell r="N2647" t="str">
            <v>17/05/2006</v>
          </cell>
          <cell r="O2647" t="str">
            <v>125B10TCD002</v>
          </cell>
          <cell r="P2647" t="str">
            <v>FN6517D2S016305</v>
          </cell>
          <cell r="Q2647" t="str">
            <v>สภาพดี</v>
          </cell>
        </row>
        <row r="2648">
          <cell r="A2648">
            <v>60059122</v>
          </cell>
          <cell r="B2648">
            <v>2647</v>
          </cell>
          <cell r="C2648" t="str">
            <v>CS01/6</v>
          </cell>
          <cell r="D2648" t="str">
            <v>SPCC-SD</v>
          </cell>
          <cell r="E2648" t="str">
            <v>AF1</v>
          </cell>
          <cell r="F2648">
            <v>1.6</v>
          </cell>
          <cell r="G2648">
            <v>77</v>
          </cell>
          <cell r="H2648" t="str">
            <v>C</v>
          </cell>
          <cell r="I2648" t="str">
            <v>A</v>
          </cell>
          <cell r="J2648" t="str">
            <v>T.S.A</v>
          </cell>
          <cell r="K2648">
            <v>1</v>
          </cell>
          <cell r="L2648">
            <v>290</v>
          </cell>
          <cell r="M2648">
            <v>60059122</v>
          </cell>
          <cell r="N2648" t="str">
            <v>17/05/2006</v>
          </cell>
          <cell r="O2648" t="str">
            <v>125B10TCD002</v>
          </cell>
          <cell r="P2648" t="str">
            <v>FN6517D2S016306</v>
          </cell>
          <cell r="Q2648" t="str">
            <v>สภาพดี</v>
          </cell>
        </row>
        <row r="2649">
          <cell r="A2649">
            <v>60065409</v>
          </cell>
          <cell r="B2649">
            <v>2648</v>
          </cell>
          <cell r="C2649" t="str">
            <v>CS01/6</v>
          </cell>
          <cell r="D2649" t="str">
            <v>SPCC-SD</v>
          </cell>
          <cell r="E2649" t="str">
            <v>AF1</v>
          </cell>
          <cell r="F2649">
            <v>1.6</v>
          </cell>
          <cell r="G2649">
            <v>77</v>
          </cell>
          <cell r="H2649" t="str">
            <v>C</v>
          </cell>
          <cell r="I2649" t="str">
            <v>A</v>
          </cell>
          <cell r="J2649" t="str">
            <v>T.S.A</v>
          </cell>
          <cell r="K2649">
            <v>1</v>
          </cell>
          <cell r="L2649">
            <v>328</v>
          </cell>
          <cell r="M2649">
            <v>60065409</v>
          </cell>
          <cell r="N2649">
            <v>38815</v>
          </cell>
          <cell r="O2649" t="str">
            <v>126726TCD012</v>
          </cell>
          <cell r="P2649" t="str">
            <v>FN6804N1S267307</v>
          </cell>
          <cell r="Q2649" t="str">
            <v>สภาพดี</v>
          </cell>
        </row>
        <row r="2650">
          <cell r="A2650">
            <v>60055285</v>
          </cell>
          <cell r="B2650">
            <v>2649</v>
          </cell>
          <cell r="C2650" t="str">
            <v>CS01/6</v>
          </cell>
          <cell r="D2650" t="str">
            <v>SPCC-SD</v>
          </cell>
          <cell r="E2650" t="str">
            <v>AF1</v>
          </cell>
          <cell r="F2650">
            <v>1.6</v>
          </cell>
          <cell r="G2650">
            <v>313</v>
          </cell>
          <cell r="H2650" t="str">
            <v>C</v>
          </cell>
          <cell r="I2650" t="str">
            <v>A</v>
          </cell>
          <cell r="J2650" t="str">
            <v>C.C.K METAL</v>
          </cell>
          <cell r="K2650">
            <v>1</v>
          </cell>
          <cell r="L2650">
            <v>2684</v>
          </cell>
          <cell r="M2650">
            <v>60055285</v>
          </cell>
          <cell r="N2650" t="str">
            <v>23/03/2006</v>
          </cell>
          <cell r="O2650" t="str">
            <v>126322TCD001</v>
          </cell>
          <cell r="P2650" t="str">
            <v>FN6323D1S876701</v>
          </cell>
          <cell r="Q2650" t="str">
            <v>สภาพดี</v>
          </cell>
        </row>
        <row r="2651">
          <cell r="A2651">
            <v>60055299</v>
          </cell>
          <cell r="B2651">
            <v>2650</v>
          </cell>
          <cell r="C2651" t="str">
            <v>CS01/6</v>
          </cell>
          <cell r="D2651" t="str">
            <v>SPCC-SD</v>
          </cell>
          <cell r="E2651" t="str">
            <v>AF1</v>
          </cell>
          <cell r="F2651">
            <v>1.6</v>
          </cell>
          <cell r="G2651">
            <v>313</v>
          </cell>
          <cell r="H2651" t="str">
            <v>C</v>
          </cell>
          <cell r="I2651" t="str">
            <v>A</v>
          </cell>
          <cell r="J2651" t="str">
            <v>C.C.K METAL</v>
          </cell>
          <cell r="K2651">
            <v>1</v>
          </cell>
          <cell r="L2651">
            <v>1270</v>
          </cell>
          <cell r="M2651">
            <v>60055299</v>
          </cell>
          <cell r="N2651" t="str">
            <v>23/03/2006</v>
          </cell>
          <cell r="O2651" t="str">
            <v>126322TCD002</v>
          </cell>
          <cell r="P2651" t="str">
            <v>FN6323N1S876702</v>
          </cell>
          <cell r="Q2651" t="str">
            <v>สภาพดี</v>
          </cell>
        </row>
        <row r="2652">
          <cell r="A2652">
            <v>60051291</v>
          </cell>
          <cell r="B2652">
            <v>2651</v>
          </cell>
          <cell r="C2652" t="str">
            <v>CS01/6</v>
          </cell>
          <cell r="D2652" t="str">
            <v>SPCC-SD</v>
          </cell>
          <cell r="E2652" t="str">
            <v>AF1</v>
          </cell>
          <cell r="F2652">
            <v>2</v>
          </cell>
          <cell r="G2652">
            <v>80</v>
          </cell>
          <cell r="H2652" t="str">
            <v>C</v>
          </cell>
          <cell r="I2652" t="str">
            <v>A</v>
          </cell>
          <cell r="J2652" t="str">
            <v>T.S.A</v>
          </cell>
          <cell r="K2652">
            <v>1</v>
          </cell>
          <cell r="L2652">
            <v>210</v>
          </cell>
          <cell r="M2652">
            <v>60051291</v>
          </cell>
          <cell r="N2652">
            <v>38992</v>
          </cell>
          <cell r="O2652" t="str">
            <v>124628TCD001</v>
          </cell>
          <cell r="P2652" t="str">
            <v>FN6210N1S731801</v>
          </cell>
          <cell r="Q2652" t="str">
            <v>สภาพดี</v>
          </cell>
        </row>
        <row r="2653">
          <cell r="A2653">
            <v>60065385</v>
          </cell>
          <cell r="B2653">
            <v>2652</v>
          </cell>
          <cell r="C2653" t="str">
            <v>CS01/6</v>
          </cell>
          <cell r="D2653" t="str">
            <v>SPCC-SD</v>
          </cell>
          <cell r="E2653" t="str">
            <v>AF1</v>
          </cell>
          <cell r="F2653">
            <v>2</v>
          </cell>
          <cell r="G2653">
            <v>104</v>
          </cell>
          <cell r="H2653" t="str">
            <v>C</v>
          </cell>
          <cell r="I2653" t="str">
            <v>A</v>
          </cell>
          <cell r="J2653" t="str">
            <v>T.S.A</v>
          </cell>
          <cell r="K2653">
            <v>1</v>
          </cell>
          <cell r="L2653">
            <v>317</v>
          </cell>
          <cell r="M2653">
            <v>60065385</v>
          </cell>
          <cell r="N2653">
            <v>38784</v>
          </cell>
          <cell r="O2653" t="str">
            <v>126118TCD001</v>
          </cell>
          <cell r="P2653" t="str">
            <v>FN6803D2S265201</v>
          </cell>
          <cell r="Q2653" t="str">
            <v>สภาพดี</v>
          </cell>
        </row>
        <row r="2654">
          <cell r="A2654">
            <v>60065386</v>
          </cell>
          <cell r="B2654">
            <v>2653</v>
          </cell>
          <cell r="C2654" t="str">
            <v>CS01/6</v>
          </cell>
          <cell r="D2654" t="str">
            <v>SPCC-SD</v>
          </cell>
          <cell r="E2654" t="str">
            <v>AF1</v>
          </cell>
          <cell r="F2654">
            <v>2</v>
          </cell>
          <cell r="G2654">
            <v>104</v>
          </cell>
          <cell r="H2654" t="str">
            <v>C</v>
          </cell>
          <cell r="I2654" t="str">
            <v>A</v>
          </cell>
          <cell r="J2654" t="str">
            <v>T.S.A</v>
          </cell>
          <cell r="K2654">
            <v>1</v>
          </cell>
          <cell r="L2654">
            <v>317</v>
          </cell>
          <cell r="M2654">
            <v>60065386</v>
          </cell>
          <cell r="N2654">
            <v>38784</v>
          </cell>
          <cell r="O2654" t="str">
            <v>126118TCD001</v>
          </cell>
          <cell r="P2654" t="str">
            <v>FN6803D2S265202</v>
          </cell>
          <cell r="Q2654" t="str">
            <v>สภาพดี</v>
          </cell>
        </row>
        <row r="2655">
          <cell r="A2655">
            <v>60065387</v>
          </cell>
          <cell r="B2655">
            <v>2654</v>
          </cell>
          <cell r="C2655" t="str">
            <v>CS01/6</v>
          </cell>
          <cell r="D2655" t="str">
            <v>SPCC-SD</v>
          </cell>
          <cell r="E2655" t="str">
            <v>AF1</v>
          </cell>
          <cell r="F2655">
            <v>2</v>
          </cell>
          <cell r="G2655">
            <v>104</v>
          </cell>
          <cell r="H2655" t="str">
            <v>C</v>
          </cell>
          <cell r="I2655" t="str">
            <v>A</v>
          </cell>
          <cell r="J2655" t="str">
            <v>T.S.A</v>
          </cell>
          <cell r="K2655">
            <v>1</v>
          </cell>
          <cell r="L2655">
            <v>317</v>
          </cell>
          <cell r="M2655">
            <v>60065387</v>
          </cell>
          <cell r="N2655">
            <v>38784</v>
          </cell>
          <cell r="O2655" t="str">
            <v>126118TCD001</v>
          </cell>
          <cell r="P2655" t="str">
            <v>FN6803D2S265203</v>
          </cell>
          <cell r="Q2655" t="str">
            <v>สภาพดี</v>
          </cell>
        </row>
        <row r="2656">
          <cell r="A2656">
            <v>60065388</v>
          </cell>
          <cell r="B2656">
            <v>2655</v>
          </cell>
          <cell r="C2656" t="str">
            <v>CS01/6</v>
          </cell>
          <cell r="D2656" t="str">
            <v>SPCC-SD</v>
          </cell>
          <cell r="E2656" t="str">
            <v>AF1</v>
          </cell>
          <cell r="F2656">
            <v>2</v>
          </cell>
          <cell r="G2656">
            <v>104</v>
          </cell>
          <cell r="H2656" t="str">
            <v>C</v>
          </cell>
          <cell r="I2656" t="str">
            <v>A</v>
          </cell>
          <cell r="J2656" t="str">
            <v>T.S.A</v>
          </cell>
          <cell r="K2656">
            <v>1</v>
          </cell>
          <cell r="L2656">
            <v>317</v>
          </cell>
          <cell r="M2656">
            <v>60065388</v>
          </cell>
          <cell r="N2656">
            <v>38784</v>
          </cell>
          <cell r="O2656" t="str">
            <v>126118TCD001</v>
          </cell>
          <cell r="P2656" t="str">
            <v>FN6803D2S265204</v>
          </cell>
          <cell r="Q2656" t="str">
            <v>สภาพดี</v>
          </cell>
        </row>
        <row r="2657">
          <cell r="A2657">
            <v>60065389</v>
          </cell>
          <cell r="B2657">
            <v>2656</v>
          </cell>
          <cell r="C2657" t="str">
            <v>CS01/6</v>
          </cell>
          <cell r="D2657" t="str">
            <v>SPCC-SD</v>
          </cell>
          <cell r="E2657" t="str">
            <v>AF1</v>
          </cell>
          <cell r="F2657">
            <v>2</v>
          </cell>
          <cell r="G2657">
            <v>104</v>
          </cell>
          <cell r="H2657" t="str">
            <v>C</v>
          </cell>
          <cell r="I2657" t="str">
            <v>A</v>
          </cell>
          <cell r="J2657" t="str">
            <v>T.S.A</v>
          </cell>
          <cell r="K2657">
            <v>1</v>
          </cell>
          <cell r="L2657">
            <v>317</v>
          </cell>
          <cell r="M2657">
            <v>60065389</v>
          </cell>
          <cell r="N2657">
            <v>38784</v>
          </cell>
          <cell r="O2657" t="str">
            <v>126118TCD001</v>
          </cell>
          <cell r="P2657" t="str">
            <v>FN6803D2S265205</v>
          </cell>
          <cell r="Q2657" t="str">
            <v>สภาพดี</v>
          </cell>
        </row>
        <row r="2658">
          <cell r="A2658">
            <v>60065390</v>
          </cell>
          <cell r="B2658">
            <v>2657</v>
          </cell>
          <cell r="C2658" t="str">
            <v>CS01/6</v>
          </cell>
          <cell r="D2658" t="str">
            <v>SPCC-SD</v>
          </cell>
          <cell r="E2658" t="str">
            <v>AF1</v>
          </cell>
          <cell r="F2658">
            <v>2</v>
          </cell>
          <cell r="G2658">
            <v>104</v>
          </cell>
          <cell r="H2658" t="str">
            <v>C</v>
          </cell>
          <cell r="I2658" t="str">
            <v>A</v>
          </cell>
          <cell r="J2658" t="str">
            <v>T.S.A</v>
          </cell>
          <cell r="K2658">
            <v>1</v>
          </cell>
          <cell r="L2658">
            <v>317</v>
          </cell>
          <cell r="M2658">
            <v>60065390</v>
          </cell>
          <cell r="N2658">
            <v>38784</v>
          </cell>
          <cell r="O2658" t="str">
            <v>126118TCD001</v>
          </cell>
          <cell r="P2658" t="str">
            <v>FN6803D2S265206</v>
          </cell>
          <cell r="Q2658" t="str">
            <v>สภาพดี</v>
          </cell>
        </row>
        <row r="2659">
          <cell r="A2659">
            <v>60065453</v>
          </cell>
          <cell r="B2659">
            <v>2658</v>
          </cell>
          <cell r="C2659" t="str">
            <v>CS01/6</v>
          </cell>
          <cell r="D2659" t="str">
            <v>SPCC-SD</v>
          </cell>
          <cell r="E2659" t="str">
            <v>AF1</v>
          </cell>
          <cell r="F2659">
            <v>2</v>
          </cell>
          <cell r="G2659">
            <v>137</v>
          </cell>
          <cell r="H2659" t="str">
            <v>C</v>
          </cell>
          <cell r="I2659" t="str">
            <v>A</v>
          </cell>
          <cell r="J2659" t="str">
            <v>CHEOW CHAN</v>
          </cell>
          <cell r="K2659">
            <v>1</v>
          </cell>
          <cell r="L2659">
            <v>421</v>
          </cell>
          <cell r="M2659">
            <v>60065453</v>
          </cell>
          <cell r="N2659">
            <v>38815</v>
          </cell>
          <cell r="O2659" t="str">
            <v>126714TCD004</v>
          </cell>
          <cell r="P2659" t="str">
            <v>FN6804D2S269601</v>
          </cell>
          <cell r="Q2659" t="str">
            <v>สภาพดี</v>
          </cell>
        </row>
        <row r="2660">
          <cell r="A2660">
            <v>60065454</v>
          </cell>
          <cell r="B2660">
            <v>2659</v>
          </cell>
          <cell r="C2660" t="str">
            <v>CS01/6</v>
          </cell>
          <cell r="D2660" t="str">
            <v>SPCC-SD</v>
          </cell>
          <cell r="E2660" t="str">
            <v>AF1</v>
          </cell>
          <cell r="F2660">
            <v>2</v>
          </cell>
          <cell r="G2660">
            <v>137</v>
          </cell>
          <cell r="H2660" t="str">
            <v>C</v>
          </cell>
          <cell r="I2660" t="str">
            <v>A</v>
          </cell>
          <cell r="J2660" t="str">
            <v>CHEOW CHAN</v>
          </cell>
          <cell r="K2660">
            <v>1</v>
          </cell>
          <cell r="L2660">
            <v>421</v>
          </cell>
          <cell r="M2660">
            <v>60065454</v>
          </cell>
          <cell r="N2660">
            <v>38815</v>
          </cell>
          <cell r="O2660" t="str">
            <v>126714TCD004</v>
          </cell>
          <cell r="P2660" t="str">
            <v>FN6804D2S269602</v>
          </cell>
          <cell r="Q2660" t="str">
            <v>สภาพดี</v>
          </cell>
        </row>
        <row r="2661">
          <cell r="A2661">
            <v>60065454</v>
          </cell>
          <cell r="B2661">
            <v>2660</v>
          </cell>
          <cell r="C2661" t="str">
            <v>CS01/6</v>
          </cell>
          <cell r="D2661" t="str">
            <v>SPCC-SD</v>
          </cell>
          <cell r="E2661" t="str">
            <v>AF1</v>
          </cell>
          <cell r="F2661">
            <v>2</v>
          </cell>
          <cell r="G2661">
            <v>137</v>
          </cell>
          <cell r="H2661" t="str">
            <v>C</v>
          </cell>
          <cell r="I2661" t="str">
            <v>A</v>
          </cell>
          <cell r="J2661" t="str">
            <v>CHEOW CHAN</v>
          </cell>
          <cell r="K2661">
            <v>1</v>
          </cell>
          <cell r="L2661">
            <v>421</v>
          </cell>
          <cell r="M2661">
            <v>60065454</v>
          </cell>
          <cell r="N2661">
            <v>38815</v>
          </cell>
          <cell r="O2661" t="str">
            <v>126714TCD004</v>
          </cell>
          <cell r="P2661" t="str">
            <v>FN6804D2S269603</v>
          </cell>
          <cell r="Q2661" t="str">
            <v>สภาพดี</v>
          </cell>
        </row>
        <row r="2662">
          <cell r="A2662">
            <v>60065456</v>
          </cell>
          <cell r="B2662">
            <v>2661</v>
          </cell>
          <cell r="C2662" t="str">
            <v>CS01/6</v>
          </cell>
          <cell r="D2662" t="str">
            <v>SPCC-SD</v>
          </cell>
          <cell r="E2662" t="str">
            <v>AF1</v>
          </cell>
          <cell r="F2662">
            <v>2</v>
          </cell>
          <cell r="G2662">
            <v>137</v>
          </cell>
          <cell r="H2662" t="str">
            <v>C</v>
          </cell>
          <cell r="I2662" t="str">
            <v>A</v>
          </cell>
          <cell r="J2662" t="str">
            <v>CHEOW CHAN</v>
          </cell>
          <cell r="K2662">
            <v>1</v>
          </cell>
          <cell r="L2662">
            <v>421</v>
          </cell>
          <cell r="M2662">
            <v>60065456</v>
          </cell>
          <cell r="N2662">
            <v>38815</v>
          </cell>
          <cell r="O2662" t="str">
            <v>126714TCD004</v>
          </cell>
          <cell r="P2662" t="str">
            <v>FN6804D2S269604</v>
          </cell>
          <cell r="Q2662" t="str">
            <v>สภาพดี</v>
          </cell>
        </row>
        <row r="2663">
          <cell r="A2663">
            <v>60065457</v>
          </cell>
          <cell r="B2663">
            <v>2662</v>
          </cell>
          <cell r="C2663" t="str">
            <v>CS01/6</v>
          </cell>
          <cell r="D2663" t="str">
            <v>SPCC-SD</v>
          </cell>
          <cell r="E2663" t="str">
            <v>AF1</v>
          </cell>
          <cell r="F2663">
            <v>2</v>
          </cell>
          <cell r="G2663">
            <v>137</v>
          </cell>
          <cell r="H2663" t="str">
            <v>C</v>
          </cell>
          <cell r="I2663" t="str">
            <v>A</v>
          </cell>
          <cell r="J2663" t="str">
            <v>CHEOW CHAN</v>
          </cell>
          <cell r="K2663">
            <v>1</v>
          </cell>
          <cell r="L2663">
            <v>421</v>
          </cell>
          <cell r="M2663">
            <v>60065457</v>
          </cell>
          <cell r="N2663">
            <v>38815</v>
          </cell>
          <cell r="O2663" t="str">
            <v>126714TCD004</v>
          </cell>
          <cell r="P2663" t="str">
            <v>FN6804D2S269605</v>
          </cell>
          <cell r="Q2663" t="str">
            <v>สภาพดี</v>
          </cell>
        </row>
        <row r="2664">
          <cell r="A2664">
            <v>60065458</v>
          </cell>
          <cell r="B2664">
            <v>2663</v>
          </cell>
          <cell r="C2664" t="str">
            <v>CS01/6</v>
          </cell>
          <cell r="D2664" t="str">
            <v>SPCC-SD</v>
          </cell>
          <cell r="E2664" t="str">
            <v>AF1</v>
          </cell>
          <cell r="F2664">
            <v>2</v>
          </cell>
          <cell r="G2664">
            <v>137</v>
          </cell>
          <cell r="H2664" t="str">
            <v>C</v>
          </cell>
          <cell r="I2664" t="str">
            <v>A</v>
          </cell>
          <cell r="J2664" t="str">
            <v>CHEOW CHAN</v>
          </cell>
          <cell r="K2664">
            <v>1</v>
          </cell>
          <cell r="L2664">
            <v>421</v>
          </cell>
          <cell r="M2664">
            <v>60065458</v>
          </cell>
          <cell r="N2664">
            <v>38815</v>
          </cell>
          <cell r="O2664" t="str">
            <v>126714TCD004</v>
          </cell>
          <cell r="P2664" t="str">
            <v>FN6804D2S269606</v>
          </cell>
          <cell r="Q2664" t="str">
            <v>สภาพดี</v>
          </cell>
        </row>
        <row r="2665">
          <cell r="A2665">
            <v>60065517</v>
          </cell>
          <cell r="B2665">
            <v>2664</v>
          </cell>
          <cell r="C2665" t="str">
            <v>CS01/6</v>
          </cell>
          <cell r="D2665" t="str">
            <v>SPCC-SD</v>
          </cell>
          <cell r="E2665" t="str">
            <v>AF1</v>
          </cell>
          <cell r="F2665">
            <v>2.6</v>
          </cell>
          <cell r="G2665">
            <v>84</v>
          </cell>
          <cell r="H2665" t="str">
            <v>C</v>
          </cell>
          <cell r="I2665" t="str">
            <v>A</v>
          </cell>
          <cell r="J2665" t="str">
            <v>T.S.A</v>
          </cell>
          <cell r="K2665">
            <v>1</v>
          </cell>
          <cell r="L2665">
            <v>358</v>
          </cell>
          <cell r="M2665">
            <v>60065517</v>
          </cell>
          <cell r="N2665">
            <v>38815</v>
          </cell>
          <cell r="O2665" t="str">
            <v>126726TCD007</v>
          </cell>
          <cell r="P2665" t="str">
            <v>FN6804N1S267701</v>
          </cell>
          <cell r="Q2665" t="str">
            <v>สภาพดี</v>
          </cell>
        </row>
        <row r="2666">
          <cell r="A2666">
            <v>60065506</v>
          </cell>
          <cell r="B2666">
            <v>2665</v>
          </cell>
          <cell r="C2666" t="str">
            <v>CS01/6</v>
          </cell>
          <cell r="D2666" t="str">
            <v>SPCC-SD</v>
          </cell>
          <cell r="E2666" t="str">
            <v>AF1</v>
          </cell>
          <cell r="F2666">
            <v>2.2999999999999998</v>
          </cell>
          <cell r="G2666">
            <v>106</v>
          </cell>
          <cell r="H2666" t="str">
            <v>C</v>
          </cell>
          <cell r="I2666" t="str">
            <v>A</v>
          </cell>
          <cell r="J2666" t="str">
            <v>CHEOW CHAN</v>
          </cell>
          <cell r="K2666">
            <v>1</v>
          </cell>
          <cell r="L2666">
            <v>452</v>
          </cell>
          <cell r="M2666">
            <v>60065506</v>
          </cell>
          <cell r="N2666">
            <v>38815</v>
          </cell>
          <cell r="O2666" t="str">
            <v>126726TCD007</v>
          </cell>
          <cell r="P2666" t="str">
            <v>FN6804N1S267701</v>
          </cell>
          <cell r="Q2666" t="str">
            <v>สภาพดี</v>
          </cell>
        </row>
        <row r="2667">
          <cell r="A2667">
            <v>60065507</v>
          </cell>
          <cell r="B2667">
            <v>2666</v>
          </cell>
          <cell r="C2667" t="str">
            <v>CS01/6</v>
          </cell>
          <cell r="D2667" t="str">
            <v>SPCC-SD</v>
          </cell>
          <cell r="E2667" t="str">
            <v>AF1</v>
          </cell>
          <cell r="F2667">
            <v>2.2999999999999998</v>
          </cell>
          <cell r="G2667">
            <v>106</v>
          </cell>
          <cell r="H2667" t="str">
            <v>C</v>
          </cell>
          <cell r="I2667" t="str">
            <v>A</v>
          </cell>
          <cell r="J2667" t="str">
            <v>CHEOW CHAN</v>
          </cell>
          <cell r="K2667">
            <v>1</v>
          </cell>
          <cell r="L2667">
            <v>452</v>
          </cell>
          <cell r="M2667">
            <v>60065507</v>
          </cell>
          <cell r="N2667">
            <v>38815</v>
          </cell>
          <cell r="O2667" t="str">
            <v>126726TCD007</v>
          </cell>
          <cell r="P2667" t="str">
            <v>FN6804N1S267702</v>
          </cell>
          <cell r="Q2667" t="str">
            <v>สภาพดี</v>
          </cell>
        </row>
        <row r="2668">
          <cell r="A2668">
            <v>60065508</v>
          </cell>
          <cell r="B2668">
            <v>2667</v>
          </cell>
          <cell r="C2668" t="str">
            <v>CS01/6</v>
          </cell>
          <cell r="D2668" t="str">
            <v>SPCC-SD</v>
          </cell>
          <cell r="E2668" t="str">
            <v>AF1</v>
          </cell>
          <cell r="F2668">
            <v>2.2999999999999998</v>
          </cell>
          <cell r="G2668">
            <v>106</v>
          </cell>
          <cell r="H2668" t="str">
            <v>C</v>
          </cell>
          <cell r="I2668" t="str">
            <v>A</v>
          </cell>
          <cell r="J2668" t="str">
            <v>CHEOW CHAN</v>
          </cell>
          <cell r="K2668">
            <v>1</v>
          </cell>
          <cell r="L2668">
            <v>452</v>
          </cell>
          <cell r="M2668">
            <v>60065508</v>
          </cell>
          <cell r="N2668">
            <v>38815</v>
          </cell>
          <cell r="O2668" t="str">
            <v>126726TCD007</v>
          </cell>
          <cell r="P2668" t="str">
            <v>FN6804N1S267703</v>
          </cell>
          <cell r="Q2668" t="str">
            <v>สภาพดี</v>
          </cell>
        </row>
        <row r="2669">
          <cell r="A2669">
            <v>60065509</v>
          </cell>
          <cell r="B2669">
            <v>2668</v>
          </cell>
          <cell r="C2669" t="str">
            <v>CS01/6</v>
          </cell>
          <cell r="D2669" t="str">
            <v>SPCC-SD</v>
          </cell>
          <cell r="E2669" t="str">
            <v>AF1</v>
          </cell>
          <cell r="F2669">
            <v>2.2999999999999998</v>
          </cell>
          <cell r="G2669">
            <v>106</v>
          </cell>
          <cell r="H2669" t="str">
            <v>C</v>
          </cell>
          <cell r="I2669" t="str">
            <v>A</v>
          </cell>
          <cell r="J2669" t="str">
            <v>CHEOW CHAN</v>
          </cell>
          <cell r="K2669">
            <v>1</v>
          </cell>
          <cell r="L2669">
            <v>452</v>
          </cell>
          <cell r="M2669">
            <v>60065509</v>
          </cell>
          <cell r="N2669">
            <v>38815</v>
          </cell>
          <cell r="O2669" t="str">
            <v>126726TCD007</v>
          </cell>
          <cell r="P2669" t="str">
            <v>FN6804N1S267704</v>
          </cell>
          <cell r="Q2669" t="str">
            <v>สภาพดี</v>
          </cell>
        </row>
        <row r="2670">
          <cell r="A2670">
            <v>60064060</v>
          </cell>
          <cell r="B2670">
            <v>2669</v>
          </cell>
          <cell r="C2670" t="str">
            <v>CS01/6</v>
          </cell>
          <cell r="D2670" t="str">
            <v>SPCC-SD</v>
          </cell>
          <cell r="E2670" t="str">
            <v>AF1</v>
          </cell>
          <cell r="F2670">
            <v>3</v>
          </cell>
          <cell r="G2670">
            <v>284</v>
          </cell>
          <cell r="H2670" t="str">
            <v>C</v>
          </cell>
          <cell r="I2670" t="str">
            <v>A</v>
          </cell>
          <cell r="J2670" t="str">
            <v>T.S.A</v>
          </cell>
          <cell r="K2670">
            <v>1</v>
          </cell>
          <cell r="L2670">
            <v>796</v>
          </cell>
          <cell r="M2670">
            <v>60064060</v>
          </cell>
          <cell r="N2670" t="str">
            <v>21/07/2006</v>
          </cell>
          <cell r="O2670" t="str">
            <v>126713TCD030</v>
          </cell>
          <cell r="P2670" t="str">
            <v>FN6721N2S284401</v>
          </cell>
          <cell r="Q2670" t="str">
            <v>สภาพดี</v>
          </cell>
        </row>
        <row r="2671">
          <cell r="A2671">
            <v>60053115</v>
          </cell>
          <cell r="B2671">
            <v>2670</v>
          </cell>
          <cell r="C2671" t="str">
            <v>CS01/6</v>
          </cell>
          <cell r="D2671" t="str">
            <v>SPCC-SD</v>
          </cell>
          <cell r="E2671" t="str">
            <v>AF1</v>
          </cell>
          <cell r="F2671">
            <v>3.2</v>
          </cell>
          <cell r="G2671">
            <v>65</v>
          </cell>
          <cell r="H2671" t="str">
            <v>C</v>
          </cell>
          <cell r="I2671" t="str">
            <v>A</v>
          </cell>
          <cell r="J2671" t="str">
            <v>T.S.A</v>
          </cell>
          <cell r="K2671">
            <v>1</v>
          </cell>
          <cell r="L2671">
            <v>227</v>
          </cell>
          <cell r="M2671">
            <v>60053115</v>
          </cell>
          <cell r="N2671">
            <v>38751</v>
          </cell>
          <cell r="O2671" t="str">
            <v>126227TCD005</v>
          </cell>
          <cell r="P2671" t="str">
            <v>FN6302D2S795101</v>
          </cell>
          <cell r="Q2671" t="str">
            <v>สภาพดี</v>
          </cell>
        </row>
        <row r="2672">
          <cell r="A2672">
            <v>60055397</v>
          </cell>
          <cell r="B2672">
            <v>2671</v>
          </cell>
          <cell r="C2672" t="str">
            <v>CS01/6</v>
          </cell>
          <cell r="D2672" t="str">
            <v>SPCC-SD</v>
          </cell>
          <cell r="E2672" t="str">
            <v>AF1</v>
          </cell>
          <cell r="F2672">
            <v>3.2</v>
          </cell>
          <cell r="G2672">
            <v>66</v>
          </cell>
          <cell r="H2672" t="str">
            <v>C</v>
          </cell>
          <cell r="I2672" t="str">
            <v>A</v>
          </cell>
          <cell r="J2672" t="str">
            <v>T.S.A</v>
          </cell>
          <cell r="K2672">
            <v>1</v>
          </cell>
          <cell r="L2672">
            <v>270</v>
          </cell>
          <cell r="M2672">
            <v>60055397</v>
          </cell>
          <cell r="N2672" t="str">
            <v>24/03/2006</v>
          </cell>
          <cell r="O2672" t="str">
            <v>126321TCD001</v>
          </cell>
          <cell r="P2672" t="str">
            <v>FN6324D1S876401</v>
          </cell>
          <cell r="Q2672" t="str">
            <v>สภาพดี</v>
          </cell>
        </row>
        <row r="2673">
          <cell r="A2673">
            <v>60065822</v>
          </cell>
          <cell r="B2673">
            <v>2672</v>
          </cell>
          <cell r="C2673" t="str">
            <v>CS01/6</v>
          </cell>
          <cell r="D2673" t="str">
            <v>SPCEN-SD</v>
          </cell>
          <cell r="E2673" t="str">
            <v>AF3</v>
          </cell>
          <cell r="F2673">
            <v>0.6</v>
          </cell>
          <cell r="G2673">
            <v>94</v>
          </cell>
          <cell r="H2673" t="str">
            <v>C</v>
          </cell>
          <cell r="I2673" t="str">
            <v>A</v>
          </cell>
          <cell r="J2673" t="str">
            <v>T.S.A</v>
          </cell>
          <cell r="K2673">
            <v>1</v>
          </cell>
          <cell r="L2673">
            <v>300</v>
          </cell>
          <cell r="M2673">
            <v>60065822</v>
          </cell>
          <cell r="N2673">
            <v>38937</v>
          </cell>
          <cell r="O2673" t="str">
            <v>125809TCD006</v>
          </cell>
          <cell r="P2673" t="str">
            <v>FN6808N1S281801</v>
          </cell>
          <cell r="Q2673" t="str">
            <v>สภาพดี</v>
          </cell>
        </row>
        <row r="2674">
          <cell r="A2674">
            <v>60065823</v>
          </cell>
          <cell r="B2674">
            <v>2673</v>
          </cell>
          <cell r="C2674" t="str">
            <v>CS01/6</v>
          </cell>
          <cell r="D2674" t="str">
            <v>SPCEN-SD</v>
          </cell>
          <cell r="E2674" t="str">
            <v>AF3</v>
          </cell>
          <cell r="F2674">
            <v>0.6</v>
          </cell>
          <cell r="G2674">
            <v>94</v>
          </cell>
          <cell r="H2674" t="str">
            <v>C</v>
          </cell>
          <cell r="I2674" t="str">
            <v>A</v>
          </cell>
          <cell r="J2674" t="str">
            <v>T.S.A</v>
          </cell>
          <cell r="K2674">
            <v>1</v>
          </cell>
          <cell r="L2674">
            <v>225</v>
          </cell>
          <cell r="M2674">
            <v>60065823</v>
          </cell>
          <cell r="N2674">
            <v>38937</v>
          </cell>
          <cell r="O2674" t="str">
            <v>125809TCD006</v>
          </cell>
          <cell r="P2674" t="str">
            <v>FN6808N1S281802</v>
          </cell>
          <cell r="Q2674" t="str">
            <v>สภาพดี</v>
          </cell>
        </row>
        <row r="2675">
          <cell r="A2675">
            <v>60022261</v>
          </cell>
          <cell r="B2675">
            <v>2674</v>
          </cell>
          <cell r="C2675" t="str">
            <v>CS01/6</v>
          </cell>
          <cell r="D2675" t="str">
            <v>SPCEN-SD</v>
          </cell>
          <cell r="E2675" t="str">
            <v>AF3</v>
          </cell>
          <cell r="F2675">
            <v>0.8</v>
          </cell>
          <cell r="G2675">
            <v>64</v>
          </cell>
          <cell r="H2675" t="str">
            <v>C</v>
          </cell>
          <cell r="I2675" t="str">
            <v>A</v>
          </cell>
          <cell r="J2675" t="str">
            <v>T.S.A</v>
          </cell>
          <cell r="K2675">
            <v>1</v>
          </cell>
          <cell r="L2675">
            <v>140</v>
          </cell>
          <cell r="M2675">
            <v>60022261</v>
          </cell>
          <cell r="N2675" t="str">
            <v>30/10/2004</v>
          </cell>
          <cell r="O2675" t="str">
            <v>124709TCD001</v>
          </cell>
          <cell r="P2675" t="str">
            <v>FN4A30D1S441601</v>
          </cell>
          <cell r="Q2675" t="str">
            <v>สภาพดี</v>
          </cell>
        </row>
        <row r="2676">
          <cell r="A2676">
            <v>60022262</v>
          </cell>
          <cell r="B2676">
            <v>2675</v>
          </cell>
          <cell r="C2676" t="str">
            <v>CS01/6</v>
          </cell>
          <cell r="D2676" t="str">
            <v>SPCEN-SD</v>
          </cell>
          <cell r="E2676" t="str">
            <v>AF3</v>
          </cell>
          <cell r="F2676">
            <v>0.8</v>
          </cell>
          <cell r="G2676">
            <v>64</v>
          </cell>
          <cell r="H2676" t="str">
            <v>C</v>
          </cell>
          <cell r="I2676" t="str">
            <v>A</v>
          </cell>
          <cell r="J2676" t="str">
            <v>T.S.A</v>
          </cell>
          <cell r="K2676">
            <v>1</v>
          </cell>
          <cell r="L2676">
            <v>140</v>
          </cell>
          <cell r="M2676">
            <v>60022262</v>
          </cell>
          <cell r="N2676" t="str">
            <v>30/10/2004</v>
          </cell>
          <cell r="O2676" t="str">
            <v>124709TCD001</v>
          </cell>
          <cell r="P2676" t="str">
            <v>FN4A30D1S441602</v>
          </cell>
          <cell r="Q2676" t="str">
            <v>สภาพดี</v>
          </cell>
        </row>
        <row r="2677">
          <cell r="A2677">
            <v>60044376</v>
          </cell>
          <cell r="B2677">
            <v>2676</v>
          </cell>
          <cell r="C2677" t="str">
            <v>CS01/6</v>
          </cell>
          <cell r="D2677" t="str">
            <v>SPCEN-SD</v>
          </cell>
          <cell r="E2677" t="str">
            <v>AF3</v>
          </cell>
          <cell r="F2677">
            <v>0.8</v>
          </cell>
          <cell r="G2677">
            <v>114</v>
          </cell>
          <cell r="H2677" t="str">
            <v>C</v>
          </cell>
          <cell r="I2677" t="str">
            <v>A</v>
          </cell>
          <cell r="J2677" t="str">
            <v>T.S.A</v>
          </cell>
          <cell r="K2677">
            <v>1</v>
          </cell>
          <cell r="L2677">
            <v>506</v>
          </cell>
          <cell r="M2677">
            <v>60044376</v>
          </cell>
          <cell r="N2677">
            <v>38667</v>
          </cell>
          <cell r="O2677" t="str">
            <v>125B08SUD002</v>
          </cell>
          <cell r="P2677" t="str">
            <v>FN5B11N1S469301</v>
          </cell>
          <cell r="Q2677" t="str">
            <v>สภาพดี</v>
          </cell>
        </row>
        <row r="2678">
          <cell r="A2678">
            <v>60044377</v>
          </cell>
          <cell r="B2678">
            <v>2677</v>
          </cell>
          <cell r="C2678" t="str">
            <v>CS01/6</v>
          </cell>
          <cell r="D2678" t="str">
            <v>SPCEN-SD</v>
          </cell>
          <cell r="E2678" t="str">
            <v>AF3</v>
          </cell>
          <cell r="F2678">
            <v>0.8</v>
          </cell>
          <cell r="G2678">
            <v>114</v>
          </cell>
          <cell r="H2678" t="str">
            <v>C</v>
          </cell>
          <cell r="I2678" t="str">
            <v>A</v>
          </cell>
          <cell r="J2678" t="str">
            <v>T.S.A</v>
          </cell>
          <cell r="K2678">
            <v>1</v>
          </cell>
          <cell r="L2678">
            <v>506</v>
          </cell>
          <cell r="M2678">
            <v>60044377</v>
          </cell>
          <cell r="N2678">
            <v>38667</v>
          </cell>
          <cell r="O2678" t="str">
            <v>125B08SUD002</v>
          </cell>
          <cell r="P2678" t="str">
            <v>FN5B11N1S469302</v>
          </cell>
          <cell r="Q2678" t="str">
            <v>สภาพดี</v>
          </cell>
        </row>
        <row r="2679">
          <cell r="A2679">
            <v>60052366</v>
          </cell>
          <cell r="B2679">
            <v>2678</v>
          </cell>
          <cell r="C2679" t="str">
            <v>CS01/6</v>
          </cell>
          <cell r="D2679" t="str">
            <v>SPCEN-SD</v>
          </cell>
          <cell r="E2679" t="str">
            <v>AF3</v>
          </cell>
          <cell r="F2679">
            <v>0.8</v>
          </cell>
          <cell r="G2679">
            <v>114</v>
          </cell>
          <cell r="H2679" t="str">
            <v>C</v>
          </cell>
          <cell r="I2679" t="str">
            <v>A</v>
          </cell>
          <cell r="J2679" t="str">
            <v>T.S.A</v>
          </cell>
          <cell r="K2679">
            <v>1</v>
          </cell>
          <cell r="L2679">
            <v>336</v>
          </cell>
          <cell r="M2679">
            <v>60052366</v>
          </cell>
          <cell r="N2679" t="str">
            <v>21/02/2006</v>
          </cell>
          <cell r="O2679" t="str">
            <v>125803SUD002</v>
          </cell>
          <cell r="P2679" t="str">
            <v>FN6221D1S753703</v>
          </cell>
          <cell r="Q2679" t="str">
            <v>สภาพดี</v>
          </cell>
        </row>
        <row r="2680">
          <cell r="A2680">
            <v>60040094</v>
          </cell>
          <cell r="B2680">
            <v>2679</v>
          </cell>
          <cell r="C2680" t="str">
            <v>CS01/6</v>
          </cell>
          <cell r="D2680" t="str">
            <v>SPCEN-SD</v>
          </cell>
          <cell r="E2680" t="str">
            <v>AF3</v>
          </cell>
          <cell r="F2680">
            <v>1</v>
          </cell>
          <cell r="G2680">
            <v>90</v>
          </cell>
          <cell r="H2680" t="str">
            <v>C</v>
          </cell>
          <cell r="I2680" t="str">
            <v>A</v>
          </cell>
          <cell r="J2680" t="str">
            <v>T.S.A</v>
          </cell>
          <cell r="K2680">
            <v>1</v>
          </cell>
          <cell r="L2680">
            <v>232</v>
          </cell>
          <cell r="M2680">
            <v>60040094</v>
          </cell>
          <cell r="N2680">
            <v>38512</v>
          </cell>
          <cell r="O2680" t="str">
            <v>125108SUD002</v>
          </cell>
          <cell r="P2680" t="str">
            <v>FN5906N1S274701</v>
          </cell>
          <cell r="Q2680" t="str">
            <v>สภาพดี</v>
          </cell>
        </row>
        <row r="2681">
          <cell r="A2681">
            <v>60048685</v>
          </cell>
          <cell r="B2681">
            <v>2680</v>
          </cell>
          <cell r="C2681" t="str">
            <v>CS01/6</v>
          </cell>
          <cell r="D2681" t="str">
            <v>SPCEN-SD</v>
          </cell>
          <cell r="E2681" t="str">
            <v>AF3</v>
          </cell>
          <cell r="F2681">
            <v>1.2</v>
          </cell>
          <cell r="G2681">
            <v>44.5</v>
          </cell>
          <cell r="H2681" t="str">
            <v>C</v>
          </cell>
          <cell r="I2681" t="str">
            <v>A</v>
          </cell>
          <cell r="J2681" t="str">
            <v>CS</v>
          </cell>
          <cell r="K2681">
            <v>1</v>
          </cell>
          <cell r="L2681">
            <v>280</v>
          </cell>
          <cell r="M2681">
            <v>60048685</v>
          </cell>
          <cell r="N2681" t="str">
            <v>27/12/2005</v>
          </cell>
          <cell r="O2681" t="str">
            <v>125B16TCD001</v>
          </cell>
          <cell r="P2681" t="str">
            <v>FN5C27D1S599201</v>
          </cell>
          <cell r="Q2681" t="str">
            <v>สภาพดี</v>
          </cell>
        </row>
        <row r="2682">
          <cell r="A2682">
            <v>60061131</v>
          </cell>
          <cell r="B2682">
            <v>2681</v>
          </cell>
          <cell r="C2682" t="str">
            <v>CS01/6</v>
          </cell>
          <cell r="D2682" t="str">
            <v>SPCEN-SD</v>
          </cell>
          <cell r="E2682" t="str">
            <v>AF3</v>
          </cell>
          <cell r="F2682">
            <v>1.4</v>
          </cell>
          <cell r="G2682">
            <v>253</v>
          </cell>
          <cell r="H2682" t="str">
            <v>C</v>
          </cell>
          <cell r="I2682" t="str">
            <v>A</v>
          </cell>
          <cell r="J2682" t="str">
            <v>SIAM INTER LOCK</v>
          </cell>
          <cell r="K2682">
            <v>1</v>
          </cell>
          <cell r="L2682">
            <v>1800</v>
          </cell>
          <cell r="M2682">
            <v>60061131</v>
          </cell>
          <cell r="N2682">
            <v>38874</v>
          </cell>
          <cell r="O2682" t="str">
            <v>125131SUD001</v>
          </cell>
          <cell r="P2682" t="str">
            <v>FN6606N1S088801</v>
          </cell>
          <cell r="Q2682" t="str">
            <v>สภาพดี</v>
          </cell>
        </row>
        <row r="2683">
          <cell r="A2683">
            <v>60030621</v>
          </cell>
          <cell r="B2683">
            <v>2682</v>
          </cell>
          <cell r="C2683" t="str">
            <v>CS01/6</v>
          </cell>
          <cell r="D2683" t="str">
            <v>SPHC-P/O</v>
          </cell>
          <cell r="E2683" t="str">
            <v>CA1</v>
          </cell>
          <cell r="F2683">
            <v>2.6</v>
          </cell>
          <cell r="G2683">
            <v>63</v>
          </cell>
          <cell r="H2683" t="str">
            <v>C</v>
          </cell>
          <cell r="I2683" t="str">
            <v>A</v>
          </cell>
          <cell r="J2683" t="str">
            <v>T.S.A</v>
          </cell>
          <cell r="K2683">
            <v>1</v>
          </cell>
          <cell r="L2683">
            <v>321</v>
          </cell>
          <cell r="M2683">
            <v>60030621</v>
          </cell>
          <cell r="N2683" t="str">
            <v>16/03/2005</v>
          </cell>
          <cell r="O2683" t="str">
            <v>135314JFI001</v>
          </cell>
          <cell r="P2683" t="str">
            <v>FN5316D1S811701</v>
          </cell>
          <cell r="Q2683" t="str">
            <v>สภาพดี</v>
          </cell>
        </row>
        <row r="2684">
          <cell r="A2684">
            <v>60062043</v>
          </cell>
          <cell r="B2684">
            <v>2683</v>
          </cell>
          <cell r="C2684" t="str">
            <v>CS01/6</v>
          </cell>
          <cell r="D2684" t="str">
            <v>SPHC-P/O</v>
          </cell>
          <cell r="E2684" t="str">
            <v>CA1</v>
          </cell>
          <cell r="F2684">
            <v>2.6</v>
          </cell>
          <cell r="G2684">
            <v>91</v>
          </cell>
          <cell r="H2684" t="str">
            <v>C</v>
          </cell>
          <cell r="I2684" t="str">
            <v>A</v>
          </cell>
          <cell r="J2684" t="str">
            <v>T.S.A</v>
          </cell>
          <cell r="K2684">
            <v>1</v>
          </cell>
          <cell r="L2684">
            <v>265</v>
          </cell>
          <cell r="M2684">
            <v>60062043</v>
          </cell>
          <cell r="N2684" t="str">
            <v>21/06/2006</v>
          </cell>
          <cell r="O2684" t="str">
            <v>135314JFI001</v>
          </cell>
          <cell r="P2684" t="str">
            <v>FN6621D1S126001</v>
          </cell>
          <cell r="Q2684" t="str">
            <v>สภาพดี</v>
          </cell>
        </row>
        <row r="2685">
          <cell r="A2685">
            <v>60054801</v>
          </cell>
          <cell r="B2685">
            <v>2684</v>
          </cell>
          <cell r="C2685" t="str">
            <v>CS01/6</v>
          </cell>
          <cell r="D2685" t="str">
            <v>SPHC-P/O</v>
          </cell>
          <cell r="E2685" t="str">
            <v>CA1</v>
          </cell>
          <cell r="F2685">
            <v>3.2</v>
          </cell>
          <cell r="G2685">
            <v>213</v>
          </cell>
          <cell r="H2685" t="str">
            <v>C</v>
          </cell>
          <cell r="I2685" t="str">
            <v>A</v>
          </cell>
          <cell r="J2685" t="str">
            <v>T.S.A</v>
          </cell>
          <cell r="K2685">
            <v>1</v>
          </cell>
          <cell r="L2685">
            <v>1066</v>
          </cell>
          <cell r="M2685">
            <v>60054801</v>
          </cell>
          <cell r="N2685" t="str">
            <v>17/03/2006</v>
          </cell>
          <cell r="O2685" t="str">
            <v>136523JFI001</v>
          </cell>
          <cell r="P2685" t="str">
            <v>FN6317N2S850201</v>
          </cell>
          <cell r="Q2685" t="str">
            <v>สภาพดี</v>
          </cell>
        </row>
        <row r="2686">
          <cell r="A2686">
            <v>60061997</v>
          </cell>
          <cell r="B2686">
            <v>2685</v>
          </cell>
          <cell r="C2686" t="str">
            <v>CS01/6</v>
          </cell>
          <cell r="D2686" t="str">
            <v>SPHC-DS</v>
          </cell>
          <cell r="E2686" t="str">
            <v>DS1</v>
          </cell>
          <cell r="F2686">
            <v>1.6</v>
          </cell>
          <cell r="G2686">
            <v>200</v>
          </cell>
          <cell r="H2686" t="str">
            <v>C</v>
          </cell>
          <cell r="I2686" t="str">
            <v>A</v>
          </cell>
          <cell r="J2686" t="str">
            <v>T.S.A</v>
          </cell>
          <cell r="K2686">
            <v>1</v>
          </cell>
          <cell r="L2686">
            <v>267</v>
          </cell>
          <cell r="M2686">
            <v>60061997</v>
          </cell>
          <cell r="N2686" t="str">
            <v>20/06/2006</v>
          </cell>
          <cell r="O2686" t="str">
            <v>136620NSI001</v>
          </cell>
          <cell r="P2686" t="str">
            <v>FN6620N1S124601</v>
          </cell>
          <cell r="Q2686" t="str">
            <v>สภาพดี</v>
          </cell>
        </row>
        <row r="2687">
          <cell r="A2687">
            <v>60062173</v>
          </cell>
          <cell r="B2687">
            <v>2686</v>
          </cell>
          <cell r="C2687" t="str">
            <v>CS01/6</v>
          </cell>
          <cell r="D2687" t="str">
            <v>SPHC-DS</v>
          </cell>
          <cell r="E2687" t="str">
            <v>DS1</v>
          </cell>
          <cell r="F2687">
            <v>1.6</v>
          </cell>
          <cell r="G2687">
            <v>276</v>
          </cell>
          <cell r="H2687" t="str">
            <v>C</v>
          </cell>
          <cell r="I2687" t="str">
            <v>A</v>
          </cell>
          <cell r="J2687" t="str">
            <v>T.S.A</v>
          </cell>
          <cell r="K2687">
            <v>1</v>
          </cell>
          <cell r="L2687">
            <v>431</v>
          </cell>
          <cell r="M2687">
            <v>60062173</v>
          </cell>
          <cell r="N2687" t="str">
            <v>22/06/2006</v>
          </cell>
          <cell r="O2687" t="str">
            <v>136620NSI001</v>
          </cell>
          <cell r="P2687" t="str">
            <v>FN6622N2S130901</v>
          </cell>
          <cell r="Q2687" t="str">
            <v>สภาพดี</v>
          </cell>
        </row>
        <row r="2688">
          <cell r="A2688">
            <v>60064484</v>
          </cell>
          <cell r="B2688">
            <v>2687</v>
          </cell>
          <cell r="C2688" t="str">
            <v>CS01/6</v>
          </cell>
          <cell r="D2688" t="str">
            <v>SPHC-DS</v>
          </cell>
          <cell r="E2688" t="str">
            <v>DS1</v>
          </cell>
          <cell r="F2688">
            <v>2</v>
          </cell>
          <cell r="G2688">
            <v>73</v>
          </cell>
          <cell r="H2688" t="str">
            <v>C</v>
          </cell>
          <cell r="I2688" t="str">
            <v>A</v>
          </cell>
          <cell r="J2688" t="str">
            <v>T.S.A</v>
          </cell>
          <cell r="K2688">
            <v>1</v>
          </cell>
          <cell r="L2688">
            <v>213</v>
          </cell>
          <cell r="M2688">
            <v>60064484</v>
          </cell>
          <cell r="N2688" t="str">
            <v>28/07/2006</v>
          </cell>
          <cell r="O2688" t="str">
            <v>136710PCI062</v>
          </cell>
          <cell r="P2688" t="str">
            <v>FN6728N1S250401</v>
          </cell>
          <cell r="Q2688" t="str">
            <v>สภาพดี</v>
          </cell>
        </row>
        <row r="2689">
          <cell r="A2689">
            <v>60064485</v>
          </cell>
          <cell r="B2689">
            <v>2688</v>
          </cell>
          <cell r="C2689" t="str">
            <v>CS01/6</v>
          </cell>
          <cell r="D2689" t="str">
            <v>SPHC-DS</v>
          </cell>
          <cell r="E2689" t="str">
            <v>DS1</v>
          </cell>
          <cell r="F2689">
            <v>2</v>
          </cell>
          <cell r="G2689">
            <v>73</v>
          </cell>
          <cell r="H2689" t="str">
            <v>C</v>
          </cell>
          <cell r="I2689" t="str">
            <v>A</v>
          </cell>
          <cell r="J2689" t="str">
            <v>T.S.A</v>
          </cell>
          <cell r="K2689">
            <v>1</v>
          </cell>
          <cell r="L2689">
            <v>213</v>
          </cell>
          <cell r="M2689">
            <v>60064485</v>
          </cell>
          <cell r="N2689" t="str">
            <v>28/07/2006</v>
          </cell>
          <cell r="O2689" t="str">
            <v>136710PCI062</v>
          </cell>
          <cell r="P2689" t="str">
            <v>FN6728N1S250402</v>
          </cell>
          <cell r="Q2689" t="str">
            <v>สภาพดี</v>
          </cell>
        </row>
        <row r="2690">
          <cell r="A2690">
            <v>60064486</v>
          </cell>
          <cell r="B2690">
            <v>2689</v>
          </cell>
          <cell r="C2690" t="str">
            <v>CS01/6</v>
          </cell>
          <cell r="D2690" t="str">
            <v>SPHC-DS</v>
          </cell>
          <cell r="E2690" t="str">
            <v>DS1</v>
          </cell>
          <cell r="F2690">
            <v>2</v>
          </cell>
          <cell r="G2690">
            <v>73</v>
          </cell>
          <cell r="H2690" t="str">
            <v>C</v>
          </cell>
          <cell r="I2690" t="str">
            <v>A</v>
          </cell>
          <cell r="J2690" t="str">
            <v>T.S.A</v>
          </cell>
          <cell r="K2690">
            <v>1</v>
          </cell>
          <cell r="L2690">
            <v>213</v>
          </cell>
          <cell r="M2690">
            <v>60064486</v>
          </cell>
          <cell r="N2690" t="str">
            <v>28/07/2006</v>
          </cell>
          <cell r="O2690" t="str">
            <v>136710PCI062</v>
          </cell>
          <cell r="P2690" t="str">
            <v>FN6728N1S250403</v>
          </cell>
          <cell r="Q2690" t="str">
            <v>สภาพดี</v>
          </cell>
        </row>
        <row r="2691">
          <cell r="A2691">
            <v>60064398</v>
          </cell>
          <cell r="B2691">
            <v>2690</v>
          </cell>
          <cell r="C2691" t="str">
            <v>CS01/6</v>
          </cell>
          <cell r="D2691" t="str">
            <v>SPHC-DS</v>
          </cell>
          <cell r="E2691" t="str">
            <v>DS1</v>
          </cell>
          <cell r="F2691">
            <v>2.6</v>
          </cell>
          <cell r="G2691">
            <v>68</v>
          </cell>
          <cell r="H2691" t="str">
            <v>C</v>
          </cell>
          <cell r="I2691" t="str">
            <v>A</v>
          </cell>
          <cell r="J2691" t="str">
            <v>T.S.A</v>
          </cell>
          <cell r="K2691">
            <v>1</v>
          </cell>
          <cell r="L2691">
            <v>244</v>
          </cell>
          <cell r="M2691">
            <v>60064398</v>
          </cell>
          <cell r="N2691" t="str">
            <v>27/07/2006</v>
          </cell>
          <cell r="O2691" t="str">
            <v>136527PCI001</v>
          </cell>
          <cell r="P2691" t="str">
            <v>FN6727D2S242701</v>
          </cell>
          <cell r="Q2691" t="str">
            <v>สภาพดี</v>
          </cell>
        </row>
        <row r="2692">
          <cell r="A2692">
            <v>60064399</v>
          </cell>
          <cell r="B2692">
            <v>2691</v>
          </cell>
          <cell r="C2692" t="str">
            <v>CS01/6</v>
          </cell>
          <cell r="D2692" t="str">
            <v>SPHC-DS</v>
          </cell>
          <cell r="E2692" t="str">
            <v>DS1</v>
          </cell>
          <cell r="F2692">
            <v>2.6</v>
          </cell>
          <cell r="G2692">
            <v>68</v>
          </cell>
          <cell r="H2692" t="str">
            <v>C</v>
          </cell>
          <cell r="I2692" t="str">
            <v>A</v>
          </cell>
          <cell r="J2692" t="str">
            <v>T.S.A</v>
          </cell>
          <cell r="K2692">
            <v>1</v>
          </cell>
          <cell r="L2692">
            <v>244</v>
          </cell>
          <cell r="M2692">
            <v>60064399</v>
          </cell>
          <cell r="N2692" t="str">
            <v>27/07/2006</v>
          </cell>
          <cell r="O2692" t="str">
            <v>136527PCI001</v>
          </cell>
          <cell r="P2692" t="str">
            <v>FN6727D2S242702</v>
          </cell>
          <cell r="Q2692" t="str">
            <v>สภาพดี</v>
          </cell>
        </row>
        <row r="2693">
          <cell r="A2693">
            <v>60064400</v>
          </cell>
          <cell r="B2693">
            <v>2692</v>
          </cell>
          <cell r="C2693" t="str">
            <v>CS01/6</v>
          </cell>
          <cell r="D2693" t="str">
            <v>SPHC-DS</v>
          </cell>
          <cell r="E2693" t="str">
            <v>DS1</v>
          </cell>
          <cell r="F2693">
            <v>2.6</v>
          </cell>
          <cell r="G2693">
            <v>68</v>
          </cell>
          <cell r="H2693" t="str">
            <v>C</v>
          </cell>
          <cell r="I2693" t="str">
            <v>A</v>
          </cell>
          <cell r="J2693" t="str">
            <v>T.S.A</v>
          </cell>
          <cell r="K2693">
            <v>1</v>
          </cell>
          <cell r="L2693">
            <v>244</v>
          </cell>
          <cell r="M2693">
            <v>60064400</v>
          </cell>
          <cell r="N2693" t="str">
            <v>27/07/2006</v>
          </cell>
          <cell r="O2693" t="str">
            <v>136527PCI001</v>
          </cell>
          <cell r="P2693" t="str">
            <v>FN6727D2S242703</v>
          </cell>
          <cell r="Q2693" t="str">
            <v>สภาพดี</v>
          </cell>
        </row>
        <row r="2694">
          <cell r="A2694">
            <v>60065615</v>
          </cell>
          <cell r="B2694">
            <v>2693</v>
          </cell>
          <cell r="C2694" t="str">
            <v>CS01/6</v>
          </cell>
          <cell r="D2694" t="str">
            <v>SPHC-DS</v>
          </cell>
          <cell r="E2694" t="str">
            <v>DS1</v>
          </cell>
          <cell r="F2694">
            <v>3.2</v>
          </cell>
          <cell r="G2694">
            <v>103</v>
          </cell>
          <cell r="H2694" t="str">
            <v>C</v>
          </cell>
          <cell r="I2694" t="str">
            <v>A</v>
          </cell>
          <cell r="J2694" t="str">
            <v>T.S.A</v>
          </cell>
          <cell r="K2694">
            <v>1</v>
          </cell>
          <cell r="L2694">
            <v>341</v>
          </cell>
          <cell r="M2694">
            <v>60065615</v>
          </cell>
          <cell r="N2694">
            <v>38845</v>
          </cell>
          <cell r="O2694" t="str">
            <v>136710PCI001</v>
          </cell>
          <cell r="P2694" t="str">
            <v>FN6805D2S273301</v>
          </cell>
          <cell r="Q2694" t="str">
            <v>สภาพดี</v>
          </cell>
        </row>
        <row r="2695">
          <cell r="A2695">
            <v>60065623</v>
          </cell>
          <cell r="B2695">
            <v>2694</v>
          </cell>
          <cell r="C2695" t="str">
            <v>CS01/6</v>
          </cell>
          <cell r="D2695" t="str">
            <v>SPHC-DS</v>
          </cell>
          <cell r="E2695" t="str">
            <v>DS1</v>
          </cell>
          <cell r="F2695">
            <v>3.2</v>
          </cell>
          <cell r="G2695">
            <v>103</v>
          </cell>
          <cell r="H2695" t="str">
            <v>C</v>
          </cell>
          <cell r="I2695" t="str">
            <v>A</v>
          </cell>
          <cell r="J2695" t="str">
            <v>T.S.A</v>
          </cell>
          <cell r="K2695">
            <v>1</v>
          </cell>
          <cell r="L2695">
            <v>385</v>
          </cell>
          <cell r="M2695">
            <v>60065623</v>
          </cell>
          <cell r="N2695">
            <v>38845</v>
          </cell>
          <cell r="O2695" t="str">
            <v>136710PCI001</v>
          </cell>
          <cell r="P2695" t="str">
            <v>FN6805D2S273302</v>
          </cell>
          <cell r="Q2695" t="str">
            <v>สภาพดี</v>
          </cell>
        </row>
        <row r="2696">
          <cell r="A2696">
            <v>60065624</v>
          </cell>
          <cell r="B2696">
            <v>2695</v>
          </cell>
          <cell r="C2696" t="str">
            <v>CS01/6</v>
          </cell>
          <cell r="D2696" t="str">
            <v>SPHC-DS</v>
          </cell>
          <cell r="E2696" t="str">
            <v>DS1</v>
          </cell>
          <cell r="F2696">
            <v>3.2</v>
          </cell>
          <cell r="G2696">
            <v>103</v>
          </cell>
          <cell r="H2696" t="str">
            <v>C</v>
          </cell>
          <cell r="I2696" t="str">
            <v>A</v>
          </cell>
          <cell r="J2696" t="str">
            <v>T.S.A</v>
          </cell>
          <cell r="K2696">
            <v>1</v>
          </cell>
          <cell r="L2696">
            <v>385</v>
          </cell>
          <cell r="M2696">
            <v>60065624</v>
          </cell>
          <cell r="N2696">
            <v>38845</v>
          </cell>
          <cell r="O2696" t="str">
            <v>136710PCI001</v>
          </cell>
          <cell r="P2696" t="str">
            <v>FN6805D2S273303</v>
          </cell>
          <cell r="Q2696" t="str">
            <v>สภาพดี</v>
          </cell>
        </row>
        <row r="2697">
          <cell r="A2697">
            <v>60060864</v>
          </cell>
          <cell r="B2697">
            <v>2696</v>
          </cell>
          <cell r="C2697" t="str">
            <v>CS01/1</v>
          </cell>
          <cell r="D2697" t="str">
            <v>SPCC-SD</v>
          </cell>
          <cell r="E2697" t="str">
            <v>AF1</v>
          </cell>
          <cell r="F2697">
            <v>0.4</v>
          </cell>
          <cell r="G2697">
            <v>40</v>
          </cell>
          <cell r="H2697" t="str">
            <v>C</v>
          </cell>
          <cell r="I2697" t="str">
            <v>A</v>
          </cell>
          <cell r="J2697" t="str">
            <v>STORE</v>
          </cell>
          <cell r="K2697">
            <v>1</v>
          </cell>
          <cell r="L2697">
            <v>32</v>
          </cell>
          <cell r="M2697">
            <v>60060864</v>
          </cell>
          <cell r="N2697">
            <v>38871</v>
          </cell>
          <cell r="P2697" t="str">
            <v>FN6603D1S075301</v>
          </cell>
          <cell r="Q2697" t="str">
            <v>สภาพดี</v>
          </cell>
        </row>
        <row r="2698">
          <cell r="A2698">
            <v>60060865</v>
          </cell>
          <cell r="B2698">
            <v>2697</v>
          </cell>
          <cell r="C2698" t="str">
            <v>CS01/1</v>
          </cell>
          <cell r="D2698" t="str">
            <v>SPCC-SD</v>
          </cell>
          <cell r="E2698" t="str">
            <v>AF1</v>
          </cell>
          <cell r="F2698">
            <v>0.4</v>
          </cell>
          <cell r="G2698">
            <v>40</v>
          </cell>
          <cell r="H2698" t="str">
            <v>C</v>
          </cell>
          <cell r="I2698" t="str">
            <v>A</v>
          </cell>
          <cell r="J2698" t="str">
            <v>STORE</v>
          </cell>
          <cell r="K2698">
            <v>1</v>
          </cell>
          <cell r="L2698">
            <v>32</v>
          </cell>
          <cell r="M2698">
            <v>60060865</v>
          </cell>
          <cell r="N2698">
            <v>38871</v>
          </cell>
          <cell r="P2698" t="str">
            <v>FN6603D1S075302</v>
          </cell>
          <cell r="Q2698" t="str">
            <v>สภาพดี</v>
          </cell>
        </row>
        <row r="2699">
          <cell r="A2699">
            <v>60060887</v>
          </cell>
          <cell r="B2699">
            <v>2698</v>
          </cell>
          <cell r="C2699" t="str">
            <v>CS01/1</v>
          </cell>
          <cell r="D2699" t="str">
            <v>SPCC-SD</v>
          </cell>
          <cell r="E2699" t="str">
            <v>AF1</v>
          </cell>
          <cell r="F2699">
            <v>0.4</v>
          </cell>
          <cell r="G2699">
            <v>40</v>
          </cell>
          <cell r="H2699" t="str">
            <v>C</v>
          </cell>
          <cell r="I2699" t="str">
            <v>A</v>
          </cell>
          <cell r="J2699" t="str">
            <v>STORE</v>
          </cell>
          <cell r="K2699">
            <v>1</v>
          </cell>
          <cell r="L2699">
            <v>19</v>
          </cell>
          <cell r="M2699">
            <v>60060887</v>
          </cell>
          <cell r="N2699">
            <v>38871</v>
          </cell>
          <cell r="P2699" t="str">
            <v>FN6603D1S083003</v>
          </cell>
          <cell r="Q2699" t="str">
            <v>สภาพดี</v>
          </cell>
        </row>
        <row r="2700">
          <cell r="A2700">
            <v>60060888</v>
          </cell>
          <cell r="B2700">
            <v>2699</v>
          </cell>
          <cell r="C2700" t="str">
            <v>CS01/1</v>
          </cell>
          <cell r="D2700" t="str">
            <v>SPCC-SD</v>
          </cell>
          <cell r="E2700" t="str">
            <v>AF1</v>
          </cell>
          <cell r="F2700">
            <v>0.4</v>
          </cell>
          <cell r="G2700">
            <v>40</v>
          </cell>
          <cell r="H2700" t="str">
            <v>C</v>
          </cell>
          <cell r="I2700" t="str">
            <v>A</v>
          </cell>
          <cell r="J2700" t="str">
            <v>STORE</v>
          </cell>
          <cell r="K2700">
            <v>1</v>
          </cell>
          <cell r="L2700">
            <v>19</v>
          </cell>
          <cell r="M2700">
            <v>60060888</v>
          </cell>
          <cell r="N2700">
            <v>38871</v>
          </cell>
          <cell r="P2700" t="str">
            <v>FN6603D1S083004</v>
          </cell>
          <cell r="Q2700" t="str">
            <v>สภาพดี</v>
          </cell>
        </row>
        <row r="2701">
          <cell r="A2701">
            <v>60060891</v>
          </cell>
          <cell r="B2701">
            <v>2700</v>
          </cell>
          <cell r="C2701" t="str">
            <v>CS01/1</v>
          </cell>
          <cell r="D2701" t="str">
            <v>SPCC-SD</v>
          </cell>
          <cell r="E2701" t="str">
            <v>AF1</v>
          </cell>
          <cell r="F2701">
            <v>0.4</v>
          </cell>
          <cell r="G2701">
            <v>40</v>
          </cell>
          <cell r="H2701" t="str">
            <v>C</v>
          </cell>
          <cell r="I2701" t="str">
            <v>A</v>
          </cell>
          <cell r="J2701" t="str">
            <v>STORE</v>
          </cell>
          <cell r="K2701">
            <v>1</v>
          </cell>
          <cell r="L2701">
            <v>49</v>
          </cell>
          <cell r="M2701">
            <v>60060891</v>
          </cell>
          <cell r="N2701">
            <v>38871</v>
          </cell>
          <cell r="P2701" t="str">
            <v>FN6603D1S083005</v>
          </cell>
          <cell r="Q2701" t="str">
            <v>สภาพดี</v>
          </cell>
        </row>
        <row r="2702">
          <cell r="A2702">
            <v>60060892</v>
          </cell>
          <cell r="B2702">
            <v>2701</v>
          </cell>
          <cell r="C2702" t="str">
            <v>CS01/1</v>
          </cell>
          <cell r="D2702" t="str">
            <v>SPCC-SD</v>
          </cell>
          <cell r="E2702" t="str">
            <v>AF1</v>
          </cell>
          <cell r="F2702">
            <v>0.4</v>
          </cell>
          <cell r="G2702">
            <v>40</v>
          </cell>
          <cell r="H2702" t="str">
            <v>C</v>
          </cell>
          <cell r="I2702" t="str">
            <v>A</v>
          </cell>
          <cell r="J2702" t="str">
            <v>STORE</v>
          </cell>
          <cell r="K2702">
            <v>1</v>
          </cell>
          <cell r="L2702">
            <v>49</v>
          </cell>
          <cell r="M2702">
            <v>60060892</v>
          </cell>
          <cell r="N2702">
            <v>38871</v>
          </cell>
          <cell r="P2702" t="str">
            <v>FN6603D1S083006</v>
          </cell>
          <cell r="Q2702" t="str">
            <v>สภาพดี</v>
          </cell>
        </row>
        <row r="2703">
          <cell r="A2703">
            <v>60032015</v>
          </cell>
          <cell r="B2703">
            <v>2702</v>
          </cell>
          <cell r="C2703" t="str">
            <v>CS01/1</v>
          </cell>
          <cell r="D2703" t="str">
            <v>SPCC-SD</v>
          </cell>
          <cell r="E2703" t="str">
            <v>AF1</v>
          </cell>
          <cell r="F2703">
            <v>0.6</v>
          </cell>
          <cell r="G2703">
            <v>44</v>
          </cell>
          <cell r="H2703" t="str">
            <v>C</v>
          </cell>
          <cell r="I2703" t="str">
            <v>A</v>
          </cell>
          <cell r="J2703" t="str">
            <v>STORE</v>
          </cell>
          <cell r="K2703">
            <v>1</v>
          </cell>
          <cell r="L2703">
            <v>390</v>
          </cell>
          <cell r="M2703">
            <v>60032015</v>
          </cell>
          <cell r="N2703">
            <v>38450</v>
          </cell>
          <cell r="P2703" t="str">
            <v>FN5408D1S880001</v>
          </cell>
          <cell r="Q2703" t="str">
            <v>สายรัดเป็นสนิม</v>
          </cell>
        </row>
        <row r="2704">
          <cell r="A2704">
            <v>60036247</v>
          </cell>
          <cell r="B2704">
            <v>2703</v>
          </cell>
          <cell r="C2704" t="str">
            <v>CS01/1</v>
          </cell>
          <cell r="D2704" t="str">
            <v>SPCC-SD</v>
          </cell>
          <cell r="E2704" t="str">
            <v>AF1</v>
          </cell>
          <cell r="F2704">
            <v>0.8</v>
          </cell>
          <cell r="G2704">
            <v>53</v>
          </cell>
          <cell r="H2704" t="str">
            <v>C</v>
          </cell>
          <cell r="I2704" t="str">
            <v>A</v>
          </cell>
          <cell r="J2704" t="str">
            <v>STORE</v>
          </cell>
          <cell r="K2704">
            <v>1</v>
          </cell>
          <cell r="L2704">
            <v>38</v>
          </cell>
          <cell r="M2704">
            <v>60036247</v>
          </cell>
          <cell r="N2704">
            <v>38518</v>
          </cell>
          <cell r="P2704" t="str">
            <v>FN5615D1S053501</v>
          </cell>
          <cell r="Q2704" t="str">
            <v>ไม่มีสายรัด</v>
          </cell>
        </row>
        <row r="2705">
          <cell r="A2705">
            <v>60037797</v>
          </cell>
          <cell r="B2705">
            <v>2704</v>
          </cell>
          <cell r="C2705" t="str">
            <v>CS01/1</v>
          </cell>
          <cell r="D2705" t="str">
            <v>SPCC-SD</v>
          </cell>
          <cell r="E2705" t="str">
            <v>AF1</v>
          </cell>
          <cell r="F2705">
            <v>0.8</v>
          </cell>
          <cell r="G2705">
            <v>53</v>
          </cell>
          <cell r="H2705" t="str">
            <v>C</v>
          </cell>
          <cell r="I2705" t="str">
            <v>A</v>
          </cell>
          <cell r="J2705" t="str">
            <v>STORE</v>
          </cell>
          <cell r="K2705">
            <v>1</v>
          </cell>
          <cell r="L2705">
            <v>48</v>
          </cell>
          <cell r="M2705">
            <v>60037797</v>
          </cell>
          <cell r="N2705">
            <v>38552</v>
          </cell>
          <cell r="P2705" t="str">
            <v>FN5719N1S147301</v>
          </cell>
          <cell r="Q2705" t="str">
            <v>สภาพดี</v>
          </cell>
        </row>
        <row r="2706">
          <cell r="A2706">
            <v>60036244</v>
          </cell>
          <cell r="B2706">
            <v>2705</v>
          </cell>
          <cell r="C2706" t="str">
            <v>CS01/1</v>
          </cell>
          <cell r="D2706" t="str">
            <v>SPCC-SD</v>
          </cell>
          <cell r="E2706" t="str">
            <v>AF1</v>
          </cell>
          <cell r="F2706">
            <v>0.8</v>
          </cell>
          <cell r="G2706">
            <v>74</v>
          </cell>
          <cell r="H2706" t="str">
            <v>C</v>
          </cell>
          <cell r="I2706" t="str">
            <v>A</v>
          </cell>
          <cell r="J2706" t="str">
            <v>STORE</v>
          </cell>
          <cell r="K2706">
            <v>1</v>
          </cell>
          <cell r="L2706">
            <v>109</v>
          </cell>
          <cell r="M2706">
            <v>60036244</v>
          </cell>
          <cell r="N2706">
            <v>38518</v>
          </cell>
          <cell r="P2706" t="str">
            <v>FN5615D1S053601</v>
          </cell>
          <cell r="Q2706" t="str">
            <v>ไม่มีสายรัด</v>
          </cell>
        </row>
        <row r="2707">
          <cell r="A2707">
            <v>60037784</v>
          </cell>
          <cell r="B2707">
            <v>2706</v>
          </cell>
          <cell r="C2707" t="str">
            <v>CS01/1</v>
          </cell>
          <cell r="D2707" t="str">
            <v>SPCC-SD</v>
          </cell>
          <cell r="E2707" t="str">
            <v>AF1</v>
          </cell>
          <cell r="F2707">
            <v>0.8</v>
          </cell>
          <cell r="G2707">
            <v>74</v>
          </cell>
          <cell r="H2707" t="str">
            <v>C</v>
          </cell>
          <cell r="I2707" t="str">
            <v>A</v>
          </cell>
          <cell r="J2707" t="str">
            <v>STORE</v>
          </cell>
          <cell r="K2707">
            <v>1</v>
          </cell>
          <cell r="L2707">
            <v>72</v>
          </cell>
          <cell r="M2707">
            <v>60037784</v>
          </cell>
          <cell r="N2707">
            <v>38552</v>
          </cell>
          <cell r="P2707" t="str">
            <v>FN5719N1S146801</v>
          </cell>
          <cell r="Q2707" t="str">
            <v>สภาพดี</v>
          </cell>
        </row>
        <row r="2708">
          <cell r="A2708">
            <v>60037787</v>
          </cell>
          <cell r="B2708">
            <v>2707</v>
          </cell>
          <cell r="C2708" t="str">
            <v>CS01/1</v>
          </cell>
          <cell r="D2708" t="str">
            <v>SPCC-SD</v>
          </cell>
          <cell r="E2708" t="str">
            <v>AF1</v>
          </cell>
          <cell r="F2708">
            <v>0.8</v>
          </cell>
          <cell r="G2708">
            <v>74</v>
          </cell>
          <cell r="H2708" t="str">
            <v>C</v>
          </cell>
          <cell r="I2708" t="str">
            <v>A</v>
          </cell>
          <cell r="J2708" t="str">
            <v>STORE</v>
          </cell>
          <cell r="K2708">
            <v>1</v>
          </cell>
          <cell r="L2708">
            <v>71</v>
          </cell>
          <cell r="M2708">
            <v>60037787</v>
          </cell>
          <cell r="N2708">
            <v>38552</v>
          </cell>
          <cell r="P2708" t="str">
            <v>FN5719N1S146802</v>
          </cell>
          <cell r="Q2708" t="str">
            <v>สภาพดี</v>
          </cell>
        </row>
        <row r="2709">
          <cell r="A2709">
            <v>60037790</v>
          </cell>
          <cell r="B2709">
            <v>2708</v>
          </cell>
          <cell r="C2709" t="str">
            <v>CS01/1</v>
          </cell>
          <cell r="D2709" t="str">
            <v>SPCC-SD</v>
          </cell>
          <cell r="E2709" t="str">
            <v>AF1</v>
          </cell>
          <cell r="F2709">
            <v>0.8</v>
          </cell>
          <cell r="G2709">
            <v>74</v>
          </cell>
          <cell r="H2709" t="str">
            <v>C</v>
          </cell>
          <cell r="I2709" t="str">
            <v>A</v>
          </cell>
          <cell r="J2709" t="str">
            <v>STORE</v>
          </cell>
          <cell r="K2709">
            <v>1</v>
          </cell>
          <cell r="L2709">
            <v>72</v>
          </cell>
          <cell r="M2709">
            <v>60037790</v>
          </cell>
          <cell r="N2709">
            <v>38552</v>
          </cell>
          <cell r="P2709" t="str">
            <v>FN5719N1S146803</v>
          </cell>
          <cell r="Q2709" t="str">
            <v>สภาพดี</v>
          </cell>
        </row>
        <row r="2710">
          <cell r="A2710">
            <v>60062210</v>
          </cell>
          <cell r="B2710">
            <v>2709</v>
          </cell>
          <cell r="C2710" t="str">
            <v>CS01/1</v>
          </cell>
          <cell r="D2710" t="str">
            <v>SPCC-SD</v>
          </cell>
          <cell r="E2710" t="str">
            <v>AF1</v>
          </cell>
          <cell r="F2710">
            <v>0.8</v>
          </cell>
          <cell r="G2710">
            <v>88</v>
          </cell>
          <cell r="H2710" t="str">
            <v>C</v>
          </cell>
          <cell r="I2710" t="str">
            <v>A</v>
          </cell>
          <cell r="J2710" t="str">
            <v>STORE</v>
          </cell>
          <cell r="K2710">
            <v>1</v>
          </cell>
          <cell r="L2710">
            <v>330</v>
          </cell>
          <cell r="M2710">
            <v>60062210</v>
          </cell>
          <cell r="N2710">
            <v>38288</v>
          </cell>
          <cell r="P2710" t="str">
            <v>FN4A28D1S433201</v>
          </cell>
          <cell r="Q2710" t="str">
            <v>สายรัดเป็นสนิม</v>
          </cell>
        </row>
        <row r="2711">
          <cell r="A2711">
            <v>60048238</v>
          </cell>
          <cell r="B2711">
            <v>2710</v>
          </cell>
          <cell r="C2711" t="str">
            <v>CS01/1</v>
          </cell>
          <cell r="D2711" t="str">
            <v>SPCC-SD</v>
          </cell>
          <cell r="E2711" t="str">
            <v>AF1</v>
          </cell>
          <cell r="F2711">
            <v>0.8</v>
          </cell>
          <cell r="G2711">
            <v>443</v>
          </cell>
          <cell r="H2711" t="str">
            <v>C</v>
          </cell>
          <cell r="I2711" t="str">
            <v>A</v>
          </cell>
          <cell r="J2711" t="str">
            <v>STORE</v>
          </cell>
          <cell r="K2711">
            <v>1</v>
          </cell>
          <cell r="L2711">
            <v>793</v>
          </cell>
          <cell r="M2711">
            <v>60048238</v>
          </cell>
          <cell r="N2711">
            <v>38708</v>
          </cell>
          <cell r="O2711" t="str">
            <v>125B24SUD019</v>
          </cell>
          <cell r="P2711" t="str">
            <v>FN6728N1S234801</v>
          </cell>
          <cell r="Q2711" t="str">
            <v>สภาพดี</v>
          </cell>
        </row>
        <row r="2712">
          <cell r="A2712">
            <v>60012268</v>
          </cell>
          <cell r="B2712">
            <v>2711</v>
          </cell>
          <cell r="C2712" t="str">
            <v>CS01/1</v>
          </cell>
          <cell r="D2712" t="str">
            <v>SPCC-SD</v>
          </cell>
          <cell r="E2712" t="str">
            <v>AF1</v>
          </cell>
          <cell r="F2712">
            <v>1</v>
          </cell>
          <cell r="G2712">
            <v>45</v>
          </cell>
          <cell r="H2712" t="str">
            <v>C</v>
          </cell>
          <cell r="I2712" t="str">
            <v>A</v>
          </cell>
          <cell r="J2712" t="str">
            <v>SARATHON</v>
          </cell>
          <cell r="K2712">
            <v>1</v>
          </cell>
          <cell r="L2712">
            <v>340</v>
          </cell>
          <cell r="M2712">
            <v>60012268</v>
          </cell>
          <cell r="N2712">
            <v>38063</v>
          </cell>
          <cell r="P2712" t="str">
            <v>FN4317DZZ0317</v>
          </cell>
          <cell r="Q2712" t="str">
            <v>สายรัดเป็นสนิม กระดาษฉีกขาด</v>
          </cell>
        </row>
        <row r="2713">
          <cell r="A2713">
            <v>60013436</v>
          </cell>
          <cell r="B2713">
            <v>2712</v>
          </cell>
          <cell r="C2713" t="str">
            <v>CS01/1</v>
          </cell>
          <cell r="D2713" t="str">
            <v>SPCC-SD</v>
          </cell>
          <cell r="E2713" t="str">
            <v>AF1</v>
          </cell>
          <cell r="F2713">
            <v>1</v>
          </cell>
          <cell r="G2713">
            <v>45</v>
          </cell>
          <cell r="H2713" t="str">
            <v>C</v>
          </cell>
          <cell r="I2713" t="str">
            <v>A</v>
          </cell>
          <cell r="J2713" t="str">
            <v>SARATHON</v>
          </cell>
          <cell r="K2713">
            <v>1</v>
          </cell>
          <cell r="L2713">
            <v>300</v>
          </cell>
          <cell r="M2713">
            <v>60013436</v>
          </cell>
          <cell r="N2713">
            <v>38829</v>
          </cell>
          <cell r="P2713" t="str">
            <v>FN4422DZZ042201</v>
          </cell>
          <cell r="Q2713" t="str">
            <v>สายรัดเป็นสนิม</v>
          </cell>
        </row>
        <row r="2714">
          <cell r="A2714">
            <v>60022833</v>
          </cell>
          <cell r="B2714">
            <v>2713</v>
          </cell>
          <cell r="C2714" t="str">
            <v>CS01/1</v>
          </cell>
          <cell r="D2714" t="str">
            <v>SPCC-SD</v>
          </cell>
          <cell r="E2714" t="str">
            <v>AF1</v>
          </cell>
          <cell r="F2714">
            <v>1.2</v>
          </cell>
          <cell r="G2714">
            <v>82</v>
          </cell>
          <cell r="H2714" t="str">
            <v>C</v>
          </cell>
          <cell r="I2714" t="str">
            <v>A</v>
          </cell>
          <cell r="J2714" t="str">
            <v>FILE COMPONANCE</v>
          </cell>
          <cell r="K2714">
            <v>1</v>
          </cell>
          <cell r="L2714">
            <v>250</v>
          </cell>
          <cell r="M2714">
            <v>60022833</v>
          </cell>
          <cell r="N2714">
            <v>38297</v>
          </cell>
          <cell r="P2714" t="str">
            <v>FN4B06D1S458601</v>
          </cell>
          <cell r="Q2714" t="str">
            <v>เป็นสนิม ขอบบุบ</v>
          </cell>
        </row>
        <row r="2715">
          <cell r="A2715">
            <v>60054666</v>
          </cell>
          <cell r="B2715">
            <v>2714</v>
          </cell>
          <cell r="C2715" t="str">
            <v>CS01/1</v>
          </cell>
          <cell r="D2715" t="str">
            <v>SPCC-SD</v>
          </cell>
          <cell r="E2715" t="str">
            <v>AF1</v>
          </cell>
          <cell r="F2715">
            <v>1.6</v>
          </cell>
          <cell r="G2715">
            <v>22</v>
          </cell>
          <cell r="H2715" t="str">
            <v>C</v>
          </cell>
          <cell r="I2715" t="str">
            <v>A</v>
          </cell>
          <cell r="J2715" t="str">
            <v>STORE</v>
          </cell>
          <cell r="K2715">
            <v>1</v>
          </cell>
          <cell r="L2715">
            <v>196</v>
          </cell>
          <cell r="M2715">
            <v>60054666</v>
          </cell>
          <cell r="N2715">
            <v>38792</v>
          </cell>
          <cell r="P2715" t="str">
            <v>FN6316D6E817801</v>
          </cell>
          <cell r="Q2715" t="str">
            <v>กระดาษฉีกกขาด</v>
          </cell>
        </row>
        <row r="2716">
          <cell r="A2716">
            <v>60031148</v>
          </cell>
          <cell r="B2716">
            <v>2715</v>
          </cell>
          <cell r="C2716" t="str">
            <v>CS01/1</v>
          </cell>
          <cell r="D2716" t="str">
            <v>SPCC-SD</v>
          </cell>
          <cell r="E2716" t="str">
            <v>AF1</v>
          </cell>
          <cell r="F2716">
            <v>1.6</v>
          </cell>
          <cell r="G2716">
            <v>75</v>
          </cell>
          <cell r="H2716" t="str">
            <v>C</v>
          </cell>
          <cell r="I2716" t="str">
            <v>A</v>
          </cell>
          <cell r="J2716" t="str">
            <v>STORE</v>
          </cell>
          <cell r="K2716">
            <v>1</v>
          </cell>
          <cell r="L2716">
            <v>115</v>
          </cell>
          <cell r="M2716">
            <v>60031148</v>
          </cell>
          <cell r="N2716">
            <v>38802</v>
          </cell>
          <cell r="P2716" t="str">
            <v>FN5326N1S840501</v>
          </cell>
          <cell r="Q2716" t="str">
            <v>สายรัดเป็นสนิม</v>
          </cell>
        </row>
        <row r="2717">
          <cell r="A2717">
            <v>60031155</v>
          </cell>
          <cell r="B2717">
            <v>2716</v>
          </cell>
          <cell r="C2717" t="str">
            <v>CS01/1</v>
          </cell>
          <cell r="D2717" t="str">
            <v>SPCC-SD</v>
          </cell>
          <cell r="E2717" t="str">
            <v>AF1</v>
          </cell>
          <cell r="F2717">
            <v>1.6</v>
          </cell>
          <cell r="G2717">
            <v>75</v>
          </cell>
          <cell r="H2717" t="str">
            <v>C</v>
          </cell>
          <cell r="I2717" t="str">
            <v>A</v>
          </cell>
          <cell r="J2717" t="str">
            <v>STORE</v>
          </cell>
          <cell r="K2717">
            <v>1</v>
          </cell>
          <cell r="L2717">
            <v>115</v>
          </cell>
          <cell r="M2717">
            <v>60031155</v>
          </cell>
          <cell r="N2717">
            <v>38802</v>
          </cell>
          <cell r="P2717" t="str">
            <v>FN5326N1S840502</v>
          </cell>
          <cell r="Q2717" t="str">
            <v>สายรัดเป็นสนิม</v>
          </cell>
        </row>
        <row r="2718">
          <cell r="A2718">
            <v>60031162</v>
          </cell>
          <cell r="B2718">
            <v>2717</v>
          </cell>
          <cell r="C2718" t="str">
            <v>CS01/1</v>
          </cell>
          <cell r="D2718" t="str">
            <v>SPCC-SD</v>
          </cell>
          <cell r="E2718" t="str">
            <v>AF1</v>
          </cell>
          <cell r="F2718">
            <v>1.6</v>
          </cell>
          <cell r="G2718">
            <v>75</v>
          </cell>
          <cell r="H2718" t="str">
            <v>C</v>
          </cell>
          <cell r="I2718" t="str">
            <v>A</v>
          </cell>
          <cell r="J2718" t="str">
            <v>STORE</v>
          </cell>
          <cell r="K2718">
            <v>1</v>
          </cell>
          <cell r="L2718">
            <v>100</v>
          </cell>
          <cell r="M2718">
            <v>60031162</v>
          </cell>
          <cell r="N2718">
            <v>38802</v>
          </cell>
          <cell r="P2718" t="str">
            <v>FN5326N1S840503</v>
          </cell>
          <cell r="Q2718" t="str">
            <v>สายรัดเป็นสนิม</v>
          </cell>
        </row>
        <row r="2719">
          <cell r="A2719">
            <v>60036097</v>
          </cell>
          <cell r="B2719">
            <v>2718</v>
          </cell>
          <cell r="C2719" t="str">
            <v>CS01/1</v>
          </cell>
          <cell r="D2719" t="str">
            <v>SPCC-SD</v>
          </cell>
          <cell r="E2719" t="str">
            <v>AF1</v>
          </cell>
          <cell r="F2719">
            <v>1.6</v>
          </cell>
          <cell r="G2719">
            <v>90</v>
          </cell>
          <cell r="H2719" t="str">
            <v>C</v>
          </cell>
          <cell r="I2719" t="str">
            <v>A</v>
          </cell>
          <cell r="J2719" t="str">
            <v>STORE</v>
          </cell>
          <cell r="K2719">
            <v>1</v>
          </cell>
          <cell r="L2719">
            <v>110</v>
          </cell>
          <cell r="M2719">
            <v>60036097</v>
          </cell>
          <cell r="N2719">
            <v>38517</v>
          </cell>
          <cell r="P2719" t="str">
            <v>FN5614N1S051101</v>
          </cell>
          <cell r="Q2719" t="str">
            <v>ไม่มีสายรัด</v>
          </cell>
        </row>
        <row r="2720">
          <cell r="A2720">
            <v>60019041</v>
          </cell>
          <cell r="B2720">
            <v>2719</v>
          </cell>
          <cell r="C2720" t="str">
            <v>CS01/1</v>
          </cell>
          <cell r="D2720" t="str">
            <v>SPCC-SD</v>
          </cell>
          <cell r="E2720" t="str">
            <v>AF1</v>
          </cell>
          <cell r="F2720">
            <v>2</v>
          </cell>
          <cell r="G2720">
            <v>65</v>
          </cell>
          <cell r="H2720" t="str">
            <v>C</v>
          </cell>
          <cell r="I2720" t="str">
            <v>A</v>
          </cell>
          <cell r="J2720" t="str">
            <v>STORE</v>
          </cell>
          <cell r="K2720">
            <v>1</v>
          </cell>
          <cell r="L2720">
            <v>170</v>
          </cell>
          <cell r="M2720">
            <v>60019041</v>
          </cell>
          <cell r="N2720">
            <v>38233</v>
          </cell>
          <cell r="P2720" t="str">
            <v>FN4903D1S288901</v>
          </cell>
          <cell r="Q2720" t="str">
            <v>สายรัดเป็นสนิม</v>
          </cell>
        </row>
        <row r="2721">
          <cell r="A2721">
            <v>60019042</v>
          </cell>
          <cell r="B2721">
            <v>2720</v>
          </cell>
          <cell r="C2721" t="str">
            <v>CS01/1</v>
          </cell>
          <cell r="D2721" t="str">
            <v>SPCC-SD</v>
          </cell>
          <cell r="E2721" t="str">
            <v>AF1</v>
          </cell>
          <cell r="F2721">
            <v>2</v>
          </cell>
          <cell r="G2721">
            <v>65</v>
          </cell>
          <cell r="H2721" t="str">
            <v>C</v>
          </cell>
          <cell r="I2721" t="str">
            <v>A</v>
          </cell>
          <cell r="J2721" t="str">
            <v>STORE</v>
          </cell>
          <cell r="K2721">
            <v>1</v>
          </cell>
          <cell r="L2721">
            <v>170</v>
          </cell>
          <cell r="M2721">
            <v>60019042</v>
          </cell>
          <cell r="N2721">
            <v>38233</v>
          </cell>
          <cell r="P2721" t="str">
            <v>FN4903D1S288902</v>
          </cell>
          <cell r="Q2721" t="str">
            <v>สายรัดเป็นสนิม</v>
          </cell>
        </row>
        <row r="2722">
          <cell r="A2722">
            <v>60019043</v>
          </cell>
          <cell r="B2722">
            <v>2721</v>
          </cell>
          <cell r="C2722" t="str">
            <v>CS01/1</v>
          </cell>
          <cell r="D2722" t="str">
            <v>SPCC-SD</v>
          </cell>
          <cell r="E2722" t="str">
            <v>AF1</v>
          </cell>
          <cell r="F2722">
            <v>2</v>
          </cell>
          <cell r="G2722">
            <v>65</v>
          </cell>
          <cell r="H2722" t="str">
            <v>C</v>
          </cell>
          <cell r="I2722" t="str">
            <v>A</v>
          </cell>
          <cell r="J2722" t="str">
            <v>STORE</v>
          </cell>
          <cell r="K2722">
            <v>1</v>
          </cell>
          <cell r="L2722">
            <v>170</v>
          </cell>
          <cell r="M2722">
            <v>60019043</v>
          </cell>
          <cell r="N2722">
            <v>38233</v>
          </cell>
          <cell r="P2722" t="str">
            <v>FN4903D1S288903</v>
          </cell>
          <cell r="Q2722" t="str">
            <v>สายรัดเป็นสนิม</v>
          </cell>
        </row>
        <row r="2723">
          <cell r="A2723">
            <v>60019044</v>
          </cell>
          <cell r="B2723">
            <v>2722</v>
          </cell>
          <cell r="C2723" t="str">
            <v>CS01/1</v>
          </cell>
          <cell r="D2723" t="str">
            <v>SPCC-SD</v>
          </cell>
          <cell r="E2723" t="str">
            <v>AF1</v>
          </cell>
          <cell r="F2723">
            <v>2</v>
          </cell>
          <cell r="G2723">
            <v>65</v>
          </cell>
          <cell r="H2723" t="str">
            <v>C</v>
          </cell>
          <cell r="I2723" t="str">
            <v>A</v>
          </cell>
          <cell r="J2723" t="str">
            <v>STORE</v>
          </cell>
          <cell r="K2723">
            <v>1</v>
          </cell>
          <cell r="L2723">
            <v>170</v>
          </cell>
          <cell r="M2723">
            <v>60019044</v>
          </cell>
          <cell r="N2723">
            <v>38233</v>
          </cell>
          <cell r="P2723" t="str">
            <v>FN4903D1S288904</v>
          </cell>
          <cell r="Q2723" t="str">
            <v>สายรัดเป็นสนิม</v>
          </cell>
        </row>
        <row r="2724">
          <cell r="A2724">
            <v>60019045</v>
          </cell>
          <cell r="B2724">
            <v>2723</v>
          </cell>
          <cell r="C2724" t="str">
            <v>CS01/1</v>
          </cell>
          <cell r="D2724" t="str">
            <v>SPCC-SD</v>
          </cell>
          <cell r="E2724" t="str">
            <v>AF1</v>
          </cell>
          <cell r="F2724">
            <v>2</v>
          </cell>
          <cell r="G2724">
            <v>65</v>
          </cell>
          <cell r="H2724" t="str">
            <v>C</v>
          </cell>
          <cell r="I2724" t="str">
            <v>A</v>
          </cell>
          <cell r="J2724" t="str">
            <v>STORE</v>
          </cell>
          <cell r="K2724">
            <v>1</v>
          </cell>
          <cell r="L2724">
            <v>170</v>
          </cell>
          <cell r="M2724">
            <v>60019045</v>
          </cell>
          <cell r="N2724">
            <v>38233</v>
          </cell>
          <cell r="P2724" t="str">
            <v>FN4903D1S288905</v>
          </cell>
          <cell r="Q2724" t="str">
            <v>สายรัดเป็นสนิม</v>
          </cell>
        </row>
        <row r="2725">
          <cell r="A2725">
            <v>60011820</v>
          </cell>
          <cell r="B2725">
            <v>2724</v>
          </cell>
          <cell r="C2725" t="str">
            <v>CS01/1</v>
          </cell>
          <cell r="D2725" t="str">
            <v>SPCC-SD</v>
          </cell>
          <cell r="E2725" t="str">
            <v>AF1</v>
          </cell>
          <cell r="F2725">
            <v>2.2999999999999998</v>
          </cell>
          <cell r="G2725">
            <v>42</v>
          </cell>
          <cell r="H2725" t="str">
            <v>C</v>
          </cell>
          <cell r="I2725" t="str">
            <v>A</v>
          </cell>
          <cell r="J2725" t="str">
            <v>T.S.A</v>
          </cell>
          <cell r="K2725">
            <v>1</v>
          </cell>
          <cell r="L2725">
            <v>145</v>
          </cell>
          <cell r="M2725">
            <v>60011820</v>
          </cell>
          <cell r="N2725">
            <v>38051</v>
          </cell>
          <cell r="P2725" t="str">
            <v>FN4305DZZ030501</v>
          </cell>
          <cell r="Q2725" t="str">
            <v>สายรัดเป็นสนิม</v>
          </cell>
        </row>
        <row r="2726">
          <cell r="A2726">
            <v>60012478</v>
          </cell>
          <cell r="B2726">
            <v>2725</v>
          </cell>
          <cell r="C2726" t="str">
            <v>CS01/1</v>
          </cell>
          <cell r="D2726" t="str">
            <v>SPCC-SD</v>
          </cell>
          <cell r="E2726" t="str">
            <v>AF1</v>
          </cell>
          <cell r="F2726">
            <v>2.2999999999999998</v>
          </cell>
          <cell r="G2726">
            <v>42</v>
          </cell>
          <cell r="H2726" t="str">
            <v>C</v>
          </cell>
          <cell r="I2726" t="str">
            <v>A</v>
          </cell>
          <cell r="J2726" t="str">
            <v>T.S.A</v>
          </cell>
          <cell r="K2726">
            <v>1</v>
          </cell>
          <cell r="L2726">
            <v>170</v>
          </cell>
          <cell r="M2726">
            <v>60012478</v>
          </cell>
          <cell r="N2726">
            <v>38067</v>
          </cell>
          <cell r="P2726" t="str">
            <v>FN4321DZZ032101</v>
          </cell>
          <cell r="Q2726" t="str">
            <v>สายรัดเป็นสนิม</v>
          </cell>
        </row>
        <row r="2727">
          <cell r="A2727">
            <v>60012479</v>
          </cell>
          <cell r="B2727">
            <v>2726</v>
          </cell>
          <cell r="C2727" t="str">
            <v>CS01/1</v>
          </cell>
          <cell r="D2727" t="str">
            <v>SPCC-SD</v>
          </cell>
          <cell r="E2727" t="str">
            <v>AF1</v>
          </cell>
          <cell r="F2727">
            <v>2.2999999999999998</v>
          </cell>
          <cell r="G2727">
            <v>42</v>
          </cell>
          <cell r="H2727" t="str">
            <v>C</v>
          </cell>
          <cell r="I2727" t="str">
            <v>A</v>
          </cell>
          <cell r="J2727" t="str">
            <v>T.S.A</v>
          </cell>
          <cell r="K2727">
            <v>1</v>
          </cell>
          <cell r="L2727">
            <v>170</v>
          </cell>
          <cell r="M2727">
            <v>60012479</v>
          </cell>
          <cell r="N2727">
            <v>38067</v>
          </cell>
          <cell r="P2727" t="str">
            <v>FN4321DZZ032102</v>
          </cell>
          <cell r="Q2727" t="str">
            <v>สายรัดเป็นสนิม</v>
          </cell>
        </row>
        <row r="2728">
          <cell r="A2728">
            <v>60012480</v>
          </cell>
          <cell r="B2728">
            <v>2727</v>
          </cell>
          <cell r="C2728" t="str">
            <v>CS01/1</v>
          </cell>
          <cell r="D2728" t="str">
            <v>SPCC-SD</v>
          </cell>
          <cell r="E2728" t="str">
            <v>AF1</v>
          </cell>
          <cell r="F2728">
            <v>2.2999999999999998</v>
          </cell>
          <cell r="G2728">
            <v>42</v>
          </cell>
          <cell r="H2728" t="str">
            <v>C</v>
          </cell>
          <cell r="I2728" t="str">
            <v>A</v>
          </cell>
          <cell r="J2728" t="str">
            <v>T.S.A</v>
          </cell>
          <cell r="K2728">
            <v>1</v>
          </cell>
          <cell r="L2728">
            <v>170</v>
          </cell>
          <cell r="M2728">
            <v>60012480</v>
          </cell>
          <cell r="N2728">
            <v>38067</v>
          </cell>
          <cell r="P2728" t="str">
            <v>FN4321DZZ032103</v>
          </cell>
          <cell r="Q2728" t="str">
            <v>สายรัดเป็นสนิม</v>
          </cell>
        </row>
        <row r="2729">
          <cell r="A2729">
            <v>60012487</v>
          </cell>
          <cell r="B2729">
            <v>2728</v>
          </cell>
          <cell r="C2729" t="str">
            <v>CS01/1</v>
          </cell>
          <cell r="D2729" t="str">
            <v>SPCC-SD</v>
          </cell>
          <cell r="E2729" t="str">
            <v>AF1</v>
          </cell>
          <cell r="F2729">
            <v>2.2999999999999998</v>
          </cell>
          <cell r="G2729">
            <v>42</v>
          </cell>
          <cell r="H2729" t="str">
            <v>C</v>
          </cell>
          <cell r="I2729" t="str">
            <v>A</v>
          </cell>
          <cell r="J2729" t="str">
            <v>T.S.A</v>
          </cell>
          <cell r="K2729">
            <v>1</v>
          </cell>
          <cell r="L2729">
            <v>185</v>
          </cell>
          <cell r="M2729">
            <v>60012487</v>
          </cell>
          <cell r="N2729">
            <v>38067</v>
          </cell>
          <cell r="P2729" t="str">
            <v>FN4321DZZ032104</v>
          </cell>
          <cell r="Q2729" t="str">
            <v>สายรัดเป็นสนิม</v>
          </cell>
        </row>
        <row r="2730">
          <cell r="A2730">
            <v>60013101</v>
          </cell>
          <cell r="B2730">
            <v>2729</v>
          </cell>
          <cell r="C2730" t="str">
            <v>CS01/1</v>
          </cell>
          <cell r="D2730" t="str">
            <v>SPCC-SD</v>
          </cell>
          <cell r="E2730" t="str">
            <v>AF1</v>
          </cell>
          <cell r="F2730">
            <v>2.2999999999999998</v>
          </cell>
          <cell r="G2730">
            <v>42</v>
          </cell>
          <cell r="H2730" t="str">
            <v>C</v>
          </cell>
          <cell r="I2730" t="str">
            <v>A</v>
          </cell>
          <cell r="J2730" t="str">
            <v>T.S.A</v>
          </cell>
          <cell r="K2730">
            <v>1</v>
          </cell>
          <cell r="L2730">
            <v>230</v>
          </cell>
          <cell r="M2730">
            <v>60013101</v>
          </cell>
          <cell r="N2730">
            <v>38080</v>
          </cell>
          <cell r="P2730" t="str">
            <v>FN4403DZZ040301</v>
          </cell>
          <cell r="Q2730" t="str">
            <v>สายรัดเป็นสนิม</v>
          </cell>
        </row>
        <row r="2731">
          <cell r="A2731">
            <v>60019046</v>
          </cell>
          <cell r="B2731">
            <v>2730</v>
          </cell>
          <cell r="C2731" t="str">
            <v>CS01/1</v>
          </cell>
          <cell r="D2731" t="str">
            <v>SPCC-SD</v>
          </cell>
          <cell r="E2731" t="str">
            <v>AF1</v>
          </cell>
          <cell r="F2731">
            <v>2</v>
          </cell>
          <cell r="G2731">
            <v>65</v>
          </cell>
          <cell r="H2731" t="str">
            <v>C</v>
          </cell>
          <cell r="I2731" t="str">
            <v>A</v>
          </cell>
          <cell r="J2731" t="str">
            <v>STORE</v>
          </cell>
          <cell r="K2731">
            <v>1</v>
          </cell>
          <cell r="L2731">
            <v>170</v>
          </cell>
          <cell r="M2731">
            <v>60019046</v>
          </cell>
          <cell r="N2731">
            <v>38233</v>
          </cell>
          <cell r="P2731" t="str">
            <v>FN4903D1S288906</v>
          </cell>
          <cell r="Q2731" t="str">
            <v>สายรัดเป็นสนิม</v>
          </cell>
        </row>
        <row r="2732">
          <cell r="A2732">
            <v>60019047</v>
          </cell>
          <cell r="B2732">
            <v>2731</v>
          </cell>
          <cell r="C2732" t="str">
            <v>CS01/1</v>
          </cell>
          <cell r="D2732" t="str">
            <v>SPCC-SD</v>
          </cell>
          <cell r="E2732" t="str">
            <v>AF1</v>
          </cell>
          <cell r="F2732">
            <v>2</v>
          </cell>
          <cell r="G2732">
            <v>65</v>
          </cell>
          <cell r="H2732" t="str">
            <v>C</v>
          </cell>
          <cell r="I2732" t="str">
            <v>A</v>
          </cell>
          <cell r="J2732" t="str">
            <v>STORE</v>
          </cell>
          <cell r="K2732">
            <v>1</v>
          </cell>
          <cell r="L2732">
            <v>170</v>
          </cell>
          <cell r="M2732">
            <v>60019047</v>
          </cell>
          <cell r="N2732">
            <v>38233</v>
          </cell>
          <cell r="P2732" t="str">
            <v>FN4903D1S288907</v>
          </cell>
          <cell r="Q2732" t="str">
            <v>สายรัดเป็นสนิม</v>
          </cell>
        </row>
        <row r="2733">
          <cell r="A2733">
            <v>60019048</v>
          </cell>
          <cell r="B2733">
            <v>2732</v>
          </cell>
          <cell r="C2733" t="str">
            <v>CS01/1</v>
          </cell>
          <cell r="D2733" t="str">
            <v>SPCC-SD</v>
          </cell>
          <cell r="E2733" t="str">
            <v>AF1</v>
          </cell>
          <cell r="F2733">
            <v>2</v>
          </cell>
          <cell r="G2733">
            <v>65</v>
          </cell>
          <cell r="H2733" t="str">
            <v>C</v>
          </cell>
          <cell r="I2733" t="str">
            <v>A</v>
          </cell>
          <cell r="J2733" t="str">
            <v>STORE</v>
          </cell>
          <cell r="K2733">
            <v>1</v>
          </cell>
          <cell r="L2733">
            <v>170</v>
          </cell>
          <cell r="M2733">
            <v>60019048</v>
          </cell>
          <cell r="N2733">
            <v>38233</v>
          </cell>
          <cell r="P2733" t="str">
            <v>FN4903D1S288908</v>
          </cell>
          <cell r="Q2733" t="str">
            <v>สายรัดเป็นสนิม</v>
          </cell>
        </row>
        <row r="2734">
          <cell r="A2734">
            <v>60019049</v>
          </cell>
          <cell r="B2734">
            <v>2733</v>
          </cell>
          <cell r="C2734" t="str">
            <v>CS01/1</v>
          </cell>
          <cell r="D2734" t="str">
            <v>SPCC-SD</v>
          </cell>
          <cell r="E2734" t="str">
            <v>AF1</v>
          </cell>
          <cell r="F2734">
            <v>2</v>
          </cell>
          <cell r="G2734">
            <v>65</v>
          </cell>
          <cell r="H2734" t="str">
            <v>C</v>
          </cell>
          <cell r="I2734" t="str">
            <v>A</v>
          </cell>
          <cell r="J2734" t="str">
            <v>STORE</v>
          </cell>
          <cell r="K2734">
            <v>1</v>
          </cell>
          <cell r="L2734">
            <v>170</v>
          </cell>
          <cell r="M2734">
            <v>60019049</v>
          </cell>
          <cell r="N2734">
            <v>38233</v>
          </cell>
          <cell r="P2734" t="str">
            <v>FN4903D1S288909</v>
          </cell>
          <cell r="Q2734" t="str">
            <v>สายรัดเป็นสนิม</v>
          </cell>
        </row>
        <row r="2735">
          <cell r="A2735">
            <v>60019050</v>
          </cell>
          <cell r="B2735">
            <v>2734</v>
          </cell>
          <cell r="C2735" t="str">
            <v>CS01/1</v>
          </cell>
          <cell r="D2735" t="str">
            <v>SPCC-SD</v>
          </cell>
          <cell r="E2735" t="str">
            <v>AF1</v>
          </cell>
          <cell r="F2735">
            <v>2</v>
          </cell>
          <cell r="G2735">
            <v>65</v>
          </cell>
          <cell r="H2735" t="str">
            <v>C</v>
          </cell>
          <cell r="I2735" t="str">
            <v>A</v>
          </cell>
          <cell r="J2735" t="str">
            <v>STORE</v>
          </cell>
          <cell r="K2735">
            <v>1</v>
          </cell>
          <cell r="L2735">
            <v>170</v>
          </cell>
          <cell r="M2735">
            <v>60019050</v>
          </cell>
          <cell r="N2735">
            <v>38233</v>
          </cell>
          <cell r="P2735" t="str">
            <v>FN4903D1S288910</v>
          </cell>
          <cell r="Q2735" t="str">
            <v>สายรัดเป็นสนิม กระดาษฉีกขาด</v>
          </cell>
        </row>
        <row r="2736">
          <cell r="A2736">
            <v>60019051</v>
          </cell>
          <cell r="B2736">
            <v>2735</v>
          </cell>
          <cell r="C2736" t="str">
            <v>CS01/1</v>
          </cell>
          <cell r="D2736" t="str">
            <v>SPCC-SD</v>
          </cell>
          <cell r="E2736" t="str">
            <v>AF1</v>
          </cell>
          <cell r="F2736">
            <v>2</v>
          </cell>
          <cell r="G2736">
            <v>65</v>
          </cell>
          <cell r="H2736" t="str">
            <v>C</v>
          </cell>
          <cell r="I2736" t="str">
            <v>A</v>
          </cell>
          <cell r="J2736" t="str">
            <v>STORE</v>
          </cell>
          <cell r="K2736">
            <v>1</v>
          </cell>
          <cell r="L2736">
            <v>170</v>
          </cell>
          <cell r="M2736">
            <v>60019051</v>
          </cell>
          <cell r="N2736">
            <v>38233</v>
          </cell>
          <cell r="P2736" t="str">
            <v>FN4903D1S288911</v>
          </cell>
          <cell r="Q2736" t="str">
            <v>สายรัดเป็นสนิม</v>
          </cell>
        </row>
        <row r="2737">
          <cell r="A2737">
            <v>60019052</v>
          </cell>
          <cell r="B2737">
            <v>2736</v>
          </cell>
          <cell r="C2737" t="str">
            <v>CS01/1</v>
          </cell>
          <cell r="D2737" t="str">
            <v>SPCC-SD</v>
          </cell>
          <cell r="E2737" t="str">
            <v>AF1</v>
          </cell>
          <cell r="F2737">
            <v>2</v>
          </cell>
          <cell r="G2737">
            <v>65</v>
          </cell>
          <cell r="H2737" t="str">
            <v>C</v>
          </cell>
          <cell r="I2737" t="str">
            <v>A</v>
          </cell>
          <cell r="J2737" t="str">
            <v>STORE</v>
          </cell>
          <cell r="K2737">
            <v>1</v>
          </cell>
          <cell r="L2737">
            <v>170</v>
          </cell>
          <cell r="M2737">
            <v>60019052</v>
          </cell>
          <cell r="N2737">
            <v>38233</v>
          </cell>
          <cell r="P2737" t="str">
            <v>FN4903D1S288912</v>
          </cell>
          <cell r="Q2737" t="str">
            <v>สายรัดเป็นสนิม</v>
          </cell>
        </row>
        <row r="2738">
          <cell r="A2738">
            <v>60019053</v>
          </cell>
          <cell r="B2738">
            <v>2737</v>
          </cell>
          <cell r="C2738" t="str">
            <v>CS01/1</v>
          </cell>
          <cell r="D2738" t="str">
            <v>SPCC-SD</v>
          </cell>
          <cell r="E2738" t="str">
            <v>AF1</v>
          </cell>
          <cell r="F2738">
            <v>2</v>
          </cell>
          <cell r="G2738">
            <v>65</v>
          </cell>
          <cell r="H2738" t="str">
            <v>C</v>
          </cell>
          <cell r="I2738" t="str">
            <v>A</v>
          </cell>
          <cell r="J2738" t="str">
            <v>STORE</v>
          </cell>
          <cell r="K2738">
            <v>1</v>
          </cell>
          <cell r="L2738">
            <v>170</v>
          </cell>
          <cell r="M2738">
            <v>60019053</v>
          </cell>
          <cell r="N2738">
            <v>38233</v>
          </cell>
          <cell r="P2738" t="str">
            <v>FN4903D1S288913</v>
          </cell>
          <cell r="Q2738" t="str">
            <v>สายรัดเป็นสนิม</v>
          </cell>
        </row>
        <row r="2739">
          <cell r="A2739">
            <v>60019054</v>
          </cell>
          <cell r="B2739">
            <v>2738</v>
          </cell>
          <cell r="C2739" t="str">
            <v>CS01/1</v>
          </cell>
          <cell r="D2739" t="str">
            <v>SPCC-SD</v>
          </cell>
          <cell r="E2739" t="str">
            <v>AF1</v>
          </cell>
          <cell r="F2739">
            <v>2</v>
          </cell>
          <cell r="G2739">
            <v>65</v>
          </cell>
          <cell r="H2739" t="str">
            <v>C</v>
          </cell>
          <cell r="I2739" t="str">
            <v>A</v>
          </cell>
          <cell r="J2739" t="str">
            <v>STORE</v>
          </cell>
          <cell r="K2739">
            <v>1</v>
          </cell>
          <cell r="L2739">
            <v>170</v>
          </cell>
          <cell r="M2739">
            <v>60019054</v>
          </cell>
          <cell r="N2739">
            <v>38233</v>
          </cell>
          <cell r="P2739" t="str">
            <v>FN4903D1S288914</v>
          </cell>
          <cell r="Q2739" t="str">
            <v>สายรัดเป็นสนิม</v>
          </cell>
        </row>
        <row r="2740">
          <cell r="A2740">
            <v>60019055</v>
          </cell>
          <cell r="B2740">
            <v>2739</v>
          </cell>
          <cell r="C2740" t="str">
            <v>CS01/1</v>
          </cell>
          <cell r="D2740" t="str">
            <v>SPCC-SD</v>
          </cell>
          <cell r="E2740" t="str">
            <v>AF1</v>
          </cell>
          <cell r="F2740">
            <v>2</v>
          </cell>
          <cell r="G2740">
            <v>65</v>
          </cell>
          <cell r="H2740" t="str">
            <v>C</v>
          </cell>
          <cell r="I2740" t="str">
            <v>A</v>
          </cell>
          <cell r="J2740" t="str">
            <v>STORE</v>
          </cell>
          <cell r="K2740">
            <v>1</v>
          </cell>
          <cell r="L2740">
            <v>170</v>
          </cell>
          <cell r="M2740">
            <v>60019055</v>
          </cell>
          <cell r="N2740">
            <v>38233</v>
          </cell>
          <cell r="P2740" t="str">
            <v>FN4903D1S288915</v>
          </cell>
          <cell r="Q2740" t="str">
            <v>สายรัดเป็นสนิม</v>
          </cell>
        </row>
        <row r="2741">
          <cell r="A2741">
            <v>60019056</v>
          </cell>
          <cell r="B2741">
            <v>2740</v>
          </cell>
          <cell r="C2741" t="str">
            <v>CS01/1</v>
          </cell>
          <cell r="D2741" t="str">
            <v>SPCC-SD</v>
          </cell>
          <cell r="E2741" t="str">
            <v>AF1</v>
          </cell>
          <cell r="F2741">
            <v>2</v>
          </cell>
          <cell r="G2741">
            <v>65</v>
          </cell>
          <cell r="H2741" t="str">
            <v>C</v>
          </cell>
          <cell r="I2741" t="str">
            <v>A</v>
          </cell>
          <cell r="J2741" t="str">
            <v>STORE</v>
          </cell>
          <cell r="K2741">
            <v>1</v>
          </cell>
          <cell r="L2741">
            <v>170</v>
          </cell>
          <cell r="M2741">
            <v>60019056</v>
          </cell>
          <cell r="N2741">
            <v>38233</v>
          </cell>
          <cell r="P2741" t="str">
            <v>FN4903D1S288916</v>
          </cell>
          <cell r="Q2741" t="str">
            <v>สายรัดเป็นสนิม</v>
          </cell>
        </row>
        <row r="2742">
          <cell r="A2742">
            <v>60019057</v>
          </cell>
          <cell r="B2742">
            <v>2741</v>
          </cell>
          <cell r="C2742" t="str">
            <v>CS01/1</v>
          </cell>
          <cell r="D2742" t="str">
            <v>SPCC-SD</v>
          </cell>
          <cell r="E2742" t="str">
            <v>AF1</v>
          </cell>
          <cell r="F2742">
            <v>2</v>
          </cell>
          <cell r="G2742">
            <v>65</v>
          </cell>
          <cell r="H2742" t="str">
            <v>C</v>
          </cell>
          <cell r="I2742" t="str">
            <v>A</v>
          </cell>
          <cell r="J2742" t="str">
            <v>STORE</v>
          </cell>
          <cell r="K2742">
            <v>1</v>
          </cell>
          <cell r="L2742">
            <v>170</v>
          </cell>
          <cell r="M2742">
            <v>60019057</v>
          </cell>
          <cell r="N2742">
            <v>38233</v>
          </cell>
          <cell r="P2742" t="str">
            <v>FN4903D1S288917</v>
          </cell>
          <cell r="Q2742" t="str">
            <v>สายรัดเป็นสนิม</v>
          </cell>
        </row>
        <row r="2743">
          <cell r="A2743">
            <v>60031375</v>
          </cell>
          <cell r="B2743">
            <v>2742</v>
          </cell>
          <cell r="C2743" t="str">
            <v>CS01/1</v>
          </cell>
          <cell r="D2743" t="str">
            <v>SPCC-SD</v>
          </cell>
          <cell r="E2743" t="str">
            <v>AF1</v>
          </cell>
          <cell r="F2743">
            <v>3</v>
          </cell>
          <cell r="G2743">
            <v>33</v>
          </cell>
          <cell r="H2743" t="str">
            <v>C</v>
          </cell>
          <cell r="I2743" t="str">
            <v>A</v>
          </cell>
          <cell r="J2743" t="str">
            <v>STORE</v>
          </cell>
          <cell r="K2743">
            <v>1</v>
          </cell>
          <cell r="L2743">
            <v>112</v>
          </cell>
          <cell r="M2743">
            <v>60031375</v>
          </cell>
          <cell r="N2743">
            <v>38442</v>
          </cell>
          <cell r="P2743" t="str">
            <v>FN5331D1S563201</v>
          </cell>
          <cell r="Q2743" t="str">
            <v>สายรัดเป็นสนิม</v>
          </cell>
        </row>
        <row r="2744">
          <cell r="A2744">
            <v>60031377</v>
          </cell>
          <cell r="B2744">
            <v>2743</v>
          </cell>
          <cell r="C2744" t="str">
            <v>CS01/1</v>
          </cell>
          <cell r="D2744" t="str">
            <v>SPCC-SD</v>
          </cell>
          <cell r="E2744" t="str">
            <v>AF1</v>
          </cell>
          <cell r="F2744">
            <v>3</v>
          </cell>
          <cell r="G2744">
            <v>33</v>
          </cell>
          <cell r="H2744" t="str">
            <v>C</v>
          </cell>
          <cell r="I2744" t="str">
            <v>A</v>
          </cell>
          <cell r="J2744" t="str">
            <v>STORE</v>
          </cell>
          <cell r="K2744">
            <v>1</v>
          </cell>
          <cell r="L2744">
            <v>120</v>
          </cell>
          <cell r="M2744">
            <v>60031377</v>
          </cell>
          <cell r="N2744">
            <v>38442</v>
          </cell>
          <cell r="P2744" t="str">
            <v>FN5331D1S563202</v>
          </cell>
          <cell r="Q2744" t="str">
            <v>สายรัดเป็นสนิม</v>
          </cell>
        </row>
        <row r="2745">
          <cell r="A2745">
            <v>60031379</v>
          </cell>
          <cell r="B2745">
            <v>2744</v>
          </cell>
          <cell r="C2745" t="str">
            <v>CS01/1</v>
          </cell>
          <cell r="D2745" t="str">
            <v>SPCC-SD</v>
          </cell>
          <cell r="E2745" t="str">
            <v>AF1</v>
          </cell>
          <cell r="F2745">
            <v>3</v>
          </cell>
          <cell r="G2745">
            <v>47</v>
          </cell>
          <cell r="H2745" t="str">
            <v>C</v>
          </cell>
          <cell r="I2745" t="str">
            <v>A</v>
          </cell>
          <cell r="J2745" t="str">
            <v>STORE</v>
          </cell>
          <cell r="K2745">
            <v>1</v>
          </cell>
          <cell r="L2745">
            <v>110</v>
          </cell>
          <cell r="M2745">
            <v>60031379</v>
          </cell>
          <cell r="N2745">
            <v>38442</v>
          </cell>
          <cell r="P2745" t="str">
            <v>FN5331D1S563201</v>
          </cell>
          <cell r="Q2745" t="str">
            <v>สายรัดเป็นสนิม</v>
          </cell>
        </row>
        <row r="2746">
          <cell r="A2746">
            <v>60030371</v>
          </cell>
          <cell r="B2746">
            <v>2745</v>
          </cell>
          <cell r="C2746" t="str">
            <v>CS01/1</v>
          </cell>
          <cell r="D2746" t="str">
            <v>SPCC-SD</v>
          </cell>
          <cell r="E2746" t="str">
            <v>AF1</v>
          </cell>
          <cell r="F2746">
            <v>3</v>
          </cell>
          <cell r="G2746">
            <v>67</v>
          </cell>
          <cell r="H2746" t="str">
            <v>C</v>
          </cell>
          <cell r="I2746" t="str">
            <v>A</v>
          </cell>
          <cell r="J2746" t="str">
            <v>STORE</v>
          </cell>
          <cell r="K2746">
            <v>1</v>
          </cell>
          <cell r="L2746">
            <v>285</v>
          </cell>
          <cell r="M2746">
            <v>60030371</v>
          </cell>
          <cell r="N2746">
            <v>38431</v>
          </cell>
          <cell r="P2746" t="str">
            <v>FN5320N1S563301</v>
          </cell>
          <cell r="Q2746" t="str">
            <v>สายรัดเป็นสนิม</v>
          </cell>
        </row>
        <row r="2747">
          <cell r="A2747">
            <v>60031381</v>
          </cell>
          <cell r="B2747">
            <v>2746</v>
          </cell>
          <cell r="C2747" t="str">
            <v>CS01/1</v>
          </cell>
          <cell r="D2747" t="str">
            <v>SPCC-SD</v>
          </cell>
          <cell r="E2747" t="str">
            <v>AF1</v>
          </cell>
          <cell r="F2747">
            <v>3</v>
          </cell>
          <cell r="G2747">
            <v>67</v>
          </cell>
          <cell r="H2747" t="str">
            <v>C</v>
          </cell>
          <cell r="I2747" t="str">
            <v>A</v>
          </cell>
          <cell r="J2747" t="str">
            <v>STORE</v>
          </cell>
          <cell r="K2747">
            <v>1</v>
          </cell>
          <cell r="L2747">
            <v>251</v>
          </cell>
          <cell r="M2747">
            <v>60031381</v>
          </cell>
          <cell r="N2747">
            <v>38442</v>
          </cell>
          <cell r="P2747" t="str">
            <v>FN5331D1S563201</v>
          </cell>
          <cell r="Q2747" t="str">
            <v>สายรัดเป็นสนิม</v>
          </cell>
        </row>
        <row r="2748">
          <cell r="A2748">
            <v>60031383</v>
          </cell>
          <cell r="B2748">
            <v>2747</v>
          </cell>
          <cell r="C2748" t="str">
            <v>CS01/1</v>
          </cell>
          <cell r="D2748" t="str">
            <v>SPCC-SD</v>
          </cell>
          <cell r="E2748" t="str">
            <v>AF1</v>
          </cell>
          <cell r="F2748">
            <v>3</v>
          </cell>
          <cell r="G2748">
            <v>67</v>
          </cell>
          <cell r="H2748" t="str">
            <v>C</v>
          </cell>
          <cell r="I2748" t="str">
            <v>A</v>
          </cell>
          <cell r="J2748" t="str">
            <v>STORE</v>
          </cell>
          <cell r="K2748">
            <v>1</v>
          </cell>
          <cell r="L2748">
            <v>250</v>
          </cell>
          <cell r="M2748">
            <v>60031383</v>
          </cell>
          <cell r="N2748">
            <v>38442</v>
          </cell>
          <cell r="P2748" t="str">
            <v>FN5331D1S563202</v>
          </cell>
          <cell r="Q2748" t="str">
            <v>สายรัดเป็นสนิม</v>
          </cell>
        </row>
        <row r="2749">
          <cell r="A2749">
            <v>60031401</v>
          </cell>
          <cell r="B2749">
            <v>2748</v>
          </cell>
          <cell r="C2749" t="str">
            <v>CS01/1</v>
          </cell>
          <cell r="D2749" t="str">
            <v>SPCC-SD</v>
          </cell>
          <cell r="E2749" t="str">
            <v>AF1</v>
          </cell>
          <cell r="F2749">
            <v>3</v>
          </cell>
          <cell r="G2749">
            <v>67</v>
          </cell>
          <cell r="H2749" t="str">
            <v>C</v>
          </cell>
          <cell r="I2749" t="str">
            <v>A</v>
          </cell>
          <cell r="J2749" t="str">
            <v>STORE</v>
          </cell>
          <cell r="K2749">
            <v>1</v>
          </cell>
          <cell r="L2749">
            <v>197</v>
          </cell>
          <cell r="M2749">
            <v>60031401</v>
          </cell>
          <cell r="N2749">
            <v>38442</v>
          </cell>
          <cell r="P2749" t="str">
            <v>FN5331D1S563203</v>
          </cell>
          <cell r="Q2749" t="str">
            <v>สายรัดเป็นสนิม</v>
          </cell>
        </row>
        <row r="2750">
          <cell r="A2750">
            <v>60030735</v>
          </cell>
          <cell r="B2750">
            <v>2749</v>
          </cell>
          <cell r="C2750" t="str">
            <v>CS01/1</v>
          </cell>
          <cell r="D2750" t="str">
            <v>SPCC-SD</v>
          </cell>
          <cell r="E2750" t="str">
            <v>AF1</v>
          </cell>
          <cell r="F2750">
            <v>3</v>
          </cell>
          <cell r="G2750">
            <v>72</v>
          </cell>
          <cell r="H2750" t="str">
            <v>C</v>
          </cell>
          <cell r="I2750" t="str">
            <v>A</v>
          </cell>
          <cell r="J2750" t="str">
            <v>STORE</v>
          </cell>
          <cell r="K2750">
            <v>1</v>
          </cell>
          <cell r="L2750">
            <v>272</v>
          </cell>
          <cell r="M2750">
            <v>60030735</v>
          </cell>
          <cell r="N2750">
            <v>38431</v>
          </cell>
          <cell r="P2750" t="str">
            <v>FN5320N1S563301</v>
          </cell>
          <cell r="Q2750" t="str">
            <v>สายรัดเป็นสนิม</v>
          </cell>
        </row>
        <row r="2751">
          <cell r="A2751">
            <v>60030739</v>
          </cell>
          <cell r="B2751">
            <v>2750</v>
          </cell>
          <cell r="C2751" t="str">
            <v>CS01/1</v>
          </cell>
          <cell r="D2751" t="str">
            <v>SPCC-SD</v>
          </cell>
          <cell r="E2751" t="str">
            <v>AF1</v>
          </cell>
          <cell r="F2751">
            <v>3</v>
          </cell>
          <cell r="G2751">
            <v>72</v>
          </cell>
          <cell r="H2751" t="str">
            <v>C</v>
          </cell>
          <cell r="I2751" t="str">
            <v>A</v>
          </cell>
          <cell r="J2751" t="str">
            <v>STORE</v>
          </cell>
          <cell r="K2751">
            <v>1</v>
          </cell>
          <cell r="L2751">
            <v>208</v>
          </cell>
          <cell r="M2751">
            <v>60030739</v>
          </cell>
          <cell r="N2751">
            <v>38431</v>
          </cell>
          <cell r="P2751" t="str">
            <v>FN5320N1S563302</v>
          </cell>
          <cell r="Q2751" t="str">
            <v>สายรัดเป็นสนิม</v>
          </cell>
        </row>
        <row r="2752">
          <cell r="A2752">
            <v>60030737</v>
          </cell>
          <cell r="B2752">
            <v>2751</v>
          </cell>
          <cell r="C2752" t="str">
            <v>CS01/1</v>
          </cell>
          <cell r="D2752" t="str">
            <v>SPCC-SD</v>
          </cell>
          <cell r="E2752" t="str">
            <v>AF1</v>
          </cell>
          <cell r="F2752">
            <v>3</v>
          </cell>
          <cell r="G2752">
            <v>76</v>
          </cell>
          <cell r="H2752" t="str">
            <v>C</v>
          </cell>
          <cell r="I2752" t="str">
            <v>A</v>
          </cell>
          <cell r="J2752" t="str">
            <v>STORE</v>
          </cell>
          <cell r="K2752">
            <v>1</v>
          </cell>
          <cell r="L2752">
            <v>326</v>
          </cell>
          <cell r="M2752">
            <v>60030737</v>
          </cell>
          <cell r="N2752">
            <v>38431</v>
          </cell>
          <cell r="P2752" t="str">
            <v>FN5320N1S563301</v>
          </cell>
          <cell r="Q2752" t="str">
            <v>สายรัดเป็นสนิม</v>
          </cell>
        </row>
        <row r="2753">
          <cell r="A2753">
            <v>60026493</v>
          </cell>
          <cell r="B2753">
            <v>2752</v>
          </cell>
          <cell r="C2753" t="str">
            <v>CS01/1</v>
          </cell>
          <cell r="D2753" t="str">
            <v>SPCC-SD</v>
          </cell>
          <cell r="E2753" t="str">
            <v>AF1</v>
          </cell>
          <cell r="F2753">
            <v>3</v>
          </cell>
          <cell r="G2753">
            <v>83</v>
          </cell>
          <cell r="H2753" t="str">
            <v>C</v>
          </cell>
          <cell r="I2753" t="str">
            <v>A</v>
          </cell>
          <cell r="J2753" t="str">
            <v>STORE</v>
          </cell>
          <cell r="K2753">
            <v>1</v>
          </cell>
          <cell r="L2753">
            <v>330</v>
          </cell>
          <cell r="M2753">
            <v>60026493</v>
          </cell>
          <cell r="N2753">
            <v>38363</v>
          </cell>
          <cell r="P2753" t="str">
            <v>FN5111D1S563401</v>
          </cell>
          <cell r="Q2753" t="str">
            <v>สภาพดี</v>
          </cell>
        </row>
        <row r="2754">
          <cell r="A2754">
            <v>60026495</v>
          </cell>
          <cell r="B2754">
            <v>2753</v>
          </cell>
          <cell r="C2754" t="str">
            <v>CS01/1</v>
          </cell>
          <cell r="D2754" t="str">
            <v>SPCC-SD</v>
          </cell>
          <cell r="E2754" t="str">
            <v>AF1</v>
          </cell>
          <cell r="F2754">
            <v>3</v>
          </cell>
          <cell r="G2754">
            <v>83</v>
          </cell>
          <cell r="H2754" t="str">
            <v>C</v>
          </cell>
          <cell r="I2754" t="str">
            <v>A</v>
          </cell>
          <cell r="J2754" t="str">
            <v>STORE</v>
          </cell>
          <cell r="K2754">
            <v>1</v>
          </cell>
          <cell r="L2754">
            <v>330</v>
          </cell>
          <cell r="M2754">
            <v>60026495</v>
          </cell>
          <cell r="N2754">
            <v>38363</v>
          </cell>
          <cell r="P2754" t="str">
            <v>FN5111D1S563402</v>
          </cell>
          <cell r="Q2754" t="str">
            <v>สภาพดี</v>
          </cell>
        </row>
        <row r="2755">
          <cell r="A2755">
            <v>60026497</v>
          </cell>
          <cell r="B2755">
            <v>2754</v>
          </cell>
          <cell r="C2755" t="str">
            <v>CS01/1</v>
          </cell>
          <cell r="D2755" t="str">
            <v>SPCC-SD</v>
          </cell>
          <cell r="E2755" t="str">
            <v>AF1</v>
          </cell>
          <cell r="F2755">
            <v>3</v>
          </cell>
          <cell r="G2755">
            <v>83</v>
          </cell>
          <cell r="H2755" t="str">
            <v>C</v>
          </cell>
          <cell r="I2755" t="str">
            <v>A</v>
          </cell>
          <cell r="J2755" t="str">
            <v>STORE</v>
          </cell>
          <cell r="K2755">
            <v>1</v>
          </cell>
          <cell r="L2755">
            <v>290</v>
          </cell>
          <cell r="M2755">
            <v>60026497</v>
          </cell>
          <cell r="N2755">
            <v>38363</v>
          </cell>
          <cell r="P2755" t="str">
            <v>FN5111D1S563403</v>
          </cell>
          <cell r="Q2755" t="str">
            <v>สภาพดี</v>
          </cell>
        </row>
        <row r="2756">
          <cell r="A2756">
            <v>60026509</v>
          </cell>
          <cell r="B2756">
            <v>2755</v>
          </cell>
          <cell r="C2756" t="str">
            <v>CS01/1</v>
          </cell>
          <cell r="D2756" t="str">
            <v>SPCC-SD</v>
          </cell>
          <cell r="E2756" t="str">
            <v>AF1</v>
          </cell>
          <cell r="F2756">
            <v>3</v>
          </cell>
          <cell r="G2756">
            <v>83</v>
          </cell>
          <cell r="H2756" t="str">
            <v>C</v>
          </cell>
          <cell r="I2756" t="str">
            <v>A</v>
          </cell>
          <cell r="J2756" t="str">
            <v>STORE</v>
          </cell>
          <cell r="K2756">
            <v>1</v>
          </cell>
          <cell r="L2756">
            <v>315</v>
          </cell>
          <cell r="M2756">
            <v>60026509</v>
          </cell>
          <cell r="N2756">
            <v>38363</v>
          </cell>
          <cell r="P2756" t="str">
            <v>FN5111D1S563404</v>
          </cell>
          <cell r="Q2756" t="str">
            <v>สภาพดี</v>
          </cell>
        </row>
        <row r="2757">
          <cell r="A2757">
            <v>60026511</v>
          </cell>
          <cell r="B2757">
            <v>2756</v>
          </cell>
          <cell r="C2757" t="str">
            <v>CS01/1</v>
          </cell>
          <cell r="D2757" t="str">
            <v>SPCC-SD</v>
          </cell>
          <cell r="E2757" t="str">
            <v>AF1</v>
          </cell>
          <cell r="F2757">
            <v>3</v>
          </cell>
          <cell r="G2757">
            <v>83</v>
          </cell>
          <cell r="H2757" t="str">
            <v>C</v>
          </cell>
          <cell r="I2757" t="str">
            <v>A</v>
          </cell>
          <cell r="J2757" t="str">
            <v>STORE</v>
          </cell>
          <cell r="K2757">
            <v>1</v>
          </cell>
          <cell r="L2757">
            <v>315</v>
          </cell>
          <cell r="M2757">
            <v>60026511</v>
          </cell>
          <cell r="N2757">
            <v>38363</v>
          </cell>
          <cell r="P2757" t="str">
            <v>FN5111D1S563405</v>
          </cell>
          <cell r="Q2757" t="str">
            <v>สภาพดี</v>
          </cell>
        </row>
        <row r="2758">
          <cell r="A2758">
            <v>60026513</v>
          </cell>
          <cell r="B2758">
            <v>2757</v>
          </cell>
          <cell r="C2758" t="str">
            <v>CS01/1</v>
          </cell>
          <cell r="D2758" t="str">
            <v>SPCC-SD</v>
          </cell>
          <cell r="E2758" t="str">
            <v>AF1</v>
          </cell>
          <cell r="F2758">
            <v>3</v>
          </cell>
          <cell r="G2758">
            <v>83</v>
          </cell>
          <cell r="H2758" t="str">
            <v>C</v>
          </cell>
          <cell r="I2758" t="str">
            <v>A</v>
          </cell>
          <cell r="J2758" t="str">
            <v>STORE</v>
          </cell>
          <cell r="K2758">
            <v>1</v>
          </cell>
          <cell r="L2758">
            <v>270</v>
          </cell>
          <cell r="M2758">
            <v>60026513</v>
          </cell>
          <cell r="N2758">
            <v>38363</v>
          </cell>
          <cell r="P2758" t="str">
            <v>FN5111D1S563406</v>
          </cell>
          <cell r="Q2758" t="str">
            <v>สภาพดี</v>
          </cell>
        </row>
        <row r="2759">
          <cell r="A2759">
            <v>60026515</v>
          </cell>
          <cell r="B2759">
            <v>2758</v>
          </cell>
          <cell r="C2759" t="str">
            <v>CS01/1</v>
          </cell>
          <cell r="D2759" t="str">
            <v>SPCC-SD</v>
          </cell>
          <cell r="E2759" t="str">
            <v>AF1</v>
          </cell>
          <cell r="F2759">
            <v>3</v>
          </cell>
          <cell r="G2759">
            <v>83</v>
          </cell>
          <cell r="H2759" t="str">
            <v>C</v>
          </cell>
          <cell r="I2759" t="str">
            <v>A</v>
          </cell>
          <cell r="J2759" t="str">
            <v>STORE</v>
          </cell>
          <cell r="K2759">
            <v>1</v>
          </cell>
          <cell r="L2759">
            <v>290</v>
          </cell>
          <cell r="M2759">
            <v>60026515</v>
          </cell>
          <cell r="N2759">
            <v>38363</v>
          </cell>
          <cell r="P2759" t="str">
            <v>FN5111D1S563407</v>
          </cell>
          <cell r="Q2759" t="str">
            <v>สภาพดี</v>
          </cell>
        </row>
        <row r="2760">
          <cell r="A2760">
            <v>60027753</v>
          </cell>
          <cell r="B2760">
            <v>2759</v>
          </cell>
          <cell r="C2760" t="str">
            <v>CS01/1</v>
          </cell>
          <cell r="D2760" t="str">
            <v>SPCC-SD</v>
          </cell>
          <cell r="E2760" t="str">
            <v>AF1</v>
          </cell>
          <cell r="F2760">
            <v>3</v>
          </cell>
          <cell r="G2760">
            <v>83</v>
          </cell>
          <cell r="H2760" t="str">
            <v>C</v>
          </cell>
          <cell r="I2760" t="str">
            <v>A</v>
          </cell>
          <cell r="J2760" t="str">
            <v>STORE</v>
          </cell>
          <cell r="K2760">
            <v>1</v>
          </cell>
          <cell r="L2760">
            <v>325</v>
          </cell>
          <cell r="M2760">
            <v>60027753</v>
          </cell>
          <cell r="N2760">
            <v>38381</v>
          </cell>
          <cell r="P2760" t="str">
            <v>FN5129N1S563701</v>
          </cell>
          <cell r="Q2760" t="str">
            <v>สายรัดเป็นสนิม</v>
          </cell>
        </row>
        <row r="2761">
          <cell r="A2761">
            <v>60027755</v>
          </cell>
          <cell r="B2761">
            <v>2760</v>
          </cell>
          <cell r="C2761" t="str">
            <v>CS01/1</v>
          </cell>
          <cell r="D2761" t="str">
            <v>SPCC-SD</v>
          </cell>
          <cell r="E2761" t="str">
            <v>AF1</v>
          </cell>
          <cell r="F2761">
            <v>3</v>
          </cell>
          <cell r="G2761">
            <v>83</v>
          </cell>
          <cell r="H2761" t="str">
            <v>C</v>
          </cell>
          <cell r="I2761" t="str">
            <v>A</v>
          </cell>
          <cell r="J2761" t="str">
            <v>STORE</v>
          </cell>
          <cell r="K2761">
            <v>1</v>
          </cell>
          <cell r="L2761">
            <v>335</v>
          </cell>
          <cell r="M2761">
            <v>60027755</v>
          </cell>
          <cell r="N2761">
            <v>38381</v>
          </cell>
          <cell r="P2761" t="str">
            <v>FN5129N1S563702</v>
          </cell>
          <cell r="Q2761" t="str">
            <v>สายรัดเป็นสนิม</v>
          </cell>
        </row>
        <row r="2762">
          <cell r="A2762">
            <v>60067757</v>
          </cell>
          <cell r="B2762">
            <v>2761</v>
          </cell>
          <cell r="C2762" t="str">
            <v>CS01/1</v>
          </cell>
          <cell r="D2762" t="str">
            <v>SPCC-SD</v>
          </cell>
          <cell r="E2762" t="str">
            <v>AF1</v>
          </cell>
          <cell r="F2762">
            <v>3</v>
          </cell>
          <cell r="G2762">
            <v>83</v>
          </cell>
          <cell r="H2762" t="str">
            <v>C</v>
          </cell>
          <cell r="I2762" t="str">
            <v>A</v>
          </cell>
          <cell r="J2762" t="str">
            <v>STORE</v>
          </cell>
          <cell r="K2762">
            <v>1</v>
          </cell>
          <cell r="L2762">
            <v>330</v>
          </cell>
          <cell r="M2762">
            <v>60067757</v>
          </cell>
          <cell r="N2762">
            <v>38381</v>
          </cell>
          <cell r="P2762" t="str">
            <v>FN5129N1S563703</v>
          </cell>
          <cell r="Q2762" t="str">
            <v>สายรัดเป็นสนิม</v>
          </cell>
        </row>
        <row r="2763">
          <cell r="A2763">
            <v>60067844</v>
          </cell>
          <cell r="B2763">
            <v>2762</v>
          </cell>
          <cell r="C2763" t="str">
            <v>CS01/1</v>
          </cell>
          <cell r="D2763" t="str">
            <v>SPCC-SD</v>
          </cell>
          <cell r="E2763" t="str">
            <v>AF1</v>
          </cell>
          <cell r="F2763">
            <v>3</v>
          </cell>
          <cell r="G2763">
            <v>83</v>
          </cell>
          <cell r="H2763" t="str">
            <v>C</v>
          </cell>
          <cell r="I2763" t="str">
            <v>A</v>
          </cell>
          <cell r="J2763" t="str">
            <v>STORE</v>
          </cell>
          <cell r="K2763">
            <v>1</v>
          </cell>
          <cell r="L2763">
            <v>235</v>
          </cell>
          <cell r="M2763">
            <v>60067844</v>
          </cell>
          <cell r="N2763">
            <v>38384</v>
          </cell>
          <cell r="P2763" t="str">
            <v>FN5201D1S563601</v>
          </cell>
          <cell r="Q2763" t="str">
            <v>สายรัดเป็นสนิม</v>
          </cell>
        </row>
        <row r="2764">
          <cell r="A2764">
            <v>60027846</v>
          </cell>
          <cell r="B2764">
            <v>2763</v>
          </cell>
          <cell r="C2764" t="str">
            <v>CS01/1</v>
          </cell>
          <cell r="D2764" t="str">
            <v>SPCC-SD</v>
          </cell>
          <cell r="E2764" t="str">
            <v>AF1</v>
          </cell>
          <cell r="F2764">
            <v>3</v>
          </cell>
          <cell r="G2764">
            <v>83</v>
          </cell>
          <cell r="H2764" t="str">
            <v>C</v>
          </cell>
          <cell r="I2764" t="str">
            <v>A</v>
          </cell>
          <cell r="J2764" t="str">
            <v>STORE</v>
          </cell>
          <cell r="K2764">
            <v>1</v>
          </cell>
          <cell r="L2764">
            <v>330</v>
          </cell>
          <cell r="M2764">
            <v>60027846</v>
          </cell>
          <cell r="N2764">
            <v>38384</v>
          </cell>
          <cell r="P2764" t="str">
            <v>FN5201D1S563602</v>
          </cell>
          <cell r="Q2764" t="str">
            <v>สายรัดเป็นสนิม</v>
          </cell>
        </row>
        <row r="2765">
          <cell r="A2765">
            <v>60027848</v>
          </cell>
          <cell r="B2765">
            <v>2764</v>
          </cell>
          <cell r="C2765" t="str">
            <v>CS01/1</v>
          </cell>
          <cell r="D2765" t="str">
            <v>SPCC-SD</v>
          </cell>
          <cell r="E2765" t="str">
            <v>AF1</v>
          </cell>
          <cell r="F2765">
            <v>3</v>
          </cell>
          <cell r="G2765">
            <v>83</v>
          </cell>
          <cell r="H2765" t="str">
            <v>C</v>
          </cell>
          <cell r="I2765" t="str">
            <v>A</v>
          </cell>
          <cell r="J2765" t="str">
            <v>STORE</v>
          </cell>
          <cell r="K2765">
            <v>1</v>
          </cell>
          <cell r="L2765">
            <v>325</v>
          </cell>
          <cell r="M2765">
            <v>60027848</v>
          </cell>
          <cell r="N2765">
            <v>38384</v>
          </cell>
          <cell r="P2765" t="str">
            <v>FN5201D1S563603</v>
          </cell>
          <cell r="Q2765" t="str">
            <v>สายรัดเป็นสนิม</v>
          </cell>
        </row>
        <row r="2766">
          <cell r="A2766">
            <v>60027850</v>
          </cell>
          <cell r="B2766">
            <v>2765</v>
          </cell>
          <cell r="C2766" t="str">
            <v>CS01/1</v>
          </cell>
          <cell r="D2766" t="str">
            <v>SPCC-SD</v>
          </cell>
          <cell r="E2766" t="str">
            <v>AF1</v>
          </cell>
          <cell r="F2766">
            <v>3</v>
          </cell>
          <cell r="G2766">
            <v>83</v>
          </cell>
          <cell r="H2766" t="str">
            <v>C</v>
          </cell>
          <cell r="I2766" t="str">
            <v>A</v>
          </cell>
          <cell r="J2766" t="str">
            <v>STORE</v>
          </cell>
          <cell r="K2766">
            <v>1</v>
          </cell>
          <cell r="L2766">
            <v>330</v>
          </cell>
          <cell r="M2766">
            <v>60027850</v>
          </cell>
          <cell r="N2766">
            <v>38384</v>
          </cell>
          <cell r="P2766" t="str">
            <v>FN5201D1S563604</v>
          </cell>
          <cell r="Q2766" t="str">
            <v>สายรัดเป็นสนิม</v>
          </cell>
        </row>
        <row r="2767">
          <cell r="A2767">
            <v>60027852</v>
          </cell>
          <cell r="B2767">
            <v>2766</v>
          </cell>
          <cell r="C2767" t="str">
            <v>CS01/1</v>
          </cell>
          <cell r="D2767" t="str">
            <v>SPCC-SD</v>
          </cell>
          <cell r="E2767" t="str">
            <v>AF1</v>
          </cell>
          <cell r="F2767">
            <v>3</v>
          </cell>
          <cell r="G2767">
            <v>83</v>
          </cell>
          <cell r="H2767" t="str">
            <v>C</v>
          </cell>
          <cell r="I2767" t="str">
            <v>A</v>
          </cell>
          <cell r="J2767" t="str">
            <v>STORE</v>
          </cell>
          <cell r="K2767">
            <v>1</v>
          </cell>
          <cell r="L2767">
            <v>305</v>
          </cell>
          <cell r="M2767">
            <v>60027852</v>
          </cell>
          <cell r="N2767">
            <v>38384</v>
          </cell>
          <cell r="P2767" t="str">
            <v>FN5201D1S563605</v>
          </cell>
          <cell r="Q2767" t="str">
            <v>สายรัดเป็นสนิม</v>
          </cell>
        </row>
        <row r="2768">
          <cell r="A2768">
            <v>60027858</v>
          </cell>
          <cell r="B2768">
            <v>2767</v>
          </cell>
          <cell r="C2768" t="str">
            <v>CS01/1</v>
          </cell>
          <cell r="D2768" t="str">
            <v>SPCC-SD</v>
          </cell>
          <cell r="E2768" t="str">
            <v>AF1</v>
          </cell>
          <cell r="F2768">
            <v>3</v>
          </cell>
          <cell r="G2768">
            <v>83</v>
          </cell>
          <cell r="H2768" t="str">
            <v>C</v>
          </cell>
          <cell r="I2768" t="str">
            <v>A</v>
          </cell>
          <cell r="J2768" t="str">
            <v>STORE</v>
          </cell>
          <cell r="K2768">
            <v>1</v>
          </cell>
          <cell r="L2768">
            <v>300</v>
          </cell>
          <cell r="M2768">
            <v>60027858</v>
          </cell>
          <cell r="N2768">
            <v>38384</v>
          </cell>
          <cell r="P2768" t="str">
            <v>FN5201D1S563706</v>
          </cell>
          <cell r="Q2768" t="str">
            <v>สายรัดเป็นสนิม</v>
          </cell>
        </row>
        <row r="2769">
          <cell r="A2769">
            <v>60029293</v>
          </cell>
          <cell r="B2769">
            <v>2768</v>
          </cell>
          <cell r="C2769" t="str">
            <v>CS01/1</v>
          </cell>
          <cell r="D2769" t="str">
            <v>SPCC-SD</v>
          </cell>
          <cell r="E2769" t="str">
            <v>AF1</v>
          </cell>
          <cell r="F2769">
            <v>3</v>
          </cell>
          <cell r="G2769">
            <v>83</v>
          </cell>
          <cell r="H2769" t="str">
            <v>C</v>
          </cell>
          <cell r="I2769" t="str">
            <v>A</v>
          </cell>
          <cell r="J2769" t="str">
            <v>STORE</v>
          </cell>
          <cell r="K2769">
            <v>1</v>
          </cell>
          <cell r="L2769">
            <v>338</v>
          </cell>
          <cell r="M2769">
            <v>60029293</v>
          </cell>
          <cell r="N2769">
            <v>38384</v>
          </cell>
          <cell r="P2769" t="str">
            <v>FN5227D1S563601</v>
          </cell>
          <cell r="Q2769" t="str">
            <v>สายรัดเป็นสนิม</v>
          </cell>
        </row>
        <row r="2770">
          <cell r="A2770">
            <v>60029295</v>
          </cell>
          <cell r="B2770">
            <v>2769</v>
          </cell>
          <cell r="C2770" t="str">
            <v>CS01/1</v>
          </cell>
          <cell r="D2770" t="str">
            <v>SPCC-SD</v>
          </cell>
          <cell r="E2770" t="str">
            <v>AF1</v>
          </cell>
          <cell r="F2770">
            <v>3</v>
          </cell>
          <cell r="G2770">
            <v>83</v>
          </cell>
          <cell r="H2770" t="str">
            <v>C</v>
          </cell>
          <cell r="I2770" t="str">
            <v>A</v>
          </cell>
          <cell r="J2770" t="str">
            <v>STORE</v>
          </cell>
          <cell r="K2770">
            <v>1</v>
          </cell>
          <cell r="L2770">
            <v>312</v>
          </cell>
          <cell r="M2770">
            <v>60029295</v>
          </cell>
          <cell r="N2770">
            <v>38384</v>
          </cell>
          <cell r="P2770" t="str">
            <v>FN5227D1S563602</v>
          </cell>
          <cell r="Q2770" t="str">
            <v>สายรัดเป็นสนิม</v>
          </cell>
        </row>
        <row r="2771">
          <cell r="A2771">
            <v>60029297</v>
          </cell>
          <cell r="B2771">
            <v>2770</v>
          </cell>
          <cell r="C2771" t="str">
            <v>CS01/1</v>
          </cell>
          <cell r="D2771" t="str">
            <v>SPCC-SD</v>
          </cell>
          <cell r="E2771" t="str">
            <v>AF1</v>
          </cell>
          <cell r="F2771">
            <v>3</v>
          </cell>
          <cell r="G2771">
            <v>83</v>
          </cell>
          <cell r="H2771" t="str">
            <v>C</v>
          </cell>
          <cell r="I2771" t="str">
            <v>A</v>
          </cell>
          <cell r="J2771" t="str">
            <v>STORE</v>
          </cell>
          <cell r="K2771">
            <v>1</v>
          </cell>
          <cell r="L2771">
            <v>329</v>
          </cell>
          <cell r="M2771">
            <v>60029297</v>
          </cell>
          <cell r="N2771">
            <v>38384</v>
          </cell>
          <cell r="P2771" t="str">
            <v>FN5227D1S563603</v>
          </cell>
          <cell r="Q2771" t="str">
            <v>สายรัดเป็นสนิม</v>
          </cell>
        </row>
        <row r="2772">
          <cell r="A2772">
            <v>60010876</v>
          </cell>
          <cell r="B2772">
            <v>2771</v>
          </cell>
          <cell r="C2772" t="str">
            <v>CS01/1</v>
          </cell>
          <cell r="D2772" t="str">
            <v>SPCEN-SD</v>
          </cell>
          <cell r="E2772" t="str">
            <v>AF3</v>
          </cell>
          <cell r="F2772">
            <v>0.7</v>
          </cell>
          <cell r="G2772">
            <v>90</v>
          </cell>
          <cell r="H2772" t="str">
            <v>C</v>
          </cell>
          <cell r="I2772" t="str">
            <v>A</v>
          </cell>
          <cell r="J2772" t="str">
            <v>T.S.A</v>
          </cell>
          <cell r="K2772">
            <v>1</v>
          </cell>
          <cell r="L2772">
            <v>720</v>
          </cell>
          <cell r="M2772">
            <v>60010876</v>
          </cell>
          <cell r="N2772">
            <v>38028</v>
          </cell>
          <cell r="P2772" t="str">
            <v>FN4211DZZ021101</v>
          </cell>
          <cell r="Q2772" t="str">
            <v>สายรัดเป็นสนิม</v>
          </cell>
        </row>
        <row r="2773">
          <cell r="A2773">
            <v>60010879</v>
          </cell>
          <cell r="B2773">
            <v>2772</v>
          </cell>
          <cell r="C2773" t="str">
            <v>CS01/1</v>
          </cell>
          <cell r="D2773" t="str">
            <v>SPCEN-SD</v>
          </cell>
          <cell r="E2773" t="str">
            <v>AF3</v>
          </cell>
          <cell r="F2773">
            <v>0.7</v>
          </cell>
          <cell r="G2773">
            <v>90</v>
          </cell>
          <cell r="H2773" t="str">
            <v>C</v>
          </cell>
          <cell r="I2773" t="str">
            <v>A</v>
          </cell>
          <cell r="J2773" t="str">
            <v>T.S.A</v>
          </cell>
          <cell r="K2773">
            <v>1</v>
          </cell>
          <cell r="L2773">
            <v>750</v>
          </cell>
          <cell r="M2773">
            <v>60010879</v>
          </cell>
          <cell r="N2773">
            <v>38028</v>
          </cell>
          <cell r="P2773" t="str">
            <v>FN4211DZZ021102</v>
          </cell>
          <cell r="Q2773" t="str">
            <v>สายรัดเป็นสนิม  และชิ้นงานเป็นสนิม</v>
          </cell>
        </row>
        <row r="2774">
          <cell r="A2774">
            <v>60011311</v>
          </cell>
          <cell r="B2774">
            <v>2773</v>
          </cell>
          <cell r="C2774" t="str">
            <v>CS01/1</v>
          </cell>
          <cell r="D2774" t="str">
            <v>SPCEN-SD</v>
          </cell>
          <cell r="E2774" t="str">
            <v>AF3</v>
          </cell>
          <cell r="F2774">
            <v>0.7</v>
          </cell>
          <cell r="G2774">
            <v>90</v>
          </cell>
          <cell r="H2774" t="str">
            <v>C</v>
          </cell>
          <cell r="I2774" t="str">
            <v>A</v>
          </cell>
          <cell r="J2774" t="str">
            <v>T.S.A</v>
          </cell>
          <cell r="K2774">
            <v>1</v>
          </cell>
          <cell r="L2774">
            <v>740</v>
          </cell>
          <cell r="M2774">
            <v>60011311</v>
          </cell>
          <cell r="N2774">
            <v>38037</v>
          </cell>
          <cell r="P2774" t="str">
            <v>FN4220DZZ022001</v>
          </cell>
          <cell r="Q2774" t="str">
            <v>สายรัดเป็นสนิม</v>
          </cell>
        </row>
        <row r="2775">
          <cell r="A2775">
            <v>60011312</v>
          </cell>
          <cell r="B2775">
            <v>2774</v>
          </cell>
          <cell r="C2775" t="str">
            <v>CS01/1</v>
          </cell>
          <cell r="D2775" t="str">
            <v>SPCEN-SD</v>
          </cell>
          <cell r="E2775" t="str">
            <v>AF3</v>
          </cell>
          <cell r="F2775">
            <v>0.7</v>
          </cell>
          <cell r="G2775">
            <v>90</v>
          </cell>
          <cell r="H2775" t="str">
            <v>C</v>
          </cell>
          <cell r="I2775" t="str">
            <v>A</v>
          </cell>
          <cell r="J2775" t="str">
            <v>T.S.A</v>
          </cell>
          <cell r="K2775">
            <v>1</v>
          </cell>
          <cell r="L2775">
            <v>740</v>
          </cell>
          <cell r="M2775">
            <v>60011312</v>
          </cell>
          <cell r="N2775">
            <v>38037</v>
          </cell>
          <cell r="P2775" t="str">
            <v>FN4220DZZ022002</v>
          </cell>
          <cell r="Q2775" t="str">
            <v>สายรัดเป็นสนิม</v>
          </cell>
        </row>
        <row r="2776">
          <cell r="A2776">
            <v>60015975</v>
          </cell>
          <cell r="B2776">
            <v>2775</v>
          </cell>
          <cell r="C2776" t="str">
            <v>CS01/1</v>
          </cell>
          <cell r="D2776" t="str">
            <v>SPCEN-SD</v>
          </cell>
          <cell r="E2776" t="str">
            <v>AF3</v>
          </cell>
          <cell r="F2776">
            <v>0.7</v>
          </cell>
          <cell r="G2776">
            <v>90</v>
          </cell>
          <cell r="H2776" t="str">
            <v>C</v>
          </cell>
          <cell r="I2776" t="str">
            <v>A</v>
          </cell>
          <cell r="J2776" t="str">
            <v>STORE</v>
          </cell>
          <cell r="K2776">
            <v>1</v>
          </cell>
          <cell r="L2776">
            <v>480</v>
          </cell>
          <cell r="M2776">
            <v>60015975</v>
          </cell>
          <cell r="N2776">
            <v>38154</v>
          </cell>
          <cell r="P2776" t="str">
            <v>FN4616DZZ061601</v>
          </cell>
          <cell r="Q2776" t="str">
            <v>สายรัดเป็นสนิม</v>
          </cell>
        </row>
        <row r="2777">
          <cell r="A2777">
            <v>60017254</v>
          </cell>
          <cell r="B2777">
            <v>2776</v>
          </cell>
          <cell r="C2777" t="str">
            <v>CS01/1</v>
          </cell>
          <cell r="D2777" t="str">
            <v>SPCEN-SD</v>
          </cell>
          <cell r="E2777" t="str">
            <v>AF3</v>
          </cell>
          <cell r="F2777">
            <v>0.7</v>
          </cell>
          <cell r="G2777">
            <v>90</v>
          </cell>
          <cell r="H2777" t="str">
            <v>C</v>
          </cell>
          <cell r="I2777" t="str">
            <v>A</v>
          </cell>
          <cell r="J2777" t="str">
            <v>STORE</v>
          </cell>
          <cell r="K2777">
            <v>1</v>
          </cell>
          <cell r="L2777">
            <v>730</v>
          </cell>
          <cell r="M2777">
            <v>60017254</v>
          </cell>
          <cell r="N2777">
            <v>38190</v>
          </cell>
          <cell r="P2777" t="str">
            <v>FN4722D1S195501</v>
          </cell>
          <cell r="Q2777" t="str">
            <v>สายรัดเป็นสนิม และชิ้นงานเป็นสนิม</v>
          </cell>
        </row>
        <row r="2778">
          <cell r="A2778">
            <v>60017505</v>
          </cell>
          <cell r="B2778">
            <v>2777</v>
          </cell>
          <cell r="C2778" t="str">
            <v>CS01/1</v>
          </cell>
          <cell r="D2778" t="str">
            <v>SPCEN-SD</v>
          </cell>
          <cell r="E2778" t="str">
            <v>AF3</v>
          </cell>
          <cell r="F2778">
            <v>0.7</v>
          </cell>
          <cell r="G2778">
            <v>90</v>
          </cell>
          <cell r="H2778" t="str">
            <v>C</v>
          </cell>
          <cell r="I2778" t="str">
            <v>A</v>
          </cell>
          <cell r="J2778" t="str">
            <v>STORE</v>
          </cell>
          <cell r="K2778">
            <v>1</v>
          </cell>
          <cell r="L2778">
            <v>610</v>
          </cell>
          <cell r="M2778">
            <v>60017505</v>
          </cell>
          <cell r="N2778">
            <v>38197</v>
          </cell>
          <cell r="P2778" t="str">
            <v>FN4729D1S209201</v>
          </cell>
          <cell r="Q2778" t="str">
            <v>สายรัดเป็นสนิม</v>
          </cell>
        </row>
        <row r="2779">
          <cell r="A2779">
            <v>60018363</v>
          </cell>
          <cell r="B2779">
            <v>2778</v>
          </cell>
          <cell r="C2779" t="str">
            <v>CS01/1</v>
          </cell>
          <cell r="D2779" t="str">
            <v>SPCEN-SD</v>
          </cell>
          <cell r="E2779" t="str">
            <v>AF3</v>
          </cell>
          <cell r="F2779">
            <v>0.7</v>
          </cell>
          <cell r="G2779">
            <v>90</v>
          </cell>
          <cell r="H2779" t="str">
            <v>C</v>
          </cell>
          <cell r="I2779" t="str">
            <v>A</v>
          </cell>
          <cell r="J2779" t="str">
            <v>STORE</v>
          </cell>
          <cell r="K2779">
            <v>1</v>
          </cell>
          <cell r="L2779">
            <v>750</v>
          </cell>
          <cell r="M2779">
            <v>60018363</v>
          </cell>
          <cell r="N2779">
            <v>38217</v>
          </cell>
          <cell r="P2779" t="str">
            <v>FN4818D1S255401</v>
          </cell>
          <cell r="Q2779" t="str">
            <v>สายรัดเป็นสนิม</v>
          </cell>
        </row>
        <row r="2780">
          <cell r="A2780">
            <v>60019197</v>
          </cell>
          <cell r="B2780">
            <v>2779</v>
          </cell>
          <cell r="C2780" t="str">
            <v>CS01/1</v>
          </cell>
          <cell r="D2780" t="str">
            <v>SPCEN-SD</v>
          </cell>
          <cell r="E2780" t="str">
            <v>AF3</v>
          </cell>
          <cell r="F2780">
            <v>0.7</v>
          </cell>
          <cell r="G2780">
            <v>90</v>
          </cell>
          <cell r="H2780" t="str">
            <v>C</v>
          </cell>
          <cell r="I2780" t="str">
            <v>A</v>
          </cell>
          <cell r="J2780" t="str">
            <v>STORE</v>
          </cell>
          <cell r="K2780">
            <v>1</v>
          </cell>
          <cell r="L2780">
            <v>670</v>
          </cell>
          <cell r="M2780">
            <v>60019197</v>
          </cell>
          <cell r="N2780">
            <v>38236</v>
          </cell>
          <cell r="P2780" t="str">
            <v>FN4906D1S294301</v>
          </cell>
          <cell r="Q2780" t="str">
            <v>สายรัดเป็นสนิม</v>
          </cell>
        </row>
        <row r="2781">
          <cell r="A2781">
            <v>60021033</v>
          </cell>
          <cell r="B2781">
            <v>2780</v>
          </cell>
          <cell r="C2781" t="str">
            <v>CS01/1</v>
          </cell>
          <cell r="D2781" t="str">
            <v>SPCEN-SD</v>
          </cell>
          <cell r="E2781" t="str">
            <v>AF3</v>
          </cell>
          <cell r="F2781">
            <v>0.7</v>
          </cell>
          <cell r="G2781">
            <v>90</v>
          </cell>
          <cell r="H2781" t="str">
            <v>C</v>
          </cell>
          <cell r="I2781" t="str">
            <v>A</v>
          </cell>
          <cell r="J2781" t="str">
            <v>STORE</v>
          </cell>
          <cell r="K2781">
            <v>1</v>
          </cell>
          <cell r="L2781">
            <v>665</v>
          </cell>
          <cell r="M2781">
            <v>60021033</v>
          </cell>
          <cell r="N2781">
            <v>38266</v>
          </cell>
          <cell r="P2781" t="str">
            <v>FN4A06D1S374102</v>
          </cell>
          <cell r="Q2781" t="str">
            <v>สายรัดเป็นสนิม</v>
          </cell>
        </row>
        <row r="2782">
          <cell r="A2782">
            <v>60021036</v>
          </cell>
          <cell r="B2782">
            <v>2781</v>
          </cell>
          <cell r="C2782" t="str">
            <v>CS01/1</v>
          </cell>
          <cell r="D2782" t="str">
            <v>SPCEN-SD</v>
          </cell>
          <cell r="E2782" t="str">
            <v>AF3</v>
          </cell>
          <cell r="F2782">
            <v>0.7</v>
          </cell>
          <cell r="G2782">
            <v>90</v>
          </cell>
          <cell r="H2782" t="str">
            <v>C</v>
          </cell>
          <cell r="I2782" t="str">
            <v>A</v>
          </cell>
          <cell r="J2782" t="str">
            <v>STORE</v>
          </cell>
          <cell r="K2782">
            <v>1</v>
          </cell>
          <cell r="L2782">
            <v>710</v>
          </cell>
          <cell r="M2782">
            <v>60021036</v>
          </cell>
          <cell r="N2782">
            <v>38266</v>
          </cell>
          <cell r="P2782" t="str">
            <v>FN4A06D1S374103</v>
          </cell>
          <cell r="Q2782" t="str">
            <v>สายรัดเป็นสนิม</v>
          </cell>
        </row>
        <row r="2783">
          <cell r="A2783">
            <v>60032935</v>
          </cell>
          <cell r="B2783">
            <v>2782</v>
          </cell>
          <cell r="C2783" t="str">
            <v>CS01/1</v>
          </cell>
          <cell r="D2783" t="str">
            <v>SPCEN-SD</v>
          </cell>
          <cell r="E2783" t="str">
            <v>AF3</v>
          </cell>
          <cell r="F2783">
            <v>0.8</v>
          </cell>
          <cell r="G2783">
            <v>75</v>
          </cell>
          <cell r="H2783" t="str">
            <v>C</v>
          </cell>
          <cell r="I2783" t="str">
            <v>A</v>
          </cell>
          <cell r="J2783" t="str">
            <v>STORE</v>
          </cell>
          <cell r="K2783">
            <v>1</v>
          </cell>
          <cell r="L2783">
            <v>542</v>
          </cell>
          <cell r="M2783">
            <v>60032935</v>
          </cell>
          <cell r="N2783">
            <v>38471</v>
          </cell>
          <cell r="P2783" t="str">
            <v>FN5429D1S915501</v>
          </cell>
          <cell r="Q2783" t="str">
            <v>สายรัดเป็นสนิม</v>
          </cell>
        </row>
        <row r="2784">
          <cell r="A2784">
            <v>60032937</v>
          </cell>
          <cell r="B2784">
            <v>2783</v>
          </cell>
          <cell r="C2784" t="str">
            <v>CS01/1</v>
          </cell>
          <cell r="D2784" t="str">
            <v>SPCEN-SD</v>
          </cell>
          <cell r="E2784" t="str">
            <v>AF3</v>
          </cell>
          <cell r="F2784">
            <v>0.8</v>
          </cell>
          <cell r="G2784">
            <v>75</v>
          </cell>
          <cell r="H2784" t="str">
            <v>C</v>
          </cell>
          <cell r="I2784" t="str">
            <v>A</v>
          </cell>
          <cell r="J2784" t="str">
            <v>STORE</v>
          </cell>
          <cell r="K2784">
            <v>1</v>
          </cell>
          <cell r="L2784">
            <v>545</v>
          </cell>
          <cell r="M2784">
            <v>60032937</v>
          </cell>
          <cell r="N2784">
            <v>38471</v>
          </cell>
          <cell r="P2784" t="str">
            <v>FN5429D1S915502</v>
          </cell>
          <cell r="Q2784" t="str">
            <v>สายรัดเป็นสนิม</v>
          </cell>
        </row>
        <row r="2785">
          <cell r="A2785">
            <v>60060843</v>
          </cell>
          <cell r="B2785">
            <v>2784</v>
          </cell>
          <cell r="C2785" t="str">
            <v>CS01/1</v>
          </cell>
          <cell r="D2785" t="str">
            <v>SPCEN-SD</v>
          </cell>
          <cell r="E2785" t="str">
            <v>AF3</v>
          </cell>
          <cell r="F2785">
            <v>0.8</v>
          </cell>
          <cell r="G2785">
            <v>135</v>
          </cell>
          <cell r="H2785" t="str">
            <v>C</v>
          </cell>
          <cell r="I2785" t="str">
            <v>A</v>
          </cell>
          <cell r="J2785" t="str">
            <v>STORE</v>
          </cell>
          <cell r="K2785">
            <v>1</v>
          </cell>
          <cell r="L2785">
            <v>282</v>
          </cell>
          <cell r="M2785">
            <v>60060843</v>
          </cell>
          <cell r="N2785">
            <v>38871</v>
          </cell>
          <cell r="P2785" t="str">
            <v>FN6603N1S079701</v>
          </cell>
          <cell r="Q2785" t="str">
            <v>ไม่มีสายรัด</v>
          </cell>
        </row>
        <row r="2786">
          <cell r="A2786">
            <v>60012734</v>
          </cell>
          <cell r="B2786">
            <v>2785</v>
          </cell>
          <cell r="C2786" t="str">
            <v>CS01/1</v>
          </cell>
          <cell r="D2786" t="str">
            <v>SPCEN-SD</v>
          </cell>
          <cell r="E2786" t="str">
            <v>AF3</v>
          </cell>
          <cell r="F2786">
            <v>1</v>
          </cell>
          <cell r="G2786">
            <v>41</v>
          </cell>
          <cell r="H2786" t="str">
            <v>C</v>
          </cell>
          <cell r="I2786" t="str">
            <v>A</v>
          </cell>
          <cell r="J2786" t="str">
            <v>SARATHON</v>
          </cell>
          <cell r="K2786">
            <v>1</v>
          </cell>
          <cell r="L2786">
            <v>300</v>
          </cell>
          <cell r="M2786">
            <v>60012734</v>
          </cell>
          <cell r="N2786">
            <v>38071</v>
          </cell>
          <cell r="P2786" t="str">
            <v>FN4325DZZ032501</v>
          </cell>
          <cell r="Q2786" t="str">
            <v>สายรัดเป็นสนิม กระดาษฉีกขาด</v>
          </cell>
        </row>
        <row r="2787">
          <cell r="A2787">
            <v>60012736</v>
          </cell>
          <cell r="B2787">
            <v>2786</v>
          </cell>
          <cell r="C2787" t="str">
            <v>CS01/1</v>
          </cell>
          <cell r="D2787" t="str">
            <v>SPCEN-SD</v>
          </cell>
          <cell r="E2787" t="str">
            <v>AF3</v>
          </cell>
          <cell r="F2787">
            <v>1</v>
          </cell>
          <cell r="G2787">
            <v>41</v>
          </cell>
          <cell r="H2787" t="str">
            <v>C</v>
          </cell>
          <cell r="I2787" t="str">
            <v>A</v>
          </cell>
          <cell r="J2787" t="str">
            <v>SARATHON</v>
          </cell>
          <cell r="K2787">
            <v>1</v>
          </cell>
          <cell r="L2787">
            <v>315</v>
          </cell>
          <cell r="M2787">
            <v>60012736</v>
          </cell>
          <cell r="N2787">
            <v>38071</v>
          </cell>
          <cell r="P2787" t="str">
            <v>FN4325DZZ032502</v>
          </cell>
          <cell r="Q2787" t="str">
            <v>สายรัดเป็นสนิม กระดาษฉีกขาด</v>
          </cell>
        </row>
        <row r="2788">
          <cell r="A2788">
            <v>60035456</v>
          </cell>
          <cell r="B2788">
            <v>2787</v>
          </cell>
          <cell r="C2788" t="str">
            <v>CS01/1</v>
          </cell>
          <cell r="D2788" t="str">
            <v>SPCEN-SD</v>
          </cell>
          <cell r="E2788" t="str">
            <v>AF3</v>
          </cell>
          <cell r="F2788">
            <v>2</v>
          </cell>
          <cell r="G2788">
            <v>107</v>
          </cell>
          <cell r="H2788" t="str">
            <v>C</v>
          </cell>
          <cell r="I2788" t="str">
            <v>A</v>
          </cell>
          <cell r="J2788" t="str">
            <v>STORE</v>
          </cell>
          <cell r="K2788">
            <v>1</v>
          </cell>
          <cell r="L2788">
            <v>183</v>
          </cell>
          <cell r="M2788">
            <v>60035456</v>
          </cell>
          <cell r="N2788">
            <v>38507</v>
          </cell>
          <cell r="O2788" t="str">
            <v>125514TCD016</v>
          </cell>
          <cell r="P2788" t="str">
            <v>FN5604D1S030401</v>
          </cell>
          <cell r="Q2788" t="str">
            <v>ไม่มีสายรัด</v>
          </cell>
        </row>
        <row r="2789">
          <cell r="A2789">
            <v>60033042</v>
          </cell>
          <cell r="B2789">
            <v>2788</v>
          </cell>
          <cell r="C2789" t="str">
            <v>CS01/1</v>
          </cell>
          <cell r="D2789" t="str">
            <v>SPHC-P/O</v>
          </cell>
          <cell r="E2789" t="str">
            <v>CA1</v>
          </cell>
          <cell r="F2789">
            <v>1.4</v>
          </cell>
          <cell r="G2789">
            <v>69</v>
          </cell>
          <cell r="H2789" t="str">
            <v>C</v>
          </cell>
          <cell r="I2789" t="str">
            <v>A</v>
          </cell>
          <cell r="J2789" t="str">
            <v>STORE</v>
          </cell>
          <cell r="K2789">
            <v>1</v>
          </cell>
          <cell r="L2789">
            <v>301</v>
          </cell>
          <cell r="M2789">
            <v>60033042</v>
          </cell>
          <cell r="N2789">
            <v>38472</v>
          </cell>
          <cell r="P2789" t="str">
            <v>FN5430D1S927001</v>
          </cell>
          <cell r="Q2789" t="str">
            <v>สายรัดเป็นสนิม และชิ้นงานเป็นสนิม</v>
          </cell>
        </row>
        <row r="2790">
          <cell r="A2790">
            <v>60022342</v>
          </cell>
          <cell r="B2790">
            <v>2789</v>
          </cell>
          <cell r="C2790" t="str">
            <v>CS01/1</v>
          </cell>
          <cell r="D2790" t="str">
            <v>SPHC-P/O</v>
          </cell>
          <cell r="E2790" t="str">
            <v>CA1</v>
          </cell>
          <cell r="F2790">
            <v>1.4</v>
          </cell>
          <cell r="G2790">
            <v>100</v>
          </cell>
          <cell r="H2790" t="str">
            <v>C</v>
          </cell>
          <cell r="I2790" t="str">
            <v>A</v>
          </cell>
          <cell r="J2790" t="str">
            <v>STORE</v>
          </cell>
          <cell r="K2790">
            <v>1</v>
          </cell>
          <cell r="L2790">
            <v>380</v>
          </cell>
          <cell r="M2790">
            <v>60022342</v>
          </cell>
          <cell r="N2790">
            <v>38292</v>
          </cell>
          <cell r="P2790" t="str">
            <v>FN4B01D1S444801</v>
          </cell>
          <cell r="Q2790" t="str">
            <v>สภาพดี</v>
          </cell>
        </row>
        <row r="2791">
          <cell r="A2791">
            <v>60032258</v>
          </cell>
          <cell r="B2791">
            <v>2790</v>
          </cell>
          <cell r="C2791" t="str">
            <v>CS01/1</v>
          </cell>
          <cell r="D2791" t="str">
            <v>SPHC-P/O</v>
          </cell>
          <cell r="E2791" t="str">
            <v>CA1</v>
          </cell>
          <cell r="F2791">
            <v>1.8</v>
          </cell>
          <cell r="G2791">
            <v>108</v>
          </cell>
          <cell r="H2791" t="str">
            <v>C</v>
          </cell>
          <cell r="I2791" t="str">
            <v>A</v>
          </cell>
          <cell r="J2791" t="str">
            <v>STORE</v>
          </cell>
          <cell r="K2791">
            <v>1</v>
          </cell>
          <cell r="L2791">
            <v>284</v>
          </cell>
          <cell r="M2791">
            <v>60032258</v>
          </cell>
          <cell r="N2791">
            <v>38462</v>
          </cell>
          <cell r="P2791" t="str">
            <v>FN5420D2S885501</v>
          </cell>
          <cell r="Q2791" t="str">
            <v>สายรัดเป็นสนิม</v>
          </cell>
        </row>
        <row r="2792">
          <cell r="A2792">
            <v>60032262</v>
          </cell>
          <cell r="B2792">
            <v>2791</v>
          </cell>
          <cell r="C2792" t="str">
            <v>CS01/1</v>
          </cell>
          <cell r="D2792" t="str">
            <v>SPHC-P/O</v>
          </cell>
          <cell r="E2792" t="str">
            <v>CA1</v>
          </cell>
          <cell r="F2792">
            <v>1.8</v>
          </cell>
          <cell r="G2792">
            <v>108</v>
          </cell>
          <cell r="H2792" t="str">
            <v>C</v>
          </cell>
          <cell r="I2792" t="str">
            <v>A</v>
          </cell>
          <cell r="J2792" t="str">
            <v>STORE</v>
          </cell>
          <cell r="K2792">
            <v>1</v>
          </cell>
          <cell r="L2792">
            <v>304</v>
          </cell>
          <cell r="M2792">
            <v>60032262</v>
          </cell>
          <cell r="N2792">
            <v>38462</v>
          </cell>
          <cell r="P2792" t="str">
            <v>FN5420D2S885502</v>
          </cell>
          <cell r="Q2792" t="str">
            <v>สายรัดเป็นสนิม</v>
          </cell>
        </row>
        <row r="2793">
          <cell r="A2793">
            <v>60032269</v>
          </cell>
          <cell r="B2793">
            <v>2792</v>
          </cell>
          <cell r="C2793" t="str">
            <v>CS01/1</v>
          </cell>
          <cell r="D2793" t="str">
            <v>SPHC-P/O</v>
          </cell>
          <cell r="E2793" t="str">
            <v>CA1</v>
          </cell>
          <cell r="F2793">
            <v>1.8</v>
          </cell>
          <cell r="G2793">
            <v>108</v>
          </cell>
          <cell r="H2793" t="str">
            <v>C</v>
          </cell>
          <cell r="I2793" t="str">
            <v>A</v>
          </cell>
          <cell r="J2793" t="str">
            <v>STORE</v>
          </cell>
          <cell r="K2793">
            <v>1</v>
          </cell>
          <cell r="L2793">
            <v>260</v>
          </cell>
          <cell r="M2793">
            <v>60032269</v>
          </cell>
          <cell r="N2793">
            <v>38463</v>
          </cell>
          <cell r="P2793" t="str">
            <v>FN5421N2S855501</v>
          </cell>
          <cell r="Q2793" t="str">
            <v>สายรัดเป็นสนิม</v>
          </cell>
        </row>
        <row r="2794">
          <cell r="A2794">
            <v>60032690</v>
          </cell>
          <cell r="B2794">
            <v>2793</v>
          </cell>
          <cell r="C2794" t="str">
            <v>CS01/1</v>
          </cell>
          <cell r="D2794" t="str">
            <v>SPHC-P/O</v>
          </cell>
          <cell r="E2794" t="str">
            <v>CA1</v>
          </cell>
          <cell r="F2794">
            <v>1.8</v>
          </cell>
          <cell r="G2794">
            <v>108</v>
          </cell>
          <cell r="H2794" t="str">
            <v>C</v>
          </cell>
          <cell r="I2794" t="str">
            <v>A</v>
          </cell>
          <cell r="J2794" t="str">
            <v>STORE</v>
          </cell>
          <cell r="K2794">
            <v>1</v>
          </cell>
          <cell r="L2794">
            <v>374</v>
          </cell>
          <cell r="M2794">
            <v>60032690</v>
          </cell>
          <cell r="N2794">
            <v>38468</v>
          </cell>
          <cell r="P2794" t="str">
            <v>FN5426D1S905401</v>
          </cell>
          <cell r="Q2794" t="str">
            <v>สายรัดเป็นสนิม</v>
          </cell>
        </row>
        <row r="2795">
          <cell r="A2795">
            <v>60032246</v>
          </cell>
          <cell r="B2795">
            <v>2794</v>
          </cell>
          <cell r="C2795" t="str">
            <v>CS01/1</v>
          </cell>
          <cell r="D2795" t="str">
            <v>SPHC-P/O</v>
          </cell>
          <cell r="E2795" t="str">
            <v>CA1</v>
          </cell>
          <cell r="F2795">
            <v>1.8</v>
          </cell>
          <cell r="G2795">
            <v>145</v>
          </cell>
          <cell r="H2795" t="str">
            <v>C</v>
          </cell>
          <cell r="I2795" t="str">
            <v>A</v>
          </cell>
          <cell r="J2795" t="str">
            <v>STORE</v>
          </cell>
          <cell r="K2795">
            <v>1</v>
          </cell>
          <cell r="L2795">
            <v>440</v>
          </cell>
          <cell r="M2795">
            <v>60032246</v>
          </cell>
          <cell r="N2795">
            <v>38462</v>
          </cell>
          <cell r="P2795" t="str">
            <v>FN5420D2S885601</v>
          </cell>
          <cell r="Q2795" t="str">
            <v>สายรัดเป็นสนิม</v>
          </cell>
        </row>
        <row r="2796">
          <cell r="A2796">
            <v>60035077</v>
          </cell>
          <cell r="B2796">
            <v>2795</v>
          </cell>
          <cell r="C2796" t="str">
            <v>CS01/1</v>
          </cell>
          <cell r="D2796" t="str">
            <v>SPHC-P/O</v>
          </cell>
          <cell r="E2796" t="str">
            <v>CA1</v>
          </cell>
          <cell r="F2796">
            <v>1.8</v>
          </cell>
          <cell r="G2796">
            <v>145</v>
          </cell>
          <cell r="H2796" t="str">
            <v>C</v>
          </cell>
          <cell r="I2796" t="str">
            <v>A</v>
          </cell>
          <cell r="J2796" t="str">
            <v>STORE</v>
          </cell>
          <cell r="K2796">
            <v>1</v>
          </cell>
          <cell r="L2796">
            <v>312</v>
          </cell>
          <cell r="M2796">
            <v>60035077</v>
          </cell>
          <cell r="N2796">
            <v>38504</v>
          </cell>
          <cell r="P2796" t="str">
            <v>FN5601N2S000901</v>
          </cell>
          <cell r="Q2796" t="str">
            <v>สายรัดเป็นสนิม</v>
          </cell>
        </row>
        <row r="2797">
          <cell r="A2797">
            <v>60035081</v>
          </cell>
          <cell r="B2797">
            <v>2796</v>
          </cell>
          <cell r="C2797" t="str">
            <v>CS01/1</v>
          </cell>
          <cell r="D2797" t="str">
            <v>SPHC-P/O</v>
          </cell>
          <cell r="E2797" t="str">
            <v>CA1</v>
          </cell>
          <cell r="F2797">
            <v>1.8</v>
          </cell>
          <cell r="G2797">
            <v>145</v>
          </cell>
          <cell r="H2797" t="str">
            <v>C</v>
          </cell>
          <cell r="I2797" t="str">
            <v>A</v>
          </cell>
          <cell r="J2797" t="str">
            <v>STORE</v>
          </cell>
          <cell r="K2797">
            <v>1</v>
          </cell>
          <cell r="L2797">
            <v>320</v>
          </cell>
          <cell r="M2797">
            <v>60035081</v>
          </cell>
          <cell r="N2797">
            <v>38504</v>
          </cell>
          <cell r="P2797" t="str">
            <v>FN5601N2S000902</v>
          </cell>
          <cell r="Q2797" t="str">
            <v>สายรัดเป็นสนิม</v>
          </cell>
        </row>
        <row r="2798">
          <cell r="A2798">
            <v>60027877</v>
          </cell>
          <cell r="B2798">
            <v>2797</v>
          </cell>
          <cell r="C2798" t="str">
            <v>CS01/1</v>
          </cell>
          <cell r="D2798" t="str">
            <v>SPHC-P/O</v>
          </cell>
          <cell r="E2798" t="str">
            <v>CA1</v>
          </cell>
          <cell r="F2798">
            <v>1.8</v>
          </cell>
          <cell r="G2798">
            <v>146</v>
          </cell>
          <cell r="H2798" t="str">
            <v>C</v>
          </cell>
          <cell r="I2798" t="str">
            <v>A</v>
          </cell>
          <cell r="J2798" t="str">
            <v>STORE</v>
          </cell>
          <cell r="K2798">
            <v>1</v>
          </cell>
          <cell r="L2798">
            <v>420</v>
          </cell>
          <cell r="M2798">
            <v>60027877</v>
          </cell>
          <cell r="N2798">
            <v>38385</v>
          </cell>
          <cell r="P2798" t="str">
            <v>FN5202D1S688201</v>
          </cell>
          <cell r="Q2798" t="str">
            <v>สายรัดเป็นสนิม</v>
          </cell>
        </row>
        <row r="2799">
          <cell r="A2799">
            <v>60027880</v>
          </cell>
          <cell r="B2799">
            <v>2798</v>
          </cell>
          <cell r="C2799" t="str">
            <v>CS01/1</v>
          </cell>
          <cell r="D2799" t="str">
            <v>SPHC-P/O</v>
          </cell>
          <cell r="E2799" t="str">
            <v>CA1</v>
          </cell>
          <cell r="F2799">
            <v>1.8</v>
          </cell>
          <cell r="G2799">
            <v>146</v>
          </cell>
          <cell r="H2799" t="str">
            <v>C</v>
          </cell>
          <cell r="I2799" t="str">
            <v>A</v>
          </cell>
          <cell r="J2799" t="str">
            <v>STORE</v>
          </cell>
          <cell r="K2799">
            <v>1</v>
          </cell>
          <cell r="L2799">
            <v>415</v>
          </cell>
          <cell r="M2799">
            <v>60027880</v>
          </cell>
          <cell r="N2799">
            <v>38385</v>
          </cell>
          <cell r="P2799" t="str">
            <v>FN5202D1S688202</v>
          </cell>
          <cell r="Q2799" t="str">
            <v>สายรัดเป็นสนิม</v>
          </cell>
        </row>
        <row r="2800">
          <cell r="A2800">
            <v>60027885</v>
          </cell>
          <cell r="B2800">
            <v>2799</v>
          </cell>
          <cell r="C2800" t="str">
            <v>CS01/1</v>
          </cell>
          <cell r="D2800" t="str">
            <v>SPHC-P/O</v>
          </cell>
          <cell r="E2800" t="str">
            <v>CA1</v>
          </cell>
          <cell r="F2800">
            <v>1.8</v>
          </cell>
          <cell r="G2800">
            <v>146</v>
          </cell>
          <cell r="H2800" t="str">
            <v>C</v>
          </cell>
          <cell r="I2800" t="str">
            <v>A</v>
          </cell>
          <cell r="J2800" t="str">
            <v>STORE</v>
          </cell>
          <cell r="K2800">
            <v>1</v>
          </cell>
          <cell r="L2800">
            <v>305</v>
          </cell>
          <cell r="M2800">
            <v>60027885</v>
          </cell>
          <cell r="N2800">
            <v>38385</v>
          </cell>
          <cell r="P2800" t="str">
            <v>FN5202D1S688203</v>
          </cell>
          <cell r="Q2800" t="str">
            <v>สายรัดเป็นสนิม</v>
          </cell>
        </row>
        <row r="2801">
          <cell r="A2801">
            <v>60028783</v>
          </cell>
          <cell r="B2801">
            <v>2800</v>
          </cell>
          <cell r="C2801" t="str">
            <v>CS01/1</v>
          </cell>
          <cell r="D2801" t="str">
            <v>SPHC-P/O</v>
          </cell>
          <cell r="E2801" t="str">
            <v>CA1</v>
          </cell>
          <cell r="F2801">
            <v>1.8</v>
          </cell>
          <cell r="G2801">
            <v>146</v>
          </cell>
          <cell r="H2801" t="str">
            <v>C</v>
          </cell>
          <cell r="I2801" t="str">
            <v>A</v>
          </cell>
          <cell r="J2801" t="str">
            <v>STORE</v>
          </cell>
          <cell r="K2801">
            <v>1</v>
          </cell>
          <cell r="L2801">
            <v>420</v>
          </cell>
          <cell r="M2801">
            <v>60028783</v>
          </cell>
          <cell r="N2801">
            <v>38398</v>
          </cell>
          <cell r="P2801" t="str">
            <v>FN5215D1S710701</v>
          </cell>
          <cell r="Q2801" t="str">
            <v>สายรัดเป็นสนิม</v>
          </cell>
        </row>
        <row r="2802">
          <cell r="A2802">
            <v>60028787</v>
          </cell>
          <cell r="B2802">
            <v>2801</v>
          </cell>
          <cell r="C2802" t="str">
            <v>CS01/1</v>
          </cell>
          <cell r="D2802" t="str">
            <v>SPHC-P/O</v>
          </cell>
          <cell r="E2802" t="str">
            <v>CA1</v>
          </cell>
          <cell r="F2802">
            <v>1.8</v>
          </cell>
          <cell r="G2802">
            <v>146</v>
          </cell>
          <cell r="H2802" t="str">
            <v>C</v>
          </cell>
          <cell r="I2802" t="str">
            <v>A</v>
          </cell>
          <cell r="J2802" t="str">
            <v>STORE</v>
          </cell>
          <cell r="K2802">
            <v>1</v>
          </cell>
          <cell r="L2802">
            <v>420</v>
          </cell>
          <cell r="M2802">
            <v>60028787</v>
          </cell>
          <cell r="N2802">
            <v>38398</v>
          </cell>
          <cell r="P2802" t="str">
            <v>FN5215D1S710702</v>
          </cell>
          <cell r="Q2802" t="str">
            <v>สายรัดเป็นสนิม</v>
          </cell>
        </row>
        <row r="2803">
          <cell r="A2803">
            <v>60028791</v>
          </cell>
          <cell r="B2803">
            <v>2802</v>
          </cell>
          <cell r="C2803" t="str">
            <v>CS01/1</v>
          </cell>
          <cell r="D2803" t="str">
            <v>SPHC-P/O</v>
          </cell>
          <cell r="E2803" t="str">
            <v>CA1</v>
          </cell>
          <cell r="F2803">
            <v>1.8</v>
          </cell>
          <cell r="G2803">
            <v>146</v>
          </cell>
          <cell r="H2803" t="str">
            <v>C</v>
          </cell>
          <cell r="I2803" t="str">
            <v>A</v>
          </cell>
          <cell r="J2803" t="str">
            <v>STORE</v>
          </cell>
          <cell r="K2803">
            <v>1</v>
          </cell>
          <cell r="L2803">
            <v>315</v>
          </cell>
          <cell r="M2803">
            <v>60028791</v>
          </cell>
          <cell r="N2803">
            <v>38398</v>
          </cell>
          <cell r="P2803" t="str">
            <v>FN5215D1S710703</v>
          </cell>
          <cell r="Q2803" t="str">
            <v>สายรัดเป็นสนิม</v>
          </cell>
        </row>
        <row r="2804">
          <cell r="A2804">
            <v>60018273</v>
          </cell>
          <cell r="B2804">
            <v>2803</v>
          </cell>
          <cell r="C2804" t="str">
            <v>CS01/1</v>
          </cell>
          <cell r="D2804" t="str">
            <v>SPHC-P/O</v>
          </cell>
          <cell r="E2804" t="str">
            <v>CA1</v>
          </cell>
          <cell r="F2804">
            <v>1.8</v>
          </cell>
          <cell r="G2804">
            <v>185</v>
          </cell>
          <cell r="H2804" t="str">
            <v>C</v>
          </cell>
          <cell r="I2804" t="str">
            <v>A</v>
          </cell>
          <cell r="J2804" t="str">
            <v>STORE</v>
          </cell>
          <cell r="K2804">
            <v>1</v>
          </cell>
          <cell r="L2804">
            <v>1810</v>
          </cell>
          <cell r="M2804">
            <v>60018273</v>
          </cell>
          <cell r="N2804">
            <v>38214</v>
          </cell>
          <cell r="P2804" t="str">
            <v>FN4815N1S250801</v>
          </cell>
          <cell r="Q2804" t="str">
            <v>สายรัดเป็นสนิม กระดาษฉีกขาด</v>
          </cell>
        </row>
        <row r="2805">
          <cell r="A2805">
            <v>60018279</v>
          </cell>
          <cell r="B2805">
            <v>2804</v>
          </cell>
          <cell r="C2805" t="str">
            <v>CS01/1</v>
          </cell>
          <cell r="D2805" t="str">
            <v>SPHC-P/O</v>
          </cell>
          <cell r="E2805" t="str">
            <v>CA1</v>
          </cell>
          <cell r="F2805">
            <v>1.8</v>
          </cell>
          <cell r="G2805">
            <v>185</v>
          </cell>
          <cell r="H2805" t="str">
            <v>C</v>
          </cell>
          <cell r="I2805" t="str">
            <v>A</v>
          </cell>
          <cell r="J2805" t="str">
            <v>STORE</v>
          </cell>
          <cell r="K2805">
            <v>1</v>
          </cell>
          <cell r="L2805">
            <v>1645</v>
          </cell>
          <cell r="M2805">
            <v>60018279</v>
          </cell>
          <cell r="N2805">
            <v>38214</v>
          </cell>
          <cell r="P2805" t="str">
            <v>FN4815N1S250802</v>
          </cell>
          <cell r="Q2805" t="str">
            <v>สายรัดเป็นสนิม กระดาษฉีกขาด</v>
          </cell>
        </row>
        <row r="2806">
          <cell r="A2806">
            <v>60021875</v>
          </cell>
          <cell r="B2806">
            <v>2805</v>
          </cell>
          <cell r="C2806" t="str">
            <v>CS01/1</v>
          </cell>
          <cell r="D2806" t="str">
            <v>SPHC-P/O</v>
          </cell>
          <cell r="E2806" t="str">
            <v>CA1</v>
          </cell>
          <cell r="F2806">
            <v>1.8</v>
          </cell>
          <cell r="G2806">
            <v>185</v>
          </cell>
          <cell r="H2806" t="str">
            <v>C</v>
          </cell>
          <cell r="I2806" t="str">
            <v>A</v>
          </cell>
          <cell r="J2806" t="str">
            <v>STORE</v>
          </cell>
          <cell r="K2806">
            <v>1</v>
          </cell>
          <cell r="L2806">
            <v>530</v>
          </cell>
          <cell r="M2806">
            <v>60021875</v>
          </cell>
          <cell r="N2806">
            <v>38280</v>
          </cell>
          <cell r="P2806" t="str">
            <v>FN4A20D1S413501</v>
          </cell>
          <cell r="Q2806" t="str">
            <v>สภาพดี</v>
          </cell>
        </row>
        <row r="2807">
          <cell r="A2807">
            <v>60022107</v>
          </cell>
          <cell r="B2807">
            <v>2806</v>
          </cell>
          <cell r="C2807" t="str">
            <v>CS01/1</v>
          </cell>
          <cell r="D2807" t="str">
            <v>SPHC-P/O</v>
          </cell>
          <cell r="E2807" t="str">
            <v>CA1</v>
          </cell>
          <cell r="F2807">
            <v>1.8</v>
          </cell>
          <cell r="G2807">
            <v>185</v>
          </cell>
          <cell r="H2807" t="str">
            <v>C</v>
          </cell>
          <cell r="I2807" t="str">
            <v>A</v>
          </cell>
          <cell r="J2807" t="str">
            <v>STORE</v>
          </cell>
          <cell r="K2807">
            <v>1</v>
          </cell>
          <cell r="L2807">
            <v>550</v>
          </cell>
          <cell r="M2807">
            <v>60022107</v>
          </cell>
          <cell r="N2807">
            <v>38288</v>
          </cell>
          <cell r="P2807" t="str">
            <v>FN4A28D1S434501</v>
          </cell>
          <cell r="Q2807" t="str">
            <v>สายรัดเป็นสนิม</v>
          </cell>
        </row>
        <row r="2808">
          <cell r="A2808">
            <v>60022110</v>
          </cell>
          <cell r="B2808">
            <v>2807</v>
          </cell>
          <cell r="C2808" t="str">
            <v>CS01/1</v>
          </cell>
          <cell r="D2808" t="str">
            <v>SPHC-P/O</v>
          </cell>
          <cell r="E2808" t="str">
            <v>CA1</v>
          </cell>
          <cell r="F2808">
            <v>1.8</v>
          </cell>
          <cell r="G2808">
            <v>185</v>
          </cell>
          <cell r="H2808" t="str">
            <v>C</v>
          </cell>
          <cell r="I2808" t="str">
            <v>A</v>
          </cell>
          <cell r="J2808" t="str">
            <v>STORE</v>
          </cell>
          <cell r="K2808">
            <v>1</v>
          </cell>
          <cell r="L2808">
            <v>550</v>
          </cell>
          <cell r="M2808">
            <v>60022110</v>
          </cell>
          <cell r="N2808">
            <v>38288</v>
          </cell>
          <cell r="P2808" t="str">
            <v>FN4A28D1S434502</v>
          </cell>
          <cell r="Q2808" t="str">
            <v>สายรัดเป็นสนิม</v>
          </cell>
        </row>
        <row r="2809">
          <cell r="A2809">
            <v>60022113</v>
          </cell>
          <cell r="B2809">
            <v>2808</v>
          </cell>
          <cell r="C2809" t="str">
            <v>CS01/1</v>
          </cell>
          <cell r="D2809" t="str">
            <v>SPHC-P/O</v>
          </cell>
          <cell r="E2809" t="str">
            <v>CA1</v>
          </cell>
          <cell r="F2809">
            <v>1.8</v>
          </cell>
          <cell r="G2809">
            <v>185</v>
          </cell>
          <cell r="H2809" t="str">
            <v>C</v>
          </cell>
          <cell r="I2809" t="str">
            <v>A</v>
          </cell>
          <cell r="J2809" t="str">
            <v>STORE</v>
          </cell>
          <cell r="K2809">
            <v>1</v>
          </cell>
          <cell r="L2809">
            <v>525</v>
          </cell>
          <cell r="M2809">
            <v>60022113</v>
          </cell>
          <cell r="N2809">
            <v>38288</v>
          </cell>
          <cell r="P2809" t="str">
            <v>FN4A28D1S434503</v>
          </cell>
          <cell r="Q2809" t="str">
            <v>สายรัดเป็นสนิม</v>
          </cell>
        </row>
        <row r="2810">
          <cell r="A2810">
            <v>60033136</v>
          </cell>
          <cell r="B2810">
            <v>2809</v>
          </cell>
          <cell r="C2810" t="str">
            <v>CS01/1</v>
          </cell>
          <cell r="D2810" t="str">
            <v>SPHC-P/O</v>
          </cell>
          <cell r="E2810" t="str">
            <v>CA1</v>
          </cell>
          <cell r="F2810">
            <v>2.2999999999999998</v>
          </cell>
          <cell r="G2810">
            <v>72</v>
          </cell>
          <cell r="H2810" t="str">
            <v>C</v>
          </cell>
          <cell r="I2810" t="str">
            <v>A</v>
          </cell>
          <cell r="J2810" t="str">
            <v>STORE</v>
          </cell>
          <cell r="K2810">
            <v>1</v>
          </cell>
          <cell r="L2810">
            <v>196</v>
          </cell>
          <cell r="M2810">
            <v>60033136</v>
          </cell>
          <cell r="N2810">
            <v>38475</v>
          </cell>
          <cell r="P2810" t="str">
            <v>FN5503D2S927401</v>
          </cell>
          <cell r="Q2810" t="str">
            <v>สายรัดเป็นสนิม</v>
          </cell>
        </row>
        <row r="2811">
          <cell r="A2811">
            <v>60062162</v>
          </cell>
          <cell r="B2811">
            <v>2810</v>
          </cell>
          <cell r="C2811" t="str">
            <v>CS01/1</v>
          </cell>
          <cell r="D2811" t="str">
            <v>SPHC-P/O</v>
          </cell>
          <cell r="E2811" t="str">
            <v>CA1</v>
          </cell>
          <cell r="F2811">
            <v>2.2999999999999998</v>
          </cell>
          <cell r="G2811">
            <v>275</v>
          </cell>
          <cell r="H2811" t="str">
            <v>C</v>
          </cell>
          <cell r="I2811" t="str">
            <v>A</v>
          </cell>
          <cell r="J2811" t="str">
            <v>STORE</v>
          </cell>
          <cell r="K2811">
            <v>1</v>
          </cell>
          <cell r="L2811">
            <v>712</v>
          </cell>
          <cell r="M2811">
            <v>60062162</v>
          </cell>
          <cell r="N2811">
            <v>38890</v>
          </cell>
          <cell r="P2811" t="str">
            <v>FN6622D2S127301</v>
          </cell>
          <cell r="Q2811" t="str">
            <v>ไม่มีสายรัด</v>
          </cell>
        </row>
        <row r="2812">
          <cell r="A2812">
            <v>60016542</v>
          </cell>
          <cell r="B2812">
            <v>2811</v>
          </cell>
          <cell r="C2812" t="str">
            <v>CS01/1</v>
          </cell>
          <cell r="D2812" t="str">
            <v>SPHC-P/O</v>
          </cell>
          <cell r="E2812" t="str">
            <v>CA1</v>
          </cell>
          <cell r="F2812">
            <v>3</v>
          </cell>
          <cell r="G2812">
            <v>182</v>
          </cell>
          <cell r="H2812" t="str">
            <v>C</v>
          </cell>
          <cell r="I2812" t="str">
            <v>A</v>
          </cell>
          <cell r="J2812" t="str">
            <v>STORE</v>
          </cell>
          <cell r="K2812">
            <v>1</v>
          </cell>
          <cell r="L2812">
            <v>310</v>
          </cell>
          <cell r="M2812">
            <v>60016542</v>
          </cell>
          <cell r="N2812">
            <v>38171</v>
          </cell>
          <cell r="P2812" t="str">
            <v>FN4703DZZ070301</v>
          </cell>
          <cell r="Q2812" t="str">
            <v>สายรัดเป็นสนิม</v>
          </cell>
        </row>
        <row r="2813">
          <cell r="A2813">
            <v>60016543</v>
          </cell>
          <cell r="B2813">
            <v>2812</v>
          </cell>
          <cell r="C2813" t="str">
            <v>CS01/1</v>
          </cell>
          <cell r="D2813" t="str">
            <v>SPHC-P/O</v>
          </cell>
          <cell r="E2813" t="str">
            <v>CA1</v>
          </cell>
          <cell r="F2813">
            <v>3</v>
          </cell>
          <cell r="G2813">
            <v>182</v>
          </cell>
          <cell r="H2813" t="str">
            <v>C</v>
          </cell>
          <cell r="I2813" t="str">
            <v>A</v>
          </cell>
          <cell r="J2813" t="str">
            <v>STORE</v>
          </cell>
          <cell r="K2813">
            <v>1</v>
          </cell>
          <cell r="L2813">
            <v>310</v>
          </cell>
          <cell r="M2813">
            <v>60016543</v>
          </cell>
          <cell r="N2813">
            <v>38171</v>
          </cell>
          <cell r="P2813" t="str">
            <v>FN4703DZZ070302</v>
          </cell>
          <cell r="Q2813" t="str">
            <v>สายรัดเป็นสนิม</v>
          </cell>
        </row>
        <row r="2814">
          <cell r="A2814">
            <v>60009909</v>
          </cell>
          <cell r="B2814">
            <v>2813</v>
          </cell>
          <cell r="C2814" t="str">
            <v>CS01/1</v>
          </cell>
          <cell r="D2814" t="str">
            <v>SPHC-P/O</v>
          </cell>
          <cell r="E2814" t="str">
            <v>CA1</v>
          </cell>
          <cell r="F2814">
            <v>4.5</v>
          </cell>
          <cell r="G2814">
            <v>75</v>
          </cell>
          <cell r="H2814" t="str">
            <v>C</v>
          </cell>
          <cell r="I2814" t="str">
            <v>A</v>
          </cell>
          <cell r="J2814" t="str">
            <v>STORE</v>
          </cell>
          <cell r="K2814">
            <v>1</v>
          </cell>
          <cell r="L2814">
            <v>260</v>
          </cell>
          <cell r="M2814">
            <v>60009909</v>
          </cell>
          <cell r="N2814">
            <v>38009</v>
          </cell>
          <cell r="P2814" t="str">
            <v>FN4123DZZ012301</v>
          </cell>
          <cell r="Q2814" t="str">
            <v>สายรัดเป็นสนิม</v>
          </cell>
        </row>
        <row r="2815">
          <cell r="A2815">
            <v>60009910</v>
          </cell>
          <cell r="B2815">
            <v>2814</v>
          </cell>
          <cell r="C2815" t="str">
            <v>CS01/1</v>
          </cell>
          <cell r="D2815" t="str">
            <v>SPHC-P/O</v>
          </cell>
          <cell r="E2815" t="str">
            <v>CA1</v>
          </cell>
          <cell r="F2815">
            <v>4.5</v>
          </cell>
          <cell r="G2815">
            <v>75</v>
          </cell>
          <cell r="H2815" t="str">
            <v>C</v>
          </cell>
          <cell r="I2815" t="str">
            <v>A</v>
          </cell>
          <cell r="J2815" t="str">
            <v>STORE</v>
          </cell>
          <cell r="K2815">
            <v>1</v>
          </cell>
          <cell r="L2815">
            <v>246</v>
          </cell>
          <cell r="M2815">
            <v>60009910</v>
          </cell>
          <cell r="N2815">
            <v>38009</v>
          </cell>
          <cell r="P2815" t="str">
            <v>FN4123DZZ012302</v>
          </cell>
          <cell r="Q2815" t="str">
            <v>สายรัดเป็นสนิม และชิ้นงานเป็นสนิม</v>
          </cell>
        </row>
        <row r="2816">
          <cell r="A2816">
            <v>60024105</v>
          </cell>
          <cell r="B2816">
            <v>2815</v>
          </cell>
          <cell r="C2816" t="str">
            <v>CS01/1</v>
          </cell>
          <cell r="D2816" t="str">
            <v>SPHC-P/O</v>
          </cell>
          <cell r="E2816" t="str">
            <v>CA1</v>
          </cell>
          <cell r="F2816">
            <v>4.5</v>
          </cell>
          <cell r="G2816">
            <v>75</v>
          </cell>
          <cell r="H2816" t="str">
            <v>C</v>
          </cell>
          <cell r="I2816" t="str">
            <v>A</v>
          </cell>
          <cell r="J2816" t="str">
            <v>STORE</v>
          </cell>
          <cell r="K2816">
            <v>1</v>
          </cell>
          <cell r="L2816">
            <v>410</v>
          </cell>
          <cell r="M2816">
            <v>60024105</v>
          </cell>
          <cell r="N2816">
            <v>38324</v>
          </cell>
          <cell r="P2816" t="str">
            <v>FN4C03DZZ479001</v>
          </cell>
          <cell r="Q2816" t="str">
            <v>สายรัดเป็นสนิม และชิ้นงานเป็นรอยบุบ</v>
          </cell>
        </row>
        <row r="2817">
          <cell r="A2817">
            <v>60024106</v>
          </cell>
          <cell r="B2817">
            <v>2816</v>
          </cell>
          <cell r="C2817" t="str">
            <v>CS01/1</v>
          </cell>
          <cell r="D2817" t="str">
            <v>SPHC-P/O</v>
          </cell>
          <cell r="E2817" t="str">
            <v>CA1</v>
          </cell>
          <cell r="F2817">
            <v>4.5</v>
          </cell>
          <cell r="G2817">
            <v>75</v>
          </cell>
          <cell r="H2817" t="str">
            <v>C</v>
          </cell>
          <cell r="I2817" t="str">
            <v>A</v>
          </cell>
          <cell r="J2817" t="str">
            <v>STORE</v>
          </cell>
          <cell r="K2817">
            <v>1</v>
          </cell>
          <cell r="L2817">
            <v>410</v>
          </cell>
          <cell r="M2817">
            <v>60024106</v>
          </cell>
          <cell r="N2817">
            <v>38324</v>
          </cell>
          <cell r="P2817" t="str">
            <v>FN4C03DZZ479002</v>
          </cell>
          <cell r="Q2817" t="str">
            <v>สายรัดเป็นสนิม และชิ้นงานเป็นรอยบุบ</v>
          </cell>
        </row>
        <row r="2818">
          <cell r="A2818">
            <v>60009912</v>
          </cell>
          <cell r="B2818">
            <v>2817</v>
          </cell>
          <cell r="C2818" t="str">
            <v>CS01/1</v>
          </cell>
          <cell r="D2818" t="str">
            <v>SPHC-P/O</v>
          </cell>
          <cell r="E2818" t="str">
            <v>CA1</v>
          </cell>
          <cell r="F2818">
            <v>4.5</v>
          </cell>
          <cell r="G2818">
            <v>144</v>
          </cell>
          <cell r="H2818" t="str">
            <v>C</v>
          </cell>
          <cell r="I2818" t="str">
            <v>A</v>
          </cell>
          <cell r="J2818" t="str">
            <v>STORE</v>
          </cell>
          <cell r="K2818">
            <v>1</v>
          </cell>
          <cell r="L2818">
            <v>506</v>
          </cell>
          <cell r="M2818">
            <v>60009912</v>
          </cell>
          <cell r="N2818">
            <v>38009</v>
          </cell>
          <cell r="P2818" t="str">
            <v>FN4123DZZ012301</v>
          </cell>
          <cell r="Q2818" t="str">
            <v>สายรัดเป็นสนิม</v>
          </cell>
        </row>
        <row r="2819">
          <cell r="A2819">
            <v>60022303</v>
          </cell>
          <cell r="B2819">
            <v>2818</v>
          </cell>
          <cell r="C2819" t="str">
            <v>CS01/1</v>
          </cell>
          <cell r="D2819" t="str">
            <v>SAPH440</v>
          </cell>
          <cell r="E2819" t="str">
            <v>CA5</v>
          </cell>
          <cell r="F2819">
            <v>2.6</v>
          </cell>
          <cell r="G2819">
            <v>125</v>
          </cell>
          <cell r="H2819" t="str">
            <v>C</v>
          </cell>
          <cell r="I2819" t="str">
            <v>A</v>
          </cell>
          <cell r="J2819" t="str">
            <v>STORE</v>
          </cell>
          <cell r="K2819">
            <v>1</v>
          </cell>
          <cell r="L2819">
            <v>555</v>
          </cell>
          <cell r="M2819">
            <v>60022303</v>
          </cell>
          <cell r="N2819">
            <v>38291</v>
          </cell>
          <cell r="P2819" t="str">
            <v>FN4A31D1S444401</v>
          </cell>
          <cell r="Q2819" t="str">
            <v>สภาพดี</v>
          </cell>
        </row>
        <row r="2820">
          <cell r="A2820">
            <v>60006031</v>
          </cell>
          <cell r="B2820">
            <v>2819</v>
          </cell>
          <cell r="C2820" t="str">
            <v>CS01/1</v>
          </cell>
          <cell r="D2820" t="str">
            <v>SAPH440</v>
          </cell>
          <cell r="E2820" t="str">
            <v>CA5</v>
          </cell>
          <cell r="F2820">
            <v>2.6</v>
          </cell>
          <cell r="G2820">
            <v>286</v>
          </cell>
          <cell r="H2820" t="str">
            <v>C</v>
          </cell>
          <cell r="I2820" t="str">
            <v>A</v>
          </cell>
          <cell r="J2820" t="str">
            <v>STORE</v>
          </cell>
          <cell r="K2820">
            <v>1</v>
          </cell>
          <cell r="L2820">
            <v>1065</v>
          </cell>
          <cell r="M2820">
            <v>60006031</v>
          </cell>
          <cell r="N2820">
            <v>37901</v>
          </cell>
          <cell r="P2820" t="str">
            <v>FN3A07NZZ100701</v>
          </cell>
          <cell r="Q2820" t="str">
            <v>สายรัดเป็นสนิม และชิ้นงานเป็นสนิม</v>
          </cell>
        </row>
        <row r="2821">
          <cell r="A2821">
            <v>60009331</v>
          </cell>
          <cell r="B2821">
            <v>2820</v>
          </cell>
          <cell r="C2821" t="str">
            <v>CS01/1</v>
          </cell>
          <cell r="D2821" t="str">
            <v>SAPH440</v>
          </cell>
          <cell r="E2821" t="str">
            <v>CA5</v>
          </cell>
          <cell r="F2821">
            <v>4</v>
          </cell>
          <cell r="G2821">
            <v>75</v>
          </cell>
          <cell r="H2821" t="str">
            <v>C</v>
          </cell>
          <cell r="I2821" t="str">
            <v>A</v>
          </cell>
          <cell r="J2821" t="str">
            <v>S,L,A,S</v>
          </cell>
          <cell r="K2821">
            <v>1</v>
          </cell>
          <cell r="L2821">
            <v>390</v>
          </cell>
          <cell r="M2821">
            <v>60009331</v>
          </cell>
          <cell r="N2821">
            <v>37993</v>
          </cell>
          <cell r="O2821" t="str">
            <v>Z34107JFI001</v>
          </cell>
          <cell r="P2821" t="str">
            <v>FN4107DZZ010701</v>
          </cell>
          <cell r="Q2821" t="str">
            <v>สายรัดเป็นสนิม และชิ้นงานเป็นสนิม</v>
          </cell>
        </row>
        <row r="2822">
          <cell r="A2822">
            <v>60009332</v>
          </cell>
          <cell r="B2822">
            <v>2821</v>
          </cell>
          <cell r="C2822" t="str">
            <v>CS01/1</v>
          </cell>
          <cell r="D2822" t="str">
            <v>SAPH440</v>
          </cell>
          <cell r="E2822" t="str">
            <v>CA5</v>
          </cell>
          <cell r="F2822">
            <v>4</v>
          </cell>
          <cell r="G2822">
            <v>75</v>
          </cell>
          <cell r="H2822" t="str">
            <v>C</v>
          </cell>
          <cell r="I2822" t="str">
            <v>A</v>
          </cell>
          <cell r="J2822" t="str">
            <v>S,L,A,S</v>
          </cell>
          <cell r="K2822">
            <v>1</v>
          </cell>
          <cell r="L2822">
            <v>390</v>
          </cell>
          <cell r="M2822">
            <v>60009332</v>
          </cell>
          <cell r="N2822">
            <v>37993</v>
          </cell>
          <cell r="O2822" t="str">
            <v>Z34107JFI001</v>
          </cell>
          <cell r="P2822" t="str">
            <v>FN4107DZZ010702</v>
          </cell>
          <cell r="Q2822" t="str">
            <v>สายรัดเป็นสนิม และชิ้นงานเป็นสนิม</v>
          </cell>
        </row>
        <row r="2823">
          <cell r="A2823">
            <v>60009333</v>
          </cell>
          <cell r="B2823">
            <v>2822</v>
          </cell>
          <cell r="C2823" t="str">
            <v>CS01/1</v>
          </cell>
          <cell r="D2823" t="str">
            <v>SAPH440</v>
          </cell>
          <cell r="E2823" t="str">
            <v>CA5</v>
          </cell>
          <cell r="F2823">
            <v>4</v>
          </cell>
          <cell r="G2823">
            <v>75</v>
          </cell>
          <cell r="H2823" t="str">
            <v>C</v>
          </cell>
          <cell r="I2823" t="str">
            <v>A</v>
          </cell>
          <cell r="J2823" t="str">
            <v>S,L,A,S</v>
          </cell>
          <cell r="K2823">
            <v>1</v>
          </cell>
          <cell r="L2823">
            <v>390</v>
          </cell>
          <cell r="M2823">
            <v>60009333</v>
          </cell>
          <cell r="N2823">
            <v>37993</v>
          </cell>
          <cell r="O2823" t="str">
            <v>Z34107JFI001</v>
          </cell>
          <cell r="P2823" t="str">
            <v>FN4107DZZ010703</v>
          </cell>
          <cell r="Q2823" t="str">
            <v>สายรัดเป็นสนิม และชิ้นงานเป็นสนิม</v>
          </cell>
        </row>
        <row r="2824">
          <cell r="A2824">
            <v>60011793</v>
          </cell>
          <cell r="B2824">
            <v>2823</v>
          </cell>
          <cell r="C2824" t="str">
            <v>CS01/1</v>
          </cell>
          <cell r="D2824" t="str">
            <v>SAPH440</v>
          </cell>
          <cell r="E2824" t="str">
            <v>CA5</v>
          </cell>
          <cell r="F2824">
            <v>4</v>
          </cell>
          <cell r="G2824">
            <v>75</v>
          </cell>
          <cell r="H2824" t="str">
            <v>C</v>
          </cell>
          <cell r="I2824" t="str">
            <v>A</v>
          </cell>
          <cell r="J2824" t="str">
            <v>S.A.B</v>
          </cell>
          <cell r="K2824">
            <v>1</v>
          </cell>
          <cell r="L2824">
            <v>576</v>
          </cell>
          <cell r="M2824">
            <v>60011793</v>
          </cell>
          <cell r="N2824">
            <v>38050</v>
          </cell>
          <cell r="O2824" t="str">
            <v>134123JFI001</v>
          </cell>
          <cell r="P2824" t="str">
            <v>FN4304DZZ030401</v>
          </cell>
          <cell r="Q2824" t="str">
            <v>กระดาษฉีกกขาด และเป็นสนิม</v>
          </cell>
        </row>
        <row r="2825">
          <cell r="A2825">
            <v>60014456</v>
          </cell>
          <cell r="B2825">
            <v>2824</v>
          </cell>
          <cell r="C2825" t="str">
            <v>CS01/1</v>
          </cell>
          <cell r="D2825" t="str">
            <v>SAPH440</v>
          </cell>
          <cell r="E2825" t="str">
            <v>CA5</v>
          </cell>
          <cell r="F2825">
            <v>4</v>
          </cell>
          <cell r="G2825">
            <v>75</v>
          </cell>
          <cell r="H2825" t="str">
            <v>C</v>
          </cell>
          <cell r="I2825" t="str">
            <v>A</v>
          </cell>
          <cell r="J2825" t="str">
            <v>T.S.A</v>
          </cell>
          <cell r="K2825">
            <v>1</v>
          </cell>
          <cell r="L2825">
            <v>1734</v>
          </cell>
          <cell r="M2825">
            <v>60014456</v>
          </cell>
          <cell r="N2825">
            <v>38119</v>
          </cell>
          <cell r="O2825" t="str">
            <v>134106PCI002</v>
          </cell>
          <cell r="P2825" t="str">
            <v>FN4512DZZ151201</v>
          </cell>
          <cell r="Q2825" t="str">
            <v>สายรัดเป็นสนิม</v>
          </cell>
        </row>
        <row r="2826">
          <cell r="A2826">
            <v>60009330</v>
          </cell>
          <cell r="B2826">
            <v>2825</v>
          </cell>
          <cell r="C2826" t="str">
            <v>CS01/1</v>
          </cell>
          <cell r="D2826" t="str">
            <v>SAPH440</v>
          </cell>
          <cell r="E2826" t="str">
            <v>CA5</v>
          </cell>
          <cell r="F2826">
            <v>4</v>
          </cell>
          <cell r="G2826">
            <v>120</v>
          </cell>
          <cell r="H2826" t="str">
            <v>C</v>
          </cell>
          <cell r="I2826" t="str">
            <v>A</v>
          </cell>
          <cell r="J2826" t="str">
            <v>S.L.A.S</v>
          </cell>
          <cell r="K2826">
            <v>1</v>
          </cell>
          <cell r="L2826">
            <v>623</v>
          </cell>
          <cell r="M2826">
            <v>60009330</v>
          </cell>
          <cell r="N2826">
            <v>37993</v>
          </cell>
          <cell r="P2826" t="str">
            <v>FN4107DZZ010701</v>
          </cell>
          <cell r="Q2826" t="str">
            <v>กระดาษฉีกกขาด และเป็นสนิม</v>
          </cell>
        </row>
        <row r="2827">
          <cell r="A2827">
            <v>60017822</v>
          </cell>
          <cell r="B2827">
            <v>2826</v>
          </cell>
          <cell r="C2827" t="str">
            <v>CS01/1</v>
          </cell>
          <cell r="D2827" t="str">
            <v>SAPH440</v>
          </cell>
          <cell r="E2827" t="str">
            <v>CA5</v>
          </cell>
          <cell r="F2827">
            <v>4.5</v>
          </cell>
          <cell r="G2827">
            <v>50</v>
          </cell>
          <cell r="H2827" t="str">
            <v>C</v>
          </cell>
          <cell r="I2827" t="str">
            <v>A</v>
          </cell>
          <cell r="J2827" t="str">
            <v>S.A.B</v>
          </cell>
          <cell r="K2827">
            <v>1</v>
          </cell>
          <cell r="L2827">
            <v>289</v>
          </cell>
          <cell r="M2827">
            <v>60017822</v>
          </cell>
          <cell r="N2827">
            <v>38206</v>
          </cell>
          <cell r="P2827" t="str">
            <v>FN4807D6E212401</v>
          </cell>
          <cell r="Q2827" t="str">
            <v>กระดาษฉีกกขาด และเป็นสนิม</v>
          </cell>
        </row>
        <row r="2828">
          <cell r="A2828">
            <v>60017823</v>
          </cell>
          <cell r="B2828">
            <v>2827</v>
          </cell>
          <cell r="C2828" t="str">
            <v>CS01/1</v>
          </cell>
          <cell r="D2828" t="str">
            <v>SAPH440</v>
          </cell>
          <cell r="E2828" t="str">
            <v>CA5</v>
          </cell>
          <cell r="F2828">
            <v>4.5</v>
          </cell>
          <cell r="G2828">
            <v>50</v>
          </cell>
          <cell r="H2828" t="str">
            <v>C</v>
          </cell>
          <cell r="I2828" t="str">
            <v>A</v>
          </cell>
          <cell r="J2828" t="str">
            <v>S.A.B</v>
          </cell>
          <cell r="K2828">
            <v>1</v>
          </cell>
          <cell r="L2828">
            <v>296</v>
          </cell>
          <cell r="M2828">
            <v>60017823</v>
          </cell>
          <cell r="N2828">
            <v>38206</v>
          </cell>
          <cell r="P2828" t="str">
            <v>FN4807D6E212402</v>
          </cell>
          <cell r="Q2828" t="str">
            <v>สภาพดี</v>
          </cell>
        </row>
        <row r="2829">
          <cell r="A2829">
            <v>60017824</v>
          </cell>
          <cell r="B2829">
            <v>2828</v>
          </cell>
          <cell r="C2829" t="str">
            <v>CS01/1</v>
          </cell>
          <cell r="D2829" t="str">
            <v>SAPH440</v>
          </cell>
          <cell r="E2829" t="str">
            <v>CA5</v>
          </cell>
          <cell r="F2829">
            <v>4.5</v>
          </cell>
          <cell r="G2829">
            <v>50</v>
          </cell>
          <cell r="H2829" t="str">
            <v>C</v>
          </cell>
          <cell r="I2829" t="str">
            <v>A</v>
          </cell>
          <cell r="J2829" t="str">
            <v>S.A.B</v>
          </cell>
          <cell r="K2829">
            <v>1</v>
          </cell>
          <cell r="L2829">
            <v>296</v>
          </cell>
          <cell r="M2829">
            <v>60017824</v>
          </cell>
          <cell r="N2829">
            <v>38206</v>
          </cell>
          <cell r="P2829" t="str">
            <v>FN4807D6E212403</v>
          </cell>
          <cell r="Q2829" t="str">
            <v>สายรัดเป็นสนิม  และชิ้นงานเป็นสนิม</v>
          </cell>
        </row>
        <row r="2830">
          <cell r="A2830">
            <v>60017825</v>
          </cell>
          <cell r="B2830">
            <v>2829</v>
          </cell>
          <cell r="C2830" t="str">
            <v>CS01/1</v>
          </cell>
          <cell r="D2830" t="str">
            <v>SAPH440</v>
          </cell>
          <cell r="E2830" t="str">
            <v>CA5</v>
          </cell>
          <cell r="F2830">
            <v>4.5</v>
          </cell>
          <cell r="G2830">
            <v>50</v>
          </cell>
          <cell r="H2830" t="str">
            <v>C</v>
          </cell>
          <cell r="I2830" t="str">
            <v>A</v>
          </cell>
          <cell r="J2830" t="str">
            <v>S.A.B</v>
          </cell>
          <cell r="K2830">
            <v>1</v>
          </cell>
          <cell r="L2830">
            <v>395</v>
          </cell>
          <cell r="M2830">
            <v>60017825</v>
          </cell>
          <cell r="N2830">
            <v>38206</v>
          </cell>
          <cell r="P2830" t="str">
            <v>FN4807D6E212404</v>
          </cell>
          <cell r="Q2830" t="str">
            <v>สายรัดเป็นสนิม  และชิ้นงานเป็นสนิม</v>
          </cell>
        </row>
        <row r="2831">
          <cell r="A2831">
            <v>60021718</v>
          </cell>
          <cell r="B2831">
            <v>2830</v>
          </cell>
          <cell r="C2831" t="str">
            <v>CS01/1</v>
          </cell>
          <cell r="D2831" t="str">
            <v>SAPH440</v>
          </cell>
          <cell r="E2831" t="str">
            <v>CA5</v>
          </cell>
          <cell r="F2831">
            <v>4.5</v>
          </cell>
          <cell r="G2831">
            <v>57</v>
          </cell>
          <cell r="H2831" t="str">
            <v>C</v>
          </cell>
          <cell r="I2831" t="str">
            <v>A</v>
          </cell>
          <cell r="J2831" t="str">
            <v>STORE</v>
          </cell>
          <cell r="K2831">
            <v>1</v>
          </cell>
          <cell r="L2831">
            <v>301</v>
          </cell>
          <cell r="M2831">
            <v>60021718</v>
          </cell>
          <cell r="N2831">
            <v>38278</v>
          </cell>
          <cell r="P2831" t="str">
            <v>FN4A18D6E392101</v>
          </cell>
          <cell r="Q2831" t="str">
            <v>ไม่มีสายรัด</v>
          </cell>
        </row>
        <row r="2832">
          <cell r="A2832">
            <v>60021719</v>
          </cell>
          <cell r="B2832">
            <v>2831</v>
          </cell>
          <cell r="C2832" t="str">
            <v>CS01/1</v>
          </cell>
          <cell r="D2832" t="str">
            <v>SAPH440</v>
          </cell>
          <cell r="E2832" t="str">
            <v>CA5</v>
          </cell>
          <cell r="F2832">
            <v>4.5</v>
          </cell>
          <cell r="G2832">
            <v>57</v>
          </cell>
          <cell r="H2832" t="str">
            <v>C</v>
          </cell>
          <cell r="I2832" t="str">
            <v>A</v>
          </cell>
          <cell r="J2832" t="str">
            <v>STORE</v>
          </cell>
          <cell r="K2832">
            <v>1</v>
          </cell>
          <cell r="L2832">
            <v>304</v>
          </cell>
          <cell r="M2832">
            <v>60021719</v>
          </cell>
          <cell r="N2832">
            <v>38278</v>
          </cell>
          <cell r="P2832" t="str">
            <v>FN4A18D6E392102</v>
          </cell>
          <cell r="Q2832" t="str">
            <v>สายรัดเป็นสนิม</v>
          </cell>
        </row>
        <row r="2833">
          <cell r="A2833">
            <v>60017838</v>
          </cell>
          <cell r="B2833">
            <v>2832</v>
          </cell>
          <cell r="C2833" t="str">
            <v>CS01/1</v>
          </cell>
          <cell r="D2833" t="str">
            <v>SAPH440</v>
          </cell>
          <cell r="E2833" t="str">
            <v>CA5</v>
          </cell>
          <cell r="F2833">
            <v>4.5</v>
          </cell>
          <cell r="G2833">
            <v>70</v>
          </cell>
          <cell r="H2833" t="str">
            <v>C</v>
          </cell>
          <cell r="I2833" t="str">
            <v>A</v>
          </cell>
          <cell r="J2833" t="str">
            <v>S.A.B</v>
          </cell>
          <cell r="K2833">
            <v>1</v>
          </cell>
          <cell r="L2833">
            <v>1106</v>
          </cell>
          <cell r="M2833">
            <v>60017838</v>
          </cell>
          <cell r="N2833">
            <v>38206</v>
          </cell>
          <cell r="P2833" t="str">
            <v>FN4807D6E212401</v>
          </cell>
          <cell r="Q2833" t="str">
            <v xml:space="preserve">สายรัดเป็นสนิม และชิ้นงานเป็สนิม </v>
          </cell>
        </row>
        <row r="2834">
          <cell r="A2834">
            <v>60032322</v>
          </cell>
          <cell r="B2834">
            <v>2833</v>
          </cell>
          <cell r="C2834" t="str">
            <v>CS01/1</v>
          </cell>
          <cell r="D2834" t="str">
            <v>SAPH440</v>
          </cell>
          <cell r="E2834" t="str">
            <v>CA5</v>
          </cell>
          <cell r="F2834">
            <v>6</v>
          </cell>
          <cell r="G2834">
            <v>52</v>
          </cell>
          <cell r="H2834" t="str">
            <v>C</v>
          </cell>
          <cell r="I2834" t="str">
            <v>A</v>
          </cell>
          <cell r="J2834" t="str">
            <v>STORE</v>
          </cell>
          <cell r="K2834">
            <v>1</v>
          </cell>
          <cell r="L2834">
            <v>395</v>
          </cell>
          <cell r="M2834">
            <v>60032322</v>
          </cell>
          <cell r="N2834">
            <v>38464</v>
          </cell>
          <cell r="P2834" t="str">
            <v>FN5422N2S897801</v>
          </cell>
          <cell r="Q2834" t="str">
            <v>สภาพดี</v>
          </cell>
        </row>
        <row r="2835">
          <cell r="A2835">
            <v>60038199</v>
          </cell>
          <cell r="B2835">
            <v>2834</v>
          </cell>
          <cell r="C2835" t="str">
            <v>CS01/1</v>
          </cell>
          <cell r="D2835" t="str">
            <v>SAPH440</v>
          </cell>
          <cell r="E2835" t="str">
            <v>CA5</v>
          </cell>
          <cell r="F2835">
            <v>6</v>
          </cell>
          <cell r="G2835">
            <v>53</v>
          </cell>
          <cell r="H2835" t="str">
            <v>C</v>
          </cell>
          <cell r="I2835" t="str">
            <v>A</v>
          </cell>
          <cell r="J2835" t="str">
            <v>STORE</v>
          </cell>
          <cell r="K2835">
            <v>1</v>
          </cell>
          <cell r="L2835">
            <v>197</v>
          </cell>
          <cell r="M2835">
            <v>60038199</v>
          </cell>
          <cell r="N2835" t="str">
            <v>28/705</v>
          </cell>
          <cell r="P2835" t="str">
            <v>FN5728D2S163001</v>
          </cell>
          <cell r="Q2835" t="str">
            <v>สภาพดี</v>
          </cell>
        </row>
        <row r="2836">
          <cell r="A2836">
            <v>60067067</v>
          </cell>
          <cell r="B2836">
            <v>2835</v>
          </cell>
          <cell r="C2836" t="str">
            <v>SEMI/C</v>
          </cell>
          <cell r="D2836" t="str">
            <v>SPCC-SD</v>
          </cell>
          <cell r="E2836" t="str">
            <v>AF1</v>
          </cell>
          <cell r="F2836">
            <v>0.8</v>
          </cell>
          <cell r="G2836">
            <v>49</v>
          </cell>
          <cell r="H2836" t="str">
            <v>C</v>
          </cell>
          <cell r="I2836" t="str">
            <v>A</v>
          </cell>
          <cell r="J2836" t="str">
            <v>SEMI</v>
          </cell>
          <cell r="K2836">
            <v>1</v>
          </cell>
          <cell r="L2836">
            <v>58</v>
          </cell>
          <cell r="M2836">
            <v>60067067</v>
          </cell>
          <cell r="N2836" t="str">
            <v>28/8/2006</v>
          </cell>
          <cell r="P2836" t="str">
            <v>SN6828D1S321601</v>
          </cell>
          <cell r="Q2836" t="str">
            <v>สภาพดี</v>
          </cell>
        </row>
        <row r="2837">
          <cell r="A2837">
            <v>60067161</v>
          </cell>
          <cell r="B2837">
            <v>2836</v>
          </cell>
          <cell r="C2837" t="str">
            <v>SEMI/C</v>
          </cell>
          <cell r="D2837" t="str">
            <v>SPCC-SD</v>
          </cell>
          <cell r="E2837" t="str">
            <v>AF1</v>
          </cell>
          <cell r="F2837">
            <v>1</v>
          </cell>
          <cell r="G2837">
            <v>100</v>
          </cell>
          <cell r="H2837" t="str">
            <v>C</v>
          </cell>
          <cell r="I2837" t="str">
            <v>A</v>
          </cell>
          <cell r="J2837" t="str">
            <v>SEMI</v>
          </cell>
          <cell r="K2837">
            <v>1</v>
          </cell>
          <cell r="L2837">
            <v>372</v>
          </cell>
          <cell r="M2837">
            <v>60067161</v>
          </cell>
          <cell r="N2837" t="str">
            <v>30/8/2006</v>
          </cell>
          <cell r="P2837" t="str">
            <v>SN6830D1S334501</v>
          </cell>
          <cell r="Q2837" t="str">
            <v>สภาพดี</v>
          </cell>
        </row>
        <row r="2838">
          <cell r="A2838">
            <v>60067162</v>
          </cell>
          <cell r="B2838">
            <v>2837</v>
          </cell>
          <cell r="C2838" t="str">
            <v>SEMI/C</v>
          </cell>
          <cell r="D2838" t="str">
            <v>SPCC-SD</v>
          </cell>
          <cell r="E2838" t="str">
            <v>AF1</v>
          </cell>
          <cell r="F2838">
            <v>1</v>
          </cell>
          <cell r="G2838">
            <v>100</v>
          </cell>
          <cell r="H2838" t="str">
            <v>C</v>
          </cell>
          <cell r="I2838" t="str">
            <v>A</v>
          </cell>
          <cell r="J2838" t="str">
            <v>SEMI</v>
          </cell>
          <cell r="K2838">
            <v>1</v>
          </cell>
          <cell r="L2838">
            <v>372</v>
          </cell>
          <cell r="M2838">
            <v>60067162</v>
          </cell>
          <cell r="N2838" t="str">
            <v>30/8/2006</v>
          </cell>
          <cell r="P2838" t="str">
            <v>SN6830D1S334502</v>
          </cell>
          <cell r="Q2838" t="str">
            <v>สภาพดี</v>
          </cell>
        </row>
        <row r="2839">
          <cell r="A2839">
            <v>60067320</v>
          </cell>
          <cell r="B2839">
            <v>2838</v>
          </cell>
          <cell r="C2839" t="str">
            <v>SEMI/C</v>
          </cell>
          <cell r="D2839" t="str">
            <v>SPCEN-SD</v>
          </cell>
          <cell r="E2839" t="str">
            <v>AF3</v>
          </cell>
          <cell r="F2839">
            <v>0.7</v>
          </cell>
          <cell r="G2839">
            <v>345</v>
          </cell>
          <cell r="H2839" t="str">
            <v>C</v>
          </cell>
          <cell r="I2839" t="str">
            <v>A</v>
          </cell>
          <cell r="J2839" t="str">
            <v>SEMI</v>
          </cell>
          <cell r="K2839">
            <v>1</v>
          </cell>
          <cell r="L2839">
            <v>1051</v>
          </cell>
          <cell r="M2839">
            <v>60067320</v>
          </cell>
          <cell r="N2839" t="str">
            <v>3108/2006</v>
          </cell>
          <cell r="P2839" t="str">
            <v>SN6831D1S339501</v>
          </cell>
          <cell r="Q2839" t="str">
            <v>สภาพดี</v>
          </cell>
        </row>
        <row r="2840">
          <cell r="A2840">
            <v>60067593</v>
          </cell>
          <cell r="B2840">
            <v>2839</v>
          </cell>
          <cell r="C2840" t="str">
            <v>SEMI/C</v>
          </cell>
          <cell r="D2840" t="str">
            <v>SPCEN-SD</v>
          </cell>
          <cell r="E2840" t="str">
            <v>AF3</v>
          </cell>
          <cell r="F2840">
            <v>0.7</v>
          </cell>
          <cell r="G2840">
            <v>345</v>
          </cell>
          <cell r="H2840" t="str">
            <v>C</v>
          </cell>
          <cell r="I2840" t="str">
            <v>A</v>
          </cell>
          <cell r="J2840" t="str">
            <v>SEMI</v>
          </cell>
          <cell r="K2840">
            <v>1</v>
          </cell>
          <cell r="L2840">
            <v>1589</v>
          </cell>
          <cell r="M2840">
            <v>60067593</v>
          </cell>
          <cell r="N2840">
            <v>38846</v>
          </cell>
          <cell r="P2840" t="str">
            <v>SN6905D1S352101</v>
          </cell>
          <cell r="Q2840" t="str">
            <v>สภาพดี</v>
          </cell>
        </row>
        <row r="2841">
          <cell r="A2841">
            <v>60067217</v>
          </cell>
          <cell r="B2841">
            <v>2840</v>
          </cell>
          <cell r="C2841" t="str">
            <v>SEMI/C</v>
          </cell>
          <cell r="D2841" t="str">
            <v>SPCEN-SD</v>
          </cell>
          <cell r="E2841" t="str">
            <v>AF3</v>
          </cell>
          <cell r="F2841">
            <v>0.7</v>
          </cell>
          <cell r="G2841">
            <v>460</v>
          </cell>
          <cell r="H2841" t="str">
            <v>C</v>
          </cell>
          <cell r="I2841" t="str">
            <v>A</v>
          </cell>
          <cell r="J2841" t="str">
            <v>SEMI</v>
          </cell>
          <cell r="K2841">
            <v>1</v>
          </cell>
          <cell r="L2841">
            <v>996</v>
          </cell>
          <cell r="M2841">
            <v>60067217</v>
          </cell>
          <cell r="N2841" t="str">
            <v>30/08/2006</v>
          </cell>
          <cell r="P2841" t="str">
            <v>SN6830D1S335601</v>
          </cell>
          <cell r="Q2841" t="str">
            <v>สภาพดี</v>
          </cell>
        </row>
        <row r="2842">
          <cell r="A2842">
            <v>60067188</v>
          </cell>
          <cell r="B2842">
            <v>2841</v>
          </cell>
          <cell r="C2842" t="str">
            <v>SEMI/C</v>
          </cell>
          <cell r="D2842" t="str">
            <v>SPCEN-SD</v>
          </cell>
          <cell r="E2842" t="str">
            <v>AF3</v>
          </cell>
          <cell r="F2842">
            <v>0.8</v>
          </cell>
          <cell r="G2842">
            <v>37</v>
          </cell>
          <cell r="H2842" t="str">
            <v>C</v>
          </cell>
          <cell r="I2842" t="str">
            <v>A</v>
          </cell>
          <cell r="J2842" t="str">
            <v>SEMI</v>
          </cell>
          <cell r="K2842">
            <v>1</v>
          </cell>
          <cell r="L2842">
            <v>54</v>
          </cell>
          <cell r="M2842">
            <v>60067188</v>
          </cell>
          <cell r="N2842" t="str">
            <v>30/08/2006</v>
          </cell>
          <cell r="P2842" t="str">
            <v>SN6830D1S335401</v>
          </cell>
          <cell r="Q2842" t="str">
            <v>สภาพดี</v>
          </cell>
        </row>
        <row r="2843">
          <cell r="A2843">
            <v>60067189</v>
          </cell>
          <cell r="B2843">
            <v>2842</v>
          </cell>
          <cell r="C2843" t="str">
            <v>SEMI/C</v>
          </cell>
          <cell r="D2843" t="str">
            <v>SPCEN-SD</v>
          </cell>
          <cell r="E2843" t="str">
            <v>AF3</v>
          </cell>
          <cell r="F2843">
            <v>0.8</v>
          </cell>
          <cell r="G2843">
            <v>37</v>
          </cell>
          <cell r="H2843" t="str">
            <v>C</v>
          </cell>
          <cell r="I2843" t="str">
            <v>A</v>
          </cell>
          <cell r="J2843" t="str">
            <v>SEMI</v>
          </cell>
          <cell r="K2843">
            <v>1</v>
          </cell>
          <cell r="L2843">
            <v>56</v>
          </cell>
          <cell r="M2843">
            <v>60067189</v>
          </cell>
          <cell r="N2843" t="str">
            <v>30/08/2006</v>
          </cell>
          <cell r="P2843" t="str">
            <v>SN6830D1S335402</v>
          </cell>
          <cell r="Q2843" t="str">
            <v>สภาพดี</v>
          </cell>
        </row>
        <row r="2844">
          <cell r="A2844">
            <v>60067193</v>
          </cell>
          <cell r="B2844">
            <v>2843</v>
          </cell>
          <cell r="C2844" t="str">
            <v>SEMI/C</v>
          </cell>
          <cell r="D2844" t="str">
            <v>SPCEN-SD</v>
          </cell>
          <cell r="E2844" t="str">
            <v>AF3</v>
          </cell>
          <cell r="F2844">
            <v>0.8</v>
          </cell>
          <cell r="G2844">
            <v>37</v>
          </cell>
          <cell r="H2844" t="str">
            <v>C</v>
          </cell>
          <cell r="I2844" t="str">
            <v>A</v>
          </cell>
          <cell r="J2844" t="str">
            <v>SEMI</v>
          </cell>
          <cell r="K2844">
            <v>1</v>
          </cell>
          <cell r="L2844">
            <v>69</v>
          </cell>
          <cell r="M2844">
            <v>60067193</v>
          </cell>
          <cell r="N2844" t="str">
            <v>30/08/2006</v>
          </cell>
          <cell r="P2844" t="str">
            <v>SN6830D1S335403</v>
          </cell>
          <cell r="Q2844" t="str">
            <v>สภาพดี</v>
          </cell>
        </row>
        <row r="2845">
          <cell r="A2845">
            <v>60067569</v>
          </cell>
          <cell r="B2845">
            <v>2844</v>
          </cell>
          <cell r="C2845" t="str">
            <v>SEMI/C</v>
          </cell>
          <cell r="D2845" t="str">
            <v>SPCEN-SD</v>
          </cell>
          <cell r="E2845" t="str">
            <v>AF3</v>
          </cell>
          <cell r="F2845">
            <v>0.8</v>
          </cell>
          <cell r="G2845">
            <v>105</v>
          </cell>
          <cell r="H2845" t="str">
            <v>C</v>
          </cell>
          <cell r="I2845" t="str">
            <v>A</v>
          </cell>
          <cell r="J2845" t="str">
            <v>SEMI</v>
          </cell>
          <cell r="K2845">
            <v>1</v>
          </cell>
          <cell r="L2845">
            <v>753</v>
          </cell>
          <cell r="M2845">
            <v>60067569</v>
          </cell>
          <cell r="N2845">
            <v>38846</v>
          </cell>
          <cell r="P2845" t="str">
            <v>SN6805D1S350001</v>
          </cell>
          <cell r="Q2845" t="str">
            <v>สภาพดี</v>
          </cell>
        </row>
        <row r="2846">
          <cell r="A2846">
            <v>60067122</v>
          </cell>
          <cell r="B2846">
            <v>2845</v>
          </cell>
          <cell r="C2846" t="str">
            <v>SEMI/C</v>
          </cell>
          <cell r="D2846" t="str">
            <v>SPCEN-SD</v>
          </cell>
          <cell r="E2846" t="str">
            <v>AF3</v>
          </cell>
          <cell r="F2846">
            <v>0.9</v>
          </cell>
          <cell r="G2846">
            <v>72</v>
          </cell>
          <cell r="H2846" t="str">
            <v>C</v>
          </cell>
          <cell r="I2846" t="str">
            <v>A</v>
          </cell>
          <cell r="J2846" t="str">
            <v>SEMI</v>
          </cell>
          <cell r="K2846">
            <v>1</v>
          </cell>
          <cell r="L2846">
            <v>92</v>
          </cell>
          <cell r="M2846">
            <v>60067122</v>
          </cell>
          <cell r="N2846" t="str">
            <v>29/8/2006</v>
          </cell>
          <cell r="P2846" t="str">
            <v>SN6829D1S335701</v>
          </cell>
          <cell r="Q2846" t="str">
            <v>สภาพดี</v>
          </cell>
        </row>
        <row r="2847">
          <cell r="A2847">
            <v>60067533</v>
          </cell>
          <cell r="B2847">
            <v>2846</v>
          </cell>
          <cell r="C2847" t="str">
            <v>SEMI/C</v>
          </cell>
          <cell r="D2847" t="str">
            <v>SPCEN-SD</v>
          </cell>
          <cell r="E2847" t="str">
            <v>AF3</v>
          </cell>
          <cell r="F2847">
            <v>1</v>
          </cell>
          <cell r="G2847">
            <v>90</v>
          </cell>
          <cell r="H2847" t="str">
            <v>C</v>
          </cell>
          <cell r="I2847" t="str">
            <v>A</v>
          </cell>
          <cell r="J2847" t="str">
            <v>SEMI</v>
          </cell>
          <cell r="K2847">
            <v>1</v>
          </cell>
          <cell r="L2847">
            <v>190</v>
          </cell>
          <cell r="M2847">
            <v>60067533</v>
          </cell>
          <cell r="N2847">
            <v>38816</v>
          </cell>
          <cell r="P2847" t="str">
            <v>SN6904D1S348901</v>
          </cell>
          <cell r="Q2847" t="str">
            <v>สภาพดี</v>
          </cell>
        </row>
        <row r="2848">
          <cell r="A2848">
            <v>60067236</v>
          </cell>
          <cell r="B2848">
            <v>2847</v>
          </cell>
          <cell r="C2848" t="str">
            <v>SEMI/C</v>
          </cell>
          <cell r="D2848" t="str">
            <v>SPCEN-SD</v>
          </cell>
          <cell r="E2848" t="str">
            <v>AF3</v>
          </cell>
          <cell r="F2848">
            <v>1</v>
          </cell>
          <cell r="G2848">
            <v>280</v>
          </cell>
          <cell r="H2848" t="str">
            <v>C</v>
          </cell>
          <cell r="I2848" t="str">
            <v>A</v>
          </cell>
          <cell r="J2848" t="str">
            <v>SEMI</v>
          </cell>
          <cell r="K2848">
            <v>1</v>
          </cell>
          <cell r="L2848">
            <v>512</v>
          </cell>
          <cell r="M2848">
            <v>60067236</v>
          </cell>
          <cell r="N2848" t="str">
            <v>30/08/2006</v>
          </cell>
          <cell r="P2848" t="str">
            <v>SN6830D1S336901</v>
          </cell>
          <cell r="Q2848" t="str">
            <v>สภาพดี</v>
          </cell>
        </row>
        <row r="2849">
          <cell r="A2849">
            <v>60067519</v>
          </cell>
          <cell r="B2849">
            <v>2848</v>
          </cell>
          <cell r="C2849" t="str">
            <v>SEMI/C</v>
          </cell>
          <cell r="D2849" t="str">
            <v>SPCEN-SD</v>
          </cell>
          <cell r="E2849" t="str">
            <v>AF3</v>
          </cell>
          <cell r="F2849">
            <v>1</v>
          </cell>
          <cell r="G2849">
            <v>360</v>
          </cell>
          <cell r="H2849" t="str">
            <v>C</v>
          </cell>
          <cell r="I2849" t="str">
            <v>A</v>
          </cell>
          <cell r="J2849" t="str">
            <v>SEMI</v>
          </cell>
          <cell r="K2849">
            <v>1</v>
          </cell>
          <cell r="L2849">
            <v>1230</v>
          </cell>
          <cell r="M2849">
            <v>60067519</v>
          </cell>
          <cell r="N2849">
            <v>38816</v>
          </cell>
          <cell r="O2849" t="str">
            <v>1262417SUD029</v>
          </cell>
          <cell r="P2849" t="str">
            <v>SN6904D1S348201</v>
          </cell>
          <cell r="Q2849" t="str">
            <v>สภาพดี</v>
          </cell>
        </row>
        <row r="2850">
          <cell r="A2850">
            <v>60067068</v>
          </cell>
          <cell r="B2850">
            <v>2849</v>
          </cell>
          <cell r="C2850" t="str">
            <v>SEMI/C</v>
          </cell>
          <cell r="D2850" t="str">
            <v>SPCEN-SD</v>
          </cell>
          <cell r="E2850" t="str">
            <v>AF3</v>
          </cell>
          <cell r="F2850">
            <v>1.2</v>
          </cell>
          <cell r="G2850">
            <v>72</v>
          </cell>
          <cell r="H2850" t="str">
            <v>C</v>
          </cell>
          <cell r="I2850" t="str">
            <v>A</v>
          </cell>
          <cell r="J2850" t="str">
            <v>SEMI</v>
          </cell>
          <cell r="K2850">
            <v>1</v>
          </cell>
          <cell r="L2850">
            <v>446</v>
          </cell>
          <cell r="M2850">
            <v>60067068</v>
          </cell>
          <cell r="N2850" t="str">
            <v>28/8/2006</v>
          </cell>
          <cell r="P2850" t="str">
            <v>SN6828D1S324401</v>
          </cell>
          <cell r="Q2850" t="str">
            <v>สภาพดี</v>
          </cell>
        </row>
        <row r="2851">
          <cell r="A2851">
            <v>60067069</v>
          </cell>
          <cell r="B2851">
            <v>2850</v>
          </cell>
          <cell r="C2851" t="str">
            <v>SEMI/C</v>
          </cell>
          <cell r="D2851" t="str">
            <v>SPCEN-SD</v>
          </cell>
          <cell r="E2851" t="str">
            <v>AF3</v>
          </cell>
          <cell r="F2851">
            <v>1.2</v>
          </cell>
          <cell r="G2851">
            <v>72</v>
          </cell>
          <cell r="H2851" t="str">
            <v>C</v>
          </cell>
          <cell r="I2851" t="str">
            <v>A</v>
          </cell>
          <cell r="J2851" t="str">
            <v>SEMI</v>
          </cell>
          <cell r="K2851">
            <v>1</v>
          </cell>
          <cell r="L2851">
            <v>446</v>
          </cell>
          <cell r="M2851">
            <v>60067069</v>
          </cell>
          <cell r="N2851" t="str">
            <v>28/8/2006</v>
          </cell>
          <cell r="P2851" t="str">
            <v>SN6828D1S324402</v>
          </cell>
          <cell r="Q2851" t="str">
            <v>สภาพดี</v>
          </cell>
        </row>
        <row r="2852">
          <cell r="A2852">
            <v>60067611</v>
          </cell>
          <cell r="B2852">
            <v>2851</v>
          </cell>
          <cell r="C2852" t="str">
            <v>SEMI/C</v>
          </cell>
          <cell r="D2852" t="str">
            <v>SPCC-SD</v>
          </cell>
          <cell r="E2852" t="str">
            <v>AG1</v>
          </cell>
          <cell r="F2852">
            <v>1.2</v>
          </cell>
          <cell r="G2852">
            <v>227</v>
          </cell>
          <cell r="H2852" t="str">
            <v>C</v>
          </cell>
          <cell r="I2852" t="str">
            <v>A</v>
          </cell>
          <cell r="J2852" t="str">
            <v>SEMI</v>
          </cell>
          <cell r="K2852">
            <v>1</v>
          </cell>
          <cell r="L2852">
            <v>597</v>
          </cell>
          <cell r="M2852">
            <v>60067611</v>
          </cell>
          <cell r="N2852">
            <v>38877</v>
          </cell>
          <cell r="O2852" t="str">
            <v>R26510TCD010</v>
          </cell>
          <cell r="P2852" t="str">
            <v>SN6906D1S353501</v>
          </cell>
          <cell r="Q2852" t="str">
            <v>สภาพดี</v>
          </cell>
        </row>
        <row r="2853">
          <cell r="A2853">
            <v>60067429</v>
          </cell>
          <cell r="B2853">
            <v>2852</v>
          </cell>
          <cell r="C2853" t="str">
            <v>SEMI/C</v>
          </cell>
          <cell r="D2853" t="str">
            <v>SPCC-SD</v>
          </cell>
          <cell r="E2853" t="str">
            <v>AK1</v>
          </cell>
          <cell r="F2853">
            <v>0.5</v>
          </cell>
          <cell r="G2853">
            <v>140</v>
          </cell>
          <cell r="H2853" t="str">
            <v>C</v>
          </cell>
          <cell r="I2853" t="str">
            <v>A</v>
          </cell>
          <cell r="J2853" t="str">
            <v>SEMI</v>
          </cell>
          <cell r="K2853">
            <v>1</v>
          </cell>
          <cell r="L2853">
            <v>428</v>
          </cell>
          <cell r="M2853">
            <v>60067429</v>
          </cell>
          <cell r="N2853">
            <v>38757</v>
          </cell>
          <cell r="P2853" t="str">
            <v>SN6902D1S343201</v>
          </cell>
          <cell r="Q2853" t="str">
            <v>สภาพดี</v>
          </cell>
        </row>
        <row r="2854">
          <cell r="A2854">
            <v>60067428</v>
          </cell>
          <cell r="B2854">
            <v>2853</v>
          </cell>
          <cell r="C2854" t="str">
            <v>SEMI/C</v>
          </cell>
          <cell r="D2854" t="str">
            <v>SPCC-SD</v>
          </cell>
          <cell r="E2854" t="str">
            <v>AK1</v>
          </cell>
          <cell r="F2854">
            <v>0.5</v>
          </cell>
          <cell r="G2854">
            <v>300</v>
          </cell>
          <cell r="H2854" t="str">
            <v>C</v>
          </cell>
          <cell r="I2854" t="str">
            <v>A</v>
          </cell>
          <cell r="J2854" t="str">
            <v>SEMI</v>
          </cell>
          <cell r="K2854">
            <v>1</v>
          </cell>
          <cell r="L2854">
            <v>913</v>
          </cell>
          <cell r="M2854">
            <v>60067428</v>
          </cell>
          <cell r="N2854">
            <v>38757</v>
          </cell>
          <cell r="P2854" t="str">
            <v>SN6904D1S343201</v>
          </cell>
          <cell r="Q2854" t="str">
            <v>สภาพดี</v>
          </cell>
        </row>
        <row r="2855">
          <cell r="A2855">
            <v>60067425</v>
          </cell>
          <cell r="B2855">
            <v>2854</v>
          </cell>
          <cell r="C2855" t="str">
            <v>SEMI/C</v>
          </cell>
          <cell r="D2855" t="str">
            <v>SPCC-SD</v>
          </cell>
          <cell r="E2855" t="str">
            <v>AK1</v>
          </cell>
          <cell r="F2855">
            <v>0.5</v>
          </cell>
          <cell r="G2855">
            <v>190.5</v>
          </cell>
          <cell r="H2855" t="str">
            <v>C</v>
          </cell>
          <cell r="I2855" t="str">
            <v>A</v>
          </cell>
          <cell r="J2855" t="str">
            <v>SEMI</v>
          </cell>
          <cell r="K2855">
            <v>1</v>
          </cell>
          <cell r="L2855">
            <v>584</v>
          </cell>
          <cell r="M2855">
            <v>60067425</v>
          </cell>
          <cell r="N2855">
            <v>38757</v>
          </cell>
          <cell r="O2855" t="str">
            <v>126707SUS003</v>
          </cell>
          <cell r="P2855" t="str">
            <v>SN6902D1S343201</v>
          </cell>
          <cell r="Q2855" t="str">
            <v>สภาพดี</v>
          </cell>
        </row>
        <row r="2856">
          <cell r="A2856">
            <v>60067426</v>
          </cell>
          <cell r="B2856">
            <v>2855</v>
          </cell>
          <cell r="C2856" t="str">
            <v>SEMI/C</v>
          </cell>
          <cell r="D2856" t="str">
            <v>SPCC-SD</v>
          </cell>
          <cell r="E2856" t="str">
            <v>AK1</v>
          </cell>
          <cell r="F2856">
            <v>0.5</v>
          </cell>
          <cell r="G2856">
            <v>190.5</v>
          </cell>
          <cell r="H2856" t="str">
            <v>C</v>
          </cell>
          <cell r="I2856" t="str">
            <v>A</v>
          </cell>
          <cell r="J2856" t="str">
            <v>SEMI</v>
          </cell>
          <cell r="K2856">
            <v>1</v>
          </cell>
          <cell r="L2856">
            <v>584</v>
          </cell>
          <cell r="M2856">
            <v>60067426</v>
          </cell>
          <cell r="N2856">
            <v>38757</v>
          </cell>
          <cell r="P2856" t="str">
            <v>SN6902D1S343202</v>
          </cell>
          <cell r="Q2856" t="str">
            <v>สภาพดี</v>
          </cell>
        </row>
        <row r="2857">
          <cell r="A2857">
            <v>60067427</v>
          </cell>
          <cell r="B2857">
            <v>2856</v>
          </cell>
          <cell r="C2857" t="str">
            <v>SEMI/C</v>
          </cell>
          <cell r="D2857" t="str">
            <v>SPCC-SD</v>
          </cell>
          <cell r="E2857" t="str">
            <v>AK1</v>
          </cell>
          <cell r="F2857">
            <v>0.5</v>
          </cell>
          <cell r="G2857">
            <v>190.5</v>
          </cell>
          <cell r="H2857" t="str">
            <v>C</v>
          </cell>
          <cell r="I2857" t="str">
            <v>A</v>
          </cell>
          <cell r="J2857" t="str">
            <v>SEMI</v>
          </cell>
          <cell r="K2857">
            <v>1</v>
          </cell>
          <cell r="L2857">
            <v>584</v>
          </cell>
          <cell r="M2857">
            <v>60067427</v>
          </cell>
          <cell r="N2857">
            <v>38757</v>
          </cell>
          <cell r="P2857" t="str">
            <v>SN6902D1S343203</v>
          </cell>
          <cell r="Q2857" t="str">
            <v>สภาพดี</v>
          </cell>
        </row>
        <row r="2858">
          <cell r="A2858">
            <v>60067034</v>
          </cell>
          <cell r="B2858">
            <v>2857</v>
          </cell>
          <cell r="C2858" t="str">
            <v>SEMI/C</v>
          </cell>
          <cell r="D2858" t="str">
            <v>SPHC-P/O</v>
          </cell>
          <cell r="E2858" t="str">
            <v>CA1</v>
          </cell>
          <cell r="F2858">
            <v>2</v>
          </cell>
          <cell r="G2858">
            <v>60</v>
          </cell>
          <cell r="H2858" t="str">
            <v>C</v>
          </cell>
          <cell r="I2858" t="str">
            <v>A</v>
          </cell>
          <cell r="J2858" t="str">
            <v>SEMI</v>
          </cell>
          <cell r="K2858">
            <v>1</v>
          </cell>
          <cell r="L2858">
            <v>77</v>
          </cell>
          <cell r="M2858">
            <v>60067034</v>
          </cell>
          <cell r="N2858" t="str">
            <v>25/8/2006</v>
          </cell>
          <cell r="P2858" t="str">
            <v>SN6825N1S327701</v>
          </cell>
          <cell r="Q2858" t="str">
            <v>สภาพดี</v>
          </cell>
        </row>
        <row r="2859">
          <cell r="A2859">
            <v>60067423</v>
          </cell>
          <cell r="B2859">
            <v>2858</v>
          </cell>
          <cell r="C2859" t="str">
            <v>SEMI/C</v>
          </cell>
          <cell r="D2859" t="str">
            <v>SPHC-P/O</v>
          </cell>
          <cell r="E2859" t="str">
            <v>CA1</v>
          </cell>
          <cell r="F2859">
            <v>3.2</v>
          </cell>
          <cell r="G2859">
            <v>174</v>
          </cell>
          <cell r="H2859" t="str">
            <v>C</v>
          </cell>
          <cell r="I2859" t="str">
            <v>A</v>
          </cell>
          <cell r="J2859" t="str">
            <v>SEMI</v>
          </cell>
          <cell r="K2859">
            <v>1</v>
          </cell>
          <cell r="L2859">
            <v>485</v>
          </cell>
          <cell r="M2859">
            <v>60067423</v>
          </cell>
          <cell r="N2859">
            <v>38726</v>
          </cell>
          <cell r="P2859" t="str">
            <v>SN6901D2S040101</v>
          </cell>
          <cell r="Q2859" t="str">
            <v>สภาพดี</v>
          </cell>
        </row>
        <row r="2860">
          <cell r="A2860">
            <v>60067509</v>
          </cell>
          <cell r="B2860">
            <v>2859</v>
          </cell>
          <cell r="C2860" t="str">
            <v>SEMI/C</v>
          </cell>
          <cell r="D2860" t="str">
            <v>SPHC-P/O</v>
          </cell>
          <cell r="E2860" t="str">
            <v>CA1</v>
          </cell>
          <cell r="F2860">
            <v>3.2</v>
          </cell>
          <cell r="G2860">
            <v>230</v>
          </cell>
          <cell r="H2860" t="str">
            <v>C</v>
          </cell>
          <cell r="I2860" t="str">
            <v>A</v>
          </cell>
          <cell r="J2860" t="str">
            <v>SEMI</v>
          </cell>
          <cell r="K2860">
            <v>1</v>
          </cell>
          <cell r="L2860">
            <v>1686</v>
          </cell>
          <cell r="M2860">
            <v>60067509</v>
          </cell>
          <cell r="N2860">
            <v>38816</v>
          </cell>
          <cell r="P2860" t="str">
            <v>SN6904D2S343601</v>
          </cell>
          <cell r="Q2860" t="str">
            <v>สภาพดี</v>
          </cell>
        </row>
        <row r="2861">
          <cell r="A2861">
            <v>60067516</v>
          </cell>
          <cell r="B2861">
            <v>2860</v>
          </cell>
          <cell r="C2861" t="str">
            <v>SEMI/C</v>
          </cell>
          <cell r="D2861" t="str">
            <v>SPHC-P/O</v>
          </cell>
          <cell r="E2861" t="str">
            <v>CA1</v>
          </cell>
          <cell r="F2861">
            <v>3.2</v>
          </cell>
          <cell r="G2861">
            <v>230</v>
          </cell>
          <cell r="H2861" t="str">
            <v>C</v>
          </cell>
          <cell r="I2861" t="str">
            <v>A</v>
          </cell>
          <cell r="J2861" t="str">
            <v>SEMI</v>
          </cell>
          <cell r="K2861">
            <v>1</v>
          </cell>
          <cell r="L2861">
            <v>1512</v>
          </cell>
          <cell r="M2861">
            <v>60067516</v>
          </cell>
          <cell r="N2861">
            <v>38816</v>
          </cell>
          <cell r="P2861" t="str">
            <v>SN6904D2S343602</v>
          </cell>
          <cell r="Q2861" t="str">
            <v>สภาพดี</v>
          </cell>
        </row>
        <row r="2862">
          <cell r="A2862">
            <v>20035581</v>
          </cell>
          <cell r="B2862">
            <v>2861</v>
          </cell>
          <cell r="C2862" t="str">
            <v>OW01/1</v>
          </cell>
          <cell r="D2862" t="str">
            <v>SECC</v>
          </cell>
          <cell r="E2862" t="str">
            <v>EG</v>
          </cell>
          <cell r="F2862">
            <v>0.7</v>
          </cell>
          <cell r="G2862">
            <v>629</v>
          </cell>
          <cell r="H2862">
            <v>1219</v>
          </cell>
          <cell r="I2862">
            <v>5</v>
          </cell>
          <cell r="J2862" t="str">
            <v>STORE</v>
          </cell>
          <cell r="K2862">
            <v>350</v>
          </cell>
          <cell r="L2862">
            <v>1487</v>
          </cell>
          <cell r="M2862">
            <v>20035581</v>
          </cell>
          <cell r="N2862" t="str">
            <v>26/01/2005</v>
          </cell>
          <cell r="P2862" t="str">
            <v>5N5126D1L659101</v>
          </cell>
          <cell r="Q2862" t="str">
            <v>กระดาษฉีกขาด</v>
          </cell>
        </row>
        <row r="2863">
          <cell r="A2863">
            <v>20035583</v>
          </cell>
          <cell r="B2863">
            <v>2862</v>
          </cell>
          <cell r="C2863" t="str">
            <v>OW01/1</v>
          </cell>
          <cell r="D2863" t="str">
            <v>SECC</v>
          </cell>
          <cell r="E2863" t="str">
            <v>EG</v>
          </cell>
          <cell r="F2863">
            <v>0.7</v>
          </cell>
          <cell r="G2863">
            <v>629</v>
          </cell>
          <cell r="H2863">
            <v>1219</v>
          </cell>
          <cell r="I2863">
            <v>5</v>
          </cell>
          <cell r="J2863" t="str">
            <v>STORE</v>
          </cell>
          <cell r="K2863">
            <v>300</v>
          </cell>
          <cell r="L2863">
            <v>1284</v>
          </cell>
          <cell r="M2863">
            <v>20035583</v>
          </cell>
          <cell r="N2863" t="str">
            <v>26/01/2005</v>
          </cell>
          <cell r="P2863" t="str">
            <v>5N5126D1L659102</v>
          </cell>
          <cell r="Q2863" t="str">
            <v>แผ่นรองและสายรัดเป็นสนิม</v>
          </cell>
        </row>
        <row r="2864">
          <cell r="A2864">
            <v>50141495</v>
          </cell>
          <cell r="B2864">
            <v>2863</v>
          </cell>
          <cell r="C2864" t="str">
            <v>OW01/1</v>
          </cell>
          <cell r="D2864" t="str">
            <v>SPCC-SD</v>
          </cell>
          <cell r="E2864" t="str">
            <v>AF1</v>
          </cell>
          <cell r="F2864">
            <v>0.4</v>
          </cell>
          <cell r="G2864">
            <v>454</v>
          </cell>
          <cell r="H2864">
            <v>1219</v>
          </cell>
          <cell r="I2864">
            <v>5</v>
          </cell>
          <cell r="J2864" t="str">
            <v>STORE</v>
          </cell>
          <cell r="K2864">
            <v>49</v>
          </cell>
          <cell r="L2864">
            <v>85</v>
          </cell>
          <cell r="M2864">
            <v>50141495</v>
          </cell>
          <cell r="N2864" t="str">
            <v>31/08/2005</v>
          </cell>
          <cell r="P2864" t="str">
            <v>5N6831D1D336001</v>
          </cell>
          <cell r="Q2864" t="str">
            <v>กระดาษฉีกขาด</v>
          </cell>
        </row>
        <row r="2865">
          <cell r="A2865">
            <v>50127334</v>
          </cell>
          <cell r="B2865">
            <v>2864</v>
          </cell>
          <cell r="C2865" t="str">
            <v>OW01/1</v>
          </cell>
          <cell r="D2865" t="str">
            <v>SPCC-SD</v>
          </cell>
          <cell r="E2865" t="str">
            <v>AF1</v>
          </cell>
          <cell r="F2865">
            <v>0.4</v>
          </cell>
          <cell r="G2865">
            <v>455</v>
          </cell>
          <cell r="H2865">
            <v>1219</v>
          </cell>
          <cell r="I2865">
            <v>5</v>
          </cell>
          <cell r="J2865" t="str">
            <v>STORE</v>
          </cell>
          <cell r="K2865">
            <v>124</v>
          </cell>
          <cell r="L2865">
            <v>216</v>
          </cell>
          <cell r="M2865">
            <v>50127334</v>
          </cell>
          <cell r="N2865" t="str">
            <v>26/04/2006</v>
          </cell>
          <cell r="P2865" t="str">
            <v>5N6426N1D954601</v>
          </cell>
          <cell r="Q2865" t="str">
            <v>กระดาษฉีกขาด</v>
          </cell>
        </row>
        <row r="2866">
          <cell r="A2866">
            <v>50139595</v>
          </cell>
          <cell r="B2866">
            <v>2865</v>
          </cell>
          <cell r="C2866" t="str">
            <v>OW01/1</v>
          </cell>
          <cell r="D2866" t="str">
            <v>SPCC-SD</v>
          </cell>
          <cell r="E2866" t="str">
            <v>AF1</v>
          </cell>
          <cell r="F2866">
            <v>0.4</v>
          </cell>
          <cell r="G2866">
            <v>548</v>
          </cell>
          <cell r="H2866">
            <v>1219</v>
          </cell>
          <cell r="I2866">
            <v>5</v>
          </cell>
          <cell r="J2866" t="str">
            <v>STORE</v>
          </cell>
          <cell r="K2866">
            <v>193</v>
          </cell>
          <cell r="L2866">
            <v>400</v>
          </cell>
          <cell r="M2866">
            <v>50139595</v>
          </cell>
          <cell r="N2866">
            <v>38968</v>
          </cell>
          <cell r="P2866" t="str">
            <v>5N6809D1D286103</v>
          </cell>
          <cell r="Q2866" t="str">
            <v>แผ่นรองและสายรัดเป็นสนิม</v>
          </cell>
        </row>
        <row r="2867">
          <cell r="A2867">
            <v>50141945</v>
          </cell>
          <cell r="B2867">
            <v>2866</v>
          </cell>
          <cell r="C2867" t="str">
            <v>OW01/1</v>
          </cell>
          <cell r="D2867" t="str">
            <v>SPCC-SD</v>
          </cell>
          <cell r="E2867" t="str">
            <v>AF1</v>
          </cell>
          <cell r="F2867">
            <v>0.4</v>
          </cell>
          <cell r="G2867">
            <v>548</v>
          </cell>
          <cell r="H2867">
            <v>1219</v>
          </cell>
          <cell r="I2867">
            <v>5</v>
          </cell>
          <cell r="J2867" t="str">
            <v>STORE</v>
          </cell>
          <cell r="K2867">
            <v>280</v>
          </cell>
          <cell r="L2867">
            <v>574</v>
          </cell>
          <cell r="M2867">
            <v>50141945</v>
          </cell>
          <cell r="N2867">
            <v>38846</v>
          </cell>
          <cell r="P2867" t="str">
            <v>5N6905D1L356301</v>
          </cell>
          <cell r="Q2867" t="str">
            <v>สภาพดี</v>
          </cell>
        </row>
        <row r="2868">
          <cell r="A2868">
            <v>50137614</v>
          </cell>
          <cell r="B2868">
            <v>2867</v>
          </cell>
          <cell r="C2868" t="str">
            <v>OW01/1</v>
          </cell>
          <cell r="D2868" t="str">
            <v>SPCC-SD</v>
          </cell>
          <cell r="E2868" t="str">
            <v>AF1</v>
          </cell>
          <cell r="F2868">
            <v>0.4</v>
          </cell>
          <cell r="G2868">
            <v>730</v>
          </cell>
          <cell r="H2868">
            <v>1219</v>
          </cell>
          <cell r="I2868">
            <v>5</v>
          </cell>
          <cell r="J2868" t="str">
            <v>STORE</v>
          </cell>
          <cell r="K2868">
            <v>135</v>
          </cell>
          <cell r="L2868">
            <v>377</v>
          </cell>
          <cell r="M2868">
            <v>50137614</v>
          </cell>
          <cell r="N2868" t="str">
            <v>24/07/2006</v>
          </cell>
          <cell r="P2868" t="str">
            <v>5N6724D1D224601</v>
          </cell>
          <cell r="Q2868" t="str">
            <v>กระดาษฉีกขาด</v>
          </cell>
        </row>
        <row r="2869">
          <cell r="A2869">
            <v>50131086</v>
          </cell>
          <cell r="B2869">
            <v>2868</v>
          </cell>
          <cell r="C2869" t="str">
            <v>OW01/1</v>
          </cell>
          <cell r="D2869" t="str">
            <v>SPCC-SD</v>
          </cell>
          <cell r="E2869" t="str">
            <v>AF1</v>
          </cell>
          <cell r="F2869">
            <v>0.5</v>
          </cell>
          <cell r="G2869">
            <v>786</v>
          </cell>
          <cell r="H2869">
            <v>1219</v>
          </cell>
          <cell r="I2869">
            <v>5</v>
          </cell>
          <cell r="J2869" t="str">
            <v>STORE</v>
          </cell>
          <cell r="K2869">
            <v>40</v>
          </cell>
          <cell r="L2869">
            <v>150</v>
          </cell>
          <cell r="M2869">
            <v>50131086</v>
          </cell>
          <cell r="N2869" t="str">
            <v>31/5/2006</v>
          </cell>
          <cell r="O2869" t="str">
            <v>125B04SUD003</v>
          </cell>
          <cell r="P2869" t="str">
            <v>5N6531D1D054701</v>
          </cell>
          <cell r="Q2869" t="str">
            <v>แผ่นรองและสายรัดเป็นสนิม</v>
          </cell>
        </row>
        <row r="2870">
          <cell r="A2870">
            <v>50100056</v>
          </cell>
          <cell r="B2870">
            <v>2869</v>
          </cell>
          <cell r="C2870" t="str">
            <v>OW01/1</v>
          </cell>
          <cell r="D2870" t="str">
            <v>SPCC-SD</v>
          </cell>
          <cell r="E2870" t="str">
            <v>AF1</v>
          </cell>
          <cell r="F2870">
            <v>0.6</v>
          </cell>
          <cell r="G2870">
            <v>265</v>
          </cell>
          <cell r="H2870">
            <v>615</v>
          </cell>
          <cell r="I2870">
            <v>5</v>
          </cell>
          <cell r="J2870" t="str">
            <v>STORE</v>
          </cell>
          <cell r="K2870">
            <v>62</v>
          </cell>
          <cell r="L2870">
            <v>48</v>
          </cell>
          <cell r="M2870">
            <v>50100056</v>
          </cell>
          <cell r="N2870" t="str">
            <v>28/09/2005</v>
          </cell>
          <cell r="P2870" t="str">
            <v>5N5928D3M323401</v>
          </cell>
          <cell r="Q2870" t="str">
            <v>แผ่นรองและสายรัดเป็นสนิม</v>
          </cell>
        </row>
        <row r="2871">
          <cell r="A2871">
            <v>50127576</v>
          </cell>
          <cell r="B2871">
            <v>2870</v>
          </cell>
          <cell r="C2871" t="str">
            <v>OW01/1</v>
          </cell>
          <cell r="D2871" t="str">
            <v>SPCC-SD</v>
          </cell>
          <cell r="E2871" t="str">
            <v>AF1</v>
          </cell>
          <cell r="F2871">
            <v>0.6</v>
          </cell>
          <cell r="G2871">
            <v>427</v>
          </cell>
          <cell r="H2871">
            <v>1219</v>
          </cell>
          <cell r="I2871">
            <v>5</v>
          </cell>
          <cell r="J2871" t="str">
            <v>STORE</v>
          </cell>
          <cell r="K2871">
            <v>118</v>
          </cell>
          <cell r="L2871">
            <v>286</v>
          </cell>
          <cell r="M2871">
            <v>50127576</v>
          </cell>
          <cell r="N2871" t="str">
            <v>27/04/2006</v>
          </cell>
          <cell r="P2871" t="str">
            <v>5N6427D1L956601</v>
          </cell>
          <cell r="Q2871" t="str">
            <v>แผ่นรองและสายรัดเป็นสนิม</v>
          </cell>
        </row>
        <row r="2872">
          <cell r="A2872">
            <v>50129438</v>
          </cell>
          <cell r="B2872">
            <v>2871</v>
          </cell>
          <cell r="C2872" t="str">
            <v>OW01/1</v>
          </cell>
          <cell r="D2872" t="str">
            <v>SPCC-SD</v>
          </cell>
          <cell r="E2872" t="str">
            <v>AF1</v>
          </cell>
          <cell r="F2872">
            <v>0.6</v>
          </cell>
          <cell r="G2872">
            <v>427</v>
          </cell>
          <cell r="H2872">
            <v>1219</v>
          </cell>
          <cell r="I2872">
            <v>5</v>
          </cell>
          <cell r="J2872" t="str">
            <v>STORE</v>
          </cell>
          <cell r="K2872">
            <v>149</v>
          </cell>
          <cell r="L2872">
            <v>365</v>
          </cell>
          <cell r="M2872">
            <v>50129438</v>
          </cell>
          <cell r="N2872" t="str">
            <v>17/05/2006</v>
          </cell>
          <cell r="P2872" t="str">
            <v>5N6517D3D017903</v>
          </cell>
          <cell r="Q2872" t="str">
            <v>แผ่นรองและสายรัดเป็นสนิม</v>
          </cell>
        </row>
        <row r="2873">
          <cell r="A2873">
            <v>50140401</v>
          </cell>
          <cell r="B2873">
            <v>2872</v>
          </cell>
          <cell r="C2873" t="str">
            <v>OW01/1</v>
          </cell>
          <cell r="D2873" t="str">
            <v>SPCC-SD</v>
          </cell>
          <cell r="E2873" t="str">
            <v>AF1</v>
          </cell>
          <cell r="F2873">
            <v>0.6</v>
          </cell>
          <cell r="G2873">
            <v>457</v>
          </cell>
          <cell r="H2873">
            <v>1219</v>
          </cell>
          <cell r="I2873">
            <v>5</v>
          </cell>
          <cell r="J2873" t="str">
            <v>STORE</v>
          </cell>
          <cell r="K2873">
            <v>190</v>
          </cell>
          <cell r="L2873">
            <v>499</v>
          </cell>
          <cell r="M2873">
            <v>50140401</v>
          </cell>
          <cell r="N2873" t="str">
            <v>19/08/2006</v>
          </cell>
          <cell r="P2873" t="str">
            <v>5N6819D1D306401</v>
          </cell>
          <cell r="Q2873" t="str">
            <v>กระดาษฉีกขาด และเป็นสนิม</v>
          </cell>
        </row>
        <row r="2874">
          <cell r="A2874">
            <v>50127133</v>
          </cell>
          <cell r="B2874">
            <v>2873</v>
          </cell>
          <cell r="C2874" t="str">
            <v>OW01/1</v>
          </cell>
          <cell r="D2874" t="str">
            <v>SPCC-SD</v>
          </cell>
          <cell r="E2874" t="str">
            <v>AF1</v>
          </cell>
          <cell r="F2874">
            <v>0.6</v>
          </cell>
          <cell r="G2874">
            <v>469</v>
          </cell>
          <cell r="H2874">
            <v>1219</v>
          </cell>
          <cell r="I2874">
            <v>5</v>
          </cell>
          <cell r="J2874" t="str">
            <v>STORE</v>
          </cell>
          <cell r="K2874">
            <v>163</v>
          </cell>
          <cell r="L2874">
            <v>439</v>
          </cell>
          <cell r="M2874">
            <v>50127133</v>
          </cell>
          <cell r="N2874" t="str">
            <v>24/04/2006</v>
          </cell>
          <cell r="P2874" t="str">
            <v>5N6424D1D955602</v>
          </cell>
          <cell r="Q2874" t="str">
            <v>แผ่นรองและสายรัดเป็นสนิม</v>
          </cell>
        </row>
        <row r="2875">
          <cell r="A2875">
            <v>50104315</v>
          </cell>
          <cell r="B2875">
            <v>2874</v>
          </cell>
          <cell r="C2875" t="str">
            <v>OW01/1</v>
          </cell>
          <cell r="D2875" t="str">
            <v>SPCC-SD</v>
          </cell>
          <cell r="E2875" t="str">
            <v>AF1</v>
          </cell>
          <cell r="F2875">
            <v>0.6</v>
          </cell>
          <cell r="G2875">
            <v>475</v>
          </cell>
          <cell r="H2875">
            <v>1219</v>
          </cell>
          <cell r="I2875">
            <v>5</v>
          </cell>
          <cell r="J2875" t="str">
            <v>STORE</v>
          </cell>
          <cell r="K2875">
            <v>130</v>
          </cell>
          <cell r="L2875">
            <v>355</v>
          </cell>
          <cell r="M2875">
            <v>50104315</v>
          </cell>
          <cell r="N2875" t="str">
            <v>31/10/2005</v>
          </cell>
          <cell r="P2875" t="str">
            <v>5N5A31D1M386302</v>
          </cell>
          <cell r="Q2875" t="str">
            <v>แผ่นรองและสายรัดเป็นสนิม</v>
          </cell>
        </row>
        <row r="2876">
          <cell r="A2876">
            <v>50105051</v>
          </cell>
          <cell r="B2876">
            <v>2875</v>
          </cell>
          <cell r="C2876" t="str">
            <v>OW01/1</v>
          </cell>
          <cell r="D2876" t="str">
            <v>SPCC-SD</v>
          </cell>
          <cell r="E2876" t="str">
            <v>AF1</v>
          </cell>
          <cell r="F2876">
            <v>0.6</v>
          </cell>
          <cell r="G2876">
            <v>475</v>
          </cell>
          <cell r="H2876">
            <v>1219</v>
          </cell>
          <cell r="I2876">
            <v>5</v>
          </cell>
          <cell r="J2876" t="str">
            <v>STORE</v>
          </cell>
          <cell r="K2876">
            <v>130</v>
          </cell>
          <cell r="L2876">
            <v>357</v>
          </cell>
          <cell r="M2876">
            <v>50105051</v>
          </cell>
          <cell r="N2876">
            <v>38453</v>
          </cell>
          <cell r="P2876" t="str">
            <v>5N5C04N1L443003</v>
          </cell>
          <cell r="Q2876" t="str">
            <v>แผ่นรองสายรัดเป็นสนิม กระดาษฉีกขาด</v>
          </cell>
        </row>
        <row r="2877">
          <cell r="A2877">
            <v>50114826</v>
          </cell>
          <cell r="B2877">
            <v>2876</v>
          </cell>
          <cell r="C2877" t="str">
            <v>OW01/1</v>
          </cell>
          <cell r="D2877" t="str">
            <v>SPCC-SD</v>
          </cell>
          <cell r="E2877" t="str">
            <v>AF1</v>
          </cell>
          <cell r="F2877">
            <v>0.6</v>
          </cell>
          <cell r="G2877">
            <v>475</v>
          </cell>
          <cell r="H2877">
            <v>1219</v>
          </cell>
          <cell r="I2877">
            <v>5</v>
          </cell>
          <cell r="J2877" t="str">
            <v>STORE</v>
          </cell>
          <cell r="K2877">
            <v>111</v>
          </cell>
          <cell r="L2877">
            <v>302</v>
          </cell>
          <cell r="M2877">
            <v>50114826</v>
          </cell>
          <cell r="N2877" t="str">
            <v>21/01/2006</v>
          </cell>
          <cell r="P2877" t="str">
            <v>5N6121N1L641704</v>
          </cell>
          <cell r="Q2877" t="str">
            <v>กระดาษฉีกขาด</v>
          </cell>
        </row>
        <row r="2878">
          <cell r="A2878">
            <v>50127143</v>
          </cell>
          <cell r="B2878">
            <v>2877</v>
          </cell>
          <cell r="C2878" t="str">
            <v>OW01/1</v>
          </cell>
          <cell r="D2878" t="str">
            <v>SPCC-SD</v>
          </cell>
          <cell r="E2878" t="str">
            <v>AF1</v>
          </cell>
          <cell r="F2878">
            <v>0.6</v>
          </cell>
          <cell r="G2878">
            <v>475</v>
          </cell>
          <cell r="H2878">
            <v>1219</v>
          </cell>
          <cell r="I2878">
            <v>5</v>
          </cell>
          <cell r="J2878" t="str">
            <v>STORE</v>
          </cell>
          <cell r="K2878">
            <v>159</v>
          </cell>
          <cell r="L2878">
            <v>434</v>
          </cell>
          <cell r="M2878">
            <v>50127143</v>
          </cell>
          <cell r="N2878" t="str">
            <v>24/04/2006</v>
          </cell>
          <cell r="P2878" t="str">
            <v>5N6424D1D955606</v>
          </cell>
          <cell r="Q2878" t="str">
            <v>กระดาษฉีกขาด</v>
          </cell>
        </row>
        <row r="2879">
          <cell r="A2879">
            <v>50127177</v>
          </cell>
          <cell r="B2879">
            <v>2878</v>
          </cell>
          <cell r="C2879" t="str">
            <v>OW01/1</v>
          </cell>
          <cell r="D2879" t="str">
            <v>SPCC-SD</v>
          </cell>
          <cell r="E2879" t="str">
            <v>AF1</v>
          </cell>
          <cell r="F2879">
            <v>0.6</v>
          </cell>
          <cell r="G2879">
            <v>475</v>
          </cell>
          <cell r="H2879">
            <v>1219</v>
          </cell>
          <cell r="I2879">
            <v>5</v>
          </cell>
          <cell r="J2879" t="str">
            <v>STORE</v>
          </cell>
          <cell r="K2879">
            <v>153</v>
          </cell>
          <cell r="L2879">
            <v>417</v>
          </cell>
          <cell r="M2879">
            <v>50127177</v>
          </cell>
          <cell r="N2879" t="str">
            <v>25/04/2006</v>
          </cell>
          <cell r="P2879" t="str">
            <v>5N6425D1D951107</v>
          </cell>
          <cell r="Q2879" t="str">
            <v>กระดาษฉีกขาด</v>
          </cell>
        </row>
        <row r="2880">
          <cell r="A2880">
            <v>50127703</v>
          </cell>
          <cell r="B2880">
            <v>2879</v>
          </cell>
          <cell r="C2880" t="str">
            <v>OW01/1</v>
          </cell>
          <cell r="D2880" t="str">
            <v>SPCC-SD</v>
          </cell>
          <cell r="E2880" t="str">
            <v>AF1</v>
          </cell>
          <cell r="F2880">
            <v>0.6</v>
          </cell>
          <cell r="G2880">
            <v>475</v>
          </cell>
          <cell r="H2880">
            <v>1219</v>
          </cell>
          <cell r="I2880">
            <v>5</v>
          </cell>
          <cell r="J2880" t="str">
            <v>STORE</v>
          </cell>
          <cell r="K2880">
            <v>126</v>
          </cell>
          <cell r="L2880">
            <v>344</v>
          </cell>
          <cell r="M2880">
            <v>50127703</v>
          </cell>
          <cell r="N2880" t="str">
            <v>28/04/2006</v>
          </cell>
          <cell r="P2880" t="str">
            <v>5N6428D1D969508</v>
          </cell>
          <cell r="Q2880" t="str">
            <v>กระดาษฉีกขาด</v>
          </cell>
        </row>
        <row r="2881">
          <cell r="A2881">
            <v>50127141</v>
          </cell>
          <cell r="B2881">
            <v>2880</v>
          </cell>
          <cell r="C2881" t="str">
            <v>OW01/1</v>
          </cell>
          <cell r="D2881" t="str">
            <v>SPCC-SD</v>
          </cell>
          <cell r="E2881" t="str">
            <v>AF1</v>
          </cell>
          <cell r="F2881">
            <v>0.6</v>
          </cell>
          <cell r="G2881">
            <v>475</v>
          </cell>
          <cell r="H2881">
            <v>1997</v>
          </cell>
          <cell r="I2881">
            <v>5</v>
          </cell>
          <cell r="J2881" t="str">
            <v>STORE</v>
          </cell>
          <cell r="K2881">
            <v>209</v>
          </cell>
          <cell r="L2881">
            <v>933</v>
          </cell>
          <cell r="M2881">
            <v>50127141</v>
          </cell>
          <cell r="N2881" t="str">
            <v>24/04/2006</v>
          </cell>
          <cell r="P2881" t="str">
            <v>5N6424D1D955601</v>
          </cell>
          <cell r="Q2881" t="str">
            <v>แผ่นรองและสายรัดเป็นสนิม</v>
          </cell>
        </row>
        <row r="2882">
          <cell r="A2882">
            <v>50125799</v>
          </cell>
          <cell r="B2882">
            <v>2881</v>
          </cell>
          <cell r="C2882" t="str">
            <v>OW01/1</v>
          </cell>
          <cell r="D2882" t="str">
            <v>SPCC-SD</v>
          </cell>
          <cell r="E2882" t="str">
            <v>AF1</v>
          </cell>
          <cell r="F2882">
            <v>0.6</v>
          </cell>
          <cell r="G2882">
            <v>482</v>
          </cell>
          <cell r="H2882">
            <v>1300</v>
          </cell>
          <cell r="I2882">
            <v>5</v>
          </cell>
          <cell r="J2882" t="str">
            <v>STORE</v>
          </cell>
          <cell r="K2882">
            <v>71</v>
          </cell>
          <cell r="L2882">
            <v>210</v>
          </cell>
          <cell r="M2882">
            <v>50125799</v>
          </cell>
          <cell r="N2882" t="str">
            <v>06/04/206</v>
          </cell>
          <cell r="P2882" t="str">
            <v>5N6404D3D924001</v>
          </cell>
          <cell r="Q2882" t="str">
            <v>แผ่นรองและสายรัดเป็นสนิม</v>
          </cell>
        </row>
        <row r="2883">
          <cell r="A2883">
            <v>50100284</v>
          </cell>
          <cell r="B2883">
            <v>2882</v>
          </cell>
          <cell r="C2883" t="str">
            <v>OW01/1</v>
          </cell>
          <cell r="D2883" t="str">
            <v>SPCC-SD</v>
          </cell>
          <cell r="E2883" t="str">
            <v>AF1</v>
          </cell>
          <cell r="F2883">
            <v>0.6</v>
          </cell>
          <cell r="G2883">
            <v>489</v>
          </cell>
          <cell r="H2883">
            <v>1904.5</v>
          </cell>
          <cell r="I2883">
            <v>5</v>
          </cell>
          <cell r="J2883" t="str">
            <v>STORE</v>
          </cell>
          <cell r="K2883">
            <v>52</v>
          </cell>
          <cell r="L2883">
            <v>664</v>
          </cell>
          <cell r="M2883">
            <v>50100284</v>
          </cell>
          <cell r="N2883" t="str">
            <v>30/9/2005</v>
          </cell>
          <cell r="P2883" t="str">
            <v>5N6930D3R535101</v>
          </cell>
          <cell r="Q2883" t="str">
            <v>กระดาษฉีกขาด</v>
          </cell>
        </row>
        <row r="2884">
          <cell r="A2884">
            <v>50104217</v>
          </cell>
          <cell r="B2884">
            <v>2883</v>
          </cell>
          <cell r="C2884" t="str">
            <v>OW01/1</v>
          </cell>
          <cell r="D2884" t="str">
            <v>SPCC-SD</v>
          </cell>
          <cell r="E2884" t="str">
            <v>AF1</v>
          </cell>
          <cell r="F2884">
            <v>0.6</v>
          </cell>
          <cell r="G2884">
            <v>492</v>
          </cell>
          <cell r="H2884">
            <v>1219</v>
          </cell>
          <cell r="I2884">
            <v>5</v>
          </cell>
          <cell r="J2884" t="str">
            <v>STORE</v>
          </cell>
          <cell r="K2884">
            <v>125</v>
          </cell>
          <cell r="L2884">
            <v>353</v>
          </cell>
          <cell r="M2884">
            <v>50104217</v>
          </cell>
          <cell r="N2884" t="str">
            <v>29/10/2005</v>
          </cell>
          <cell r="P2884" t="str">
            <v>5N5A29D1M386201</v>
          </cell>
          <cell r="Q2884" t="str">
            <v>แผ่นรองและสายรัดเป็นสนิม</v>
          </cell>
        </row>
        <row r="2885">
          <cell r="A2885">
            <v>50125240</v>
          </cell>
          <cell r="B2885">
            <v>2884</v>
          </cell>
          <cell r="C2885" t="str">
            <v>OW01/1</v>
          </cell>
          <cell r="D2885" t="str">
            <v>SPCC-SD</v>
          </cell>
          <cell r="E2885" t="str">
            <v>AF1</v>
          </cell>
          <cell r="F2885">
            <v>0.6</v>
          </cell>
          <cell r="G2885">
            <v>492</v>
          </cell>
          <cell r="H2885">
            <v>1219</v>
          </cell>
          <cell r="I2885">
            <v>5</v>
          </cell>
          <cell r="J2885" t="str">
            <v>STORE</v>
          </cell>
          <cell r="K2885">
            <v>115</v>
          </cell>
          <cell r="L2885">
            <v>328</v>
          </cell>
          <cell r="M2885">
            <v>50125240</v>
          </cell>
          <cell r="N2885">
            <v>38721</v>
          </cell>
          <cell r="P2885" t="str">
            <v>5N6401D1L911105</v>
          </cell>
          <cell r="Q2885" t="str">
            <v>กระดาษฉีกขาด</v>
          </cell>
        </row>
        <row r="2886">
          <cell r="A2886">
            <v>50119118</v>
          </cell>
          <cell r="B2886">
            <v>2885</v>
          </cell>
          <cell r="C2886" t="str">
            <v>OW01/1</v>
          </cell>
          <cell r="D2886" t="str">
            <v>SPCC-SD</v>
          </cell>
          <cell r="E2886" t="str">
            <v>AF1</v>
          </cell>
          <cell r="F2886">
            <v>0.6</v>
          </cell>
          <cell r="G2886">
            <v>580</v>
          </cell>
          <cell r="H2886">
            <v>1219</v>
          </cell>
          <cell r="I2886">
            <v>5</v>
          </cell>
          <cell r="J2886" t="str">
            <v>STORE</v>
          </cell>
          <cell r="K2886">
            <v>91</v>
          </cell>
          <cell r="L2886">
            <v>300</v>
          </cell>
          <cell r="M2886">
            <v>50119118</v>
          </cell>
          <cell r="N2886" t="str">
            <v>24/02/2006</v>
          </cell>
          <cell r="P2886" t="str">
            <v>5N6224D1L776801</v>
          </cell>
          <cell r="Q2886" t="str">
            <v>กระดาษฉีกขาด</v>
          </cell>
        </row>
        <row r="2887">
          <cell r="A2887">
            <v>50125745</v>
          </cell>
          <cell r="B2887">
            <v>2886</v>
          </cell>
          <cell r="C2887" t="str">
            <v>OW01/1</v>
          </cell>
          <cell r="D2887" t="str">
            <v>SPCC-SD</v>
          </cell>
          <cell r="E2887" t="str">
            <v>AF1</v>
          </cell>
          <cell r="F2887">
            <v>0.6</v>
          </cell>
          <cell r="G2887">
            <v>595</v>
          </cell>
          <cell r="H2887">
            <v>1219</v>
          </cell>
          <cell r="I2887">
            <v>5</v>
          </cell>
          <cell r="J2887" t="str">
            <v>STORE</v>
          </cell>
          <cell r="K2887">
            <v>108</v>
          </cell>
          <cell r="L2887">
            <v>372</v>
          </cell>
          <cell r="M2887">
            <v>50125745</v>
          </cell>
          <cell r="N2887">
            <v>38872</v>
          </cell>
          <cell r="P2887" t="str">
            <v>5N6406D2R710905</v>
          </cell>
          <cell r="Q2887" t="str">
            <v>กระดาษฉีกขาด</v>
          </cell>
        </row>
        <row r="2888">
          <cell r="A2888">
            <v>50110149</v>
          </cell>
          <cell r="B2888">
            <v>2887</v>
          </cell>
          <cell r="C2888" t="str">
            <v>OW01/1</v>
          </cell>
          <cell r="D2888" t="str">
            <v>SPCC-SD</v>
          </cell>
          <cell r="E2888" t="str">
            <v>AF1</v>
          </cell>
          <cell r="F2888">
            <v>0.6</v>
          </cell>
          <cell r="G2888">
            <v>627.1</v>
          </cell>
          <cell r="H2888">
            <v>1219</v>
          </cell>
          <cell r="I2888">
            <v>5</v>
          </cell>
          <cell r="J2888" t="str">
            <v>STORE</v>
          </cell>
          <cell r="K2888">
            <v>104</v>
          </cell>
          <cell r="L2888">
            <v>375</v>
          </cell>
          <cell r="M2888">
            <v>50110149</v>
          </cell>
          <cell r="N2888" t="str">
            <v>14/12/2005</v>
          </cell>
          <cell r="O2888" t="str">
            <v>125803SUD007</v>
          </cell>
          <cell r="P2888" t="str">
            <v>5N5C14D1L562401</v>
          </cell>
          <cell r="Q2888" t="str">
            <v>แผ่นรองและสายรัดเป็นสนิม</v>
          </cell>
        </row>
        <row r="2889">
          <cell r="A2889">
            <v>50123608</v>
          </cell>
          <cell r="B2889">
            <v>2888</v>
          </cell>
          <cell r="C2889" t="str">
            <v>OW01/1</v>
          </cell>
          <cell r="D2889" t="str">
            <v>SPCC-SD</v>
          </cell>
          <cell r="E2889" t="str">
            <v>AF1</v>
          </cell>
          <cell r="F2889">
            <v>0.6</v>
          </cell>
          <cell r="G2889">
            <v>915</v>
          </cell>
          <cell r="H2889">
            <v>1219</v>
          </cell>
          <cell r="I2889">
            <v>5</v>
          </cell>
          <cell r="J2889" t="str">
            <v>STORE</v>
          </cell>
          <cell r="K2889">
            <v>91</v>
          </cell>
          <cell r="L2889">
            <v>480</v>
          </cell>
          <cell r="M2889">
            <v>50123608</v>
          </cell>
          <cell r="N2889" t="str">
            <v>23/3/2006</v>
          </cell>
          <cell r="P2889" t="str">
            <v>5N6323N1L865801</v>
          </cell>
          <cell r="Q2889" t="str">
            <v>กระดาษฉีกขาด</v>
          </cell>
        </row>
        <row r="2890">
          <cell r="A2890">
            <v>50101264</v>
          </cell>
          <cell r="B2890">
            <v>2889</v>
          </cell>
          <cell r="C2890" t="str">
            <v>OW01/1</v>
          </cell>
          <cell r="D2890" t="str">
            <v>SPCC-SD</v>
          </cell>
          <cell r="E2890" t="str">
            <v>AF1</v>
          </cell>
          <cell r="F2890">
            <v>0.6</v>
          </cell>
          <cell r="G2890">
            <v>687</v>
          </cell>
          <cell r="H2890">
            <v>1219</v>
          </cell>
          <cell r="I2890">
            <v>5</v>
          </cell>
          <cell r="J2890" t="str">
            <v>STORE</v>
          </cell>
          <cell r="K2890">
            <v>85</v>
          </cell>
          <cell r="L2890">
            <v>337</v>
          </cell>
          <cell r="M2890">
            <v>50101264</v>
          </cell>
          <cell r="N2890">
            <v>38635</v>
          </cell>
          <cell r="P2890" t="str">
            <v>5N5A10D1L345201</v>
          </cell>
          <cell r="Q2890" t="str">
            <v>กระดาษฉีกขาด</v>
          </cell>
        </row>
        <row r="2891">
          <cell r="A2891">
            <v>50129917</v>
          </cell>
          <cell r="B2891">
            <v>2890</v>
          </cell>
          <cell r="C2891" t="str">
            <v>OW01/1</v>
          </cell>
          <cell r="D2891" t="str">
            <v>SPCC-SD</v>
          </cell>
          <cell r="E2891" t="str">
            <v>AF1</v>
          </cell>
          <cell r="F2891">
            <v>0.6</v>
          </cell>
          <cell r="G2891">
            <v>660</v>
          </cell>
          <cell r="H2891">
            <v>1219</v>
          </cell>
          <cell r="I2891">
            <v>5</v>
          </cell>
          <cell r="J2891" t="str">
            <v>STORE</v>
          </cell>
          <cell r="K2891">
            <v>116</v>
          </cell>
          <cell r="L2891">
            <v>440</v>
          </cell>
          <cell r="M2891">
            <v>50129917</v>
          </cell>
          <cell r="N2891" t="str">
            <v>22/05/2006</v>
          </cell>
          <cell r="P2891" t="str">
            <v>5N6522D1V999901</v>
          </cell>
          <cell r="Q2891" t="str">
            <v>กระดาษฉีกขาด</v>
          </cell>
        </row>
        <row r="2892">
          <cell r="A2892">
            <v>50129387</v>
          </cell>
          <cell r="B2892">
            <v>2891</v>
          </cell>
          <cell r="C2892" t="str">
            <v>OW01/1</v>
          </cell>
          <cell r="D2892" t="str">
            <v>SPCC-SD</v>
          </cell>
          <cell r="E2892" t="str">
            <v>AF1</v>
          </cell>
          <cell r="F2892">
            <v>0.6</v>
          </cell>
          <cell r="G2892">
            <v>652</v>
          </cell>
          <cell r="H2892">
            <v>1219</v>
          </cell>
          <cell r="I2892">
            <v>5</v>
          </cell>
          <cell r="J2892" t="str">
            <v>STORE</v>
          </cell>
          <cell r="K2892">
            <v>107</v>
          </cell>
          <cell r="L2892">
            <v>400</v>
          </cell>
          <cell r="M2892">
            <v>50129387</v>
          </cell>
          <cell r="N2892" t="str">
            <v>17/05/2006</v>
          </cell>
          <cell r="P2892" t="str">
            <v>5N6517N1L012201</v>
          </cell>
          <cell r="Q2892" t="str">
            <v>แผ่นรองและสายรัดเป็นสนิม</v>
          </cell>
        </row>
        <row r="2893">
          <cell r="A2893">
            <v>50111330</v>
          </cell>
          <cell r="B2893">
            <v>2892</v>
          </cell>
          <cell r="C2893" t="str">
            <v>OW01/1</v>
          </cell>
          <cell r="D2893" t="str">
            <v>SPCC-SD</v>
          </cell>
          <cell r="E2893" t="str">
            <v>AF1</v>
          </cell>
          <cell r="F2893">
            <v>0.6</v>
          </cell>
          <cell r="G2893">
            <v>630</v>
          </cell>
          <cell r="H2893">
            <v>1219</v>
          </cell>
          <cell r="I2893">
            <v>5</v>
          </cell>
          <cell r="J2893" t="str">
            <v>STORE</v>
          </cell>
          <cell r="K2893">
            <v>125</v>
          </cell>
          <cell r="L2893">
            <v>452</v>
          </cell>
          <cell r="M2893">
            <v>50111330</v>
          </cell>
          <cell r="N2893" t="str">
            <v>21/12/2005</v>
          </cell>
          <cell r="O2893" t="str">
            <v>125907TCD042</v>
          </cell>
          <cell r="P2893" t="str">
            <v>5N5C21D1D584501</v>
          </cell>
          <cell r="Q2893" t="str">
            <v>แผ่นรองและสายรัดเป็นสนิม</v>
          </cell>
        </row>
        <row r="2894">
          <cell r="A2894">
            <v>50102015</v>
          </cell>
          <cell r="B2894">
            <v>2893</v>
          </cell>
          <cell r="C2894" t="str">
            <v>OW01/1</v>
          </cell>
          <cell r="D2894" t="str">
            <v>SPCC-SD</v>
          </cell>
          <cell r="E2894" t="str">
            <v>AF1</v>
          </cell>
          <cell r="F2894">
            <v>0.6</v>
          </cell>
          <cell r="G2894">
            <v>630.1</v>
          </cell>
          <cell r="H2894">
            <v>1219</v>
          </cell>
          <cell r="I2894">
            <v>5</v>
          </cell>
          <cell r="J2894" t="str">
            <v>STORE</v>
          </cell>
          <cell r="K2894">
            <v>106</v>
          </cell>
          <cell r="L2894">
            <v>383</v>
          </cell>
          <cell r="M2894">
            <v>50102015</v>
          </cell>
          <cell r="N2894" t="str">
            <v>14/10/2005</v>
          </cell>
          <cell r="P2894" t="str">
            <v>5N5A14D2M381701</v>
          </cell>
          <cell r="Q2894" t="str">
            <v>แผ่นรองและสายรัดเป็นสนิม</v>
          </cell>
        </row>
        <row r="2895">
          <cell r="A2895">
            <v>50107264</v>
          </cell>
          <cell r="B2895">
            <v>2894</v>
          </cell>
          <cell r="C2895" t="str">
            <v>OW01/1</v>
          </cell>
          <cell r="D2895" t="str">
            <v>SPCC-SD</v>
          </cell>
          <cell r="E2895" t="str">
            <v>AF1</v>
          </cell>
          <cell r="F2895">
            <v>0.6</v>
          </cell>
          <cell r="G2895">
            <v>630.1</v>
          </cell>
          <cell r="H2895">
            <v>1219</v>
          </cell>
          <cell r="I2895">
            <v>5</v>
          </cell>
          <cell r="J2895" t="str">
            <v>STORE</v>
          </cell>
          <cell r="K2895">
            <v>67</v>
          </cell>
          <cell r="L2895">
            <v>242</v>
          </cell>
          <cell r="M2895">
            <v>50107264</v>
          </cell>
          <cell r="N2895" t="str">
            <v>22/11/2005</v>
          </cell>
          <cell r="O2895" t="str">
            <v>125817SUD005</v>
          </cell>
          <cell r="P2895" t="str">
            <v>5N5B22D1L494903</v>
          </cell>
          <cell r="Q2895" t="str">
            <v>กระดาษฉีกขาด</v>
          </cell>
        </row>
        <row r="2896">
          <cell r="A2896">
            <v>50111588</v>
          </cell>
          <cell r="B2896">
            <v>2895</v>
          </cell>
          <cell r="C2896" t="str">
            <v>OW01/1</v>
          </cell>
          <cell r="D2896" t="str">
            <v>SPCC-SD</v>
          </cell>
          <cell r="E2896" t="str">
            <v>AF1</v>
          </cell>
          <cell r="F2896">
            <v>0.6</v>
          </cell>
          <cell r="G2896">
            <v>630.1</v>
          </cell>
          <cell r="H2896">
            <v>1219</v>
          </cell>
          <cell r="I2896">
            <v>5</v>
          </cell>
          <cell r="J2896" t="str">
            <v>STORE</v>
          </cell>
          <cell r="K2896">
            <v>67</v>
          </cell>
          <cell r="L2896">
            <v>240</v>
          </cell>
          <cell r="M2896">
            <v>50111588</v>
          </cell>
          <cell r="N2896" t="str">
            <v>22/12/2005</v>
          </cell>
          <cell r="P2896" t="str">
            <v>5N5C22N1L562304</v>
          </cell>
          <cell r="Q2896" t="str">
            <v>กระดาษฉีกขาด</v>
          </cell>
        </row>
        <row r="2897">
          <cell r="A2897">
            <v>50099604</v>
          </cell>
          <cell r="B2897">
            <v>2896</v>
          </cell>
          <cell r="C2897" t="str">
            <v>OW01/1</v>
          </cell>
          <cell r="D2897" t="str">
            <v>SPCC-SD</v>
          </cell>
          <cell r="E2897" t="str">
            <v>AF1</v>
          </cell>
          <cell r="F2897">
            <v>0.6</v>
          </cell>
          <cell r="G2897">
            <v>641.1</v>
          </cell>
          <cell r="H2897">
            <v>1219</v>
          </cell>
          <cell r="I2897">
            <v>5</v>
          </cell>
          <cell r="J2897" t="str">
            <v>STORE</v>
          </cell>
          <cell r="K2897">
            <v>100</v>
          </cell>
          <cell r="L2897">
            <v>370</v>
          </cell>
          <cell r="M2897">
            <v>50099604</v>
          </cell>
          <cell r="N2897" t="str">
            <v>24/9/2005</v>
          </cell>
          <cell r="P2897" t="str">
            <v>5N5924D1L317501</v>
          </cell>
          <cell r="Q2897" t="str">
            <v>กระดาษฉีกขาด</v>
          </cell>
        </row>
        <row r="2898">
          <cell r="A2898">
            <v>50107108</v>
          </cell>
          <cell r="B2898">
            <v>2897</v>
          </cell>
          <cell r="C2898" t="str">
            <v>OW01/1</v>
          </cell>
          <cell r="D2898" t="str">
            <v>SPCC-SD</v>
          </cell>
          <cell r="E2898" t="str">
            <v>AF1</v>
          </cell>
          <cell r="F2898">
            <v>0.6</v>
          </cell>
          <cell r="G2898">
            <v>641.1</v>
          </cell>
          <cell r="H2898">
            <v>1219</v>
          </cell>
          <cell r="I2898">
            <v>5</v>
          </cell>
          <cell r="J2898" t="str">
            <v>STORE</v>
          </cell>
          <cell r="K2898">
            <v>173</v>
          </cell>
          <cell r="L2898">
            <v>637</v>
          </cell>
          <cell r="M2898">
            <v>50107108</v>
          </cell>
          <cell r="N2898" t="str">
            <v>21/11/2005</v>
          </cell>
          <cell r="P2898" t="str">
            <v>5N5B21D1D498804</v>
          </cell>
          <cell r="Q2898" t="str">
            <v>กระดาษฉีกขาด</v>
          </cell>
        </row>
        <row r="2899">
          <cell r="A2899">
            <v>50112338</v>
          </cell>
          <cell r="B2899">
            <v>2898</v>
          </cell>
          <cell r="C2899" t="str">
            <v>OW01/1</v>
          </cell>
          <cell r="D2899" t="str">
            <v>SPCC-SD</v>
          </cell>
          <cell r="E2899" t="str">
            <v>AF1</v>
          </cell>
          <cell r="F2899">
            <v>0.6</v>
          </cell>
          <cell r="G2899">
            <v>641.1</v>
          </cell>
          <cell r="H2899">
            <v>1219</v>
          </cell>
          <cell r="I2899">
            <v>5</v>
          </cell>
          <cell r="J2899" t="str">
            <v>STORE</v>
          </cell>
          <cell r="K2899">
            <v>93</v>
          </cell>
          <cell r="L2899">
            <v>342</v>
          </cell>
          <cell r="M2899">
            <v>50112338</v>
          </cell>
          <cell r="N2899" t="str">
            <v>29/12/2005</v>
          </cell>
          <cell r="O2899" t="str">
            <v>125817SUD001</v>
          </cell>
          <cell r="P2899" t="str">
            <v>5N5C29N1L562105</v>
          </cell>
          <cell r="Q2899" t="str">
            <v>กระดาษฉีกขาด</v>
          </cell>
        </row>
        <row r="2900">
          <cell r="A2900">
            <v>50121532</v>
          </cell>
          <cell r="B2900">
            <v>2899</v>
          </cell>
          <cell r="C2900" t="str">
            <v>OW01/1</v>
          </cell>
          <cell r="D2900" t="str">
            <v>SPCC-SD</v>
          </cell>
          <cell r="E2900" t="str">
            <v>AF1</v>
          </cell>
          <cell r="F2900">
            <v>0.6</v>
          </cell>
          <cell r="G2900">
            <v>641.1</v>
          </cell>
          <cell r="H2900">
            <v>1219</v>
          </cell>
          <cell r="I2900">
            <v>5</v>
          </cell>
          <cell r="J2900" t="str">
            <v>STORE</v>
          </cell>
          <cell r="K2900">
            <v>177</v>
          </cell>
          <cell r="L2900">
            <v>641</v>
          </cell>
          <cell r="M2900">
            <v>50121532</v>
          </cell>
          <cell r="N2900">
            <v>38993</v>
          </cell>
          <cell r="P2900" t="str">
            <v>5N6310D1L824206</v>
          </cell>
          <cell r="Q2900" t="str">
            <v>แผ่นรองและสายรัดเป็นสนิม</v>
          </cell>
        </row>
        <row r="2901">
          <cell r="A2901">
            <v>50099641</v>
          </cell>
          <cell r="B2901">
            <v>2900</v>
          </cell>
          <cell r="C2901" t="str">
            <v>OW01/1</v>
          </cell>
          <cell r="D2901" t="str">
            <v>SPCC-SD</v>
          </cell>
          <cell r="E2901" t="str">
            <v>AF1</v>
          </cell>
          <cell r="F2901">
            <v>0.6</v>
          </cell>
          <cell r="G2901">
            <v>644.6</v>
          </cell>
          <cell r="H2901">
            <v>1219</v>
          </cell>
          <cell r="I2901">
            <v>5</v>
          </cell>
          <cell r="J2901" t="str">
            <v>STORE</v>
          </cell>
          <cell r="K2901">
            <v>80</v>
          </cell>
          <cell r="L2901">
            <v>295</v>
          </cell>
          <cell r="M2901">
            <v>50099641</v>
          </cell>
          <cell r="N2901" t="str">
            <v>24/09/2005</v>
          </cell>
          <cell r="P2901" t="str">
            <v>5N5924D1L317501</v>
          </cell>
          <cell r="Q2901" t="str">
            <v>กระดาษฉีกขาด</v>
          </cell>
        </row>
        <row r="2902">
          <cell r="A2902">
            <v>50104234</v>
          </cell>
          <cell r="B2902">
            <v>2901</v>
          </cell>
          <cell r="C2902" t="str">
            <v>OW01/1</v>
          </cell>
          <cell r="D2902" t="str">
            <v>SPCC-SD</v>
          </cell>
          <cell r="E2902" t="str">
            <v>AF1</v>
          </cell>
          <cell r="F2902">
            <v>0.6</v>
          </cell>
          <cell r="G2902">
            <v>644.6</v>
          </cell>
          <cell r="H2902">
            <v>1219</v>
          </cell>
          <cell r="I2902">
            <v>5</v>
          </cell>
          <cell r="J2902" t="str">
            <v>STORE</v>
          </cell>
          <cell r="K2902">
            <v>130</v>
          </cell>
          <cell r="L2902">
            <v>480</v>
          </cell>
          <cell r="M2902">
            <v>50104234</v>
          </cell>
          <cell r="N2902" t="str">
            <v>29/10/2005</v>
          </cell>
          <cell r="P2902" t="str">
            <v>5N5A29N1L387003</v>
          </cell>
          <cell r="Q2902" t="str">
            <v>แผ่นรองและสายรัดเป็นสนิม</v>
          </cell>
        </row>
        <row r="2903">
          <cell r="A2903">
            <v>50105020</v>
          </cell>
          <cell r="B2903">
            <v>2902</v>
          </cell>
          <cell r="C2903" t="str">
            <v>OW01/1</v>
          </cell>
          <cell r="D2903" t="str">
            <v>SPCC-SD</v>
          </cell>
          <cell r="E2903" t="str">
            <v>AF1</v>
          </cell>
          <cell r="F2903">
            <v>0.6</v>
          </cell>
          <cell r="G2903">
            <v>644.6</v>
          </cell>
          <cell r="H2903">
            <v>1219</v>
          </cell>
          <cell r="I2903">
            <v>5</v>
          </cell>
          <cell r="J2903" t="str">
            <v>STORE</v>
          </cell>
          <cell r="K2903">
            <v>202</v>
          </cell>
          <cell r="L2903">
            <v>751</v>
          </cell>
          <cell r="M2903">
            <v>50105020</v>
          </cell>
          <cell r="N2903">
            <v>38453</v>
          </cell>
          <cell r="P2903" t="str">
            <v>5N5B04D1L445204</v>
          </cell>
          <cell r="Q2903" t="str">
            <v>แผ่นรองและสายรัดเป็นสนิม</v>
          </cell>
        </row>
        <row r="2904">
          <cell r="A2904">
            <v>50114857</v>
          </cell>
          <cell r="B2904">
            <v>2903</v>
          </cell>
          <cell r="C2904" t="str">
            <v>OW01/1</v>
          </cell>
          <cell r="D2904" t="str">
            <v>SPCC-SD</v>
          </cell>
          <cell r="E2904" t="str">
            <v>AF1</v>
          </cell>
          <cell r="F2904">
            <v>0.6</v>
          </cell>
          <cell r="G2904">
            <v>644.6</v>
          </cell>
          <cell r="H2904">
            <v>1219</v>
          </cell>
          <cell r="I2904">
            <v>5</v>
          </cell>
          <cell r="J2904" t="str">
            <v>STORE</v>
          </cell>
          <cell r="K2904">
            <v>265</v>
          </cell>
          <cell r="L2904">
            <v>980</v>
          </cell>
          <cell r="M2904">
            <v>50114857</v>
          </cell>
          <cell r="N2904" t="str">
            <v>21/01/2006</v>
          </cell>
          <cell r="P2904" t="str">
            <v>5N6121D1L641506</v>
          </cell>
          <cell r="Q2904" t="str">
            <v>แผ่นรองและสายรัดเป็นสนิม</v>
          </cell>
        </row>
        <row r="2905">
          <cell r="A2905">
            <v>50125242</v>
          </cell>
          <cell r="B2905">
            <v>2904</v>
          </cell>
          <cell r="C2905" t="str">
            <v>OW01/1</v>
          </cell>
          <cell r="D2905" t="str">
            <v>SPCC-SD</v>
          </cell>
          <cell r="E2905" t="str">
            <v>AF1</v>
          </cell>
          <cell r="F2905">
            <v>0.6</v>
          </cell>
          <cell r="G2905">
            <v>644.6</v>
          </cell>
          <cell r="H2905">
            <v>1219</v>
          </cell>
          <cell r="I2905">
            <v>5</v>
          </cell>
          <cell r="J2905" t="str">
            <v>STORE</v>
          </cell>
          <cell r="K2905">
            <v>149</v>
          </cell>
          <cell r="L2905">
            <v>560</v>
          </cell>
          <cell r="M2905">
            <v>50125242</v>
          </cell>
          <cell r="N2905">
            <v>38721</v>
          </cell>
          <cell r="P2905" t="str">
            <v>5N6401N1L912108</v>
          </cell>
          <cell r="Q2905" t="str">
            <v>กระดาษฉีกขาด</v>
          </cell>
        </row>
        <row r="2906">
          <cell r="A2906">
            <v>50104100</v>
          </cell>
          <cell r="B2906">
            <v>2905</v>
          </cell>
          <cell r="C2906" t="str">
            <v>OW01/1</v>
          </cell>
          <cell r="D2906" t="str">
            <v>SPCC-SD</v>
          </cell>
          <cell r="E2906" t="str">
            <v>AF1</v>
          </cell>
          <cell r="F2906">
            <v>0.6</v>
          </cell>
          <cell r="G2906">
            <v>685.8</v>
          </cell>
          <cell r="H2906">
            <v>1219</v>
          </cell>
          <cell r="I2906">
            <v>5</v>
          </cell>
          <cell r="J2906" t="str">
            <v>STORE</v>
          </cell>
          <cell r="K2906">
            <v>148</v>
          </cell>
          <cell r="L2906">
            <v>585</v>
          </cell>
          <cell r="M2906">
            <v>50104100</v>
          </cell>
          <cell r="N2906" t="str">
            <v>28/10/2005</v>
          </cell>
          <cell r="O2906" t="str">
            <v>125315SUD004</v>
          </cell>
          <cell r="P2906" t="str">
            <v>5N5A28D1L387204</v>
          </cell>
          <cell r="Q2906" t="str">
            <v>กระดาษฉีกขาด</v>
          </cell>
        </row>
        <row r="2907">
          <cell r="A2907">
            <v>50104128</v>
          </cell>
          <cell r="B2907">
            <v>2906</v>
          </cell>
          <cell r="C2907" t="str">
            <v>OW01/1</v>
          </cell>
          <cell r="D2907" t="str">
            <v>SPCC-SD</v>
          </cell>
          <cell r="E2907" t="str">
            <v>AF1</v>
          </cell>
          <cell r="F2907">
            <v>0.6</v>
          </cell>
          <cell r="G2907">
            <v>685.8</v>
          </cell>
          <cell r="H2907">
            <v>1219</v>
          </cell>
          <cell r="I2907">
            <v>5</v>
          </cell>
          <cell r="J2907" t="str">
            <v>STORE</v>
          </cell>
          <cell r="K2907">
            <v>116</v>
          </cell>
          <cell r="L2907">
            <v>460</v>
          </cell>
          <cell r="M2907">
            <v>50104128</v>
          </cell>
          <cell r="N2907" t="str">
            <v>29/10/205</v>
          </cell>
          <cell r="O2907" t="str">
            <v>125315SUD005</v>
          </cell>
          <cell r="P2907" t="str">
            <v>5N5A29D1L387205</v>
          </cell>
          <cell r="Q2907" t="str">
            <v>กระดาษฉีกขาด</v>
          </cell>
        </row>
        <row r="2908">
          <cell r="A2908">
            <v>50115688</v>
          </cell>
          <cell r="B2908">
            <v>2907</v>
          </cell>
          <cell r="C2908" t="str">
            <v>OW01/1</v>
          </cell>
          <cell r="D2908" t="str">
            <v>SPCC-SD</v>
          </cell>
          <cell r="E2908" t="str">
            <v>AF1</v>
          </cell>
          <cell r="F2908">
            <v>0.6</v>
          </cell>
          <cell r="G2908">
            <v>685.8</v>
          </cell>
          <cell r="H2908">
            <v>1219</v>
          </cell>
          <cell r="I2908">
            <v>5</v>
          </cell>
          <cell r="J2908" t="str">
            <v>STORE</v>
          </cell>
          <cell r="K2908">
            <v>93</v>
          </cell>
          <cell r="L2908">
            <v>366</v>
          </cell>
          <cell r="M2908">
            <v>50115688</v>
          </cell>
          <cell r="N2908" t="str">
            <v>30/01/2006</v>
          </cell>
          <cell r="P2908" t="str">
            <v>5N6130D1D687606</v>
          </cell>
          <cell r="Q2908" t="str">
            <v>กระดาษฉีกขาด</v>
          </cell>
        </row>
        <row r="2909">
          <cell r="A2909">
            <v>50131589</v>
          </cell>
          <cell r="B2909">
            <v>2908</v>
          </cell>
          <cell r="C2909" t="str">
            <v>OW01/1</v>
          </cell>
          <cell r="D2909" t="str">
            <v>SPCC-SD</v>
          </cell>
          <cell r="E2909" t="str">
            <v>AF1</v>
          </cell>
          <cell r="F2909">
            <v>0.6</v>
          </cell>
          <cell r="G2909">
            <v>685.8</v>
          </cell>
          <cell r="H2909">
            <v>1219</v>
          </cell>
          <cell r="I2909">
            <v>5</v>
          </cell>
          <cell r="J2909" t="str">
            <v>STORE</v>
          </cell>
          <cell r="K2909">
            <v>156</v>
          </cell>
          <cell r="L2909">
            <v>614</v>
          </cell>
          <cell r="M2909">
            <v>50131589</v>
          </cell>
          <cell r="N2909">
            <v>38782</v>
          </cell>
          <cell r="O2909" t="str">
            <v>126104TCD032</v>
          </cell>
          <cell r="P2909" t="str">
            <v>5N6603D1D082907</v>
          </cell>
          <cell r="Q2909" t="str">
            <v>กระดาษฉีกขาด</v>
          </cell>
        </row>
        <row r="2910">
          <cell r="A2910">
            <v>50138768</v>
          </cell>
          <cell r="B2910">
            <v>2909</v>
          </cell>
          <cell r="C2910" t="str">
            <v>OW01/1</v>
          </cell>
          <cell r="D2910" t="str">
            <v>SPCC-SD</v>
          </cell>
          <cell r="E2910" t="str">
            <v>AF1</v>
          </cell>
          <cell r="F2910">
            <v>0.6</v>
          </cell>
          <cell r="G2910">
            <v>685.8</v>
          </cell>
          <cell r="H2910">
            <v>1219</v>
          </cell>
          <cell r="I2910">
            <v>5</v>
          </cell>
          <cell r="J2910" t="str">
            <v>STORE</v>
          </cell>
          <cell r="K2910">
            <v>316</v>
          </cell>
          <cell r="L2910">
            <v>1242</v>
          </cell>
          <cell r="M2910">
            <v>50138768</v>
          </cell>
          <cell r="N2910">
            <v>38756</v>
          </cell>
          <cell r="O2910" t="str">
            <v>125817SUD004</v>
          </cell>
          <cell r="P2910" t="str">
            <v>5N6802D1RSSSS08</v>
          </cell>
          <cell r="Q2910" t="str">
            <v>แผ่นรองและสายรัดเป็นสนิม</v>
          </cell>
        </row>
        <row r="2911">
          <cell r="A2911">
            <v>50100871</v>
          </cell>
          <cell r="B2911">
            <v>2910</v>
          </cell>
          <cell r="C2911" t="str">
            <v>OW01/1</v>
          </cell>
          <cell r="D2911" t="str">
            <v>SPCC-SD</v>
          </cell>
          <cell r="E2911" t="str">
            <v>AF1</v>
          </cell>
          <cell r="F2911">
            <v>0.6</v>
          </cell>
          <cell r="G2911">
            <v>747.6</v>
          </cell>
          <cell r="H2911">
            <v>1219</v>
          </cell>
          <cell r="I2911">
            <v>5</v>
          </cell>
          <cell r="J2911" t="str">
            <v>STORE</v>
          </cell>
          <cell r="K2911">
            <v>101</v>
          </cell>
          <cell r="L2911">
            <v>434</v>
          </cell>
          <cell r="M2911">
            <v>50100871</v>
          </cell>
          <cell r="N2911">
            <v>38513</v>
          </cell>
          <cell r="P2911" t="str">
            <v>5N5A06D1D350603</v>
          </cell>
          <cell r="Q2911" t="str">
            <v>แผ่นรองและสายรัดเป็นสนิม</v>
          </cell>
        </row>
        <row r="2912">
          <cell r="A2912">
            <v>50104212</v>
          </cell>
          <cell r="B2912">
            <v>2911</v>
          </cell>
          <cell r="C2912" t="str">
            <v>OW01/1</v>
          </cell>
          <cell r="D2912" t="str">
            <v>SPCC-SD</v>
          </cell>
          <cell r="E2912" t="str">
            <v>AF1</v>
          </cell>
          <cell r="F2912">
            <v>0.6</v>
          </cell>
          <cell r="G2912">
            <v>747.6</v>
          </cell>
          <cell r="H2912">
            <v>1219</v>
          </cell>
          <cell r="I2912">
            <v>5</v>
          </cell>
          <cell r="J2912" t="str">
            <v>STORE</v>
          </cell>
          <cell r="K2912">
            <v>117</v>
          </cell>
          <cell r="L2912">
            <v>501</v>
          </cell>
          <cell r="M2912">
            <v>50104212</v>
          </cell>
          <cell r="N2912" t="str">
            <v>29/10/2005</v>
          </cell>
          <cell r="P2912" t="str">
            <v>5N5A29D1L387405</v>
          </cell>
          <cell r="Q2912" t="str">
            <v>แผ่นรองและสายรัดเป็นสนิม</v>
          </cell>
        </row>
        <row r="2913">
          <cell r="A2913">
            <v>50106296</v>
          </cell>
          <cell r="B2913">
            <v>2912</v>
          </cell>
          <cell r="C2913" t="str">
            <v>OW01/1</v>
          </cell>
          <cell r="D2913" t="str">
            <v>SPCC-SD</v>
          </cell>
          <cell r="E2913" t="str">
            <v>AF1</v>
          </cell>
          <cell r="F2913">
            <v>0.6</v>
          </cell>
          <cell r="G2913">
            <v>747.6</v>
          </cell>
          <cell r="H2913">
            <v>1219</v>
          </cell>
          <cell r="I2913">
            <v>5</v>
          </cell>
          <cell r="J2913" t="str">
            <v>STORE</v>
          </cell>
          <cell r="K2913">
            <v>170</v>
          </cell>
          <cell r="L2913">
            <v>725</v>
          </cell>
          <cell r="M2913">
            <v>50106296</v>
          </cell>
          <cell r="N2913" t="str">
            <v>15/11/2005</v>
          </cell>
          <cell r="P2913" t="str">
            <v>5N5B15N1L467906</v>
          </cell>
          <cell r="Q2913" t="str">
            <v>แผ่นรองและสายรัดเป็นสนิม</v>
          </cell>
        </row>
        <row r="2914">
          <cell r="A2914">
            <v>50112396</v>
          </cell>
          <cell r="B2914">
            <v>2913</v>
          </cell>
          <cell r="C2914" t="str">
            <v>OW01/1</v>
          </cell>
          <cell r="D2914" t="str">
            <v>SPCC-SD</v>
          </cell>
          <cell r="E2914" t="str">
            <v>AF1</v>
          </cell>
          <cell r="F2914">
            <v>0.6</v>
          </cell>
          <cell r="G2914">
            <v>747.6</v>
          </cell>
          <cell r="H2914">
            <v>1219</v>
          </cell>
          <cell r="I2914">
            <v>5</v>
          </cell>
          <cell r="J2914" t="str">
            <v>STORE</v>
          </cell>
          <cell r="K2914">
            <v>123</v>
          </cell>
          <cell r="L2914">
            <v>522</v>
          </cell>
          <cell r="M2914">
            <v>50112396</v>
          </cell>
          <cell r="N2914">
            <v>38777</v>
          </cell>
          <cell r="P2914" t="str">
            <v>5N6103D1L563607</v>
          </cell>
          <cell r="Q2914" t="str">
            <v>กระดาษฉีกขาด</v>
          </cell>
        </row>
        <row r="2915">
          <cell r="A2915">
            <v>50116195</v>
          </cell>
          <cell r="B2915">
            <v>2914</v>
          </cell>
          <cell r="C2915" t="str">
            <v>OW01/1</v>
          </cell>
          <cell r="D2915" t="str">
            <v>SPCC-SD</v>
          </cell>
          <cell r="E2915" t="str">
            <v>AF1</v>
          </cell>
          <cell r="F2915">
            <v>0.6</v>
          </cell>
          <cell r="G2915">
            <v>747.6</v>
          </cell>
          <cell r="H2915">
            <v>1219</v>
          </cell>
          <cell r="I2915">
            <v>5</v>
          </cell>
          <cell r="J2915" t="str">
            <v>STORE</v>
          </cell>
          <cell r="K2915">
            <v>93</v>
          </cell>
          <cell r="L2915">
            <v>399</v>
          </cell>
          <cell r="M2915">
            <v>50116195</v>
          </cell>
          <cell r="N2915">
            <v>38778</v>
          </cell>
          <cell r="P2915" t="str">
            <v>5N6203D1D697808</v>
          </cell>
          <cell r="Q2915" t="str">
            <v>กระดาษฉีกขาด</v>
          </cell>
        </row>
        <row r="2916">
          <cell r="A2916">
            <v>50121824</v>
          </cell>
          <cell r="B2916">
            <v>2915</v>
          </cell>
          <cell r="C2916" t="str">
            <v>OW01/1</v>
          </cell>
          <cell r="D2916" t="str">
            <v>SPCC-SD</v>
          </cell>
          <cell r="E2916" t="str">
            <v>AF1</v>
          </cell>
          <cell r="F2916">
            <v>0.6</v>
          </cell>
          <cell r="G2916">
            <v>747.6</v>
          </cell>
          <cell r="H2916">
            <v>1219</v>
          </cell>
          <cell r="I2916">
            <v>5</v>
          </cell>
          <cell r="J2916" t="str">
            <v>STORE</v>
          </cell>
          <cell r="K2916">
            <v>178</v>
          </cell>
          <cell r="L2916">
            <v>763</v>
          </cell>
          <cell r="M2916">
            <v>50121824</v>
          </cell>
          <cell r="N2916">
            <v>39054</v>
          </cell>
          <cell r="P2916" t="str">
            <v>5N6312D1L825109</v>
          </cell>
          <cell r="Q2916" t="str">
            <v>กระดาษฉีกขาด</v>
          </cell>
        </row>
        <row r="2917">
          <cell r="A2917">
            <v>50127227</v>
          </cell>
          <cell r="B2917">
            <v>2916</v>
          </cell>
          <cell r="C2917" t="str">
            <v>OW01/1</v>
          </cell>
          <cell r="D2917" t="str">
            <v>SPCC-SD</v>
          </cell>
          <cell r="E2917" t="str">
            <v>AF1</v>
          </cell>
          <cell r="F2917">
            <v>0.6</v>
          </cell>
          <cell r="G2917">
            <v>963.5</v>
          </cell>
          <cell r="H2917">
            <v>1219</v>
          </cell>
          <cell r="I2917">
            <v>5</v>
          </cell>
          <cell r="J2917" t="str">
            <v>STORE</v>
          </cell>
          <cell r="K2917">
            <v>223</v>
          </cell>
          <cell r="L2917">
            <v>1245</v>
          </cell>
          <cell r="M2917">
            <v>50127227</v>
          </cell>
          <cell r="N2917" t="str">
            <v>25/04/2006</v>
          </cell>
          <cell r="P2917" t="str">
            <v>5N6425D1L957101</v>
          </cell>
          <cell r="Q2917" t="str">
            <v>กระดาษฉีกขาด</v>
          </cell>
        </row>
        <row r="2918">
          <cell r="A2918">
            <v>50128585</v>
          </cell>
          <cell r="B2918">
            <v>2917</v>
          </cell>
          <cell r="C2918" t="str">
            <v>OW01/1</v>
          </cell>
          <cell r="D2918" t="str">
            <v>SPCC-SD</v>
          </cell>
          <cell r="E2918" t="str">
            <v>AF1</v>
          </cell>
          <cell r="F2918">
            <v>0.6</v>
          </cell>
          <cell r="G2918">
            <v>963.5</v>
          </cell>
          <cell r="H2918">
            <v>1219</v>
          </cell>
          <cell r="I2918">
            <v>5</v>
          </cell>
          <cell r="J2918" t="str">
            <v>STORE</v>
          </cell>
          <cell r="K2918">
            <v>85</v>
          </cell>
          <cell r="L2918">
            <v>472</v>
          </cell>
          <cell r="M2918">
            <v>50128585</v>
          </cell>
          <cell r="N2918">
            <v>38934</v>
          </cell>
          <cell r="P2918" t="str">
            <v>5N6508D1L995002</v>
          </cell>
          <cell r="Q2918" t="str">
            <v>กระดาษฉีกขาด</v>
          </cell>
        </row>
        <row r="2919">
          <cell r="A2919">
            <v>50109805</v>
          </cell>
          <cell r="B2919">
            <v>2918</v>
          </cell>
          <cell r="C2919" t="str">
            <v>OW01/1</v>
          </cell>
          <cell r="D2919" t="str">
            <v>SPCC-SD</v>
          </cell>
          <cell r="E2919" t="str">
            <v>AF1</v>
          </cell>
          <cell r="F2919">
            <v>0.7</v>
          </cell>
          <cell r="G2919">
            <v>590</v>
          </cell>
          <cell r="H2919">
            <v>670</v>
          </cell>
          <cell r="I2919">
            <v>5</v>
          </cell>
          <cell r="J2919" t="str">
            <v>STORE</v>
          </cell>
          <cell r="K2919">
            <v>237</v>
          </cell>
          <cell r="L2919">
            <v>519</v>
          </cell>
          <cell r="M2919">
            <v>50109805</v>
          </cell>
          <cell r="N2919">
            <v>38698</v>
          </cell>
          <cell r="P2919" t="str">
            <v>5N5C12D1M540001</v>
          </cell>
          <cell r="Q2919" t="str">
            <v>แผ่นรองและสายรัดเป็นสนิม</v>
          </cell>
        </row>
        <row r="2920">
          <cell r="A2920">
            <v>50127701</v>
          </cell>
          <cell r="B2920">
            <v>2919</v>
          </cell>
          <cell r="C2920" t="str">
            <v>OW01/1</v>
          </cell>
          <cell r="D2920" t="str">
            <v>SPCC-SD</v>
          </cell>
          <cell r="E2920" t="str">
            <v>AF1</v>
          </cell>
          <cell r="F2920">
            <v>0.7</v>
          </cell>
          <cell r="G2920">
            <v>590</v>
          </cell>
          <cell r="H2920">
            <v>1219</v>
          </cell>
          <cell r="I2920">
            <v>5</v>
          </cell>
          <cell r="J2920" t="str">
            <v>STORE</v>
          </cell>
          <cell r="K2920">
            <v>101</v>
          </cell>
          <cell r="L2920">
            <v>399</v>
          </cell>
          <cell r="M2920">
            <v>50127701</v>
          </cell>
          <cell r="N2920" t="str">
            <v>28/04/2006</v>
          </cell>
          <cell r="P2920" t="str">
            <v>5N6428D3D197101</v>
          </cell>
          <cell r="Q2920" t="str">
            <v>กระดาษฉีกขาด</v>
          </cell>
        </row>
        <row r="2921">
          <cell r="A2921">
            <v>50132614</v>
          </cell>
          <cell r="B2921">
            <v>2920</v>
          </cell>
          <cell r="C2921" t="str">
            <v>OW01/1</v>
          </cell>
          <cell r="D2921" t="str">
            <v>SPCC-SD</v>
          </cell>
          <cell r="E2921" t="str">
            <v>AF1</v>
          </cell>
          <cell r="F2921">
            <v>0.7</v>
          </cell>
          <cell r="G2921">
            <v>620</v>
          </cell>
          <cell r="H2921">
            <v>1219</v>
          </cell>
          <cell r="I2921">
            <v>5</v>
          </cell>
          <cell r="J2921" t="str">
            <v>STORE</v>
          </cell>
          <cell r="K2921">
            <v>144</v>
          </cell>
          <cell r="L2921">
            <v>598</v>
          </cell>
          <cell r="M2921">
            <v>50132614</v>
          </cell>
          <cell r="N2921">
            <v>38966</v>
          </cell>
          <cell r="P2921" t="str">
            <v>5N6609N3D048401</v>
          </cell>
          <cell r="Q2921" t="str">
            <v>กระดาษฉีกขาด</v>
          </cell>
        </row>
        <row r="2922">
          <cell r="A2922">
            <v>50136302</v>
          </cell>
          <cell r="B2922">
            <v>2921</v>
          </cell>
          <cell r="C2922" t="str">
            <v>OW01/1</v>
          </cell>
          <cell r="D2922" t="str">
            <v>SPCC-SD</v>
          </cell>
          <cell r="E2922" t="str">
            <v>AF1</v>
          </cell>
          <cell r="F2922">
            <v>0.7</v>
          </cell>
          <cell r="G2922">
            <v>648</v>
          </cell>
          <cell r="H2922">
            <v>1219</v>
          </cell>
          <cell r="I2922">
            <v>5</v>
          </cell>
          <cell r="J2922" t="str">
            <v>STORE</v>
          </cell>
          <cell r="K2922">
            <v>69</v>
          </cell>
          <cell r="L2922">
            <v>300</v>
          </cell>
          <cell r="M2922">
            <v>50136302</v>
          </cell>
          <cell r="N2922">
            <v>39058</v>
          </cell>
          <cell r="P2922" t="str">
            <v>5N6712D3D192303</v>
          </cell>
          <cell r="Q2922" t="str">
            <v>กระดาษฉีกขาด</v>
          </cell>
        </row>
        <row r="2923">
          <cell r="A2923">
            <v>50116782</v>
          </cell>
          <cell r="B2923">
            <v>2922</v>
          </cell>
          <cell r="C2923" t="str">
            <v>OW01/1</v>
          </cell>
          <cell r="D2923" t="str">
            <v>SPCC-SD</v>
          </cell>
          <cell r="E2923" t="str">
            <v>AF1</v>
          </cell>
          <cell r="F2923">
            <v>0.7</v>
          </cell>
          <cell r="G2923">
            <v>650</v>
          </cell>
          <cell r="H2923">
            <v>1219</v>
          </cell>
          <cell r="I2923">
            <v>5</v>
          </cell>
          <cell r="J2923" t="str">
            <v>STORE</v>
          </cell>
          <cell r="K2923">
            <v>170</v>
          </cell>
          <cell r="L2923">
            <v>740</v>
          </cell>
          <cell r="M2923">
            <v>50116782</v>
          </cell>
          <cell r="N2923">
            <v>38931</v>
          </cell>
          <cell r="P2923" t="str">
            <v>5N6208N1L710901</v>
          </cell>
          <cell r="Q2923" t="str">
            <v>แผ่นรองและสายรัดเป็นสนิม</v>
          </cell>
        </row>
        <row r="2924">
          <cell r="A2924">
            <v>50110925</v>
          </cell>
          <cell r="B2924">
            <v>2923</v>
          </cell>
          <cell r="C2924" t="str">
            <v>OW01/1</v>
          </cell>
          <cell r="D2924" t="str">
            <v>SPCC-SD</v>
          </cell>
          <cell r="E2924" t="str">
            <v>AF1</v>
          </cell>
          <cell r="F2924">
            <v>0.7</v>
          </cell>
          <cell r="G2924">
            <v>670</v>
          </cell>
          <cell r="H2924">
            <v>1219</v>
          </cell>
          <cell r="I2924">
            <v>5</v>
          </cell>
          <cell r="J2924" t="str">
            <v>STORE</v>
          </cell>
          <cell r="K2924">
            <v>91</v>
          </cell>
          <cell r="L2924">
            <v>408</v>
          </cell>
          <cell r="M2924">
            <v>50110925</v>
          </cell>
          <cell r="N2924" t="str">
            <v>19/12/2005</v>
          </cell>
          <cell r="P2924" t="str">
            <v>5N5C19D3D579701</v>
          </cell>
          <cell r="Q2924" t="str">
            <v>กระดาษฉีกขาด</v>
          </cell>
        </row>
        <row r="2925">
          <cell r="A2925">
            <v>50130358</v>
          </cell>
          <cell r="B2925">
            <v>2924</v>
          </cell>
          <cell r="C2925" t="str">
            <v>OW01/1</v>
          </cell>
          <cell r="D2925" t="str">
            <v>SPCC-SD</v>
          </cell>
          <cell r="E2925" t="str">
            <v>AF1</v>
          </cell>
          <cell r="F2925">
            <v>0.7</v>
          </cell>
          <cell r="G2925">
            <v>670</v>
          </cell>
          <cell r="H2925">
            <v>1219</v>
          </cell>
          <cell r="I2925">
            <v>5</v>
          </cell>
          <cell r="J2925" t="str">
            <v>STORE</v>
          </cell>
          <cell r="K2925">
            <v>70</v>
          </cell>
          <cell r="L2925">
            <v>310</v>
          </cell>
          <cell r="M2925">
            <v>50130358</v>
          </cell>
          <cell r="N2925" t="str">
            <v>25/05/2006</v>
          </cell>
          <cell r="P2925" t="str">
            <v>5N6525D1L046803</v>
          </cell>
          <cell r="Q2925" t="str">
            <v>แผ่นรองและสายรัดเป็นสนิม</v>
          </cell>
        </row>
        <row r="2926">
          <cell r="A2926">
            <v>50138767</v>
          </cell>
          <cell r="B2926">
            <v>2925</v>
          </cell>
          <cell r="C2926" t="str">
            <v>OW01/1</v>
          </cell>
          <cell r="D2926" t="str">
            <v>SPCC-SD</v>
          </cell>
          <cell r="E2926" t="str">
            <v>AF1</v>
          </cell>
          <cell r="F2926">
            <v>0.7</v>
          </cell>
          <cell r="G2926">
            <v>670</v>
          </cell>
          <cell r="H2926">
            <v>1219</v>
          </cell>
          <cell r="I2926">
            <v>5</v>
          </cell>
          <cell r="J2926" t="str">
            <v>STORE</v>
          </cell>
          <cell r="K2926">
            <v>308</v>
          </cell>
          <cell r="L2926">
            <v>1374</v>
          </cell>
          <cell r="M2926">
            <v>50138767</v>
          </cell>
          <cell r="N2926">
            <v>38756</v>
          </cell>
          <cell r="P2926" t="str">
            <v>5N6802D1RSSSS05</v>
          </cell>
          <cell r="Q2926" t="str">
            <v>แผ่นรองและสายรัดเป็นสนิม</v>
          </cell>
        </row>
        <row r="2927">
          <cell r="A2927">
            <v>50141454</v>
          </cell>
          <cell r="B2927">
            <v>2926</v>
          </cell>
          <cell r="C2927" t="str">
            <v>OW01/1</v>
          </cell>
          <cell r="D2927" t="str">
            <v>SPCC-SD</v>
          </cell>
          <cell r="E2927" t="str">
            <v>AF1</v>
          </cell>
          <cell r="F2927">
            <v>0.7</v>
          </cell>
          <cell r="G2927">
            <v>670</v>
          </cell>
          <cell r="H2927">
            <v>1219</v>
          </cell>
          <cell r="I2927">
            <v>5</v>
          </cell>
          <cell r="J2927" t="str">
            <v>STORE</v>
          </cell>
          <cell r="K2927">
            <v>60</v>
          </cell>
          <cell r="L2927">
            <v>270</v>
          </cell>
          <cell r="M2927">
            <v>50141454</v>
          </cell>
          <cell r="N2927" t="str">
            <v>31/8/2006</v>
          </cell>
          <cell r="P2927" t="str">
            <v>5N6831D1L329106</v>
          </cell>
          <cell r="Q2927" t="str">
            <v>แผ่นรองและสายรัดเป็นสนิม</v>
          </cell>
        </row>
        <row r="2928">
          <cell r="A2928">
            <v>60043834</v>
          </cell>
          <cell r="B2928">
            <v>2927</v>
          </cell>
          <cell r="C2928" t="str">
            <v>CS01/12</v>
          </cell>
          <cell r="D2928" t="str">
            <v>SPHC P/O</v>
          </cell>
          <cell r="E2928" t="str">
            <v>CA1</v>
          </cell>
          <cell r="F2928">
            <v>4.5</v>
          </cell>
          <cell r="G2928">
            <v>72</v>
          </cell>
          <cell r="H2928" t="str">
            <v>C</v>
          </cell>
          <cell r="I2928" t="str">
            <v>A</v>
          </cell>
          <cell r="J2928" t="str">
            <v>STORE</v>
          </cell>
          <cell r="K2928">
            <v>1</v>
          </cell>
          <cell r="L2928">
            <v>723</v>
          </cell>
          <cell r="M2928">
            <v>60043834</v>
          </cell>
          <cell r="N2928">
            <v>38483</v>
          </cell>
          <cell r="P2928" t="str">
            <v>IN5B05D2S440401</v>
          </cell>
        </row>
        <row r="2929">
          <cell r="A2929">
            <v>60055211</v>
          </cell>
          <cell r="B2929">
            <v>2928</v>
          </cell>
          <cell r="C2929" t="str">
            <v>CS01/12</v>
          </cell>
          <cell r="D2929" t="str">
            <v>SPHC P/O</v>
          </cell>
          <cell r="E2929" t="str">
            <v>CA1</v>
          </cell>
          <cell r="F2929">
            <v>4.5</v>
          </cell>
          <cell r="G2929">
            <v>72</v>
          </cell>
          <cell r="H2929" t="str">
            <v>C</v>
          </cell>
          <cell r="I2929" t="str">
            <v>A</v>
          </cell>
          <cell r="J2929" t="str">
            <v>STORE</v>
          </cell>
          <cell r="K2929">
            <v>1</v>
          </cell>
          <cell r="L2929">
            <v>671</v>
          </cell>
          <cell r="M2929">
            <v>60055211</v>
          </cell>
          <cell r="N2929" t="str">
            <v>22/3/2006</v>
          </cell>
          <cell r="P2929" t="str">
            <v>IN6322D2S871001</v>
          </cell>
        </row>
        <row r="2930">
          <cell r="A2930">
            <v>60055212</v>
          </cell>
          <cell r="B2930">
            <v>2929</v>
          </cell>
          <cell r="C2930" t="str">
            <v>CS01/12</v>
          </cell>
          <cell r="D2930" t="str">
            <v>SPHC P/O</v>
          </cell>
          <cell r="E2930" t="str">
            <v>CA1</v>
          </cell>
          <cell r="F2930">
            <v>4.5</v>
          </cell>
          <cell r="G2930">
            <v>72</v>
          </cell>
          <cell r="H2930" t="str">
            <v>C</v>
          </cell>
          <cell r="I2930" t="str">
            <v>A</v>
          </cell>
          <cell r="J2930" t="str">
            <v>STORE</v>
          </cell>
          <cell r="K2930">
            <v>1</v>
          </cell>
          <cell r="L2930">
            <v>671</v>
          </cell>
          <cell r="M2930">
            <v>60055212</v>
          </cell>
          <cell r="N2930" t="str">
            <v>22/3/2006</v>
          </cell>
          <cell r="P2930" t="str">
            <v>IN6322D2S871002</v>
          </cell>
        </row>
        <row r="2931">
          <cell r="A2931">
            <v>60058576</v>
          </cell>
          <cell r="B2931">
            <v>2930</v>
          </cell>
          <cell r="C2931" t="str">
            <v>CS01/12</v>
          </cell>
          <cell r="D2931" t="str">
            <v>SPHC P/O</v>
          </cell>
          <cell r="E2931" t="str">
            <v>CA1</v>
          </cell>
          <cell r="F2931">
            <v>4.5</v>
          </cell>
          <cell r="G2931">
            <v>72</v>
          </cell>
          <cell r="H2931" t="str">
            <v>C</v>
          </cell>
          <cell r="I2931" t="str">
            <v>A</v>
          </cell>
          <cell r="J2931" t="str">
            <v>STORE</v>
          </cell>
          <cell r="K2931">
            <v>1</v>
          </cell>
          <cell r="L2931">
            <v>456</v>
          </cell>
          <cell r="M2931">
            <v>60058576</v>
          </cell>
          <cell r="N2931">
            <v>38965</v>
          </cell>
          <cell r="P2931" t="str">
            <v>IN6509N2S974701</v>
          </cell>
        </row>
        <row r="2932">
          <cell r="A2932">
            <v>60059757</v>
          </cell>
          <cell r="B2932">
            <v>2931</v>
          </cell>
          <cell r="C2932" t="str">
            <v>CS01/12</v>
          </cell>
          <cell r="D2932" t="str">
            <v>SPHC P/O</v>
          </cell>
          <cell r="E2932" t="str">
            <v>CA1</v>
          </cell>
          <cell r="F2932">
            <v>4.5</v>
          </cell>
          <cell r="G2932">
            <v>72</v>
          </cell>
          <cell r="H2932" t="str">
            <v>C</v>
          </cell>
          <cell r="I2932" t="str">
            <v>A</v>
          </cell>
          <cell r="J2932" t="str">
            <v>STORE</v>
          </cell>
          <cell r="K2932">
            <v>1</v>
          </cell>
          <cell r="L2932">
            <v>440</v>
          </cell>
          <cell r="M2932">
            <v>60059757</v>
          </cell>
          <cell r="N2932" t="str">
            <v>24/5/2006</v>
          </cell>
          <cell r="P2932" t="str">
            <v>IN6524N2S037901</v>
          </cell>
        </row>
        <row r="2933">
          <cell r="A2933">
            <v>60059770</v>
          </cell>
          <cell r="B2933">
            <v>2932</v>
          </cell>
          <cell r="C2933" t="str">
            <v>CS01/12</v>
          </cell>
          <cell r="D2933" t="str">
            <v>SPHC P/O</v>
          </cell>
          <cell r="E2933" t="str">
            <v>CA1</v>
          </cell>
          <cell r="F2933">
            <v>4.5</v>
          </cell>
          <cell r="G2933">
            <v>72</v>
          </cell>
          <cell r="H2933" t="str">
            <v>C</v>
          </cell>
          <cell r="I2933" t="str">
            <v>A</v>
          </cell>
          <cell r="J2933" t="str">
            <v>STORE</v>
          </cell>
          <cell r="K2933">
            <v>1</v>
          </cell>
          <cell r="L2933">
            <v>459</v>
          </cell>
          <cell r="M2933">
            <v>60059770</v>
          </cell>
          <cell r="N2933" t="str">
            <v>24/5/2006</v>
          </cell>
          <cell r="P2933" t="str">
            <v>IN6524N2S037902</v>
          </cell>
        </row>
        <row r="2934">
          <cell r="A2934">
            <v>60059795</v>
          </cell>
          <cell r="B2934">
            <v>2933</v>
          </cell>
          <cell r="C2934" t="str">
            <v>CS01/12</v>
          </cell>
          <cell r="D2934" t="str">
            <v>SPHC P/O</v>
          </cell>
          <cell r="E2934" t="str">
            <v>CA1</v>
          </cell>
          <cell r="F2934">
            <v>4.5</v>
          </cell>
          <cell r="G2934">
            <v>72</v>
          </cell>
          <cell r="H2934" t="str">
            <v>C</v>
          </cell>
          <cell r="I2934" t="str">
            <v>A</v>
          </cell>
          <cell r="J2934" t="str">
            <v>STORE</v>
          </cell>
          <cell r="K2934">
            <v>1</v>
          </cell>
          <cell r="L2934">
            <v>508</v>
          </cell>
          <cell r="M2934">
            <v>60059795</v>
          </cell>
          <cell r="N2934" t="str">
            <v>24/5/2006</v>
          </cell>
          <cell r="P2934" t="str">
            <v>IN6524D2S037903</v>
          </cell>
        </row>
        <row r="2935">
          <cell r="A2935">
            <v>60059809</v>
          </cell>
          <cell r="B2935">
            <v>2934</v>
          </cell>
          <cell r="C2935" t="str">
            <v>CS01/12</v>
          </cell>
          <cell r="D2935" t="str">
            <v>SPHC P/O</v>
          </cell>
          <cell r="E2935" t="str">
            <v>CA1</v>
          </cell>
          <cell r="F2935">
            <v>4.5</v>
          </cell>
          <cell r="G2935">
            <v>72</v>
          </cell>
          <cell r="H2935" t="str">
            <v>C</v>
          </cell>
          <cell r="I2935" t="str">
            <v>A</v>
          </cell>
          <cell r="J2935" t="str">
            <v>STORE</v>
          </cell>
          <cell r="K2935">
            <v>1</v>
          </cell>
          <cell r="L2935">
            <v>514</v>
          </cell>
          <cell r="M2935">
            <v>60059809</v>
          </cell>
          <cell r="N2935" t="str">
            <v>24/5/2006</v>
          </cell>
          <cell r="P2935" t="str">
            <v>IN6524D2S037904</v>
          </cell>
        </row>
        <row r="2936">
          <cell r="A2936">
            <v>60058577</v>
          </cell>
          <cell r="B2936">
            <v>2935</v>
          </cell>
          <cell r="C2936" t="str">
            <v>CS01/12</v>
          </cell>
          <cell r="D2936" t="str">
            <v>SPHC P/O</v>
          </cell>
          <cell r="E2936" t="str">
            <v>CA1</v>
          </cell>
          <cell r="F2936">
            <v>4.5</v>
          </cell>
          <cell r="G2936">
            <v>81</v>
          </cell>
          <cell r="H2936" t="str">
            <v>C</v>
          </cell>
          <cell r="I2936" t="str">
            <v>A</v>
          </cell>
          <cell r="J2936" t="str">
            <v>STORE</v>
          </cell>
          <cell r="K2936">
            <v>1</v>
          </cell>
          <cell r="L2936">
            <v>510</v>
          </cell>
          <cell r="M2936">
            <v>60058577</v>
          </cell>
          <cell r="N2936">
            <v>38965</v>
          </cell>
          <cell r="P2936" t="str">
            <v>IN6509N2S974701</v>
          </cell>
        </row>
        <row r="2937">
          <cell r="A2937">
            <v>60059169</v>
          </cell>
          <cell r="B2937">
            <v>2936</v>
          </cell>
          <cell r="C2937" t="str">
            <v>CS01/12</v>
          </cell>
          <cell r="D2937" t="str">
            <v>SPHC P/O</v>
          </cell>
          <cell r="E2937" t="str">
            <v>CA1</v>
          </cell>
          <cell r="F2937">
            <v>4.5</v>
          </cell>
          <cell r="G2937">
            <v>81</v>
          </cell>
          <cell r="H2937" t="str">
            <v>C</v>
          </cell>
          <cell r="I2937" t="str">
            <v>A</v>
          </cell>
          <cell r="J2937" t="str">
            <v>STORE</v>
          </cell>
          <cell r="K2937">
            <v>1</v>
          </cell>
          <cell r="L2937">
            <v>256</v>
          </cell>
          <cell r="M2937">
            <v>60059169</v>
          </cell>
          <cell r="N2937" t="str">
            <v>18/5/2006</v>
          </cell>
          <cell r="P2937" t="str">
            <v>IN6518N2S014701</v>
          </cell>
        </row>
        <row r="2938">
          <cell r="A2938">
            <v>60059178</v>
          </cell>
          <cell r="B2938">
            <v>2937</v>
          </cell>
          <cell r="C2938" t="str">
            <v>CS01/12</v>
          </cell>
          <cell r="D2938" t="str">
            <v>SPHC P/O</v>
          </cell>
          <cell r="E2938" t="str">
            <v>CA1</v>
          </cell>
          <cell r="F2938">
            <v>4.5</v>
          </cell>
          <cell r="G2938">
            <v>81</v>
          </cell>
          <cell r="H2938" t="str">
            <v>C</v>
          </cell>
          <cell r="I2938" t="str">
            <v>A</v>
          </cell>
          <cell r="J2938" t="str">
            <v>STORE</v>
          </cell>
          <cell r="K2938">
            <v>1</v>
          </cell>
          <cell r="L2938">
            <v>256</v>
          </cell>
          <cell r="M2938">
            <v>60059178</v>
          </cell>
          <cell r="N2938" t="str">
            <v>18/5/2006</v>
          </cell>
          <cell r="P2938" t="str">
            <v>IN6518N2S014702</v>
          </cell>
        </row>
        <row r="2939">
          <cell r="A2939">
            <v>60045213</v>
          </cell>
          <cell r="B2939">
            <v>2938</v>
          </cell>
          <cell r="C2939" t="str">
            <v>CS01/12</v>
          </cell>
          <cell r="D2939" t="str">
            <v>SPHC P/O</v>
          </cell>
          <cell r="E2939" t="str">
            <v>CA1</v>
          </cell>
          <cell r="F2939">
            <v>4.5</v>
          </cell>
          <cell r="G2939">
            <v>83</v>
          </cell>
          <cell r="H2939" t="str">
            <v>C</v>
          </cell>
          <cell r="I2939" t="str">
            <v>A</v>
          </cell>
          <cell r="J2939" t="str">
            <v>STORE</v>
          </cell>
          <cell r="K2939">
            <v>1</v>
          </cell>
          <cell r="L2939">
            <v>610</v>
          </cell>
          <cell r="M2939">
            <v>60045213</v>
          </cell>
          <cell r="N2939" t="str">
            <v>18/11/2005</v>
          </cell>
          <cell r="P2939" t="str">
            <v>IN5B18D2S478701</v>
          </cell>
        </row>
        <row r="2940">
          <cell r="A2940">
            <v>60045214</v>
          </cell>
          <cell r="B2940">
            <v>2939</v>
          </cell>
          <cell r="C2940" t="str">
            <v>CS01/12</v>
          </cell>
          <cell r="D2940" t="str">
            <v>SPHC P/O</v>
          </cell>
          <cell r="E2940" t="str">
            <v>CA1</v>
          </cell>
          <cell r="F2940">
            <v>4.5</v>
          </cell>
          <cell r="G2940">
            <v>83</v>
          </cell>
          <cell r="H2940" t="str">
            <v>C</v>
          </cell>
          <cell r="I2940" t="str">
            <v>A</v>
          </cell>
          <cell r="J2940" t="str">
            <v>STORE</v>
          </cell>
          <cell r="K2940">
            <v>1</v>
          </cell>
          <cell r="L2940">
            <v>610</v>
          </cell>
          <cell r="M2940">
            <v>60045214</v>
          </cell>
          <cell r="N2940" t="str">
            <v>18/11/2005</v>
          </cell>
          <cell r="P2940" t="str">
            <v>IN5B18D2S478702</v>
          </cell>
        </row>
        <row r="2941">
          <cell r="A2941">
            <v>60056893</v>
          </cell>
          <cell r="B2941">
            <v>2940</v>
          </cell>
          <cell r="C2941" t="str">
            <v>CS01/12</v>
          </cell>
          <cell r="D2941" t="str">
            <v>SPHC P/O</v>
          </cell>
          <cell r="E2941" t="str">
            <v>CA1</v>
          </cell>
          <cell r="F2941">
            <v>4.5</v>
          </cell>
          <cell r="G2941">
            <v>99</v>
          </cell>
          <cell r="H2941" t="str">
            <v>C</v>
          </cell>
          <cell r="I2941" t="str">
            <v>A</v>
          </cell>
          <cell r="J2941" t="str">
            <v>STORE</v>
          </cell>
          <cell r="K2941">
            <v>1</v>
          </cell>
          <cell r="L2941">
            <v>730</v>
          </cell>
          <cell r="M2941">
            <v>60056893</v>
          </cell>
          <cell r="N2941" t="str">
            <v>19/4/2006</v>
          </cell>
          <cell r="P2941" t="str">
            <v>IN6419N2S937901</v>
          </cell>
        </row>
        <row r="2942">
          <cell r="A2942">
            <v>60067255</v>
          </cell>
          <cell r="B2942">
            <v>2941</v>
          </cell>
          <cell r="C2942" t="str">
            <v>CS01/12</v>
          </cell>
          <cell r="D2942" t="str">
            <v>SPHC P/O</v>
          </cell>
          <cell r="E2942" t="str">
            <v>CA1</v>
          </cell>
          <cell r="F2942">
            <v>4.5</v>
          </cell>
          <cell r="G2942">
            <v>124</v>
          </cell>
          <cell r="H2942" t="str">
            <v>C</v>
          </cell>
          <cell r="I2942" t="str">
            <v>A</v>
          </cell>
          <cell r="J2942" t="str">
            <v>STORE</v>
          </cell>
          <cell r="K2942">
            <v>1</v>
          </cell>
          <cell r="L2942">
            <v>1042</v>
          </cell>
          <cell r="M2942">
            <v>60067255</v>
          </cell>
          <cell r="N2942" t="str">
            <v>31/8/2006</v>
          </cell>
          <cell r="P2942" t="str">
            <v>IN6831D2S336801</v>
          </cell>
        </row>
        <row r="2943">
          <cell r="A2943">
            <v>60067262</v>
          </cell>
          <cell r="B2943">
            <v>2942</v>
          </cell>
          <cell r="C2943" t="str">
            <v>CS01/12</v>
          </cell>
          <cell r="D2943" t="str">
            <v>SPHC P/O</v>
          </cell>
          <cell r="E2943" t="str">
            <v>CA1</v>
          </cell>
          <cell r="F2943">
            <v>4.5</v>
          </cell>
          <cell r="G2943">
            <v>124</v>
          </cell>
          <cell r="H2943" t="str">
            <v>C</v>
          </cell>
          <cell r="I2943" t="str">
            <v>A</v>
          </cell>
          <cell r="J2943" t="str">
            <v>STORE</v>
          </cell>
          <cell r="K2943">
            <v>1</v>
          </cell>
          <cell r="L2943">
            <v>1040</v>
          </cell>
          <cell r="M2943">
            <v>60067262</v>
          </cell>
          <cell r="N2943" t="str">
            <v>31/8/2006</v>
          </cell>
          <cell r="P2943" t="str">
            <v>IN6831D2S336802</v>
          </cell>
        </row>
        <row r="2944">
          <cell r="A2944">
            <v>60067306</v>
          </cell>
          <cell r="B2944">
            <v>2943</v>
          </cell>
          <cell r="C2944" t="str">
            <v>CS01/12</v>
          </cell>
          <cell r="D2944" t="str">
            <v>SPHC P/O</v>
          </cell>
          <cell r="E2944" t="str">
            <v>CA1</v>
          </cell>
          <cell r="F2944">
            <v>4.5</v>
          </cell>
          <cell r="G2944">
            <v>124</v>
          </cell>
          <cell r="H2944" t="str">
            <v>C</v>
          </cell>
          <cell r="I2944" t="str">
            <v>A</v>
          </cell>
          <cell r="J2944" t="str">
            <v>STORE</v>
          </cell>
          <cell r="K2944">
            <v>1</v>
          </cell>
          <cell r="L2944">
            <v>1106</v>
          </cell>
          <cell r="M2944">
            <v>60067306</v>
          </cell>
          <cell r="N2944" t="str">
            <v>31/8/2006</v>
          </cell>
          <cell r="P2944" t="str">
            <v>IN6831D2S336803</v>
          </cell>
        </row>
        <row r="2945">
          <cell r="A2945">
            <v>60067313</v>
          </cell>
          <cell r="B2945">
            <v>2944</v>
          </cell>
          <cell r="C2945" t="str">
            <v>CS01/12</v>
          </cell>
          <cell r="D2945" t="str">
            <v>SPHC P/O</v>
          </cell>
          <cell r="E2945" t="str">
            <v>CA1</v>
          </cell>
          <cell r="F2945">
            <v>4.5</v>
          </cell>
          <cell r="G2945">
            <v>124</v>
          </cell>
          <cell r="H2945" t="str">
            <v>C</v>
          </cell>
          <cell r="I2945" t="str">
            <v>A</v>
          </cell>
          <cell r="J2945" t="str">
            <v>STORE</v>
          </cell>
          <cell r="K2945">
            <v>1</v>
          </cell>
          <cell r="L2945">
            <v>1106</v>
          </cell>
          <cell r="M2945">
            <v>60067313</v>
          </cell>
          <cell r="N2945" t="str">
            <v>31/8/2006</v>
          </cell>
          <cell r="P2945" t="str">
            <v>IN6831D2S336804</v>
          </cell>
        </row>
        <row r="2946">
          <cell r="A2946">
            <v>60037683</v>
          </cell>
          <cell r="B2946">
            <v>2945</v>
          </cell>
          <cell r="C2946" t="str">
            <v>CS01/12</v>
          </cell>
          <cell r="D2946" t="str">
            <v>SPHC P/O</v>
          </cell>
          <cell r="E2946" t="str">
            <v>CA1</v>
          </cell>
          <cell r="F2946">
            <v>4.5</v>
          </cell>
          <cell r="G2946">
            <v>168</v>
          </cell>
          <cell r="H2946" t="str">
            <v>C</v>
          </cell>
          <cell r="I2946" t="str">
            <v>A</v>
          </cell>
          <cell r="J2946" t="str">
            <v>STORE</v>
          </cell>
          <cell r="K2946">
            <v>1</v>
          </cell>
          <cell r="L2946">
            <v>1108</v>
          </cell>
          <cell r="M2946">
            <v>60037683</v>
          </cell>
          <cell r="N2946" t="str">
            <v>16/7/2005</v>
          </cell>
          <cell r="P2946" t="str">
            <v>IN5716D2S140901</v>
          </cell>
        </row>
        <row r="2947">
          <cell r="A2947">
            <v>60045872</v>
          </cell>
          <cell r="B2947">
            <v>2946</v>
          </cell>
          <cell r="C2947" t="str">
            <v>CS01/12</v>
          </cell>
          <cell r="D2947" t="str">
            <v>SAPH440 P/O</v>
          </cell>
          <cell r="E2947" t="str">
            <v>CA5</v>
          </cell>
          <cell r="F2947">
            <v>2</v>
          </cell>
          <cell r="G2947">
            <v>60</v>
          </cell>
          <cell r="H2947" t="str">
            <v>C</v>
          </cell>
          <cell r="I2947" t="str">
            <v>A</v>
          </cell>
          <cell r="J2947" t="str">
            <v>STORE</v>
          </cell>
          <cell r="K2947">
            <v>1</v>
          </cell>
          <cell r="L2947">
            <v>430</v>
          </cell>
          <cell r="M2947">
            <v>60045872</v>
          </cell>
          <cell r="N2947" t="str">
            <v>25/11/2005</v>
          </cell>
          <cell r="P2947" t="str">
            <v>IN5B25D2S496201</v>
          </cell>
        </row>
        <row r="2948">
          <cell r="A2948">
            <v>60036846</v>
          </cell>
          <cell r="B2948">
            <v>2947</v>
          </cell>
          <cell r="C2948" t="str">
            <v>CS01/12</v>
          </cell>
          <cell r="D2948" t="str">
            <v>SAPH440 P/O</v>
          </cell>
          <cell r="E2948" t="str">
            <v>CA5</v>
          </cell>
          <cell r="F2948">
            <v>3</v>
          </cell>
          <cell r="G2948">
            <v>272</v>
          </cell>
          <cell r="H2948" t="str">
            <v>C</v>
          </cell>
          <cell r="I2948" t="str">
            <v>A</v>
          </cell>
          <cell r="J2948" t="str">
            <v>STORE</v>
          </cell>
          <cell r="K2948">
            <v>1</v>
          </cell>
          <cell r="L2948">
            <v>704</v>
          </cell>
          <cell r="M2948">
            <v>60036846</v>
          </cell>
          <cell r="N2948" t="str">
            <v>29/6/2005</v>
          </cell>
          <cell r="P2948" t="str">
            <v>IN5629D2S087401</v>
          </cell>
        </row>
        <row r="2949">
          <cell r="A2949">
            <v>60031917</v>
          </cell>
          <cell r="B2949">
            <v>2948</v>
          </cell>
          <cell r="C2949" t="str">
            <v>CS01/12</v>
          </cell>
          <cell r="D2949" t="str">
            <v>SAPH440 P/O</v>
          </cell>
          <cell r="E2949" t="str">
            <v>CA5</v>
          </cell>
          <cell r="F2949">
            <v>4</v>
          </cell>
          <cell r="G2949">
            <v>40</v>
          </cell>
          <cell r="H2949" t="str">
            <v>C</v>
          </cell>
          <cell r="I2949" t="str">
            <v>A</v>
          </cell>
          <cell r="J2949" t="str">
            <v>STORE</v>
          </cell>
          <cell r="K2949">
            <v>1</v>
          </cell>
          <cell r="L2949">
            <v>104</v>
          </cell>
          <cell r="M2949">
            <v>60031917</v>
          </cell>
          <cell r="N2949">
            <v>38537</v>
          </cell>
          <cell r="P2949" t="str">
            <v>IN5407N2S803901</v>
          </cell>
        </row>
        <row r="2950">
          <cell r="A2950">
            <v>60031933</v>
          </cell>
          <cell r="B2950">
            <v>2949</v>
          </cell>
          <cell r="C2950" t="str">
            <v>CS01/12</v>
          </cell>
          <cell r="D2950" t="str">
            <v>SAPH440 P/O</v>
          </cell>
          <cell r="E2950" t="str">
            <v>CA5</v>
          </cell>
          <cell r="F2950">
            <v>4</v>
          </cell>
          <cell r="G2950">
            <v>40</v>
          </cell>
          <cell r="H2950" t="str">
            <v>C</v>
          </cell>
          <cell r="I2950" t="str">
            <v>A</v>
          </cell>
          <cell r="J2950" t="str">
            <v>STORE</v>
          </cell>
          <cell r="K2950">
            <v>1</v>
          </cell>
          <cell r="L2950">
            <v>146</v>
          </cell>
          <cell r="M2950">
            <v>60031933</v>
          </cell>
          <cell r="N2950">
            <v>38537</v>
          </cell>
          <cell r="P2950" t="str">
            <v>IN5407N2S864001</v>
          </cell>
        </row>
        <row r="2951">
          <cell r="A2951">
            <v>60046864</v>
          </cell>
          <cell r="B2951">
            <v>2950</v>
          </cell>
          <cell r="C2951" t="str">
            <v>CS01/12</v>
          </cell>
          <cell r="D2951" t="str">
            <v>SAPH440 P/O</v>
          </cell>
          <cell r="E2951" t="str">
            <v>CA5</v>
          </cell>
          <cell r="F2951">
            <v>4.5</v>
          </cell>
          <cell r="G2951">
            <v>175</v>
          </cell>
          <cell r="H2951" t="str">
            <v>C</v>
          </cell>
          <cell r="I2951" t="str">
            <v>A</v>
          </cell>
          <cell r="J2951" t="str">
            <v>STORE</v>
          </cell>
          <cell r="K2951">
            <v>1</v>
          </cell>
          <cell r="L2951">
            <v>736</v>
          </cell>
          <cell r="M2951">
            <v>60046864</v>
          </cell>
          <cell r="N2951">
            <v>38545</v>
          </cell>
          <cell r="P2951" t="str">
            <v>IN5C07D2S524701</v>
          </cell>
        </row>
        <row r="2952">
          <cell r="A2952">
            <v>60046869</v>
          </cell>
          <cell r="B2952">
            <v>2951</v>
          </cell>
          <cell r="C2952" t="str">
            <v>CS01/12</v>
          </cell>
          <cell r="D2952" t="str">
            <v>SAPH440 P/O</v>
          </cell>
          <cell r="E2952" t="str">
            <v>CA5</v>
          </cell>
          <cell r="F2952">
            <v>4.5</v>
          </cell>
          <cell r="G2952">
            <v>175</v>
          </cell>
          <cell r="H2952" t="str">
            <v>C</v>
          </cell>
          <cell r="I2952" t="str">
            <v>A</v>
          </cell>
          <cell r="J2952" t="str">
            <v>STORE</v>
          </cell>
          <cell r="K2952">
            <v>1</v>
          </cell>
          <cell r="L2952">
            <v>760</v>
          </cell>
          <cell r="M2952">
            <v>60046869</v>
          </cell>
          <cell r="N2952">
            <v>38545</v>
          </cell>
          <cell r="P2952" t="str">
            <v>IN5C07D2S524702</v>
          </cell>
        </row>
        <row r="2953">
          <cell r="A2953">
            <v>60046892</v>
          </cell>
          <cell r="B2953">
            <v>2952</v>
          </cell>
          <cell r="C2953" t="str">
            <v>CS01/12</v>
          </cell>
          <cell r="D2953" t="str">
            <v>SAPH440 P/O</v>
          </cell>
          <cell r="E2953" t="str">
            <v>CA5</v>
          </cell>
          <cell r="F2953">
            <v>4.5</v>
          </cell>
          <cell r="G2953">
            <v>175</v>
          </cell>
          <cell r="H2953" t="str">
            <v>C</v>
          </cell>
          <cell r="I2953" t="str">
            <v>A</v>
          </cell>
          <cell r="J2953" t="str">
            <v>STORE</v>
          </cell>
          <cell r="K2953">
            <v>1</v>
          </cell>
          <cell r="L2953">
            <v>496</v>
          </cell>
          <cell r="M2953">
            <v>60046892</v>
          </cell>
          <cell r="N2953">
            <v>38545</v>
          </cell>
          <cell r="P2953" t="str">
            <v>IN5C07D2S524703</v>
          </cell>
        </row>
        <row r="2954">
          <cell r="A2954">
            <v>60053694</v>
          </cell>
          <cell r="B2954">
            <v>2953</v>
          </cell>
          <cell r="C2954" t="str">
            <v>CS01/12</v>
          </cell>
          <cell r="D2954" t="str">
            <v>SAPH440 P/O</v>
          </cell>
          <cell r="E2954" t="str">
            <v>CA5</v>
          </cell>
          <cell r="F2954">
            <v>4.5</v>
          </cell>
          <cell r="G2954">
            <v>175</v>
          </cell>
          <cell r="H2954" t="str">
            <v>C</v>
          </cell>
          <cell r="I2954" t="str">
            <v>A</v>
          </cell>
          <cell r="J2954" t="str">
            <v>STORE</v>
          </cell>
          <cell r="K2954">
            <v>1</v>
          </cell>
          <cell r="L2954">
            <v>474</v>
          </cell>
          <cell r="M2954">
            <v>60053694</v>
          </cell>
          <cell r="N2954">
            <v>38963</v>
          </cell>
          <cell r="P2954" t="str">
            <v>IN6309D2S825501</v>
          </cell>
        </row>
        <row r="2955">
          <cell r="A2955">
            <v>60036725</v>
          </cell>
          <cell r="B2955">
            <v>2954</v>
          </cell>
          <cell r="C2955" t="str">
            <v>CS01/12</v>
          </cell>
          <cell r="D2955" t="str">
            <v>SAPH440 P/O</v>
          </cell>
          <cell r="E2955" t="str">
            <v>CA5</v>
          </cell>
          <cell r="F2955">
            <v>4.5</v>
          </cell>
          <cell r="G2955">
            <v>254</v>
          </cell>
          <cell r="H2955" t="str">
            <v>C</v>
          </cell>
          <cell r="I2955" t="str">
            <v>A</v>
          </cell>
          <cell r="J2955" t="str">
            <v>STORE</v>
          </cell>
          <cell r="K2955">
            <v>1</v>
          </cell>
          <cell r="L2955">
            <v>1712</v>
          </cell>
          <cell r="M2955">
            <v>60036725</v>
          </cell>
          <cell r="N2955" t="str">
            <v>27/6/2005</v>
          </cell>
          <cell r="P2955" t="str">
            <v>IN5627D2S082001</v>
          </cell>
        </row>
        <row r="2956">
          <cell r="A2956">
            <v>60042241</v>
          </cell>
          <cell r="B2956">
            <v>2955</v>
          </cell>
          <cell r="C2956" t="str">
            <v>CS01/12</v>
          </cell>
          <cell r="D2956" t="str">
            <v>SPCEN-SD</v>
          </cell>
          <cell r="E2956" t="str">
            <v>AF3</v>
          </cell>
          <cell r="F2956">
            <v>1</v>
          </cell>
          <cell r="G2956">
            <v>75</v>
          </cell>
          <cell r="H2956" t="str">
            <v>C</v>
          </cell>
          <cell r="I2956" t="str">
            <v>A</v>
          </cell>
          <cell r="J2956" t="str">
            <v>STORE</v>
          </cell>
          <cell r="K2956">
            <v>1</v>
          </cell>
          <cell r="L2956">
            <v>537</v>
          </cell>
          <cell r="M2956">
            <v>60042241</v>
          </cell>
          <cell r="N2956" t="str">
            <v>13/10/2005</v>
          </cell>
          <cell r="P2956" t="str">
            <v>IN5A13D1S353001</v>
          </cell>
        </row>
        <row r="2957">
          <cell r="A2957">
            <v>60042242</v>
          </cell>
          <cell r="B2957">
            <v>2956</v>
          </cell>
          <cell r="C2957" t="str">
            <v>CS01/12</v>
          </cell>
          <cell r="D2957" t="str">
            <v>SPCEN-SD</v>
          </cell>
          <cell r="E2957" t="str">
            <v>AF3</v>
          </cell>
          <cell r="F2957">
            <v>1</v>
          </cell>
          <cell r="G2957">
            <v>75</v>
          </cell>
          <cell r="H2957" t="str">
            <v>C</v>
          </cell>
          <cell r="I2957" t="str">
            <v>A</v>
          </cell>
          <cell r="J2957" t="str">
            <v>STORE</v>
          </cell>
          <cell r="K2957">
            <v>1</v>
          </cell>
          <cell r="L2957">
            <v>575</v>
          </cell>
          <cell r="M2957">
            <v>60042242</v>
          </cell>
          <cell r="N2957" t="str">
            <v>13/10/2005</v>
          </cell>
          <cell r="P2957" t="str">
            <v>IN5A13D1S353002</v>
          </cell>
        </row>
        <row r="2958">
          <cell r="A2958">
            <v>60042243</v>
          </cell>
          <cell r="B2958">
            <v>2957</v>
          </cell>
          <cell r="C2958" t="str">
            <v>CS01/12</v>
          </cell>
          <cell r="D2958" t="str">
            <v>SPCEN-SD</v>
          </cell>
          <cell r="E2958" t="str">
            <v>AF3</v>
          </cell>
          <cell r="F2958">
            <v>1</v>
          </cell>
          <cell r="G2958">
            <v>75</v>
          </cell>
          <cell r="H2958" t="str">
            <v>C</v>
          </cell>
          <cell r="I2958" t="str">
            <v>A</v>
          </cell>
          <cell r="J2958" t="str">
            <v>STORE</v>
          </cell>
          <cell r="K2958">
            <v>1</v>
          </cell>
          <cell r="L2958">
            <v>559</v>
          </cell>
          <cell r="M2958">
            <v>60042243</v>
          </cell>
          <cell r="N2958" t="str">
            <v>13/10/2005</v>
          </cell>
          <cell r="P2958" t="str">
            <v>IN5A13D1S353003</v>
          </cell>
        </row>
        <row r="2959">
          <cell r="A2959">
            <v>60042244</v>
          </cell>
          <cell r="B2959">
            <v>2958</v>
          </cell>
          <cell r="C2959" t="str">
            <v>CS01/12</v>
          </cell>
          <cell r="D2959" t="str">
            <v>SPCEN-SD</v>
          </cell>
          <cell r="E2959" t="str">
            <v>AF3</v>
          </cell>
          <cell r="F2959">
            <v>1</v>
          </cell>
          <cell r="G2959">
            <v>75</v>
          </cell>
          <cell r="H2959" t="str">
            <v>C</v>
          </cell>
          <cell r="I2959" t="str">
            <v>A</v>
          </cell>
          <cell r="J2959" t="str">
            <v>STORE</v>
          </cell>
          <cell r="K2959">
            <v>1</v>
          </cell>
          <cell r="L2959">
            <v>565</v>
          </cell>
          <cell r="M2959">
            <v>60042244</v>
          </cell>
          <cell r="N2959" t="str">
            <v>13/10/2005</v>
          </cell>
          <cell r="P2959" t="str">
            <v>IN5A13D1S353004</v>
          </cell>
        </row>
        <row r="2960">
          <cell r="A2960">
            <v>60057510</v>
          </cell>
          <cell r="B2960">
            <v>2959</v>
          </cell>
          <cell r="C2960" t="str">
            <v>CS01/12</v>
          </cell>
          <cell r="D2960" t="str">
            <v>SPCEN-SD</v>
          </cell>
          <cell r="E2960" t="str">
            <v>AF3</v>
          </cell>
          <cell r="F2960">
            <v>1</v>
          </cell>
          <cell r="G2960">
            <v>82</v>
          </cell>
          <cell r="H2960" t="str">
            <v>C</v>
          </cell>
          <cell r="I2960" t="str">
            <v>A</v>
          </cell>
          <cell r="J2960" t="str">
            <v>STORE</v>
          </cell>
          <cell r="K2960">
            <v>1</v>
          </cell>
          <cell r="L2960">
            <v>148</v>
          </cell>
          <cell r="M2960">
            <v>60057510</v>
          </cell>
          <cell r="N2960" t="str">
            <v>26/4/2006</v>
          </cell>
          <cell r="P2960" t="str">
            <v>IN6426D1S956701</v>
          </cell>
        </row>
        <row r="2961">
          <cell r="A2961">
            <v>60041770</v>
          </cell>
          <cell r="B2961">
            <v>2960</v>
          </cell>
          <cell r="C2961" t="str">
            <v>CS01/12</v>
          </cell>
          <cell r="D2961" t="str">
            <v>SPCEN-SD</v>
          </cell>
          <cell r="E2961" t="str">
            <v>AF3</v>
          </cell>
          <cell r="F2961">
            <v>1</v>
          </cell>
          <cell r="G2961">
            <v>87</v>
          </cell>
          <cell r="H2961" t="str">
            <v>C</v>
          </cell>
          <cell r="I2961" t="str">
            <v>A</v>
          </cell>
          <cell r="J2961" t="str">
            <v>STORE</v>
          </cell>
          <cell r="K2961">
            <v>1</v>
          </cell>
          <cell r="L2961">
            <v>655</v>
          </cell>
          <cell r="M2961">
            <v>60041770</v>
          </cell>
          <cell r="N2961">
            <v>38543</v>
          </cell>
          <cell r="P2961" t="str">
            <v>IN5A07N1S352301</v>
          </cell>
        </row>
        <row r="2962">
          <cell r="A2962">
            <v>60041774</v>
          </cell>
          <cell r="B2962">
            <v>2961</v>
          </cell>
          <cell r="C2962" t="str">
            <v>CS01/12</v>
          </cell>
          <cell r="D2962" t="str">
            <v>SPCEN-SD</v>
          </cell>
          <cell r="E2962" t="str">
            <v>AF3</v>
          </cell>
          <cell r="F2962">
            <v>1</v>
          </cell>
          <cell r="G2962">
            <v>87</v>
          </cell>
          <cell r="H2962" t="str">
            <v>C</v>
          </cell>
          <cell r="I2962" t="str">
            <v>A</v>
          </cell>
          <cell r="J2962" t="str">
            <v>STORE</v>
          </cell>
          <cell r="K2962">
            <v>1</v>
          </cell>
          <cell r="L2962">
            <v>599</v>
          </cell>
          <cell r="M2962">
            <v>60041774</v>
          </cell>
          <cell r="N2962">
            <v>38543</v>
          </cell>
          <cell r="P2962" t="str">
            <v>IN5A07N1S352302</v>
          </cell>
        </row>
        <row r="2963">
          <cell r="A2963">
            <v>60041778</v>
          </cell>
          <cell r="B2963">
            <v>2962</v>
          </cell>
          <cell r="C2963" t="str">
            <v>CS01/12</v>
          </cell>
          <cell r="D2963" t="str">
            <v>SPCEN-SD</v>
          </cell>
          <cell r="E2963" t="str">
            <v>AF3</v>
          </cell>
          <cell r="F2963">
            <v>1</v>
          </cell>
          <cell r="G2963">
            <v>87</v>
          </cell>
          <cell r="H2963" t="str">
            <v>C</v>
          </cell>
          <cell r="I2963" t="str">
            <v>A</v>
          </cell>
          <cell r="J2963" t="str">
            <v>STORE</v>
          </cell>
          <cell r="K2963">
            <v>1</v>
          </cell>
          <cell r="L2963">
            <v>655</v>
          </cell>
          <cell r="M2963">
            <v>60041778</v>
          </cell>
          <cell r="N2963">
            <v>38574</v>
          </cell>
          <cell r="P2963" t="str">
            <v>IN5A08N1S352303</v>
          </cell>
        </row>
        <row r="2964">
          <cell r="A2964">
            <v>60041782</v>
          </cell>
          <cell r="B2964">
            <v>2963</v>
          </cell>
          <cell r="C2964" t="str">
            <v>CS01/12</v>
          </cell>
          <cell r="D2964" t="str">
            <v>SPCEN-SD</v>
          </cell>
          <cell r="E2964" t="str">
            <v>AF3</v>
          </cell>
          <cell r="F2964">
            <v>1</v>
          </cell>
          <cell r="G2964">
            <v>87</v>
          </cell>
          <cell r="H2964" t="str">
            <v>C</v>
          </cell>
          <cell r="I2964" t="str">
            <v>A</v>
          </cell>
          <cell r="J2964" t="str">
            <v>STORE</v>
          </cell>
          <cell r="K2964">
            <v>1</v>
          </cell>
          <cell r="L2964">
            <v>621</v>
          </cell>
          <cell r="M2964">
            <v>60041782</v>
          </cell>
          <cell r="N2964">
            <v>38574</v>
          </cell>
          <cell r="P2964" t="str">
            <v>IN5A08N1S352304</v>
          </cell>
        </row>
        <row r="2965">
          <cell r="A2965">
            <v>60043080</v>
          </cell>
          <cell r="B2965">
            <v>2964</v>
          </cell>
          <cell r="C2965" t="str">
            <v>CS01/12</v>
          </cell>
          <cell r="D2965" t="str">
            <v>SPCEN-SD</v>
          </cell>
          <cell r="E2965" t="str">
            <v>AF3</v>
          </cell>
          <cell r="F2965">
            <v>1</v>
          </cell>
          <cell r="G2965">
            <v>87</v>
          </cell>
          <cell r="H2965" t="str">
            <v>C</v>
          </cell>
          <cell r="I2965" t="str">
            <v>A</v>
          </cell>
          <cell r="J2965" t="str">
            <v>STORE</v>
          </cell>
          <cell r="K2965">
            <v>1</v>
          </cell>
          <cell r="L2965">
            <v>200</v>
          </cell>
          <cell r="M2965">
            <v>60043080</v>
          </cell>
          <cell r="N2965" t="str">
            <v>26/10/2005</v>
          </cell>
          <cell r="P2965" t="str">
            <v>IN5A26N1S408601</v>
          </cell>
        </row>
        <row r="2966">
          <cell r="A2966">
            <v>60057562</v>
          </cell>
          <cell r="B2966">
            <v>2965</v>
          </cell>
          <cell r="C2966" t="str">
            <v>CS01/12</v>
          </cell>
          <cell r="D2966" t="str">
            <v>SPCEN-SD</v>
          </cell>
          <cell r="E2966" t="str">
            <v>AF3</v>
          </cell>
          <cell r="F2966">
            <v>1</v>
          </cell>
          <cell r="G2966">
            <v>106</v>
          </cell>
          <cell r="H2966" t="str">
            <v>C</v>
          </cell>
          <cell r="I2966" t="str">
            <v>A</v>
          </cell>
          <cell r="J2966" t="str">
            <v>STORE</v>
          </cell>
          <cell r="K2966">
            <v>1</v>
          </cell>
          <cell r="L2966">
            <v>509</v>
          </cell>
          <cell r="M2966">
            <v>60057562</v>
          </cell>
          <cell r="N2966" t="str">
            <v>27/4/2006</v>
          </cell>
          <cell r="P2966" t="str">
            <v>IN6427N1S967501</v>
          </cell>
        </row>
        <row r="2967">
          <cell r="A2967">
            <v>60057563</v>
          </cell>
          <cell r="B2967">
            <v>2966</v>
          </cell>
          <cell r="C2967" t="str">
            <v>CS01/12</v>
          </cell>
          <cell r="D2967" t="str">
            <v>SPCEN-SD</v>
          </cell>
          <cell r="E2967" t="str">
            <v>AF3</v>
          </cell>
          <cell r="F2967">
            <v>1</v>
          </cell>
          <cell r="G2967">
            <v>106</v>
          </cell>
          <cell r="H2967" t="str">
            <v>C</v>
          </cell>
          <cell r="I2967" t="str">
            <v>A</v>
          </cell>
          <cell r="J2967" t="str">
            <v>STORE</v>
          </cell>
          <cell r="K2967">
            <v>1</v>
          </cell>
          <cell r="L2967">
            <v>505</v>
          </cell>
          <cell r="M2967">
            <v>60057563</v>
          </cell>
          <cell r="N2967" t="str">
            <v>27/4/2006</v>
          </cell>
          <cell r="P2967" t="str">
            <v>IN6427N1S967502</v>
          </cell>
        </row>
        <row r="2968">
          <cell r="A2968">
            <v>60060055</v>
          </cell>
          <cell r="B2968">
            <v>2967</v>
          </cell>
          <cell r="C2968" t="str">
            <v>CS01/12</v>
          </cell>
          <cell r="D2968" t="str">
            <v>SPCEN-SD</v>
          </cell>
          <cell r="E2968" t="str">
            <v>AF3</v>
          </cell>
          <cell r="F2968">
            <v>1</v>
          </cell>
          <cell r="G2968">
            <v>106</v>
          </cell>
          <cell r="H2968" t="str">
            <v>C</v>
          </cell>
          <cell r="I2968" t="str">
            <v>A</v>
          </cell>
          <cell r="J2968" t="str">
            <v>STORE</v>
          </cell>
          <cell r="K2968">
            <v>1</v>
          </cell>
          <cell r="L2968">
            <v>883</v>
          </cell>
          <cell r="M2968">
            <v>60060055</v>
          </cell>
          <cell r="N2968" t="str">
            <v>25/5/2006</v>
          </cell>
          <cell r="P2968" t="str">
            <v>IN6525D1S041401</v>
          </cell>
        </row>
        <row r="2969">
          <cell r="A2969">
            <v>60056839</v>
          </cell>
          <cell r="B2969">
            <v>2968</v>
          </cell>
          <cell r="C2969" t="str">
            <v>CS01/12</v>
          </cell>
          <cell r="D2969" t="str">
            <v>SPCEN-SD</v>
          </cell>
          <cell r="E2969" t="str">
            <v>AF3</v>
          </cell>
          <cell r="F2969">
            <v>1</v>
          </cell>
          <cell r="G2969">
            <v>150</v>
          </cell>
          <cell r="H2969" t="str">
            <v>C</v>
          </cell>
          <cell r="I2969" t="str">
            <v>A</v>
          </cell>
          <cell r="J2969" t="str">
            <v>STORE</v>
          </cell>
          <cell r="K2969">
            <v>1</v>
          </cell>
          <cell r="L2969">
            <v>645</v>
          </cell>
          <cell r="M2969">
            <v>60056839</v>
          </cell>
          <cell r="N2969" t="str">
            <v>19/4/2006</v>
          </cell>
          <cell r="P2969" t="str">
            <v>IN6419D1S935701</v>
          </cell>
        </row>
        <row r="2970">
          <cell r="A2970">
            <v>60029013</v>
          </cell>
          <cell r="B2970">
            <v>2969</v>
          </cell>
          <cell r="C2970" t="str">
            <v>CS01/12</v>
          </cell>
          <cell r="D2970" t="str">
            <v>SPCEN-SD</v>
          </cell>
          <cell r="E2970" t="str">
            <v>AF3</v>
          </cell>
          <cell r="F2970">
            <v>1</v>
          </cell>
          <cell r="G2970">
            <v>153</v>
          </cell>
          <cell r="H2970" t="str">
            <v>C</v>
          </cell>
          <cell r="I2970" t="str">
            <v>A</v>
          </cell>
          <cell r="J2970" t="str">
            <v>STORE</v>
          </cell>
          <cell r="K2970">
            <v>1</v>
          </cell>
          <cell r="L2970">
            <v>995</v>
          </cell>
          <cell r="M2970">
            <v>60029013</v>
          </cell>
          <cell r="N2970" t="str">
            <v>19/2/2005</v>
          </cell>
          <cell r="P2970" t="str">
            <v>IN5219D1S725301</v>
          </cell>
        </row>
        <row r="2971">
          <cell r="A2971">
            <v>60065337</v>
          </cell>
          <cell r="B2971">
            <v>2970</v>
          </cell>
          <cell r="C2971" t="str">
            <v>CS01/12</v>
          </cell>
          <cell r="D2971" t="str">
            <v>SPCEN-SD</v>
          </cell>
          <cell r="E2971" t="str">
            <v>AF3</v>
          </cell>
          <cell r="F2971">
            <v>1</v>
          </cell>
          <cell r="G2971">
            <v>160</v>
          </cell>
          <cell r="H2971" t="str">
            <v>C</v>
          </cell>
          <cell r="I2971" t="str">
            <v>A</v>
          </cell>
          <cell r="J2971" t="str">
            <v>STORE</v>
          </cell>
          <cell r="K2971">
            <v>1</v>
          </cell>
          <cell r="L2971">
            <v>393</v>
          </cell>
          <cell r="M2971">
            <v>60065337</v>
          </cell>
          <cell r="N2971">
            <v>38784</v>
          </cell>
          <cell r="P2971" t="str">
            <v>IN6803N1S264001</v>
          </cell>
        </row>
        <row r="2972">
          <cell r="A2972">
            <v>60056452</v>
          </cell>
          <cell r="B2972">
            <v>2971</v>
          </cell>
          <cell r="C2972" t="str">
            <v>CS01/12</v>
          </cell>
          <cell r="D2972" t="str">
            <v>SPCEN-SD</v>
          </cell>
          <cell r="E2972" t="str">
            <v>AF3</v>
          </cell>
          <cell r="F2972">
            <v>1.2</v>
          </cell>
          <cell r="G2972">
            <v>40</v>
          </cell>
          <cell r="H2972" t="str">
            <v>C</v>
          </cell>
          <cell r="I2972" t="str">
            <v>A</v>
          </cell>
          <cell r="J2972" t="str">
            <v>STORE</v>
          </cell>
          <cell r="K2972">
            <v>1</v>
          </cell>
          <cell r="L2972">
            <v>250</v>
          </cell>
          <cell r="M2972">
            <v>60056452</v>
          </cell>
          <cell r="N2972">
            <v>38902</v>
          </cell>
          <cell r="P2972" t="str">
            <v>IN6407N1S922001</v>
          </cell>
        </row>
        <row r="2973">
          <cell r="A2973">
            <v>60056455</v>
          </cell>
          <cell r="B2973">
            <v>2972</v>
          </cell>
          <cell r="C2973" t="str">
            <v>CS01/12</v>
          </cell>
          <cell r="D2973" t="str">
            <v>SPCEN-SD</v>
          </cell>
          <cell r="E2973" t="str">
            <v>AF3</v>
          </cell>
          <cell r="F2973">
            <v>1.2</v>
          </cell>
          <cell r="G2973">
            <v>40</v>
          </cell>
          <cell r="H2973" t="str">
            <v>C</v>
          </cell>
          <cell r="I2973" t="str">
            <v>A</v>
          </cell>
          <cell r="J2973" t="str">
            <v>STORE</v>
          </cell>
          <cell r="K2973">
            <v>1</v>
          </cell>
          <cell r="L2973">
            <v>260</v>
          </cell>
          <cell r="M2973">
            <v>60056455</v>
          </cell>
          <cell r="N2973">
            <v>38902</v>
          </cell>
          <cell r="P2973" t="str">
            <v>IN6407N1S922002</v>
          </cell>
        </row>
        <row r="2974">
          <cell r="A2974">
            <v>60056458</v>
          </cell>
          <cell r="B2974">
            <v>2973</v>
          </cell>
          <cell r="C2974" t="str">
            <v>CS01/12</v>
          </cell>
          <cell r="D2974" t="str">
            <v>SPCEN-SD</v>
          </cell>
          <cell r="E2974" t="str">
            <v>AF3</v>
          </cell>
          <cell r="F2974">
            <v>1.2</v>
          </cell>
          <cell r="G2974">
            <v>40</v>
          </cell>
          <cell r="H2974" t="str">
            <v>C</v>
          </cell>
          <cell r="I2974" t="str">
            <v>A</v>
          </cell>
          <cell r="J2974" t="str">
            <v>STORE</v>
          </cell>
          <cell r="K2974">
            <v>1</v>
          </cell>
          <cell r="L2974">
            <v>131</v>
          </cell>
          <cell r="M2974">
            <v>60056458</v>
          </cell>
          <cell r="N2974">
            <v>38902</v>
          </cell>
          <cell r="P2974" t="str">
            <v>IN6407N1S922003</v>
          </cell>
        </row>
        <row r="2975">
          <cell r="A2975">
            <v>60056689</v>
          </cell>
          <cell r="B2975">
            <v>2974</v>
          </cell>
          <cell r="C2975" t="str">
            <v>CS01/12</v>
          </cell>
          <cell r="D2975" t="str">
            <v>SPCEN-SD</v>
          </cell>
          <cell r="E2975" t="str">
            <v>AF3</v>
          </cell>
          <cell r="F2975">
            <v>1.2</v>
          </cell>
          <cell r="G2975">
            <v>40</v>
          </cell>
          <cell r="H2975" t="str">
            <v>C</v>
          </cell>
          <cell r="I2975" t="str">
            <v>A</v>
          </cell>
          <cell r="J2975" t="str">
            <v>STORE</v>
          </cell>
          <cell r="K2975">
            <v>1</v>
          </cell>
          <cell r="L2975">
            <v>31</v>
          </cell>
          <cell r="M2975">
            <v>60056689</v>
          </cell>
          <cell r="N2975" t="str">
            <v>17/4/2006</v>
          </cell>
          <cell r="P2975" t="str">
            <v>IN6417N1S932401</v>
          </cell>
        </row>
        <row r="2976">
          <cell r="A2976">
            <v>60056692</v>
          </cell>
          <cell r="B2976">
            <v>2975</v>
          </cell>
          <cell r="C2976" t="str">
            <v>CS01/12</v>
          </cell>
          <cell r="D2976" t="str">
            <v>SPCEN-SD</v>
          </cell>
          <cell r="E2976" t="str">
            <v>AF3</v>
          </cell>
          <cell r="F2976">
            <v>1.2</v>
          </cell>
          <cell r="G2976">
            <v>40</v>
          </cell>
          <cell r="H2976" t="str">
            <v>C</v>
          </cell>
          <cell r="I2976" t="str">
            <v>A</v>
          </cell>
          <cell r="J2976" t="str">
            <v>STORE</v>
          </cell>
          <cell r="K2976">
            <v>1</v>
          </cell>
          <cell r="L2976">
            <v>68</v>
          </cell>
          <cell r="M2976">
            <v>60056692</v>
          </cell>
          <cell r="N2976" t="str">
            <v>17/4/2006</v>
          </cell>
          <cell r="P2976" t="str">
            <v>IN6417N1S932402</v>
          </cell>
        </row>
        <row r="2977">
          <cell r="A2977">
            <v>60039836</v>
          </cell>
          <cell r="B2977">
            <v>2976</v>
          </cell>
          <cell r="C2977" t="str">
            <v>CS01/12</v>
          </cell>
          <cell r="D2977" t="str">
            <v>SPCEN-SD</v>
          </cell>
          <cell r="E2977" t="str">
            <v>AF3</v>
          </cell>
          <cell r="F2977">
            <v>1.2</v>
          </cell>
          <cell r="G2977">
            <v>60</v>
          </cell>
          <cell r="H2977" t="str">
            <v>C</v>
          </cell>
          <cell r="I2977" t="str">
            <v>A</v>
          </cell>
          <cell r="J2977" t="str">
            <v>STORE</v>
          </cell>
          <cell r="K2977">
            <v>1</v>
          </cell>
          <cell r="L2977">
            <v>453</v>
          </cell>
          <cell r="M2977">
            <v>60039836</v>
          </cell>
          <cell r="N2977">
            <v>38361</v>
          </cell>
          <cell r="P2977" t="str">
            <v>IN5901N1S262401</v>
          </cell>
        </row>
        <row r="2978">
          <cell r="A2978">
            <v>60043614</v>
          </cell>
          <cell r="B2978">
            <v>2977</v>
          </cell>
          <cell r="C2978" t="str">
            <v>CS01/12</v>
          </cell>
          <cell r="D2978" t="str">
            <v>SPCEN-SD</v>
          </cell>
          <cell r="E2978" t="str">
            <v>AF3</v>
          </cell>
          <cell r="F2978">
            <v>1.2</v>
          </cell>
          <cell r="G2978">
            <v>60</v>
          </cell>
          <cell r="H2978" t="str">
            <v>C</v>
          </cell>
          <cell r="I2978" t="str">
            <v>A</v>
          </cell>
          <cell r="J2978" t="str">
            <v>STORE</v>
          </cell>
          <cell r="K2978">
            <v>1</v>
          </cell>
          <cell r="L2978">
            <v>436</v>
          </cell>
          <cell r="M2978">
            <v>60043614</v>
          </cell>
          <cell r="N2978">
            <v>38394</v>
          </cell>
          <cell r="P2978" t="str">
            <v>IN5B02D1S436401</v>
          </cell>
        </row>
        <row r="2979">
          <cell r="A2979">
            <v>60043616</v>
          </cell>
          <cell r="B2979">
            <v>2978</v>
          </cell>
          <cell r="C2979" t="str">
            <v>CS01/12</v>
          </cell>
          <cell r="D2979" t="str">
            <v>SPCEN-SD</v>
          </cell>
          <cell r="E2979" t="str">
            <v>AF3</v>
          </cell>
          <cell r="F2979">
            <v>1.2</v>
          </cell>
          <cell r="G2979">
            <v>60</v>
          </cell>
          <cell r="H2979" t="str">
            <v>C</v>
          </cell>
          <cell r="I2979" t="str">
            <v>A</v>
          </cell>
          <cell r="J2979" t="str">
            <v>STORE</v>
          </cell>
          <cell r="K2979">
            <v>1</v>
          </cell>
          <cell r="L2979">
            <v>280</v>
          </cell>
          <cell r="M2979">
            <v>60043616</v>
          </cell>
          <cell r="N2979">
            <v>38394</v>
          </cell>
          <cell r="P2979" t="str">
            <v>IN5B02D1S436402</v>
          </cell>
        </row>
        <row r="2980">
          <cell r="A2980">
            <v>60043619</v>
          </cell>
          <cell r="B2980">
            <v>2979</v>
          </cell>
          <cell r="C2980" t="str">
            <v>CS01/12</v>
          </cell>
          <cell r="D2980" t="str">
            <v>SPCEN-SD</v>
          </cell>
          <cell r="E2980" t="str">
            <v>AF3</v>
          </cell>
          <cell r="F2980">
            <v>1.2</v>
          </cell>
          <cell r="G2980">
            <v>75</v>
          </cell>
          <cell r="H2980" t="str">
            <v>C</v>
          </cell>
          <cell r="I2980" t="str">
            <v>A</v>
          </cell>
          <cell r="J2980" t="str">
            <v>STORE</v>
          </cell>
          <cell r="K2980">
            <v>1</v>
          </cell>
          <cell r="L2980">
            <v>616</v>
          </cell>
          <cell r="M2980">
            <v>60043619</v>
          </cell>
          <cell r="N2980">
            <v>38394</v>
          </cell>
          <cell r="P2980" t="str">
            <v>IN5B02D1S436401</v>
          </cell>
        </row>
        <row r="2981">
          <cell r="A2981">
            <v>60065427</v>
          </cell>
          <cell r="B2981">
            <v>2980</v>
          </cell>
          <cell r="C2981" t="str">
            <v>CS01/12</v>
          </cell>
          <cell r="D2981" t="str">
            <v>SPCEN-SD</v>
          </cell>
          <cell r="E2981" t="str">
            <v>AF3</v>
          </cell>
          <cell r="F2981">
            <v>1.2</v>
          </cell>
          <cell r="G2981">
            <v>138</v>
          </cell>
          <cell r="H2981" t="str">
            <v>C</v>
          </cell>
          <cell r="I2981" t="str">
            <v>A</v>
          </cell>
          <cell r="J2981" t="str">
            <v>STORE</v>
          </cell>
          <cell r="K2981">
            <v>1</v>
          </cell>
          <cell r="L2981">
            <v>164</v>
          </cell>
          <cell r="M2981">
            <v>60065427</v>
          </cell>
          <cell r="N2981">
            <v>38815</v>
          </cell>
          <cell r="P2981" t="str">
            <v>IN6804D1S268601</v>
          </cell>
        </row>
        <row r="2982">
          <cell r="A2982">
            <v>60065428</v>
          </cell>
          <cell r="B2982">
            <v>2981</v>
          </cell>
          <cell r="C2982" t="str">
            <v>CS01/12</v>
          </cell>
          <cell r="D2982" t="str">
            <v>SPCEN-SD</v>
          </cell>
          <cell r="E2982" t="str">
            <v>AF3</v>
          </cell>
          <cell r="F2982">
            <v>1.2</v>
          </cell>
          <cell r="G2982">
            <v>138</v>
          </cell>
          <cell r="H2982" t="str">
            <v>C</v>
          </cell>
          <cell r="I2982" t="str">
            <v>A</v>
          </cell>
          <cell r="J2982" t="str">
            <v>STORE</v>
          </cell>
          <cell r="K2982">
            <v>1</v>
          </cell>
          <cell r="L2982">
            <v>162</v>
          </cell>
          <cell r="M2982">
            <v>60065428</v>
          </cell>
          <cell r="N2982">
            <v>38815</v>
          </cell>
          <cell r="P2982" t="str">
            <v>IN6804D1S268602</v>
          </cell>
        </row>
        <row r="2983">
          <cell r="A2983">
            <v>60065231</v>
          </cell>
          <cell r="B2983">
            <v>2982</v>
          </cell>
          <cell r="C2983" t="str">
            <v>CS01/12</v>
          </cell>
          <cell r="D2983" t="str">
            <v>SPCEN-SD</v>
          </cell>
          <cell r="E2983" t="str">
            <v>AF3</v>
          </cell>
          <cell r="F2983">
            <v>1.2</v>
          </cell>
          <cell r="G2983">
            <v>150</v>
          </cell>
          <cell r="H2983" t="str">
            <v>C</v>
          </cell>
          <cell r="I2983" t="str">
            <v>A</v>
          </cell>
          <cell r="J2983" t="str">
            <v>STORE</v>
          </cell>
          <cell r="K2983">
            <v>1</v>
          </cell>
          <cell r="L2983">
            <v>872</v>
          </cell>
          <cell r="M2983">
            <v>60065231</v>
          </cell>
          <cell r="N2983">
            <v>38756</v>
          </cell>
          <cell r="P2983" t="str">
            <v>IN6802D1S262501</v>
          </cell>
        </row>
        <row r="2984">
          <cell r="A2984">
            <v>60056433</v>
          </cell>
          <cell r="B2984">
            <v>2983</v>
          </cell>
          <cell r="C2984" t="str">
            <v>CS01/12</v>
          </cell>
          <cell r="D2984" t="str">
            <v>SPCEN-SD</v>
          </cell>
          <cell r="E2984" t="str">
            <v>AF3</v>
          </cell>
          <cell r="F2984">
            <v>1.2</v>
          </cell>
          <cell r="G2984">
            <v>235</v>
          </cell>
          <cell r="H2984" t="str">
            <v>C</v>
          </cell>
          <cell r="I2984" t="str">
            <v>A</v>
          </cell>
          <cell r="J2984" t="str">
            <v>STORE</v>
          </cell>
          <cell r="K2984">
            <v>1</v>
          </cell>
          <cell r="L2984">
            <v>1509</v>
          </cell>
          <cell r="M2984">
            <v>60056433</v>
          </cell>
          <cell r="N2984">
            <v>38872</v>
          </cell>
          <cell r="P2984" t="str">
            <v>IN6406D1S922001</v>
          </cell>
        </row>
        <row r="2985">
          <cell r="A2985">
            <v>60056574</v>
          </cell>
          <cell r="B2985">
            <v>2984</v>
          </cell>
          <cell r="C2985" t="str">
            <v>CS01/12</v>
          </cell>
          <cell r="D2985" t="str">
            <v>SPCEN-SD</v>
          </cell>
          <cell r="E2985" t="str">
            <v>AF3</v>
          </cell>
          <cell r="F2985">
            <v>1.4</v>
          </cell>
          <cell r="G2985">
            <v>45</v>
          </cell>
          <cell r="H2985" t="str">
            <v>C</v>
          </cell>
          <cell r="I2985" t="str">
            <v>A</v>
          </cell>
          <cell r="J2985" t="str">
            <v>STORE</v>
          </cell>
          <cell r="K2985">
            <v>1</v>
          </cell>
          <cell r="L2985">
            <v>100</v>
          </cell>
          <cell r="M2985">
            <v>60056574</v>
          </cell>
          <cell r="N2985" t="str">
            <v>21/5/2006</v>
          </cell>
          <cell r="P2985" t="str">
            <v>IN6521N2S033601</v>
          </cell>
        </row>
        <row r="2986">
          <cell r="A2986">
            <v>60055430</v>
          </cell>
          <cell r="B2986">
            <v>2985</v>
          </cell>
          <cell r="C2986" t="str">
            <v>CS01/12</v>
          </cell>
          <cell r="D2986" t="str">
            <v>SPCEN-SD</v>
          </cell>
          <cell r="E2986" t="str">
            <v>AF3</v>
          </cell>
          <cell r="F2986">
            <v>1.6</v>
          </cell>
          <cell r="G2986">
            <v>43</v>
          </cell>
          <cell r="H2986" t="str">
            <v>C</v>
          </cell>
          <cell r="I2986" t="str">
            <v>A</v>
          </cell>
          <cell r="J2986" t="str">
            <v>STORE</v>
          </cell>
          <cell r="K2986">
            <v>1</v>
          </cell>
          <cell r="L2986">
            <v>192</v>
          </cell>
          <cell r="M2986">
            <v>60055430</v>
          </cell>
          <cell r="N2986" t="str">
            <v>24/3/2006</v>
          </cell>
          <cell r="P2986" t="str">
            <v>IN6324D2S872401</v>
          </cell>
        </row>
        <row r="2987">
          <cell r="A2987">
            <v>60057143</v>
          </cell>
          <cell r="B2987">
            <v>2986</v>
          </cell>
          <cell r="C2987" t="str">
            <v>CS01/12</v>
          </cell>
          <cell r="D2987" t="str">
            <v>SPCEN-SD</v>
          </cell>
          <cell r="E2987" t="str">
            <v>AF3</v>
          </cell>
          <cell r="F2987">
            <v>1.6</v>
          </cell>
          <cell r="G2987">
            <v>43</v>
          </cell>
          <cell r="H2987" t="str">
            <v>C</v>
          </cell>
          <cell r="I2987" t="str">
            <v>A</v>
          </cell>
          <cell r="J2987" t="str">
            <v>STORE</v>
          </cell>
          <cell r="K2987">
            <v>1</v>
          </cell>
          <cell r="L2987">
            <v>244</v>
          </cell>
          <cell r="M2987">
            <v>60057143</v>
          </cell>
          <cell r="N2987" t="str">
            <v>22/4/2006</v>
          </cell>
          <cell r="P2987" t="str">
            <v>IN6422D2S950601</v>
          </cell>
        </row>
        <row r="2988">
          <cell r="A2988">
            <v>60058475</v>
          </cell>
          <cell r="B2988">
            <v>2987</v>
          </cell>
          <cell r="C2988" t="str">
            <v>CS01/12</v>
          </cell>
          <cell r="D2988" t="str">
            <v>SPCEN-SD</v>
          </cell>
          <cell r="E2988" t="str">
            <v>AF3</v>
          </cell>
          <cell r="F2988">
            <v>1.6</v>
          </cell>
          <cell r="G2988">
            <v>332</v>
          </cell>
          <cell r="H2988" t="str">
            <v>C</v>
          </cell>
          <cell r="I2988" t="str">
            <v>A</v>
          </cell>
          <cell r="J2988" t="str">
            <v>STORE</v>
          </cell>
          <cell r="K2988">
            <v>1</v>
          </cell>
          <cell r="L2988">
            <v>312</v>
          </cell>
          <cell r="M2988">
            <v>60058475</v>
          </cell>
          <cell r="N2988">
            <v>38873</v>
          </cell>
          <cell r="P2988" t="str">
            <v>IN6506N1S988501</v>
          </cell>
        </row>
        <row r="2989">
          <cell r="A2989">
            <v>60058477</v>
          </cell>
          <cell r="B2989">
            <v>2988</v>
          </cell>
          <cell r="C2989" t="str">
            <v>CS01/12</v>
          </cell>
          <cell r="D2989" t="str">
            <v>SPCEN-SD</v>
          </cell>
          <cell r="E2989" t="str">
            <v>AF3</v>
          </cell>
          <cell r="F2989">
            <v>1.6</v>
          </cell>
          <cell r="G2989">
            <v>332</v>
          </cell>
          <cell r="H2989" t="str">
            <v>C</v>
          </cell>
          <cell r="I2989" t="str">
            <v>A</v>
          </cell>
          <cell r="J2989" t="str">
            <v>STORE</v>
          </cell>
          <cell r="K2989">
            <v>1</v>
          </cell>
          <cell r="L2989">
            <v>312</v>
          </cell>
          <cell r="M2989">
            <v>60058477</v>
          </cell>
          <cell r="N2989">
            <v>38873</v>
          </cell>
          <cell r="P2989" t="str">
            <v>IN6506N1S988502</v>
          </cell>
        </row>
        <row r="2990">
          <cell r="A2990">
            <v>60061147</v>
          </cell>
          <cell r="B2990">
            <v>2989</v>
          </cell>
          <cell r="C2990" t="str">
            <v>CS01/12</v>
          </cell>
          <cell r="D2990" t="str">
            <v>SPCEN-SD</v>
          </cell>
          <cell r="E2990" t="str">
            <v>AF3</v>
          </cell>
          <cell r="F2990">
            <v>1.6</v>
          </cell>
          <cell r="G2990">
            <v>444</v>
          </cell>
          <cell r="H2990" t="str">
            <v>C</v>
          </cell>
          <cell r="I2990" t="str">
            <v>A</v>
          </cell>
          <cell r="J2990" t="str">
            <v>STORE</v>
          </cell>
          <cell r="K2990">
            <v>1</v>
          </cell>
          <cell r="L2990">
            <v>3822</v>
          </cell>
          <cell r="M2990">
            <v>60061147</v>
          </cell>
          <cell r="N2990">
            <v>38846</v>
          </cell>
          <cell r="O2990" t="str">
            <v>W26104TCD025</v>
          </cell>
          <cell r="P2990" t="str">
            <v>IN6905D1S350601</v>
          </cell>
        </row>
        <row r="2991">
          <cell r="A2991">
            <v>60033327</v>
          </cell>
          <cell r="B2991">
            <v>2990</v>
          </cell>
          <cell r="C2991" t="str">
            <v>CS01/12</v>
          </cell>
          <cell r="D2991" t="str">
            <v>SPCEN-SD</v>
          </cell>
          <cell r="E2991" t="str">
            <v>AF3</v>
          </cell>
          <cell r="F2991">
            <v>2</v>
          </cell>
          <cell r="G2991">
            <v>70</v>
          </cell>
          <cell r="H2991" t="str">
            <v>C</v>
          </cell>
          <cell r="I2991" t="str">
            <v>A</v>
          </cell>
          <cell r="J2991" t="str">
            <v>STORE</v>
          </cell>
          <cell r="K2991">
            <v>1</v>
          </cell>
          <cell r="L2991">
            <v>134</v>
          </cell>
          <cell r="M2991">
            <v>60033327</v>
          </cell>
          <cell r="N2991">
            <v>38508</v>
          </cell>
          <cell r="P2991" t="str">
            <v>IN5506N1S936001</v>
          </cell>
        </row>
        <row r="2992">
          <cell r="A2992">
            <v>60040838</v>
          </cell>
          <cell r="B2992">
            <v>2991</v>
          </cell>
          <cell r="C2992" t="str">
            <v>CS01/12</v>
          </cell>
          <cell r="D2992" t="str">
            <v>SPCEN-SD</v>
          </cell>
          <cell r="E2992" t="str">
            <v>AF3</v>
          </cell>
          <cell r="F2992">
            <v>2</v>
          </cell>
          <cell r="G2992">
            <v>70</v>
          </cell>
          <cell r="H2992" t="str">
            <v>C</v>
          </cell>
          <cell r="I2992" t="str">
            <v>A</v>
          </cell>
          <cell r="J2992" t="str">
            <v>STORE</v>
          </cell>
          <cell r="K2992">
            <v>1</v>
          </cell>
          <cell r="L2992">
            <v>220</v>
          </cell>
          <cell r="M2992">
            <v>60040838</v>
          </cell>
          <cell r="N2992" t="str">
            <v>17/9/2005</v>
          </cell>
          <cell r="P2992" t="str">
            <v>IN5917N1S360701</v>
          </cell>
        </row>
        <row r="2993">
          <cell r="A2993">
            <v>60046781</v>
          </cell>
          <cell r="B2993">
            <v>2992</v>
          </cell>
          <cell r="C2993" t="str">
            <v>CS01/12</v>
          </cell>
          <cell r="D2993" t="str">
            <v>SPCEN-SD</v>
          </cell>
          <cell r="E2993" t="str">
            <v>AF3</v>
          </cell>
          <cell r="F2993">
            <v>2</v>
          </cell>
          <cell r="G2993">
            <v>70</v>
          </cell>
          <cell r="H2993" t="str">
            <v>C</v>
          </cell>
          <cell r="I2993" t="str">
            <v>A</v>
          </cell>
          <cell r="J2993" t="str">
            <v>STORE</v>
          </cell>
          <cell r="K2993">
            <v>1</v>
          </cell>
          <cell r="L2993">
            <v>248</v>
          </cell>
          <cell r="M2993">
            <v>60046781</v>
          </cell>
          <cell r="N2993">
            <v>38515</v>
          </cell>
          <cell r="P2993" t="str">
            <v>IN5C06D1S533401</v>
          </cell>
        </row>
        <row r="2994">
          <cell r="A2994">
            <v>60065000</v>
          </cell>
          <cell r="B2994">
            <v>2993</v>
          </cell>
          <cell r="C2994" t="str">
            <v>CS01/12</v>
          </cell>
          <cell r="D2994" t="str">
            <v>SPCC-SD</v>
          </cell>
          <cell r="E2994" t="str">
            <v>AG1</v>
          </cell>
          <cell r="F2994">
            <v>2</v>
          </cell>
          <cell r="G2994">
            <v>92</v>
          </cell>
          <cell r="H2994" t="str">
            <v>C</v>
          </cell>
          <cell r="I2994" t="str">
            <v>A</v>
          </cell>
          <cell r="J2994" t="str">
            <v>STORE</v>
          </cell>
          <cell r="K2994">
            <v>1</v>
          </cell>
          <cell r="L2994">
            <v>254</v>
          </cell>
          <cell r="M2994">
            <v>60065000</v>
          </cell>
          <cell r="N2994" t="str">
            <v>31/7/2006</v>
          </cell>
          <cell r="P2994" t="str">
            <v>IN6731N1S241501</v>
          </cell>
        </row>
        <row r="2995">
          <cell r="A2995">
            <v>60065011</v>
          </cell>
          <cell r="B2995">
            <v>2994</v>
          </cell>
          <cell r="C2995" t="str">
            <v>CS01/12</v>
          </cell>
          <cell r="D2995" t="str">
            <v>SPCC-SD</v>
          </cell>
          <cell r="E2995" t="str">
            <v>AG1</v>
          </cell>
          <cell r="F2995">
            <v>2</v>
          </cell>
          <cell r="G2995">
            <v>92</v>
          </cell>
          <cell r="H2995" t="str">
            <v>C</v>
          </cell>
          <cell r="I2995" t="str">
            <v>A</v>
          </cell>
          <cell r="J2995" t="str">
            <v>STORE</v>
          </cell>
          <cell r="K2995">
            <v>1</v>
          </cell>
          <cell r="L2995">
            <v>240</v>
          </cell>
          <cell r="M2995">
            <v>60065011</v>
          </cell>
          <cell r="N2995" t="str">
            <v>31/7/2006</v>
          </cell>
          <cell r="P2995" t="str">
            <v>IN6731N1S241502</v>
          </cell>
        </row>
        <row r="2996">
          <cell r="A2996">
            <v>60062859</v>
          </cell>
          <cell r="B2996">
            <v>2995</v>
          </cell>
          <cell r="C2996" t="str">
            <v>CS01/12</v>
          </cell>
          <cell r="D2996" t="str">
            <v>SPCC-SD</v>
          </cell>
          <cell r="E2996" t="str">
            <v>AG1</v>
          </cell>
          <cell r="F2996">
            <v>0.6</v>
          </cell>
          <cell r="G2996">
            <v>213</v>
          </cell>
          <cell r="H2996" t="str">
            <v>C</v>
          </cell>
          <cell r="I2996" t="str">
            <v>A</v>
          </cell>
          <cell r="J2996" t="str">
            <v>STORE</v>
          </cell>
          <cell r="K2996">
            <v>1</v>
          </cell>
          <cell r="L2996">
            <v>1622</v>
          </cell>
          <cell r="M2996">
            <v>60062859</v>
          </cell>
          <cell r="N2996">
            <v>38814</v>
          </cell>
          <cell r="P2996" t="str">
            <v>IN6704D1S171301</v>
          </cell>
        </row>
        <row r="2997">
          <cell r="A2997">
            <v>60062862</v>
          </cell>
          <cell r="B2997">
            <v>2996</v>
          </cell>
          <cell r="C2997" t="str">
            <v>CS01/12</v>
          </cell>
          <cell r="D2997" t="str">
            <v>SPCC-SD</v>
          </cell>
          <cell r="E2997" t="str">
            <v>AG1</v>
          </cell>
          <cell r="F2997">
            <v>0.6</v>
          </cell>
          <cell r="G2997">
            <v>213</v>
          </cell>
          <cell r="H2997" t="str">
            <v>C</v>
          </cell>
          <cell r="I2997" t="str">
            <v>A</v>
          </cell>
          <cell r="J2997" t="str">
            <v>STORE</v>
          </cell>
          <cell r="K2997">
            <v>1</v>
          </cell>
          <cell r="L2997">
            <v>1522</v>
          </cell>
          <cell r="M2997">
            <v>60062862</v>
          </cell>
          <cell r="N2997">
            <v>38814</v>
          </cell>
          <cell r="P2997" t="str">
            <v>IN6704D1S171301</v>
          </cell>
        </row>
        <row r="2998">
          <cell r="A2998">
            <v>60062881</v>
          </cell>
          <cell r="B2998">
            <v>2997</v>
          </cell>
          <cell r="C2998" t="str">
            <v>CS01/12</v>
          </cell>
          <cell r="D2998" t="str">
            <v>SPCC-SD</v>
          </cell>
          <cell r="E2998" t="str">
            <v>AG1</v>
          </cell>
          <cell r="F2998">
            <v>0.6</v>
          </cell>
          <cell r="G2998">
            <v>213</v>
          </cell>
          <cell r="H2998" t="str">
            <v>C</v>
          </cell>
          <cell r="I2998" t="str">
            <v>A</v>
          </cell>
          <cell r="J2998" t="str">
            <v>STORE</v>
          </cell>
          <cell r="K2998">
            <v>1</v>
          </cell>
          <cell r="L2998">
            <v>1680</v>
          </cell>
          <cell r="M2998">
            <v>60062881</v>
          </cell>
          <cell r="N2998">
            <v>38814</v>
          </cell>
          <cell r="P2998" t="str">
            <v>IN6704D1S171302</v>
          </cell>
        </row>
        <row r="2999">
          <cell r="A2999">
            <v>60062884</v>
          </cell>
          <cell r="B2999">
            <v>2998</v>
          </cell>
          <cell r="C2999" t="str">
            <v>CS01/12</v>
          </cell>
          <cell r="D2999" t="str">
            <v>SPCC-SD</v>
          </cell>
          <cell r="E2999" t="str">
            <v>AG1</v>
          </cell>
          <cell r="F2999">
            <v>0.6</v>
          </cell>
          <cell r="G2999">
            <v>213</v>
          </cell>
          <cell r="H2999" t="str">
            <v>C</v>
          </cell>
          <cell r="I2999" t="str">
            <v>A</v>
          </cell>
          <cell r="J2999" t="str">
            <v>STORE</v>
          </cell>
          <cell r="K2999">
            <v>1</v>
          </cell>
          <cell r="L2999">
            <v>1624</v>
          </cell>
          <cell r="M2999">
            <v>60062884</v>
          </cell>
          <cell r="N2999">
            <v>38814</v>
          </cell>
          <cell r="P2999" t="str">
            <v>IN6704D1S171303</v>
          </cell>
        </row>
        <row r="3000">
          <cell r="A3000">
            <v>60062887</v>
          </cell>
          <cell r="B3000">
            <v>2999</v>
          </cell>
          <cell r="C3000" t="str">
            <v>CS01/12</v>
          </cell>
          <cell r="D3000" t="str">
            <v>SPCC-SD</v>
          </cell>
          <cell r="E3000" t="str">
            <v>AG1</v>
          </cell>
          <cell r="F3000">
            <v>0.6</v>
          </cell>
          <cell r="G3000">
            <v>213</v>
          </cell>
          <cell r="H3000" t="str">
            <v>C</v>
          </cell>
          <cell r="I3000" t="str">
            <v>A</v>
          </cell>
          <cell r="J3000" t="str">
            <v>STORE</v>
          </cell>
          <cell r="K3000">
            <v>1</v>
          </cell>
          <cell r="L3000">
            <v>1560</v>
          </cell>
          <cell r="M3000">
            <v>60062887</v>
          </cell>
          <cell r="N3000">
            <v>38814</v>
          </cell>
          <cell r="P3000" t="str">
            <v>IN6704D1S171304</v>
          </cell>
        </row>
        <row r="3001">
          <cell r="A3001">
            <v>60062890</v>
          </cell>
          <cell r="B3001">
            <v>3000</v>
          </cell>
          <cell r="C3001" t="str">
            <v>CS01/12</v>
          </cell>
          <cell r="D3001" t="str">
            <v>SPCC-SD</v>
          </cell>
          <cell r="E3001" t="str">
            <v>AG1</v>
          </cell>
          <cell r="F3001">
            <v>0.6</v>
          </cell>
          <cell r="G3001">
            <v>213</v>
          </cell>
          <cell r="H3001" t="str">
            <v>C</v>
          </cell>
          <cell r="I3001" t="str">
            <v>A</v>
          </cell>
          <cell r="J3001" t="str">
            <v>STORE</v>
          </cell>
          <cell r="K3001">
            <v>1</v>
          </cell>
          <cell r="L3001">
            <v>1689</v>
          </cell>
          <cell r="M3001">
            <v>60062890</v>
          </cell>
          <cell r="N3001">
            <v>38814</v>
          </cell>
          <cell r="P3001" t="str">
            <v>IN6704D1S171305</v>
          </cell>
        </row>
        <row r="3002">
          <cell r="A3002">
            <v>60062936</v>
          </cell>
          <cell r="B3002">
            <v>3001</v>
          </cell>
          <cell r="C3002" t="str">
            <v>CS01/12</v>
          </cell>
          <cell r="D3002" t="str">
            <v>SPCC-SD</v>
          </cell>
          <cell r="E3002" t="str">
            <v>AG1</v>
          </cell>
          <cell r="F3002">
            <v>0.6</v>
          </cell>
          <cell r="G3002">
            <v>213</v>
          </cell>
          <cell r="H3002" t="str">
            <v>C</v>
          </cell>
          <cell r="I3002" t="str">
            <v>A</v>
          </cell>
          <cell r="J3002" t="str">
            <v>STORE</v>
          </cell>
          <cell r="K3002">
            <v>1</v>
          </cell>
          <cell r="L3002">
            <v>1680</v>
          </cell>
          <cell r="M3002">
            <v>60062936</v>
          </cell>
          <cell r="N3002">
            <v>38844</v>
          </cell>
          <cell r="P3002" t="str">
            <v>IN6705N1S173201</v>
          </cell>
        </row>
        <row r="3003">
          <cell r="A3003">
            <v>60063025</v>
          </cell>
          <cell r="B3003">
            <v>3002</v>
          </cell>
          <cell r="C3003" t="str">
            <v>CS01/12</v>
          </cell>
          <cell r="D3003" t="str">
            <v>SPCC-SD</v>
          </cell>
          <cell r="E3003" t="str">
            <v>AG1</v>
          </cell>
          <cell r="F3003">
            <v>0.6</v>
          </cell>
          <cell r="G3003">
            <v>213</v>
          </cell>
          <cell r="H3003" t="str">
            <v>C</v>
          </cell>
          <cell r="I3003" t="str">
            <v>A</v>
          </cell>
          <cell r="J3003" t="str">
            <v>STORE</v>
          </cell>
          <cell r="K3003">
            <v>1</v>
          </cell>
          <cell r="L3003">
            <v>1676</v>
          </cell>
          <cell r="M3003">
            <v>60063025</v>
          </cell>
          <cell r="N3003">
            <v>38844</v>
          </cell>
          <cell r="P3003" t="str">
            <v>IN6705N1S176901</v>
          </cell>
        </row>
        <row r="3004">
          <cell r="A3004">
            <v>60058365</v>
          </cell>
          <cell r="B3004">
            <v>3003</v>
          </cell>
          <cell r="C3004" t="str">
            <v>CS01/12</v>
          </cell>
          <cell r="D3004" t="str">
            <v>SPHC P/O</v>
          </cell>
          <cell r="E3004" t="str">
            <v>CA1</v>
          </cell>
          <cell r="F3004">
            <v>1.2</v>
          </cell>
          <cell r="G3004">
            <v>92</v>
          </cell>
          <cell r="H3004" t="str">
            <v>C</v>
          </cell>
          <cell r="I3004" t="str">
            <v>A</v>
          </cell>
          <cell r="J3004" t="str">
            <v>STORE</v>
          </cell>
          <cell r="K3004">
            <v>1</v>
          </cell>
          <cell r="L3004">
            <v>178</v>
          </cell>
          <cell r="M3004">
            <v>60058365</v>
          </cell>
          <cell r="N3004">
            <v>38842</v>
          </cell>
          <cell r="P3004" t="str">
            <v>IN6505N1S987001</v>
          </cell>
        </row>
        <row r="3005">
          <cell r="A3005">
            <v>60062263</v>
          </cell>
          <cell r="B3005">
            <v>3004</v>
          </cell>
          <cell r="C3005" t="str">
            <v>CS01/12</v>
          </cell>
          <cell r="D3005" t="str">
            <v>SPHC P/O</v>
          </cell>
          <cell r="E3005" t="str">
            <v>CA1</v>
          </cell>
          <cell r="F3005">
            <v>1.4</v>
          </cell>
          <cell r="G3005">
            <v>66</v>
          </cell>
          <cell r="H3005" t="str">
            <v>C</v>
          </cell>
          <cell r="I3005" t="str">
            <v>A</v>
          </cell>
          <cell r="J3005" t="str">
            <v>STORE</v>
          </cell>
          <cell r="K3005">
            <v>1</v>
          </cell>
          <cell r="L3005">
            <v>151</v>
          </cell>
          <cell r="M3005">
            <v>60062263</v>
          </cell>
          <cell r="N3005" t="str">
            <v>23/6/2006</v>
          </cell>
          <cell r="P3005" t="str">
            <v>IN6623N1S127001</v>
          </cell>
        </row>
        <row r="3006">
          <cell r="A3006">
            <v>60023872</v>
          </cell>
          <cell r="B3006">
            <v>3005</v>
          </cell>
          <cell r="C3006" t="str">
            <v>CS01/12</v>
          </cell>
          <cell r="D3006" t="str">
            <v>SPHC P/O</v>
          </cell>
          <cell r="E3006" t="str">
            <v>CA1</v>
          </cell>
          <cell r="F3006">
            <v>1.4</v>
          </cell>
          <cell r="G3006">
            <v>100</v>
          </cell>
          <cell r="H3006" t="str">
            <v>C</v>
          </cell>
          <cell r="I3006" t="str">
            <v>A</v>
          </cell>
          <cell r="J3006" t="str">
            <v>STORE</v>
          </cell>
          <cell r="K3006">
            <v>1</v>
          </cell>
          <cell r="L3006">
            <v>355</v>
          </cell>
          <cell r="M3006">
            <v>60023872</v>
          </cell>
          <cell r="N3006" t="str">
            <v>30/11/2004</v>
          </cell>
          <cell r="P3006" t="str">
            <v>IN4B30N1S513201</v>
          </cell>
        </row>
        <row r="3007">
          <cell r="A3007">
            <v>60039092</v>
          </cell>
          <cell r="B3007">
            <v>3006</v>
          </cell>
          <cell r="C3007" t="str">
            <v>CS01/12</v>
          </cell>
          <cell r="D3007" t="str">
            <v>SPCC-SD</v>
          </cell>
          <cell r="E3007" t="str">
            <v>AF1</v>
          </cell>
          <cell r="F3007">
            <v>3</v>
          </cell>
          <cell r="G3007">
            <v>80</v>
          </cell>
          <cell r="H3007" t="str">
            <v>C</v>
          </cell>
          <cell r="I3007" t="str">
            <v>A</v>
          </cell>
          <cell r="J3007" t="str">
            <v>STORE</v>
          </cell>
          <cell r="K3007">
            <v>1</v>
          </cell>
          <cell r="L3007">
            <v>258</v>
          </cell>
          <cell r="M3007">
            <v>60039092</v>
          </cell>
          <cell r="N3007" t="str">
            <v>16/8/2005</v>
          </cell>
          <cell r="O3007" t="str">
            <v>124B19TCD001</v>
          </cell>
          <cell r="P3007" t="str">
            <v>IN5816D2S191201</v>
          </cell>
        </row>
        <row r="3008">
          <cell r="A3008">
            <v>60039097</v>
          </cell>
          <cell r="B3008">
            <v>3007</v>
          </cell>
          <cell r="C3008" t="str">
            <v>CS01/12</v>
          </cell>
          <cell r="D3008" t="str">
            <v>SPCC-SD</v>
          </cell>
          <cell r="E3008" t="str">
            <v>AF1</v>
          </cell>
          <cell r="F3008">
            <v>3</v>
          </cell>
          <cell r="G3008">
            <v>80</v>
          </cell>
          <cell r="H3008" t="str">
            <v>C</v>
          </cell>
          <cell r="I3008" t="str">
            <v>A</v>
          </cell>
          <cell r="J3008" t="str">
            <v>STORE</v>
          </cell>
          <cell r="K3008">
            <v>1</v>
          </cell>
          <cell r="L3008">
            <v>258</v>
          </cell>
          <cell r="M3008">
            <v>60039097</v>
          </cell>
          <cell r="N3008" t="str">
            <v>16/8/2005</v>
          </cell>
          <cell r="O3008" t="str">
            <v>124B19TCD001</v>
          </cell>
          <cell r="P3008" t="str">
            <v>IN5816D2S191202</v>
          </cell>
        </row>
        <row r="3009">
          <cell r="A3009">
            <v>60039098</v>
          </cell>
          <cell r="B3009">
            <v>3008</v>
          </cell>
          <cell r="C3009" t="str">
            <v>CS01/12</v>
          </cell>
          <cell r="D3009" t="str">
            <v>SPCC-SD</v>
          </cell>
          <cell r="E3009" t="str">
            <v>AF1</v>
          </cell>
          <cell r="F3009">
            <v>3</v>
          </cell>
          <cell r="G3009">
            <v>80</v>
          </cell>
          <cell r="H3009" t="str">
            <v>C</v>
          </cell>
          <cell r="I3009" t="str">
            <v>A</v>
          </cell>
          <cell r="J3009" t="str">
            <v>STORE</v>
          </cell>
          <cell r="K3009">
            <v>1</v>
          </cell>
          <cell r="L3009">
            <v>226</v>
          </cell>
          <cell r="M3009">
            <v>60039098</v>
          </cell>
          <cell r="N3009" t="str">
            <v>16/8/2005</v>
          </cell>
          <cell r="O3009" t="str">
            <v>124B19TCD001</v>
          </cell>
          <cell r="P3009" t="str">
            <v>IN5816D2S191203</v>
          </cell>
        </row>
        <row r="3010">
          <cell r="A3010">
            <v>60039103</v>
          </cell>
          <cell r="B3010">
            <v>3009</v>
          </cell>
          <cell r="C3010" t="str">
            <v>CS01/12</v>
          </cell>
          <cell r="D3010" t="str">
            <v>SPCC-SD</v>
          </cell>
          <cell r="E3010" t="str">
            <v>AF1</v>
          </cell>
          <cell r="F3010">
            <v>3</v>
          </cell>
          <cell r="G3010">
            <v>80</v>
          </cell>
          <cell r="H3010" t="str">
            <v>C</v>
          </cell>
          <cell r="I3010" t="str">
            <v>A</v>
          </cell>
          <cell r="J3010" t="str">
            <v>STORE</v>
          </cell>
          <cell r="K3010">
            <v>1</v>
          </cell>
          <cell r="L3010">
            <v>226</v>
          </cell>
          <cell r="M3010">
            <v>60039103</v>
          </cell>
          <cell r="N3010" t="str">
            <v>16/8/2005</v>
          </cell>
          <cell r="O3010" t="str">
            <v>124B19TCD001</v>
          </cell>
          <cell r="P3010" t="str">
            <v>IN5816D2S191204</v>
          </cell>
        </row>
        <row r="3011">
          <cell r="A3011">
            <v>60039115</v>
          </cell>
          <cell r="B3011">
            <v>3010</v>
          </cell>
          <cell r="C3011" t="str">
            <v>CS01/12</v>
          </cell>
          <cell r="D3011" t="str">
            <v>SPCC-SD</v>
          </cell>
          <cell r="E3011" t="str">
            <v>AF1</v>
          </cell>
          <cell r="F3011">
            <v>3</v>
          </cell>
          <cell r="G3011">
            <v>80</v>
          </cell>
          <cell r="H3011" t="str">
            <v>C</v>
          </cell>
          <cell r="I3011" t="str">
            <v>A</v>
          </cell>
          <cell r="J3011" t="str">
            <v>STORE</v>
          </cell>
          <cell r="K3011">
            <v>1</v>
          </cell>
          <cell r="L3011">
            <v>300</v>
          </cell>
          <cell r="M3011">
            <v>60039115</v>
          </cell>
          <cell r="N3011" t="str">
            <v>16/8/2005</v>
          </cell>
          <cell r="O3011" t="str">
            <v>124C21TCD002</v>
          </cell>
          <cell r="P3011" t="str">
            <v>IN5816D2S191205</v>
          </cell>
        </row>
        <row r="3012">
          <cell r="A3012">
            <v>60039122</v>
          </cell>
          <cell r="B3012">
            <v>3011</v>
          </cell>
          <cell r="C3012" t="str">
            <v>CS01/12</v>
          </cell>
          <cell r="D3012" t="str">
            <v>SPCC-SD</v>
          </cell>
          <cell r="E3012" t="str">
            <v>AF1</v>
          </cell>
          <cell r="F3012">
            <v>3</v>
          </cell>
          <cell r="G3012">
            <v>80</v>
          </cell>
          <cell r="H3012" t="str">
            <v>C</v>
          </cell>
          <cell r="I3012" t="str">
            <v>A</v>
          </cell>
          <cell r="J3012" t="str">
            <v>STORE</v>
          </cell>
          <cell r="K3012">
            <v>1</v>
          </cell>
          <cell r="L3012">
            <v>300</v>
          </cell>
          <cell r="M3012">
            <v>60039122</v>
          </cell>
          <cell r="N3012" t="str">
            <v>16/8/2005</v>
          </cell>
          <cell r="O3012" t="str">
            <v>Z26816TCD001</v>
          </cell>
          <cell r="P3012" t="str">
            <v>IN5816D2S191206</v>
          </cell>
        </row>
        <row r="3013">
          <cell r="A3013">
            <v>60039133</v>
          </cell>
          <cell r="B3013">
            <v>3012</v>
          </cell>
          <cell r="C3013" t="str">
            <v>CS01/12</v>
          </cell>
          <cell r="D3013" t="str">
            <v>SPCC-SD</v>
          </cell>
          <cell r="E3013" t="str">
            <v>AF1</v>
          </cell>
          <cell r="F3013">
            <v>3</v>
          </cell>
          <cell r="G3013">
            <v>80</v>
          </cell>
          <cell r="H3013" t="str">
            <v>C</v>
          </cell>
          <cell r="I3013" t="str">
            <v>A</v>
          </cell>
          <cell r="J3013" t="str">
            <v>STORE</v>
          </cell>
          <cell r="K3013">
            <v>1</v>
          </cell>
          <cell r="L3013">
            <v>280</v>
          </cell>
          <cell r="M3013">
            <v>60039133</v>
          </cell>
          <cell r="N3013" t="str">
            <v>16/8/2005</v>
          </cell>
          <cell r="O3013" t="str">
            <v>124C21TCD003</v>
          </cell>
          <cell r="P3013" t="str">
            <v>IN5816D2S191207</v>
          </cell>
        </row>
        <row r="3014">
          <cell r="A3014">
            <v>60040280</v>
          </cell>
          <cell r="B3014">
            <v>3013</v>
          </cell>
          <cell r="C3014" t="str">
            <v>CS01/12</v>
          </cell>
          <cell r="D3014" t="str">
            <v>SPCC-SD</v>
          </cell>
          <cell r="E3014" t="str">
            <v>AF1</v>
          </cell>
          <cell r="F3014">
            <v>3</v>
          </cell>
          <cell r="G3014">
            <v>80</v>
          </cell>
          <cell r="H3014" t="str">
            <v>C</v>
          </cell>
          <cell r="I3014" t="str">
            <v>A</v>
          </cell>
          <cell r="J3014" t="str">
            <v>STORE</v>
          </cell>
          <cell r="K3014">
            <v>1</v>
          </cell>
          <cell r="L3014">
            <v>296</v>
          </cell>
          <cell r="M3014">
            <v>60040280</v>
          </cell>
          <cell r="N3014">
            <v>38573</v>
          </cell>
          <cell r="O3014" t="str">
            <v>124C23SUD003</v>
          </cell>
          <cell r="P3014" t="str">
            <v>IN5908D2S263401</v>
          </cell>
        </row>
        <row r="3015">
          <cell r="A3015">
            <v>60040285</v>
          </cell>
          <cell r="B3015">
            <v>3014</v>
          </cell>
          <cell r="C3015" t="str">
            <v>CS01/12</v>
          </cell>
          <cell r="D3015" t="str">
            <v>SPCC-SD</v>
          </cell>
          <cell r="E3015" t="str">
            <v>AF1</v>
          </cell>
          <cell r="F3015">
            <v>3</v>
          </cell>
          <cell r="G3015">
            <v>80</v>
          </cell>
          <cell r="H3015" t="str">
            <v>C</v>
          </cell>
          <cell r="I3015" t="str">
            <v>A</v>
          </cell>
          <cell r="J3015" t="str">
            <v>STORE</v>
          </cell>
          <cell r="K3015">
            <v>1</v>
          </cell>
          <cell r="L3015">
            <v>296</v>
          </cell>
          <cell r="M3015">
            <v>60040285</v>
          </cell>
          <cell r="N3015">
            <v>38573</v>
          </cell>
          <cell r="O3015" t="str">
            <v>124C24TCD001</v>
          </cell>
          <cell r="P3015" t="str">
            <v>IN5908D2S263402</v>
          </cell>
        </row>
        <row r="3016">
          <cell r="A3016">
            <v>60040286</v>
          </cell>
          <cell r="B3016">
            <v>3015</v>
          </cell>
          <cell r="C3016" t="str">
            <v>CS01/12</v>
          </cell>
          <cell r="D3016" t="str">
            <v>SPCC-SD</v>
          </cell>
          <cell r="E3016" t="str">
            <v>AF1</v>
          </cell>
          <cell r="F3016">
            <v>3</v>
          </cell>
          <cell r="G3016">
            <v>80</v>
          </cell>
          <cell r="H3016" t="str">
            <v>C</v>
          </cell>
          <cell r="I3016" t="str">
            <v>A</v>
          </cell>
          <cell r="J3016" t="str">
            <v>STORE</v>
          </cell>
          <cell r="K3016">
            <v>1</v>
          </cell>
          <cell r="L3016">
            <v>274</v>
          </cell>
          <cell r="M3016">
            <v>60040286</v>
          </cell>
          <cell r="N3016">
            <v>38573</v>
          </cell>
          <cell r="O3016" t="str">
            <v>124C24TCD001</v>
          </cell>
          <cell r="P3016" t="str">
            <v>IN5908D2S263403</v>
          </cell>
        </row>
        <row r="3017">
          <cell r="A3017">
            <v>60040291</v>
          </cell>
          <cell r="B3017">
            <v>3016</v>
          </cell>
          <cell r="C3017" t="str">
            <v>CS01/12</v>
          </cell>
          <cell r="D3017" t="str">
            <v>SPCC-SD</v>
          </cell>
          <cell r="E3017" t="str">
            <v>AF1</v>
          </cell>
          <cell r="F3017">
            <v>3</v>
          </cell>
          <cell r="G3017">
            <v>80</v>
          </cell>
          <cell r="H3017" t="str">
            <v>C</v>
          </cell>
          <cell r="I3017" t="str">
            <v>A</v>
          </cell>
          <cell r="J3017" t="str">
            <v>STORE</v>
          </cell>
          <cell r="K3017">
            <v>1</v>
          </cell>
          <cell r="L3017">
            <v>274</v>
          </cell>
          <cell r="M3017">
            <v>60040291</v>
          </cell>
          <cell r="N3017">
            <v>38573</v>
          </cell>
          <cell r="O3017" t="str">
            <v>124C24TCD001</v>
          </cell>
          <cell r="P3017" t="str">
            <v>IN5908D2S263404</v>
          </cell>
        </row>
        <row r="3018">
          <cell r="A3018">
            <v>60040471</v>
          </cell>
          <cell r="B3018">
            <v>3017</v>
          </cell>
          <cell r="C3018" t="str">
            <v>CS01/12</v>
          </cell>
          <cell r="D3018" t="str">
            <v>SPCC-SD</v>
          </cell>
          <cell r="E3018" t="str">
            <v>AF1</v>
          </cell>
          <cell r="F3018">
            <v>3</v>
          </cell>
          <cell r="G3018">
            <v>80</v>
          </cell>
          <cell r="H3018" t="str">
            <v>C</v>
          </cell>
          <cell r="I3018" t="str">
            <v>A</v>
          </cell>
          <cell r="J3018" t="str">
            <v>STORE</v>
          </cell>
          <cell r="K3018">
            <v>1</v>
          </cell>
          <cell r="L3018">
            <v>334</v>
          </cell>
          <cell r="M3018">
            <v>60040471</v>
          </cell>
          <cell r="N3018">
            <v>38695</v>
          </cell>
          <cell r="O3018" t="str">
            <v>124C24TCD002</v>
          </cell>
          <cell r="P3018" t="str">
            <v>IN5912N2S263501</v>
          </cell>
        </row>
        <row r="3019">
          <cell r="A3019">
            <v>60040476</v>
          </cell>
          <cell r="B3019">
            <v>3018</v>
          </cell>
          <cell r="C3019" t="str">
            <v>CS01/12</v>
          </cell>
          <cell r="D3019" t="str">
            <v>SPCC-SD</v>
          </cell>
          <cell r="E3019" t="str">
            <v>AF1</v>
          </cell>
          <cell r="F3019">
            <v>3</v>
          </cell>
          <cell r="G3019">
            <v>80</v>
          </cell>
          <cell r="H3019" t="str">
            <v>C</v>
          </cell>
          <cell r="I3019" t="str">
            <v>A</v>
          </cell>
          <cell r="J3019" t="str">
            <v>STORE</v>
          </cell>
          <cell r="K3019">
            <v>1</v>
          </cell>
          <cell r="L3019">
            <v>334</v>
          </cell>
          <cell r="M3019">
            <v>60040476</v>
          </cell>
          <cell r="N3019">
            <v>38695</v>
          </cell>
          <cell r="O3019" t="str">
            <v>124C24TCD002</v>
          </cell>
          <cell r="P3019" t="str">
            <v>IN5912N2S263502</v>
          </cell>
        </row>
        <row r="3020">
          <cell r="A3020">
            <v>60040494</v>
          </cell>
          <cell r="B3020">
            <v>3019</v>
          </cell>
          <cell r="C3020" t="str">
            <v>CS01/12</v>
          </cell>
          <cell r="D3020" t="str">
            <v>SPCC-SD</v>
          </cell>
          <cell r="E3020" t="str">
            <v>AF1</v>
          </cell>
          <cell r="F3020">
            <v>3</v>
          </cell>
          <cell r="G3020">
            <v>80</v>
          </cell>
          <cell r="H3020" t="str">
            <v>C</v>
          </cell>
          <cell r="I3020" t="str">
            <v>A</v>
          </cell>
          <cell r="J3020" t="str">
            <v>STORE</v>
          </cell>
          <cell r="K3020">
            <v>1</v>
          </cell>
          <cell r="L3020">
            <v>312</v>
          </cell>
          <cell r="M3020">
            <v>60040494</v>
          </cell>
          <cell r="N3020" t="str">
            <v>13/9/2005</v>
          </cell>
          <cell r="O3020" t="str">
            <v>124C24TCD002</v>
          </cell>
          <cell r="P3020" t="str">
            <v>IN5913D2S263503</v>
          </cell>
        </row>
        <row r="3021">
          <cell r="A3021">
            <v>60040499</v>
          </cell>
          <cell r="B3021">
            <v>3020</v>
          </cell>
          <cell r="C3021" t="str">
            <v>CS01/12</v>
          </cell>
          <cell r="D3021" t="str">
            <v>SPCC-SD</v>
          </cell>
          <cell r="E3021" t="str">
            <v>AF1</v>
          </cell>
          <cell r="F3021">
            <v>3</v>
          </cell>
          <cell r="G3021">
            <v>80</v>
          </cell>
          <cell r="H3021" t="str">
            <v>C</v>
          </cell>
          <cell r="I3021" t="str">
            <v>A</v>
          </cell>
          <cell r="J3021" t="str">
            <v>STORE</v>
          </cell>
          <cell r="K3021">
            <v>1</v>
          </cell>
          <cell r="L3021">
            <v>312</v>
          </cell>
          <cell r="M3021">
            <v>60040499</v>
          </cell>
          <cell r="N3021" t="str">
            <v>13/9/2005</v>
          </cell>
          <cell r="O3021" t="str">
            <v>124C24TCD002</v>
          </cell>
          <cell r="P3021" t="str">
            <v>IN5913D2S263504</v>
          </cell>
        </row>
        <row r="3022">
          <cell r="A3022">
            <v>60040502</v>
          </cell>
          <cell r="B3022">
            <v>3021</v>
          </cell>
          <cell r="C3022" t="str">
            <v>CS01/12</v>
          </cell>
          <cell r="D3022" t="str">
            <v>SPCC-SD</v>
          </cell>
          <cell r="E3022" t="str">
            <v>AF1</v>
          </cell>
          <cell r="F3022">
            <v>3</v>
          </cell>
          <cell r="G3022">
            <v>80</v>
          </cell>
          <cell r="H3022" t="str">
            <v>C</v>
          </cell>
          <cell r="I3022" t="str">
            <v>A</v>
          </cell>
          <cell r="J3022" t="str">
            <v>STORE</v>
          </cell>
          <cell r="K3022">
            <v>1</v>
          </cell>
          <cell r="L3022">
            <v>306</v>
          </cell>
          <cell r="M3022">
            <v>60040502</v>
          </cell>
          <cell r="N3022" t="str">
            <v>13/9/2005</v>
          </cell>
          <cell r="O3022" t="str">
            <v>124C24TCD003</v>
          </cell>
          <cell r="P3022" t="str">
            <v>IN5913D2S263505</v>
          </cell>
        </row>
        <row r="3023">
          <cell r="A3023">
            <v>60040507</v>
          </cell>
          <cell r="B3023">
            <v>3022</v>
          </cell>
          <cell r="C3023" t="str">
            <v>CS01/12</v>
          </cell>
          <cell r="D3023" t="str">
            <v>SPCC-SD</v>
          </cell>
          <cell r="E3023" t="str">
            <v>AF1</v>
          </cell>
          <cell r="F3023">
            <v>3</v>
          </cell>
          <cell r="G3023">
            <v>80</v>
          </cell>
          <cell r="H3023" t="str">
            <v>C</v>
          </cell>
          <cell r="I3023" t="str">
            <v>A</v>
          </cell>
          <cell r="J3023" t="str">
            <v>STORE</v>
          </cell>
          <cell r="K3023">
            <v>1</v>
          </cell>
          <cell r="L3023">
            <v>308</v>
          </cell>
          <cell r="M3023">
            <v>60040507</v>
          </cell>
          <cell r="N3023" t="str">
            <v>13/9/2005</v>
          </cell>
          <cell r="O3023" t="str">
            <v>124C24TCD003</v>
          </cell>
          <cell r="P3023" t="str">
            <v>IN5913D2S263506</v>
          </cell>
        </row>
        <row r="3024">
          <cell r="A3024">
            <v>60040508</v>
          </cell>
          <cell r="B3024">
            <v>3023</v>
          </cell>
          <cell r="C3024" t="str">
            <v>CS01/12</v>
          </cell>
          <cell r="D3024" t="str">
            <v>SPCC-SD</v>
          </cell>
          <cell r="E3024" t="str">
            <v>AF1</v>
          </cell>
          <cell r="F3024">
            <v>3</v>
          </cell>
          <cell r="G3024">
            <v>80</v>
          </cell>
          <cell r="H3024" t="str">
            <v>C</v>
          </cell>
          <cell r="I3024" t="str">
            <v>A</v>
          </cell>
          <cell r="J3024" t="str">
            <v>STORE</v>
          </cell>
          <cell r="K3024">
            <v>1</v>
          </cell>
          <cell r="L3024">
            <v>288</v>
          </cell>
          <cell r="M3024">
            <v>60040508</v>
          </cell>
          <cell r="N3024" t="str">
            <v>13/9/2005</v>
          </cell>
          <cell r="O3024" t="str">
            <v>124C24TCD003</v>
          </cell>
          <cell r="P3024" t="str">
            <v>IN5913D2S263507</v>
          </cell>
        </row>
        <row r="3025">
          <cell r="A3025">
            <v>60040513</v>
          </cell>
          <cell r="B3025">
            <v>3024</v>
          </cell>
          <cell r="C3025" t="str">
            <v>CS01/12</v>
          </cell>
          <cell r="D3025" t="str">
            <v>SPCC-SD</v>
          </cell>
          <cell r="E3025" t="str">
            <v>AF1</v>
          </cell>
          <cell r="F3025">
            <v>3</v>
          </cell>
          <cell r="G3025">
            <v>80</v>
          </cell>
          <cell r="H3025" t="str">
            <v>C</v>
          </cell>
          <cell r="I3025" t="str">
            <v>A</v>
          </cell>
          <cell r="J3025" t="str">
            <v>STORE</v>
          </cell>
          <cell r="K3025">
            <v>1</v>
          </cell>
          <cell r="L3025">
            <v>288</v>
          </cell>
          <cell r="M3025">
            <v>60040513</v>
          </cell>
          <cell r="N3025" t="str">
            <v>13/9/2005</v>
          </cell>
          <cell r="O3025" t="str">
            <v>124C24TCD003</v>
          </cell>
          <cell r="P3025" t="str">
            <v>IN5913D2S263508</v>
          </cell>
        </row>
        <row r="3026">
          <cell r="A3026">
            <v>60040516</v>
          </cell>
          <cell r="B3026">
            <v>3025</v>
          </cell>
          <cell r="C3026" t="str">
            <v>CS01/12</v>
          </cell>
          <cell r="D3026" t="str">
            <v>SPCC-SD</v>
          </cell>
          <cell r="E3026" t="str">
            <v>AF1</v>
          </cell>
          <cell r="F3026">
            <v>3</v>
          </cell>
          <cell r="G3026">
            <v>80</v>
          </cell>
          <cell r="H3026" t="str">
            <v>C</v>
          </cell>
          <cell r="I3026" t="str">
            <v>A</v>
          </cell>
          <cell r="J3026" t="str">
            <v>STORE</v>
          </cell>
          <cell r="K3026">
            <v>1</v>
          </cell>
          <cell r="L3026">
            <v>314</v>
          </cell>
          <cell r="M3026">
            <v>60040516</v>
          </cell>
          <cell r="N3026" t="str">
            <v>13/9/2005</v>
          </cell>
          <cell r="O3026" t="str">
            <v>125504TCD002</v>
          </cell>
          <cell r="P3026" t="str">
            <v>IN5913D2S263509</v>
          </cell>
        </row>
        <row r="3027">
          <cell r="A3027">
            <v>60040521</v>
          </cell>
          <cell r="B3027">
            <v>3026</v>
          </cell>
          <cell r="C3027" t="str">
            <v>CS01/12</v>
          </cell>
          <cell r="D3027" t="str">
            <v>SPCC-SD</v>
          </cell>
          <cell r="E3027" t="str">
            <v>AF1</v>
          </cell>
          <cell r="F3027">
            <v>3</v>
          </cell>
          <cell r="G3027">
            <v>80</v>
          </cell>
          <cell r="H3027" t="str">
            <v>C</v>
          </cell>
          <cell r="I3027" t="str">
            <v>A</v>
          </cell>
          <cell r="J3027" t="str">
            <v>STORE</v>
          </cell>
          <cell r="K3027">
            <v>1</v>
          </cell>
          <cell r="L3027">
            <v>314</v>
          </cell>
          <cell r="M3027">
            <v>60040521</v>
          </cell>
          <cell r="N3027" t="str">
            <v>13/9/2005</v>
          </cell>
          <cell r="O3027" t="str">
            <v>125504TCD002</v>
          </cell>
          <cell r="P3027" t="str">
            <v>IN5913D2S263510</v>
          </cell>
        </row>
        <row r="3028">
          <cell r="A3028">
            <v>60040522</v>
          </cell>
          <cell r="B3028">
            <v>3027</v>
          </cell>
          <cell r="C3028" t="str">
            <v>CS01/12</v>
          </cell>
          <cell r="D3028" t="str">
            <v>SPCC-SD</v>
          </cell>
          <cell r="E3028" t="str">
            <v>AF1</v>
          </cell>
          <cell r="F3028">
            <v>3</v>
          </cell>
          <cell r="G3028">
            <v>80</v>
          </cell>
          <cell r="H3028" t="str">
            <v>C</v>
          </cell>
          <cell r="I3028" t="str">
            <v>A</v>
          </cell>
          <cell r="J3028" t="str">
            <v>STORE</v>
          </cell>
          <cell r="K3028">
            <v>1</v>
          </cell>
          <cell r="L3028">
            <v>294</v>
          </cell>
          <cell r="M3028">
            <v>60040522</v>
          </cell>
          <cell r="N3028" t="str">
            <v>13/9/2005</v>
          </cell>
          <cell r="O3028" t="str">
            <v>125504TCD002</v>
          </cell>
          <cell r="P3028" t="str">
            <v>IN5913D2S263511</v>
          </cell>
        </row>
        <row r="3029">
          <cell r="A3029">
            <v>60040527</v>
          </cell>
          <cell r="B3029">
            <v>3028</v>
          </cell>
          <cell r="C3029" t="str">
            <v>CS01/12</v>
          </cell>
          <cell r="D3029" t="str">
            <v>SPCC-SD</v>
          </cell>
          <cell r="E3029" t="str">
            <v>AF1</v>
          </cell>
          <cell r="F3029">
            <v>3</v>
          </cell>
          <cell r="G3029">
            <v>80</v>
          </cell>
          <cell r="H3029" t="str">
            <v>C</v>
          </cell>
          <cell r="I3029" t="str">
            <v>A</v>
          </cell>
          <cell r="J3029" t="str">
            <v>STORE</v>
          </cell>
          <cell r="K3029">
            <v>1</v>
          </cell>
          <cell r="L3029">
            <v>294</v>
          </cell>
          <cell r="M3029">
            <v>60040527</v>
          </cell>
          <cell r="N3029" t="str">
            <v>13/9/2005</v>
          </cell>
          <cell r="O3029" t="str">
            <v>125504TCD002</v>
          </cell>
          <cell r="P3029" t="str">
            <v>IN5913D2S263512</v>
          </cell>
        </row>
        <row r="3030">
          <cell r="A3030">
            <v>60040722</v>
          </cell>
          <cell r="B3030">
            <v>3029</v>
          </cell>
          <cell r="C3030" t="str">
            <v>CS01/12</v>
          </cell>
          <cell r="D3030" t="str">
            <v>SPCC-SD</v>
          </cell>
          <cell r="E3030" t="str">
            <v>AF1</v>
          </cell>
          <cell r="F3030">
            <v>3</v>
          </cell>
          <cell r="G3030">
            <v>80</v>
          </cell>
          <cell r="H3030" t="str">
            <v>C</v>
          </cell>
          <cell r="I3030" t="str">
            <v>A</v>
          </cell>
          <cell r="J3030" t="str">
            <v>STORE</v>
          </cell>
          <cell r="K3030">
            <v>1</v>
          </cell>
          <cell r="L3030">
            <v>268</v>
          </cell>
          <cell r="M3030">
            <v>60040722</v>
          </cell>
          <cell r="N3030" t="str">
            <v>15/9/2005</v>
          </cell>
          <cell r="O3030" t="str">
            <v>125504TCD002</v>
          </cell>
          <cell r="P3030" t="str">
            <v>IN5915N2S263701</v>
          </cell>
        </row>
        <row r="3031">
          <cell r="A3031">
            <v>60040727</v>
          </cell>
          <cell r="B3031">
            <v>3030</v>
          </cell>
          <cell r="C3031" t="str">
            <v>CS01/12</v>
          </cell>
          <cell r="D3031" t="str">
            <v>SPCC-SD</v>
          </cell>
          <cell r="E3031" t="str">
            <v>AF1</v>
          </cell>
          <cell r="F3031">
            <v>3</v>
          </cell>
          <cell r="G3031">
            <v>80</v>
          </cell>
          <cell r="H3031" t="str">
            <v>C</v>
          </cell>
          <cell r="I3031" t="str">
            <v>A</v>
          </cell>
          <cell r="J3031" t="str">
            <v>STORE</v>
          </cell>
          <cell r="K3031">
            <v>1</v>
          </cell>
          <cell r="L3031">
            <v>268</v>
          </cell>
          <cell r="M3031">
            <v>60040727</v>
          </cell>
          <cell r="N3031" t="str">
            <v>15/9/2005</v>
          </cell>
          <cell r="O3031" t="str">
            <v>125504TCD003</v>
          </cell>
          <cell r="P3031" t="str">
            <v>IN5915N2S263702</v>
          </cell>
        </row>
        <row r="3032">
          <cell r="A3032">
            <v>60040769</v>
          </cell>
          <cell r="B3032">
            <v>3031</v>
          </cell>
          <cell r="C3032" t="str">
            <v>CS01/12</v>
          </cell>
          <cell r="D3032" t="str">
            <v>SPCC-SD</v>
          </cell>
          <cell r="E3032" t="str">
            <v>AF1</v>
          </cell>
          <cell r="F3032">
            <v>3</v>
          </cell>
          <cell r="G3032">
            <v>80</v>
          </cell>
          <cell r="H3032" t="str">
            <v>C</v>
          </cell>
          <cell r="I3032" t="str">
            <v>A</v>
          </cell>
          <cell r="J3032" t="str">
            <v>STORE</v>
          </cell>
          <cell r="K3032">
            <v>1</v>
          </cell>
          <cell r="L3032">
            <v>248</v>
          </cell>
          <cell r="M3032">
            <v>60040769</v>
          </cell>
          <cell r="N3032" t="str">
            <v>15/9/2005</v>
          </cell>
          <cell r="O3032" t="str">
            <v>125504TCD003</v>
          </cell>
          <cell r="P3032" t="str">
            <v>IN5915N2S263703</v>
          </cell>
        </row>
        <row r="3033">
          <cell r="A3033">
            <v>60040774</v>
          </cell>
          <cell r="B3033">
            <v>3032</v>
          </cell>
          <cell r="C3033" t="str">
            <v>CS01/12</v>
          </cell>
          <cell r="D3033" t="str">
            <v>SPCC-SD</v>
          </cell>
          <cell r="E3033" t="str">
            <v>AF1</v>
          </cell>
          <cell r="F3033">
            <v>3</v>
          </cell>
          <cell r="G3033">
            <v>80</v>
          </cell>
          <cell r="H3033" t="str">
            <v>C</v>
          </cell>
          <cell r="I3033" t="str">
            <v>A</v>
          </cell>
          <cell r="J3033" t="str">
            <v>STORE</v>
          </cell>
          <cell r="K3033">
            <v>1</v>
          </cell>
          <cell r="L3033">
            <v>248</v>
          </cell>
          <cell r="M3033">
            <v>60040774</v>
          </cell>
          <cell r="N3033" t="str">
            <v>15/9/2005</v>
          </cell>
          <cell r="O3033" t="str">
            <v>125504TCD003</v>
          </cell>
          <cell r="P3033" t="str">
            <v>IN5915N2S263704</v>
          </cell>
        </row>
        <row r="3034">
          <cell r="A3034">
            <v>60040785</v>
          </cell>
          <cell r="B3034">
            <v>3033</v>
          </cell>
          <cell r="C3034" t="str">
            <v>CS01/12</v>
          </cell>
          <cell r="D3034" t="str">
            <v>SPCC-SD</v>
          </cell>
          <cell r="E3034" t="str">
            <v>AF1</v>
          </cell>
          <cell r="F3034">
            <v>3</v>
          </cell>
          <cell r="G3034">
            <v>80</v>
          </cell>
          <cell r="H3034" t="str">
            <v>C</v>
          </cell>
          <cell r="I3034" t="str">
            <v>A</v>
          </cell>
          <cell r="J3034" t="str">
            <v>STORE</v>
          </cell>
          <cell r="K3034">
            <v>1</v>
          </cell>
          <cell r="L3034">
            <v>292</v>
          </cell>
          <cell r="M3034">
            <v>60040785</v>
          </cell>
          <cell r="N3034" t="str">
            <v>16/9/2005</v>
          </cell>
          <cell r="O3034" t="str">
            <v>125504TCD004</v>
          </cell>
          <cell r="P3034" t="str">
            <v>IN5916D2S263705</v>
          </cell>
        </row>
        <row r="3035">
          <cell r="A3035">
            <v>60040790</v>
          </cell>
          <cell r="B3035">
            <v>3034</v>
          </cell>
          <cell r="C3035" t="str">
            <v>CS01/12</v>
          </cell>
          <cell r="D3035" t="str">
            <v>SPCC-SD</v>
          </cell>
          <cell r="E3035" t="str">
            <v>AF1</v>
          </cell>
          <cell r="F3035">
            <v>3</v>
          </cell>
          <cell r="G3035">
            <v>80</v>
          </cell>
          <cell r="H3035" t="str">
            <v>C</v>
          </cell>
          <cell r="I3035" t="str">
            <v>A</v>
          </cell>
          <cell r="J3035" t="str">
            <v>STORE</v>
          </cell>
          <cell r="K3035">
            <v>1</v>
          </cell>
          <cell r="L3035">
            <v>292</v>
          </cell>
          <cell r="M3035">
            <v>60040790</v>
          </cell>
          <cell r="N3035" t="str">
            <v>16/9/2005</v>
          </cell>
          <cell r="O3035" t="str">
            <v>125504TCD004</v>
          </cell>
          <cell r="P3035" t="str">
            <v>IN5916D2S263706</v>
          </cell>
        </row>
        <row r="3036">
          <cell r="A3036">
            <v>60040791</v>
          </cell>
          <cell r="B3036">
            <v>3035</v>
          </cell>
          <cell r="C3036" t="str">
            <v>CS01/12</v>
          </cell>
          <cell r="D3036" t="str">
            <v>SPCC-SD</v>
          </cell>
          <cell r="E3036" t="str">
            <v>AF1</v>
          </cell>
          <cell r="F3036">
            <v>3</v>
          </cell>
          <cell r="G3036">
            <v>80</v>
          </cell>
          <cell r="H3036" t="str">
            <v>C</v>
          </cell>
          <cell r="I3036" t="str">
            <v>A</v>
          </cell>
          <cell r="J3036" t="str">
            <v>STORE</v>
          </cell>
          <cell r="K3036">
            <v>1</v>
          </cell>
          <cell r="L3036">
            <v>270</v>
          </cell>
          <cell r="M3036">
            <v>60040791</v>
          </cell>
          <cell r="N3036" t="str">
            <v>16/9/2005</v>
          </cell>
          <cell r="O3036" t="str">
            <v>125504TCD004</v>
          </cell>
          <cell r="P3036" t="str">
            <v>IN5916D2S263707</v>
          </cell>
        </row>
        <row r="3037">
          <cell r="A3037">
            <v>60040796</v>
          </cell>
          <cell r="B3037">
            <v>3036</v>
          </cell>
          <cell r="C3037" t="str">
            <v>CS01/12</v>
          </cell>
          <cell r="D3037" t="str">
            <v>SPCC-SD</v>
          </cell>
          <cell r="E3037" t="str">
            <v>AF1</v>
          </cell>
          <cell r="F3037">
            <v>3</v>
          </cell>
          <cell r="G3037">
            <v>80</v>
          </cell>
          <cell r="H3037" t="str">
            <v>C</v>
          </cell>
          <cell r="I3037" t="str">
            <v>A</v>
          </cell>
          <cell r="J3037" t="str">
            <v>STORE</v>
          </cell>
          <cell r="K3037">
            <v>1</v>
          </cell>
          <cell r="L3037">
            <v>270</v>
          </cell>
          <cell r="M3037">
            <v>60040796</v>
          </cell>
          <cell r="N3037" t="str">
            <v>16/9/2005</v>
          </cell>
          <cell r="O3037" t="str">
            <v>125504TCD004</v>
          </cell>
          <cell r="P3037" t="str">
            <v>IN5916D2S263708</v>
          </cell>
        </row>
        <row r="3038">
          <cell r="A3038">
            <v>60040797</v>
          </cell>
          <cell r="B3038">
            <v>3037</v>
          </cell>
          <cell r="C3038" t="str">
            <v>CS01/12</v>
          </cell>
          <cell r="D3038" t="str">
            <v>SPCC-SD</v>
          </cell>
          <cell r="E3038" t="str">
            <v>AF1</v>
          </cell>
          <cell r="F3038">
            <v>3</v>
          </cell>
          <cell r="G3038">
            <v>80</v>
          </cell>
          <cell r="H3038" t="str">
            <v>C</v>
          </cell>
          <cell r="I3038" t="str">
            <v>A</v>
          </cell>
          <cell r="J3038" t="str">
            <v>STORE</v>
          </cell>
          <cell r="K3038">
            <v>1</v>
          </cell>
          <cell r="L3038">
            <v>286</v>
          </cell>
          <cell r="M3038">
            <v>60040797</v>
          </cell>
          <cell r="N3038" t="str">
            <v>16/9/2005</v>
          </cell>
          <cell r="O3038" t="str">
            <v>125504TCD005</v>
          </cell>
          <cell r="P3038" t="str">
            <v>IN5916D2S263709</v>
          </cell>
        </row>
        <row r="3039">
          <cell r="A3039">
            <v>60040802</v>
          </cell>
          <cell r="B3039">
            <v>3038</v>
          </cell>
          <cell r="C3039" t="str">
            <v>CS01/12</v>
          </cell>
          <cell r="D3039" t="str">
            <v>SPCC-SD</v>
          </cell>
          <cell r="E3039" t="str">
            <v>AF1</v>
          </cell>
          <cell r="F3039">
            <v>3</v>
          </cell>
          <cell r="G3039">
            <v>80</v>
          </cell>
          <cell r="H3039" t="str">
            <v>C</v>
          </cell>
          <cell r="I3039" t="str">
            <v>A</v>
          </cell>
          <cell r="J3039" t="str">
            <v>STORE</v>
          </cell>
          <cell r="K3039">
            <v>1</v>
          </cell>
          <cell r="L3039">
            <v>298</v>
          </cell>
          <cell r="M3039">
            <v>60040802</v>
          </cell>
          <cell r="N3039" t="str">
            <v>16/9/2005</v>
          </cell>
          <cell r="O3039" t="str">
            <v>125504TCD005</v>
          </cell>
          <cell r="P3039" t="str">
            <v>IN5916D2S263710</v>
          </cell>
        </row>
        <row r="3040">
          <cell r="A3040">
            <v>60040803</v>
          </cell>
          <cell r="B3040">
            <v>3039</v>
          </cell>
          <cell r="C3040" t="str">
            <v>CS01/12</v>
          </cell>
          <cell r="D3040" t="str">
            <v>SPCC-SD</v>
          </cell>
          <cell r="E3040" t="str">
            <v>AF1</v>
          </cell>
          <cell r="F3040">
            <v>3</v>
          </cell>
          <cell r="G3040">
            <v>80</v>
          </cell>
          <cell r="H3040" t="str">
            <v>C</v>
          </cell>
          <cell r="I3040" t="str">
            <v>A</v>
          </cell>
          <cell r="J3040" t="str">
            <v>STORE</v>
          </cell>
          <cell r="K3040">
            <v>1</v>
          </cell>
          <cell r="L3040">
            <v>272</v>
          </cell>
          <cell r="M3040">
            <v>60040803</v>
          </cell>
          <cell r="N3040" t="str">
            <v>16/9/2005</v>
          </cell>
          <cell r="O3040" t="str">
            <v>125504TCD005</v>
          </cell>
          <cell r="P3040" t="str">
            <v>IN5916D2S263711</v>
          </cell>
        </row>
        <row r="3041">
          <cell r="A3041">
            <v>60040808</v>
          </cell>
          <cell r="B3041">
            <v>3040</v>
          </cell>
          <cell r="C3041" t="str">
            <v>CS01/12</v>
          </cell>
          <cell r="D3041" t="str">
            <v>SPCC-SD</v>
          </cell>
          <cell r="E3041" t="str">
            <v>AF1</v>
          </cell>
          <cell r="F3041">
            <v>3</v>
          </cell>
          <cell r="G3041">
            <v>80</v>
          </cell>
          <cell r="H3041" t="str">
            <v>C</v>
          </cell>
          <cell r="I3041" t="str">
            <v>A</v>
          </cell>
          <cell r="J3041" t="str">
            <v>STORE</v>
          </cell>
          <cell r="K3041">
            <v>1</v>
          </cell>
          <cell r="L3041">
            <v>272</v>
          </cell>
          <cell r="M3041">
            <v>60040808</v>
          </cell>
          <cell r="N3041" t="str">
            <v>16/9/2005</v>
          </cell>
          <cell r="O3041" t="str">
            <v>125504TCD005</v>
          </cell>
          <cell r="P3041" t="str">
            <v>IN5916D2S263712</v>
          </cell>
        </row>
        <row r="3042">
          <cell r="A3042">
            <v>60063157</v>
          </cell>
          <cell r="B3042">
            <v>3041</v>
          </cell>
          <cell r="C3042" t="str">
            <v>CS01/12</v>
          </cell>
          <cell r="D3042" t="str">
            <v>SPCC-SD</v>
          </cell>
          <cell r="E3042" t="str">
            <v>AF1</v>
          </cell>
          <cell r="F3042">
            <v>3</v>
          </cell>
          <cell r="G3042">
            <v>80</v>
          </cell>
          <cell r="H3042" t="str">
            <v>C</v>
          </cell>
          <cell r="I3042" t="str">
            <v>A</v>
          </cell>
          <cell r="J3042" t="str">
            <v>STORE</v>
          </cell>
          <cell r="K3042">
            <v>1</v>
          </cell>
          <cell r="L3042">
            <v>198</v>
          </cell>
          <cell r="M3042">
            <v>60063157</v>
          </cell>
          <cell r="N3042">
            <v>38875</v>
          </cell>
          <cell r="O3042" t="str">
            <v>125B10TCD001</v>
          </cell>
          <cell r="P3042" t="str">
            <v>IN6706D2S175301</v>
          </cell>
        </row>
        <row r="3043">
          <cell r="A3043">
            <v>60063162</v>
          </cell>
          <cell r="B3043">
            <v>3042</v>
          </cell>
          <cell r="C3043" t="str">
            <v>CS01/12</v>
          </cell>
          <cell r="D3043" t="str">
            <v>SPCC-SD</v>
          </cell>
          <cell r="E3043" t="str">
            <v>AF1</v>
          </cell>
          <cell r="F3043">
            <v>3</v>
          </cell>
          <cell r="G3043">
            <v>80</v>
          </cell>
          <cell r="H3043" t="str">
            <v>C</v>
          </cell>
          <cell r="I3043" t="str">
            <v>A</v>
          </cell>
          <cell r="J3043" t="str">
            <v>STORE</v>
          </cell>
          <cell r="K3043">
            <v>1</v>
          </cell>
          <cell r="L3043">
            <v>198</v>
          </cell>
          <cell r="M3043">
            <v>60063162</v>
          </cell>
          <cell r="N3043">
            <v>38875</v>
          </cell>
          <cell r="O3043" t="str">
            <v>125B10TCD001</v>
          </cell>
          <cell r="P3043" t="str">
            <v>IN6706D2S175302</v>
          </cell>
        </row>
        <row r="3044">
          <cell r="A3044">
            <v>60047086</v>
          </cell>
          <cell r="B3044">
            <v>3043</v>
          </cell>
          <cell r="C3044" t="str">
            <v>CS01/12</v>
          </cell>
          <cell r="D3044" t="str">
            <v>SPCC-SD</v>
          </cell>
          <cell r="E3044" t="str">
            <v>AF1</v>
          </cell>
          <cell r="F3044">
            <v>3</v>
          </cell>
          <cell r="G3044">
            <v>90</v>
          </cell>
          <cell r="H3044" t="str">
            <v>C</v>
          </cell>
          <cell r="I3044" t="str">
            <v>A</v>
          </cell>
          <cell r="J3044" t="str">
            <v>STORE</v>
          </cell>
          <cell r="K3044">
            <v>1</v>
          </cell>
          <cell r="L3044">
            <v>356</v>
          </cell>
          <cell r="M3044">
            <v>60047086</v>
          </cell>
          <cell r="N3044">
            <v>38607</v>
          </cell>
          <cell r="O3044" t="str">
            <v>124C24TCD003</v>
          </cell>
          <cell r="P3044" t="str">
            <v>IN5C09N2S551401</v>
          </cell>
        </row>
        <row r="3045">
          <cell r="A3045">
            <v>60047107</v>
          </cell>
          <cell r="B3045">
            <v>3044</v>
          </cell>
          <cell r="C3045" t="str">
            <v>CS01/12</v>
          </cell>
          <cell r="D3045" t="str">
            <v>SPCC-SD</v>
          </cell>
          <cell r="E3045" t="str">
            <v>AF1</v>
          </cell>
          <cell r="F3045">
            <v>3</v>
          </cell>
          <cell r="G3045">
            <v>90</v>
          </cell>
          <cell r="H3045" t="str">
            <v>C</v>
          </cell>
          <cell r="I3045" t="str">
            <v>A</v>
          </cell>
          <cell r="J3045" t="str">
            <v>STORE</v>
          </cell>
          <cell r="K3045">
            <v>1</v>
          </cell>
          <cell r="L3045">
            <v>388</v>
          </cell>
          <cell r="M3045">
            <v>60047107</v>
          </cell>
          <cell r="N3045">
            <v>38607</v>
          </cell>
          <cell r="O3045" t="str">
            <v>125321TCD006</v>
          </cell>
          <cell r="P3045" t="str">
            <v>IN5C09N2S551402</v>
          </cell>
        </row>
        <row r="3046">
          <cell r="A3046">
            <v>60047111</v>
          </cell>
          <cell r="B3046">
            <v>3045</v>
          </cell>
          <cell r="C3046" t="str">
            <v>CS01/12</v>
          </cell>
          <cell r="D3046" t="str">
            <v>SPCC-SD</v>
          </cell>
          <cell r="E3046" t="str">
            <v>AF1</v>
          </cell>
          <cell r="F3046">
            <v>3</v>
          </cell>
          <cell r="G3046">
            <v>90</v>
          </cell>
          <cell r="H3046" t="str">
            <v>C</v>
          </cell>
          <cell r="I3046" t="str">
            <v>A</v>
          </cell>
          <cell r="J3046" t="str">
            <v>STORE</v>
          </cell>
          <cell r="K3046">
            <v>1</v>
          </cell>
          <cell r="L3046">
            <v>388</v>
          </cell>
          <cell r="M3046">
            <v>60047111</v>
          </cell>
          <cell r="N3046">
            <v>38607</v>
          </cell>
          <cell r="O3046" t="str">
            <v>125321TCD006</v>
          </cell>
          <cell r="P3046" t="str">
            <v>IN5C09N2S551403</v>
          </cell>
        </row>
        <row r="3047">
          <cell r="A3047">
            <v>60047647</v>
          </cell>
          <cell r="B3047">
            <v>3046</v>
          </cell>
          <cell r="C3047" t="str">
            <v>CS01/12</v>
          </cell>
          <cell r="D3047" t="str">
            <v>SPCC-SD</v>
          </cell>
          <cell r="E3047" t="str">
            <v>AF1</v>
          </cell>
          <cell r="F3047">
            <v>3</v>
          </cell>
          <cell r="G3047">
            <v>90</v>
          </cell>
          <cell r="H3047" t="str">
            <v>C</v>
          </cell>
          <cell r="I3047" t="str">
            <v>A</v>
          </cell>
          <cell r="J3047" t="str">
            <v>STORE</v>
          </cell>
          <cell r="K3047">
            <v>1</v>
          </cell>
          <cell r="L3047">
            <v>370</v>
          </cell>
          <cell r="M3047">
            <v>60047647</v>
          </cell>
          <cell r="N3047" t="str">
            <v>16/12/2005</v>
          </cell>
          <cell r="O3047" t="str">
            <v>125321TCD007</v>
          </cell>
          <cell r="P3047" t="str">
            <v>IN5C16N2S551601</v>
          </cell>
        </row>
        <row r="3048">
          <cell r="A3048">
            <v>60048130</v>
          </cell>
          <cell r="B3048">
            <v>3047</v>
          </cell>
          <cell r="C3048" t="str">
            <v>CS01/12</v>
          </cell>
          <cell r="D3048" t="str">
            <v>SPCC-SD</v>
          </cell>
          <cell r="E3048" t="str">
            <v>AF1</v>
          </cell>
          <cell r="F3048">
            <v>3</v>
          </cell>
          <cell r="G3048">
            <v>90</v>
          </cell>
          <cell r="H3048" t="str">
            <v>C</v>
          </cell>
          <cell r="I3048" t="str">
            <v>A</v>
          </cell>
          <cell r="J3048" t="str">
            <v>STORE</v>
          </cell>
          <cell r="K3048">
            <v>1</v>
          </cell>
          <cell r="L3048">
            <v>396</v>
          </cell>
          <cell r="M3048">
            <v>60048130</v>
          </cell>
          <cell r="N3048" t="str">
            <v>21/12/2005</v>
          </cell>
          <cell r="O3048" t="str">
            <v>125809TCD009</v>
          </cell>
          <cell r="P3048" t="str">
            <v>IN5C21D2S551701</v>
          </cell>
        </row>
        <row r="3049">
          <cell r="A3049">
            <v>60048134</v>
          </cell>
          <cell r="B3049">
            <v>3048</v>
          </cell>
          <cell r="C3049" t="str">
            <v>CS01/12</v>
          </cell>
          <cell r="D3049" t="str">
            <v>SPCC-SD</v>
          </cell>
          <cell r="E3049" t="str">
            <v>AF1</v>
          </cell>
          <cell r="F3049">
            <v>3</v>
          </cell>
          <cell r="G3049">
            <v>90</v>
          </cell>
          <cell r="H3049" t="str">
            <v>C</v>
          </cell>
          <cell r="I3049" t="str">
            <v>A</v>
          </cell>
          <cell r="J3049" t="str">
            <v>STORE</v>
          </cell>
          <cell r="K3049">
            <v>1</v>
          </cell>
          <cell r="L3049">
            <v>396</v>
          </cell>
          <cell r="M3049">
            <v>60048134</v>
          </cell>
          <cell r="N3049" t="str">
            <v>21/12/2005</v>
          </cell>
          <cell r="O3049" t="str">
            <v>125809TCD009</v>
          </cell>
          <cell r="P3049" t="str">
            <v>IN5C21D2S551702</v>
          </cell>
        </row>
        <row r="3050">
          <cell r="A3050">
            <v>60048135</v>
          </cell>
          <cell r="B3050">
            <v>3049</v>
          </cell>
          <cell r="C3050" t="str">
            <v>CS01/12</v>
          </cell>
          <cell r="D3050" t="str">
            <v>SPCC-SD</v>
          </cell>
          <cell r="E3050" t="str">
            <v>AF1</v>
          </cell>
          <cell r="F3050">
            <v>3</v>
          </cell>
          <cell r="G3050">
            <v>90</v>
          </cell>
          <cell r="H3050" t="str">
            <v>C</v>
          </cell>
          <cell r="I3050" t="str">
            <v>A</v>
          </cell>
          <cell r="J3050" t="str">
            <v>STORE</v>
          </cell>
          <cell r="K3050">
            <v>1</v>
          </cell>
          <cell r="L3050">
            <v>398</v>
          </cell>
          <cell r="M3050">
            <v>60048135</v>
          </cell>
          <cell r="N3050" t="str">
            <v>21/12/2005</v>
          </cell>
          <cell r="O3050" t="str">
            <v>125809TCD009</v>
          </cell>
          <cell r="P3050" t="str">
            <v>IN5C21D2S551703</v>
          </cell>
        </row>
        <row r="3051">
          <cell r="A3051">
            <v>60048139</v>
          </cell>
          <cell r="B3051">
            <v>3050</v>
          </cell>
          <cell r="C3051" t="str">
            <v>CS01/12</v>
          </cell>
          <cell r="D3051" t="str">
            <v>SPCC-SD</v>
          </cell>
          <cell r="E3051" t="str">
            <v>AF1</v>
          </cell>
          <cell r="F3051">
            <v>3</v>
          </cell>
          <cell r="G3051">
            <v>90</v>
          </cell>
          <cell r="H3051" t="str">
            <v>C</v>
          </cell>
          <cell r="I3051" t="str">
            <v>A</v>
          </cell>
          <cell r="J3051" t="str">
            <v>STORE</v>
          </cell>
          <cell r="K3051">
            <v>1</v>
          </cell>
          <cell r="L3051">
            <v>398</v>
          </cell>
          <cell r="M3051">
            <v>60048139</v>
          </cell>
          <cell r="N3051" t="str">
            <v>21/12/2005</v>
          </cell>
          <cell r="O3051" t="str">
            <v>125809TCD009</v>
          </cell>
          <cell r="P3051" t="str">
            <v>IN5C21D2S551704</v>
          </cell>
        </row>
        <row r="3052">
          <cell r="A3052">
            <v>60049129</v>
          </cell>
          <cell r="B3052">
            <v>3051</v>
          </cell>
          <cell r="C3052" t="str">
            <v>CS01/12</v>
          </cell>
          <cell r="D3052" t="str">
            <v>SPCC-SD</v>
          </cell>
          <cell r="E3052" t="str">
            <v>AF1</v>
          </cell>
          <cell r="F3052">
            <v>3</v>
          </cell>
          <cell r="G3052">
            <v>90</v>
          </cell>
          <cell r="H3052" t="str">
            <v>C</v>
          </cell>
          <cell r="I3052" t="str">
            <v>A</v>
          </cell>
          <cell r="J3052" t="str">
            <v>STORE</v>
          </cell>
          <cell r="K3052">
            <v>1</v>
          </cell>
          <cell r="L3052">
            <v>386</v>
          </cell>
          <cell r="M3052">
            <v>60049129</v>
          </cell>
          <cell r="N3052">
            <v>38961</v>
          </cell>
          <cell r="O3052" t="str">
            <v>125907TCD036</v>
          </cell>
          <cell r="P3052" t="str">
            <v>IN6109D2S617101</v>
          </cell>
        </row>
        <row r="3053">
          <cell r="A3053">
            <v>60049837</v>
          </cell>
          <cell r="C3053" t="str">
            <v>CS01/12</v>
          </cell>
          <cell r="D3053" t="str">
            <v>SPCC-SD</v>
          </cell>
          <cell r="E3053" t="str">
            <v>AF1</v>
          </cell>
          <cell r="F3053">
            <v>1</v>
          </cell>
          <cell r="G3053">
            <v>110</v>
          </cell>
          <cell r="H3053" t="str">
            <v>C</v>
          </cell>
          <cell r="I3053" t="str">
            <v>A</v>
          </cell>
          <cell r="J3053" t="str">
            <v>STORE</v>
          </cell>
          <cell r="K3053">
            <v>1</v>
          </cell>
          <cell r="L3053">
            <v>650</v>
          </cell>
          <cell r="M3053">
            <v>60049837</v>
          </cell>
          <cell r="N3053">
            <v>38736</v>
          </cell>
          <cell r="O3053" t="str">
            <v>125C28SUD016</v>
          </cell>
          <cell r="P3053" t="str">
            <v>IN5C28D1S230301</v>
          </cell>
        </row>
        <row r="3054">
          <cell r="A3054">
            <v>60032380</v>
          </cell>
          <cell r="B3054">
            <v>3052</v>
          </cell>
          <cell r="C3054" t="str">
            <v>CS01/12</v>
          </cell>
          <cell r="D3054" t="str">
            <v>SPCEN-SD</v>
          </cell>
          <cell r="E3054" t="str">
            <v>AF3</v>
          </cell>
          <cell r="F3054">
            <v>0.8</v>
          </cell>
          <cell r="G3054">
            <v>42</v>
          </cell>
          <cell r="H3054" t="str">
            <v>C</v>
          </cell>
          <cell r="I3054" t="str">
            <v>A</v>
          </cell>
          <cell r="J3054" t="str">
            <v>STORE</v>
          </cell>
          <cell r="K3054">
            <v>1</v>
          </cell>
          <cell r="L3054">
            <v>192</v>
          </cell>
          <cell r="M3054">
            <v>60032380</v>
          </cell>
          <cell r="N3054" t="str">
            <v>23/4/2005</v>
          </cell>
          <cell r="O3054" t="str">
            <v>125315SUD003</v>
          </cell>
          <cell r="P3054" t="str">
            <v>IN5423N1S890301</v>
          </cell>
        </row>
        <row r="3055">
          <cell r="A3055">
            <v>60032412</v>
          </cell>
          <cell r="B3055">
            <v>3053</v>
          </cell>
          <cell r="C3055" t="str">
            <v>CS01/12</v>
          </cell>
          <cell r="D3055" t="str">
            <v>SPCEN-SD</v>
          </cell>
          <cell r="E3055" t="str">
            <v>AF3</v>
          </cell>
          <cell r="F3055">
            <v>0.8</v>
          </cell>
          <cell r="G3055">
            <v>42</v>
          </cell>
          <cell r="H3055" t="str">
            <v>C</v>
          </cell>
          <cell r="I3055" t="str">
            <v>A</v>
          </cell>
          <cell r="J3055" t="str">
            <v>STORE</v>
          </cell>
          <cell r="K3055">
            <v>1</v>
          </cell>
          <cell r="L3055">
            <v>110</v>
          </cell>
          <cell r="M3055">
            <v>60032412</v>
          </cell>
          <cell r="N3055" t="str">
            <v>23/4/2005</v>
          </cell>
          <cell r="O3055" t="str">
            <v>125315SUD003</v>
          </cell>
          <cell r="P3055" t="str">
            <v>IN5423N1S890302</v>
          </cell>
        </row>
        <row r="3056">
          <cell r="A3056">
            <v>60032415</v>
          </cell>
          <cell r="B3056">
            <v>3054</v>
          </cell>
          <cell r="C3056" t="str">
            <v>CS01/12</v>
          </cell>
          <cell r="D3056" t="str">
            <v>SPCEN-SD</v>
          </cell>
          <cell r="E3056" t="str">
            <v>AF3</v>
          </cell>
          <cell r="F3056">
            <v>0.8</v>
          </cell>
          <cell r="G3056">
            <v>42</v>
          </cell>
          <cell r="H3056" t="str">
            <v>C</v>
          </cell>
          <cell r="I3056" t="str">
            <v>A</v>
          </cell>
          <cell r="J3056" t="str">
            <v>STORE</v>
          </cell>
          <cell r="K3056">
            <v>1</v>
          </cell>
          <cell r="L3056">
            <v>305</v>
          </cell>
          <cell r="M3056">
            <v>60032415</v>
          </cell>
          <cell r="N3056" t="str">
            <v>23/4/2005</v>
          </cell>
          <cell r="O3056" t="str">
            <v>125128SUD001</v>
          </cell>
          <cell r="P3056" t="str">
            <v>IN5423D1S890301</v>
          </cell>
        </row>
        <row r="3057">
          <cell r="A3057">
            <v>60032774</v>
          </cell>
          <cell r="B3057">
            <v>3055</v>
          </cell>
          <cell r="C3057" t="str">
            <v>CS01/12</v>
          </cell>
          <cell r="D3057" t="str">
            <v>SPCEN-SD</v>
          </cell>
          <cell r="E3057" t="str">
            <v>AF3</v>
          </cell>
          <cell r="F3057">
            <v>0.8</v>
          </cell>
          <cell r="G3057">
            <v>51</v>
          </cell>
          <cell r="H3057" t="str">
            <v>C</v>
          </cell>
          <cell r="I3057" t="str">
            <v>A</v>
          </cell>
          <cell r="J3057" t="str">
            <v>STORE</v>
          </cell>
          <cell r="K3057">
            <v>1</v>
          </cell>
          <cell r="L3057">
            <v>327</v>
          </cell>
          <cell r="M3057">
            <v>60032774</v>
          </cell>
          <cell r="N3057" t="str">
            <v>27/4/2005</v>
          </cell>
          <cell r="O3057" t="str">
            <v>124C27SUD001</v>
          </cell>
          <cell r="P3057" t="str">
            <v>IN5427D6E890001</v>
          </cell>
        </row>
        <row r="3058">
          <cell r="A3058">
            <v>60032775</v>
          </cell>
          <cell r="B3058">
            <v>3056</v>
          </cell>
          <cell r="C3058" t="str">
            <v>CS01/12</v>
          </cell>
          <cell r="D3058" t="str">
            <v>SPCEN-SD</v>
          </cell>
          <cell r="E3058" t="str">
            <v>AF3</v>
          </cell>
          <cell r="F3058">
            <v>0.8</v>
          </cell>
          <cell r="G3058">
            <v>51</v>
          </cell>
          <cell r="H3058" t="str">
            <v>C</v>
          </cell>
          <cell r="I3058" t="str">
            <v>A</v>
          </cell>
          <cell r="J3058" t="str">
            <v>STORE</v>
          </cell>
          <cell r="K3058">
            <v>1</v>
          </cell>
          <cell r="L3058">
            <v>329</v>
          </cell>
          <cell r="M3058">
            <v>60032775</v>
          </cell>
          <cell r="N3058" t="str">
            <v>27/4/2005</v>
          </cell>
          <cell r="O3058" t="str">
            <v>124C22SUD001</v>
          </cell>
          <cell r="P3058" t="str">
            <v>IN5427D6E890101</v>
          </cell>
        </row>
        <row r="3059">
          <cell r="A3059">
            <v>60032776</v>
          </cell>
          <cell r="B3059">
            <v>3057</v>
          </cell>
          <cell r="C3059" t="str">
            <v>CS01/12</v>
          </cell>
          <cell r="D3059" t="str">
            <v>SPCEN-SD</v>
          </cell>
          <cell r="E3059" t="str">
            <v>AF3</v>
          </cell>
          <cell r="F3059">
            <v>0.8</v>
          </cell>
          <cell r="G3059">
            <v>51</v>
          </cell>
          <cell r="H3059" t="str">
            <v>C</v>
          </cell>
          <cell r="I3059" t="str">
            <v>A</v>
          </cell>
          <cell r="J3059" t="str">
            <v>STORE</v>
          </cell>
          <cell r="K3059">
            <v>1</v>
          </cell>
          <cell r="L3059">
            <v>326</v>
          </cell>
          <cell r="M3059">
            <v>60032776</v>
          </cell>
          <cell r="N3059" t="str">
            <v>27/4/2005</v>
          </cell>
          <cell r="O3059" t="str">
            <v>124C22SUD001</v>
          </cell>
          <cell r="P3059" t="str">
            <v>IN5427D6E890201</v>
          </cell>
        </row>
        <row r="3060">
          <cell r="A3060">
            <v>60032777</v>
          </cell>
          <cell r="B3060">
            <v>3058</v>
          </cell>
          <cell r="C3060" t="str">
            <v>CS01/12</v>
          </cell>
          <cell r="D3060" t="str">
            <v>SPCEN-SD</v>
          </cell>
          <cell r="E3060" t="str">
            <v>AF3</v>
          </cell>
          <cell r="F3060">
            <v>0.8</v>
          </cell>
          <cell r="G3060">
            <v>51</v>
          </cell>
          <cell r="H3060" t="str">
            <v>C</v>
          </cell>
          <cell r="I3060" t="str">
            <v>A</v>
          </cell>
          <cell r="J3060" t="str">
            <v>STORE</v>
          </cell>
          <cell r="K3060">
            <v>1</v>
          </cell>
          <cell r="L3060">
            <v>366</v>
          </cell>
          <cell r="M3060">
            <v>60032777</v>
          </cell>
          <cell r="N3060" t="str">
            <v>27/4/2005</v>
          </cell>
          <cell r="O3060" t="str">
            <v>125225SUD007</v>
          </cell>
          <cell r="P3060" t="str">
            <v>IN5427D6E890102</v>
          </cell>
        </row>
        <row r="3061">
          <cell r="A3061">
            <v>60032778</v>
          </cell>
          <cell r="B3061">
            <v>3059</v>
          </cell>
          <cell r="C3061" t="str">
            <v>CS01/12</v>
          </cell>
          <cell r="D3061" t="str">
            <v>SPCEN-SD</v>
          </cell>
          <cell r="E3061" t="str">
            <v>AF3</v>
          </cell>
          <cell r="F3061">
            <v>0.8</v>
          </cell>
          <cell r="G3061">
            <v>51</v>
          </cell>
          <cell r="H3061" t="str">
            <v>C</v>
          </cell>
          <cell r="I3061" t="str">
            <v>A</v>
          </cell>
          <cell r="J3061" t="str">
            <v>STORE</v>
          </cell>
          <cell r="K3061">
            <v>1</v>
          </cell>
          <cell r="L3061">
            <v>359</v>
          </cell>
          <cell r="M3061">
            <v>60032778</v>
          </cell>
          <cell r="N3061" t="str">
            <v>27/4/2005</v>
          </cell>
          <cell r="O3061" t="str">
            <v>125225SUD008</v>
          </cell>
          <cell r="P3061" t="str">
            <v>IN5427D6E890002</v>
          </cell>
        </row>
        <row r="3062">
          <cell r="A3062">
            <v>60052737</v>
          </cell>
          <cell r="B3062">
            <v>3060</v>
          </cell>
          <cell r="C3062" t="str">
            <v>CS01/12</v>
          </cell>
          <cell r="D3062" t="str">
            <v>SPCEN-SD</v>
          </cell>
          <cell r="E3062" t="str">
            <v>AF3</v>
          </cell>
          <cell r="F3062">
            <v>0.8</v>
          </cell>
          <cell r="G3062">
            <v>56</v>
          </cell>
          <cell r="H3062" t="str">
            <v>C</v>
          </cell>
          <cell r="I3062" t="str">
            <v>A</v>
          </cell>
          <cell r="J3062" t="str">
            <v>STORE</v>
          </cell>
          <cell r="K3062">
            <v>1</v>
          </cell>
          <cell r="L3062">
            <v>102</v>
          </cell>
          <cell r="M3062">
            <v>60052737</v>
          </cell>
          <cell r="N3062" t="str">
            <v>26/2/2006</v>
          </cell>
          <cell r="O3062" t="str">
            <v>126109SUD001</v>
          </cell>
          <cell r="P3062" t="str">
            <v>IN6226D1S779901</v>
          </cell>
        </row>
        <row r="3063">
          <cell r="A3063">
            <v>60049705</v>
          </cell>
          <cell r="B3063">
            <v>3061</v>
          </cell>
          <cell r="C3063" t="str">
            <v>CS01/12</v>
          </cell>
          <cell r="D3063" t="str">
            <v>SPCEN-SD</v>
          </cell>
          <cell r="E3063" t="str">
            <v>AF3</v>
          </cell>
          <cell r="F3063">
            <v>0.8</v>
          </cell>
          <cell r="G3063">
            <v>80</v>
          </cell>
          <cell r="H3063" t="str">
            <v>C</v>
          </cell>
          <cell r="I3063" t="str">
            <v>A</v>
          </cell>
          <cell r="J3063" t="str">
            <v>STORE</v>
          </cell>
          <cell r="K3063">
            <v>1</v>
          </cell>
          <cell r="L3063">
            <v>128</v>
          </cell>
          <cell r="M3063">
            <v>60049705</v>
          </cell>
          <cell r="N3063" t="str">
            <v>18/1/2006</v>
          </cell>
          <cell r="O3063" t="str">
            <v>125423SUD005</v>
          </cell>
          <cell r="P3063" t="str">
            <v>IN6118D1S647201</v>
          </cell>
        </row>
        <row r="3064">
          <cell r="A3064">
            <v>60052732</v>
          </cell>
          <cell r="B3064">
            <v>3062</v>
          </cell>
          <cell r="C3064" t="str">
            <v>CS01/12</v>
          </cell>
          <cell r="D3064" t="str">
            <v>SPCEN-SD</v>
          </cell>
          <cell r="E3064" t="str">
            <v>AF3</v>
          </cell>
          <cell r="F3064">
            <v>0.8</v>
          </cell>
          <cell r="G3064">
            <v>80</v>
          </cell>
          <cell r="H3064" t="str">
            <v>C</v>
          </cell>
          <cell r="I3064" t="str">
            <v>A</v>
          </cell>
          <cell r="J3064" t="str">
            <v>STORE</v>
          </cell>
          <cell r="K3064">
            <v>1</v>
          </cell>
          <cell r="L3064">
            <v>234</v>
          </cell>
          <cell r="M3064">
            <v>60052732</v>
          </cell>
          <cell r="N3064" t="str">
            <v>26/2/2006</v>
          </cell>
          <cell r="O3064" t="str">
            <v>125803SUD002</v>
          </cell>
          <cell r="P3064" t="str">
            <v>IN6226D1S781701</v>
          </cell>
        </row>
        <row r="3065">
          <cell r="A3065">
            <v>60060925</v>
          </cell>
          <cell r="B3065">
            <v>3063</v>
          </cell>
          <cell r="C3065" t="str">
            <v>CS01/12</v>
          </cell>
          <cell r="D3065" t="str">
            <v>SPCEN-SD</v>
          </cell>
          <cell r="E3065" t="str">
            <v>AF3</v>
          </cell>
          <cell r="F3065">
            <v>0.8</v>
          </cell>
          <cell r="G3065">
            <v>80</v>
          </cell>
          <cell r="H3065" t="str">
            <v>C</v>
          </cell>
          <cell r="I3065" t="str">
            <v>A</v>
          </cell>
          <cell r="J3065" t="str">
            <v>STORE</v>
          </cell>
          <cell r="K3065">
            <v>1</v>
          </cell>
          <cell r="L3065">
            <v>149</v>
          </cell>
          <cell r="M3065">
            <v>60060925</v>
          </cell>
          <cell r="N3065">
            <v>38813</v>
          </cell>
          <cell r="O3065" t="str">
            <v>125B04SUD006</v>
          </cell>
          <cell r="P3065" t="str">
            <v>IN6604N1S078001</v>
          </cell>
        </row>
        <row r="3066">
          <cell r="A3066">
            <v>60038593</v>
          </cell>
          <cell r="B3066">
            <v>3064</v>
          </cell>
          <cell r="C3066" t="str">
            <v>CS01/12</v>
          </cell>
          <cell r="D3066" t="str">
            <v>SPCEN-SD</v>
          </cell>
          <cell r="E3066" t="str">
            <v>AF3</v>
          </cell>
          <cell r="F3066">
            <v>0.8</v>
          </cell>
          <cell r="G3066">
            <v>85</v>
          </cell>
          <cell r="H3066" t="str">
            <v>C</v>
          </cell>
          <cell r="I3066" t="str">
            <v>A</v>
          </cell>
          <cell r="J3066" t="str">
            <v>STORE</v>
          </cell>
          <cell r="K3066">
            <v>1</v>
          </cell>
          <cell r="L3066">
            <v>106</v>
          </cell>
          <cell r="M3066">
            <v>60038593</v>
          </cell>
          <cell r="N3066">
            <v>38480</v>
          </cell>
          <cell r="O3066" t="str">
            <v>124716SUD001</v>
          </cell>
          <cell r="P3066" t="str">
            <v>IN5805N1S173201</v>
          </cell>
        </row>
        <row r="3067">
          <cell r="A3067">
            <v>60038597</v>
          </cell>
          <cell r="B3067">
            <v>3065</v>
          </cell>
          <cell r="C3067" t="str">
            <v>CS01/12</v>
          </cell>
          <cell r="D3067" t="str">
            <v>SPCEN-SD</v>
          </cell>
          <cell r="E3067" t="str">
            <v>AF3</v>
          </cell>
          <cell r="F3067">
            <v>0.8</v>
          </cell>
          <cell r="G3067">
            <v>85</v>
          </cell>
          <cell r="H3067" t="str">
            <v>C</v>
          </cell>
          <cell r="I3067" t="str">
            <v>A</v>
          </cell>
          <cell r="J3067" t="str">
            <v>STORE</v>
          </cell>
          <cell r="K3067">
            <v>1</v>
          </cell>
          <cell r="L3067">
            <v>210</v>
          </cell>
          <cell r="M3067">
            <v>60038597</v>
          </cell>
          <cell r="N3067">
            <v>38480</v>
          </cell>
          <cell r="O3067" t="str">
            <v>124A30SUD001</v>
          </cell>
          <cell r="P3067" t="str">
            <v>IN5805N1S173202</v>
          </cell>
        </row>
        <row r="3068">
          <cell r="A3068">
            <v>60039297</v>
          </cell>
          <cell r="B3068">
            <v>3066</v>
          </cell>
          <cell r="C3068" t="str">
            <v>CS01/12</v>
          </cell>
          <cell r="D3068" t="str">
            <v>SPCEN-SD</v>
          </cell>
          <cell r="E3068" t="str">
            <v>AF3</v>
          </cell>
          <cell r="F3068">
            <v>0.8</v>
          </cell>
          <cell r="G3068">
            <v>85</v>
          </cell>
          <cell r="H3068" t="str">
            <v>C</v>
          </cell>
          <cell r="I3068" t="str">
            <v>A</v>
          </cell>
          <cell r="J3068" t="str">
            <v>STORE</v>
          </cell>
          <cell r="K3068">
            <v>1</v>
          </cell>
          <cell r="L3068">
            <v>661</v>
          </cell>
          <cell r="M3068">
            <v>60039297</v>
          </cell>
          <cell r="N3068" t="str">
            <v>18/8/2005</v>
          </cell>
          <cell r="O3068" t="str">
            <v>124C23SUD002</v>
          </cell>
          <cell r="P3068" t="str">
            <v>IN5818N1S198501</v>
          </cell>
        </row>
        <row r="3069">
          <cell r="A3069">
            <v>60040377</v>
          </cell>
          <cell r="B3069">
            <v>3067</v>
          </cell>
          <cell r="C3069" t="str">
            <v>CS01/12</v>
          </cell>
          <cell r="D3069" t="str">
            <v>SPCEN-SD</v>
          </cell>
          <cell r="E3069" t="str">
            <v>AF3</v>
          </cell>
          <cell r="F3069">
            <v>0.8</v>
          </cell>
          <cell r="G3069">
            <v>85</v>
          </cell>
          <cell r="H3069" t="str">
            <v>C</v>
          </cell>
          <cell r="I3069" t="str">
            <v>A</v>
          </cell>
          <cell r="J3069" t="str">
            <v>STORE</v>
          </cell>
          <cell r="K3069">
            <v>1</v>
          </cell>
          <cell r="L3069">
            <v>520</v>
          </cell>
          <cell r="M3069">
            <v>60040377</v>
          </cell>
          <cell r="N3069">
            <v>38634</v>
          </cell>
          <cell r="O3069" t="str">
            <v>125824SUD002</v>
          </cell>
          <cell r="P3069" t="str">
            <v>IN5910N1S285601</v>
          </cell>
        </row>
        <row r="3070">
          <cell r="A3070">
            <v>60040380</v>
          </cell>
          <cell r="B3070">
            <v>3068</v>
          </cell>
          <cell r="C3070" t="str">
            <v>CS01/12</v>
          </cell>
          <cell r="D3070" t="str">
            <v>SPCEN-SD</v>
          </cell>
          <cell r="E3070" t="str">
            <v>AF3</v>
          </cell>
          <cell r="F3070">
            <v>0.8</v>
          </cell>
          <cell r="G3070">
            <v>85</v>
          </cell>
          <cell r="H3070" t="str">
            <v>C</v>
          </cell>
          <cell r="I3070" t="str">
            <v>A</v>
          </cell>
          <cell r="J3070" t="str">
            <v>STORE</v>
          </cell>
          <cell r="K3070">
            <v>1</v>
          </cell>
          <cell r="L3070">
            <v>511</v>
          </cell>
          <cell r="M3070">
            <v>60040380</v>
          </cell>
          <cell r="N3070">
            <v>38634</v>
          </cell>
          <cell r="O3070" t="str">
            <v>125824SUD002</v>
          </cell>
          <cell r="P3070" t="str">
            <v>IN5910N1S285602</v>
          </cell>
        </row>
        <row r="3071">
          <cell r="A3071">
            <v>60040919</v>
          </cell>
          <cell r="B3071">
            <v>3069</v>
          </cell>
          <cell r="C3071" t="str">
            <v>CS01/12</v>
          </cell>
          <cell r="D3071" t="str">
            <v>SPCEN-SD</v>
          </cell>
          <cell r="E3071" t="str">
            <v>AF3</v>
          </cell>
          <cell r="F3071">
            <v>0.8</v>
          </cell>
          <cell r="G3071">
            <v>85</v>
          </cell>
          <cell r="H3071" t="str">
            <v>C</v>
          </cell>
          <cell r="I3071" t="str">
            <v>A</v>
          </cell>
          <cell r="J3071" t="str">
            <v>STORE</v>
          </cell>
          <cell r="K3071">
            <v>1</v>
          </cell>
          <cell r="L3071">
            <v>580</v>
          </cell>
          <cell r="M3071">
            <v>60040919</v>
          </cell>
          <cell r="N3071" t="str">
            <v>20/9/2005</v>
          </cell>
          <cell r="O3071" t="str">
            <v>125824SUD002</v>
          </cell>
          <cell r="P3071" t="str">
            <v>IN5920N1S308101</v>
          </cell>
        </row>
        <row r="3072">
          <cell r="A3072">
            <v>60040966</v>
          </cell>
          <cell r="B3072">
            <v>3070</v>
          </cell>
          <cell r="C3072" t="str">
            <v>CS01/12</v>
          </cell>
          <cell r="D3072" t="str">
            <v>SPCEN-SD</v>
          </cell>
          <cell r="E3072" t="str">
            <v>AF3</v>
          </cell>
          <cell r="F3072">
            <v>0.8</v>
          </cell>
          <cell r="G3072">
            <v>85</v>
          </cell>
          <cell r="H3072" t="str">
            <v>C</v>
          </cell>
          <cell r="I3072" t="str">
            <v>A</v>
          </cell>
          <cell r="J3072" t="str">
            <v>STORE</v>
          </cell>
          <cell r="K3072">
            <v>1</v>
          </cell>
          <cell r="L3072">
            <v>580</v>
          </cell>
          <cell r="M3072">
            <v>60040966</v>
          </cell>
          <cell r="N3072" t="str">
            <v>22/9/2005</v>
          </cell>
          <cell r="O3072" t="str">
            <v>125824SUD002</v>
          </cell>
          <cell r="P3072" t="str">
            <v>IN5922D1S313701</v>
          </cell>
        </row>
        <row r="3073">
          <cell r="A3073">
            <v>60042691</v>
          </cell>
          <cell r="B3073">
            <v>3071</v>
          </cell>
          <cell r="C3073" t="str">
            <v>CS01/12</v>
          </cell>
          <cell r="D3073" t="str">
            <v>SPCEN-SD</v>
          </cell>
          <cell r="E3073" t="str">
            <v>AF3</v>
          </cell>
          <cell r="F3073">
            <v>0.8</v>
          </cell>
          <cell r="G3073">
            <v>85</v>
          </cell>
          <cell r="H3073" t="str">
            <v>C</v>
          </cell>
          <cell r="I3073" t="str">
            <v>A</v>
          </cell>
          <cell r="J3073" t="str">
            <v>STORE</v>
          </cell>
          <cell r="K3073">
            <v>1</v>
          </cell>
          <cell r="L3073">
            <v>632</v>
          </cell>
          <cell r="M3073">
            <v>60042691</v>
          </cell>
          <cell r="N3073" t="str">
            <v>20/10/2005</v>
          </cell>
          <cell r="O3073" t="str">
            <v>125709SUD003</v>
          </cell>
          <cell r="P3073" t="str">
            <v>IN5A20N1S393101</v>
          </cell>
        </row>
        <row r="3074">
          <cell r="A3074">
            <v>60042907</v>
          </cell>
          <cell r="B3074">
            <v>3072</v>
          </cell>
          <cell r="C3074" t="str">
            <v>CS01/12</v>
          </cell>
          <cell r="D3074" t="str">
            <v>SPCEN-SD</v>
          </cell>
          <cell r="E3074" t="str">
            <v>AF3</v>
          </cell>
          <cell r="F3074">
            <v>0.8</v>
          </cell>
          <cell r="G3074">
            <v>85</v>
          </cell>
          <cell r="H3074" t="str">
            <v>C</v>
          </cell>
          <cell r="I3074" t="str">
            <v>A</v>
          </cell>
          <cell r="J3074" t="str">
            <v>STORE</v>
          </cell>
          <cell r="K3074">
            <v>1</v>
          </cell>
          <cell r="L3074">
            <v>616</v>
          </cell>
          <cell r="M3074">
            <v>60042907</v>
          </cell>
          <cell r="N3074" t="str">
            <v>22/10/2005</v>
          </cell>
          <cell r="O3074" t="str">
            <v>125817SUD003</v>
          </cell>
          <cell r="P3074" t="str">
            <v>IN5A22D1S393501</v>
          </cell>
        </row>
        <row r="3075">
          <cell r="A3075">
            <v>60043566</v>
          </cell>
          <cell r="B3075">
            <v>3073</v>
          </cell>
          <cell r="C3075" t="str">
            <v>CS01/12</v>
          </cell>
          <cell r="D3075" t="str">
            <v>SPCEN-SD</v>
          </cell>
          <cell r="E3075" t="str">
            <v>AF3</v>
          </cell>
          <cell r="F3075">
            <v>0.8</v>
          </cell>
          <cell r="G3075">
            <v>85</v>
          </cell>
          <cell r="H3075" t="str">
            <v>C</v>
          </cell>
          <cell r="I3075" t="str">
            <v>A</v>
          </cell>
          <cell r="J3075" t="str">
            <v>STORE</v>
          </cell>
          <cell r="K3075">
            <v>1</v>
          </cell>
          <cell r="L3075">
            <v>576</v>
          </cell>
          <cell r="M3075">
            <v>60043566</v>
          </cell>
          <cell r="N3075" t="str">
            <v>30/1/2005</v>
          </cell>
          <cell r="O3075" t="str">
            <v>125921SUD002</v>
          </cell>
          <cell r="P3075" t="str">
            <v>IN5130D1S431801</v>
          </cell>
        </row>
        <row r="3076">
          <cell r="A3076">
            <v>60043569</v>
          </cell>
          <cell r="B3076">
            <v>3074</v>
          </cell>
          <cell r="C3076" t="str">
            <v>CS01/12</v>
          </cell>
          <cell r="D3076" t="str">
            <v>SPCEN-SD</v>
          </cell>
          <cell r="E3076" t="str">
            <v>AF3</v>
          </cell>
          <cell r="F3076">
            <v>0.8</v>
          </cell>
          <cell r="G3076">
            <v>85</v>
          </cell>
          <cell r="H3076" t="str">
            <v>C</v>
          </cell>
          <cell r="I3076" t="str">
            <v>A</v>
          </cell>
          <cell r="J3076" t="str">
            <v>STORE</v>
          </cell>
          <cell r="K3076">
            <v>1</v>
          </cell>
          <cell r="L3076">
            <v>554</v>
          </cell>
          <cell r="M3076">
            <v>60043569</v>
          </cell>
          <cell r="N3076">
            <v>38363</v>
          </cell>
          <cell r="O3076" t="str">
            <v>125921SUD003</v>
          </cell>
          <cell r="P3076" t="str">
            <v>IN5B01D1S431901</v>
          </cell>
        </row>
        <row r="3077">
          <cell r="A3077">
            <v>60043572</v>
          </cell>
          <cell r="B3077">
            <v>3075</v>
          </cell>
          <cell r="C3077" t="str">
            <v>CS01/12</v>
          </cell>
          <cell r="D3077" t="str">
            <v>SPCEN-SD</v>
          </cell>
          <cell r="E3077" t="str">
            <v>AF3</v>
          </cell>
          <cell r="F3077">
            <v>0.8</v>
          </cell>
          <cell r="G3077">
            <v>85</v>
          </cell>
          <cell r="H3077" t="str">
            <v>C</v>
          </cell>
          <cell r="I3077" t="str">
            <v>A</v>
          </cell>
          <cell r="J3077" t="str">
            <v>STORE</v>
          </cell>
          <cell r="K3077">
            <v>1</v>
          </cell>
          <cell r="L3077">
            <v>562</v>
          </cell>
          <cell r="M3077">
            <v>60043572</v>
          </cell>
          <cell r="N3077">
            <v>38363</v>
          </cell>
          <cell r="O3077" t="str">
            <v>125921SUD004</v>
          </cell>
          <cell r="P3077" t="str">
            <v>IN5B01D1S431902</v>
          </cell>
        </row>
        <row r="3078">
          <cell r="A3078">
            <v>60045742</v>
          </cell>
          <cell r="B3078">
            <v>3076</v>
          </cell>
          <cell r="C3078" t="str">
            <v>CS01/12</v>
          </cell>
          <cell r="D3078" t="str">
            <v>SPCEN-SD</v>
          </cell>
          <cell r="E3078" t="str">
            <v>AF3</v>
          </cell>
          <cell r="F3078">
            <v>0.8</v>
          </cell>
          <cell r="G3078">
            <v>85</v>
          </cell>
          <cell r="H3078" t="str">
            <v>C</v>
          </cell>
          <cell r="I3078" t="str">
            <v>A</v>
          </cell>
          <cell r="J3078" t="str">
            <v>STORE</v>
          </cell>
          <cell r="K3078">
            <v>1</v>
          </cell>
          <cell r="L3078">
            <v>495</v>
          </cell>
          <cell r="M3078">
            <v>60045742</v>
          </cell>
          <cell r="N3078" t="str">
            <v>24/11/2005</v>
          </cell>
          <cell r="O3078" t="str">
            <v>125A14SUD006</v>
          </cell>
          <cell r="P3078" t="str">
            <v>IN5B24D1S504701</v>
          </cell>
        </row>
        <row r="3079">
          <cell r="A3079">
            <v>60045779</v>
          </cell>
          <cell r="B3079">
            <v>3077</v>
          </cell>
          <cell r="C3079" t="str">
            <v>CS01/12</v>
          </cell>
          <cell r="D3079" t="str">
            <v>SPCEN-SD</v>
          </cell>
          <cell r="E3079" t="str">
            <v>AF3</v>
          </cell>
          <cell r="F3079">
            <v>0.8</v>
          </cell>
          <cell r="G3079">
            <v>85</v>
          </cell>
          <cell r="H3079" t="str">
            <v>C</v>
          </cell>
          <cell r="I3079" t="str">
            <v>A</v>
          </cell>
          <cell r="J3079" t="str">
            <v>STORE</v>
          </cell>
          <cell r="K3079">
            <v>1</v>
          </cell>
          <cell r="L3079">
            <v>524</v>
          </cell>
          <cell r="M3079">
            <v>60045779</v>
          </cell>
          <cell r="N3079" t="str">
            <v>24/11/2005</v>
          </cell>
          <cell r="O3079" t="str">
            <v>125B08SUD003</v>
          </cell>
          <cell r="P3079" t="str">
            <v>IN5B24D1S504702</v>
          </cell>
        </row>
        <row r="3080">
          <cell r="A3080">
            <v>60046738</v>
          </cell>
          <cell r="B3080">
            <v>3078</v>
          </cell>
          <cell r="C3080" t="str">
            <v>CS01/12</v>
          </cell>
          <cell r="D3080" t="str">
            <v>SPCEN-SD</v>
          </cell>
          <cell r="E3080" t="str">
            <v>AF3</v>
          </cell>
          <cell r="F3080">
            <v>0.8</v>
          </cell>
          <cell r="G3080">
            <v>85</v>
          </cell>
          <cell r="H3080" t="str">
            <v>C</v>
          </cell>
          <cell r="I3080" t="str">
            <v>A</v>
          </cell>
          <cell r="J3080" t="str">
            <v>STORE</v>
          </cell>
          <cell r="K3080">
            <v>1</v>
          </cell>
          <cell r="L3080">
            <v>402</v>
          </cell>
          <cell r="M3080">
            <v>60046738</v>
          </cell>
          <cell r="N3080">
            <v>38454</v>
          </cell>
          <cell r="O3080" t="str">
            <v>125215SUD005</v>
          </cell>
          <cell r="P3080" t="str">
            <v>IN5C04D1S537801</v>
          </cell>
        </row>
        <row r="3081">
          <cell r="A3081">
            <v>60046742</v>
          </cell>
          <cell r="B3081">
            <v>3079</v>
          </cell>
          <cell r="C3081" t="str">
            <v>CS01/12</v>
          </cell>
          <cell r="D3081" t="str">
            <v>SPCEN-SD</v>
          </cell>
          <cell r="E3081" t="str">
            <v>AF3</v>
          </cell>
          <cell r="F3081">
            <v>0.8</v>
          </cell>
          <cell r="G3081">
            <v>85</v>
          </cell>
          <cell r="H3081" t="str">
            <v>C</v>
          </cell>
          <cell r="I3081" t="str">
            <v>A</v>
          </cell>
          <cell r="J3081" t="str">
            <v>STORE</v>
          </cell>
          <cell r="K3081">
            <v>1</v>
          </cell>
          <cell r="L3081">
            <v>242</v>
          </cell>
          <cell r="M3081">
            <v>60046742</v>
          </cell>
          <cell r="N3081">
            <v>38877</v>
          </cell>
          <cell r="O3081" t="str">
            <v>125215SUD005</v>
          </cell>
          <cell r="P3081" t="str">
            <v>IN6906D1M354301</v>
          </cell>
        </row>
        <row r="3082">
          <cell r="A3082">
            <v>60052654</v>
          </cell>
          <cell r="B3082">
            <v>3080</v>
          </cell>
          <cell r="C3082" t="str">
            <v>CS01/12</v>
          </cell>
          <cell r="D3082" t="str">
            <v>SPCEN-SD</v>
          </cell>
          <cell r="E3082" t="str">
            <v>AF3</v>
          </cell>
          <cell r="F3082">
            <v>0.8</v>
          </cell>
          <cell r="G3082">
            <v>85</v>
          </cell>
          <cell r="H3082" t="str">
            <v>C</v>
          </cell>
          <cell r="I3082" t="str">
            <v>A</v>
          </cell>
          <cell r="J3082" t="str">
            <v>STORE</v>
          </cell>
          <cell r="K3082">
            <v>1</v>
          </cell>
          <cell r="L3082">
            <v>164</v>
          </cell>
          <cell r="M3082">
            <v>60052654</v>
          </cell>
          <cell r="N3082" t="str">
            <v>24/2/2006</v>
          </cell>
          <cell r="O3082" t="str">
            <v>125B08SUD004</v>
          </cell>
          <cell r="P3082" t="str">
            <v>IN6224D1S776701</v>
          </cell>
        </row>
        <row r="3083">
          <cell r="A3083">
            <v>60049935</v>
          </cell>
          <cell r="B3083">
            <v>3081</v>
          </cell>
          <cell r="C3083" t="str">
            <v>CS01/12</v>
          </cell>
          <cell r="D3083" t="str">
            <v>SPCEN-SD</v>
          </cell>
          <cell r="E3083" t="str">
            <v>AF3</v>
          </cell>
          <cell r="F3083">
            <v>0.8</v>
          </cell>
          <cell r="G3083">
            <v>110</v>
          </cell>
          <cell r="H3083" t="str">
            <v>C</v>
          </cell>
          <cell r="I3083" t="str">
            <v>A</v>
          </cell>
          <cell r="J3083" t="str">
            <v>STORE</v>
          </cell>
          <cell r="K3083">
            <v>1</v>
          </cell>
          <cell r="L3083">
            <v>204</v>
          </cell>
          <cell r="M3083">
            <v>60049935</v>
          </cell>
          <cell r="N3083" t="str">
            <v>21/1/2006</v>
          </cell>
          <cell r="O3083" t="str">
            <v>125718TCD002</v>
          </cell>
          <cell r="P3083" t="str">
            <v>IN6121N1S666201</v>
          </cell>
        </row>
        <row r="3084">
          <cell r="A3084">
            <v>60060380</v>
          </cell>
          <cell r="B3084">
            <v>3082</v>
          </cell>
          <cell r="C3084" t="str">
            <v>CS01/12</v>
          </cell>
          <cell r="D3084" t="str">
            <v>SPCEN-SD</v>
          </cell>
          <cell r="E3084" t="str">
            <v>AF3</v>
          </cell>
          <cell r="F3084">
            <v>0.8</v>
          </cell>
          <cell r="G3084">
            <v>110</v>
          </cell>
          <cell r="H3084" t="str">
            <v>C</v>
          </cell>
          <cell r="I3084" t="str">
            <v>A</v>
          </cell>
          <cell r="J3084" t="str">
            <v>STORE</v>
          </cell>
          <cell r="K3084">
            <v>1</v>
          </cell>
          <cell r="L3084">
            <v>870</v>
          </cell>
          <cell r="M3084">
            <v>60060380</v>
          </cell>
          <cell r="N3084" t="str">
            <v>29/5/2006</v>
          </cell>
          <cell r="O3084" t="str">
            <v>126316SUD002</v>
          </cell>
          <cell r="P3084" t="str">
            <v>IN6529D1S055601</v>
          </cell>
        </row>
        <row r="3085">
          <cell r="A3085">
            <v>60060562</v>
          </cell>
          <cell r="B3085">
            <v>3083</v>
          </cell>
          <cell r="C3085" t="str">
            <v>CS01/10</v>
          </cell>
          <cell r="D3085" t="str">
            <v>SPHC P/O</v>
          </cell>
          <cell r="E3085" t="str">
            <v>CA1</v>
          </cell>
          <cell r="F3085">
            <v>2.2999999999999998</v>
          </cell>
          <cell r="G3085">
            <v>276</v>
          </cell>
          <cell r="H3085" t="str">
            <v>C</v>
          </cell>
          <cell r="I3085" t="str">
            <v>A</v>
          </cell>
          <cell r="J3085" t="str">
            <v>STORE</v>
          </cell>
          <cell r="K3085">
            <v>1</v>
          </cell>
          <cell r="L3085">
            <v>578</v>
          </cell>
          <cell r="M3085">
            <v>60060562</v>
          </cell>
          <cell r="N3085" t="str">
            <v>30/5/2006</v>
          </cell>
          <cell r="O3085" t="str">
            <v>136420PCI025</v>
          </cell>
          <cell r="P3085" t="str">
            <v>IN6530D2S046401</v>
          </cell>
        </row>
        <row r="3086">
          <cell r="A3086">
            <v>60060565</v>
          </cell>
          <cell r="B3086">
            <v>3084</v>
          </cell>
          <cell r="C3086" t="str">
            <v>CS01/10</v>
          </cell>
          <cell r="D3086" t="str">
            <v>SPHC P/O</v>
          </cell>
          <cell r="E3086" t="str">
            <v>CA1</v>
          </cell>
          <cell r="F3086">
            <v>2.2999999999999998</v>
          </cell>
          <cell r="G3086">
            <v>276</v>
          </cell>
          <cell r="H3086" t="str">
            <v>C</v>
          </cell>
          <cell r="I3086" t="str">
            <v>A</v>
          </cell>
          <cell r="J3086" t="str">
            <v>STORE</v>
          </cell>
          <cell r="K3086">
            <v>1</v>
          </cell>
          <cell r="L3086">
            <v>636</v>
          </cell>
          <cell r="M3086">
            <v>60060565</v>
          </cell>
          <cell r="N3086" t="str">
            <v>30/5/2006</v>
          </cell>
          <cell r="O3086" t="str">
            <v>136420PCI025</v>
          </cell>
          <cell r="P3086" t="str">
            <v>IN6530D2S046402</v>
          </cell>
        </row>
        <row r="3087">
          <cell r="A3087">
            <v>60062192</v>
          </cell>
          <cell r="B3087">
            <v>3085</v>
          </cell>
          <cell r="C3087" t="str">
            <v>CS01/10</v>
          </cell>
          <cell r="D3087" t="str">
            <v>SPHC P/O</v>
          </cell>
          <cell r="E3087" t="str">
            <v>CA1</v>
          </cell>
          <cell r="F3087">
            <v>2.2999999999999998</v>
          </cell>
          <cell r="G3087">
            <v>276</v>
          </cell>
          <cell r="H3087" t="str">
            <v>C</v>
          </cell>
          <cell r="I3087" t="str">
            <v>A</v>
          </cell>
          <cell r="J3087" t="str">
            <v>STORE</v>
          </cell>
          <cell r="K3087">
            <v>1</v>
          </cell>
          <cell r="L3087">
            <v>1166</v>
          </cell>
          <cell r="M3087">
            <v>60062192</v>
          </cell>
          <cell r="N3087" t="str">
            <v>23/6/2006</v>
          </cell>
          <cell r="O3087" t="str">
            <v>136420PCI026</v>
          </cell>
          <cell r="P3087" t="str">
            <v>IN6623N2S127601</v>
          </cell>
        </row>
        <row r="3088">
          <cell r="A3088">
            <v>60063358</v>
          </cell>
          <cell r="B3088">
            <v>3086</v>
          </cell>
          <cell r="C3088" t="str">
            <v>CS01/10</v>
          </cell>
          <cell r="D3088" t="str">
            <v>SPHC P/O</v>
          </cell>
          <cell r="E3088" t="str">
            <v>CA1</v>
          </cell>
          <cell r="F3088">
            <v>2.6</v>
          </cell>
          <cell r="G3088">
            <v>120</v>
          </cell>
          <cell r="H3088" t="str">
            <v>C</v>
          </cell>
          <cell r="I3088" t="str">
            <v>A</v>
          </cell>
          <cell r="J3088" t="str">
            <v>STORE</v>
          </cell>
          <cell r="K3088">
            <v>1</v>
          </cell>
          <cell r="L3088">
            <v>632</v>
          </cell>
          <cell r="M3088">
            <v>60063358</v>
          </cell>
          <cell r="N3088">
            <v>39028</v>
          </cell>
          <cell r="O3088" t="str">
            <v>136409NSI001</v>
          </cell>
          <cell r="P3088" t="str">
            <v>IN6711N2S188201</v>
          </cell>
        </row>
        <row r="3089">
          <cell r="A3089">
            <v>60061541</v>
          </cell>
          <cell r="B3089">
            <v>3087</v>
          </cell>
          <cell r="C3089" t="str">
            <v>CS01/10</v>
          </cell>
          <cell r="D3089" t="str">
            <v>SPHC P/O</v>
          </cell>
          <cell r="E3089" t="str">
            <v>CA1</v>
          </cell>
          <cell r="F3089">
            <v>3.2</v>
          </cell>
          <cell r="G3089">
            <v>115</v>
          </cell>
          <cell r="H3089" t="str">
            <v>C</v>
          </cell>
          <cell r="I3089" t="str">
            <v>A</v>
          </cell>
          <cell r="J3089" t="str">
            <v>STORE</v>
          </cell>
          <cell r="K3089">
            <v>1</v>
          </cell>
          <cell r="L3089">
            <v>524</v>
          </cell>
          <cell r="M3089">
            <v>60061541</v>
          </cell>
          <cell r="N3089" t="str">
            <v>13/6/2006</v>
          </cell>
          <cell r="O3089" t="str">
            <v>136527PCI019</v>
          </cell>
          <cell r="P3089" t="str">
            <v>IN6613D2S098901</v>
          </cell>
        </row>
        <row r="3090">
          <cell r="A3090">
            <v>60061542</v>
          </cell>
          <cell r="B3090">
            <v>3088</v>
          </cell>
          <cell r="C3090" t="str">
            <v>CS01/10</v>
          </cell>
          <cell r="D3090" t="str">
            <v>SPHC P/O</v>
          </cell>
          <cell r="E3090" t="str">
            <v>CA1</v>
          </cell>
          <cell r="F3090">
            <v>3.2</v>
          </cell>
          <cell r="G3090">
            <v>115</v>
          </cell>
          <cell r="H3090" t="str">
            <v>C</v>
          </cell>
          <cell r="I3090" t="str">
            <v>A</v>
          </cell>
          <cell r="J3090" t="str">
            <v>STORE</v>
          </cell>
          <cell r="K3090">
            <v>1</v>
          </cell>
          <cell r="L3090">
            <v>524</v>
          </cell>
          <cell r="M3090">
            <v>60061542</v>
          </cell>
          <cell r="N3090" t="str">
            <v>13/6/2006</v>
          </cell>
          <cell r="O3090" t="str">
            <v>136527PCI019</v>
          </cell>
          <cell r="P3090" t="str">
            <v>IN6613D2S098902</v>
          </cell>
        </row>
        <row r="3091">
          <cell r="A3091">
            <v>60061543</v>
          </cell>
          <cell r="B3091">
            <v>3089</v>
          </cell>
          <cell r="C3091" t="str">
            <v>CS01/10</v>
          </cell>
          <cell r="D3091" t="str">
            <v>SPHC P/O</v>
          </cell>
          <cell r="E3091" t="str">
            <v>CA1</v>
          </cell>
          <cell r="F3091">
            <v>3.2</v>
          </cell>
          <cell r="G3091">
            <v>115</v>
          </cell>
          <cell r="H3091" t="str">
            <v>C</v>
          </cell>
          <cell r="I3091" t="str">
            <v>A</v>
          </cell>
          <cell r="J3091" t="str">
            <v>STORE</v>
          </cell>
          <cell r="K3091">
            <v>1</v>
          </cell>
          <cell r="L3091">
            <v>524</v>
          </cell>
          <cell r="M3091">
            <v>60061543</v>
          </cell>
          <cell r="N3091" t="str">
            <v>13/6/2006</v>
          </cell>
          <cell r="O3091" t="str">
            <v>136527PCI019</v>
          </cell>
          <cell r="P3091" t="str">
            <v>IN6613D2S098903</v>
          </cell>
        </row>
        <row r="3092">
          <cell r="A3092">
            <v>60050741</v>
          </cell>
          <cell r="B3092">
            <v>3090</v>
          </cell>
          <cell r="C3092" t="str">
            <v>CS01/10</v>
          </cell>
          <cell r="D3092" t="str">
            <v>SPHC P/O</v>
          </cell>
          <cell r="E3092" t="str">
            <v>CA1</v>
          </cell>
          <cell r="F3092">
            <v>3.6</v>
          </cell>
          <cell r="G3092">
            <v>50</v>
          </cell>
          <cell r="H3092" t="str">
            <v>C</v>
          </cell>
          <cell r="I3092" t="str">
            <v>A</v>
          </cell>
          <cell r="J3092" t="str">
            <v>STORE</v>
          </cell>
          <cell r="K3092">
            <v>1</v>
          </cell>
          <cell r="L3092">
            <v>180</v>
          </cell>
          <cell r="M3092">
            <v>60050741</v>
          </cell>
          <cell r="N3092">
            <v>38719</v>
          </cell>
          <cell r="O3092" t="str">
            <v>135C19PCI002</v>
          </cell>
          <cell r="P3092" t="str">
            <v>IN6201N2S700301</v>
          </cell>
        </row>
        <row r="3093">
          <cell r="A3093">
            <v>60050748</v>
          </cell>
          <cell r="B3093">
            <v>3091</v>
          </cell>
          <cell r="C3093" t="str">
            <v>CS01/10</v>
          </cell>
          <cell r="D3093" t="str">
            <v>SPHC P/O</v>
          </cell>
          <cell r="E3093" t="str">
            <v>CA1</v>
          </cell>
          <cell r="F3093">
            <v>3.6</v>
          </cell>
          <cell r="G3093">
            <v>50</v>
          </cell>
          <cell r="H3093" t="str">
            <v>C</v>
          </cell>
          <cell r="I3093" t="str">
            <v>A</v>
          </cell>
          <cell r="J3093" t="str">
            <v>STORE</v>
          </cell>
          <cell r="K3093">
            <v>1</v>
          </cell>
          <cell r="L3093">
            <v>182</v>
          </cell>
          <cell r="M3093">
            <v>60050748</v>
          </cell>
          <cell r="N3093">
            <v>38719</v>
          </cell>
          <cell r="O3093" t="str">
            <v>135C19PCI002</v>
          </cell>
          <cell r="P3093" t="str">
            <v>IN6201N2S700302</v>
          </cell>
        </row>
        <row r="3094">
          <cell r="A3094">
            <v>60050755</v>
          </cell>
          <cell r="B3094">
            <v>3092</v>
          </cell>
          <cell r="C3094" t="str">
            <v>CS01/10</v>
          </cell>
          <cell r="D3094" t="str">
            <v>SPHC P/O</v>
          </cell>
          <cell r="E3094" t="str">
            <v>CA1</v>
          </cell>
          <cell r="F3094">
            <v>3.6</v>
          </cell>
          <cell r="G3094">
            <v>50</v>
          </cell>
          <cell r="H3094" t="str">
            <v>C</v>
          </cell>
          <cell r="I3094" t="str">
            <v>A</v>
          </cell>
          <cell r="J3094" t="str">
            <v>STORE</v>
          </cell>
          <cell r="K3094">
            <v>1</v>
          </cell>
          <cell r="L3094">
            <v>182</v>
          </cell>
          <cell r="M3094">
            <v>60050755</v>
          </cell>
          <cell r="N3094">
            <v>38719</v>
          </cell>
          <cell r="O3094" t="str">
            <v>135C19PCI003</v>
          </cell>
          <cell r="P3094" t="str">
            <v>IN6201N2S700303</v>
          </cell>
        </row>
        <row r="3095">
          <cell r="A3095">
            <v>60050770</v>
          </cell>
          <cell r="B3095">
            <v>3093</v>
          </cell>
          <cell r="C3095" t="str">
            <v>CS01/10</v>
          </cell>
          <cell r="D3095" t="str">
            <v>SPHC P/O</v>
          </cell>
          <cell r="E3095" t="str">
            <v>CA1</v>
          </cell>
          <cell r="F3095">
            <v>3.6</v>
          </cell>
          <cell r="G3095">
            <v>50</v>
          </cell>
          <cell r="H3095" t="str">
            <v>C</v>
          </cell>
          <cell r="I3095" t="str">
            <v>A</v>
          </cell>
          <cell r="J3095" t="str">
            <v>STORE</v>
          </cell>
          <cell r="K3095">
            <v>1</v>
          </cell>
          <cell r="L3095">
            <v>182</v>
          </cell>
          <cell r="M3095">
            <v>60050770</v>
          </cell>
          <cell r="N3095">
            <v>38719</v>
          </cell>
          <cell r="O3095" t="str">
            <v>135C19PCI003</v>
          </cell>
          <cell r="P3095" t="str">
            <v>IN6201N2S700304</v>
          </cell>
        </row>
        <row r="3096">
          <cell r="A3096">
            <v>60048234</v>
          </cell>
          <cell r="B3096">
            <v>3094</v>
          </cell>
          <cell r="C3096" t="str">
            <v>CS01/10</v>
          </cell>
          <cell r="D3096" t="str">
            <v>SPHC P/O</v>
          </cell>
          <cell r="E3096" t="str">
            <v>CA1</v>
          </cell>
          <cell r="F3096">
            <v>3.6</v>
          </cell>
          <cell r="G3096">
            <v>73</v>
          </cell>
          <cell r="H3096" t="str">
            <v>C</v>
          </cell>
          <cell r="I3096" t="str">
            <v>A</v>
          </cell>
          <cell r="J3096" t="str">
            <v>STORE</v>
          </cell>
          <cell r="K3096">
            <v>1</v>
          </cell>
          <cell r="L3096">
            <v>306</v>
          </cell>
          <cell r="M3096">
            <v>60048234</v>
          </cell>
          <cell r="N3096" t="str">
            <v>22/12/2005</v>
          </cell>
          <cell r="O3096" t="str">
            <v>135A12NSI007</v>
          </cell>
          <cell r="P3096" t="str">
            <v>IN5C22D2S563701</v>
          </cell>
        </row>
        <row r="3097">
          <cell r="A3097">
            <v>60067277</v>
          </cell>
          <cell r="B3097">
            <v>3095</v>
          </cell>
          <cell r="C3097" t="str">
            <v>CS01/10</v>
          </cell>
          <cell r="D3097" t="str">
            <v>SPHC P/O</v>
          </cell>
          <cell r="E3097" t="str">
            <v>CA1</v>
          </cell>
          <cell r="F3097">
            <v>3.6</v>
          </cell>
          <cell r="G3097">
            <v>275</v>
          </cell>
          <cell r="H3097" t="str">
            <v>C</v>
          </cell>
          <cell r="I3097" t="str">
            <v>A</v>
          </cell>
          <cell r="J3097" t="str">
            <v>STORE</v>
          </cell>
          <cell r="K3097">
            <v>1</v>
          </cell>
          <cell r="L3097">
            <v>1998</v>
          </cell>
          <cell r="M3097">
            <v>60067277</v>
          </cell>
          <cell r="N3097" t="str">
            <v>31/8/2006</v>
          </cell>
          <cell r="O3097" t="str">
            <v>136821PCI002</v>
          </cell>
          <cell r="P3097" t="str">
            <v>FN6831D2S337601</v>
          </cell>
        </row>
        <row r="3098">
          <cell r="A3098">
            <v>60061808</v>
          </cell>
          <cell r="B3098">
            <v>3096</v>
          </cell>
          <cell r="C3098" t="str">
            <v>CS01/10</v>
          </cell>
          <cell r="D3098" t="str">
            <v xml:space="preserve">SAPH440 P/O </v>
          </cell>
          <cell r="E3098" t="str">
            <v>CA5</v>
          </cell>
          <cell r="F3098">
            <v>4.5</v>
          </cell>
          <cell r="G3098">
            <v>60</v>
          </cell>
          <cell r="H3098" t="str">
            <v>C</v>
          </cell>
          <cell r="I3098" t="str">
            <v>A</v>
          </cell>
          <cell r="J3098" t="str">
            <v>STORE</v>
          </cell>
          <cell r="K3098">
            <v>1</v>
          </cell>
          <cell r="L3098">
            <v>206</v>
          </cell>
          <cell r="M3098">
            <v>60061808</v>
          </cell>
          <cell r="N3098" t="str">
            <v>18/6/2006</v>
          </cell>
          <cell r="O3098" t="str">
            <v>136420PCI027</v>
          </cell>
          <cell r="P3098" t="str">
            <v>IN6618N2S118701</v>
          </cell>
        </row>
        <row r="3099">
          <cell r="A3099">
            <v>60061829</v>
          </cell>
          <cell r="B3099">
            <v>3097</v>
          </cell>
          <cell r="C3099" t="str">
            <v>CS01/10</v>
          </cell>
          <cell r="D3099" t="str">
            <v xml:space="preserve">SAPH440 P/O </v>
          </cell>
          <cell r="E3099" t="str">
            <v>CA5</v>
          </cell>
          <cell r="F3099">
            <v>4.5</v>
          </cell>
          <cell r="G3099">
            <v>60</v>
          </cell>
          <cell r="H3099" t="str">
            <v>C</v>
          </cell>
          <cell r="I3099" t="str">
            <v>A</v>
          </cell>
          <cell r="J3099" t="str">
            <v>STORE</v>
          </cell>
          <cell r="K3099">
            <v>1</v>
          </cell>
          <cell r="L3099">
            <v>234</v>
          </cell>
          <cell r="M3099">
            <v>60061829</v>
          </cell>
          <cell r="N3099" t="str">
            <v>18/6/2006</v>
          </cell>
          <cell r="O3099" t="str">
            <v>136420PCI027</v>
          </cell>
          <cell r="P3099" t="str">
            <v>IN6618N2S118702</v>
          </cell>
        </row>
        <row r="3100">
          <cell r="A3100">
            <v>60061836</v>
          </cell>
          <cell r="B3100">
            <v>3098</v>
          </cell>
          <cell r="C3100" t="str">
            <v>CS01/10</v>
          </cell>
          <cell r="D3100" t="str">
            <v xml:space="preserve">SAPH440 P/O </v>
          </cell>
          <cell r="E3100" t="str">
            <v>CA5</v>
          </cell>
          <cell r="F3100">
            <v>4.5</v>
          </cell>
          <cell r="G3100">
            <v>60</v>
          </cell>
          <cell r="H3100" t="str">
            <v>C</v>
          </cell>
          <cell r="I3100" t="str">
            <v>A</v>
          </cell>
          <cell r="J3100" t="str">
            <v>STORE</v>
          </cell>
          <cell r="K3100">
            <v>1</v>
          </cell>
          <cell r="L3100">
            <v>198</v>
          </cell>
          <cell r="M3100">
            <v>60061836</v>
          </cell>
          <cell r="N3100" t="str">
            <v>18/6/2006</v>
          </cell>
          <cell r="O3100" t="str">
            <v>136420PCI028</v>
          </cell>
          <cell r="P3100" t="str">
            <v>IN6618N2S118703</v>
          </cell>
        </row>
        <row r="3101">
          <cell r="A3101">
            <v>60061843</v>
          </cell>
          <cell r="B3101">
            <v>3099</v>
          </cell>
          <cell r="C3101" t="str">
            <v>CS01/10</v>
          </cell>
          <cell r="D3101" t="str">
            <v xml:space="preserve">SAPH440 P/O </v>
          </cell>
          <cell r="E3101" t="str">
            <v>CA5</v>
          </cell>
          <cell r="F3101">
            <v>4.5</v>
          </cell>
          <cell r="G3101">
            <v>60</v>
          </cell>
          <cell r="H3101" t="str">
            <v>C</v>
          </cell>
          <cell r="I3101" t="str">
            <v>A</v>
          </cell>
          <cell r="J3101" t="str">
            <v>STORE</v>
          </cell>
          <cell r="K3101">
            <v>1</v>
          </cell>
          <cell r="L3101">
            <v>246</v>
          </cell>
          <cell r="M3101">
            <v>60061843</v>
          </cell>
          <cell r="N3101" t="str">
            <v>18/6/2006</v>
          </cell>
          <cell r="O3101" t="str">
            <v>136420PCI028</v>
          </cell>
          <cell r="P3101" t="str">
            <v>IN6618N2S118704</v>
          </cell>
        </row>
        <row r="3102">
          <cell r="A3102">
            <v>60050519</v>
          </cell>
          <cell r="B3102">
            <v>3100</v>
          </cell>
          <cell r="C3102" t="str">
            <v>CS01/10</v>
          </cell>
          <cell r="D3102" t="str">
            <v xml:space="preserve">SAPH440 P/O </v>
          </cell>
          <cell r="E3102" t="str">
            <v>CA5</v>
          </cell>
          <cell r="F3102">
            <v>4.5</v>
          </cell>
          <cell r="G3102">
            <v>175</v>
          </cell>
          <cell r="H3102" t="str">
            <v>C</v>
          </cell>
          <cell r="I3102" t="str">
            <v>A</v>
          </cell>
          <cell r="J3102" t="str">
            <v>STORE</v>
          </cell>
          <cell r="K3102">
            <v>1</v>
          </cell>
          <cell r="L3102">
            <v>790</v>
          </cell>
          <cell r="M3102">
            <v>60050519</v>
          </cell>
          <cell r="N3102" t="str">
            <v>27/1/2006</v>
          </cell>
          <cell r="O3102" t="str">
            <v>135513SHD001</v>
          </cell>
          <cell r="P3102" t="str">
            <v>FN6127D2S685101</v>
          </cell>
        </row>
        <row r="3103">
          <cell r="A3103">
            <v>60051161</v>
          </cell>
          <cell r="B3103">
            <v>3101</v>
          </cell>
          <cell r="C3103" t="str">
            <v>CS01/10</v>
          </cell>
          <cell r="D3103" t="str">
            <v xml:space="preserve">SAPH440 P/O </v>
          </cell>
          <cell r="E3103" t="str">
            <v>CA5</v>
          </cell>
          <cell r="F3103">
            <v>6</v>
          </cell>
          <cell r="G3103">
            <v>53</v>
          </cell>
          <cell r="H3103" t="str">
            <v>C</v>
          </cell>
          <cell r="I3103" t="str">
            <v>A</v>
          </cell>
          <cell r="J3103" t="str">
            <v>STORE</v>
          </cell>
          <cell r="K3103">
            <v>1</v>
          </cell>
          <cell r="L3103">
            <v>316</v>
          </cell>
          <cell r="M3103">
            <v>60051161</v>
          </cell>
          <cell r="N3103">
            <v>38962</v>
          </cell>
          <cell r="O3103" t="str">
            <v>136202JFI001</v>
          </cell>
          <cell r="P3103" t="str">
            <v>IN6209N2S720601</v>
          </cell>
        </row>
        <row r="3104">
          <cell r="A3104">
            <v>60045915</v>
          </cell>
          <cell r="B3104">
            <v>3102</v>
          </cell>
          <cell r="C3104" t="str">
            <v>CS01/10</v>
          </cell>
          <cell r="D3104" t="str">
            <v xml:space="preserve">SAPH440 P/O </v>
          </cell>
          <cell r="E3104" t="str">
            <v>CA5</v>
          </cell>
          <cell r="F3104">
            <v>6</v>
          </cell>
          <cell r="G3104">
            <v>94</v>
          </cell>
          <cell r="H3104" t="str">
            <v>C</v>
          </cell>
          <cell r="I3104" t="str">
            <v>A</v>
          </cell>
          <cell r="J3104" t="str">
            <v>STORE</v>
          </cell>
          <cell r="K3104">
            <v>1</v>
          </cell>
          <cell r="L3104">
            <v>528</v>
          </cell>
          <cell r="M3104">
            <v>60045915</v>
          </cell>
          <cell r="N3104" t="str">
            <v>25/11/2005</v>
          </cell>
          <cell r="O3104" t="str">
            <v>135B12JFI001</v>
          </cell>
          <cell r="P3104" t="str">
            <v>IN5B25D2S496701</v>
          </cell>
        </row>
        <row r="3105">
          <cell r="A3105">
            <v>60050783</v>
          </cell>
          <cell r="B3105">
            <v>3103</v>
          </cell>
          <cell r="C3105" t="str">
            <v>CS01/10</v>
          </cell>
          <cell r="D3105" t="str">
            <v>EG SECC</v>
          </cell>
          <cell r="E3105" t="str">
            <v>AI1</v>
          </cell>
          <cell r="F3105">
            <v>1.4</v>
          </cell>
          <cell r="G3105">
            <v>61</v>
          </cell>
          <cell r="H3105" t="str">
            <v>C</v>
          </cell>
          <cell r="I3105" t="str">
            <v>A</v>
          </cell>
          <cell r="J3105" t="str">
            <v>STORE</v>
          </cell>
          <cell r="K3105">
            <v>1</v>
          </cell>
          <cell r="L3105">
            <v>182</v>
          </cell>
          <cell r="M3105">
            <v>60050783</v>
          </cell>
          <cell r="N3105">
            <v>38719</v>
          </cell>
          <cell r="O3105" t="str">
            <v>145211SHD001</v>
          </cell>
          <cell r="P3105" t="str">
            <v>IN6201N1S699901</v>
          </cell>
        </row>
        <row r="3106">
          <cell r="A3106">
            <v>60055896</v>
          </cell>
          <cell r="B3106">
            <v>3104</v>
          </cell>
          <cell r="C3106" t="str">
            <v>CS01/10</v>
          </cell>
          <cell r="D3106" t="str">
            <v>SPCEN-SD</v>
          </cell>
          <cell r="E3106" t="str">
            <v>AF3</v>
          </cell>
          <cell r="F3106">
            <v>0.9</v>
          </cell>
          <cell r="G3106">
            <v>65</v>
          </cell>
          <cell r="H3106" t="str">
            <v>C</v>
          </cell>
          <cell r="I3106" t="str">
            <v>A</v>
          </cell>
          <cell r="J3106" t="str">
            <v>STORE</v>
          </cell>
          <cell r="K3106">
            <v>1</v>
          </cell>
          <cell r="L3106">
            <v>160</v>
          </cell>
          <cell r="M3106">
            <v>60055896</v>
          </cell>
          <cell r="N3106" t="str">
            <v>30/3/2006</v>
          </cell>
          <cell r="O3106" t="str">
            <v>125C20SUD013</v>
          </cell>
          <cell r="P3106" t="str">
            <v>IN6330N1S901801</v>
          </cell>
        </row>
        <row r="3107">
          <cell r="A3107">
            <v>60051970</v>
          </cell>
          <cell r="B3107">
            <v>3105</v>
          </cell>
          <cell r="C3107" t="str">
            <v>CS01/10</v>
          </cell>
          <cell r="D3107" t="str">
            <v>SPCEN-SD</v>
          </cell>
          <cell r="E3107" t="str">
            <v>AF3</v>
          </cell>
          <cell r="F3107">
            <v>0.9</v>
          </cell>
          <cell r="G3107">
            <v>100</v>
          </cell>
          <cell r="H3107" t="str">
            <v>C</v>
          </cell>
          <cell r="I3107" t="str">
            <v>A</v>
          </cell>
          <cell r="J3107" t="str">
            <v>STORE</v>
          </cell>
          <cell r="K3107">
            <v>1</v>
          </cell>
          <cell r="L3107">
            <v>206</v>
          </cell>
          <cell r="M3107">
            <v>60051970</v>
          </cell>
          <cell r="N3107" t="str">
            <v>18/2/2006</v>
          </cell>
          <cell r="O3107" t="str">
            <v>125C28SUD015</v>
          </cell>
          <cell r="P3107" t="str">
            <v>IN6218N1S747801</v>
          </cell>
        </row>
        <row r="3108">
          <cell r="A3108">
            <v>60051971</v>
          </cell>
          <cell r="B3108">
            <v>3106</v>
          </cell>
          <cell r="C3108" t="str">
            <v>CS01/10</v>
          </cell>
          <cell r="D3108" t="str">
            <v>SPCEN-SD</v>
          </cell>
          <cell r="E3108" t="str">
            <v>AF3</v>
          </cell>
          <cell r="F3108">
            <v>0.9</v>
          </cell>
          <cell r="G3108">
            <v>100</v>
          </cell>
          <cell r="H3108" t="str">
            <v>C</v>
          </cell>
          <cell r="I3108" t="str">
            <v>A</v>
          </cell>
          <cell r="J3108" t="str">
            <v>STORE</v>
          </cell>
          <cell r="K3108">
            <v>1</v>
          </cell>
          <cell r="L3108">
            <v>206</v>
          </cell>
          <cell r="M3108">
            <v>60051971</v>
          </cell>
          <cell r="N3108" t="str">
            <v>18/2/2006</v>
          </cell>
          <cell r="O3108" t="str">
            <v>125C28SUD015</v>
          </cell>
          <cell r="P3108" t="str">
            <v>IN6218N1S747802</v>
          </cell>
        </row>
        <row r="3109">
          <cell r="A3109">
            <v>60051972</v>
          </cell>
          <cell r="B3109">
            <v>3107</v>
          </cell>
          <cell r="C3109" t="str">
            <v>CS01/10</v>
          </cell>
          <cell r="D3109" t="str">
            <v>SPCEN-SD</v>
          </cell>
          <cell r="E3109" t="str">
            <v>AF3</v>
          </cell>
          <cell r="F3109">
            <v>0.9</v>
          </cell>
          <cell r="G3109">
            <v>100</v>
          </cell>
          <cell r="H3109" t="str">
            <v>C</v>
          </cell>
          <cell r="I3109" t="str">
            <v>A</v>
          </cell>
          <cell r="J3109" t="str">
            <v>STORE</v>
          </cell>
          <cell r="K3109">
            <v>1</v>
          </cell>
          <cell r="L3109">
            <v>206</v>
          </cell>
          <cell r="M3109">
            <v>60051972</v>
          </cell>
          <cell r="N3109" t="str">
            <v>18/2/2006</v>
          </cell>
          <cell r="O3109" t="str">
            <v>125C28SUD015</v>
          </cell>
          <cell r="P3109" t="str">
            <v>IN6218N1S747803</v>
          </cell>
        </row>
        <row r="3110">
          <cell r="A3110">
            <v>60051308</v>
          </cell>
          <cell r="B3110">
            <v>3108</v>
          </cell>
          <cell r="C3110" t="str">
            <v>CS01/10</v>
          </cell>
          <cell r="D3110" t="str">
            <v>SPCEN-SD</v>
          </cell>
          <cell r="E3110" t="str">
            <v>AF3</v>
          </cell>
          <cell r="F3110">
            <v>0.9</v>
          </cell>
          <cell r="G3110">
            <v>148</v>
          </cell>
          <cell r="H3110" t="str">
            <v>C</v>
          </cell>
          <cell r="I3110" t="str">
            <v>A</v>
          </cell>
          <cell r="J3110" t="str">
            <v>STORE</v>
          </cell>
          <cell r="K3110">
            <v>1</v>
          </cell>
          <cell r="L3110">
            <v>364</v>
          </cell>
          <cell r="M3110">
            <v>60051308</v>
          </cell>
          <cell r="N3110">
            <v>39023</v>
          </cell>
          <cell r="O3110" t="str">
            <v>125C28SUD016</v>
          </cell>
          <cell r="P3110" t="str">
            <v>IN6211N1S729801</v>
          </cell>
        </row>
        <row r="3111">
          <cell r="A3111">
            <v>60051342</v>
          </cell>
          <cell r="B3111">
            <v>3109</v>
          </cell>
          <cell r="C3111" t="str">
            <v>CS01/10</v>
          </cell>
          <cell r="D3111" t="str">
            <v>SPCEN-SD</v>
          </cell>
          <cell r="E3111" t="str">
            <v>AF3</v>
          </cell>
          <cell r="F3111">
            <v>0.9</v>
          </cell>
          <cell r="G3111">
            <v>148</v>
          </cell>
          <cell r="H3111" t="str">
            <v>C</v>
          </cell>
          <cell r="I3111" t="str">
            <v>A</v>
          </cell>
          <cell r="J3111" t="str">
            <v>STORE</v>
          </cell>
          <cell r="K3111">
            <v>1</v>
          </cell>
          <cell r="L3111">
            <v>462</v>
          </cell>
          <cell r="M3111">
            <v>60051342</v>
          </cell>
          <cell r="N3111" t="str">
            <v>14/2/2006</v>
          </cell>
          <cell r="O3111" t="str">
            <v>125B16SUD017</v>
          </cell>
          <cell r="P3111" t="str">
            <v>IN6214D1S736001</v>
          </cell>
        </row>
        <row r="3112">
          <cell r="A3112">
            <v>60055908</v>
          </cell>
          <cell r="B3112">
            <v>3110</v>
          </cell>
          <cell r="C3112" t="str">
            <v>CS01/10</v>
          </cell>
          <cell r="D3112" t="str">
            <v>SPCEN-SD</v>
          </cell>
          <cell r="E3112" t="str">
            <v>AF3</v>
          </cell>
          <cell r="F3112">
            <v>0.9</v>
          </cell>
          <cell r="G3112">
            <v>150</v>
          </cell>
          <cell r="H3112" t="str">
            <v>C</v>
          </cell>
          <cell r="I3112" t="str">
            <v>A</v>
          </cell>
          <cell r="J3112" t="str">
            <v>STORE</v>
          </cell>
          <cell r="K3112">
            <v>1</v>
          </cell>
          <cell r="L3112">
            <v>200</v>
          </cell>
          <cell r="M3112">
            <v>60055908</v>
          </cell>
          <cell r="N3112" t="str">
            <v>31/3/2006</v>
          </cell>
          <cell r="O3112" t="str">
            <v>125C28SUD018</v>
          </cell>
          <cell r="P3112" t="str">
            <v>IN6331N1S901801</v>
          </cell>
        </row>
        <row r="3113">
          <cell r="A3113">
            <v>60062112</v>
          </cell>
          <cell r="B3113">
            <v>3111</v>
          </cell>
          <cell r="C3113" t="str">
            <v>CS01/10</v>
          </cell>
          <cell r="D3113" t="str">
            <v>SPCEN-SD</v>
          </cell>
          <cell r="E3113" t="str">
            <v>AF3</v>
          </cell>
          <cell r="F3113">
            <v>0.9</v>
          </cell>
          <cell r="G3113">
            <v>150</v>
          </cell>
          <cell r="H3113" t="str">
            <v>C</v>
          </cell>
          <cell r="I3113" t="str">
            <v>A</v>
          </cell>
          <cell r="J3113" t="str">
            <v>STORE</v>
          </cell>
          <cell r="K3113">
            <v>1</v>
          </cell>
          <cell r="L3113">
            <v>220</v>
          </cell>
          <cell r="M3113">
            <v>60062112</v>
          </cell>
          <cell r="N3113" t="str">
            <v>21/6/2006</v>
          </cell>
          <cell r="O3113" t="str">
            <v>125B16SUD020</v>
          </cell>
          <cell r="P3113" t="str">
            <v>IN6621N1S130501</v>
          </cell>
        </row>
        <row r="3114">
          <cell r="A3114">
            <v>60051579</v>
          </cell>
          <cell r="B3114">
            <v>3112</v>
          </cell>
          <cell r="C3114" t="str">
            <v>CS01/10</v>
          </cell>
          <cell r="D3114" t="str">
            <v>SPCEN-SD</v>
          </cell>
          <cell r="E3114" t="str">
            <v>AF3</v>
          </cell>
          <cell r="F3114">
            <v>1</v>
          </cell>
          <cell r="G3114">
            <v>44</v>
          </cell>
          <cell r="H3114" t="str">
            <v>C</v>
          </cell>
          <cell r="I3114" t="str">
            <v>A</v>
          </cell>
          <cell r="J3114" t="str">
            <v>STORE</v>
          </cell>
          <cell r="K3114">
            <v>1</v>
          </cell>
          <cell r="L3114">
            <v>292</v>
          </cell>
          <cell r="M3114">
            <v>60051579</v>
          </cell>
          <cell r="N3114" t="str">
            <v>16/2/2006</v>
          </cell>
          <cell r="O3114" t="str">
            <v>125C28SUD019</v>
          </cell>
          <cell r="P3114" t="str">
            <v>IN6216D1S749101</v>
          </cell>
        </row>
        <row r="3115">
          <cell r="A3115">
            <v>60051601</v>
          </cell>
          <cell r="B3115">
            <v>3113</v>
          </cell>
          <cell r="C3115" t="str">
            <v>CS01/10</v>
          </cell>
          <cell r="D3115" t="str">
            <v>SPCEN-SD</v>
          </cell>
          <cell r="E3115" t="str">
            <v>AF3</v>
          </cell>
          <cell r="F3115">
            <v>1</v>
          </cell>
          <cell r="G3115">
            <v>44</v>
          </cell>
          <cell r="H3115" t="str">
            <v>C</v>
          </cell>
          <cell r="I3115" t="str">
            <v>A</v>
          </cell>
          <cell r="J3115" t="str">
            <v>STORE</v>
          </cell>
          <cell r="K3115">
            <v>1</v>
          </cell>
          <cell r="L3115">
            <v>288</v>
          </cell>
          <cell r="M3115">
            <v>60051601</v>
          </cell>
          <cell r="N3115" t="str">
            <v>17/2/2006</v>
          </cell>
          <cell r="O3115" t="str">
            <v>125C28SUD020</v>
          </cell>
          <cell r="P3115" t="str">
            <v>IN6217N1S749102</v>
          </cell>
        </row>
        <row r="3116">
          <cell r="A3116">
            <v>60040619</v>
          </cell>
          <cell r="B3116">
            <v>3114</v>
          </cell>
          <cell r="C3116" t="str">
            <v>CS01/10</v>
          </cell>
          <cell r="D3116" t="str">
            <v>SPCEN-SD</v>
          </cell>
          <cell r="E3116" t="str">
            <v>AF3</v>
          </cell>
          <cell r="F3116">
            <v>1</v>
          </cell>
          <cell r="G3116">
            <v>90</v>
          </cell>
          <cell r="H3116" t="str">
            <v>C</v>
          </cell>
          <cell r="I3116" t="str">
            <v>A</v>
          </cell>
          <cell r="J3116" t="str">
            <v>STORE</v>
          </cell>
          <cell r="K3116">
            <v>1</v>
          </cell>
          <cell r="L3116">
            <v>152</v>
          </cell>
          <cell r="M3116">
            <v>60040619</v>
          </cell>
          <cell r="N3116" t="str">
            <v>14/9/2005</v>
          </cell>
          <cell r="O3116" t="str">
            <v>125728SUD022</v>
          </cell>
          <cell r="P3116" t="str">
            <v>IN5914D1S287001</v>
          </cell>
        </row>
        <row r="3117">
          <cell r="A3117">
            <v>60058291</v>
          </cell>
          <cell r="B3117">
            <v>3115</v>
          </cell>
          <cell r="C3117" t="str">
            <v>CS01/10</v>
          </cell>
          <cell r="D3117" t="str">
            <v>SPCEN-SD</v>
          </cell>
          <cell r="E3117" t="str">
            <v>AF3</v>
          </cell>
          <cell r="F3117">
            <v>1</v>
          </cell>
          <cell r="G3117">
            <v>235</v>
          </cell>
          <cell r="H3117" t="str">
            <v>C</v>
          </cell>
          <cell r="I3117" t="str">
            <v>A</v>
          </cell>
          <cell r="J3117" t="str">
            <v>STORE</v>
          </cell>
          <cell r="K3117">
            <v>1</v>
          </cell>
          <cell r="L3117">
            <v>485</v>
          </cell>
          <cell r="M3117">
            <v>60058291</v>
          </cell>
          <cell r="N3117">
            <v>38812</v>
          </cell>
          <cell r="O3117" t="str">
            <v>125121SUD003</v>
          </cell>
          <cell r="P3117" t="str">
            <v>IN6504N1S987901</v>
          </cell>
        </row>
        <row r="3118">
          <cell r="A3118">
            <v>60060109</v>
          </cell>
          <cell r="B3118">
            <v>3116</v>
          </cell>
          <cell r="C3118" t="str">
            <v>CS01/10</v>
          </cell>
          <cell r="D3118" t="str">
            <v>SPCEN-SD</v>
          </cell>
          <cell r="E3118" t="str">
            <v>AF3</v>
          </cell>
          <cell r="F3118">
            <v>1.2</v>
          </cell>
          <cell r="G3118">
            <v>183</v>
          </cell>
          <cell r="H3118" t="str">
            <v>C</v>
          </cell>
          <cell r="I3118" t="str">
            <v>A</v>
          </cell>
          <cell r="J3118" t="str">
            <v>STORE</v>
          </cell>
          <cell r="K3118">
            <v>1</v>
          </cell>
          <cell r="L3118">
            <v>698</v>
          </cell>
          <cell r="M3118">
            <v>60060109</v>
          </cell>
          <cell r="N3118" t="str">
            <v>26/5/2006</v>
          </cell>
          <cell r="O3118" t="str">
            <v>126104TCD030</v>
          </cell>
          <cell r="P3118" t="str">
            <v>IN6526N2S042801</v>
          </cell>
        </row>
        <row r="3119">
          <cell r="A3119">
            <v>60052918</v>
          </cell>
          <cell r="B3119">
            <v>3117</v>
          </cell>
          <cell r="C3119" t="str">
            <v>CS01/10</v>
          </cell>
          <cell r="D3119" t="str">
            <v>SPHC P/O</v>
          </cell>
          <cell r="E3119" t="str">
            <v>CA1</v>
          </cell>
          <cell r="F3119">
            <v>1.4</v>
          </cell>
          <cell r="G3119">
            <v>69</v>
          </cell>
          <cell r="H3119" t="str">
            <v>C</v>
          </cell>
          <cell r="I3119" t="str">
            <v>A</v>
          </cell>
          <cell r="J3119" t="str">
            <v>STORE</v>
          </cell>
          <cell r="K3119">
            <v>1</v>
          </cell>
          <cell r="L3119">
            <v>147</v>
          </cell>
          <cell r="M3119">
            <v>60052918</v>
          </cell>
          <cell r="N3119" t="str">
            <v>28/2/2006</v>
          </cell>
          <cell r="O3119" t="str">
            <v>135C19PCI001</v>
          </cell>
          <cell r="P3119" t="str">
            <v>IN6228D1S783201</v>
          </cell>
        </row>
        <row r="3120">
          <cell r="A3120">
            <v>60034418</v>
          </cell>
          <cell r="B3120">
            <v>3118</v>
          </cell>
          <cell r="C3120" t="str">
            <v>CS01/10</v>
          </cell>
          <cell r="D3120" t="str">
            <v>SPHC P/O</v>
          </cell>
          <cell r="E3120" t="str">
            <v>CA1</v>
          </cell>
          <cell r="F3120">
            <v>1.4</v>
          </cell>
          <cell r="G3120">
            <v>58.07</v>
          </cell>
          <cell r="H3120" t="str">
            <v>C</v>
          </cell>
          <cell r="I3120" t="str">
            <v>A</v>
          </cell>
          <cell r="J3120" t="str">
            <v>STORE</v>
          </cell>
          <cell r="K3120">
            <v>1</v>
          </cell>
          <cell r="L3120">
            <v>96</v>
          </cell>
          <cell r="M3120">
            <v>60034418</v>
          </cell>
          <cell r="N3120" t="str">
            <v>21/5/2005</v>
          </cell>
          <cell r="O3120" t="str">
            <v>134826SHD001</v>
          </cell>
          <cell r="P3120" t="str">
            <v>IN5521N1S983201</v>
          </cell>
        </row>
        <row r="3121">
          <cell r="A3121">
            <v>60034419</v>
          </cell>
          <cell r="B3121">
            <v>3119</v>
          </cell>
          <cell r="C3121" t="str">
            <v>CS01/10</v>
          </cell>
          <cell r="D3121" t="str">
            <v>SPHC P/O</v>
          </cell>
          <cell r="E3121" t="str">
            <v>CA1</v>
          </cell>
          <cell r="F3121">
            <v>1.4</v>
          </cell>
          <cell r="G3121">
            <v>58.07</v>
          </cell>
          <cell r="H3121" t="str">
            <v>C</v>
          </cell>
          <cell r="I3121" t="str">
            <v>A</v>
          </cell>
          <cell r="J3121" t="str">
            <v>STORE</v>
          </cell>
          <cell r="K3121">
            <v>1</v>
          </cell>
          <cell r="L3121">
            <v>96</v>
          </cell>
          <cell r="M3121">
            <v>60034419</v>
          </cell>
          <cell r="N3121" t="str">
            <v>21/5/2005</v>
          </cell>
          <cell r="O3121" t="str">
            <v>134826SHD001</v>
          </cell>
          <cell r="P3121" t="str">
            <v>IN5521N1S983202</v>
          </cell>
        </row>
        <row r="3122">
          <cell r="A3122">
            <v>60050716</v>
          </cell>
          <cell r="B3122">
            <v>3120</v>
          </cell>
          <cell r="C3122" t="str">
            <v>CS01/10</v>
          </cell>
          <cell r="D3122" t="str">
            <v>SPHC P/O</v>
          </cell>
          <cell r="E3122" t="str">
            <v>CA1</v>
          </cell>
          <cell r="F3122">
            <v>1.6</v>
          </cell>
          <cell r="G3122">
            <v>30</v>
          </cell>
          <cell r="H3122" t="str">
            <v>C</v>
          </cell>
          <cell r="I3122" t="str">
            <v>A</v>
          </cell>
          <cell r="J3122" t="str">
            <v>STORE</v>
          </cell>
          <cell r="K3122">
            <v>1</v>
          </cell>
          <cell r="L3122">
            <v>44</v>
          </cell>
          <cell r="M3122">
            <v>60050716</v>
          </cell>
          <cell r="N3122" t="str">
            <v>31/1/2006</v>
          </cell>
          <cell r="O3122" t="str">
            <v>136107CSI001</v>
          </cell>
          <cell r="P3122" t="str">
            <v>IN6131N1S696601</v>
          </cell>
        </row>
        <row r="3123">
          <cell r="A3123">
            <v>60049288</v>
          </cell>
          <cell r="B3123">
            <v>3121</v>
          </cell>
          <cell r="C3123" t="str">
            <v>CS01/10</v>
          </cell>
          <cell r="D3123" t="str">
            <v>SPHC P/O</v>
          </cell>
          <cell r="E3123" t="str">
            <v>CA1</v>
          </cell>
          <cell r="F3123">
            <v>2</v>
          </cell>
          <cell r="G3123">
            <v>30</v>
          </cell>
          <cell r="H3123" t="str">
            <v>C</v>
          </cell>
          <cell r="I3123" t="str">
            <v>A</v>
          </cell>
          <cell r="J3123" t="str">
            <v>STORE</v>
          </cell>
          <cell r="K3123">
            <v>1</v>
          </cell>
          <cell r="L3123">
            <v>60</v>
          </cell>
          <cell r="M3123">
            <v>60049288</v>
          </cell>
          <cell r="N3123">
            <v>38991</v>
          </cell>
          <cell r="O3123" t="str">
            <v>135226SHD012</v>
          </cell>
          <cell r="P3123" t="str">
            <v>IN6110D1S611001</v>
          </cell>
        </row>
        <row r="3124">
          <cell r="A3124">
            <v>60064490</v>
          </cell>
          <cell r="B3124">
            <v>3122</v>
          </cell>
          <cell r="C3124" t="str">
            <v>CS01/10</v>
          </cell>
          <cell r="D3124" t="str">
            <v>SPHC P/O</v>
          </cell>
          <cell r="E3124" t="str">
            <v>CA1</v>
          </cell>
          <cell r="F3124">
            <v>2</v>
          </cell>
          <cell r="G3124">
            <v>275</v>
          </cell>
          <cell r="H3124" t="str">
            <v>C</v>
          </cell>
          <cell r="I3124" t="str">
            <v>A</v>
          </cell>
          <cell r="J3124" t="str">
            <v>STORE</v>
          </cell>
          <cell r="K3124">
            <v>1</v>
          </cell>
          <cell r="L3124">
            <v>804</v>
          </cell>
          <cell r="M3124">
            <v>60064490</v>
          </cell>
          <cell r="N3124" t="str">
            <v>28/7/2006</v>
          </cell>
          <cell r="O3124" t="str">
            <v>136710PCI062</v>
          </cell>
          <cell r="P3124" t="str">
            <v>IN6728N1S250401</v>
          </cell>
        </row>
        <row r="3125">
          <cell r="A3125">
            <v>60064491</v>
          </cell>
          <cell r="B3125">
            <v>3123</v>
          </cell>
          <cell r="C3125" t="str">
            <v>CS01/10</v>
          </cell>
          <cell r="D3125" t="str">
            <v>SPHC P/O</v>
          </cell>
          <cell r="E3125" t="str">
            <v>CA1</v>
          </cell>
          <cell r="F3125">
            <v>2</v>
          </cell>
          <cell r="G3125">
            <v>275</v>
          </cell>
          <cell r="H3125" t="str">
            <v>C</v>
          </cell>
          <cell r="I3125" t="str">
            <v>A</v>
          </cell>
          <cell r="J3125" t="str">
            <v>STORE</v>
          </cell>
          <cell r="K3125">
            <v>1</v>
          </cell>
          <cell r="L3125">
            <v>804</v>
          </cell>
          <cell r="M3125">
            <v>60064491</v>
          </cell>
          <cell r="N3125" t="str">
            <v>28/7/2006</v>
          </cell>
          <cell r="O3125" t="str">
            <v>136710PCI062</v>
          </cell>
          <cell r="P3125" t="str">
            <v>IN6728N1S250402</v>
          </cell>
        </row>
        <row r="3126">
          <cell r="A3126">
            <v>60063405</v>
          </cell>
          <cell r="B3126">
            <v>3124</v>
          </cell>
          <cell r="C3126" t="str">
            <v>CS01/10</v>
          </cell>
          <cell r="D3126" t="str">
            <v>SPHC P/O</v>
          </cell>
          <cell r="E3126" t="str">
            <v>CA1</v>
          </cell>
          <cell r="F3126">
            <v>2.2999999999999998</v>
          </cell>
          <cell r="G3126">
            <v>42</v>
          </cell>
          <cell r="H3126" t="str">
            <v>C</v>
          </cell>
          <cell r="I3126" t="str">
            <v>A</v>
          </cell>
          <cell r="J3126" t="str">
            <v>STORE</v>
          </cell>
          <cell r="K3126">
            <v>1</v>
          </cell>
          <cell r="L3126">
            <v>142</v>
          </cell>
          <cell r="M3126">
            <v>60063405</v>
          </cell>
          <cell r="N3126">
            <v>39058</v>
          </cell>
          <cell r="O3126" t="str">
            <v>136701MGI001</v>
          </cell>
          <cell r="P3126" t="str">
            <v>FN6712D2S187501</v>
          </cell>
        </row>
        <row r="3127">
          <cell r="A3127">
            <v>60053528</v>
          </cell>
          <cell r="B3127">
            <v>3125</v>
          </cell>
          <cell r="C3127" t="str">
            <v>CS01/10</v>
          </cell>
          <cell r="D3127" t="str">
            <v>SPHC P/O</v>
          </cell>
          <cell r="E3127" t="str">
            <v>CA1</v>
          </cell>
          <cell r="F3127">
            <v>2.2999999999999998</v>
          </cell>
          <cell r="G3127">
            <v>72</v>
          </cell>
          <cell r="H3127" t="str">
            <v>C</v>
          </cell>
          <cell r="I3127" t="str">
            <v>A</v>
          </cell>
          <cell r="J3127" t="str">
            <v>STORE</v>
          </cell>
          <cell r="K3127">
            <v>1</v>
          </cell>
          <cell r="L3127">
            <v>122</v>
          </cell>
          <cell r="M3127">
            <v>60053528</v>
          </cell>
          <cell r="N3127">
            <v>38901</v>
          </cell>
          <cell r="O3127" t="str">
            <v>136215JFI002</v>
          </cell>
          <cell r="P3127" t="str">
            <v>IN6307D2S792701</v>
          </cell>
        </row>
        <row r="3128">
          <cell r="A3128">
            <v>60042241</v>
          </cell>
          <cell r="B3128">
            <v>3126</v>
          </cell>
          <cell r="C3128" t="str">
            <v>CS01/12</v>
          </cell>
          <cell r="D3128" t="str">
            <v>SPCEN-SD</v>
          </cell>
          <cell r="E3128" t="str">
            <v>AF3</v>
          </cell>
          <cell r="F3128">
            <v>1</v>
          </cell>
          <cell r="G3128">
            <v>75</v>
          </cell>
          <cell r="H3128" t="str">
            <v>C</v>
          </cell>
          <cell r="I3128" t="str">
            <v>A</v>
          </cell>
          <cell r="J3128" t="str">
            <v>STORE</v>
          </cell>
          <cell r="K3128">
            <v>1</v>
          </cell>
          <cell r="L3128">
            <v>537</v>
          </cell>
          <cell r="M3128">
            <v>60042241</v>
          </cell>
          <cell r="N3128" t="str">
            <v>13/10/2005</v>
          </cell>
          <cell r="P3128" t="str">
            <v>IN5A13D1S353001</v>
          </cell>
        </row>
        <row r="3129">
          <cell r="A3129">
            <v>60042242</v>
          </cell>
          <cell r="B3129">
            <v>3127</v>
          </cell>
          <cell r="C3129" t="str">
            <v>CS01/12</v>
          </cell>
          <cell r="D3129" t="str">
            <v>SPCEN-SD</v>
          </cell>
          <cell r="E3129" t="str">
            <v>AF3</v>
          </cell>
          <cell r="F3129">
            <v>1</v>
          </cell>
          <cell r="G3129">
            <v>75</v>
          </cell>
          <cell r="H3129" t="str">
            <v>C</v>
          </cell>
          <cell r="I3129" t="str">
            <v>A</v>
          </cell>
          <cell r="J3129" t="str">
            <v>STORE</v>
          </cell>
          <cell r="K3129">
            <v>1</v>
          </cell>
          <cell r="L3129">
            <v>575</v>
          </cell>
          <cell r="M3129">
            <v>60042242</v>
          </cell>
          <cell r="N3129" t="str">
            <v>13/10/2005</v>
          </cell>
          <cell r="P3129" t="str">
            <v>IN5A13D1S353002</v>
          </cell>
        </row>
        <row r="3130">
          <cell r="A3130">
            <v>60042243</v>
          </cell>
          <cell r="B3130">
            <v>3128</v>
          </cell>
          <cell r="C3130" t="str">
            <v>CS01/12</v>
          </cell>
          <cell r="D3130" t="str">
            <v>SPCEN-SD</v>
          </cell>
          <cell r="E3130" t="str">
            <v>AF3</v>
          </cell>
          <cell r="F3130">
            <v>1</v>
          </cell>
          <cell r="G3130">
            <v>75</v>
          </cell>
          <cell r="H3130" t="str">
            <v>C</v>
          </cell>
          <cell r="I3130" t="str">
            <v>A</v>
          </cell>
          <cell r="J3130" t="str">
            <v>STORE</v>
          </cell>
          <cell r="K3130">
            <v>1</v>
          </cell>
          <cell r="L3130">
            <v>559</v>
          </cell>
          <cell r="M3130">
            <v>60042243</v>
          </cell>
          <cell r="N3130" t="str">
            <v>13/10/2005</v>
          </cell>
          <cell r="P3130" t="str">
            <v>IN5A13D1S353003</v>
          </cell>
        </row>
        <row r="3131">
          <cell r="A3131">
            <v>60042244</v>
          </cell>
          <cell r="B3131">
            <v>3129</v>
          </cell>
          <cell r="C3131" t="str">
            <v>CS01/12</v>
          </cell>
          <cell r="D3131" t="str">
            <v>SPCEN-SD</v>
          </cell>
          <cell r="E3131" t="str">
            <v>AF3</v>
          </cell>
          <cell r="F3131">
            <v>1</v>
          </cell>
          <cell r="G3131">
            <v>75</v>
          </cell>
          <cell r="H3131" t="str">
            <v>C</v>
          </cell>
          <cell r="I3131" t="str">
            <v>A</v>
          </cell>
          <cell r="J3131" t="str">
            <v>STORE</v>
          </cell>
          <cell r="K3131">
            <v>1</v>
          </cell>
          <cell r="L3131">
            <v>565</v>
          </cell>
          <cell r="M3131">
            <v>60042244</v>
          </cell>
          <cell r="N3131" t="str">
            <v>13/10/2005</v>
          </cell>
          <cell r="P3131" t="str">
            <v>IN5A13D1S353004</v>
          </cell>
        </row>
        <row r="3132">
          <cell r="A3132">
            <v>60057510</v>
          </cell>
          <cell r="B3132">
            <v>3130</v>
          </cell>
          <cell r="C3132" t="str">
            <v>CS01/12</v>
          </cell>
          <cell r="D3132" t="str">
            <v>SPCEN-SD</v>
          </cell>
          <cell r="E3132" t="str">
            <v>AF3</v>
          </cell>
          <cell r="F3132">
            <v>1</v>
          </cell>
          <cell r="G3132">
            <v>82</v>
          </cell>
          <cell r="H3132" t="str">
            <v>C</v>
          </cell>
          <cell r="I3132" t="str">
            <v>A</v>
          </cell>
          <cell r="J3132" t="str">
            <v>STORE</v>
          </cell>
          <cell r="K3132">
            <v>1</v>
          </cell>
          <cell r="L3132">
            <v>148</v>
          </cell>
          <cell r="M3132">
            <v>60057510</v>
          </cell>
          <cell r="N3132" t="str">
            <v>26/4/2006</v>
          </cell>
          <cell r="P3132" t="str">
            <v>IN6426D1S956701</v>
          </cell>
        </row>
        <row r="3133">
          <cell r="A3133">
            <v>60041770</v>
          </cell>
          <cell r="B3133">
            <v>3131</v>
          </cell>
          <cell r="C3133" t="str">
            <v>CS01/12</v>
          </cell>
          <cell r="D3133" t="str">
            <v>SPCEN-SD</v>
          </cell>
          <cell r="E3133" t="str">
            <v>AF3</v>
          </cell>
          <cell r="F3133">
            <v>1</v>
          </cell>
          <cell r="G3133">
            <v>87</v>
          </cell>
          <cell r="H3133" t="str">
            <v>C</v>
          </cell>
          <cell r="I3133" t="str">
            <v>A</v>
          </cell>
          <cell r="J3133" t="str">
            <v>STORE</v>
          </cell>
          <cell r="K3133">
            <v>1</v>
          </cell>
          <cell r="L3133">
            <v>655</v>
          </cell>
          <cell r="M3133">
            <v>60041770</v>
          </cell>
          <cell r="N3133">
            <v>38543</v>
          </cell>
          <cell r="P3133" t="str">
            <v>IN5A07N1S352301</v>
          </cell>
        </row>
        <row r="3134">
          <cell r="A3134">
            <v>60041774</v>
          </cell>
          <cell r="B3134">
            <v>3132</v>
          </cell>
          <cell r="C3134" t="str">
            <v>CS01/12</v>
          </cell>
          <cell r="D3134" t="str">
            <v>SPCEN-SD</v>
          </cell>
          <cell r="E3134" t="str">
            <v>AF3</v>
          </cell>
          <cell r="F3134">
            <v>1</v>
          </cell>
          <cell r="G3134">
            <v>87</v>
          </cell>
          <cell r="H3134" t="str">
            <v>C</v>
          </cell>
          <cell r="I3134" t="str">
            <v>A</v>
          </cell>
          <cell r="J3134" t="str">
            <v>STORE</v>
          </cell>
          <cell r="K3134">
            <v>1</v>
          </cell>
          <cell r="L3134">
            <v>599</v>
          </cell>
          <cell r="M3134">
            <v>60041774</v>
          </cell>
          <cell r="N3134">
            <v>38543</v>
          </cell>
          <cell r="P3134" t="str">
            <v>IN5A07N1S352302</v>
          </cell>
        </row>
        <row r="3135">
          <cell r="A3135">
            <v>60041778</v>
          </cell>
          <cell r="B3135">
            <v>3133</v>
          </cell>
          <cell r="C3135" t="str">
            <v>CS01/12</v>
          </cell>
          <cell r="D3135" t="str">
            <v>SPCEN-SD</v>
          </cell>
          <cell r="E3135" t="str">
            <v>AF3</v>
          </cell>
          <cell r="F3135">
            <v>1</v>
          </cell>
          <cell r="G3135">
            <v>87</v>
          </cell>
          <cell r="H3135" t="str">
            <v>C</v>
          </cell>
          <cell r="I3135" t="str">
            <v>A</v>
          </cell>
          <cell r="J3135" t="str">
            <v>STORE</v>
          </cell>
          <cell r="K3135">
            <v>1</v>
          </cell>
          <cell r="L3135">
            <v>655</v>
          </cell>
          <cell r="M3135">
            <v>60041778</v>
          </cell>
          <cell r="N3135">
            <v>38574</v>
          </cell>
          <cell r="P3135" t="str">
            <v>IN5A08N1S352303</v>
          </cell>
        </row>
        <row r="3136">
          <cell r="A3136">
            <v>60041782</v>
          </cell>
          <cell r="B3136">
            <v>3134</v>
          </cell>
          <cell r="C3136" t="str">
            <v>CS01/12</v>
          </cell>
          <cell r="D3136" t="str">
            <v>SPCEN-SD</v>
          </cell>
          <cell r="E3136" t="str">
            <v>AF3</v>
          </cell>
          <cell r="F3136">
            <v>1</v>
          </cell>
          <cell r="G3136">
            <v>87</v>
          </cell>
          <cell r="H3136" t="str">
            <v>C</v>
          </cell>
          <cell r="I3136" t="str">
            <v>A</v>
          </cell>
          <cell r="J3136" t="str">
            <v>STORE</v>
          </cell>
          <cell r="K3136">
            <v>1</v>
          </cell>
          <cell r="L3136">
            <v>621</v>
          </cell>
          <cell r="M3136">
            <v>60041782</v>
          </cell>
          <cell r="N3136">
            <v>38574</v>
          </cell>
          <cell r="P3136" t="str">
            <v>IN5A08N1S352304</v>
          </cell>
        </row>
        <row r="3137">
          <cell r="A3137">
            <v>60043080</v>
          </cell>
          <cell r="B3137">
            <v>3135</v>
          </cell>
          <cell r="C3137" t="str">
            <v>CS01/12</v>
          </cell>
          <cell r="D3137" t="str">
            <v>SPCEN-SD</v>
          </cell>
          <cell r="E3137" t="str">
            <v>AF3</v>
          </cell>
          <cell r="F3137">
            <v>1</v>
          </cell>
          <cell r="G3137">
            <v>87</v>
          </cell>
          <cell r="H3137" t="str">
            <v>C</v>
          </cell>
          <cell r="I3137" t="str">
            <v>A</v>
          </cell>
          <cell r="J3137" t="str">
            <v>STORE</v>
          </cell>
          <cell r="K3137">
            <v>1</v>
          </cell>
          <cell r="L3137">
            <v>200</v>
          </cell>
          <cell r="M3137">
            <v>60043080</v>
          </cell>
          <cell r="N3137" t="str">
            <v>26/10/2005</v>
          </cell>
          <cell r="P3137" t="str">
            <v>IN5A26N1S408601</v>
          </cell>
        </row>
        <row r="3138">
          <cell r="A3138">
            <v>60057562</v>
          </cell>
          <cell r="B3138">
            <v>3136</v>
          </cell>
          <cell r="C3138" t="str">
            <v>CS01/12</v>
          </cell>
          <cell r="D3138" t="str">
            <v>SPCEN-SD</v>
          </cell>
          <cell r="E3138" t="str">
            <v>AF3</v>
          </cell>
          <cell r="F3138">
            <v>1</v>
          </cell>
          <cell r="G3138">
            <v>106</v>
          </cell>
          <cell r="H3138" t="str">
            <v>C</v>
          </cell>
          <cell r="I3138" t="str">
            <v>A</v>
          </cell>
          <cell r="J3138" t="str">
            <v>STORE</v>
          </cell>
          <cell r="K3138">
            <v>1</v>
          </cell>
          <cell r="L3138">
            <v>509</v>
          </cell>
          <cell r="M3138">
            <v>60057562</v>
          </cell>
          <cell r="N3138" t="str">
            <v>27/4/2006</v>
          </cell>
          <cell r="P3138" t="str">
            <v>IN6427N1S967501</v>
          </cell>
        </row>
        <row r="3139">
          <cell r="A3139">
            <v>60057563</v>
          </cell>
          <cell r="B3139">
            <v>3137</v>
          </cell>
          <cell r="C3139" t="str">
            <v>CS01/12</v>
          </cell>
          <cell r="D3139" t="str">
            <v>SPCEN-SD</v>
          </cell>
          <cell r="E3139" t="str">
            <v>AF3</v>
          </cell>
          <cell r="F3139">
            <v>1</v>
          </cell>
          <cell r="G3139">
            <v>106</v>
          </cell>
          <cell r="H3139" t="str">
            <v>C</v>
          </cell>
          <cell r="I3139" t="str">
            <v>A</v>
          </cell>
          <cell r="J3139" t="str">
            <v>STORE</v>
          </cell>
          <cell r="K3139">
            <v>1</v>
          </cell>
          <cell r="L3139">
            <v>505</v>
          </cell>
          <cell r="M3139">
            <v>60057563</v>
          </cell>
          <cell r="N3139" t="str">
            <v>27/4/2006</v>
          </cell>
          <cell r="P3139" t="str">
            <v>IN6427N1S967502</v>
          </cell>
        </row>
        <row r="3140">
          <cell r="A3140">
            <v>60060055</v>
          </cell>
          <cell r="B3140">
            <v>3138</v>
          </cell>
          <cell r="C3140" t="str">
            <v>CS01/12</v>
          </cell>
          <cell r="D3140" t="str">
            <v>SPCEN-SD</v>
          </cell>
          <cell r="E3140" t="str">
            <v>AF3</v>
          </cell>
          <cell r="F3140">
            <v>1</v>
          </cell>
          <cell r="G3140">
            <v>106</v>
          </cell>
          <cell r="H3140" t="str">
            <v>C</v>
          </cell>
          <cell r="I3140" t="str">
            <v>A</v>
          </cell>
          <cell r="J3140" t="str">
            <v>STORE</v>
          </cell>
          <cell r="K3140">
            <v>1</v>
          </cell>
          <cell r="L3140">
            <v>883</v>
          </cell>
          <cell r="M3140">
            <v>60060055</v>
          </cell>
          <cell r="N3140" t="str">
            <v>25/5/2006</v>
          </cell>
          <cell r="P3140" t="str">
            <v>IN6525D1S041401</v>
          </cell>
        </row>
        <row r="3141">
          <cell r="A3141">
            <v>60056839</v>
          </cell>
          <cell r="B3141">
            <v>3139</v>
          </cell>
          <cell r="C3141" t="str">
            <v>CS01/12</v>
          </cell>
          <cell r="D3141" t="str">
            <v>SPCEN-SD</v>
          </cell>
          <cell r="E3141" t="str">
            <v>AF3</v>
          </cell>
          <cell r="F3141">
            <v>1</v>
          </cell>
          <cell r="G3141">
            <v>150</v>
          </cell>
          <cell r="H3141" t="str">
            <v>C</v>
          </cell>
          <cell r="I3141" t="str">
            <v>A</v>
          </cell>
          <cell r="J3141" t="str">
            <v>STORE</v>
          </cell>
          <cell r="K3141">
            <v>1</v>
          </cell>
          <cell r="L3141">
            <v>645</v>
          </cell>
          <cell r="M3141">
            <v>60056839</v>
          </cell>
          <cell r="N3141" t="str">
            <v>19/4/2006</v>
          </cell>
          <cell r="P3141" t="str">
            <v>IN6419D1S935701</v>
          </cell>
        </row>
        <row r="3142">
          <cell r="A3142">
            <v>60029013</v>
          </cell>
          <cell r="B3142">
            <v>3140</v>
          </cell>
          <cell r="C3142" t="str">
            <v>CS01/12</v>
          </cell>
          <cell r="D3142" t="str">
            <v>SPCEN-SD</v>
          </cell>
          <cell r="E3142" t="str">
            <v>AF3</v>
          </cell>
          <cell r="F3142">
            <v>1</v>
          </cell>
          <cell r="G3142">
            <v>153</v>
          </cell>
          <cell r="H3142" t="str">
            <v>C</v>
          </cell>
          <cell r="I3142" t="str">
            <v>A</v>
          </cell>
          <cell r="J3142" t="str">
            <v>STORE</v>
          </cell>
          <cell r="K3142">
            <v>1</v>
          </cell>
          <cell r="L3142">
            <v>995</v>
          </cell>
          <cell r="M3142">
            <v>60029013</v>
          </cell>
          <cell r="N3142" t="str">
            <v>19/2/2005</v>
          </cell>
          <cell r="P3142" t="str">
            <v>IN5219D1S725301</v>
          </cell>
        </row>
        <row r="3143">
          <cell r="A3143">
            <v>60065337</v>
          </cell>
          <cell r="B3143">
            <v>3141</v>
          </cell>
          <cell r="C3143" t="str">
            <v>CS01/12</v>
          </cell>
          <cell r="D3143" t="str">
            <v>SPCEN-SD</v>
          </cell>
          <cell r="E3143" t="str">
            <v>AF3</v>
          </cell>
          <cell r="F3143">
            <v>1</v>
          </cell>
          <cell r="G3143">
            <v>160</v>
          </cell>
          <cell r="H3143" t="str">
            <v>C</v>
          </cell>
          <cell r="I3143" t="str">
            <v>A</v>
          </cell>
          <cell r="J3143" t="str">
            <v>STORE</v>
          </cell>
          <cell r="K3143">
            <v>1</v>
          </cell>
          <cell r="L3143">
            <v>393</v>
          </cell>
          <cell r="M3143">
            <v>60065337</v>
          </cell>
          <cell r="N3143">
            <v>38784</v>
          </cell>
          <cell r="P3143" t="str">
            <v>IN6803N1S264001</v>
          </cell>
        </row>
        <row r="3144">
          <cell r="A3144">
            <v>60056452</v>
          </cell>
          <cell r="B3144">
            <v>3142</v>
          </cell>
          <cell r="C3144" t="str">
            <v>CS01/12</v>
          </cell>
          <cell r="D3144" t="str">
            <v>SPCEN-SD</v>
          </cell>
          <cell r="E3144" t="str">
            <v>AF3</v>
          </cell>
          <cell r="F3144">
            <v>1.2</v>
          </cell>
          <cell r="G3144">
            <v>40</v>
          </cell>
          <cell r="H3144" t="str">
            <v>C</v>
          </cell>
          <cell r="I3144" t="str">
            <v>A</v>
          </cell>
          <cell r="J3144" t="str">
            <v>STORE</v>
          </cell>
          <cell r="K3144">
            <v>1</v>
          </cell>
          <cell r="L3144">
            <v>250</v>
          </cell>
          <cell r="M3144">
            <v>60056452</v>
          </cell>
          <cell r="N3144">
            <v>38902</v>
          </cell>
          <cell r="P3144" t="str">
            <v>IN6407N1S922001</v>
          </cell>
        </row>
        <row r="3145">
          <cell r="A3145">
            <v>60056455</v>
          </cell>
          <cell r="B3145">
            <v>3143</v>
          </cell>
          <cell r="C3145" t="str">
            <v>CS01/12</v>
          </cell>
          <cell r="D3145" t="str">
            <v>SPCEN-SD</v>
          </cell>
          <cell r="E3145" t="str">
            <v>AF3</v>
          </cell>
          <cell r="F3145">
            <v>1.2</v>
          </cell>
          <cell r="G3145">
            <v>40</v>
          </cell>
          <cell r="H3145" t="str">
            <v>C</v>
          </cell>
          <cell r="I3145" t="str">
            <v>A</v>
          </cell>
          <cell r="J3145" t="str">
            <v>STORE</v>
          </cell>
          <cell r="K3145">
            <v>1</v>
          </cell>
          <cell r="L3145">
            <v>260</v>
          </cell>
          <cell r="M3145">
            <v>60056455</v>
          </cell>
          <cell r="N3145">
            <v>38902</v>
          </cell>
          <cell r="P3145" t="str">
            <v>IN6407N1S922002</v>
          </cell>
        </row>
        <row r="3146">
          <cell r="A3146">
            <v>60056458</v>
          </cell>
          <cell r="B3146">
            <v>3144</v>
          </cell>
          <cell r="C3146" t="str">
            <v>CS01/12</v>
          </cell>
          <cell r="D3146" t="str">
            <v>SPCEN-SD</v>
          </cell>
          <cell r="E3146" t="str">
            <v>AF3</v>
          </cell>
          <cell r="F3146">
            <v>1.2</v>
          </cell>
          <cell r="G3146">
            <v>40</v>
          </cell>
          <cell r="H3146" t="str">
            <v>C</v>
          </cell>
          <cell r="I3146" t="str">
            <v>A</v>
          </cell>
          <cell r="J3146" t="str">
            <v>STORE</v>
          </cell>
          <cell r="K3146">
            <v>1</v>
          </cell>
          <cell r="L3146">
            <v>131</v>
          </cell>
          <cell r="M3146">
            <v>60056458</v>
          </cell>
          <cell r="N3146">
            <v>38902</v>
          </cell>
          <cell r="P3146" t="str">
            <v>IN6407N1S922003</v>
          </cell>
        </row>
        <row r="3147">
          <cell r="A3147">
            <v>60056689</v>
          </cell>
          <cell r="B3147">
            <v>3145</v>
          </cell>
          <cell r="C3147" t="str">
            <v>CS01/12</v>
          </cell>
          <cell r="D3147" t="str">
            <v>SPCEN-SD</v>
          </cell>
          <cell r="E3147" t="str">
            <v>AF3</v>
          </cell>
          <cell r="F3147">
            <v>1.2</v>
          </cell>
          <cell r="G3147">
            <v>40</v>
          </cell>
          <cell r="H3147" t="str">
            <v>C</v>
          </cell>
          <cell r="I3147" t="str">
            <v>A</v>
          </cell>
          <cell r="J3147" t="str">
            <v>STORE</v>
          </cell>
          <cell r="K3147">
            <v>1</v>
          </cell>
          <cell r="L3147">
            <v>31</v>
          </cell>
          <cell r="M3147">
            <v>60056689</v>
          </cell>
          <cell r="N3147" t="str">
            <v>17/4/2006</v>
          </cell>
          <cell r="P3147" t="str">
            <v>IN6417N1S932401</v>
          </cell>
        </row>
        <row r="3148">
          <cell r="A3148">
            <v>60056692</v>
          </cell>
          <cell r="B3148">
            <v>3146</v>
          </cell>
          <cell r="C3148" t="str">
            <v>CS01/12</v>
          </cell>
          <cell r="D3148" t="str">
            <v>SPCEN-SD</v>
          </cell>
          <cell r="E3148" t="str">
            <v>AF3</v>
          </cell>
          <cell r="F3148">
            <v>1.2</v>
          </cell>
          <cell r="G3148">
            <v>40</v>
          </cell>
          <cell r="H3148" t="str">
            <v>C</v>
          </cell>
          <cell r="I3148" t="str">
            <v>A</v>
          </cell>
          <cell r="J3148" t="str">
            <v>STORE</v>
          </cell>
          <cell r="K3148">
            <v>1</v>
          </cell>
          <cell r="L3148">
            <v>68</v>
          </cell>
          <cell r="M3148">
            <v>60056692</v>
          </cell>
          <cell r="N3148" t="str">
            <v>17/4/2006</v>
          </cell>
          <cell r="P3148" t="str">
            <v>IN6417N1S932402</v>
          </cell>
        </row>
        <row r="3149">
          <cell r="A3149">
            <v>60039836</v>
          </cell>
          <cell r="B3149">
            <v>3147</v>
          </cell>
          <cell r="C3149" t="str">
            <v>CS01/12</v>
          </cell>
          <cell r="D3149" t="str">
            <v>SPCEN-SD</v>
          </cell>
          <cell r="E3149" t="str">
            <v>AF3</v>
          </cell>
          <cell r="F3149">
            <v>1.2</v>
          </cell>
          <cell r="G3149">
            <v>60</v>
          </cell>
          <cell r="H3149" t="str">
            <v>C</v>
          </cell>
          <cell r="I3149" t="str">
            <v>A</v>
          </cell>
          <cell r="J3149" t="str">
            <v>STORE</v>
          </cell>
          <cell r="K3149">
            <v>1</v>
          </cell>
          <cell r="L3149">
            <v>453</v>
          </cell>
          <cell r="M3149">
            <v>60039836</v>
          </cell>
          <cell r="N3149">
            <v>38361</v>
          </cell>
          <cell r="P3149" t="str">
            <v>IN5901N1S262401</v>
          </cell>
        </row>
        <row r="3150">
          <cell r="A3150">
            <v>60043614</v>
          </cell>
          <cell r="B3150">
            <v>3148</v>
          </cell>
          <cell r="C3150" t="str">
            <v>CS01/12</v>
          </cell>
          <cell r="D3150" t="str">
            <v>SPCEN-SD</v>
          </cell>
          <cell r="E3150" t="str">
            <v>AF3</v>
          </cell>
          <cell r="F3150">
            <v>1.2</v>
          </cell>
          <cell r="G3150">
            <v>60</v>
          </cell>
          <cell r="H3150" t="str">
            <v>C</v>
          </cell>
          <cell r="I3150" t="str">
            <v>A</v>
          </cell>
          <cell r="J3150" t="str">
            <v>STORE</v>
          </cell>
          <cell r="K3150">
            <v>1</v>
          </cell>
          <cell r="L3150">
            <v>436</v>
          </cell>
          <cell r="M3150">
            <v>60043614</v>
          </cell>
          <cell r="N3150">
            <v>38394</v>
          </cell>
          <cell r="P3150" t="str">
            <v>IN5B02D1S436401</v>
          </cell>
        </row>
        <row r="3151">
          <cell r="A3151">
            <v>60043616</v>
          </cell>
          <cell r="B3151">
            <v>3149</v>
          </cell>
          <cell r="C3151" t="str">
            <v>CS01/12</v>
          </cell>
          <cell r="D3151" t="str">
            <v>SPCEN-SD</v>
          </cell>
          <cell r="E3151" t="str">
            <v>AF3</v>
          </cell>
          <cell r="F3151">
            <v>1.2</v>
          </cell>
          <cell r="G3151">
            <v>60</v>
          </cell>
          <cell r="H3151" t="str">
            <v>C</v>
          </cell>
          <cell r="I3151" t="str">
            <v>A</v>
          </cell>
          <cell r="J3151" t="str">
            <v>STORE</v>
          </cell>
          <cell r="K3151">
            <v>1</v>
          </cell>
          <cell r="L3151">
            <v>280</v>
          </cell>
          <cell r="M3151">
            <v>60043616</v>
          </cell>
          <cell r="N3151">
            <v>38394</v>
          </cell>
          <cell r="P3151" t="str">
            <v>IN5B02D1S436402</v>
          </cell>
        </row>
        <row r="3152">
          <cell r="A3152">
            <v>60043619</v>
          </cell>
          <cell r="B3152">
            <v>3150</v>
          </cell>
          <cell r="C3152" t="str">
            <v>CS01/12</v>
          </cell>
          <cell r="D3152" t="str">
            <v>SPCEN-SD</v>
          </cell>
          <cell r="E3152" t="str">
            <v>AF3</v>
          </cell>
          <cell r="F3152">
            <v>1.2</v>
          </cell>
          <cell r="G3152">
            <v>75</v>
          </cell>
          <cell r="H3152" t="str">
            <v>C</v>
          </cell>
          <cell r="I3152" t="str">
            <v>A</v>
          </cell>
          <cell r="J3152" t="str">
            <v>STORE</v>
          </cell>
          <cell r="K3152">
            <v>1</v>
          </cell>
          <cell r="L3152">
            <v>616</v>
          </cell>
          <cell r="M3152">
            <v>60043619</v>
          </cell>
          <cell r="N3152">
            <v>38394</v>
          </cell>
          <cell r="P3152" t="str">
            <v>IN5B02D1S436401</v>
          </cell>
        </row>
        <row r="3153">
          <cell r="A3153">
            <v>60043834</v>
          </cell>
          <cell r="B3153">
            <v>3151</v>
          </cell>
          <cell r="C3153" t="str">
            <v>CS01/12</v>
          </cell>
          <cell r="D3153" t="str">
            <v>SPHC P/O</v>
          </cell>
          <cell r="E3153" t="str">
            <v>CA1</v>
          </cell>
          <cell r="F3153">
            <v>4.5</v>
          </cell>
          <cell r="G3153">
            <v>72</v>
          </cell>
          <cell r="H3153" t="str">
            <v>C</v>
          </cell>
          <cell r="I3153" t="str">
            <v>A</v>
          </cell>
          <cell r="J3153" t="str">
            <v>STORE</v>
          </cell>
          <cell r="K3153">
            <v>1</v>
          </cell>
          <cell r="L3153">
            <v>723</v>
          </cell>
          <cell r="M3153">
            <v>60043834</v>
          </cell>
          <cell r="N3153">
            <v>38483</v>
          </cell>
          <cell r="P3153" t="str">
            <v>IN5B05D2S440401</v>
          </cell>
        </row>
        <row r="3154">
          <cell r="A3154">
            <v>60055211</v>
          </cell>
          <cell r="B3154">
            <v>3152</v>
          </cell>
          <cell r="C3154" t="str">
            <v>CS01/12</v>
          </cell>
          <cell r="D3154" t="str">
            <v>SPHC P/O</v>
          </cell>
          <cell r="E3154" t="str">
            <v>CA1</v>
          </cell>
          <cell r="F3154">
            <v>4.5</v>
          </cell>
          <cell r="G3154">
            <v>72</v>
          </cell>
          <cell r="H3154" t="str">
            <v>C</v>
          </cell>
          <cell r="I3154" t="str">
            <v>A</v>
          </cell>
          <cell r="J3154" t="str">
            <v>STORE</v>
          </cell>
          <cell r="K3154">
            <v>1</v>
          </cell>
          <cell r="L3154">
            <v>671</v>
          </cell>
          <cell r="M3154">
            <v>60055211</v>
          </cell>
          <cell r="N3154" t="str">
            <v>22/3/2006</v>
          </cell>
          <cell r="P3154" t="str">
            <v>IN6322D2S871001</v>
          </cell>
        </row>
        <row r="3155">
          <cell r="A3155">
            <v>60055212</v>
          </cell>
          <cell r="B3155">
            <v>3153</v>
          </cell>
          <cell r="C3155" t="str">
            <v>CS01/12</v>
          </cell>
          <cell r="D3155" t="str">
            <v>SPHC P/O</v>
          </cell>
          <cell r="E3155" t="str">
            <v>CA1</v>
          </cell>
          <cell r="F3155">
            <v>4.5</v>
          </cell>
          <cell r="G3155">
            <v>72</v>
          </cell>
          <cell r="H3155" t="str">
            <v>C</v>
          </cell>
          <cell r="I3155" t="str">
            <v>A</v>
          </cell>
          <cell r="J3155" t="str">
            <v>STORE</v>
          </cell>
          <cell r="K3155">
            <v>1</v>
          </cell>
          <cell r="L3155">
            <v>671</v>
          </cell>
          <cell r="M3155">
            <v>60055212</v>
          </cell>
          <cell r="N3155" t="str">
            <v>22/3/2006</v>
          </cell>
          <cell r="P3155" t="str">
            <v>IN6322D2S871002</v>
          </cell>
        </row>
        <row r="3156">
          <cell r="A3156">
            <v>60058576</v>
          </cell>
          <cell r="B3156">
            <v>3154</v>
          </cell>
          <cell r="C3156" t="str">
            <v>CS01/12</v>
          </cell>
          <cell r="D3156" t="str">
            <v>SPHC P/O</v>
          </cell>
          <cell r="E3156" t="str">
            <v>CA1</v>
          </cell>
          <cell r="F3156">
            <v>4.5</v>
          </cell>
          <cell r="G3156">
            <v>72</v>
          </cell>
          <cell r="H3156" t="str">
            <v>C</v>
          </cell>
          <cell r="I3156" t="str">
            <v>A</v>
          </cell>
          <cell r="J3156" t="str">
            <v>STORE</v>
          </cell>
          <cell r="K3156">
            <v>1</v>
          </cell>
          <cell r="L3156">
            <v>456</v>
          </cell>
          <cell r="M3156">
            <v>60058576</v>
          </cell>
          <cell r="N3156">
            <v>38965</v>
          </cell>
          <cell r="P3156" t="str">
            <v>IN6509N2S974701</v>
          </cell>
        </row>
        <row r="3157">
          <cell r="A3157">
            <v>50059757</v>
          </cell>
          <cell r="B3157">
            <v>3155</v>
          </cell>
          <cell r="C3157" t="str">
            <v>CS01/12</v>
          </cell>
          <cell r="D3157" t="str">
            <v>SPHC P/O</v>
          </cell>
          <cell r="E3157" t="str">
            <v>CA1</v>
          </cell>
          <cell r="F3157">
            <v>4.5</v>
          </cell>
          <cell r="G3157">
            <v>72</v>
          </cell>
          <cell r="H3157" t="str">
            <v>C</v>
          </cell>
          <cell r="I3157" t="str">
            <v>A</v>
          </cell>
          <cell r="J3157" t="str">
            <v>STORE</v>
          </cell>
          <cell r="K3157">
            <v>1</v>
          </cell>
          <cell r="L3157">
            <v>440</v>
          </cell>
          <cell r="M3157">
            <v>50059757</v>
          </cell>
          <cell r="N3157" t="str">
            <v>24/5/2006</v>
          </cell>
          <cell r="P3157" t="str">
            <v>IN6524N2S037901</v>
          </cell>
        </row>
        <row r="3158">
          <cell r="A3158">
            <v>60059770</v>
          </cell>
          <cell r="B3158">
            <v>3156</v>
          </cell>
          <cell r="C3158" t="str">
            <v>CS01/12</v>
          </cell>
          <cell r="D3158" t="str">
            <v>SPHC P/O</v>
          </cell>
          <cell r="E3158" t="str">
            <v>CA1</v>
          </cell>
          <cell r="F3158">
            <v>4.5</v>
          </cell>
          <cell r="G3158">
            <v>72</v>
          </cell>
          <cell r="H3158" t="str">
            <v>C</v>
          </cell>
          <cell r="I3158" t="str">
            <v>A</v>
          </cell>
          <cell r="J3158" t="str">
            <v>STORE</v>
          </cell>
          <cell r="K3158">
            <v>1</v>
          </cell>
          <cell r="L3158">
            <v>459</v>
          </cell>
          <cell r="M3158">
            <v>60059770</v>
          </cell>
          <cell r="N3158" t="str">
            <v>24/5/2006</v>
          </cell>
          <cell r="P3158" t="str">
            <v>IN6524N2S037902</v>
          </cell>
        </row>
        <row r="3159">
          <cell r="A3159">
            <v>60059795</v>
          </cell>
          <cell r="B3159">
            <v>3157</v>
          </cell>
          <cell r="C3159" t="str">
            <v>CS01/12</v>
          </cell>
          <cell r="D3159" t="str">
            <v>SPHC P/O</v>
          </cell>
          <cell r="E3159" t="str">
            <v>CA1</v>
          </cell>
          <cell r="F3159">
            <v>4.5</v>
          </cell>
          <cell r="G3159">
            <v>72</v>
          </cell>
          <cell r="H3159" t="str">
            <v>C</v>
          </cell>
          <cell r="I3159" t="str">
            <v>A</v>
          </cell>
          <cell r="J3159" t="str">
            <v>STORE</v>
          </cell>
          <cell r="K3159">
            <v>1</v>
          </cell>
          <cell r="L3159">
            <v>508</v>
          </cell>
          <cell r="M3159">
            <v>60059795</v>
          </cell>
          <cell r="N3159" t="str">
            <v>24/5/2006</v>
          </cell>
          <cell r="P3159" t="str">
            <v>IN6524N2S037903</v>
          </cell>
        </row>
        <row r="3160">
          <cell r="A3160">
            <v>60059809</v>
          </cell>
          <cell r="B3160">
            <v>3158</v>
          </cell>
          <cell r="C3160" t="str">
            <v>CS01/12</v>
          </cell>
          <cell r="D3160" t="str">
            <v>SPHC P/O</v>
          </cell>
          <cell r="E3160" t="str">
            <v>CA1</v>
          </cell>
          <cell r="F3160">
            <v>4.5</v>
          </cell>
          <cell r="G3160">
            <v>72</v>
          </cell>
          <cell r="H3160" t="str">
            <v>C</v>
          </cell>
          <cell r="I3160" t="str">
            <v>A</v>
          </cell>
          <cell r="J3160" t="str">
            <v>STORE</v>
          </cell>
          <cell r="K3160">
            <v>1</v>
          </cell>
          <cell r="L3160">
            <v>514</v>
          </cell>
          <cell r="M3160">
            <v>60059809</v>
          </cell>
          <cell r="N3160" t="str">
            <v>24/5/2006</v>
          </cell>
          <cell r="P3160" t="str">
            <v>IN6524N2S037904</v>
          </cell>
        </row>
        <row r="3161">
          <cell r="A3161">
            <v>60058577</v>
          </cell>
          <cell r="B3161">
            <v>3159</v>
          </cell>
          <cell r="C3161" t="str">
            <v>CS01/12</v>
          </cell>
          <cell r="D3161" t="str">
            <v>SPHC P/O</v>
          </cell>
          <cell r="E3161" t="str">
            <v>CA1</v>
          </cell>
          <cell r="F3161">
            <v>4.5</v>
          </cell>
          <cell r="G3161">
            <v>81</v>
          </cell>
          <cell r="H3161" t="str">
            <v>C</v>
          </cell>
          <cell r="I3161" t="str">
            <v>A</v>
          </cell>
          <cell r="J3161" t="str">
            <v>STORE</v>
          </cell>
          <cell r="K3161">
            <v>1</v>
          </cell>
          <cell r="L3161">
            <v>510</v>
          </cell>
          <cell r="M3161">
            <v>60058577</v>
          </cell>
          <cell r="N3161">
            <v>38965</v>
          </cell>
          <cell r="P3161" t="str">
            <v>IN6509N2S974701</v>
          </cell>
        </row>
        <row r="3162">
          <cell r="A3162">
            <v>60059169</v>
          </cell>
          <cell r="B3162">
            <v>3160</v>
          </cell>
          <cell r="C3162" t="str">
            <v>CS01/12</v>
          </cell>
          <cell r="D3162" t="str">
            <v>SPHC P/O</v>
          </cell>
          <cell r="E3162" t="str">
            <v>CA1</v>
          </cell>
          <cell r="F3162">
            <v>4.5</v>
          </cell>
          <cell r="G3162">
            <v>81</v>
          </cell>
          <cell r="H3162" t="str">
            <v>C</v>
          </cell>
          <cell r="I3162" t="str">
            <v>A</v>
          </cell>
          <cell r="J3162" t="str">
            <v>STORE</v>
          </cell>
          <cell r="K3162">
            <v>1</v>
          </cell>
          <cell r="L3162">
            <v>256</v>
          </cell>
          <cell r="M3162">
            <v>60059169</v>
          </cell>
          <cell r="N3162" t="str">
            <v>18/5/2006</v>
          </cell>
          <cell r="P3162" t="str">
            <v>IN6518N2S014701</v>
          </cell>
        </row>
        <row r="3163">
          <cell r="A3163">
            <v>60059178</v>
          </cell>
          <cell r="B3163">
            <v>3161</v>
          </cell>
          <cell r="C3163" t="str">
            <v>CS01/12</v>
          </cell>
          <cell r="D3163" t="str">
            <v>SPHC P/O</v>
          </cell>
          <cell r="E3163" t="str">
            <v>CA1</v>
          </cell>
          <cell r="F3163">
            <v>4.5</v>
          </cell>
          <cell r="G3163">
            <v>81</v>
          </cell>
          <cell r="H3163" t="str">
            <v>C</v>
          </cell>
          <cell r="I3163" t="str">
            <v>A</v>
          </cell>
          <cell r="J3163" t="str">
            <v>STORE</v>
          </cell>
          <cell r="K3163">
            <v>1</v>
          </cell>
          <cell r="L3163">
            <v>256</v>
          </cell>
          <cell r="M3163">
            <v>60059178</v>
          </cell>
          <cell r="N3163" t="str">
            <v>18/5/2006</v>
          </cell>
          <cell r="P3163" t="str">
            <v>IN6518N2S014702</v>
          </cell>
        </row>
        <row r="3164">
          <cell r="A3164">
            <v>60045213</v>
          </cell>
          <cell r="B3164">
            <v>3162</v>
          </cell>
          <cell r="C3164" t="str">
            <v>CS01/12</v>
          </cell>
          <cell r="D3164" t="str">
            <v>SPHC P/O</v>
          </cell>
          <cell r="E3164" t="str">
            <v>CA1</v>
          </cell>
          <cell r="F3164">
            <v>4.5</v>
          </cell>
          <cell r="G3164">
            <v>83</v>
          </cell>
          <cell r="H3164" t="str">
            <v>C</v>
          </cell>
          <cell r="I3164" t="str">
            <v>A</v>
          </cell>
          <cell r="J3164" t="str">
            <v>STORE</v>
          </cell>
          <cell r="K3164">
            <v>1</v>
          </cell>
          <cell r="L3164">
            <v>610</v>
          </cell>
          <cell r="M3164">
            <v>60045213</v>
          </cell>
          <cell r="N3164" t="str">
            <v>18/11/2005</v>
          </cell>
          <cell r="P3164" t="str">
            <v>IN5B18D2S478701</v>
          </cell>
        </row>
        <row r="3165">
          <cell r="A3165">
            <v>60045214</v>
          </cell>
          <cell r="B3165">
            <v>3163</v>
          </cell>
          <cell r="C3165" t="str">
            <v>CS01/12</v>
          </cell>
          <cell r="D3165" t="str">
            <v>SPHC P/O</v>
          </cell>
          <cell r="E3165" t="str">
            <v>CA1</v>
          </cell>
          <cell r="F3165">
            <v>4.5</v>
          </cell>
          <cell r="G3165">
            <v>83</v>
          </cell>
          <cell r="H3165" t="str">
            <v>C</v>
          </cell>
          <cell r="I3165" t="str">
            <v>A</v>
          </cell>
          <cell r="J3165" t="str">
            <v>STORE</v>
          </cell>
          <cell r="K3165">
            <v>1</v>
          </cell>
          <cell r="L3165">
            <v>610</v>
          </cell>
          <cell r="M3165">
            <v>60045214</v>
          </cell>
          <cell r="N3165" t="str">
            <v>18/11/2005</v>
          </cell>
          <cell r="P3165" t="str">
            <v>IN5B18D2S478702</v>
          </cell>
        </row>
        <row r="3166">
          <cell r="A3166">
            <v>60056893</v>
          </cell>
          <cell r="B3166">
            <v>3164</v>
          </cell>
          <cell r="C3166" t="str">
            <v>CS01/12</v>
          </cell>
          <cell r="D3166" t="str">
            <v>SPHC P/O</v>
          </cell>
          <cell r="E3166" t="str">
            <v>CA1</v>
          </cell>
          <cell r="F3166">
            <v>4.5</v>
          </cell>
          <cell r="G3166">
            <v>99</v>
          </cell>
          <cell r="H3166" t="str">
            <v>C</v>
          </cell>
          <cell r="I3166" t="str">
            <v>A</v>
          </cell>
          <cell r="J3166" t="str">
            <v>STORE</v>
          </cell>
          <cell r="K3166">
            <v>1</v>
          </cell>
          <cell r="L3166">
            <v>730</v>
          </cell>
          <cell r="M3166">
            <v>60056893</v>
          </cell>
          <cell r="N3166" t="str">
            <v>19/4/2006</v>
          </cell>
          <cell r="P3166" t="str">
            <v>IN6419N2S937901</v>
          </cell>
        </row>
        <row r="3167">
          <cell r="A3167">
            <v>60067255</v>
          </cell>
          <cell r="B3167">
            <v>3165</v>
          </cell>
          <cell r="C3167" t="str">
            <v>CS01/12</v>
          </cell>
          <cell r="D3167" t="str">
            <v>SPHC P/O</v>
          </cell>
          <cell r="E3167" t="str">
            <v>CA1</v>
          </cell>
          <cell r="F3167">
            <v>4.5</v>
          </cell>
          <cell r="G3167">
            <v>124</v>
          </cell>
          <cell r="H3167" t="str">
            <v>C</v>
          </cell>
          <cell r="I3167" t="str">
            <v>A</v>
          </cell>
          <cell r="J3167" t="str">
            <v>STORE</v>
          </cell>
          <cell r="K3167">
            <v>1</v>
          </cell>
          <cell r="L3167">
            <v>1042</v>
          </cell>
          <cell r="M3167">
            <v>60067255</v>
          </cell>
          <cell r="N3167" t="str">
            <v>31/8/2006</v>
          </cell>
          <cell r="O3167" t="str">
            <v>136614NSI004</v>
          </cell>
          <cell r="P3167" t="str">
            <v>IN6831D2S336801</v>
          </cell>
        </row>
        <row r="3168">
          <cell r="A3168">
            <v>60067262</v>
          </cell>
          <cell r="B3168">
            <v>3166</v>
          </cell>
          <cell r="C3168" t="str">
            <v>CS01/12</v>
          </cell>
          <cell r="D3168" t="str">
            <v>SPHC P/O</v>
          </cell>
          <cell r="E3168" t="str">
            <v>CA1</v>
          </cell>
          <cell r="F3168">
            <v>4.5</v>
          </cell>
          <cell r="G3168">
            <v>124</v>
          </cell>
          <cell r="H3168" t="str">
            <v>C</v>
          </cell>
          <cell r="I3168" t="str">
            <v>A</v>
          </cell>
          <cell r="J3168" t="str">
            <v>STORE</v>
          </cell>
          <cell r="K3168">
            <v>1</v>
          </cell>
          <cell r="L3168">
            <v>1040</v>
          </cell>
          <cell r="M3168">
            <v>60067262</v>
          </cell>
          <cell r="N3168" t="str">
            <v>31/8/2006</v>
          </cell>
          <cell r="O3168" t="str">
            <v>136614NSI004</v>
          </cell>
          <cell r="P3168" t="str">
            <v>IN6831D2S336802</v>
          </cell>
        </row>
        <row r="3169">
          <cell r="A3169">
            <v>60067306</v>
          </cell>
          <cell r="B3169">
            <v>3167</v>
          </cell>
          <cell r="C3169" t="str">
            <v>CS01/12</v>
          </cell>
          <cell r="D3169" t="str">
            <v>SPHC P/O</v>
          </cell>
          <cell r="E3169" t="str">
            <v>CA1</v>
          </cell>
          <cell r="F3169">
            <v>4.5</v>
          </cell>
          <cell r="G3169">
            <v>124</v>
          </cell>
          <cell r="H3169" t="str">
            <v>C</v>
          </cell>
          <cell r="I3169" t="str">
            <v>A</v>
          </cell>
          <cell r="J3169" t="str">
            <v>STORE</v>
          </cell>
          <cell r="K3169">
            <v>1</v>
          </cell>
          <cell r="L3169">
            <v>1106</v>
          </cell>
          <cell r="M3169">
            <v>60067306</v>
          </cell>
          <cell r="N3169" t="str">
            <v>31/8/2006</v>
          </cell>
          <cell r="O3169" t="str">
            <v>136614NSI005</v>
          </cell>
          <cell r="P3169" t="str">
            <v>IN6831D2S336803</v>
          </cell>
        </row>
        <row r="3170">
          <cell r="A3170">
            <v>60067313</v>
          </cell>
          <cell r="B3170">
            <v>3168</v>
          </cell>
          <cell r="C3170" t="str">
            <v>CS01/12</v>
          </cell>
          <cell r="D3170" t="str">
            <v>SPHC P/O</v>
          </cell>
          <cell r="E3170" t="str">
            <v>CA1</v>
          </cell>
          <cell r="F3170">
            <v>4.5</v>
          </cell>
          <cell r="G3170">
            <v>124</v>
          </cell>
          <cell r="H3170" t="str">
            <v>C</v>
          </cell>
          <cell r="I3170" t="str">
            <v>A</v>
          </cell>
          <cell r="J3170" t="str">
            <v>STORE</v>
          </cell>
          <cell r="K3170">
            <v>1</v>
          </cell>
          <cell r="L3170">
            <v>1106</v>
          </cell>
          <cell r="M3170">
            <v>60067313</v>
          </cell>
          <cell r="N3170" t="str">
            <v>31/8/2006</v>
          </cell>
          <cell r="O3170" t="str">
            <v>136614NSI005</v>
          </cell>
          <cell r="P3170" t="str">
            <v>IN6831D2S336804</v>
          </cell>
        </row>
        <row r="3171">
          <cell r="A3171">
            <v>60037683</v>
          </cell>
          <cell r="B3171">
            <v>3169</v>
          </cell>
          <cell r="C3171" t="str">
            <v>CS01/12</v>
          </cell>
          <cell r="D3171" t="str">
            <v>SPHC P/O</v>
          </cell>
          <cell r="E3171" t="str">
            <v>CA1</v>
          </cell>
          <cell r="F3171">
            <v>4.5</v>
          </cell>
          <cell r="G3171">
            <v>168</v>
          </cell>
          <cell r="H3171" t="str">
            <v>C</v>
          </cell>
          <cell r="I3171" t="str">
            <v>A</v>
          </cell>
          <cell r="J3171" t="str">
            <v>STORE</v>
          </cell>
          <cell r="K3171">
            <v>1</v>
          </cell>
          <cell r="L3171">
            <v>1108</v>
          </cell>
          <cell r="M3171">
            <v>60037683</v>
          </cell>
          <cell r="N3171" t="str">
            <v>16/7/2005</v>
          </cell>
          <cell r="P3171" t="str">
            <v>IN5716D2S140901</v>
          </cell>
        </row>
        <row r="3172">
          <cell r="A3172">
            <v>60045872</v>
          </cell>
          <cell r="B3172">
            <v>3170</v>
          </cell>
          <cell r="C3172" t="str">
            <v>CS01/12</v>
          </cell>
          <cell r="D3172" t="str">
            <v>SAPH440 P/O</v>
          </cell>
          <cell r="E3172" t="str">
            <v>CA5</v>
          </cell>
          <cell r="F3172">
            <v>2</v>
          </cell>
          <cell r="G3172">
            <v>60</v>
          </cell>
          <cell r="H3172" t="str">
            <v>C</v>
          </cell>
          <cell r="I3172" t="str">
            <v>A</v>
          </cell>
          <cell r="J3172" t="str">
            <v>STORE</v>
          </cell>
          <cell r="K3172">
            <v>1</v>
          </cell>
          <cell r="L3172">
            <v>430</v>
          </cell>
          <cell r="M3172">
            <v>60045872</v>
          </cell>
          <cell r="N3172" t="str">
            <v>25/11/2005</v>
          </cell>
          <cell r="P3172" t="str">
            <v>IN5B25D2S496201</v>
          </cell>
        </row>
        <row r="3173">
          <cell r="A3173">
            <v>60036846</v>
          </cell>
          <cell r="B3173">
            <v>3171</v>
          </cell>
          <cell r="C3173" t="str">
            <v>CS01/12</v>
          </cell>
          <cell r="D3173" t="str">
            <v>SAPH440 P/O</v>
          </cell>
          <cell r="E3173" t="str">
            <v>CA5</v>
          </cell>
          <cell r="F3173">
            <v>3</v>
          </cell>
          <cell r="G3173">
            <v>272</v>
          </cell>
          <cell r="H3173" t="str">
            <v>C</v>
          </cell>
          <cell r="I3173" t="str">
            <v>A</v>
          </cell>
          <cell r="J3173" t="str">
            <v>STORE</v>
          </cell>
          <cell r="K3173">
            <v>1</v>
          </cell>
          <cell r="L3173">
            <v>704</v>
          </cell>
          <cell r="M3173">
            <v>60036846</v>
          </cell>
          <cell r="N3173" t="str">
            <v>29/6/2005</v>
          </cell>
          <cell r="P3173" t="str">
            <v>IN5629D2S135609</v>
          </cell>
        </row>
        <row r="3174">
          <cell r="A3174">
            <v>60031917</v>
          </cell>
          <cell r="B3174">
            <v>3172</v>
          </cell>
          <cell r="C3174" t="str">
            <v>CS01/12</v>
          </cell>
          <cell r="D3174" t="str">
            <v>SAPH440 P/O</v>
          </cell>
          <cell r="E3174" t="str">
            <v>CA5</v>
          </cell>
          <cell r="F3174">
            <v>4</v>
          </cell>
          <cell r="G3174">
            <v>40</v>
          </cell>
          <cell r="H3174" t="str">
            <v>C</v>
          </cell>
          <cell r="I3174" t="str">
            <v>A</v>
          </cell>
          <cell r="J3174" t="str">
            <v>STORE</v>
          </cell>
          <cell r="K3174">
            <v>1</v>
          </cell>
          <cell r="L3174">
            <v>104</v>
          </cell>
          <cell r="M3174">
            <v>60031917</v>
          </cell>
          <cell r="N3174">
            <v>38537</v>
          </cell>
          <cell r="P3174" t="str">
            <v>IN5407N2S803901</v>
          </cell>
        </row>
        <row r="3175">
          <cell r="A3175">
            <v>60031933</v>
          </cell>
          <cell r="B3175">
            <v>3173</v>
          </cell>
          <cell r="C3175" t="str">
            <v>CS01/12</v>
          </cell>
          <cell r="D3175" t="str">
            <v>SAPH440 P/O</v>
          </cell>
          <cell r="E3175" t="str">
            <v>CA5</v>
          </cell>
          <cell r="F3175">
            <v>4</v>
          </cell>
          <cell r="G3175">
            <v>40</v>
          </cell>
          <cell r="H3175" t="str">
            <v>C</v>
          </cell>
          <cell r="I3175" t="str">
            <v>A</v>
          </cell>
          <cell r="J3175" t="str">
            <v>STORE</v>
          </cell>
          <cell r="K3175">
            <v>1</v>
          </cell>
          <cell r="L3175">
            <v>146</v>
          </cell>
          <cell r="M3175">
            <v>60031933</v>
          </cell>
          <cell r="N3175">
            <v>38537</v>
          </cell>
          <cell r="P3175" t="str">
            <v>IN5407N2S864001</v>
          </cell>
        </row>
        <row r="3176">
          <cell r="A3176">
            <v>60046864</v>
          </cell>
          <cell r="B3176">
            <v>3174</v>
          </cell>
          <cell r="C3176" t="str">
            <v>CS01/12</v>
          </cell>
          <cell r="D3176" t="str">
            <v>SAPH440 P/O</v>
          </cell>
          <cell r="E3176" t="str">
            <v>CA5</v>
          </cell>
          <cell r="F3176">
            <v>4.5</v>
          </cell>
          <cell r="G3176">
            <v>175</v>
          </cell>
          <cell r="H3176" t="str">
            <v>C</v>
          </cell>
          <cell r="I3176" t="str">
            <v>A</v>
          </cell>
          <cell r="J3176" t="str">
            <v>STORE</v>
          </cell>
          <cell r="K3176">
            <v>1</v>
          </cell>
          <cell r="L3176">
            <v>736</v>
          </cell>
          <cell r="M3176">
            <v>60046864</v>
          </cell>
          <cell r="N3176">
            <v>38545</v>
          </cell>
          <cell r="P3176" t="str">
            <v>IN5C07D2S524701</v>
          </cell>
        </row>
        <row r="3177">
          <cell r="A3177">
            <v>60046869</v>
          </cell>
          <cell r="B3177">
            <v>3175</v>
          </cell>
          <cell r="C3177" t="str">
            <v>CS01/12</v>
          </cell>
          <cell r="D3177" t="str">
            <v>SAPH440 P/O</v>
          </cell>
          <cell r="E3177" t="str">
            <v>CA5</v>
          </cell>
          <cell r="F3177">
            <v>4.5</v>
          </cell>
          <cell r="G3177">
            <v>175</v>
          </cell>
          <cell r="H3177" t="str">
            <v>C</v>
          </cell>
          <cell r="I3177" t="str">
            <v>A</v>
          </cell>
          <cell r="J3177" t="str">
            <v>STORE</v>
          </cell>
          <cell r="K3177">
            <v>1</v>
          </cell>
          <cell r="L3177">
            <v>760</v>
          </cell>
          <cell r="M3177">
            <v>60046869</v>
          </cell>
          <cell r="N3177">
            <v>38545</v>
          </cell>
          <cell r="P3177" t="str">
            <v>IN5C07D2S524702</v>
          </cell>
        </row>
        <row r="3178">
          <cell r="A3178">
            <v>60046892</v>
          </cell>
          <cell r="B3178">
            <v>3176</v>
          </cell>
          <cell r="C3178" t="str">
            <v>CS01/12</v>
          </cell>
          <cell r="D3178" t="str">
            <v>SAPH440 P/O</v>
          </cell>
          <cell r="E3178" t="str">
            <v>CA5</v>
          </cell>
          <cell r="F3178">
            <v>4.5</v>
          </cell>
          <cell r="G3178">
            <v>175</v>
          </cell>
          <cell r="H3178" t="str">
            <v>C</v>
          </cell>
          <cell r="I3178" t="str">
            <v>A</v>
          </cell>
          <cell r="J3178" t="str">
            <v>STORE</v>
          </cell>
          <cell r="K3178">
            <v>1</v>
          </cell>
          <cell r="L3178">
            <v>496</v>
          </cell>
          <cell r="M3178">
            <v>60046892</v>
          </cell>
          <cell r="N3178">
            <v>38545</v>
          </cell>
          <cell r="P3178" t="str">
            <v>IN5C07D2S524703</v>
          </cell>
        </row>
        <row r="3179">
          <cell r="A3179">
            <v>60053694</v>
          </cell>
          <cell r="B3179">
            <v>3177</v>
          </cell>
          <cell r="C3179" t="str">
            <v>CS01/12</v>
          </cell>
          <cell r="D3179" t="str">
            <v>SAPH440 P/O</v>
          </cell>
          <cell r="E3179" t="str">
            <v>CA5</v>
          </cell>
          <cell r="F3179">
            <v>4.5</v>
          </cell>
          <cell r="G3179">
            <v>175</v>
          </cell>
          <cell r="H3179" t="str">
            <v>C</v>
          </cell>
          <cell r="I3179" t="str">
            <v>A</v>
          </cell>
          <cell r="J3179" t="str">
            <v>STORE</v>
          </cell>
          <cell r="K3179">
            <v>1</v>
          </cell>
          <cell r="L3179">
            <v>474</v>
          </cell>
          <cell r="M3179">
            <v>60053694</v>
          </cell>
          <cell r="N3179">
            <v>38963</v>
          </cell>
          <cell r="P3179" t="str">
            <v>IN6309D2S825501</v>
          </cell>
        </row>
        <row r="3180">
          <cell r="A3180">
            <v>60036725</v>
          </cell>
          <cell r="B3180">
            <v>3178</v>
          </cell>
          <cell r="C3180" t="str">
            <v>CS01/12</v>
          </cell>
          <cell r="D3180" t="str">
            <v>SAPH440 P/O</v>
          </cell>
          <cell r="E3180" t="str">
            <v>CA5</v>
          </cell>
          <cell r="F3180">
            <v>4.5</v>
          </cell>
          <cell r="G3180">
            <v>254</v>
          </cell>
          <cell r="H3180" t="str">
            <v>C</v>
          </cell>
          <cell r="I3180" t="str">
            <v>A</v>
          </cell>
          <cell r="J3180" t="str">
            <v>STORE</v>
          </cell>
          <cell r="K3180">
            <v>1</v>
          </cell>
          <cell r="L3180">
            <v>1712</v>
          </cell>
          <cell r="M3180">
            <v>60036725</v>
          </cell>
          <cell r="N3180" t="str">
            <v>27/6/2005</v>
          </cell>
          <cell r="P3180" t="str">
            <v>IN5627D2S082001</v>
          </cell>
        </row>
        <row r="3181">
          <cell r="A3181">
            <v>60065427</v>
          </cell>
          <cell r="B3181">
            <v>3179</v>
          </cell>
          <cell r="C3181" t="str">
            <v>CS01/12</v>
          </cell>
          <cell r="D3181" t="str">
            <v>SPCEN-SD</v>
          </cell>
          <cell r="E3181" t="str">
            <v>AF3</v>
          </cell>
          <cell r="F3181">
            <v>1.2</v>
          </cell>
          <cell r="G3181">
            <v>138</v>
          </cell>
          <cell r="H3181" t="str">
            <v>C</v>
          </cell>
          <cell r="I3181" t="str">
            <v>A</v>
          </cell>
          <cell r="J3181" t="str">
            <v>STORE</v>
          </cell>
          <cell r="K3181">
            <v>1</v>
          </cell>
          <cell r="L3181">
            <v>164</v>
          </cell>
          <cell r="M3181">
            <v>60065427</v>
          </cell>
          <cell r="N3181">
            <v>38815</v>
          </cell>
          <cell r="P3181" t="str">
            <v>IN6804D1S268601</v>
          </cell>
        </row>
        <row r="3182">
          <cell r="A3182">
            <v>60065428</v>
          </cell>
          <cell r="B3182">
            <v>3180</v>
          </cell>
          <cell r="C3182" t="str">
            <v>CS01/12</v>
          </cell>
          <cell r="D3182" t="str">
            <v>SPCEN-SD</v>
          </cell>
          <cell r="E3182" t="str">
            <v>AF3</v>
          </cell>
          <cell r="F3182">
            <v>1.2</v>
          </cell>
          <cell r="G3182">
            <v>138</v>
          </cell>
          <cell r="H3182" t="str">
            <v>C</v>
          </cell>
          <cell r="I3182" t="str">
            <v>A</v>
          </cell>
          <cell r="J3182" t="str">
            <v>STORE</v>
          </cell>
          <cell r="K3182">
            <v>1</v>
          </cell>
          <cell r="L3182">
            <v>162</v>
          </cell>
          <cell r="M3182">
            <v>60065428</v>
          </cell>
          <cell r="N3182">
            <v>38815</v>
          </cell>
          <cell r="P3182" t="str">
            <v>IN6804D1S268602</v>
          </cell>
        </row>
        <row r="3183">
          <cell r="A3183">
            <v>60065231</v>
          </cell>
          <cell r="B3183">
            <v>3181</v>
          </cell>
          <cell r="C3183" t="str">
            <v>CS01/12</v>
          </cell>
          <cell r="D3183" t="str">
            <v>SPCEN-SD</v>
          </cell>
          <cell r="E3183" t="str">
            <v>AF3</v>
          </cell>
          <cell r="F3183">
            <v>1.2</v>
          </cell>
          <cell r="G3183">
            <v>150</v>
          </cell>
          <cell r="H3183" t="str">
            <v>C</v>
          </cell>
          <cell r="I3183" t="str">
            <v>A</v>
          </cell>
          <cell r="J3183" t="str">
            <v>STORE</v>
          </cell>
          <cell r="K3183">
            <v>1</v>
          </cell>
          <cell r="L3183">
            <v>872</v>
          </cell>
          <cell r="M3183">
            <v>60065231</v>
          </cell>
          <cell r="N3183">
            <v>38756</v>
          </cell>
          <cell r="P3183" t="str">
            <v>IN6802D1S262501</v>
          </cell>
        </row>
        <row r="3184">
          <cell r="A3184">
            <v>60056433</v>
          </cell>
          <cell r="B3184">
            <v>3182</v>
          </cell>
          <cell r="C3184" t="str">
            <v>CS01/12</v>
          </cell>
          <cell r="D3184" t="str">
            <v>SPCEN-SD</v>
          </cell>
          <cell r="E3184" t="str">
            <v>AF3</v>
          </cell>
          <cell r="F3184">
            <v>1.2</v>
          </cell>
          <cell r="G3184">
            <v>235</v>
          </cell>
          <cell r="H3184" t="str">
            <v>C</v>
          </cell>
          <cell r="I3184" t="str">
            <v>A</v>
          </cell>
          <cell r="J3184" t="str">
            <v>STORE</v>
          </cell>
          <cell r="K3184">
            <v>1</v>
          </cell>
          <cell r="L3184">
            <v>1509</v>
          </cell>
          <cell r="M3184">
            <v>60056433</v>
          </cell>
          <cell r="N3184">
            <v>38872</v>
          </cell>
          <cell r="P3184" t="str">
            <v>IN6406D1S922001</v>
          </cell>
        </row>
        <row r="3185">
          <cell r="A3185">
            <v>60059574</v>
          </cell>
          <cell r="B3185">
            <v>3183</v>
          </cell>
          <cell r="C3185" t="str">
            <v>CS01/12</v>
          </cell>
          <cell r="D3185" t="str">
            <v>SPCEN-SD</v>
          </cell>
          <cell r="E3185" t="str">
            <v>AF3</v>
          </cell>
          <cell r="F3185">
            <v>1.4</v>
          </cell>
          <cell r="G3185">
            <v>45</v>
          </cell>
          <cell r="H3185" t="str">
            <v>C</v>
          </cell>
          <cell r="I3185" t="str">
            <v>A</v>
          </cell>
          <cell r="J3185" t="str">
            <v>STORE</v>
          </cell>
          <cell r="K3185">
            <v>1</v>
          </cell>
          <cell r="L3185">
            <v>100</v>
          </cell>
          <cell r="M3185">
            <v>60059574</v>
          </cell>
          <cell r="N3185" t="str">
            <v>21/5/2006</v>
          </cell>
          <cell r="P3185" t="str">
            <v>IN6521N2S033601</v>
          </cell>
        </row>
        <row r="3186">
          <cell r="A3186">
            <v>60055430</v>
          </cell>
          <cell r="B3186">
            <v>3184</v>
          </cell>
          <cell r="C3186" t="str">
            <v>CS01/12</v>
          </cell>
          <cell r="D3186" t="str">
            <v>SPCEN-SD</v>
          </cell>
          <cell r="E3186" t="str">
            <v>AF3</v>
          </cell>
          <cell r="F3186">
            <v>1.6</v>
          </cell>
          <cell r="G3186">
            <v>43</v>
          </cell>
          <cell r="H3186" t="str">
            <v>C</v>
          </cell>
          <cell r="I3186" t="str">
            <v>A</v>
          </cell>
          <cell r="J3186" t="str">
            <v>STORE</v>
          </cell>
          <cell r="K3186">
            <v>1</v>
          </cell>
          <cell r="L3186">
            <v>192</v>
          </cell>
          <cell r="M3186">
            <v>60055430</v>
          </cell>
          <cell r="N3186" t="str">
            <v>24/3/2006</v>
          </cell>
          <cell r="P3186" t="str">
            <v>IN6324D2S872401</v>
          </cell>
        </row>
        <row r="3187">
          <cell r="A3187">
            <v>60057143</v>
          </cell>
          <cell r="B3187">
            <v>3185</v>
          </cell>
          <cell r="C3187" t="str">
            <v>CS01/12</v>
          </cell>
          <cell r="D3187" t="str">
            <v>SPCEN-SD</v>
          </cell>
          <cell r="E3187" t="str">
            <v>AF3</v>
          </cell>
          <cell r="F3187">
            <v>1.6</v>
          </cell>
          <cell r="G3187">
            <v>43</v>
          </cell>
          <cell r="H3187" t="str">
            <v>C</v>
          </cell>
          <cell r="I3187" t="str">
            <v>A</v>
          </cell>
          <cell r="J3187" t="str">
            <v>STORE</v>
          </cell>
          <cell r="K3187">
            <v>1</v>
          </cell>
          <cell r="L3187">
            <v>244</v>
          </cell>
          <cell r="M3187">
            <v>60057143</v>
          </cell>
          <cell r="N3187" t="str">
            <v>22/4/2006</v>
          </cell>
          <cell r="P3187" t="str">
            <v>IN6422D2S950601</v>
          </cell>
        </row>
        <row r="3188">
          <cell r="A3188">
            <v>60058475</v>
          </cell>
          <cell r="B3188">
            <v>3186</v>
          </cell>
          <cell r="C3188" t="str">
            <v>CS01/12</v>
          </cell>
          <cell r="D3188" t="str">
            <v>SPCEN-SD</v>
          </cell>
          <cell r="E3188" t="str">
            <v>AF3</v>
          </cell>
          <cell r="F3188">
            <v>1.6</v>
          </cell>
          <cell r="G3188">
            <v>332</v>
          </cell>
          <cell r="H3188" t="str">
            <v>C</v>
          </cell>
          <cell r="I3188" t="str">
            <v>A</v>
          </cell>
          <cell r="J3188" t="str">
            <v>STORE</v>
          </cell>
          <cell r="K3188">
            <v>1</v>
          </cell>
          <cell r="L3188">
            <v>312</v>
          </cell>
          <cell r="M3188">
            <v>60058475</v>
          </cell>
          <cell r="N3188">
            <v>38873</v>
          </cell>
          <cell r="P3188" t="str">
            <v>IN6506N1S988501</v>
          </cell>
        </row>
        <row r="3189">
          <cell r="A3189">
            <v>60058477</v>
          </cell>
          <cell r="B3189">
            <v>3187</v>
          </cell>
          <cell r="C3189" t="str">
            <v>CS01/12</v>
          </cell>
          <cell r="D3189" t="str">
            <v>SPCEN-SD</v>
          </cell>
          <cell r="E3189" t="str">
            <v>AF3</v>
          </cell>
          <cell r="F3189">
            <v>1.6</v>
          </cell>
          <cell r="G3189">
            <v>332</v>
          </cell>
          <cell r="H3189" t="str">
            <v>C</v>
          </cell>
          <cell r="I3189" t="str">
            <v>A</v>
          </cell>
          <cell r="J3189" t="str">
            <v>STORE</v>
          </cell>
          <cell r="K3189">
            <v>1</v>
          </cell>
          <cell r="L3189">
            <v>312</v>
          </cell>
          <cell r="M3189">
            <v>60058477</v>
          </cell>
          <cell r="N3189">
            <v>38873</v>
          </cell>
          <cell r="P3189" t="str">
            <v>IN6506N1S988502</v>
          </cell>
        </row>
        <row r="3190">
          <cell r="A3190">
            <v>60061147</v>
          </cell>
          <cell r="B3190">
            <v>3188</v>
          </cell>
          <cell r="C3190" t="str">
            <v>CS01/12</v>
          </cell>
          <cell r="D3190" t="str">
            <v>SPCEN-SD</v>
          </cell>
          <cell r="E3190" t="str">
            <v>AF3</v>
          </cell>
          <cell r="F3190">
            <v>1.6</v>
          </cell>
          <cell r="G3190">
            <v>444</v>
          </cell>
          <cell r="H3190" t="str">
            <v>C</v>
          </cell>
          <cell r="I3190" t="str">
            <v>A</v>
          </cell>
          <cell r="J3190" t="str">
            <v>STORE</v>
          </cell>
          <cell r="K3190">
            <v>1</v>
          </cell>
          <cell r="L3190">
            <v>3822</v>
          </cell>
          <cell r="M3190">
            <v>60061147</v>
          </cell>
          <cell r="N3190">
            <v>38846</v>
          </cell>
          <cell r="P3190" t="str">
            <v>IN6905D1S350601</v>
          </cell>
        </row>
        <row r="3191">
          <cell r="A3191">
            <v>60033327</v>
          </cell>
          <cell r="B3191">
            <v>3189</v>
          </cell>
          <cell r="C3191" t="str">
            <v>CS01/12</v>
          </cell>
          <cell r="D3191" t="str">
            <v>SPCEN-SD</v>
          </cell>
          <cell r="E3191" t="str">
            <v>AF3</v>
          </cell>
          <cell r="F3191">
            <v>2</v>
          </cell>
          <cell r="G3191">
            <v>70</v>
          </cell>
          <cell r="H3191" t="str">
            <v>C</v>
          </cell>
          <cell r="I3191" t="str">
            <v>A</v>
          </cell>
          <cell r="J3191" t="str">
            <v>STORE</v>
          </cell>
          <cell r="K3191">
            <v>1</v>
          </cell>
          <cell r="L3191">
            <v>134</v>
          </cell>
          <cell r="M3191">
            <v>60033327</v>
          </cell>
          <cell r="N3191">
            <v>38508</v>
          </cell>
          <cell r="P3191" t="str">
            <v>IN5506N1S936001</v>
          </cell>
        </row>
        <row r="3192">
          <cell r="A3192">
            <v>60040838</v>
          </cell>
          <cell r="B3192">
            <v>3190</v>
          </cell>
          <cell r="C3192" t="str">
            <v>CS01/12</v>
          </cell>
          <cell r="D3192" t="str">
            <v>SPCEN-SD</v>
          </cell>
          <cell r="E3192" t="str">
            <v>AF3</v>
          </cell>
          <cell r="F3192">
            <v>2</v>
          </cell>
          <cell r="G3192">
            <v>70</v>
          </cell>
          <cell r="H3192" t="str">
            <v>C</v>
          </cell>
          <cell r="I3192" t="str">
            <v>A</v>
          </cell>
          <cell r="J3192" t="str">
            <v>STORE</v>
          </cell>
          <cell r="K3192">
            <v>1</v>
          </cell>
          <cell r="L3192">
            <v>220</v>
          </cell>
          <cell r="M3192">
            <v>60040838</v>
          </cell>
          <cell r="N3192" t="str">
            <v>17/9/2005</v>
          </cell>
          <cell r="P3192" t="str">
            <v>IN5917N1S360701</v>
          </cell>
        </row>
        <row r="3193">
          <cell r="A3193">
            <v>60046781</v>
          </cell>
          <cell r="B3193">
            <v>3191</v>
          </cell>
          <cell r="C3193" t="str">
            <v>CS01/12</v>
          </cell>
          <cell r="D3193" t="str">
            <v>SPCEN-SD</v>
          </cell>
          <cell r="E3193" t="str">
            <v>AF3</v>
          </cell>
          <cell r="F3193">
            <v>2</v>
          </cell>
          <cell r="G3193">
            <v>70</v>
          </cell>
          <cell r="H3193" t="str">
            <v>C</v>
          </cell>
          <cell r="I3193" t="str">
            <v>A</v>
          </cell>
          <cell r="J3193" t="str">
            <v>STORE</v>
          </cell>
          <cell r="K3193">
            <v>1</v>
          </cell>
          <cell r="L3193">
            <v>248</v>
          </cell>
          <cell r="M3193">
            <v>60046781</v>
          </cell>
          <cell r="N3193">
            <v>38515</v>
          </cell>
          <cell r="P3193" t="str">
            <v>IN5C06D1S533401</v>
          </cell>
        </row>
        <row r="3194">
          <cell r="A3194">
            <v>60065000</v>
          </cell>
          <cell r="B3194">
            <v>3192</v>
          </cell>
          <cell r="C3194" t="str">
            <v>CS01/12</v>
          </cell>
          <cell r="D3194" t="str">
            <v>SPCC-SD</v>
          </cell>
          <cell r="E3194" t="str">
            <v>AG1</v>
          </cell>
          <cell r="F3194">
            <v>2</v>
          </cell>
          <cell r="G3194">
            <v>92</v>
          </cell>
          <cell r="H3194" t="str">
            <v>C</v>
          </cell>
          <cell r="I3194" t="str">
            <v>A</v>
          </cell>
          <cell r="J3194" t="str">
            <v>STORE</v>
          </cell>
          <cell r="K3194">
            <v>1</v>
          </cell>
          <cell r="L3194">
            <v>254</v>
          </cell>
          <cell r="M3194">
            <v>60065000</v>
          </cell>
          <cell r="N3194" t="str">
            <v>31/7/2006</v>
          </cell>
          <cell r="P3194" t="str">
            <v>IN6731N1S241501</v>
          </cell>
        </row>
        <row r="3195">
          <cell r="A3195">
            <v>60065011</v>
          </cell>
          <cell r="B3195">
            <v>3193</v>
          </cell>
          <cell r="C3195" t="str">
            <v>CS01/12</v>
          </cell>
          <cell r="D3195" t="str">
            <v>SPCC-SD</v>
          </cell>
          <cell r="E3195" t="str">
            <v>AG1</v>
          </cell>
          <cell r="F3195">
            <v>2</v>
          </cell>
          <cell r="G3195">
            <v>92</v>
          </cell>
          <cell r="H3195" t="str">
            <v>C</v>
          </cell>
          <cell r="I3195" t="str">
            <v>A</v>
          </cell>
          <cell r="J3195" t="str">
            <v>STORE</v>
          </cell>
          <cell r="K3195">
            <v>1</v>
          </cell>
          <cell r="L3195">
            <v>240</v>
          </cell>
          <cell r="M3195">
            <v>60065011</v>
          </cell>
          <cell r="N3195" t="str">
            <v>31/7/2006</v>
          </cell>
          <cell r="P3195" t="str">
            <v>IN6731N1S241502</v>
          </cell>
        </row>
        <row r="3196">
          <cell r="A3196">
            <v>60062859</v>
          </cell>
          <cell r="B3196">
            <v>3194</v>
          </cell>
          <cell r="C3196" t="str">
            <v>CS01/12</v>
          </cell>
          <cell r="D3196" t="str">
            <v>SPCC-SD</v>
          </cell>
          <cell r="E3196" t="str">
            <v>AK1</v>
          </cell>
          <cell r="F3196">
            <v>0.6</v>
          </cell>
          <cell r="G3196">
            <v>213</v>
          </cell>
          <cell r="H3196" t="str">
            <v>C</v>
          </cell>
          <cell r="I3196" t="str">
            <v>A</v>
          </cell>
          <cell r="J3196" t="str">
            <v>STORE</v>
          </cell>
          <cell r="K3196">
            <v>1</v>
          </cell>
          <cell r="L3196">
            <v>1622</v>
          </cell>
          <cell r="M3196">
            <v>60062859</v>
          </cell>
          <cell r="N3196">
            <v>38814</v>
          </cell>
          <cell r="P3196" t="str">
            <v>IN6704D1S171301</v>
          </cell>
        </row>
        <row r="3197">
          <cell r="A3197">
            <v>60062862</v>
          </cell>
          <cell r="B3197">
            <v>3195</v>
          </cell>
          <cell r="C3197" t="str">
            <v>CS01/12</v>
          </cell>
          <cell r="D3197" t="str">
            <v>SPCC-SD</v>
          </cell>
          <cell r="E3197" t="str">
            <v>AK1</v>
          </cell>
          <cell r="F3197">
            <v>0.6</v>
          </cell>
          <cell r="G3197">
            <v>213</v>
          </cell>
          <cell r="H3197" t="str">
            <v>C</v>
          </cell>
          <cell r="I3197" t="str">
            <v>A</v>
          </cell>
          <cell r="J3197" t="str">
            <v>STORE</v>
          </cell>
          <cell r="K3197">
            <v>1</v>
          </cell>
          <cell r="L3197">
            <v>1522</v>
          </cell>
          <cell r="M3197">
            <v>60062862</v>
          </cell>
          <cell r="N3197">
            <v>38814</v>
          </cell>
          <cell r="P3197" t="str">
            <v>IN6704D1S171301</v>
          </cell>
        </row>
        <row r="3198">
          <cell r="A3198">
            <v>60062881</v>
          </cell>
          <cell r="B3198">
            <v>3196</v>
          </cell>
          <cell r="C3198" t="str">
            <v>CS01/12</v>
          </cell>
          <cell r="D3198" t="str">
            <v>SPCC-SD</v>
          </cell>
          <cell r="E3198" t="str">
            <v>AK1</v>
          </cell>
          <cell r="F3198">
            <v>0.6</v>
          </cell>
          <cell r="G3198">
            <v>213</v>
          </cell>
          <cell r="H3198" t="str">
            <v>C</v>
          </cell>
          <cell r="I3198" t="str">
            <v>A</v>
          </cell>
          <cell r="J3198" t="str">
            <v>STORE</v>
          </cell>
          <cell r="K3198">
            <v>1</v>
          </cell>
          <cell r="L3198">
            <v>1680</v>
          </cell>
          <cell r="M3198">
            <v>60062881</v>
          </cell>
          <cell r="N3198">
            <v>38814</v>
          </cell>
          <cell r="P3198" t="str">
            <v>IN6704D1S171302</v>
          </cell>
        </row>
        <row r="3199">
          <cell r="A3199">
            <v>60062884</v>
          </cell>
          <cell r="B3199">
            <v>3197</v>
          </cell>
          <cell r="C3199" t="str">
            <v>CS01/12</v>
          </cell>
          <cell r="D3199" t="str">
            <v>SPCC-SD</v>
          </cell>
          <cell r="E3199" t="str">
            <v>AK1</v>
          </cell>
          <cell r="F3199">
            <v>0.6</v>
          </cell>
          <cell r="G3199">
            <v>213</v>
          </cell>
          <cell r="H3199" t="str">
            <v>C</v>
          </cell>
          <cell r="I3199" t="str">
            <v>A</v>
          </cell>
          <cell r="J3199" t="str">
            <v>STORE</v>
          </cell>
          <cell r="K3199">
            <v>1</v>
          </cell>
          <cell r="L3199">
            <v>1624</v>
          </cell>
          <cell r="M3199">
            <v>60062884</v>
          </cell>
          <cell r="N3199">
            <v>38814</v>
          </cell>
          <cell r="P3199" t="str">
            <v>IN6704D1S171303</v>
          </cell>
        </row>
        <row r="3200">
          <cell r="A3200">
            <v>60062887</v>
          </cell>
          <cell r="B3200">
            <v>3198</v>
          </cell>
          <cell r="C3200" t="str">
            <v>CS01/12</v>
          </cell>
          <cell r="D3200" t="str">
            <v>SPCC-SD</v>
          </cell>
          <cell r="E3200" t="str">
            <v>AK1</v>
          </cell>
          <cell r="F3200">
            <v>0.6</v>
          </cell>
          <cell r="G3200">
            <v>213</v>
          </cell>
          <cell r="H3200" t="str">
            <v>C</v>
          </cell>
          <cell r="I3200" t="str">
            <v>A</v>
          </cell>
          <cell r="J3200" t="str">
            <v>STORE</v>
          </cell>
          <cell r="K3200">
            <v>1</v>
          </cell>
          <cell r="L3200">
            <v>1560</v>
          </cell>
          <cell r="M3200">
            <v>60062887</v>
          </cell>
          <cell r="N3200">
            <v>38814</v>
          </cell>
          <cell r="P3200" t="str">
            <v>IN6704D1S171304</v>
          </cell>
        </row>
        <row r="3201">
          <cell r="A3201">
            <v>60062890</v>
          </cell>
          <cell r="B3201">
            <v>3199</v>
          </cell>
          <cell r="C3201" t="str">
            <v>CS01/12</v>
          </cell>
          <cell r="D3201" t="str">
            <v>SPCC-SD</v>
          </cell>
          <cell r="E3201" t="str">
            <v>AK1</v>
          </cell>
          <cell r="F3201">
            <v>0.6</v>
          </cell>
          <cell r="G3201">
            <v>213</v>
          </cell>
          <cell r="H3201" t="str">
            <v>C</v>
          </cell>
          <cell r="I3201" t="str">
            <v>A</v>
          </cell>
          <cell r="J3201" t="str">
            <v>STORE</v>
          </cell>
          <cell r="K3201">
            <v>1</v>
          </cell>
          <cell r="L3201">
            <v>1689</v>
          </cell>
          <cell r="M3201">
            <v>60062890</v>
          </cell>
          <cell r="N3201">
            <v>38814</v>
          </cell>
          <cell r="P3201" t="str">
            <v>IN6704D1S171305</v>
          </cell>
        </row>
        <row r="3202">
          <cell r="A3202">
            <v>60062936</v>
          </cell>
          <cell r="B3202">
            <v>3200</v>
          </cell>
          <cell r="C3202" t="str">
            <v>CS01/12</v>
          </cell>
          <cell r="D3202" t="str">
            <v>SPCC-SD</v>
          </cell>
          <cell r="E3202" t="str">
            <v>AK1</v>
          </cell>
          <cell r="F3202">
            <v>0.6</v>
          </cell>
          <cell r="G3202">
            <v>213</v>
          </cell>
          <cell r="H3202" t="str">
            <v>C</v>
          </cell>
          <cell r="I3202" t="str">
            <v>A</v>
          </cell>
          <cell r="J3202" t="str">
            <v>STORE</v>
          </cell>
          <cell r="K3202">
            <v>1</v>
          </cell>
          <cell r="L3202">
            <v>1680</v>
          </cell>
          <cell r="M3202">
            <v>60062936</v>
          </cell>
          <cell r="N3202">
            <v>38844</v>
          </cell>
          <cell r="P3202" t="str">
            <v>IN6705N1S173201</v>
          </cell>
        </row>
        <row r="3203">
          <cell r="A3203">
            <v>60063025</v>
          </cell>
          <cell r="B3203">
            <v>3201</v>
          </cell>
          <cell r="C3203" t="str">
            <v>CS01/12</v>
          </cell>
          <cell r="D3203" t="str">
            <v>SPCC-SD</v>
          </cell>
          <cell r="E3203" t="str">
            <v>AK1</v>
          </cell>
          <cell r="F3203">
            <v>0.6</v>
          </cell>
          <cell r="G3203">
            <v>213</v>
          </cell>
          <cell r="H3203" t="str">
            <v>C</v>
          </cell>
          <cell r="I3203" t="str">
            <v>A</v>
          </cell>
          <cell r="J3203" t="str">
            <v>STORE</v>
          </cell>
          <cell r="K3203">
            <v>1</v>
          </cell>
          <cell r="L3203">
            <v>1676</v>
          </cell>
          <cell r="M3203">
            <v>60063025</v>
          </cell>
          <cell r="N3203">
            <v>38844</v>
          </cell>
          <cell r="P3203" t="str">
            <v>IN6705N1S176901</v>
          </cell>
        </row>
        <row r="3204">
          <cell r="A3204">
            <v>60056365</v>
          </cell>
          <cell r="B3204">
            <v>3202</v>
          </cell>
          <cell r="C3204" t="str">
            <v>CS01/12</v>
          </cell>
          <cell r="D3204" t="str">
            <v>SPHC P/O</v>
          </cell>
          <cell r="E3204" t="str">
            <v>CA1</v>
          </cell>
          <cell r="F3204">
            <v>1.2</v>
          </cell>
          <cell r="G3204">
            <v>92</v>
          </cell>
          <cell r="H3204" t="str">
            <v>C</v>
          </cell>
          <cell r="I3204" t="str">
            <v>A</v>
          </cell>
          <cell r="J3204" t="str">
            <v>STORE</v>
          </cell>
          <cell r="K3204">
            <v>1</v>
          </cell>
          <cell r="L3204">
            <v>178</v>
          </cell>
          <cell r="M3204">
            <v>60056365</v>
          </cell>
          <cell r="N3204">
            <v>38842</v>
          </cell>
          <cell r="P3204" t="str">
            <v>IN6505N1S987001</v>
          </cell>
        </row>
        <row r="3205">
          <cell r="A3205">
            <v>60062263</v>
          </cell>
          <cell r="B3205">
            <v>3203</v>
          </cell>
          <cell r="C3205" t="str">
            <v>CS01/12</v>
          </cell>
          <cell r="D3205" t="str">
            <v>SPHC P/O</v>
          </cell>
          <cell r="E3205" t="str">
            <v>CA1</v>
          </cell>
          <cell r="F3205">
            <v>1.4</v>
          </cell>
          <cell r="G3205">
            <v>66</v>
          </cell>
          <cell r="H3205" t="str">
            <v>C</v>
          </cell>
          <cell r="I3205" t="str">
            <v>A</v>
          </cell>
          <cell r="J3205" t="str">
            <v>STORE</v>
          </cell>
          <cell r="K3205">
            <v>1</v>
          </cell>
          <cell r="L3205">
            <v>151</v>
          </cell>
          <cell r="M3205">
            <v>60062263</v>
          </cell>
          <cell r="N3205" t="str">
            <v>23/6/2006</v>
          </cell>
          <cell r="P3205" t="str">
            <v>IN6623N1S127001</v>
          </cell>
        </row>
        <row r="3206">
          <cell r="A3206">
            <v>60023872</v>
          </cell>
          <cell r="B3206">
            <v>3204</v>
          </cell>
          <cell r="C3206" t="str">
            <v>CS01/12</v>
          </cell>
          <cell r="D3206" t="str">
            <v>SPHC P/O</v>
          </cell>
          <cell r="E3206" t="str">
            <v>CA1</v>
          </cell>
          <cell r="F3206">
            <v>1.4</v>
          </cell>
          <cell r="G3206">
            <v>100</v>
          </cell>
          <cell r="H3206" t="str">
            <v>C</v>
          </cell>
          <cell r="I3206" t="str">
            <v>A</v>
          </cell>
          <cell r="J3206" t="str">
            <v>STORE</v>
          </cell>
          <cell r="K3206">
            <v>1</v>
          </cell>
          <cell r="L3206">
            <v>355</v>
          </cell>
          <cell r="M3206">
            <v>60023872</v>
          </cell>
          <cell r="N3206" t="str">
            <v>30/11/2004</v>
          </cell>
          <cell r="P3206" t="str">
            <v>FN4B30N1S513201</v>
          </cell>
        </row>
        <row r="3207">
          <cell r="A3207">
            <v>60059560</v>
          </cell>
          <cell r="B3207">
            <v>3205</v>
          </cell>
          <cell r="C3207" t="str">
            <v>CS01/12</v>
          </cell>
          <cell r="D3207" t="str">
            <v>SPCC-SD</v>
          </cell>
          <cell r="E3207" t="str">
            <v>AF1</v>
          </cell>
          <cell r="F3207">
            <v>0.4</v>
          </cell>
          <cell r="G3207">
            <v>40</v>
          </cell>
          <cell r="H3207" t="str">
            <v>C</v>
          </cell>
          <cell r="I3207" t="str">
            <v>A</v>
          </cell>
          <cell r="J3207" t="str">
            <v>STORE</v>
          </cell>
          <cell r="K3207">
            <v>1</v>
          </cell>
          <cell r="L3207">
            <v>92</v>
          </cell>
          <cell r="M3207">
            <v>60059560</v>
          </cell>
          <cell r="N3207" t="str">
            <v>20/5/2006</v>
          </cell>
          <cell r="P3207" t="str">
            <v>IN6520N1S029801</v>
          </cell>
        </row>
        <row r="3208">
          <cell r="A3208">
            <v>60059561</v>
          </cell>
          <cell r="B3208">
            <v>3206</v>
          </cell>
          <cell r="C3208" t="str">
            <v>CS01/12</v>
          </cell>
          <cell r="D3208" t="str">
            <v>SPCC-SD</v>
          </cell>
          <cell r="E3208" t="str">
            <v>AF1</v>
          </cell>
          <cell r="F3208">
            <v>0.4</v>
          </cell>
          <cell r="G3208">
            <v>40</v>
          </cell>
          <cell r="H3208" t="str">
            <v>C</v>
          </cell>
          <cell r="I3208" t="str">
            <v>A</v>
          </cell>
          <cell r="J3208" t="str">
            <v>STORE</v>
          </cell>
          <cell r="K3208">
            <v>1</v>
          </cell>
          <cell r="L3208">
            <v>91</v>
          </cell>
          <cell r="M3208">
            <v>60059561</v>
          </cell>
          <cell r="N3208" t="str">
            <v>20/5/2006</v>
          </cell>
          <cell r="P3208" t="str">
            <v>IN6520N1S029802</v>
          </cell>
        </row>
        <row r="3209">
          <cell r="A3209">
            <v>60059833</v>
          </cell>
          <cell r="B3209">
            <v>3207</v>
          </cell>
          <cell r="C3209" t="str">
            <v>CS01/12</v>
          </cell>
          <cell r="D3209" t="str">
            <v>SPCC-SD</v>
          </cell>
          <cell r="E3209" t="str">
            <v>AF1</v>
          </cell>
          <cell r="F3209">
            <v>0.4</v>
          </cell>
          <cell r="G3209">
            <v>40</v>
          </cell>
          <cell r="H3209" t="str">
            <v>C</v>
          </cell>
          <cell r="I3209" t="str">
            <v>A</v>
          </cell>
          <cell r="J3209" t="str">
            <v>STORE</v>
          </cell>
          <cell r="K3209">
            <v>1</v>
          </cell>
          <cell r="L3209">
            <v>80</v>
          </cell>
          <cell r="M3209">
            <v>60059833</v>
          </cell>
          <cell r="N3209" t="str">
            <v>24/5/2006</v>
          </cell>
          <cell r="P3209" t="str">
            <v>IN6524D1S040301</v>
          </cell>
        </row>
        <row r="3210">
          <cell r="A3210">
            <v>60059834</v>
          </cell>
          <cell r="B3210">
            <v>3208</v>
          </cell>
          <cell r="C3210" t="str">
            <v>CS01/12</v>
          </cell>
          <cell r="D3210" t="str">
            <v>SPCC-SD</v>
          </cell>
          <cell r="E3210" t="str">
            <v>AF1</v>
          </cell>
          <cell r="F3210">
            <v>0.4</v>
          </cell>
          <cell r="G3210">
            <v>40</v>
          </cell>
          <cell r="H3210" t="str">
            <v>C</v>
          </cell>
          <cell r="I3210" t="str">
            <v>A</v>
          </cell>
          <cell r="J3210" t="str">
            <v>STORE</v>
          </cell>
          <cell r="K3210">
            <v>1</v>
          </cell>
          <cell r="L3210">
            <v>80</v>
          </cell>
          <cell r="M3210">
            <v>60059834</v>
          </cell>
          <cell r="N3210" t="str">
            <v>24/5/2006</v>
          </cell>
          <cell r="P3210" t="str">
            <v>IN6524D1S040302</v>
          </cell>
        </row>
        <row r="3211">
          <cell r="A3211">
            <v>60059562</v>
          </cell>
          <cell r="B3211">
            <v>3209</v>
          </cell>
          <cell r="C3211" t="str">
            <v>CS01/12</v>
          </cell>
          <cell r="D3211" t="str">
            <v>SPCC-SD</v>
          </cell>
          <cell r="E3211" t="str">
            <v>AF1</v>
          </cell>
          <cell r="F3211">
            <v>0.4</v>
          </cell>
          <cell r="G3211">
            <v>400</v>
          </cell>
          <cell r="H3211" t="str">
            <v>C</v>
          </cell>
          <cell r="I3211" t="str">
            <v>A</v>
          </cell>
          <cell r="J3211" t="str">
            <v>STORE</v>
          </cell>
          <cell r="K3211">
            <v>1</v>
          </cell>
          <cell r="L3211">
            <v>916</v>
          </cell>
          <cell r="M3211">
            <v>60059562</v>
          </cell>
          <cell r="N3211" t="str">
            <v>20/5/2006</v>
          </cell>
          <cell r="P3211" t="str">
            <v>IN6520N1S029801</v>
          </cell>
        </row>
        <row r="3212">
          <cell r="A3212">
            <v>60060893</v>
          </cell>
          <cell r="B3212">
            <v>3210</v>
          </cell>
          <cell r="C3212" t="str">
            <v>CS01/12</v>
          </cell>
          <cell r="D3212" t="str">
            <v>SPCC-SD</v>
          </cell>
          <cell r="E3212" t="str">
            <v>AF1</v>
          </cell>
          <cell r="F3212">
            <v>0.4</v>
          </cell>
          <cell r="G3212">
            <v>403</v>
          </cell>
          <cell r="H3212" t="str">
            <v>C</v>
          </cell>
          <cell r="I3212" t="str">
            <v>A</v>
          </cell>
          <cell r="J3212" t="str">
            <v>STORE</v>
          </cell>
          <cell r="K3212">
            <v>1</v>
          </cell>
          <cell r="L3212">
            <v>479</v>
          </cell>
          <cell r="M3212">
            <v>60060893</v>
          </cell>
          <cell r="N3212">
            <v>38782</v>
          </cell>
          <cell r="P3212" t="str">
            <v>IN6603D1S083001</v>
          </cell>
        </row>
        <row r="3213">
          <cell r="A3213">
            <v>60060889</v>
          </cell>
          <cell r="B3213">
            <v>3211</v>
          </cell>
          <cell r="C3213" t="str">
            <v>CS01/12</v>
          </cell>
          <cell r="D3213" t="str">
            <v>SPCC-SD</v>
          </cell>
          <cell r="E3213" t="str">
            <v>AF1</v>
          </cell>
          <cell r="F3213">
            <v>0.4</v>
          </cell>
          <cell r="G3213">
            <v>406</v>
          </cell>
          <cell r="H3213" t="str">
            <v>C</v>
          </cell>
          <cell r="I3213" t="str">
            <v>A</v>
          </cell>
          <cell r="J3213" t="str">
            <v>STORE</v>
          </cell>
          <cell r="K3213">
            <v>1</v>
          </cell>
          <cell r="L3213">
            <v>181</v>
          </cell>
          <cell r="M3213">
            <v>60060889</v>
          </cell>
          <cell r="N3213">
            <v>38782</v>
          </cell>
          <cell r="P3213" t="str">
            <v>IN6603D1S083001</v>
          </cell>
        </row>
        <row r="3214">
          <cell r="A3214">
            <v>60060866</v>
          </cell>
          <cell r="B3214">
            <v>3212</v>
          </cell>
          <cell r="C3214" t="str">
            <v>CS01/12</v>
          </cell>
          <cell r="D3214" t="str">
            <v>SPCC-SD</v>
          </cell>
          <cell r="E3214" t="str">
            <v>AF1</v>
          </cell>
          <cell r="F3214">
            <v>0.4</v>
          </cell>
          <cell r="G3214">
            <v>407</v>
          </cell>
          <cell r="H3214" t="str">
            <v>C</v>
          </cell>
          <cell r="I3214" t="str">
            <v>A</v>
          </cell>
          <cell r="J3214" t="str">
            <v>STORE</v>
          </cell>
          <cell r="K3214">
            <v>1</v>
          </cell>
          <cell r="L3214">
            <v>321</v>
          </cell>
          <cell r="M3214">
            <v>60060866</v>
          </cell>
          <cell r="N3214">
            <v>38782</v>
          </cell>
          <cell r="P3214" t="str">
            <v>IN6603D1S075301</v>
          </cell>
        </row>
        <row r="3215">
          <cell r="A3215">
            <v>60059835</v>
          </cell>
          <cell r="B3215">
            <v>3213</v>
          </cell>
          <cell r="C3215" t="str">
            <v>CS01/12</v>
          </cell>
          <cell r="D3215" t="str">
            <v>SPCC-SD</v>
          </cell>
          <cell r="E3215" t="str">
            <v>AF1</v>
          </cell>
          <cell r="F3215">
            <v>0.4</v>
          </cell>
          <cell r="G3215">
            <v>401.5</v>
          </cell>
          <cell r="H3215" t="str">
            <v>C</v>
          </cell>
          <cell r="I3215" t="str">
            <v>A</v>
          </cell>
          <cell r="J3215" t="str">
            <v>STORE</v>
          </cell>
          <cell r="K3215">
            <v>1</v>
          </cell>
          <cell r="L3215">
            <v>800</v>
          </cell>
          <cell r="M3215">
            <v>60059835</v>
          </cell>
          <cell r="N3215" t="str">
            <v>24/5/2006</v>
          </cell>
          <cell r="P3215" t="str">
            <v>IN6524D1S040301</v>
          </cell>
        </row>
        <row r="3216">
          <cell r="A3216">
            <v>60041577</v>
          </cell>
          <cell r="B3216">
            <v>3214</v>
          </cell>
          <cell r="C3216" t="str">
            <v>CS01/12</v>
          </cell>
          <cell r="D3216" t="str">
            <v>SPCC-SD</v>
          </cell>
          <cell r="E3216" t="str">
            <v>AF1</v>
          </cell>
          <cell r="F3216">
            <v>0.5</v>
          </cell>
          <cell r="G3216">
            <v>35</v>
          </cell>
          <cell r="H3216" t="str">
            <v>C</v>
          </cell>
          <cell r="I3216" t="str">
            <v>A</v>
          </cell>
          <cell r="J3216" t="str">
            <v>STORE</v>
          </cell>
          <cell r="K3216">
            <v>1</v>
          </cell>
          <cell r="L3216">
            <v>87</v>
          </cell>
          <cell r="M3216">
            <v>60041577</v>
          </cell>
          <cell r="N3216">
            <v>38513</v>
          </cell>
          <cell r="P3216" t="str">
            <v>IN5A06N1S346501</v>
          </cell>
        </row>
        <row r="3217">
          <cell r="A3217">
            <v>60041655</v>
          </cell>
          <cell r="B3217">
            <v>3215</v>
          </cell>
          <cell r="C3217" t="str">
            <v>CS01/12</v>
          </cell>
          <cell r="D3217" t="str">
            <v>SPCC-SD</v>
          </cell>
          <cell r="E3217" t="str">
            <v>AF1</v>
          </cell>
          <cell r="F3217">
            <v>0.5</v>
          </cell>
          <cell r="G3217">
            <v>35</v>
          </cell>
          <cell r="H3217" t="str">
            <v>C</v>
          </cell>
          <cell r="I3217" t="str">
            <v>A</v>
          </cell>
          <cell r="J3217" t="str">
            <v>STORE</v>
          </cell>
          <cell r="K3217">
            <v>1</v>
          </cell>
          <cell r="L3217">
            <v>60</v>
          </cell>
          <cell r="M3217">
            <v>60041655</v>
          </cell>
          <cell r="N3217">
            <v>38513</v>
          </cell>
          <cell r="P3217" t="str">
            <v>IN5A06N1S346502</v>
          </cell>
        </row>
        <row r="3218">
          <cell r="A3218">
            <v>60042603</v>
          </cell>
          <cell r="B3218">
            <v>3216</v>
          </cell>
          <cell r="C3218" t="str">
            <v>CS01/12</v>
          </cell>
          <cell r="D3218" t="str">
            <v>SPCC-SD</v>
          </cell>
          <cell r="E3218" t="str">
            <v>AF1</v>
          </cell>
          <cell r="F3218">
            <v>0.5</v>
          </cell>
          <cell r="G3218">
            <v>35</v>
          </cell>
          <cell r="H3218" t="str">
            <v>C</v>
          </cell>
          <cell r="I3218" t="str">
            <v>A</v>
          </cell>
          <cell r="J3218" t="str">
            <v>STORE</v>
          </cell>
          <cell r="K3218">
            <v>1</v>
          </cell>
          <cell r="L3218">
            <v>188</v>
          </cell>
          <cell r="M3218">
            <v>60042603</v>
          </cell>
          <cell r="N3218" t="str">
            <v>19/10/2005</v>
          </cell>
          <cell r="P3218" t="str">
            <v>IN5A19N1S384601</v>
          </cell>
        </row>
        <row r="3219">
          <cell r="A3219">
            <v>60042607</v>
          </cell>
          <cell r="B3219">
            <v>3217</v>
          </cell>
          <cell r="C3219" t="str">
            <v>CS01/12</v>
          </cell>
          <cell r="D3219" t="str">
            <v>SPCC-SD</v>
          </cell>
          <cell r="E3219" t="str">
            <v>AF1</v>
          </cell>
          <cell r="F3219">
            <v>0.5</v>
          </cell>
          <cell r="G3219">
            <v>35</v>
          </cell>
          <cell r="H3219" t="str">
            <v>C</v>
          </cell>
          <cell r="I3219" t="str">
            <v>A</v>
          </cell>
          <cell r="J3219" t="str">
            <v>STORE</v>
          </cell>
          <cell r="K3219">
            <v>1</v>
          </cell>
          <cell r="L3219">
            <v>96</v>
          </cell>
          <cell r="M3219">
            <v>60042607</v>
          </cell>
          <cell r="N3219" t="str">
            <v>19/10/2005</v>
          </cell>
          <cell r="P3219" t="str">
            <v>IN5A19N1S384602</v>
          </cell>
        </row>
        <row r="3220">
          <cell r="A3220">
            <v>60041108</v>
          </cell>
          <cell r="B3220">
            <v>3218</v>
          </cell>
          <cell r="C3220" t="str">
            <v>CS01/12</v>
          </cell>
          <cell r="D3220" t="str">
            <v>SPCC-SD</v>
          </cell>
          <cell r="E3220" t="str">
            <v>AF1</v>
          </cell>
          <cell r="F3220">
            <v>0.5</v>
          </cell>
          <cell r="G3220">
            <v>46</v>
          </cell>
          <cell r="H3220" t="str">
            <v>C</v>
          </cell>
          <cell r="I3220" t="str">
            <v>A</v>
          </cell>
          <cell r="J3220" t="str">
            <v>STORE</v>
          </cell>
          <cell r="K3220">
            <v>1</v>
          </cell>
          <cell r="L3220">
            <v>372</v>
          </cell>
          <cell r="M3220">
            <v>60041108</v>
          </cell>
          <cell r="N3220" t="str">
            <v>28/9/2005</v>
          </cell>
          <cell r="P3220" t="str">
            <v>IN5928D1S328401</v>
          </cell>
        </row>
        <row r="3221">
          <cell r="A3221">
            <v>60041618</v>
          </cell>
          <cell r="B3221">
            <v>3219</v>
          </cell>
          <cell r="C3221" t="str">
            <v>CS01/12</v>
          </cell>
          <cell r="D3221" t="str">
            <v>SPCC-SD</v>
          </cell>
          <cell r="E3221" t="str">
            <v>AF1</v>
          </cell>
          <cell r="F3221">
            <v>0.5</v>
          </cell>
          <cell r="G3221">
            <v>46</v>
          </cell>
          <cell r="H3221" t="str">
            <v>C</v>
          </cell>
          <cell r="I3221" t="str">
            <v>A</v>
          </cell>
          <cell r="J3221" t="str">
            <v>STORE</v>
          </cell>
          <cell r="K3221">
            <v>1</v>
          </cell>
          <cell r="L3221">
            <v>180</v>
          </cell>
          <cell r="M3221">
            <v>60041618</v>
          </cell>
          <cell r="N3221">
            <v>38513</v>
          </cell>
          <cell r="P3221" t="str">
            <v>IN5A06D1S346501</v>
          </cell>
        </row>
        <row r="3222">
          <cell r="A3222">
            <v>60041622</v>
          </cell>
          <cell r="B3222">
            <v>3220</v>
          </cell>
          <cell r="C3222" t="str">
            <v>CS01/12</v>
          </cell>
          <cell r="D3222" t="str">
            <v>SPCC-SD</v>
          </cell>
          <cell r="E3222" t="str">
            <v>AF1</v>
          </cell>
          <cell r="F3222">
            <v>0.5</v>
          </cell>
          <cell r="G3222">
            <v>46</v>
          </cell>
          <cell r="H3222" t="str">
            <v>C</v>
          </cell>
          <cell r="I3222" t="str">
            <v>A</v>
          </cell>
          <cell r="J3222" t="str">
            <v>STORE</v>
          </cell>
          <cell r="K3222">
            <v>1</v>
          </cell>
          <cell r="L3222">
            <v>112</v>
          </cell>
          <cell r="M3222">
            <v>60041622</v>
          </cell>
          <cell r="N3222">
            <v>38513</v>
          </cell>
          <cell r="P3222" t="str">
            <v>IN5A06D1S346502</v>
          </cell>
        </row>
        <row r="3223">
          <cell r="A3223">
            <v>60058343</v>
          </cell>
          <cell r="B3223">
            <v>3221</v>
          </cell>
          <cell r="C3223" t="str">
            <v>CS01/12</v>
          </cell>
          <cell r="D3223" t="str">
            <v>SPCC-SD</v>
          </cell>
          <cell r="E3223" t="str">
            <v>AF1</v>
          </cell>
          <cell r="F3223">
            <v>0.5</v>
          </cell>
          <cell r="G3223">
            <v>48</v>
          </cell>
          <cell r="H3223" t="str">
            <v>C</v>
          </cell>
          <cell r="I3223" t="str">
            <v>A</v>
          </cell>
          <cell r="J3223" t="str">
            <v>STORE</v>
          </cell>
          <cell r="K3223">
            <v>1</v>
          </cell>
          <cell r="L3223">
            <v>134</v>
          </cell>
          <cell r="M3223">
            <v>60058343</v>
          </cell>
          <cell r="N3223">
            <v>38842</v>
          </cell>
          <cell r="P3223" t="str">
            <v>IN6505D1S989801</v>
          </cell>
        </row>
        <row r="3224">
          <cell r="A3224">
            <v>60058355</v>
          </cell>
          <cell r="B3224">
            <v>3222</v>
          </cell>
          <cell r="C3224" t="str">
            <v>CS01/12</v>
          </cell>
          <cell r="D3224" t="str">
            <v>SPCC-SD</v>
          </cell>
          <cell r="E3224" t="str">
            <v>AF1</v>
          </cell>
          <cell r="F3224">
            <v>0.5</v>
          </cell>
          <cell r="G3224">
            <v>48</v>
          </cell>
          <cell r="H3224" t="str">
            <v>C</v>
          </cell>
          <cell r="I3224" t="str">
            <v>A</v>
          </cell>
          <cell r="J3224" t="str">
            <v>STORE</v>
          </cell>
          <cell r="K3224">
            <v>1</v>
          </cell>
          <cell r="L3224">
            <v>200</v>
          </cell>
          <cell r="M3224">
            <v>60058355</v>
          </cell>
          <cell r="N3224">
            <v>38842</v>
          </cell>
          <cell r="P3224" t="str">
            <v>IN6505D1S989802</v>
          </cell>
        </row>
        <row r="3225">
          <cell r="A3225">
            <v>60040168</v>
          </cell>
          <cell r="B3225">
            <v>3223</v>
          </cell>
          <cell r="C3225" t="str">
            <v>CS01/12</v>
          </cell>
          <cell r="D3225" t="str">
            <v>SPCC-SD</v>
          </cell>
          <cell r="E3225" t="str">
            <v>AF1</v>
          </cell>
          <cell r="F3225">
            <v>0.5</v>
          </cell>
          <cell r="G3225">
            <v>73</v>
          </cell>
          <cell r="H3225" t="str">
            <v>C</v>
          </cell>
          <cell r="I3225" t="str">
            <v>A</v>
          </cell>
          <cell r="J3225" t="str">
            <v>STORE</v>
          </cell>
          <cell r="K3225">
            <v>1</v>
          </cell>
          <cell r="L3225">
            <v>157</v>
          </cell>
          <cell r="M3225">
            <v>60040168</v>
          </cell>
          <cell r="N3225">
            <v>38542</v>
          </cell>
          <cell r="P3225" t="str">
            <v>IN5907N1S278801</v>
          </cell>
        </row>
        <row r="3226">
          <cell r="A3226">
            <v>60041514</v>
          </cell>
          <cell r="B3226">
            <v>3224</v>
          </cell>
          <cell r="C3226" t="str">
            <v>CS01/12</v>
          </cell>
          <cell r="D3226" t="str">
            <v>SPCC-SD</v>
          </cell>
          <cell r="E3226" t="str">
            <v>AF1</v>
          </cell>
          <cell r="F3226">
            <v>0.5</v>
          </cell>
          <cell r="G3226">
            <v>73</v>
          </cell>
          <cell r="H3226" t="str">
            <v>C</v>
          </cell>
          <cell r="I3226" t="str">
            <v>A</v>
          </cell>
          <cell r="J3226" t="str">
            <v>STORE</v>
          </cell>
          <cell r="K3226">
            <v>1</v>
          </cell>
          <cell r="L3226">
            <v>598</v>
          </cell>
          <cell r="M3226">
            <v>60041514</v>
          </cell>
          <cell r="N3226">
            <v>38482</v>
          </cell>
          <cell r="P3226" t="str">
            <v>IN5A05D1S346401</v>
          </cell>
        </row>
        <row r="3227">
          <cell r="A3227">
            <v>60041552</v>
          </cell>
          <cell r="B3227">
            <v>3225</v>
          </cell>
          <cell r="C3227" t="str">
            <v>CS01/12</v>
          </cell>
          <cell r="D3227" t="str">
            <v>SPCC-SD</v>
          </cell>
          <cell r="E3227" t="str">
            <v>AF1</v>
          </cell>
          <cell r="F3227">
            <v>0.5</v>
          </cell>
          <cell r="G3227">
            <v>73</v>
          </cell>
          <cell r="H3227" t="str">
            <v>C</v>
          </cell>
          <cell r="I3227" t="str">
            <v>A</v>
          </cell>
          <cell r="J3227" t="str">
            <v>STORE</v>
          </cell>
          <cell r="K3227">
            <v>1</v>
          </cell>
          <cell r="L3227">
            <v>172</v>
          </cell>
          <cell r="M3227">
            <v>60041552</v>
          </cell>
          <cell r="N3227">
            <v>38482</v>
          </cell>
          <cell r="P3227" t="str">
            <v>IN5A05D1S345901</v>
          </cell>
        </row>
        <row r="3228">
          <cell r="A3228">
            <v>60041556</v>
          </cell>
          <cell r="B3228">
            <v>3226</v>
          </cell>
          <cell r="C3228" t="str">
            <v>CS01/12</v>
          </cell>
          <cell r="D3228" t="str">
            <v>SPCC-SD</v>
          </cell>
          <cell r="E3228" t="str">
            <v>AF1</v>
          </cell>
          <cell r="F3228">
            <v>0.5</v>
          </cell>
          <cell r="G3228">
            <v>73</v>
          </cell>
          <cell r="H3228" t="str">
            <v>C</v>
          </cell>
          <cell r="I3228" t="str">
            <v>A</v>
          </cell>
          <cell r="J3228" t="str">
            <v>STORE</v>
          </cell>
          <cell r="K3228">
            <v>1</v>
          </cell>
          <cell r="L3228">
            <v>180</v>
          </cell>
          <cell r="M3228">
            <v>60041556</v>
          </cell>
          <cell r="N3228">
            <v>38482</v>
          </cell>
          <cell r="P3228" t="str">
            <v>IN5A05D1S345901</v>
          </cell>
        </row>
        <row r="3229">
          <cell r="A3229">
            <v>60045602</v>
          </cell>
          <cell r="B3229">
            <v>3227</v>
          </cell>
          <cell r="C3229" t="str">
            <v>CS01/12</v>
          </cell>
          <cell r="D3229" t="str">
            <v>SPCC-SD</v>
          </cell>
          <cell r="E3229" t="str">
            <v>AF1</v>
          </cell>
          <cell r="F3229">
            <v>0.5</v>
          </cell>
          <cell r="G3229">
            <v>73</v>
          </cell>
          <cell r="H3229" t="str">
            <v>C</v>
          </cell>
          <cell r="I3229" t="str">
            <v>A</v>
          </cell>
          <cell r="J3229" t="str">
            <v>STORE</v>
          </cell>
          <cell r="K3229">
            <v>1</v>
          </cell>
          <cell r="L3229">
            <v>356</v>
          </cell>
          <cell r="M3229">
            <v>60045602</v>
          </cell>
          <cell r="N3229" t="str">
            <v>23/11/2005</v>
          </cell>
          <cell r="P3229" t="str">
            <v>IN5B23N1S501101</v>
          </cell>
        </row>
        <row r="3230">
          <cell r="A3230">
            <v>60040166</v>
          </cell>
          <cell r="B3230">
            <v>3228</v>
          </cell>
          <cell r="C3230" t="str">
            <v>CS01/12</v>
          </cell>
          <cell r="D3230" t="str">
            <v>SPCC-SD</v>
          </cell>
          <cell r="E3230" t="str">
            <v>AF1</v>
          </cell>
          <cell r="F3230">
            <v>0.5</v>
          </cell>
          <cell r="G3230">
            <v>80</v>
          </cell>
          <cell r="H3230" t="str">
            <v>C</v>
          </cell>
          <cell r="I3230" t="str">
            <v>A</v>
          </cell>
          <cell r="J3230" t="str">
            <v>STORE</v>
          </cell>
          <cell r="K3230">
            <v>1</v>
          </cell>
          <cell r="L3230">
            <v>150</v>
          </cell>
          <cell r="M3230">
            <v>60040166</v>
          </cell>
          <cell r="N3230">
            <v>38542</v>
          </cell>
          <cell r="P3230" t="str">
            <v>IN5907N1S278801</v>
          </cell>
        </row>
        <row r="3231">
          <cell r="A3231">
            <v>60041493</v>
          </cell>
          <cell r="B3231">
            <v>3229</v>
          </cell>
          <cell r="C3231" t="str">
            <v>CS01/12</v>
          </cell>
          <cell r="D3231" t="str">
            <v>SPCC-SD</v>
          </cell>
          <cell r="E3231" t="str">
            <v>AF1</v>
          </cell>
          <cell r="F3231">
            <v>0.5</v>
          </cell>
          <cell r="G3231">
            <v>103</v>
          </cell>
          <cell r="H3231" t="str">
            <v>C</v>
          </cell>
          <cell r="I3231" t="str">
            <v>A</v>
          </cell>
          <cell r="J3231" t="str">
            <v>STORE</v>
          </cell>
          <cell r="K3231">
            <v>1</v>
          </cell>
          <cell r="L3231">
            <v>240</v>
          </cell>
          <cell r="M3231">
            <v>60041493</v>
          </cell>
          <cell r="N3231">
            <v>38482</v>
          </cell>
          <cell r="P3231" t="str">
            <v>IN5A05N1S346601</v>
          </cell>
        </row>
        <row r="3232">
          <cell r="A3232">
            <v>60052522</v>
          </cell>
          <cell r="B3232">
            <v>3230</v>
          </cell>
          <cell r="C3232" t="str">
            <v>CS01/12</v>
          </cell>
          <cell r="D3232" t="str">
            <v>SPCC-SD</v>
          </cell>
          <cell r="E3232" t="str">
            <v>AF1</v>
          </cell>
          <cell r="F3232">
            <v>0.5</v>
          </cell>
          <cell r="G3232">
            <v>150</v>
          </cell>
          <cell r="H3232" t="str">
            <v>C</v>
          </cell>
          <cell r="I3232" t="str">
            <v>A</v>
          </cell>
          <cell r="J3232" t="str">
            <v>STORE</v>
          </cell>
          <cell r="K3232">
            <v>1</v>
          </cell>
          <cell r="L3232">
            <v>786</v>
          </cell>
          <cell r="M3232">
            <v>60052522</v>
          </cell>
          <cell r="N3232" t="str">
            <v>23/2/2006</v>
          </cell>
          <cell r="O3232" t="str">
            <v>125321TCD001</v>
          </cell>
          <cell r="P3232" t="str">
            <v>IN6223N1S764601</v>
          </cell>
        </row>
        <row r="3233">
          <cell r="A3233">
            <v>60052814</v>
          </cell>
          <cell r="B3233">
            <v>3231</v>
          </cell>
          <cell r="C3233" t="str">
            <v>CS01/12</v>
          </cell>
          <cell r="D3233" t="str">
            <v>SPCC-SD</v>
          </cell>
          <cell r="E3233" t="str">
            <v>AF1</v>
          </cell>
          <cell r="F3233">
            <v>0.5</v>
          </cell>
          <cell r="G3233">
            <v>150</v>
          </cell>
          <cell r="H3233" t="str">
            <v>C</v>
          </cell>
          <cell r="I3233" t="str">
            <v>A</v>
          </cell>
          <cell r="J3233" t="str">
            <v>STORE</v>
          </cell>
          <cell r="K3233">
            <v>1</v>
          </cell>
          <cell r="L3233">
            <v>276</v>
          </cell>
          <cell r="M3233">
            <v>60052814</v>
          </cell>
          <cell r="N3233" t="str">
            <v>22/4/2006</v>
          </cell>
          <cell r="P3233" t="str">
            <v>IN6422D1M943501</v>
          </cell>
        </row>
        <row r="3234">
          <cell r="A3234">
            <v>60049046</v>
          </cell>
          <cell r="B3234">
            <v>3232</v>
          </cell>
          <cell r="C3234" t="str">
            <v>CS01/12</v>
          </cell>
          <cell r="D3234" t="str">
            <v>SPCC-SD</v>
          </cell>
          <cell r="E3234" t="str">
            <v>AF1</v>
          </cell>
          <cell r="F3234">
            <v>0.5</v>
          </cell>
          <cell r="G3234">
            <v>170</v>
          </cell>
          <cell r="H3234" t="str">
            <v>C</v>
          </cell>
          <cell r="I3234" t="str">
            <v>A</v>
          </cell>
          <cell r="J3234" t="str">
            <v>STORE</v>
          </cell>
          <cell r="K3234">
            <v>1</v>
          </cell>
          <cell r="L3234">
            <v>513</v>
          </cell>
          <cell r="M3234">
            <v>60049046</v>
          </cell>
          <cell r="N3234" t="str">
            <v>21/6/2006</v>
          </cell>
          <cell r="P3234" t="str">
            <v>IN6621D1M123301</v>
          </cell>
        </row>
        <row r="3235">
          <cell r="A3235">
            <v>60041558</v>
          </cell>
          <cell r="B3235">
            <v>3233</v>
          </cell>
          <cell r="C3235" t="str">
            <v>CS01/12</v>
          </cell>
          <cell r="D3235" t="str">
            <v>SPCC-SD</v>
          </cell>
          <cell r="E3235" t="str">
            <v>AF1</v>
          </cell>
          <cell r="F3235">
            <v>0.5</v>
          </cell>
          <cell r="G3235">
            <v>300</v>
          </cell>
          <cell r="H3235" t="str">
            <v>C</v>
          </cell>
          <cell r="I3235" t="str">
            <v>A</v>
          </cell>
          <cell r="J3235" t="str">
            <v>STORE</v>
          </cell>
          <cell r="K3235">
            <v>1</v>
          </cell>
          <cell r="L3235">
            <v>104</v>
          </cell>
          <cell r="M3235">
            <v>60041558</v>
          </cell>
          <cell r="N3235">
            <v>38482</v>
          </cell>
          <cell r="P3235" t="str">
            <v>IN5A05D1S345901</v>
          </cell>
        </row>
        <row r="3236">
          <cell r="A3236">
            <v>60041559</v>
          </cell>
          <cell r="B3236">
            <v>3234</v>
          </cell>
          <cell r="C3236" t="str">
            <v>CS01/12</v>
          </cell>
          <cell r="D3236" t="str">
            <v>SPCC-SD</v>
          </cell>
          <cell r="E3236" t="str">
            <v>AF1</v>
          </cell>
          <cell r="F3236">
            <v>0.5</v>
          </cell>
          <cell r="G3236">
            <v>300</v>
          </cell>
          <cell r="H3236" t="str">
            <v>C</v>
          </cell>
          <cell r="I3236" t="str">
            <v>A</v>
          </cell>
          <cell r="J3236" t="str">
            <v>STORE</v>
          </cell>
          <cell r="K3236">
            <v>1</v>
          </cell>
          <cell r="L3236">
            <v>104</v>
          </cell>
          <cell r="M3236">
            <v>60041559</v>
          </cell>
          <cell r="N3236">
            <v>38482</v>
          </cell>
          <cell r="P3236" t="str">
            <v>IN5A05D1S345902</v>
          </cell>
        </row>
        <row r="3237">
          <cell r="A3237">
            <v>60064722</v>
          </cell>
          <cell r="B3237">
            <v>3235</v>
          </cell>
          <cell r="C3237" t="str">
            <v>CS01/12</v>
          </cell>
          <cell r="D3237" t="str">
            <v>SPCC-SD</v>
          </cell>
          <cell r="E3237" t="str">
            <v>AF1</v>
          </cell>
          <cell r="F3237">
            <v>0.5</v>
          </cell>
          <cell r="G3237">
            <v>300</v>
          </cell>
          <cell r="H3237" t="str">
            <v>C</v>
          </cell>
          <cell r="I3237" t="str">
            <v>A</v>
          </cell>
          <cell r="J3237" t="str">
            <v>STORE</v>
          </cell>
          <cell r="K3237">
            <v>1</v>
          </cell>
          <cell r="L3237">
            <v>407</v>
          </cell>
          <cell r="M3237">
            <v>60064722</v>
          </cell>
          <cell r="N3237" t="str">
            <v>30/7/2006</v>
          </cell>
          <cell r="P3237" t="str">
            <v>IN6730D1S247701</v>
          </cell>
        </row>
        <row r="3238">
          <cell r="A3238">
            <v>60038633</v>
          </cell>
          <cell r="B3238">
            <v>3236</v>
          </cell>
          <cell r="C3238" t="str">
            <v>CS01/12</v>
          </cell>
          <cell r="D3238" t="str">
            <v>SPCC-SD</v>
          </cell>
          <cell r="E3238" t="str">
            <v>AF1</v>
          </cell>
          <cell r="F3238">
            <v>0.6</v>
          </cell>
          <cell r="G3238">
            <v>42</v>
          </cell>
          <cell r="H3238" t="str">
            <v>C</v>
          </cell>
          <cell r="I3238" t="str">
            <v>A</v>
          </cell>
          <cell r="J3238" t="str">
            <v>STORE</v>
          </cell>
          <cell r="K3238">
            <v>1</v>
          </cell>
          <cell r="L3238">
            <v>370</v>
          </cell>
          <cell r="M3238">
            <v>60038633</v>
          </cell>
          <cell r="N3238">
            <v>38511</v>
          </cell>
          <cell r="P3238" t="str">
            <v>IN5806D1S196601</v>
          </cell>
        </row>
        <row r="3239">
          <cell r="A3239">
            <v>60038635</v>
          </cell>
          <cell r="B3239">
            <v>3237</v>
          </cell>
          <cell r="C3239" t="str">
            <v>CS01/12</v>
          </cell>
          <cell r="D3239" t="str">
            <v>SPCC-SD</v>
          </cell>
          <cell r="E3239" t="str">
            <v>AF1</v>
          </cell>
          <cell r="F3239">
            <v>0.6</v>
          </cell>
          <cell r="G3239">
            <v>42</v>
          </cell>
          <cell r="H3239" t="str">
            <v>C</v>
          </cell>
          <cell r="I3239" t="str">
            <v>A</v>
          </cell>
          <cell r="J3239" t="str">
            <v>STORE</v>
          </cell>
          <cell r="K3239">
            <v>1</v>
          </cell>
          <cell r="L3239">
            <v>391</v>
          </cell>
          <cell r="M3239">
            <v>60038635</v>
          </cell>
          <cell r="N3239">
            <v>38511</v>
          </cell>
          <cell r="P3239" t="str">
            <v>IN5806D1S196602</v>
          </cell>
        </row>
        <row r="3240">
          <cell r="A3240">
            <v>60032717</v>
          </cell>
          <cell r="B3240">
            <v>3238</v>
          </cell>
          <cell r="C3240" t="str">
            <v>CS01/12</v>
          </cell>
          <cell r="D3240" t="str">
            <v>SPCC-SD</v>
          </cell>
          <cell r="E3240" t="str">
            <v>AF1</v>
          </cell>
          <cell r="F3240">
            <v>0.6</v>
          </cell>
          <cell r="G3240">
            <v>44</v>
          </cell>
          <cell r="H3240" t="str">
            <v>C</v>
          </cell>
          <cell r="I3240" t="str">
            <v>A</v>
          </cell>
          <cell r="J3240" t="str">
            <v>STORE</v>
          </cell>
          <cell r="K3240">
            <v>1</v>
          </cell>
          <cell r="L3240">
            <v>400</v>
          </cell>
          <cell r="M3240">
            <v>60032717</v>
          </cell>
          <cell r="N3240" t="str">
            <v>26/4/2005</v>
          </cell>
          <cell r="P3240" t="str">
            <v>IN5426D1S906601</v>
          </cell>
        </row>
        <row r="3241">
          <cell r="A3241">
            <v>60032906</v>
          </cell>
          <cell r="B3241">
            <v>3239</v>
          </cell>
          <cell r="C3241" t="str">
            <v>CS01/12</v>
          </cell>
          <cell r="D3241" t="str">
            <v>SPCC-SD</v>
          </cell>
          <cell r="E3241" t="str">
            <v>AF1</v>
          </cell>
          <cell r="F3241">
            <v>0.6</v>
          </cell>
          <cell r="G3241">
            <v>44</v>
          </cell>
          <cell r="H3241" t="str">
            <v>C</v>
          </cell>
          <cell r="I3241" t="str">
            <v>A</v>
          </cell>
          <cell r="J3241" t="str">
            <v>STORE</v>
          </cell>
          <cell r="K3241">
            <v>1</v>
          </cell>
          <cell r="L3241">
            <v>370</v>
          </cell>
          <cell r="M3241">
            <v>60032906</v>
          </cell>
          <cell r="N3241" t="str">
            <v>28/4/2005</v>
          </cell>
          <cell r="P3241" t="str">
            <v>IN5428N1S914501</v>
          </cell>
        </row>
        <row r="3242">
          <cell r="A3242">
            <v>60033796</v>
          </cell>
          <cell r="B3242">
            <v>3240</v>
          </cell>
          <cell r="C3242" t="str">
            <v>CS01/12</v>
          </cell>
          <cell r="D3242" t="str">
            <v>SPCC-SD</v>
          </cell>
          <cell r="E3242" t="str">
            <v>AF1</v>
          </cell>
          <cell r="F3242">
            <v>0.6</v>
          </cell>
          <cell r="G3242">
            <v>44</v>
          </cell>
          <cell r="H3242" t="str">
            <v>C</v>
          </cell>
          <cell r="I3242" t="str">
            <v>A</v>
          </cell>
          <cell r="J3242" t="str">
            <v>STORE</v>
          </cell>
          <cell r="K3242">
            <v>1</v>
          </cell>
          <cell r="L3242">
            <v>392</v>
          </cell>
          <cell r="M3242">
            <v>60033796</v>
          </cell>
          <cell r="N3242">
            <v>38661</v>
          </cell>
          <cell r="P3242" t="str">
            <v>IN5511D1S955901</v>
          </cell>
        </row>
        <row r="3243">
          <cell r="A3243">
            <v>60033799</v>
          </cell>
          <cell r="B3243">
            <v>3241</v>
          </cell>
          <cell r="C3243" t="str">
            <v>CS01/12</v>
          </cell>
          <cell r="D3243" t="str">
            <v>SPCC-SD</v>
          </cell>
          <cell r="E3243" t="str">
            <v>AF1</v>
          </cell>
          <cell r="F3243">
            <v>0.6</v>
          </cell>
          <cell r="G3243">
            <v>44</v>
          </cell>
          <cell r="H3243" t="str">
            <v>C</v>
          </cell>
          <cell r="I3243" t="str">
            <v>A</v>
          </cell>
          <cell r="J3243" t="str">
            <v>STORE</v>
          </cell>
          <cell r="K3243">
            <v>1</v>
          </cell>
          <cell r="L3243">
            <v>387</v>
          </cell>
          <cell r="M3243">
            <v>60033799</v>
          </cell>
          <cell r="N3243">
            <v>38661</v>
          </cell>
          <cell r="P3243" t="str">
            <v>IN5511D1S955902</v>
          </cell>
        </row>
        <row r="3244">
          <cell r="A3244">
            <v>60039349</v>
          </cell>
          <cell r="B3244">
            <v>3242</v>
          </cell>
          <cell r="C3244" t="str">
            <v>CS01/12</v>
          </cell>
          <cell r="D3244" t="str">
            <v>SPCC-SD</v>
          </cell>
          <cell r="E3244" t="str">
            <v>AF1</v>
          </cell>
          <cell r="F3244">
            <v>0.6</v>
          </cell>
          <cell r="G3244">
            <v>44</v>
          </cell>
          <cell r="H3244" t="str">
            <v>C</v>
          </cell>
          <cell r="I3244" t="str">
            <v>A</v>
          </cell>
          <cell r="J3244" t="str">
            <v>STORE</v>
          </cell>
          <cell r="K3244">
            <v>1</v>
          </cell>
          <cell r="L3244">
            <v>381</v>
          </cell>
          <cell r="M3244">
            <v>60039349</v>
          </cell>
          <cell r="N3244" t="str">
            <v>19/8/2005</v>
          </cell>
          <cell r="P3244" t="str">
            <v>IN5819N1S220501</v>
          </cell>
        </row>
        <row r="3245">
          <cell r="A3245">
            <v>60036351</v>
          </cell>
          <cell r="B3245">
            <v>3243</v>
          </cell>
          <cell r="C3245" t="str">
            <v>CS01/12</v>
          </cell>
          <cell r="D3245" t="str">
            <v>SPCC-SD</v>
          </cell>
          <cell r="E3245" t="str">
            <v>AF1</v>
          </cell>
          <cell r="F3245">
            <v>0.6</v>
          </cell>
          <cell r="G3245">
            <v>44</v>
          </cell>
          <cell r="H3245" t="str">
            <v>C</v>
          </cell>
          <cell r="I3245" t="str">
            <v>A</v>
          </cell>
          <cell r="J3245" t="str">
            <v>STORE</v>
          </cell>
          <cell r="K3245">
            <v>1</v>
          </cell>
          <cell r="L3245">
            <v>385</v>
          </cell>
          <cell r="M3245">
            <v>60036351</v>
          </cell>
          <cell r="N3245" t="str">
            <v>19/8/2005</v>
          </cell>
          <cell r="P3245" t="str">
            <v>IN5819N1S220502</v>
          </cell>
        </row>
        <row r="3246">
          <cell r="A3246">
            <v>60040493</v>
          </cell>
          <cell r="B3246">
            <v>3244</v>
          </cell>
          <cell r="C3246" t="str">
            <v>CS01/12</v>
          </cell>
          <cell r="D3246" t="str">
            <v>SPCC-SD</v>
          </cell>
          <cell r="E3246" t="str">
            <v>AF1</v>
          </cell>
          <cell r="F3246">
            <v>0.6</v>
          </cell>
          <cell r="G3246">
            <v>44</v>
          </cell>
          <cell r="H3246" t="str">
            <v>C</v>
          </cell>
          <cell r="I3246" t="str">
            <v>A</v>
          </cell>
          <cell r="J3246" t="str">
            <v>STORE</v>
          </cell>
          <cell r="K3246">
            <v>1</v>
          </cell>
          <cell r="L3246">
            <v>382</v>
          </cell>
          <cell r="M3246">
            <v>60040493</v>
          </cell>
          <cell r="N3246" t="str">
            <v>13/9/2005</v>
          </cell>
          <cell r="P3246" t="str">
            <v>IN5913D1S286001</v>
          </cell>
        </row>
        <row r="3247">
          <cell r="A3247">
            <v>60040501</v>
          </cell>
          <cell r="B3247">
            <v>3245</v>
          </cell>
          <cell r="C3247" t="str">
            <v>CS01/12</v>
          </cell>
          <cell r="D3247" t="str">
            <v>SPCC-SD</v>
          </cell>
          <cell r="E3247" t="str">
            <v>AF1</v>
          </cell>
          <cell r="F3247">
            <v>0.6</v>
          </cell>
          <cell r="G3247">
            <v>44</v>
          </cell>
          <cell r="H3247" t="str">
            <v>C</v>
          </cell>
          <cell r="I3247" t="str">
            <v>A</v>
          </cell>
          <cell r="J3247" t="str">
            <v>STORE</v>
          </cell>
          <cell r="K3247">
            <v>1</v>
          </cell>
          <cell r="L3247">
            <v>384</v>
          </cell>
          <cell r="M3247">
            <v>60040501</v>
          </cell>
          <cell r="N3247" t="str">
            <v>13/9/2005</v>
          </cell>
          <cell r="P3247" t="str">
            <v>IN5913D1S286002</v>
          </cell>
        </row>
        <row r="3248">
          <cell r="A3248">
            <v>60040515</v>
          </cell>
          <cell r="B3248">
            <v>3246</v>
          </cell>
          <cell r="C3248" t="str">
            <v>CS01/12</v>
          </cell>
          <cell r="D3248" t="str">
            <v>SPCC-SD</v>
          </cell>
          <cell r="E3248" t="str">
            <v>AF1</v>
          </cell>
          <cell r="F3248">
            <v>0.6</v>
          </cell>
          <cell r="G3248">
            <v>44</v>
          </cell>
          <cell r="H3248" t="str">
            <v>C</v>
          </cell>
          <cell r="I3248" t="str">
            <v>A</v>
          </cell>
          <cell r="J3248" t="str">
            <v>STORE</v>
          </cell>
          <cell r="K3248">
            <v>1</v>
          </cell>
          <cell r="L3248">
            <v>179</v>
          </cell>
          <cell r="M3248">
            <v>60040515</v>
          </cell>
          <cell r="N3248" t="str">
            <v>13/9/2005</v>
          </cell>
          <cell r="P3248" t="str">
            <v>IN5913D1S286003</v>
          </cell>
        </row>
        <row r="3249">
          <cell r="A3249">
            <v>60042584</v>
          </cell>
          <cell r="B3249">
            <v>3247</v>
          </cell>
          <cell r="C3249" t="str">
            <v>CS01/12</v>
          </cell>
          <cell r="D3249" t="str">
            <v>SPCC-SD</v>
          </cell>
          <cell r="E3249" t="str">
            <v>AF1</v>
          </cell>
          <cell r="F3249">
            <v>0.6</v>
          </cell>
          <cell r="G3249">
            <v>52</v>
          </cell>
          <cell r="H3249" t="str">
            <v>C</v>
          </cell>
          <cell r="I3249" t="str">
            <v>A</v>
          </cell>
          <cell r="J3249" t="str">
            <v>STORE</v>
          </cell>
          <cell r="K3249">
            <v>1</v>
          </cell>
          <cell r="L3249">
            <v>382</v>
          </cell>
          <cell r="M3249">
            <v>60042584</v>
          </cell>
          <cell r="N3249" t="str">
            <v>18/10/2005</v>
          </cell>
          <cell r="P3249" t="str">
            <v>IN5A18N1S387201</v>
          </cell>
        </row>
        <row r="3250">
          <cell r="A3250">
            <v>60042585</v>
          </cell>
          <cell r="B3250">
            <v>3248</v>
          </cell>
          <cell r="C3250" t="str">
            <v>CS01/12</v>
          </cell>
          <cell r="D3250" t="str">
            <v>SPCC-SD</v>
          </cell>
          <cell r="E3250" t="str">
            <v>AF1</v>
          </cell>
          <cell r="F3250">
            <v>0.6</v>
          </cell>
          <cell r="G3250">
            <v>52</v>
          </cell>
          <cell r="H3250" t="str">
            <v>C</v>
          </cell>
          <cell r="I3250" t="str">
            <v>A</v>
          </cell>
          <cell r="J3250" t="str">
            <v>STORE</v>
          </cell>
          <cell r="K3250">
            <v>1</v>
          </cell>
          <cell r="L3250">
            <v>382</v>
          </cell>
          <cell r="M3250">
            <v>60042585</v>
          </cell>
          <cell r="N3250" t="str">
            <v>18/10/2005</v>
          </cell>
          <cell r="P3250" t="str">
            <v>IN5A18N1S387202</v>
          </cell>
        </row>
        <row r="3251">
          <cell r="A3251">
            <v>60042586</v>
          </cell>
          <cell r="B3251">
            <v>3249</v>
          </cell>
          <cell r="C3251" t="str">
            <v>CS01/12</v>
          </cell>
          <cell r="D3251" t="str">
            <v>SPCC-SD</v>
          </cell>
          <cell r="E3251" t="str">
            <v>AF1</v>
          </cell>
          <cell r="F3251">
            <v>0.6</v>
          </cell>
          <cell r="G3251">
            <v>52</v>
          </cell>
          <cell r="H3251" t="str">
            <v>C</v>
          </cell>
          <cell r="I3251" t="str">
            <v>A</v>
          </cell>
          <cell r="J3251" t="str">
            <v>STORE</v>
          </cell>
          <cell r="K3251">
            <v>1</v>
          </cell>
          <cell r="L3251">
            <v>382</v>
          </cell>
          <cell r="M3251">
            <v>60042586</v>
          </cell>
          <cell r="N3251" t="str">
            <v>18/10/2005</v>
          </cell>
          <cell r="P3251" t="str">
            <v>IN5A18N1S387203</v>
          </cell>
        </row>
        <row r="3252">
          <cell r="A3252">
            <v>60042587</v>
          </cell>
          <cell r="B3252">
            <v>3250</v>
          </cell>
          <cell r="C3252" t="str">
            <v>CS01/12</v>
          </cell>
          <cell r="D3252" t="str">
            <v>SPCC-SD</v>
          </cell>
          <cell r="E3252" t="str">
            <v>AF1</v>
          </cell>
          <cell r="F3252">
            <v>0.6</v>
          </cell>
          <cell r="G3252">
            <v>52</v>
          </cell>
          <cell r="H3252" t="str">
            <v>C</v>
          </cell>
          <cell r="I3252" t="str">
            <v>A</v>
          </cell>
          <cell r="J3252" t="str">
            <v>STORE</v>
          </cell>
          <cell r="K3252">
            <v>1</v>
          </cell>
          <cell r="L3252">
            <v>382</v>
          </cell>
          <cell r="M3252">
            <v>60042587</v>
          </cell>
          <cell r="N3252" t="str">
            <v>18/10/2005</v>
          </cell>
          <cell r="P3252" t="str">
            <v>IN5A18N1S387204</v>
          </cell>
        </row>
        <row r="3253">
          <cell r="A3253">
            <v>60042596</v>
          </cell>
          <cell r="B3253">
            <v>3251</v>
          </cell>
          <cell r="C3253" t="str">
            <v>CS01/12</v>
          </cell>
          <cell r="D3253" t="str">
            <v>SPCC-SD</v>
          </cell>
          <cell r="E3253" t="str">
            <v>AF1</v>
          </cell>
          <cell r="F3253">
            <v>0.6</v>
          </cell>
          <cell r="G3253">
            <v>52</v>
          </cell>
          <cell r="H3253" t="str">
            <v>C</v>
          </cell>
          <cell r="I3253" t="str">
            <v>A</v>
          </cell>
          <cell r="J3253" t="str">
            <v>STORE</v>
          </cell>
          <cell r="K3253">
            <v>1</v>
          </cell>
          <cell r="L3253">
            <v>373</v>
          </cell>
          <cell r="M3253">
            <v>60042596</v>
          </cell>
          <cell r="N3253" t="str">
            <v>18/10/2005</v>
          </cell>
          <cell r="P3253" t="str">
            <v>IN5A18N1S387205</v>
          </cell>
        </row>
        <row r="3254">
          <cell r="A3254">
            <v>60042597</v>
          </cell>
          <cell r="B3254">
            <v>3252</v>
          </cell>
          <cell r="C3254" t="str">
            <v>CS01/12</v>
          </cell>
          <cell r="D3254" t="str">
            <v>SPCC-SD</v>
          </cell>
          <cell r="E3254" t="str">
            <v>AF1</v>
          </cell>
          <cell r="F3254">
            <v>0.6</v>
          </cell>
          <cell r="G3254">
            <v>52</v>
          </cell>
          <cell r="H3254" t="str">
            <v>C</v>
          </cell>
          <cell r="I3254" t="str">
            <v>A</v>
          </cell>
          <cell r="J3254" t="str">
            <v>STORE</v>
          </cell>
          <cell r="K3254">
            <v>1</v>
          </cell>
          <cell r="L3254">
            <v>372</v>
          </cell>
          <cell r="M3254">
            <v>60042597</v>
          </cell>
          <cell r="N3254" t="str">
            <v>18/10/2005</v>
          </cell>
          <cell r="P3254" t="str">
            <v>IN5A18N1S387206</v>
          </cell>
        </row>
        <row r="3255">
          <cell r="A3255">
            <v>60042598</v>
          </cell>
          <cell r="B3255">
            <v>3253</v>
          </cell>
          <cell r="C3255" t="str">
            <v>CS01/12</v>
          </cell>
          <cell r="D3255" t="str">
            <v>SPCC-SD</v>
          </cell>
          <cell r="E3255" t="str">
            <v>AF1</v>
          </cell>
          <cell r="F3255">
            <v>0.6</v>
          </cell>
          <cell r="G3255">
            <v>52</v>
          </cell>
          <cell r="H3255" t="str">
            <v>C</v>
          </cell>
          <cell r="I3255" t="str">
            <v>A</v>
          </cell>
          <cell r="J3255" t="str">
            <v>STORE</v>
          </cell>
          <cell r="K3255">
            <v>1</v>
          </cell>
          <cell r="L3255">
            <v>372</v>
          </cell>
          <cell r="M3255">
            <v>60042598</v>
          </cell>
          <cell r="N3255" t="str">
            <v>18/10/2005</v>
          </cell>
          <cell r="P3255" t="str">
            <v>IN5A18N1S387207</v>
          </cell>
        </row>
        <row r="3256">
          <cell r="A3256">
            <v>60042599</v>
          </cell>
          <cell r="B3256">
            <v>3254</v>
          </cell>
          <cell r="C3256" t="str">
            <v>CS01/12</v>
          </cell>
          <cell r="D3256" t="str">
            <v>SPCC-SD</v>
          </cell>
          <cell r="E3256" t="str">
            <v>AF1</v>
          </cell>
          <cell r="F3256">
            <v>0.6</v>
          </cell>
          <cell r="G3256">
            <v>52</v>
          </cell>
          <cell r="H3256" t="str">
            <v>C</v>
          </cell>
          <cell r="I3256" t="str">
            <v>A</v>
          </cell>
          <cell r="J3256" t="str">
            <v>STORE</v>
          </cell>
          <cell r="K3256">
            <v>1</v>
          </cell>
          <cell r="L3256">
            <v>372</v>
          </cell>
          <cell r="M3256">
            <v>60042599</v>
          </cell>
          <cell r="N3256" t="str">
            <v>18/10/2005</v>
          </cell>
          <cell r="P3256" t="str">
            <v>IN5A18N1S387208</v>
          </cell>
        </row>
        <row r="3257">
          <cell r="A3257">
            <v>60043752</v>
          </cell>
          <cell r="B3257">
            <v>3255</v>
          </cell>
          <cell r="C3257" t="str">
            <v>CS01/12</v>
          </cell>
          <cell r="D3257" t="str">
            <v>SPCC-SD</v>
          </cell>
          <cell r="E3257" t="str">
            <v>AF1</v>
          </cell>
          <cell r="F3257">
            <v>0.6</v>
          </cell>
          <cell r="G3257">
            <v>52</v>
          </cell>
          <cell r="H3257" t="str">
            <v>C</v>
          </cell>
          <cell r="I3257" t="str">
            <v>A</v>
          </cell>
          <cell r="J3257" t="str">
            <v>STORE</v>
          </cell>
          <cell r="K3257">
            <v>1</v>
          </cell>
          <cell r="L3257">
            <v>152</v>
          </cell>
          <cell r="M3257">
            <v>60043752</v>
          </cell>
          <cell r="N3257" t="str">
            <v>30/1/2005</v>
          </cell>
          <cell r="P3257" t="str">
            <v>IN5130D1S445201</v>
          </cell>
        </row>
        <row r="3258">
          <cell r="A3258">
            <v>60047427</v>
          </cell>
          <cell r="B3258">
            <v>3256</v>
          </cell>
          <cell r="C3258" t="str">
            <v>CS01/12</v>
          </cell>
          <cell r="D3258" t="str">
            <v>SPCC-SD</v>
          </cell>
          <cell r="E3258" t="str">
            <v>AF1</v>
          </cell>
          <cell r="F3258">
            <v>0.6</v>
          </cell>
          <cell r="G3258">
            <v>52</v>
          </cell>
          <cell r="H3258" t="str">
            <v>C</v>
          </cell>
          <cell r="I3258" t="str">
            <v>A</v>
          </cell>
          <cell r="J3258" t="str">
            <v>STORE</v>
          </cell>
          <cell r="K3258">
            <v>1</v>
          </cell>
          <cell r="L3258">
            <v>71</v>
          </cell>
          <cell r="M3258">
            <v>60047427</v>
          </cell>
          <cell r="N3258" t="str">
            <v>14/12/2005</v>
          </cell>
          <cell r="P3258" t="str">
            <v>IN5C14N1S563401</v>
          </cell>
        </row>
        <row r="3259">
          <cell r="A3259">
            <v>60047533</v>
          </cell>
          <cell r="B3259">
            <v>3257</v>
          </cell>
          <cell r="C3259" t="str">
            <v>CS01/12</v>
          </cell>
          <cell r="D3259" t="str">
            <v>SPCC-SD</v>
          </cell>
          <cell r="E3259" t="str">
            <v>AF1</v>
          </cell>
          <cell r="F3259">
            <v>0.6</v>
          </cell>
          <cell r="G3259">
            <v>52</v>
          </cell>
          <cell r="H3259" t="str">
            <v>C</v>
          </cell>
          <cell r="I3259" t="str">
            <v>A</v>
          </cell>
          <cell r="J3259" t="str">
            <v>STORE</v>
          </cell>
          <cell r="K3259">
            <v>1</v>
          </cell>
          <cell r="L3259">
            <v>326</v>
          </cell>
          <cell r="M3259">
            <v>60047533</v>
          </cell>
          <cell r="N3259" t="str">
            <v>14/12/2005</v>
          </cell>
          <cell r="P3259" t="str">
            <v>IN5C14N1S565001</v>
          </cell>
        </row>
        <row r="3260">
          <cell r="A3260">
            <v>60047538</v>
          </cell>
          <cell r="B3260">
            <v>3258</v>
          </cell>
          <cell r="C3260" t="str">
            <v>CS01/12</v>
          </cell>
          <cell r="D3260" t="str">
            <v>SPCC-SD</v>
          </cell>
          <cell r="E3260" t="str">
            <v>AF1</v>
          </cell>
          <cell r="F3260">
            <v>0.6</v>
          </cell>
          <cell r="G3260">
            <v>52</v>
          </cell>
          <cell r="H3260" t="str">
            <v>C</v>
          </cell>
          <cell r="I3260" t="str">
            <v>A</v>
          </cell>
          <cell r="J3260" t="str">
            <v>STORE</v>
          </cell>
          <cell r="K3260">
            <v>1</v>
          </cell>
          <cell r="L3260">
            <v>326</v>
          </cell>
          <cell r="M3260">
            <v>60047538</v>
          </cell>
          <cell r="N3260" t="str">
            <v>14/12/2005</v>
          </cell>
          <cell r="P3260" t="str">
            <v>IN5C14N1S563502</v>
          </cell>
        </row>
        <row r="3261">
          <cell r="A3261">
            <v>60047543</v>
          </cell>
          <cell r="B3261">
            <v>3259</v>
          </cell>
          <cell r="C3261" t="str">
            <v>CS01/12</v>
          </cell>
          <cell r="D3261" t="str">
            <v>SPCC-SD</v>
          </cell>
          <cell r="E3261" t="str">
            <v>AF1</v>
          </cell>
          <cell r="F3261">
            <v>0.6</v>
          </cell>
          <cell r="G3261">
            <v>52</v>
          </cell>
          <cell r="H3261" t="str">
            <v>C</v>
          </cell>
          <cell r="I3261" t="str">
            <v>A</v>
          </cell>
          <cell r="J3261" t="str">
            <v>STORE</v>
          </cell>
          <cell r="K3261">
            <v>1</v>
          </cell>
          <cell r="L3261">
            <v>320</v>
          </cell>
          <cell r="M3261">
            <v>60047543</v>
          </cell>
          <cell r="N3261" t="str">
            <v>15/12/2005</v>
          </cell>
          <cell r="P3261" t="str">
            <v>IN5C15N1S563501</v>
          </cell>
        </row>
        <row r="3262">
          <cell r="A3262">
            <v>60047882</v>
          </cell>
          <cell r="B3262">
            <v>3260</v>
          </cell>
          <cell r="C3262" t="str">
            <v>CS01/12</v>
          </cell>
          <cell r="D3262" t="str">
            <v>SPCC-SD</v>
          </cell>
          <cell r="E3262" t="str">
            <v>AF1</v>
          </cell>
          <cell r="F3262">
            <v>0.6</v>
          </cell>
          <cell r="G3262">
            <v>52</v>
          </cell>
          <cell r="H3262" t="str">
            <v>C</v>
          </cell>
          <cell r="I3262" t="str">
            <v>A</v>
          </cell>
          <cell r="J3262" t="str">
            <v>STORE</v>
          </cell>
          <cell r="K3262">
            <v>1</v>
          </cell>
          <cell r="L3262">
            <v>330</v>
          </cell>
          <cell r="M3262">
            <v>60047882</v>
          </cell>
          <cell r="N3262" t="str">
            <v>19/12/2005</v>
          </cell>
          <cell r="P3262" t="str">
            <v>IN5C19D1S562301</v>
          </cell>
        </row>
        <row r="3263">
          <cell r="A3263">
            <v>60047883</v>
          </cell>
          <cell r="B3263">
            <v>3261</v>
          </cell>
          <cell r="C3263" t="str">
            <v>CS01/12</v>
          </cell>
          <cell r="D3263" t="str">
            <v>SPCC-SD</v>
          </cell>
          <cell r="E3263" t="str">
            <v>AF1</v>
          </cell>
          <cell r="F3263">
            <v>0.6</v>
          </cell>
          <cell r="G3263">
            <v>52</v>
          </cell>
          <cell r="H3263" t="str">
            <v>C</v>
          </cell>
          <cell r="I3263" t="str">
            <v>A</v>
          </cell>
          <cell r="J3263" t="str">
            <v>STORE</v>
          </cell>
          <cell r="K3263">
            <v>1</v>
          </cell>
          <cell r="L3263">
            <v>330</v>
          </cell>
          <cell r="M3263">
            <v>60047883</v>
          </cell>
          <cell r="N3263" t="str">
            <v>19/12/2005</v>
          </cell>
          <cell r="P3263" t="str">
            <v>IN5C19D1S562302</v>
          </cell>
        </row>
        <row r="3264">
          <cell r="A3264">
            <v>60047886</v>
          </cell>
          <cell r="B3264">
            <v>3262</v>
          </cell>
          <cell r="C3264" t="str">
            <v>CS01/12</v>
          </cell>
          <cell r="D3264" t="str">
            <v>SPCC-SD</v>
          </cell>
          <cell r="E3264" t="str">
            <v>AF1</v>
          </cell>
          <cell r="F3264">
            <v>0.6</v>
          </cell>
          <cell r="G3264">
            <v>52</v>
          </cell>
          <cell r="H3264" t="str">
            <v>C</v>
          </cell>
          <cell r="I3264" t="str">
            <v>A</v>
          </cell>
          <cell r="J3264" t="str">
            <v>STORE</v>
          </cell>
          <cell r="K3264">
            <v>1</v>
          </cell>
          <cell r="L3264">
            <v>44</v>
          </cell>
          <cell r="M3264">
            <v>60047886</v>
          </cell>
          <cell r="N3264" t="str">
            <v>19/12/2005</v>
          </cell>
          <cell r="P3264" t="str">
            <v>IN5C19D1S562101</v>
          </cell>
        </row>
        <row r="3265">
          <cell r="A3265">
            <v>60047887</v>
          </cell>
          <cell r="B3265">
            <v>3263</v>
          </cell>
          <cell r="C3265" t="str">
            <v>CS01/12</v>
          </cell>
          <cell r="D3265" t="str">
            <v>SPCC-SD</v>
          </cell>
          <cell r="E3265" t="str">
            <v>AF1</v>
          </cell>
          <cell r="F3265">
            <v>0.6</v>
          </cell>
          <cell r="G3265">
            <v>52</v>
          </cell>
          <cell r="H3265" t="str">
            <v>C</v>
          </cell>
          <cell r="I3265" t="str">
            <v>A</v>
          </cell>
          <cell r="J3265" t="str">
            <v>STORE</v>
          </cell>
          <cell r="K3265">
            <v>1</v>
          </cell>
          <cell r="L3265">
            <v>44</v>
          </cell>
          <cell r="M3265">
            <v>60047887</v>
          </cell>
          <cell r="N3265" t="str">
            <v>19/12/2005</v>
          </cell>
          <cell r="P3265" t="str">
            <v>IN5C19D1S562102</v>
          </cell>
        </row>
        <row r="3266">
          <cell r="A3266">
            <v>60047890</v>
          </cell>
          <cell r="B3266">
            <v>3264</v>
          </cell>
          <cell r="C3266" t="str">
            <v>CS01/12</v>
          </cell>
          <cell r="D3266" t="str">
            <v>SPCC-SD</v>
          </cell>
          <cell r="E3266" t="str">
            <v>AF1</v>
          </cell>
          <cell r="F3266">
            <v>0.6</v>
          </cell>
          <cell r="G3266">
            <v>52</v>
          </cell>
          <cell r="H3266" t="str">
            <v>C</v>
          </cell>
          <cell r="I3266" t="str">
            <v>A</v>
          </cell>
          <cell r="J3266" t="str">
            <v>STORE</v>
          </cell>
          <cell r="K3266">
            <v>1</v>
          </cell>
          <cell r="L3266">
            <v>296</v>
          </cell>
          <cell r="M3266">
            <v>60047890</v>
          </cell>
          <cell r="N3266" t="str">
            <v>19/12/2005</v>
          </cell>
          <cell r="P3266" t="str">
            <v>IN5C19D1S562103</v>
          </cell>
        </row>
        <row r="3267">
          <cell r="A3267">
            <v>60047891</v>
          </cell>
          <cell r="B3267">
            <v>3265</v>
          </cell>
          <cell r="C3267" t="str">
            <v>CS01/12</v>
          </cell>
          <cell r="D3267" t="str">
            <v>SPCC-SD</v>
          </cell>
          <cell r="E3267" t="str">
            <v>AF1</v>
          </cell>
          <cell r="F3267">
            <v>0.6</v>
          </cell>
          <cell r="G3267">
            <v>52</v>
          </cell>
          <cell r="H3267" t="str">
            <v>C</v>
          </cell>
          <cell r="I3267" t="str">
            <v>A</v>
          </cell>
          <cell r="J3267" t="str">
            <v>STORE</v>
          </cell>
          <cell r="K3267">
            <v>1</v>
          </cell>
          <cell r="L3267">
            <v>298</v>
          </cell>
          <cell r="M3267">
            <v>60047891</v>
          </cell>
          <cell r="N3267" t="str">
            <v>19/12/2005</v>
          </cell>
          <cell r="P3267" t="str">
            <v>IN5C19D1S562104</v>
          </cell>
        </row>
        <row r="3268">
          <cell r="A3268">
            <v>60049612</v>
          </cell>
          <cell r="B3268">
            <v>3266</v>
          </cell>
          <cell r="C3268" t="str">
            <v>CS01/12</v>
          </cell>
          <cell r="D3268" t="str">
            <v>SPCC-SD</v>
          </cell>
          <cell r="E3268" t="str">
            <v>AF1</v>
          </cell>
          <cell r="F3268">
            <v>0.6</v>
          </cell>
          <cell r="G3268">
            <v>52</v>
          </cell>
          <cell r="H3268" t="str">
            <v>C</v>
          </cell>
          <cell r="I3268" t="str">
            <v>A</v>
          </cell>
          <cell r="J3268" t="str">
            <v>STORE</v>
          </cell>
          <cell r="K3268">
            <v>1</v>
          </cell>
          <cell r="L3268">
            <v>284</v>
          </cell>
          <cell r="M3268">
            <v>60049612</v>
          </cell>
          <cell r="N3268" t="str">
            <v>17/1/2006</v>
          </cell>
          <cell r="P3268" t="str">
            <v>IN6117N1S641501</v>
          </cell>
        </row>
        <row r="3269">
          <cell r="A3269">
            <v>60049615</v>
          </cell>
          <cell r="B3269">
            <v>3267</v>
          </cell>
          <cell r="C3269" t="str">
            <v>CS01/12</v>
          </cell>
          <cell r="D3269" t="str">
            <v>SPCC-SD</v>
          </cell>
          <cell r="E3269" t="str">
            <v>AF1</v>
          </cell>
          <cell r="F3269">
            <v>0.6</v>
          </cell>
          <cell r="G3269">
            <v>52</v>
          </cell>
          <cell r="H3269" t="str">
            <v>C</v>
          </cell>
          <cell r="I3269" t="str">
            <v>A</v>
          </cell>
          <cell r="J3269" t="str">
            <v>STORE</v>
          </cell>
          <cell r="K3269">
            <v>1</v>
          </cell>
          <cell r="L3269">
            <v>128</v>
          </cell>
          <cell r="M3269">
            <v>60049615</v>
          </cell>
          <cell r="N3269" t="str">
            <v>17/1/2006</v>
          </cell>
          <cell r="P3269" t="str">
            <v>IN6117D1S641502</v>
          </cell>
        </row>
        <row r="3270">
          <cell r="A3270">
            <v>60050908</v>
          </cell>
          <cell r="B3270">
            <v>3268</v>
          </cell>
          <cell r="C3270" t="str">
            <v>CS01/12</v>
          </cell>
          <cell r="D3270" t="str">
            <v>SPCC-SD</v>
          </cell>
          <cell r="E3270" t="str">
            <v>AF1</v>
          </cell>
          <cell r="F3270">
            <v>0.6</v>
          </cell>
          <cell r="G3270">
            <v>52</v>
          </cell>
          <cell r="H3270" t="str">
            <v>C</v>
          </cell>
          <cell r="I3270" t="str">
            <v>A</v>
          </cell>
          <cell r="J3270" t="str">
            <v>STORE</v>
          </cell>
          <cell r="K3270">
            <v>1</v>
          </cell>
          <cell r="L3270">
            <v>45</v>
          </cell>
          <cell r="M3270">
            <v>60050908</v>
          </cell>
          <cell r="N3270">
            <v>38778</v>
          </cell>
          <cell r="P3270" t="str">
            <v>IN6203D1S705301</v>
          </cell>
        </row>
        <row r="3271">
          <cell r="A3271">
            <v>60050044</v>
          </cell>
          <cell r="B3271">
            <v>3269</v>
          </cell>
          <cell r="C3271" t="str">
            <v>CS01/12</v>
          </cell>
          <cell r="D3271" t="str">
            <v>SPCC-SD</v>
          </cell>
          <cell r="E3271" t="str">
            <v>AF1</v>
          </cell>
          <cell r="F3271">
            <v>0.6</v>
          </cell>
          <cell r="G3271">
            <v>53</v>
          </cell>
          <cell r="H3271" t="str">
            <v>C</v>
          </cell>
          <cell r="I3271" t="str">
            <v>A</v>
          </cell>
          <cell r="J3271" t="str">
            <v>STORE</v>
          </cell>
          <cell r="K3271">
            <v>1</v>
          </cell>
          <cell r="L3271">
            <v>114</v>
          </cell>
          <cell r="M3271">
            <v>60050044</v>
          </cell>
          <cell r="N3271" t="str">
            <v>23/1/2006</v>
          </cell>
          <cell r="P3271" t="str">
            <v>IN6123D1S670801</v>
          </cell>
        </row>
        <row r="3272">
          <cell r="A3272">
            <v>60041089</v>
          </cell>
          <cell r="B3272">
            <v>3270</v>
          </cell>
          <cell r="C3272" t="str">
            <v>CS01/12</v>
          </cell>
          <cell r="D3272" t="str">
            <v>SPCC-SD</v>
          </cell>
          <cell r="E3272" t="str">
            <v>AF1</v>
          </cell>
          <cell r="F3272">
            <v>0.6</v>
          </cell>
          <cell r="G3272">
            <v>80</v>
          </cell>
          <cell r="H3272" t="str">
            <v>C</v>
          </cell>
          <cell r="I3272" t="str">
            <v>A</v>
          </cell>
          <cell r="J3272" t="str">
            <v>STORE</v>
          </cell>
          <cell r="K3272">
            <v>1</v>
          </cell>
          <cell r="L3272">
            <v>380</v>
          </cell>
          <cell r="M3272">
            <v>60041089</v>
          </cell>
          <cell r="N3272" t="str">
            <v>27/9/2005</v>
          </cell>
          <cell r="P3272" t="str">
            <v>IN5927D1S324201</v>
          </cell>
        </row>
        <row r="3273">
          <cell r="A3273">
            <v>60042303</v>
          </cell>
          <cell r="B3273">
            <v>3271</v>
          </cell>
          <cell r="C3273" t="str">
            <v>CS01/12</v>
          </cell>
          <cell r="D3273" t="str">
            <v>SPCC-SD</v>
          </cell>
          <cell r="E3273" t="str">
            <v>AF1</v>
          </cell>
          <cell r="F3273">
            <v>0.6</v>
          </cell>
          <cell r="G3273">
            <v>82</v>
          </cell>
          <cell r="H3273" t="str">
            <v>C</v>
          </cell>
          <cell r="I3273" t="str">
            <v>A</v>
          </cell>
          <cell r="J3273" t="str">
            <v>STORE</v>
          </cell>
          <cell r="K3273">
            <v>1</v>
          </cell>
          <cell r="L3273">
            <v>625</v>
          </cell>
          <cell r="M3273">
            <v>60042303</v>
          </cell>
          <cell r="N3273" t="str">
            <v>14/10/2005</v>
          </cell>
          <cell r="P3273" t="str">
            <v>IN5A14D1S381701</v>
          </cell>
        </row>
        <row r="3274">
          <cell r="A3274">
            <v>60042300</v>
          </cell>
          <cell r="B3274">
            <v>3272</v>
          </cell>
          <cell r="C3274" t="str">
            <v>CS01/12</v>
          </cell>
          <cell r="D3274" t="str">
            <v>SPCC-SD</v>
          </cell>
          <cell r="E3274" t="str">
            <v>AF1</v>
          </cell>
          <cell r="F3274">
            <v>0.6</v>
          </cell>
          <cell r="G3274">
            <v>83</v>
          </cell>
          <cell r="H3274" t="str">
            <v>C</v>
          </cell>
          <cell r="I3274" t="str">
            <v>A</v>
          </cell>
          <cell r="J3274" t="str">
            <v>STORE</v>
          </cell>
          <cell r="K3274">
            <v>1</v>
          </cell>
          <cell r="L3274">
            <v>650</v>
          </cell>
          <cell r="M3274">
            <v>60042300</v>
          </cell>
          <cell r="N3274" t="str">
            <v>14/10/2005</v>
          </cell>
          <cell r="P3274" t="str">
            <v>IN5A14N1S381901</v>
          </cell>
        </row>
        <row r="3275">
          <cell r="A3275">
            <v>60042560</v>
          </cell>
          <cell r="B3275">
            <v>3273</v>
          </cell>
          <cell r="C3275" t="str">
            <v>CS01/12</v>
          </cell>
          <cell r="D3275" t="str">
            <v>SPCC-SD</v>
          </cell>
          <cell r="E3275" t="str">
            <v>AF1</v>
          </cell>
          <cell r="F3275">
            <v>0.6</v>
          </cell>
          <cell r="G3275">
            <v>83</v>
          </cell>
          <cell r="H3275" t="str">
            <v>C</v>
          </cell>
          <cell r="I3275" t="str">
            <v>A</v>
          </cell>
          <cell r="J3275" t="str">
            <v>STORE</v>
          </cell>
          <cell r="K3275">
            <v>1</v>
          </cell>
          <cell r="L3275">
            <v>632</v>
          </cell>
          <cell r="M3275">
            <v>60042560</v>
          </cell>
          <cell r="N3275" t="str">
            <v>18/10/2005</v>
          </cell>
          <cell r="P3275" t="str">
            <v>IN5A18D1S387401</v>
          </cell>
        </row>
        <row r="3276">
          <cell r="A3276">
            <v>60042561</v>
          </cell>
          <cell r="B3276">
            <v>3274</v>
          </cell>
          <cell r="C3276" t="str">
            <v>CS01/12</v>
          </cell>
          <cell r="D3276" t="str">
            <v>SPCC-SD</v>
          </cell>
          <cell r="E3276" t="str">
            <v>AF1</v>
          </cell>
          <cell r="F3276">
            <v>0.6</v>
          </cell>
          <cell r="G3276">
            <v>83</v>
          </cell>
          <cell r="H3276" t="str">
            <v>C</v>
          </cell>
          <cell r="I3276" t="str">
            <v>A</v>
          </cell>
          <cell r="J3276" t="str">
            <v>STORE</v>
          </cell>
          <cell r="K3276">
            <v>1</v>
          </cell>
          <cell r="L3276">
            <v>632</v>
          </cell>
          <cell r="M3276">
            <v>60042561</v>
          </cell>
          <cell r="N3276" t="str">
            <v>18/10/2005</v>
          </cell>
          <cell r="P3276" t="str">
            <v>IN5A18D1S387402</v>
          </cell>
        </row>
        <row r="3277">
          <cell r="A3277">
            <v>60043745</v>
          </cell>
          <cell r="B3277">
            <v>3275</v>
          </cell>
          <cell r="C3277" t="str">
            <v>CS01/12</v>
          </cell>
          <cell r="D3277" t="str">
            <v>SPCC-SD</v>
          </cell>
          <cell r="E3277" t="str">
            <v>AF1</v>
          </cell>
          <cell r="F3277">
            <v>0.6</v>
          </cell>
          <cell r="G3277">
            <v>83</v>
          </cell>
          <cell r="H3277" t="str">
            <v>C</v>
          </cell>
          <cell r="I3277" t="str">
            <v>A</v>
          </cell>
          <cell r="J3277" t="str">
            <v>STORE</v>
          </cell>
          <cell r="K3277">
            <v>1</v>
          </cell>
          <cell r="L3277">
            <v>235</v>
          </cell>
          <cell r="M3277">
            <v>60043745</v>
          </cell>
          <cell r="N3277">
            <v>38453</v>
          </cell>
          <cell r="P3277" t="str">
            <v>IN5B04D1S445201</v>
          </cell>
        </row>
        <row r="3278">
          <cell r="A3278">
            <v>60043746</v>
          </cell>
          <cell r="B3278">
            <v>3276</v>
          </cell>
          <cell r="C3278" t="str">
            <v>CS01/12</v>
          </cell>
          <cell r="D3278" t="str">
            <v>SPCC-SD</v>
          </cell>
          <cell r="E3278" t="str">
            <v>AF1</v>
          </cell>
          <cell r="F3278">
            <v>0.6</v>
          </cell>
          <cell r="G3278">
            <v>83</v>
          </cell>
          <cell r="H3278" t="str">
            <v>C</v>
          </cell>
          <cell r="I3278" t="str">
            <v>A</v>
          </cell>
          <cell r="J3278" t="str">
            <v>STORE</v>
          </cell>
          <cell r="K3278">
            <v>1</v>
          </cell>
          <cell r="L3278">
            <v>235</v>
          </cell>
          <cell r="M3278">
            <v>60043746</v>
          </cell>
          <cell r="N3278">
            <v>38453</v>
          </cell>
          <cell r="P3278" t="str">
            <v>IN5B04D1S445202</v>
          </cell>
        </row>
        <row r="3279">
          <cell r="A3279">
            <v>60043747</v>
          </cell>
          <cell r="B3279">
            <v>3277</v>
          </cell>
          <cell r="C3279" t="str">
            <v>CS01/12</v>
          </cell>
          <cell r="D3279" t="str">
            <v>SPCC-SD</v>
          </cell>
          <cell r="E3279" t="str">
            <v>AF1</v>
          </cell>
          <cell r="F3279">
            <v>0.6</v>
          </cell>
          <cell r="G3279">
            <v>83</v>
          </cell>
          <cell r="H3279" t="str">
            <v>C</v>
          </cell>
          <cell r="I3279" t="str">
            <v>A</v>
          </cell>
          <cell r="J3279" t="str">
            <v>STORE</v>
          </cell>
          <cell r="K3279">
            <v>1</v>
          </cell>
          <cell r="L3279">
            <v>235</v>
          </cell>
          <cell r="M3279">
            <v>60043747</v>
          </cell>
          <cell r="N3279">
            <v>38453</v>
          </cell>
          <cell r="P3279" t="str">
            <v>IN5B04D1S445203</v>
          </cell>
        </row>
        <row r="3280">
          <cell r="A3280">
            <v>60047425</v>
          </cell>
          <cell r="B3280">
            <v>3278</v>
          </cell>
          <cell r="C3280" t="str">
            <v>CS01/12</v>
          </cell>
          <cell r="D3280" t="str">
            <v>SPCC-SD</v>
          </cell>
          <cell r="E3280" t="str">
            <v>AF1</v>
          </cell>
          <cell r="F3280">
            <v>0.6</v>
          </cell>
          <cell r="G3280">
            <v>83</v>
          </cell>
          <cell r="H3280" t="str">
            <v>C</v>
          </cell>
          <cell r="I3280" t="str">
            <v>A</v>
          </cell>
          <cell r="J3280" t="str">
            <v>STORE</v>
          </cell>
          <cell r="K3280">
            <v>1</v>
          </cell>
          <cell r="L3280">
            <v>113</v>
          </cell>
          <cell r="M3280">
            <v>60047425</v>
          </cell>
          <cell r="N3280" t="str">
            <v>14/12/2005</v>
          </cell>
          <cell r="P3280" t="str">
            <v>IN5C14N1S563401</v>
          </cell>
        </row>
        <row r="3281">
          <cell r="A3281">
            <v>60047426</v>
          </cell>
          <cell r="B3281">
            <v>3279</v>
          </cell>
          <cell r="C3281" t="str">
            <v>CS01/12</v>
          </cell>
          <cell r="D3281" t="str">
            <v>SPCC-SD</v>
          </cell>
          <cell r="E3281" t="str">
            <v>AF1</v>
          </cell>
          <cell r="F3281">
            <v>0.6</v>
          </cell>
          <cell r="G3281">
            <v>83</v>
          </cell>
          <cell r="H3281" t="str">
            <v>C</v>
          </cell>
          <cell r="I3281" t="str">
            <v>A</v>
          </cell>
          <cell r="J3281" t="str">
            <v>STORE</v>
          </cell>
          <cell r="K3281">
            <v>1</v>
          </cell>
          <cell r="L3281">
            <v>113</v>
          </cell>
          <cell r="M3281">
            <v>60047426</v>
          </cell>
          <cell r="N3281" t="str">
            <v>14/12/2005</v>
          </cell>
          <cell r="P3281" t="str">
            <v>IN5C14N1S563402</v>
          </cell>
        </row>
        <row r="3282">
          <cell r="A3282">
            <v>60047531</v>
          </cell>
          <cell r="B3282">
            <v>3280</v>
          </cell>
          <cell r="C3282" t="str">
            <v>CS01/12</v>
          </cell>
          <cell r="D3282" t="str">
            <v>SPCC-SD</v>
          </cell>
          <cell r="E3282" t="str">
            <v>AF1</v>
          </cell>
          <cell r="F3282">
            <v>0.6</v>
          </cell>
          <cell r="G3282">
            <v>83</v>
          </cell>
          <cell r="H3282" t="str">
            <v>C</v>
          </cell>
          <cell r="I3282" t="str">
            <v>A</v>
          </cell>
          <cell r="J3282" t="str">
            <v>STORE</v>
          </cell>
          <cell r="K3282">
            <v>1</v>
          </cell>
          <cell r="L3282">
            <v>512</v>
          </cell>
          <cell r="M3282">
            <v>60047531</v>
          </cell>
          <cell r="N3282" t="str">
            <v>14/12/2005</v>
          </cell>
          <cell r="P3282" t="str">
            <v>IN5C14N1S563501</v>
          </cell>
        </row>
        <row r="3283">
          <cell r="A3283">
            <v>60047532</v>
          </cell>
          <cell r="B3283">
            <v>3281</v>
          </cell>
          <cell r="C3283" t="str">
            <v>CS01/12</v>
          </cell>
          <cell r="D3283" t="str">
            <v>SPCC-SD</v>
          </cell>
          <cell r="E3283" t="str">
            <v>AF1</v>
          </cell>
          <cell r="F3283">
            <v>0.6</v>
          </cell>
          <cell r="G3283">
            <v>83</v>
          </cell>
          <cell r="H3283" t="str">
            <v>C</v>
          </cell>
          <cell r="I3283" t="str">
            <v>A</v>
          </cell>
          <cell r="J3283" t="str">
            <v>STORE</v>
          </cell>
          <cell r="K3283">
            <v>1</v>
          </cell>
          <cell r="L3283">
            <v>512</v>
          </cell>
          <cell r="M3283">
            <v>60047532</v>
          </cell>
          <cell r="N3283" t="str">
            <v>14/12/2005</v>
          </cell>
          <cell r="P3283" t="str">
            <v>IN5C14N1S563502</v>
          </cell>
        </row>
        <row r="3284">
          <cell r="A3284">
            <v>60047536</v>
          </cell>
          <cell r="B3284">
            <v>3282</v>
          </cell>
          <cell r="C3284" t="str">
            <v>CS01/12</v>
          </cell>
          <cell r="D3284" t="str">
            <v>SPCC-SD</v>
          </cell>
          <cell r="E3284" t="str">
            <v>AF1</v>
          </cell>
          <cell r="F3284">
            <v>0.6</v>
          </cell>
          <cell r="G3284">
            <v>83</v>
          </cell>
          <cell r="H3284" t="str">
            <v>C</v>
          </cell>
          <cell r="I3284" t="str">
            <v>A</v>
          </cell>
          <cell r="J3284" t="str">
            <v>STORE</v>
          </cell>
          <cell r="K3284">
            <v>1</v>
          </cell>
          <cell r="L3284">
            <v>516</v>
          </cell>
          <cell r="M3284">
            <v>60047536</v>
          </cell>
          <cell r="N3284" t="str">
            <v>14/12/2005</v>
          </cell>
          <cell r="P3284" t="str">
            <v>IN5C14N1S563503</v>
          </cell>
        </row>
        <row r="3285">
          <cell r="A3285">
            <v>60047537</v>
          </cell>
          <cell r="B3285">
            <v>3283</v>
          </cell>
          <cell r="C3285" t="str">
            <v>CS01/12</v>
          </cell>
          <cell r="D3285" t="str">
            <v>SPCC-SD</v>
          </cell>
          <cell r="E3285" t="str">
            <v>AF1</v>
          </cell>
          <cell r="F3285">
            <v>0.6</v>
          </cell>
          <cell r="G3285">
            <v>83</v>
          </cell>
          <cell r="H3285" t="str">
            <v>C</v>
          </cell>
          <cell r="I3285" t="str">
            <v>A</v>
          </cell>
          <cell r="J3285" t="str">
            <v>STORE</v>
          </cell>
          <cell r="K3285">
            <v>1</v>
          </cell>
          <cell r="L3285">
            <v>516</v>
          </cell>
          <cell r="M3285">
            <v>60047537</v>
          </cell>
          <cell r="N3285" t="str">
            <v>14/12/2005</v>
          </cell>
          <cell r="P3285" t="str">
            <v>IN5C14N1S563504</v>
          </cell>
        </row>
        <row r="3286">
          <cell r="A3286">
            <v>60049618</v>
          </cell>
          <cell r="B3286">
            <v>3284</v>
          </cell>
          <cell r="C3286" t="str">
            <v>CS01/12</v>
          </cell>
          <cell r="D3286" t="str">
            <v>SPCC-SD</v>
          </cell>
          <cell r="E3286" t="str">
            <v>AF1</v>
          </cell>
          <cell r="F3286">
            <v>0.6</v>
          </cell>
          <cell r="G3286">
            <v>83</v>
          </cell>
          <cell r="H3286" t="str">
            <v>C</v>
          </cell>
          <cell r="I3286" t="str">
            <v>A</v>
          </cell>
          <cell r="J3286" t="str">
            <v>STORE</v>
          </cell>
          <cell r="K3286">
            <v>1</v>
          </cell>
          <cell r="L3286">
            <v>252</v>
          </cell>
          <cell r="M3286">
            <v>60049618</v>
          </cell>
          <cell r="N3286" t="str">
            <v>17/1/2006</v>
          </cell>
          <cell r="P3286" t="str">
            <v>IN6117D1S641501</v>
          </cell>
        </row>
        <row r="3287">
          <cell r="A3287">
            <v>60050078</v>
          </cell>
          <cell r="B3287">
            <v>3285</v>
          </cell>
          <cell r="C3287" t="str">
            <v>CS01/12</v>
          </cell>
          <cell r="D3287" t="str">
            <v>SPCC-SD</v>
          </cell>
          <cell r="E3287" t="str">
            <v>AF1</v>
          </cell>
          <cell r="F3287">
            <v>0.6</v>
          </cell>
          <cell r="G3287">
            <v>83</v>
          </cell>
          <cell r="H3287" t="str">
            <v>C</v>
          </cell>
          <cell r="I3287" t="str">
            <v>A</v>
          </cell>
          <cell r="J3287" t="str">
            <v>STORE</v>
          </cell>
          <cell r="K3287">
            <v>1</v>
          </cell>
          <cell r="L3287">
            <v>107</v>
          </cell>
          <cell r="M3287">
            <v>60050078</v>
          </cell>
          <cell r="N3287" t="str">
            <v>24/1/2006</v>
          </cell>
          <cell r="P3287" t="str">
            <v>IN6124D1S670901</v>
          </cell>
        </row>
        <row r="3288">
          <cell r="A3288">
            <v>60050079</v>
          </cell>
          <cell r="B3288">
            <v>3286</v>
          </cell>
          <cell r="C3288" t="str">
            <v>CS01/12</v>
          </cell>
          <cell r="D3288" t="str">
            <v>SPCC-SD</v>
          </cell>
          <cell r="E3288" t="str">
            <v>AF1</v>
          </cell>
          <cell r="F3288">
            <v>0.6</v>
          </cell>
          <cell r="G3288">
            <v>83</v>
          </cell>
          <cell r="H3288" t="str">
            <v>C</v>
          </cell>
          <cell r="I3288" t="str">
            <v>A</v>
          </cell>
          <cell r="J3288" t="str">
            <v>STORE</v>
          </cell>
          <cell r="K3288">
            <v>1</v>
          </cell>
          <cell r="L3288">
            <v>105</v>
          </cell>
          <cell r="M3288">
            <v>60050079</v>
          </cell>
          <cell r="N3288" t="str">
            <v>24/1/2006</v>
          </cell>
          <cell r="P3288" t="str">
            <v>IN6124D1S670902</v>
          </cell>
        </row>
        <row r="3289">
          <cell r="A3289">
            <v>60043720</v>
          </cell>
          <cell r="B3289">
            <v>3287</v>
          </cell>
          <cell r="C3289" t="str">
            <v>CS01/12</v>
          </cell>
          <cell r="D3289" t="str">
            <v>SPCC-SD</v>
          </cell>
          <cell r="E3289" t="str">
            <v>AF1</v>
          </cell>
          <cell r="F3289">
            <v>0.6</v>
          </cell>
          <cell r="G3289">
            <v>94</v>
          </cell>
          <cell r="H3289" t="str">
            <v>C</v>
          </cell>
          <cell r="I3289" t="str">
            <v>A</v>
          </cell>
          <cell r="J3289" t="str">
            <v>STORE</v>
          </cell>
          <cell r="K3289">
            <v>1</v>
          </cell>
          <cell r="L3289">
            <v>268</v>
          </cell>
          <cell r="M3289">
            <v>60043720</v>
          </cell>
          <cell r="N3289">
            <v>38453</v>
          </cell>
          <cell r="P3289" t="str">
            <v>IN5B04D1S443001</v>
          </cell>
        </row>
        <row r="3290">
          <cell r="A3290">
            <v>60044488</v>
          </cell>
          <cell r="B3290">
            <v>3288</v>
          </cell>
          <cell r="C3290" t="str">
            <v>CS01/12</v>
          </cell>
          <cell r="D3290" t="str">
            <v>SPCC-SD</v>
          </cell>
          <cell r="E3290" t="str">
            <v>AF1</v>
          </cell>
          <cell r="F3290">
            <v>0.6</v>
          </cell>
          <cell r="G3290">
            <v>94</v>
          </cell>
          <cell r="H3290" t="str">
            <v>C</v>
          </cell>
          <cell r="I3290" t="str">
            <v>A</v>
          </cell>
          <cell r="J3290" t="str">
            <v>STORE</v>
          </cell>
          <cell r="K3290">
            <v>1</v>
          </cell>
          <cell r="L3290">
            <v>282</v>
          </cell>
          <cell r="M3290">
            <v>60044488</v>
          </cell>
          <cell r="N3290" t="str">
            <v>13/12/2005</v>
          </cell>
          <cell r="P3290" t="str">
            <v>IN5C13N1S474901</v>
          </cell>
        </row>
        <row r="3291">
          <cell r="A3291">
            <v>60044490</v>
          </cell>
          <cell r="B3291">
            <v>3289</v>
          </cell>
          <cell r="C3291" t="str">
            <v>CS01/12</v>
          </cell>
          <cell r="D3291" t="str">
            <v>SPCC-SD</v>
          </cell>
          <cell r="E3291" t="str">
            <v>AF1</v>
          </cell>
          <cell r="F3291">
            <v>0.6</v>
          </cell>
          <cell r="G3291">
            <v>94</v>
          </cell>
          <cell r="H3291" t="str">
            <v>C</v>
          </cell>
          <cell r="I3291" t="str">
            <v>A</v>
          </cell>
          <cell r="J3291" t="str">
            <v>STORE</v>
          </cell>
          <cell r="K3291">
            <v>1</v>
          </cell>
          <cell r="L3291">
            <v>164</v>
          </cell>
          <cell r="M3291">
            <v>60044490</v>
          </cell>
          <cell r="N3291" t="str">
            <v>13/11/2005</v>
          </cell>
          <cell r="P3291" t="str">
            <v>IN5B13N1S474902</v>
          </cell>
        </row>
        <row r="3292">
          <cell r="A3292">
            <v>60059739</v>
          </cell>
          <cell r="B3292">
            <v>3290</v>
          </cell>
          <cell r="C3292" t="str">
            <v>CS01/12</v>
          </cell>
          <cell r="D3292" t="str">
            <v>SPCC-SD</v>
          </cell>
          <cell r="E3292" t="str">
            <v>AF1</v>
          </cell>
          <cell r="F3292">
            <v>0.6</v>
          </cell>
          <cell r="G3292">
            <v>105</v>
          </cell>
          <cell r="H3292" t="str">
            <v>C</v>
          </cell>
          <cell r="I3292" t="str">
            <v>A</v>
          </cell>
          <cell r="J3292" t="str">
            <v>STORE</v>
          </cell>
          <cell r="K3292">
            <v>1</v>
          </cell>
          <cell r="L3292">
            <v>202</v>
          </cell>
          <cell r="M3292">
            <v>60059739</v>
          </cell>
          <cell r="N3292" t="str">
            <v>28/6/2006</v>
          </cell>
          <cell r="P3292" t="str">
            <v>IN6628D1M145301</v>
          </cell>
        </row>
        <row r="3293">
          <cell r="A3293">
            <v>60060376</v>
          </cell>
          <cell r="B3293">
            <v>3291</v>
          </cell>
          <cell r="C3293" t="str">
            <v>CS01/12</v>
          </cell>
          <cell r="D3293" t="str">
            <v>SPCC-SD</v>
          </cell>
          <cell r="E3293" t="str">
            <v>AF1</v>
          </cell>
          <cell r="F3293">
            <v>0.6</v>
          </cell>
          <cell r="G3293">
            <v>105</v>
          </cell>
          <cell r="H3293" t="str">
            <v>C</v>
          </cell>
          <cell r="I3293" t="str">
            <v>A</v>
          </cell>
          <cell r="J3293" t="str">
            <v>STORE</v>
          </cell>
          <cell r="K3293">
            <v>1</v>
          </cell>
          <cell r="L3293">
            <v>676</v>
          </cell>
          <cell r="M3293">
            <v>60060376</v>
          </cell>
          <cell r="N3293" t="str">
            <v>29/5/2006</v>
          </cell>
          <cell r="P3293" t="str">
            <v>IN6529D1S048301</v>
          </cell>
        </row>
        <row r="3294">
          <cell r="A3294">
            <v>60060469</v>
          </cell>
          <cell r="B3294">
            <v>3292</v>
          </cell>
          <cell r="C3294" t="str">
            <v>CS01/12</v>
          </cell>
          <cell r="D3294" t="str">
            <v>SPCC-SD</v>
          </cell>
          <cell r="E3294" t="str">
            <v>AF1</v>
          </cell>
          <cell r="F3294">
            <v>0.6</v>
          </cell>
          <cell r="G3294">
            <v>105</v>
          </cell>
          <cell r="H3294" t="str">
            <v>C</v>
          </cell>
          <cell r="I3294" t="str">
            <v>A</v>
          </cell>
          <cell r="J3294" t="str">
            <v>STORE</v>
          </cell>
          <cell r="K3294">
            <v>1</v>
          </cell>
          <cell r="L3294">
            <v>681</v>
          </cell>
          <cell r="M3294">
            <v>60060469</v>
          </cell>
          <cell r="N3294" t="str">
            <v>30/5/2006</v>
          </cell>
          <cell r="P3294" t="str">
            <v>IN6530N1S057101</v>
          </cell>
        </row>
        <row r="3295">
          <cell r="A3295">
            <v>60061847</v>
          </cell>
          <cell r="B3295">
            <v>3293</v>
          </cell>
          <cell r="C3295" t="str">
            <v>CS01/12</v>
          </cell>
          <cell r="D3295" t="str">
            <v>SPCC-SD</v>
          </cell>
          <cell r="E3295" t="str">
            <v>AF1</v>
          </cell>
          <cell r="F3295">
            <v>0.6</v>
          </cell>
          <cell r="G3295">
            <v>105</v>
          </cell>
          <cell r="H3295" t="str">
            <v>C</v>
          </cell>
          <cell r="I3295" t="str">
            <v>A</v>
          </cell>
          <cell r="J3295" t="str">
            <v>STORE</v>
          </cell>
          <cell r="K3295">
            <v>1</v>
          </cell>
          <cell r="L3295">
            <v>685</v>
          </cell>
          <cell r="M3295">
            <v>60061847</v>
          </cell>
          <cell r="N3295" t="str">
            <v>18/6/2006</v>
          </cell>
          <cell r="P3295" t="str">
            <v>IN6618N1S118401</v>
          </cell>
        </row>
        <row r="3296">
          <cell r="A3296">
            <v>60061851</v>
          </cell>
          <cell r="B3296">
            <v>3294</v>
          </cell>
          <cell r="C3296" t="str">
            <v>CS01/12</v>
          </cell>
          <cell r="D3296" t="str">
            <v>SPCC-SD</v>
          </cell>
          <cell r="E3296" t="str">
            <v>AF1</v>
          </cell>
          <cell r="F3296">
            <v>0.6</v>
          </cell>
          <cell r="G3296">
            <v>105</v>
          </cell>
          <cell r="H3296" t="str">
            <v>C</v>
          </cell>
          <cell r="I3296" t="str">
            <v>A</v>
          </cell>
          <cell r="J3296" t="str">
            <v>STORE</v>
          </cell>
          <cell r="K3296">
            <v>1</v>
          </cell>
          <cell r="L3296">
            <v>386</v>
          </cell>
          <cell r="M3296">
            <v>60061851</v>
          </cell>
          <cell r="N3296" t="str">
            <v>18/6/2006</v>
          </cell>
          <cell r="P3296" t="str">
            <v>IN6618N1S118402</v>
          </cell>
        </row>
        <row r="3297">
          <cell r="A3297">
            <v>60044413</v>
          </cell>
          <cell r="B3297">
            <v>3295</v>
          </cell>
          <cell r="C3297" t="str">
            <v>CS01/12</v>
          </cell>
          <cell r="D3297" t="str">
            <v>SPCC-SD</v>
          </cell>
          <cell r="E3297" t="str">
            <v>AF1</v>
          </cell>
          <cell r="F3297">
            <v>0.6</v>
          </cell>
          <cell r="G3297">
            <v>120</v>
          </cell>
          <cell r="H3297" t="str">
            <v>C</v>
          </cell>
          <cell r="I3297" t="str">
            <v>A</v>
          </cell>
          <cell r="J3297" t="str">
            <v>STORE</v>
          </cell>
          <cell r="K3297">
            <v>1</v>
          </cell>
          <cell r="L3297">
            <v>555</v>
          </cell>
          <cell r="M3297">
            <v>60044413</v>
          </cell>
          <cell r="N3297">
            <v>38697</v>
          </cell>
          <cell r="P3297" t="str">
            <v>IN5B12D1S475101</v>
          </cell>
        </row>
        <row r="3298">
          <cell r="A3298">
            <v>60044475</v>
          </cell>
          <cell r="B3298">
            <v>3296</v>
          </cell>
          <cell r="C3298" t="str">
            <v>CS01/12</v>
          </cell>
          <cell r="D3298" t="str">
            <v>SPCC-SD</v>
          </cell>
          <cell r="E3298" t="str">
            <v>AF1</v>
          </cell>
          <cell r="F3298">
            <v>0.6</v>
          </cell>
          <cell r="G3298">
            <v>120</v>
          </cell>
          <cell r="H3298" t="str">
            <v>C</v>
          </cell>
          <cell r="I3298" t="str">
            <v>A</v>
          </cell>
          <cell r="J3298" t="str">
            <v>STORE</v>
          </cell>
          <cell r="K3298">
            <v>1</v>
          </cell>
          <cell r="L3298">
            <v>258</v>
          </cell>
          <cell r="M3298">
            <v>60044475</v>
          </cell>
          <cell r="N3298">
            <v>38697</v>
          </cell>
          <cell r="P3298" t="str">
            <v>IN5B12N1S475102</v>
          </cell>
        </row>
        <row r="3299">
          <cell r="A3299">
            <v>60049918</v>
          </cell>
          <cell r="B3299">
            <v>3297</v>
          </cell>
          <cell r="C3299" t="str">
            <v>CS01/12</v>
          </cell>
          <cell r="D3299" t="str">
            <v>SPCC-SD</v>
          </cell>
          <cell r="E3299" t="str">
            <v>AF1</v>
          </cell>
          <cell r="F3299">
            <v>0.6</v>
          </cell>
          <cell r="G3299">
            <v>140</v>
          </cell>
          <cell r="H3299" t="str">
            <v>C</v>
          </cell>
          <cell r="I3299" t="str">
            <v>A</v>
          </cell>
          <cell r="J3299" t="str">
            <v>STORE</v>
          </cell>
          <cell r="K3299">
            <v>1</v>
          </cell>
          <cell r="L3299">
            <v>230</v>
          </cell>
          <cell r="M3299">
            <v>60049918</v>
          </cell>
          <cell r="N3299" t="str">
            <v>21/1/2006</v>
          </cell>
          <cell r="P3299" t="str">
            <v>IN6121N1S665801</v>
          </cell>
        </row>
        <row r="3300">
          <cell r="A3300">
            <v>60041030</v>
          </cell>
          <cell r="B3300">
            <v>3298</v>
          </cell>
          <cell r="C3300" t="str">
            <v>CS01/12</v>
          </cell>
          <cell r="D3300" t="str">
            <v>SPCC-SD</v>
          </cell>
          <cell r="E3300" t="str">
            <v>AF1</v>
          </cell>
          <cell r="F3300">
            <v>0.6</v>
          </cell>
          <cell r="G3300">
            <v>155</v>
          </cell>
          <cell r="H3300" t="str">
            <v>C</v>
          </cell>
          <cell r="I3300" t="str">
            <v>A</v>
          </cell>
          <cell r="J3300" t="str">
            <v>STORE</v>
          </cell>
          <cell r="K3300">
            <v>1</v>
          </cell>
          <cell r="L3300">
            <v>386</v>
          </cell>
          <cell r="M3300">
            <v>60041030</v>
          </cell>
          <cell r="N3300" t="str">
            <v>29/8/2006</v>
          </cell>
          <cell r="P3300" t="str">
            <v>IN6829D1S333701</v>
          </cell>
        </row>
        <row r="3301">
          <cell r="A3301">
            <v>60041031</v>
          </cell>
          <cell r="B3301">
            <v>3299</v>
          </cell>
          <cell r="C3301" t="str">
            <v>CS01/12</v>
          </cell>
          <cell r="D3301" t="str">
            <v>SPCC-SD</v>
          </cell>
          <cell r="E3301" t="str">
            <v>AF1</v>
          </cell>
          <cell r="F3301">
            <v>0.6</v>
          </cell>
          <cell r="G3301">
            <v>155</v>
          </cell>
          <cell r="H3301" t="str">
            <v>C</v>
          </cell>
          <cell r="I3301" t="str">
            <v>A</v>
          </cell>
          <cell r="J3301" t="str">
            <v>STORE</v>
          </cell>
          <cell r="K3301">
            <v>1</v>
          </cell>
          <cell r="L3301">
            <v>1308</v>
          </cell>
          <cell r="M3301">
            <v>60041031</v>
          </cell>
          <cell r="N3301" t="str">
            <v>24/9/2005</v>
          </cell>
          <cell r="P3301" t="str">
            <v>IN5924N1S323201</v>
          </cell>
        </row>
        <row r="3302">
          <cell r="A3302">
            <v>60041033</v>
          </cell>
          <cell r="B3302">
            <v>3300</v>
          </cell>
          <cell r="C3302" t="str">
            <v>CS01/12</v>
          </cell>
          <cell r="D3302" t="str">
            <v>SPCC-SD</v>
          </cell>
          <cell r="E3302" t="str">
            <v>AF1</v>
          </cell>
          <cell r="F3302">
            <v>0.6</v>
          </cell>
          <cell r="G3302">
            <v>155</v>
          </cell>
          <cell r="H3302" t="str">
            <v>C</v>
          </cell>
          <cell r="I3302" t="str">
            <v>A</v>
          </cell>
          <cell r="J3302" t="str">
            <v>STORE</v>
          </cell>
          <cell r="K3302">
            <v>1</v>
          </cell>
          <cell r="L3302">
            <v>609</v>
          </cell>
          <cell r="M3302">
            <v>60041033</v>
          </cell>
          <cell r="N3302">
            <v>38813</v>
          </cell>
          <cell r="P3302" t="str">
            <v>IN6604D1S071401</v>
          </cell>
        </row>
        <row r="3303">
          <cell r="A3303">
            <v>60041034</v>
          </cell>
          <cell r="B3303">
            <v>3301</v>
          </cell>
          <cell r="C3303" t="str">
            <v>CS01/12</v>
          </cell>
          <cell r="D3303" t="str">
            <v>SPCC-SD</v>
          </cell>
          <cell r="E3303" t="str">
            <v>AF1</v>
          </cell>
          <cell r="F3303">
            <v>0.6</v>
          </cell>
          <cell r="G3303">
            <v>155</v>
          </cell>
          <cell r="H3303" t="str">
            <v>C</v>
          </cell>
          <cell r="I3303" t="str">
            <v>A</v>
          </cell>
          <cell r="J3303" t="str">
            <v>STORE</v>
          </cell>
          <cell r="K3303">
            <v>1</v>
          </cell>
          <cell r="L3303">
            <v>1306</v>
          </cell>
          <cell r="M3303">
            <v>60041034</v>
          </cell>
          <cell r="N3303" t="str">
            <v>24/9/2005</v>
          </cell>
          <cell r="P3303" t="str">
            <v>IN5924N1S323201</v>
          </cell>
        </row>
        <row r="3304">
          <cell r="A3304">
            <v>60049917</v>
          </cell>
          <cell r="B3304">
            <v>3302</v>
          </cell>
          <cell r="C3304" t="str">
            <v>CS01/12</v>
          </cell>
          <cell r="D3304" t="str">
            <v>SPCC-SD</v>
          </cell>
          <cell r="E3304" t="str">
            <v>AF1</v>
          </cell>
          <cell r="F3304">
            <v>0.6</v>
          </cell>
          <cell r="G3304">
            <v>180</v>
          </cell>
          <cell r="H3304" t="str">
            <v>C</v>
          </cell>
          <cell r="I3304" t="str">
            <v>A</v>
          </cell>
          <cell r="J3304" t="str">
            <v>STORE</v>
          </cell>
          <cell r="K3304">
            <v>1</v>
          </cell>
          <cell r="L3304">
            <v>296</v>
          </cell>
          <cell r="M3304">
            <v>60049917</v>
          </cell>
          <cell r="N3304" t="str">
            <v>21/1/2006</v>
          </cell>
          <cell r="P3304" t="str">
            <v>IN6121N1S665801</v>
          </cell>
        </row>
        <row r="3305">
          <cell r="A3305">
            <v>60059033</v>
          </cell>
          <cell r="B3305">
            <v>3303</v>
          </cell>
          <cell r="C3305" t="str">
            <v>CS01/12</v>
          </cell>
          <cell r="D3305" t="str">
            <v>SPCC-SD</v>
          </cell>
          <cell r="E3305" t="str">
            <v>AF1</v>
          </cell>
          <cell r="F3305">
            <v>0.6</v>
          </cell>
          <cell r="G3305">
            <v>180</v>
          </cell>
          <cell r="H3305" t="str">
            <v>C</v>
          </cell>
          <cell r="I3305" t="str">
            <v>A</v>
          </cell>
          <cell r="J3305" t="str">
            <v>STORE</v>
          </cell>
          <cell r="K3305">
            <v>1</v>
          </cell>
          <cell r="L3305">
            <v>474</v>
          </cell>
          <cell r="M3305">
            <v>60059033</v>
          </cell>
          <cell r="N3305" t="str">
            <v>29/7/2006</v>
          </cell>
          <cell r="P3305" t="str">
            <v>IN6729N1S251301</v>
          </cell>
        </row>
        <row r="3306">
          <cell r="A3306">
            <v>60030965</v>
          </cell>
          <cell r="B3306">
            <v>3304</v>
          </cell>
          <cell r="C3306" t="str">
            <v>CS01/12</v>
          </cell>
          <cell r="D3306" t="str">
            <v>SPCC-SD</v>
          </cell>
          <cell r="E3306" t="str">
            <v>AF1</v>
          </cell>
          <cell r="F3306">
            <v>0.6</v>
          </cell>
          <cell r="G3306">
            <v>200</v>
          </cell>
          <cell r="H3306" t="str">
            <v>C</v>
          </cell>
          <cell r="I3306" t="str">
            <v>A</v>
          </cell>
          <cell r="J3306" t="str">
            <v>STORE</v>
          </cell>
          <cell r="K3306">
            <v>1</v>
          </cell>
          <cell r="L3306">
            <v>416</v>
          </cell>
          <cell r="M3306">
            <v>60030965</v>
          </cell>
          <cell r="N3306" t="str">
            <v>24/3/2005</v>
          </cell>
          <cell r="P3306" t="str">
            <v>IN5324N1S807901</v>
          </cell>
        </row>
        <row r="3307">
          <cell r="A3307">
            <v>60062483</v>
          </cell>
          <cell r="B3307">
            <v>3305</v>
          </cell>
          <cell r="C3307" t="str">
            <v>CS01/12</v>
          </cell>
          <cell r="D3307" t="str">
            <v>SPCC-SD</v>
          </cell>
          <cell r="E3307" t="str">
            <v>AF1</v>
          </cell>
          <cell r="F3307">
            <v>0.6</v>
          </cell>
          <cell r="G3307">
            <v>213</v>
          </cell>
          <cell r="H3307" t="str">
            <v>C</v>
          </cell>
          <cell r="I3307" t="str">
            <v>A</v>
          </cell>
          <cell r="J3307" t="str">
            <v>STORE</v>
          </cell>
          <cell r="K3307">
            <v>1</v>
          </cell>
          <cell r="L3307">
            <v>1170</v>
          </cell>
          <cell r="M3307">
            <v>60062483</v>
          </cell>
          <cell r="N3307" t="str">
            <v>28/6/2006</v>
          </cell>
          <cell r="P3307" t="str">
            <v>IN6628N1S147801</v>
          </cell>
        </row>
        <row r="3308">
          <cell r="A3308">
            <v>60039470</v>
          </cell>
          <cell r="B3308">
            <v>3306</v>
          </cell>
          <cell r="C3308" t="str">
            <v>CS01/12</v>
          </cell>
          <cell r="D3308" t="str">
            <v>SPCC-SD</v>
          </cell>
          <cell r="E3308" t="str">
            <v>AF1</v>
          </cell>
          <cell r="F3308">
            <v>0.7</v>
          </cell>
          <cell r="G3308">
            <v>44</v>
          </cell>
          <cell r="H3308" t="str">
            <v>C</v>
          </cell>
          <cell r="I3308" t="str">
            <v>A</v>
          </cell>
          <cell r="J3308" t="str">
            <v>STORE</v>
          </cell>
          <cell r="K3308">
            <v>1</v>
          </cell>
          <cell r="L3308">
            <v>313</v>
          </cell>
          <cell r="M3308">
            <v>60039470</v>
          </cell>
          <cell r="N3308" t="str">
            <v>23/8/2005</v>
          </cell>
          <cell r="P3308" t="str">
            <v>IN5823D1S232801</v>
          </cell>
        </row>
        <row r="3309">
          <cell r="A3309">
            <v>60039653</v>
          </cell>
          <cell r="B3309">
            <v>3307</v>
          </cell>
          <cell r="C3309" t="str">
            <v>CS01/12</v>
          </cell>
          <cell r="D3309" t="str">
            <v>SPCC-SD</v>
          </cell>
          <cell r="E3309" t="str">
            <v>AF1</v>
          </cell>
          <cell r="F3309">
            <v>0.7</v>
          </cell>
          <cell r="G3309">
            <v>44</v>
          </cell>
          <cell r="H3309" t="str">
            <v>C</v>
          </cell>
          <cell r="I3309" t="str">
            <v>A</v>
          </cell>
          <cell r="J3309" t="str">
            <v>STORE</v>
          </cell>
          <cell r="K3309">
            <v>1</v>
          </cell>
          <cell r="L3309">
            <v>53</v>
          </cell>
          <cell r="M3309">
            <v>60039653</v>
          </cell>
          <cell r="N3309" t="str">
            <v>29/8/2005</v>
          </cell>
          <cell r="P3309" t="str">
            <v>IN5829N1S247601</v>
          </cell>
        </row>
        <row r="3310">
          <cell r="A3310">
            <v>60051048</v>
          </cell>
          <cell r="B3310">
            <v>3308</v>
          </cell>
          <cell r="C3310" t="str">
            <v>CS01/12</v>
          </cell>
          <cell r="D3310" t="str">
            <v>SPCC-SD</v>
          </cell>
          <cell r="E3310" t="str">
            <v>AF1</v>
          </cell>
          <cell r="F3310">
            <v>0.7</v>
          </cell>
          <cell r="G3310">
            <v>60</v>
          </cell>
          <cell r="H3310" t="str">
            <v>C</v>
          </cell>
          <cell r="I3310" t="str">
            <v>A</v>
          </cell>
          <cell r="J3310" t="str">
            <v>STORE</v>
          </cell>
          <cell r="K3310">
            <v>1</v>
          </cell>
          <cell r="L3310">
            <v>246</v>
          </cell>
          <cell r="M3310">
            <v>60051048</v>
          </cell>
          <cell r="N3310">
            <v>38900</v>
          </cell>
          <cell r="P3310" t="str">
            <v>IN6207D1S711501</v>
          </cell>
        </row>
        <row r="3311">
          <cell r="A3311">
            <v>60039772</v>
          </cell>
          <cell r="B3311">
            <v>3309</v>
          </cell>
          <cell r="C3311" t="str">
            <v>CS01/12</v>
          </cell>
          <cell r="D3311" t="str">
            <v>SPCC-SD</v>
          </cell>
          <cell r="E3311" t="str">
            <v>AF1</v>
          </cell>
          <cell r="F3311">
            <v>0.7</v>
          </cell>
          <cell r="G3311">
            <v>64</v>
          </cell>
          <cell r="H3311" t="str">
            <v>C</v>
          </cell>
          <cell r="I3311" t="str">
            <v>A</v>
          </cell>
          <cell r="J3311" t="str">
            <v>STORE</v>
          </cell>
          <cell r="K3311">
            <v>1</v>
          </cell>
          <cell r="L3311">
            <v>481</v>
          </cell>
          <cell r="M3311">
            <v>60039772</v>
          </cell>
          <cell r="N3311" t="str">
            <v>31/8/2005</v>
          </cell>
          <cell r="P3311" t="str">
            <v>IN5831D1S256501</v>
          </cell>
        </row>
        <row r="3312">
          <cell r="A3312">
            <v>60041680</v>
          </cell>
          <cell r="B3312">
            <v>3310</v>
          </cell>
          <cell r="C3312" t="str">
            <v>CS01/12</v>
          </cell>
          <cell r="D3312" t="str">
            <v>SPCC-SD</v>
          </cell>
          <cell r="E3312" t="str">
            <v>AF1</v>
          </cell>
          <cell r="F3312">
            <v>0.7</v>
          </cell>
          <cell r="G3312">
            <v>64</v>
          </cell>
          <cell r="H3312" t="str">
            <v>C</v>
          </cell>
          <cell r="I3312" t="str">
            <v>A</v>
          </cell>
          <cell r="J3312" t="str">
            <v>STORE</v>
          </cell>
          <cell r="K3312">
            <v>1</v>
          </cell>
          <cell r="L3312">
            <v>190</v>
          </cell>
          <cell r="M3312">
            <v>60041680</v>
          </cell>
          <cell r="N3312">
            <v>38543</v>
          </cell>
          <cell r="P3312" t="str">
            <v>IN5A07N1S352001</v>
          </cell>
        </row>
        <row r="3313">
          <cell r="A3313">
            <v>60040420</v>
          </cell>
          <cell r="B3313">
            <v>3311</v>
          </cell>
          <cell r="C3313" t="str">
            <v>CS01/12</v>
          </cell>
          <cell r="D3313" t="str">
            <v>SPCC-SD</v>
          </cell>
          <cell r="E3313" t="str">
            <v>AF1</v>
          </cell>
          <cell r="F3313">
            <v>0.7</v>
          </cell>
          <cell r="G3313">
            <v>175</v>
          </cell>
          <cell r="H3313" t="str">
            <v>C</v>
          </cell>
          <cell r="I3313" t="str">
            <v>A</v>
          </cell>
          <cell r="J3313" t="str">
            <v>STORE</v>
          </cell>
          <cell r="K3313">
            <v>1</v>
          </cell>
          <cell r="L3313">
            <v>1072</v>
          </cell>
          <cell r="M3313">
            <v>60040420</v>
          </cell>
          <cell r="N3313">
            <v>38634</v>
          </cell>
          <cell r="P3313" t="str">
            <v>IN5910D1S285401</v>
          </cell>
        </row>
        <row r="3314">
          <cell r="A3314">
            <v>60023152</v>
          </cell>
          <cell r="B3314">
            <v>3312</v>
          </cell>
          <cell r="C3314" t="str">
            <v>CS01/12</v>
          </cell>
          <cell r="D3314" t="str">
            <v>SPCC-SD</v>
          </cell>
          <cell r="E3314" t="str">
            <v>AF1</v>
          </cell>
          <cell r="F3314">
            <v>0.7</v>
          </cell>
          <cell r="G3314">
            <v>97.5</v>
          </cell>
          <cell r="H3314" t="str">
            <v>C</v>
          </cell>
          <cell r="I3314" t="str">
            <v>A</v>
          </cell>
          <cell r="J3314" t="str">
            <v>STORE</v>
          </cell>
          <cell r="K3314">
            <v>1</v>
          </cell>
          <cell r="L3314">
            <v>315</v>
          </cell>
          <cell r="M3314">
            <v>60023152</v>
          </cell>
          <cell r="N3314">
            <v>38302</v>
          </cell>
          <cell r="P3314" t="str">
            <v>IN4B11D1S473301</v>
          </cell>
        </row>
        <row r="3315">
          <cell r="A3315">
            <v>60039570</v>
          </cell>
          <cell r="B3315">
            <v>3313</v>
          </cell>
          <cell r="C3315" t="str">
            <v>CS01/12</v>
          </cell>
          <cell r="D3315" t="str">
            <v>SPCC-SD</v>
          </cell>
          <cell r="E3315" t="str">
            <v>AF1</v>
          </cell>
          <cell r="F3315">
            <v>0.8</v>
          </cell>
          <cell r="G3315">
            <v>43</v>
          </cell>
          <cell r="H3315" t="str">
            <v>C</v>
          </cell>
          <cell r="I3315" t="str">
            <v>A</v>
          </cell>
          <cell r="J3315" t="str">
            <v>STORE</v>
          </cell>
          <cell r="K3315">
            <v>1</v>
          </cell>
          <cell r="L3315">
            <v>62</v>
          </cell>
          <cell r="M3315">
            <v>60039570</v>
          </cell>
          <cell r="N3315" t="str">
            <v>26/8/2005</v>
          </cell>
          <cell r="P3315" t="str">
            <v>IN5826D1S241101</v>
          </cell>
        </row>
        <row r="3316">
          <cell r="A3316">
            <v>60042642</v>
          </cell>
          <cell r="B3316">
            <v>3314</v>
          </cell>
          <cell r="C3316" t="str">
            <v>CS01/12</v>
          </cell>
          <cell r="D3316" t="str">
            <v>SPCC-SD</v>
          </cell>
          <cell r="E3316" t="str">
            <v>AF1</v>
          </cell>
          <cell r="F3316">
            <v>0.8</v>
          </cell>
          <cell r="G3316">
            <v>83</v>
          </cell>
          <cell r="H3316" t="str">
            <v>C</v>
          </cell>
          <cell r="I3316" t="str">
            <v>A</v>
          </cell>
          <cell r="J3316" t="str">
            <v>STORE</v>
          </cell>
          <cell r="K3316">
            <v>1</v>
          </cell>
          <cell r="L3316">
            <v>706</v>
          </cell>
          <cell r="M3316">
            <v>60042642</v>
          </cell>
          <cell r="N3316" t="str">
            <v>19/10/2005</v>
          </cell>
          <cell r="P3316" t="str">
            <v>IN5A19D1S366501</v>
          </cell>
        </row>
        <row r="3317">
          <cell r="A3317">
            <v>60042684</v>
          </cell>
          <cell r="B3317">
            <v>3315</v>
          </cell>
          <cell r="C3317" t="str">
            <v>CS01/12</v>
          </cell>
          <cell r="D3317" t="str">
            <v>SPCC-SD</v>
          </cell>
          <cell r="E3317" t="str">
            <v>AF1</v>
          </cell>
          <cell r="F3317">
            <v>0.8</v>
          </cell>
          <cell r="G3317">
            <v>83</v>
          </cell>
          <cell r="H3317" t="str">
            <v>C</v>
          </cell>
          <cell r="I3317" t="str">
            <v>A</v>
          </cell>
          <cell r="J3317" t="str">
            <v>STORE</v>
          </cell>
          <cell r="K3317">
            <v>1</v>
          </cell>
          <cell r="L3317">
            <v>350</v>
          </cell>
          <cell r="M3317">
            <v>60042684</v>
          </cell>
          <cell r="N3317" t="str">
            <v>19/10/2005</v>
          </cell>
          <cell r="P3317" t="str">
            <v>IN5A19N1S366501</v>
          </cell>
        </row>
        <row r="3318">
          <cell r="A3318">
            <v>60059847</v>
          </cell>
          <cell r="B3318">
            <v>3316</v>
          </cell>
          <cell r="C3318" t="str">
            <v>CS01/12</v>
          </cell>
          <cell r="D3318" t="str">
            <v>SPCC-SD</v>
          </cell>
          <cell r="E3318" t="str">
            <v>AF1</v>
          </cell>
          <cell r="F3318">
            <v>0.8</v>
          </cell>
          <cell r="G3318">
            <v>180</v>
          </cell>
          <cell r="H3318" t="str">
            <v>C</v>
          </cell>
          <cell r="I3318" t="str">
            <v>A</v>
          </cell>
          <cell r="J3318" t="str">
            <v>STORE</v>
          </cell>
          <cell r="K3318">
            <v>1</v>
          </cell>
          <cell r="L3318">
            <v>257</v>
          </cell>
          <cell r="M3318">
            <v>60059847</v>
          </cell>
          <cell r="N3318" t="str">
            <v>24/5/2006</v>
          </cell>
          <cell r="O3318" t="str">
            <v>124B27SUD006</v>
          </cell>
          <cell r="P3318" t="str">
            <v>IN6524D1S025501</v>
          </cell>
        </row>
        <row r="3319">
          <cell r="A3319">
            <v>60059849</v>
          </cell>
          <cell r="B3319">
            <v>3317</v>
          </cell>
          <cell r="C3319" t="str">
            <v>CS01/12</v>
          </cell>
          <cell r="D3319" t="str">
            <v>SPCC-SD</v>
          </cell>
          <cell r="E3319" t="str">
            <v>AF1</v>
          </cell>
          <cell r="F3319">
            <v>0.8</v>
          </cell>
          <cell r="G3319">
            <v>180</v>
          </cell>
          <cell r="H3319" t="str">
            <v>C</v>
          </cell>
          <cell r="I3319" t="str">
            <v>A</v>
          </cell>
          <cell r="J3319" t="str">
            <v>STORE</v>
          </cell>
          <cell r="K3319">
            <v>1</v>
          </cell>
          <cell r="L3319">
            <v>165</v>
          </cell>
          <cell r="M3319">
            <v>60059849</v>
          </cell>
          <cell r="N3319" t="str">
            <v>24/5/2006</v>
          </cell>
          <cell r="O3319" t="str">
            <v>124B27SUD007</v>
          </cell>
          <cell r="P3319" t="str">
            <v>IN6524D1S025502</v>
          </cell>
        </row>
        <row r="3320">
          <cell r="A3320">
            <v>60049632</v>
          </cell>
          <cell r="B3320">
            <v>3318</v>
          </cell>
          <cell r="C3320" t="str">
            <v>CS01/12</v>
          </cell>
          <cell r="D3320" t="str">
            <v>SPCC-SD</v>
          </cell>
          <cell r="E3320" t="str">
            <v>AF1</v>
          </cell>
          <cell r="F3320">
            <v>0.8</v>
          </cell>
          <cell r="G3320">
            <v>189</v>
          </cell>
          <cell r="H3320" t="str">
            <v>C</v>
          </cell>
          <cell r="I3320" t="str">
            <v>A</v>
          </cell>
          <cell r="J3320" t="str">
            <v>STORE</v>
          </cell>
          <cell r="K3320">
            <v>1</v>
          </cell>
          <cell r="L3320">
            <v>574</v>
          </cell>
          <cell r="M3320">
            <v>60049632</v>
          </cell>
          <cell r="N3320" t="str">
            <v>17/1/2006</v>
          </cell>
          <cell r="P3320" t="str">
            <v>IN6117D1S652401</v>
          </cell>
        </row>
        <row r="3321">
          <cell r="A3321">
            <v>60057384</v>
          </cell>
          <cell r="B3321">
            <v>3319</v>
          </cell>
          <cell r="C3321" t="str">
            <v>CS01/12</v>
          </cell>
          <cell r="D3321" t="str">
            <v>SPCC-SD</v>
          </cell>
          <cell r="E3321" t="str">
            <v>AF1</v>
          </cell>
          <cell r="F3321">
            <v>0.8</v>
          </cell>
          <cell r="G3321">
            <v>189</v>
          </cell>
          <cell r="H3321" t="str">
            <v>C</v>
          </cell>
          <cell r="I3321" t="str">
            <v>A</v>
          </cell>
          <cell r="J3321" t="str">
            <v>STORE</v>
          </cell>
          <cell r="K3321">
            <v>1</v>
          </cell>
          <cell r="L3321">
            <v>1170</v>
          </cell>
          <cell r="M3321">
            <v>60057384</v>
          </cell>
          <cell r="N3321" t="str">
            <v>25/4/2006</v>
          </cell>
          <cell r="O3321" t="str">
            <v>126318SUD008</v>
          </cell>
          <cell r="P3321" t="str">
            <v>IN6425N1S966501</v>
          </cell>
        </row>
        <row r="3322">
          <cell r="A3322">
            <v>60058331</v>
          </cell>
          <cell r="B3322">
            <v>3320</v>
          </cell>
          <cell r="C3322" t="str">
            <v>CS01/12</v>
          </cell>
          <cell r="D3322" t="str">
            <v>SPCC-SD</v>
          </cell>
          <cell r="E3322" t="str">
            <v>AF1</v>
          </cell>
          <cell r="F3322">
            <v>0.8</v>
          </cell>
          <cell r="G3322">
            <v>189</v>
          </cell>
          <cell r="H3322" t="str">
            <v>C</v>
          </cell>
          <cell r="I3322" t="str">
            <v>A</v>
          </cell>
          <cell r="J3322" t="str">
            <v>STORE</v>
          </cell>
          <cell r="K3322">
            <v>1</v>
          </cell>
          <cell r="L3322">
            <v>557</v>
          </cell>
          <cell r="M3322">
            <v>60058331</v>
          </cell>
          <cell r="N3322">
            <v>38842</v>
          </cell>
          <cell r="P3322" t="str">
            <v>IN6505D1S988901</v>
          </cell>
        </row>
        <row r="3323">
          <cell r="A3323">
            <v>60053559</v>
          </cell>
          <cell r="B3323">
            <v>3321</v>
          </cell>
          <cell r="C3323" t="str">
            <v>CS01/12</v>
          </cell>
          <cell r="D3323" t="str">
            <v>SPCC-SD</v>
          </cell>
          <cell r="E3323" t="str">
            <v>AF1</v>
          </cell>
          <cell r="F3323">
            <v>0.8</v>
          </cell>
          <cell r="G3323">
            <v>366</v>
          </cell>
          <cell r="H3323" t="str">
            <v>C</v>
          </cell>
          <cell r="I3323" t="str">
            <v>A</v>
          </cell>
          <cell r="J3323" t="str">
            <v>STORE</v>
          </cell>
          <cell r="K3323">
            <v>1</v>
          </cell>
          <cell r="L3323">
            <v>2532</v>
          </cell>
          <cell r="M3323">
            <v>60053559</v>
          </cell>
          <cell r="N3323">
            <v>38932</v>
          </cell>
          <cell r="P3323" t="str">
            <v>IN6308N1S809301</v>
          </cell>
        </row>
        <row r="3324">
          <cell r="A3324">
            <v>60054269</v>
          </cell>
          <cell r="B3324">
            <v>3322</v>
          </cell>
          <cell r="C3324" t="str">
            <v>CS01/12</v>
          </cell>
          <cell r="D3324" t="str">
            <v>SPCC-SD</v>
          </cell>
          <cell r="E3324" t="str">
            <v>AF1</v>
          </cell>
          <cell r="F3324">
            <v>0.8</v>
          </cell>
          <cell r="G3324">
            <v>366</v>
          </cell>
          <cell r="H3324" t="str">
            <v>C</v>
          </cell>
          <cell r="I3324" t="str">
            <v>A</v>
          </cell>
          <cell r="J3324" t="str">
            <v>STORE</v>
          </cell>
          <cell r="K3324">
            <v>1</v>
          </cell>
          <cell r="L3324">
            <v>816</v>
          </cell>
          <cell r="M3324">
            <v>60054269</v>
          </cell>
          <cell r="N3324">
            <v>39054</v>
          </cell>
          <cell r="P3324" t="str">
            <v>IN6312N1S808801</v>
          </cell>
        </row>
        <row r="3325">
          <cell r="A3325">
            <v>60054273</v>
          </cell>
          <cell r="B3325">
            <v>3323</v>
          </cell>
          <cell r="C3325" t="str">
            <v>CS01/12</v>
          </cell>
          <cell r="D3325" t="str">
            <v>SPCC-SD</v>
          </cell>
          <cell r="E3325" t="str">
            <v>AF1</v>
          </cell>
          <cell r="F3325">
            <v>0.8</v>
          </cell>
          <cell r="G3325">
            <v>366</v>
          </cell>
          <cell r="H3325" t="str">
            <v>C</v>
          </cell>
          <cell r="I3325" t="str">
            <v>A</v>
          </cell>
          <cell r="J3325" t="str">
            <v>STORE</v>
          </cell>
          <cell r="K3325">
            <v>1</v>
          </cell>
          <cell r="L3325">
            <v>1234</v>
          </cell>
          <cell r="M3325">
            <v>60054273</v>
          </cell>
          <cell r="N3325" t="str">
            <v>26/5/2006</v>
          </cell>
          <cell r="P3325" t="str">
            <v>IN6526D1S049001</v>
          </cell>
        </row>
        <row r="3326">
          <cell r="A3326">
            <v>60054275</v>
          </cell>
          <cell r="B3326">
            <v>3324</v>
          </cell>
          <cell r="C3326" t="str">
            <v>CS01/12</v>
          </cell>
          <cell r="D3326" t="str">
            <v>SPCC-SD</v>
          </cell>
          <cell r="E3326" t="str">
            <v>AF1</v>
          </cell>
          <cell r="F3326">
            <v>0.8</v>
          </cell>
          <cell r="G3326">
            <v>366</v>
          </cell>
          <cell r="H3326" t="str">
            <v>C</v>
          </cell>
          <cell r="I3326" t="str">
            <v>A</v>
          </cell>
          <cell r="J3326" t="str">
            <v>STORE</v>
          </cell>
          <cell r="K3326">
            <v>1</v>
          </cell>
          <cell r="L3326">
            <v>2502</v>
          </cell>
          <cell r="M3326">
            <v>60054275</v>
          </cell>
          <cell r="N3326" t="str">
            <v>13/3/2006</v>
          </cell>
          <cell r="P3326" t="str">
            <v>IN6313N1S808801</v>
          </cell>
        </row>
        <row r="3327">
          <cell r="A3327">
            <v>60054277</v>
          </cell>
          <cell r="B3327">
            <v>3325</v>
          </cell>
          <cell r="C3327" t="str">
            <v>CS01/12</v>
          </cell>
          <cell r="D3327" t="str">
            <v>SPCC-SD</v>
          </cell>
          <cell r="E3327" t="str">
            <v>AF1</v>
          </cell>
          <cell r="F3327">
            <v>0.8</v>
          </cell>
          <cell r="G3327">
            <v>366</v>
          </cell>
          <cell r="H3327" t="str">
            <v>C</v>
          </cell>
          <cell r="I3327" t="str">
            <v>A</v>
          </cell>
          <cell r="J3327" t="str">
            <v>STORE</v>
          </cell>
          <cell r="K3327">
            <v>1</v>
          </cell>
          <cell r="L3327">
            <v>2324</v>
          </cell>
          <cell r="M3327">
            <v>60054277</v>
          </cell>
          <cell r="N3327" t="str">
            <v>13/3/2006</v>
          </cell>
          <cell r="P3327" t="str">
            <v>IN6313N1S808802</v>
          </cell>
        </row>
        <row r="3328">
          <cell r="A3328">
            <v>50105962</v>
          </cell>
          <cell r="B3328">
            <v>3326</v>
          </cell>
          <cell r="C3328" t="str">
            <v>OW01/1</v>
          </cell>
          <cell r="D3328" t="str">
            <v>SPCC-SD</v>
          </cell>
          <cell r="E3328" t="str">
            <v>AF1</v>
          </cell>
          <cell r="F3328">
            <v>0.8</v>
          </cell>
          <cell r="G3328">
            <v>564</v>
          </cell>
          <cell r="H3328">
            <v>1219</v>
          </cell>
          <cell r="I3328">
            <v>5</v>
          </cell>
          <cell r="J3328" t="str">
            <v>STORE</v>
          </cell>
          <cell r="K3328">
            <v>214</v>
          </cell>
          <cell r="L3328">
            <v>929</v>
          </cell>
          <cell r="M3328">
            <v>50105962</v>
          </cell>
          <cell r="N3328">
            <v>38697</v>
          </cell>
          <cell r="P3328" t="str">
            <v>5N5B12N1L464402</v>
          </cell>
          <cell r="Q3328">
            <v>1</v>
          </cell>
        </row>
        <row r="3329">
          <cell r="A3329">
            <v>50141302</v>
          </cell>
          <cell r="B3329">
            <v>3327</v>
          </cell>
          <cell r="C3329" t="str">
            <v>OW01/1</v>
          </cell>
          <cell r="D3329" t="str">
            <v>SPCC-SD</v>
          </cell>
          <cell r="E3329" t="str">
            <v>AF1</v>
          </cell>
          <cell r="F3329">
            <v>0.8</v>
          </cell>
          <cell r="G3329">
            <v>564</v>
          </cell>
          <cell r="H3329">
            <v>1219</v>
          </cell>
          <cell r="I3329">
            <v>5</v>
          </cell>
          <cell r="J3329" t="str">
            <v>STORE</v>
          </cell>
          <cell r="K3329">
            <v>41</v>
          </cell>
          <cell r="L3329">
            <v>177</v>
          </cell>
          <cell r="M3329">
            <v>50141302</v>
          </cell>
          <cell r="N3329" t="str">
            <v>29/08/2006</v>
          </cell>
          <cell r="P3329" t="str">
            <v>5N6829D3D331504</v>
          </cell>
          <cell r="Q3329">
            <v>1</v>
          </cell>
        </row>
        <row r="3330">
          <cell r="A3330">
            <v>50121201</v>
          </cell>
          <cell r="B3330">
            <v>3328</v>
          </cell>
          <cell r="C3330" t="str">
            <v>OW01/1</v>
          </cell>
          <cell r="D3330" t="str">
            <v>SPCC-SD</v>
          </cell>
          <cell r="E3330" t="str">
            <v>AF1</v>
          </cell>
          <cell r="F3330">
            <v>0.8</v>
          </cell>
          <cell r="G3330">
            <v>770</v>
          </cell>
          <cell r="H3330">
            <v>1219</v>
          </cell>
          <cell r="I3330">
            <v>5</v>
          </cell>
          <cell r="J3330" t="str">
            <v>STORE</v>
          </cell>
          <cell r="K3330">
            <v>117</v>
          </cell>
          <cell r="L3330">
            <v>681</v>
          </cell>
          <cell r="M3330">
            <v>50121201</v>
          </cell>
          <cell r="N3330">
            <v>38932</v>
          </cell>
          <cell r="P3330" t="str">
            <v>5N6308D1L809302</v>
          </cell>
          <cell r="Q3330">
            <v>1</v>
          </cell>
        </row>
        <row r="3331">
          <cell r="A3331">
            <v>50121382</v>
          </cell>
          <cell r="B3331">
            <v>3329</v>
          </cell>
          <cell r="C3331" t="str">
            <v>OW01/1</v>
          </cell>
          <cell r="D3331" t="str">
            <v>SPCC-SD</v>
          </cell>
          <cell r="E3331" t="str">
            <v>AF1</v>
          </cell>
          <cell r="F3331">
            <v>0.8</v>
          </cell>
          <cell r="G3331">
            <v>770</v>
          </cell>
          <cell r="H3331">
            <v>1219</v>
          </cell>
          <cell r="I3331">
            <v>5</v>
          </cell>
          <cell r="J3331" t="str">
            <v>STORE</v>
          </cell>
          <cell r="K3331">
            <v>96</v>
          </cell>
          <cell r="L3331">
            <v>559</v>
          </cell>
          <cell r="M3331">
            <v>50121382</v>
          </cell>
          <cell r="N3331">
            <v>38963</v>
          </cell>
          <cell r="P3331" t="str">
            <v>5N6309D1L809303</v>
          </cell>
          <cell r="Q3331">
            <v>2</v>
          </cell>
        </row>
        <row r="3332">
          <cell r="A3332">
            <v>50122712</v>
          </cell>
          <cell r="B3332">
            <v>3330</v>
          </cell>
          <cell r="C3332" t="str">
            <v>OW01/1</v>
          </cell>
          <cell r="D3332" t="str">
            <v>SPCC-SD</v>
          </cell>
          <cell r="E3332" t="str">
            <v>AF1</v>
          </cell>
          <cell r="F3332">
            <v>0.8</v>
          </cell>
          <cell r="G3332">
            <v>770</v>
          </cell>
          <cell r="H3332">
            <v>1219</v>
          </cell>
          <cell r="I3332">
            <v>5</v>
          </cell>
          <cell r="J3332" t="str">
            <v>STORE</v>
          </cell>
          <cell r="K3332">
            <v>82</v>
          </cell>
          <cell r="L3332">
            <v>483</v>
          </cell>
          <cell r="M3332">
            <v>50122712</v>
          </cell>
          <cell r="N3332" t="str">
            <v>17/3/2006</v>
          </cell>
          <cell r="P3332" t="str">
            <v>5N6317N2D844704</v>
          </cell>
          <cell r="Q3332">
            <v>2</v>
          </cell>
        </row>
        <row r="3333">
          <cell r="A3333">
            <v>50123001</v>
          </cell>
          <cell r="B3333">
            <v>3331</v>
          </cell>
          <cell r="C3333" t="str">
            <v>OW01/1</v>
          </cell>
          <cell r="D3333" t="str">
            <v>SPCC-SD</v>
          </cell>
          <cell r="E3333" t="str">
            <v>AF1</v>
          </cell>
          <cell r="F3333">
            <v>0.8</v>
          </cell>
          <cell r="G3333">
            <v>770</v>
          </cell>
          <cell r="H3333">
            <v>1219</v>
          </cell>
          <cell r="I3333">
            <v>5</v>
          </cell>
          <cell r="J3333" t="str">
            <v>STORE</v>
          </cell>
          <cell r="K3333">
            <v>86</v>
          </cell>
          <cell r="L3333">
            <v>507</v>
          </cell>
          <cell r="M3333">
            <v>50123001</v>
          </cell>
          <cell r="N3333" t="str">
            <v>18/3/2006</v>
          </cell>
          <cell r="P3333" t="str">
            <v>5N6318D2D851006</v>
          </cell>
          <cell r="Q3333">
            <v>2</v>
          </cell>
        </row>
        <row r="3334">
          <cell r="A3334">
            <v>50124062</v>
          </cell>
          <cell r="B3334">
            <v>3332</v>
          </cell>
          <cell r="C3334" t="str">
            <v>OW01/1</v>
          </cell>
          <cell r="D3334" t="str">
            <v>SPCC-SD</v>
          </cell>
          <cell r="E3334" t="str">
            <v>AF1</v>
          </cell>
          <cell r="F3334">
            <v>0.8</v>
          </cell>
          <cell r="G3334">
            <v>770</v>
          </cell>
          <cell r="H3334">
            <v>1219</v>
          </cell>
          <cell r="I3334">
            <v>5</v>
          </cell>
          <cell r="J3334" t="str">
            <v>STORE</v>
          </cell>
          <cell r="K3334">
            <v>152</v>
          </cell>
          <cell r="L3334">
            <v>897</v>
          </cell>
          <cell r="M3334">
            <v>50124062</v>
          </cell>
          <cell r="N3334" t="str">
            <v>24/3/2006</v>
          </cell>
          <cell r="P3334" t="str">
            <v>5N6324N1L874607</v>
          </cell>
          <cell r="Q3334">
            <v>2</v>
          </cell>
        </row>
        <row r="3335">
          <cell r="A3335">
            <v>50125847</v>
          </cell>
          <cell r="B3335">
            <v>3333</v>
          </cell>
          <cell r="C3335" t="str">
            <v>OW01/1</v>
          </cell>
          <cell r="D3335" t="str">
            <v>SPCC-SD</v>
          </cell>
          <cell r="E3335" t="str">
            <v>AF1</v>
          </cell>
          <cell r="F3335">
            <v>0.8</v>
          </cell>
          <cell r="G3335">
            <v>770</v>
          </cell>
          <cell r="H3335">
            <v>1219</v>
          </cell>
          <cell r="I3335">
            <v>5</v>
          </cell>
          <cell r="J3335" t="str">
            <v>STORE</v>
          </cell>
          <cell r="K3335">
            <v>47</v>
          </cell>
          <cell r="L3335">
            <v>277</v>
          </cell>
          <cell r="M3335">
            <v>50125847</v>
          </cell>
          <cell r="N3335">
            <v>38902</v>
          </cell>
          <cell r="P3335" t="str">
            <v>5N5407N1D923508</v>
          </cell>
          <cell r="Q3335">
            <v>2</v>
          </cell>
        </row>
        <row r="3336">
          <cell r="A3336">
            <v>50126096</v>
          </cell>
          <cell r="B3336">
            <v>3334</v>
          </cell>
          <cell r="C3336" t="str">
            <v>OW01/1</v>
          </cell>
          <cell r="D3336" t="str">
            <v>SPCC-SD</v>
          </cell>
          <cell r="E3336" t="str">
            <v>AF1</v>
          </cell>
          <cell r="F3336">
            <v>0.8</v>
          </cell>
          <cell r="G3336">
            <v>770</v>
          </cell>
          <cell r="H3336">
            <v>1219</v>
          </cell>
          <cell r="I3336">
            <v>5</v>
          </cell>
          <cell r="J3336" t="str">
            <v>STORE</v>
          </cell>
          <cell r="K3336">
            <v>162</v>
          </cell>
          <cell r="L3336">
            <v>955</v>
          </cell>
          <cell r="M3336">
            <v>50126096</v>
          </cell>
          <cell r="N3336" t="str">
            <v>17/4/2006</v>
          </cell>
          <cell r="P3336" t="str">
            <v>5N6417D1D932009</v>
          </cell>
          <cell r="Q3336">
            <v>1</v>
          </cell>
        </row>
        <row r="3337">
          <cell r="A3337">
            <v>50127617</v>
          </cell>
          <cell r="B3337">
            <v>3335</v>
          </cell>
          <cell r="C3337" t="str">
            <v>OW01/1</v>
          </cell>
          <cell r="D3337" t="str">
            <v>SPCC-SD</v>
          </cell>
          <cell r="E3337" t="str">
            <v>AF1</v>
          </cell>
          <cell r="F3337">
            <v>0.8</v>
          </cell>
          <cell r="G3337">
            <v>770</v>
          </cell>
          <cell r="H3337">
            <v>1219</v>
          </cell>
          <cell r="I3337">
            <v>5</v>
          </cell>
          <cell r="J3337" t="str">
            <v>STORE</v>
          </cell>
          <cell r="K3337">
            <v>95</v>
          </cell>
          <cell r="L3337">
            <v>560</v>
          </cell>
          <cell r="M3337">
            <v>50127617</v>
          </cell>
          <cell r="N3337" t="str">
            <v>28/04/2006</v>
          </cell>
          <cell r="P3337" t="str">
            <v>5N6428N1D969912</v>
          </cell>
          <cell r="Q3337">
            <v>2</v>
          </cell>
        </row>
        <row r="3338">
          <cell r="A3338">
            <v>50134248</v>
          </cell>
          <cell r="B3338">
            <v>3336</v>
          </cell>
          <cell r="C3338" t="str">
            <v>OW01/1</v>
          </cell>
          <cell r="D3338" t="str">
            <v>SPCC-SD</v>
          </cell>
          <cell r="E3338" t="str">
            <v>AF1</v>
          </cell>
          <cell r="F3338">
            <v>0.8</v>
          </cell>
          <cell r="G3338">
            <v>770</v>
          </cell>
          <cell r="H3338">
            <v>1219</v>
          </cell>
          <cell r="I3338">
            <v>5</v>
          </cell>
          <cell r="J3338" t="str">
            <v>STORE</v>
          </cell>
          <cell r="K3338">
            <v>106</v>
          </cell>
          <cell r="L3338">
            <v>625</v>
          </cell>
          <cell r="M3338">
            <v>50134248</v>
          </cell>
          <cell r="N3338" t="str">
            <v>24/06/2006</v>
          </cell>
          <cell r="P3338" t="str">
            <v>5N6624N1D137813</v>
          </cell>
          <cell r="Q3338">
            <v>2</v>
          </cell>
        </row>
        <row r="3339">
          <cell r="A3339">
            <v>50134631</v>
          </cell>
          <cell r="B3339">
            <v>3337</v>
          </cell>
          <cell r="C3339" t="str">
            <v>OW01/1</v>
          </cell>
          <cell r="D3339" t="str">
            <v>SPCC-SD</v>
          </cell>
          <cell r="E3339" t="str">
            <v>AF1</v>
          </cell>
          <cell r="F3339">
            <v>0.8</v>
          </cell>
          <cell r="G3339">
            <v>770</v>
          </cell>
          <cell r="H3339">
            <v>1219</v>
          </cell>
          <cell r="I3339">
            <v>5</v>
          </cell>
          <cell r="J3339" t="str">
            <v>STORE</v>
          </cell>
          <cell r="K3339">
            <v>86</v>
          </cell>
          <cell r="L3339">
            <v>507</v>
          </cell>
          <cell r="M3339">
            <v>50134631</v>
          </cell>
          <cell r="N3339" t="str">
            <v>27/6/2006</v>
          </cell>
          <cell r="P3339" t="str">
            <v>5N6627D3D145215</v>
          </cell>
          <cell r="Q3339">
            <v>2</v>
          </cell>
        </row>
        <row r="3340">
          <cell r="A3340">
            <v>50138396</v>
          </cell>
          <cell r="B3340">
            <v>3338</v>
          </cell>
          <cell r="C3340" t="str">
            <v>OW01/1</v>
          </cell>
          <cell r="D3340" t="str">
            <v>SPCC-SD</v>
          </cell>
          <cell r="E3340" t="str">
            <v>AF1</v>
          </cell>
          <cell r="F3340">
            <v>0.8</v>
          </cell>
          <cell r="G3340">
            <v>770</v>
          </cell>
          <cell r="H3340">
            <v>1219</v>
          </cell>
          <cell r="I3340">
            <v>5</v>
          </cell>
          <cell r="J3340" t="str">
            <v>STORE</v>
          </cell>
          <cell r="K3340">
            <v>42</v>
          </cell>
          <cell r="L3340">
            <v>247</v>
          </cell>
          <cell r="M3340">
            <v>50138396</v>
          </cell>
          <cell r="N3340" t="str">
            <v>27/6/2006</v>
          </cell>
          <cell r="P3340" t="str">
            <v>5N6731D1D253716</v>
          </cell>
          <cell r="Q3340">
            <v>1</v>
          </cell>
        </row>
        <row r="3341">
          <cell r="A3341">
            <v>50141462</v>
          </cell>
          <cell r="B3341">
            <v>3339</v>
          </cell>
          <cell r="C3341" t="str">
            <v>OW01/1</v>
          </cell>
          <cell r="D3341" t="str">
            <v>SPCC-SD</v>
          </cell>
          <cell r="E3341" t="str">
            <v>AF1</v>
          </cell>
          <cell r="F3341">
            <v>0.8</v>
          </cell>
          <cell r="G3341">
            <v>770</v>
          </cell>
          <cell r="H3341">
            <v>1219</v>
          </cell>
          <cell r="I3341">
            <v>5</v>
          </cell>
          <cell r="J3341" t="str">
            <v>STORE</v>
          </cell>
          <cell r="K3341">
            <v>67</v>
          </cell>
          <cell r="L3341">
            <v>395</v>
          </cell>
          <cell r="M3341">
            <v>50141462</v>
          </cell>
          <cell r="N3341" t="str">
            <v>31/8/2006</v>
          </cell>
          <cell r="P3341" t="str">
            <v>5N6831D1D331701</v>
          </cell>
          <cell r="Q3341">
            <v>2</v>
          </cell>
        </row>
        <row r="3342">
          <cell r="A3342">
            <v>50130651</v>
          </cell>
          <cell r="B3342">
            <v>3340</v>
          </cell>
          <cell r="C3342" t="str">
            <v>OW01/1</v>
          </cell>
          <cell r="D3342" t="str">
            <v>SPCC-SD</v>
          </cell>
          <cell r="E3342" t="str">
            <v>AF1</v>
          </cell>
          <cell r="F3342">
            <v>0.8</v>
          </cell>
          <cell r="G3342">
            <v>800</v>
          </cell>
          <cell r="H3342">
            <v>950</v>
          </cell>
          <cell r="I3342">
            <v>5</v>
          </cell>
          <cell r="J3342" t="str">
            <v>STORE</v>
          </cell>
          <cell r="K3342">
            <v>100</v>
          </cell>
          <cell r="L3342">
            <v>480</v>
          </cell>
          <cell r="M3342">
            <v>50130651</v>
          </cell>
          <cell r="N3342" t="str">
            <v>29/5/2006</v>
          </cell>
          <cell r="O3342" t="str">
            <v>125B09SUD011</v>
          </cell>
          <cell r="P3342" t="str">
            <v>5N6529D1L040801</v>
          </cell>
          <cell r="Q3342">
            <v>2</v>
          </cell>
        </row>
        <row r="3343">
          <cell r="A3343">
            <v>50127647</v>
          </cell>
          <cell r="B3343">
            <v>3341</v>
          </cell>
          <cell r="C3343" t="str">
            <v>OW01/1</v>
          </cell>
          <cell r="D3343" t="str">
            <v>SPCC-SD</v>
          </cell>
          <cell r="E3343" t="str">
            <v>AF1</v>
          </cell>
          <cell r="F3343">
            <v>0.8</v>
          </cell>
          <cell r="G3343">
            <v>1023.6</v>
          </cell>
          <cell r="H3343">
            <v>1918</v>
          </cell>
          <cell r="I3343">
            <v>5</v>
          </cell>
          <cell r="J3343" t="str">
            <v>STORE</v>
          </cell>
          <cell r="K3343">
            <v>100</v>
          </cell>
          <cell r="L3343">
            <v>1235</v>
          </cell>
          <cell r="M3343">
            <v>50127647</v>
          </cell>
          <cell r="N3343" t="str">
            <v>28/4/2006</v>
          </cell>
          <cell r="O3343" t="str">
            <v>126318SUD008</v>
          </cell>
          <cell r="P3343" t="str">
            <v>5N6428N2RBBBB01</v>
          </cell>
          <cell r="Q3343" t="str">
            <v>D</v>
          </cell>
        </row>
        <row r="3344">
          <cell r="A3344">
            <v>50127648</v>
          </cell>
          <cell r="B3344">
            <v>3342</v>
          </cell>
          <cell r="C3344" t="str">
            <v>OW01/1</v>
          </cell>
          <cell r="D3344" t="str">
            <v>SPCC-SD</v>
          </cell>
          <cell r="E3344" t="str">
            <v>AF1</v>
          </cell>
          <cell r="F3344">
            <v>0.8</v>
          </cell>
          <cell r="G3344">
            <v>1023.6</v>
          </cell>
          <cell r="H3344">
            <v>1918</v>
          </cell>
          <cell r="I3344">
            <v>5</v>
          </cell>
          <cell r="J3344" t="str">
            <v>STORE</v>
          </cell>
          <cell r="K3344">
            <v>100</v>
          </cell>
          <cell r="L3344">
            <v>1235</v>
          </cell>
          <cell r="M3344">
            <v>50127648</v>
          </cell>
          <cell r="N3344" t="str">
            <v>28/4/2006</v>
          </cell>
          <cell r="P3344" t="str">
            <v>5N6428N2RBBBB02</v>
          </cell>
          <cell r="Q3344" t="str">
            <v>D</v>
          </cell>
        </row>
        <row r="3345">
          <cell r="A3345">
            <v>50127649</v>
          </cell>
          <cell r="B3345">
            <v>3343</v>
          </cell>
          <cell r="C3345" t="str">
            <v>OW01/1</v>
          </cell>
          <cell r="D3345" t="str">
            <v>SPCC-SD</v>
          </cell>
          <cell r="E3345" t="str">
            <v>AF1</v>
          </cell>
          <cell r="F3345">
            <v>0.8</v>
          </cell>
          <cell r="G3345">
            <v>1023.6</v>
          </cell>
          <cell r="H3345">
            <v>1918</v>
          </cell>
          <cell r="I3345">
            <v>5</v>
          </cell>
          <cell r="J3345" t="str">
            <v>STORE</v>
          </cell>
          <cell r="K3345">
            <v>100</v>
          </cell>
          <cell r="L3345">
            <v>1235</v>
          </cell>
          <cell r="M3345">
            <v>50127649</v>
          </cell>
          <cell r="N3345" t="str">
            <v>28/4/2006</v>
          </cell>
          <cell r="P3345" t="str">
            <v>5N6428N2RBBBB03</v>
          </cell>
          <cell r="Q3345">
            <v>2</v>
          </cell>
        </row>
        <row r="3346">
          <cell r="A3346">
            <v>50096838</v>
          </cell>
          <cell r="B3346">
            <v>3344</v>
          </cell>
          <cell r="C3346" t="str">
            <v>OW01/1</v>
          </cell>
          <cell r="D3346" t="str">
            <v>SPCC-SD</v>
          </cell>
          <cell r="E3346" t="str">
            <v>AF1</v>
          </cell>
          <cell r="F3346">
            <v>0.8</v>
          </cell>
          <cell r="G3346">
            <v>1125</v>
          </cell>
          <cell r="H3346">
            <v>1455</v>
          </cell>
          <cell r="I3346">
            <v>5</v>
          </cell>
          <cell r="J3346" t="str">
            <v>STORE</v>
          </cell>
          <cell r="K3346">
            <v>100</v>
          </cell>
          <cell r="L3346">
            <v>1030</v>
          </cell>
          <cell r="M3346">
            <v>50096838</v>
          </cell>
          <cell r="N3346" t="str">
            <v>30/8/2005</v>
          </cell>
          <cell r="P3346" t="str">
            <v>5N5830D1L249101</v>
          </cell>
          <cell r="Q3346">
            <v>1</v>
          </cell>
        </row>
        <row r="3347">
          <cell r="A3347">
            <v>50127501</v>
          </cell>
          <cell r="B3347">
            <v>3345</v>
          </cell>
          <cell r="C3347" t="str">
            <v>OW01/1</v>
          </cell>
          <cell r="D3347" t="str">
            <v>SPCC-SD</v>
          </cell>
          <cell r="E3347" t="str">
            <v>AF1</v>
          </cell>
          <cell r="F3347">
            <v>0.8</v>
          </cell>
          <cell r="G3347">
            <v>309.39999999999998</v>
          </cell>
          <cell r="H3347">
            <v>730</v>
          </cell>
          <cell r="I3347">
            <v>5</v>
          </cell>
          <cell r="J3347" t="str">
            <v>STORE</v>
          </cell>
          <cell r="K3347">
            <v>31</v>
          </cell>
          <cell r="L3347">
            <v>45</v>
          </cell>
          <cell r="M3347">
            <v>50127501</v>
          </cell>
          <cell r="N3347" t="str">
            <v>27/4/2006</v>
          </cell>
          <cell r="P3347" t="str">
            <v>5N6427N3D967401</v>
          </cell>
          <cell r="Q3347">
            <v>1</v>
          </cell>
        </row>
        <row r="3348">
          <cell r="A3348">
            <v>50133266</v>
          </cell>
          <cell r="B3348">
            <v>3346</v>
          </cell>
          <cell r="C3348" t="str">
            <v>OW01/1</v>
          </cell>
          <cell r="D3348" t="str">
            <v>SPCC-SD</v>
          </cell>
          <cell r="E3348" t="str">
            <v>AF1</v>
          </cell>
          <cell r="F3348">
            <v>0.8</v>
          </cell>
          <cell r="G3348">
            <v>716.6</v>
          </cell>
          <cell r="H3348">
            <v>1219</v>
          </cell>
          <cell r="I3348">
            <v>5</v>
          </cell>
          <cell r="J3348" t="str">
            <v>STORE</v>
          </cell>
          <cell r="K3348">
            <v>43</v>
          </cell>
          <cell r="L3348">
            <v>236</v>
          </cell>
          <cell r="M3348">
            <v>50133266</v>
          </cell>
          <cell r="N3348" t="str">
            <v>15/6/2006</v>
          </cell>
          <cell r="P3348" t="str">
            <v>5N6615N3D104501</v>
          </cell>
          <cell r="Q3348">
            <v>2</v>
          </cell>
        </row>
        <row r="3349">
          <cell r="A3349">
            <v>50109920</v>
          </cell>
          <cell r="B3349">
            <v>3347</v>
          </cell>
          <cell r="C3349" t="str">
            <v>OW01/1</v>
          </cell>
          <cell r="D3349" t="str">
            <v>SPCC-SD</v>
          </cell>
          <cell r="E3349" t="str">
            <v>AF1</v>
          </cell>
          <cell r="F3349">
            <v>0.9</v>
          </cell>
          <cell r="G3349">
            <v>500</v>
          </cell>
          <cell r="H3349">
            <v>1219</v>
          </cell>
          <cell r="I3349">
            <v>5</v>
          </cell>
          <cell r="J3349" t="str">
            <v>STORE</v>
          </cell>
          <cell r="K3349">
            <v>122</v>
          </cell>
          <cell r="L3349">
            <v>521</v>
          </cell>
          <cell r="M3349">
            <v>50109920</v>
          </cell>
          <cell r="N3349">
            <v>38698</v>
          </cell>
          <cell r="P3349" t="str">
            <v>5N5C12D1L550801</v>
          </cell>
          <cell r="Q3349">
            <v>1</v>
          </cell>
        </row>
        <row r="3350">
          <cell r="A3350">
            <v>50116099</v>
          </cell>
          <cell r="B3350">
            <v>3348</v>
          </cell>
          <cell r="C3350" t="str">
            <v>OW01/1</v>
          </cell>
          <cell r="D3350" t="str">
            <v>SPCC-SD</v>
          </cell>
          <cell r="E3350" t="str">
            <v>AF1</v>
          </cell>
          <cell r="F3350">
            <v>0.9</v>
          </cell>
          <cell r="G3350">
            <v>960</v>
          </cell>
          <cell r="H3350">
            <v>1219</v>
          </cell>
          <cell r="I3350">
            <v>5</v>
          </cell>
          <cell r="J3350" t="str">
            <v>STORE</v>
          </cell>
          <cell r="K3350">
            <v>101</v>
          </cell>
          <cell r="L3350">
            <v>836</v>
          </cell>
          <cell r="M3350">
            <v>50116099</v>
          </cell>
          <cell r="N3350">
            <v>38750</v>
          </cell>
          <cell r="P3350" t="str">
            <v>5N6202D3D672501</v>
          </cell>
          <cell r="Q3350">
            <v>2</v>
          </cell>
        </row>
        <row r="3351">
          <cell r="A3351">
            <v>50141421</v>
          </cell>
          <cell r="B3351">
            <v>3349</v>
          </cell>
          <cell r="C3351" t="str">
            <v>OW01/1</v>
          </cell>
          <cell r="D3351" t="str">
            <v>SPCC-SD</v>
          </cell>
          <cell r="E3351" t="str">
            <v>AF1</v>
          </cell>
          <cell r="F3351">
            <v>1.2</v>
          </cell>
          <cell r="G3351">
            <v>161</v>
          </cell>
          <cell r="H3351">
            <v>1219</v>
          </cell>
          <cell r="I3351">
            <v>5</v>
          </cell>
          <cell r="J3351" t="str">
            <v>STORE</v>
          </cell>
          <cell r="K3351">
            <v>55</v>
          </cell>
          <cell r="L3351">
            <v>187</v>
          </cell>
          <cell r="M3351">
            <v>50141421</v>
          </cell>
          <cell r="N3351" t="str">
            <v>30/8/2006</v>
          </cell>
          <cell r="P3351" t="str">
            <v>5N6830D1M327001</v>
          </cell>
          <cell r="Q3351">
            <v>1</v>
          </cell>
        </row>
        <row r="3352">
          <cell r="A3352">
            <v>50141363</v>
          </cell>
          <cell r="B3352">
            <v>3350</v>
          </cell>
          <cell r="C3352" t="str">
            <v>OW01/1</v>
          </cell>
          <cell r="D3352" t="str">
            <v>SPCC-SD</v>
          </cell>
          <cell r="E3352" t="str">
            <v>AF1</v>
          </cell>
          <cell r="F3352">
            <v>1.2</v>
          </cell>
          <cell r="G3352">
            <v>227</v>
          </cell>
          <cell r="H3352">
            <v>615</v>
          </cell>
          <cell r="I3352">
            <v>5</v>
          </cell>
          <cell r="J3352" t="str">
            <v>STORE</v>
          </cell>
          <cell r="K3352">
            <v>160</v>
          </cell>
          <cell r="L3352">
            <v>211</v>
          </cell>
          <cell r="M3352">
            <v>50141363</v>
          </cell>
          <cell r="N3352" t="str">
            <v>30/8/2006</v>
          </cell>
          <cell r="P3352" t="str">
            <v>5N6830D3D334701</v>
          </cell>
          <cell r="Q3352" t="str">
            <v>D</v>
          </cell>
        </row>
        <row r="3353">
          <cell r="A3353">
            <v>50141172</v>
          </cell>
          <cell r="B3353">
            <v>3351</v>
          </cell>
          <cell r="C3353" t="str">
            <v>OW01/1</v>
          </cell>
          <cell r="D3353" t="str">
            <v>SPCC-SD</v>
          </cell>
          <cell r="E3353" t="str">
            <v>AF1</v>
          </cell>
          <cell r="F3353">
            <v>1.2</v>
          </cell>
          <cell r="G3353">
            <v>244</v>
          </cell>
          <cell r="H3353">
            <v>597</v>
          </cell>
          <cell r="I3353">
            <v>5</v>
          </cell>
          <cell r="J3353" t="str">
            <v>STORE</v>
          </cell>
          <cell r="K3353">
            <v>243</v>
          </cell>
          <cell r="L3353">
            <v>336</v>
          </cell>
          <cell r="M3353">
            <v>50141172</v>
          </cell>
          <cell r="N3353" t="str">
            <v>28/8/2006</v>
          </cell>
          <cell r="P3353" t="str">
            <v>5N6828D1D320401</v>
          </cell>
          <cell r="Q3353" t="str">
            <v>D</v>
          </cell>
        </row>
        <row r="3354">
          <cell r="A3354">
            <v>50141748</v>
          </cell>
          <cell r="B3354">
            <v>3352</v>
          </cell>
          <cell r="C3354" t="str">
            <v>OW01/1</v>
          </cell>
          <cell r="D3354" t="str">
            <v>SPCC-SD</v>
          </cell>
          <cell r="E3354" t="str">
            <v>AF1</v>
          </cell>
          <cell r="F3354">
            <v>1.2</v>
          </cell>
          <cell r="G3354">
            <v>750</v>
          </cell>
          <cell r="H3354">
            <v>1219</v>
          </cell>
          <cell r="I3354">
            <v>5</v>
          </cell>
          <cell r="J3354" t="str">
            <v>STORE</v>
          </cell>
          <cell r="K3354">
            <v>9</v>
          </cell>
          <cell r="L3354">
            <v>77</v>
          </cell>
          <cell r="M3354">
            <v>50141748</v>
          </cell>
          <cell r="N3354">
            <v>38816</v>
          </cell>
          <cell r="P3354" t="str">
            <v>5N6904D2D329001</v>
          </cell>
          <cell r="Q3354">
            <v>2</v>
          </cell>
        </row>
        <row r="3355">
          <cell r="A3355">
            <v>50141749</v>
          </cell>
          <cell r="B3355">
            <v>3353</v>
          </cell>
          <cell r="C3355" t="str">
            <v>OW01/1</v>
          </cell>
          <cell r="D3355" t="str">
            <v>SPCC-SD</v>
          </cell>
          <cell r="E3355" t="str">
            <v>AF1</v>
          </cell>
          <cell r="F3355">
            <v>1.2</v>
          </cell>
          <cell r="G3355">
            <v>1041</v>
          </cell>
          <cell r="H3355">
            <v>1219</v>
          </cell>
          <cell r="I3355">
            <v>5</v>
          </cell>
          <cell r="J3355" t="str">
            <v>STORE</v>
          </cell>
          <cell r="K3355">
            <v>21</v>
          </cell>
          <cell r="L3355">
            <v>251</v>
          </cell>
          <cell r="M3355">
            <v>50141749</v>
          </cell>
          <cell r="N3355">
            <v>38816</v>
          </cell>
          <cell r="P3355" t="str">
            <v>5N6904D2D329002</v>
          </cell>
          <cell r="Q3355">
            <v>2</v>
          </cell>
        </row>
        <row r="3356">
          <cell r="A3356">
            <v>50122134</v>
          </cell>
          <cell r="B3356">
            <v>3354</v>
          </cell>
          <cell r="C3356" t="str">
            <v>OW01/1</v>
          </cell>
          <cell r="D3356" t="str">
            <v>SPCC-SD</v>
          </cell>
          <cell r="E3356" t="str">
            <v>AF1</v>
          </cell>
          <cell r="F3356">
            <v>1.6</v>
          </cell>
          <cell r="G3356">
            <v>640</v>
          </cell>
          <cell r="H3356">
            <v>980</v>
          </cell>
          <cell r="I3356">
            <v>5</v>
          </cell>
          <cell r="J3356" t="str">
            <v>STORE</v>
          </cell>
          <cell r="K3356">
            <v>41</v>
          </cell>
          <cell r="L3356">
            <v>323</v>
          </cell>
          <cell r="M3356">
            <v>50122134</v>
          </cell>
          <cell r="N3356" t="str">
            <v>14/3/2006</v>
          </cell>
          <cell r="P3356" t="str">
            <v>5N6314D3D825401</v>
          </cell>
          <cell r="Q3356">
            <v>1</v>
          </cell>
        </row>
        <row r="3357">
          <cell r="A3357">
            <v>50139986</v>
          </cell>
          <cell r="B3357">
            <v>3355</v>
          </cell>
          <cell r="C3357" t="str">
            <v>OW01/1</v>
          </cell>
          <cell r="D3357" t="str">
            <v>SPCC-SD</v>
          </cell>
          <cell r="E3357" t="str">
            <v>AF1</v>
          </cell>
          <cell r="F3357">
            <v>1.6</v>
          </cell>
          <cell r="G3357">
            <v>769</v>
          </cell>
          <cell r="H3357">
            <v>1941</v>
          </cell>
          <cell r="I3357">
            <v>5</v>
          </cell>
          <cell r="J3357" t="str">
            <v>STORE</v>
          </cell>
          <cell r="K3357">
            <v>22</v>
          </cell>
          <cell r="L3357">
            <v>413</v>
          </cell>
          <cell r="M3357">
            <v>50139986</v>
          </cell>
          <cell r="N3357" t="str">
            <v>15/8/2006</v>
          </cell>
          <cell r="P3357" t="str">
            <v>5N6815D1D293803</v>
          </cell>
          <cell r="Q3357">
            <v>2</v>
          </cell>
        </row>
        <row r="3358">
          <cell r="A3358">
            <v>50139964</v>
          </cell>
          <cell r="B3358">
            <v>3356</v>
          </cell>
          <cell r="C3358" t="str">
            <v>OW01/1</v>
          </cell>
          <cell r="D3358" t="str">
            <v>SPCC-SD</v>
          </cell>
          <cell r="E3358" t="str">
            <v>AF1</v>
          </cell>
          <cell r="F3358">
            <v>1.6</v>
          </cell>
          <cell r="G3358">
            <v>800</v>
          </cell>
          <cell r="H3358">
            <v>1219</v>
          </cell>
          <cell r="I3358">
            <v>5</v>
          </cell>
          <cell r="J3358" t="str">
            <v>STORE</v>
          </cell>
          <cell r="K3358">
            <v>51</v>
          </cell>
          <cell r="L3358">
            <v>625</v>
          </cell>
          <cell r="M3358">
            <v>50139964</v>
          </cell>
          <cell r="N3358" t="str">
            <v>15/8/2006</v>
          </cell>
          <cell r="O3358" t="str">
            <v>126425TCD017</v>
          </cell>
          <cell r="P3358" t="str">
            <v>5N6815N1D296302</v>
          </cell>
          <cell r="Q3358">
            <v>1</v>
          </cell>
        </row>
        <row r="3359">
          <cell r="A3359">
            <v>50141344</v>
          </cell>
          <cell r="B3359">
            <v>3357</v>
          </cell>
          <cell r="C3359" t="str">
            <v>OW01/1</v>
          </cell>
          <cell r="D3359" t="str">
            <v>SPCC-SD</v>
          </cell>
          <cell r="E3359" t="str">
            <v>AF1</v>
          </cell>
          <cell r="F3359">
            <v>1.6</v>
          </cell>
          <cell r="G3359">
            <v>800</v>
          </cell>
          <cell r="H3359">
            <v>1219</v>
          </cell>
          <cell r="I3359">
            <v>5</v>
          </cell>
          <cell r="J3359" t="str">
            <v>STORE</v>
          </cell>
          <cell r="K3359">
            <v>49</v>
          </cell>
          <cell r="L3359">
            <v>600</v>
          </cell>
          <cell r="M3359">
            <v>50141344</v>
          </cell>
          <cell r="N3359" t="str">
            <v>29/8/2006</v>
          </cell>
          <cell r="O3359" t="str">
            <v>126425TCD013</v>
          </cell>
          <cell r="P3359" t="str">
            <v>5N6928D2D329503</v>
          </cell>
          <cell r="Q3359">
            <v>2</v>
          </cell>
        </row>
        <row r="3360">
          <cell r="A3360">
            <v>50122811</v>
          </cell>
          <cell r="B3360">
            <v>3358</v>
          </cell>
          <cell r="C3360" t="str">
            <v>OW01/1</v>
          </cell>
          <cell r="D3360" t="str">
            <v>SPCC-SD</v>
          </cell>
          <cell r="E3360" t="str">
            <v>AF1</v>
          </cell>
          <cell r="F3360">
            <v>1.6</v>
          </cell>
          <cell r="G3360">
            <v>900</v>
          </cell>
          <cell r="H3360">
            <v>1050</v>
          </cell>
          <cell r="I3360">
            <v>5</v>
          </cell>
          <cell r="J3360" t="str">
            <v>STORE</v>
          </cell>
          <cell r="K3360">
            <v>28</v>
          </cell>
          <cell r="L3360">
            <v>334</v>
          </cell>
          <cell r="M3360">
            <v>50122811</v>
          </cell>
          <cell r="N3360" t="str">
            <v>17/3/2006</v>
          </cell>
          <cell r="P3360" t="str">
            <v>5N6317D2L847501</v>
          </cell>
          <cell r="Q3360">
            <v>2</v>
          </cell>
        </row>
        <row r="3361">
          <cell r="A3361">
            <v>50126239</v>
          </cell>
          <cell r="B3361">
            <v>3359</v>
          </cell>
          <cell r="C3361" t="str">
            <v>OW01/1</v>
          </cell>
          <cell r="D3361" t="str">
            <v>SPCC-SD</v>
          </cell>
          <cell r="E3361" t="str">
            <v>AF1</v>
          </cell>
          <cell r="F3361">
            <v>1.6</v>
          </cell>
          <cell r="G3361">
            <v>1000</v>
          </cell>
          <cell r="H3361">
            <v>1219</v>
          </cell>
          <cell r="I3361">
            <v>5</v>
          </cell>
          <cell r="J3361" t="str">
            <v>STORE</v>
          </cell>
          <cell r="K3361">
            <v>22</v>
          </cell>
          <cell r="L3361">
            <v>337</v>
          </cell>
          <cell r="M3361">
            <v>50126239</v>
          </cell>
          <cell r="N3361" t="str">
            <v>17/4/2006</v>
          </cell>
          <cell r="P3361" t="str">
            <v>5N6417N3D830901</v>
          </cell>
          <cell r="Q3361">
            <v>1</v>
          </cell>
        </row>
        <row r="3362">
          <cell r="A3362">
            <v>50130859</v>
          </cell>
          <cell r="B3362">
            <v>3360</v>
          </cell>
          <cell r="C3362" t="str">
            <v>OW01/1</v>
          </cell>
          <cell r="D3362" t="str">
            <v>SPCC-SD</v>
          </cell>
          <cell r="E3362" t="str">
            <v>AF1</v>
          </cell>
          <cell r="F3362">
            <v>1.6</v>
          </cell>
          <cell r="G3362">
            <v>1000</v>
          </cell>
          <cell r="H3362">
            <v>1219</v>
          </cell>
          <cell r="I3362">
            <v>5</v>
          </cell>
          <cell r="J3362" t="str">
            <v>STORE</v>
          </cell>
          <cell r="K3362">
            <v>32</v>
          </cell>
          <cell r="L3362">
            <v>494</v>
          </cell>
          <cell r="M3362">
            <v>50130859</v>
          </cell>
          <cell r="N3362" t="str">
            <v>30/5/2006</v>
          </cell>
          <cell r="P3362" t="str">
            <v>5N6530D1L049903</v>
          </cell>
          <cell r="Q3362">
            <v>1</v>
          </cell>
        </row>
        <row r="3363">
          <cell r="A3363">
            <v>50141655</v>
          </cell>
          <cell r="B3363">
            <v>3361</v>
          </cell>
          <cell r="C3363" t="str">
            <v>OW01/1</v>
          </cell>
          <cell r="D3363" t="str">
            <v>SPCC-SD</v>
          </cell>
          <cell r="E3363" t="str">
            <v>AF1</v>
          </cell>
          <cell r="F3363">
            <v>1.6</v>
          </cell>
          <cell r="G3363">
            <v>1000</v>
          </cell>
          <cell r="H3363">
            <v>1219</v>
          </cell>
          <cell r="I3363">
            <v>5</v>
          </cell>
          <cell r="J3363" t="str">
            <v>STORE</v>
          </cell>
          <cell r="K3363">
            <v>36</v>
          </cell>
          <cell r="L3363">
            <v>551</v>
          </cell>
          <cell r="M3363">
            <v>50141655</v>
          </cell>
          <cell r="N3363">
            <v>38757</v>
          </cell>
          <cell r="P3363" t="str">
            <v>5N6902D2D341305</v>
          </cell>
          <cell r="Q3363">
            <v>2</v>
          </cell>
        </row>
        <row r="3364">
          <cell r="A3364">
            <v>50135881</v>
          </cell>
          <cell r="B3364">
            <v>3362</v>
          </cell>
          <cell r="C3364" t="str">
            <v>OW01/1</v>
          </cell>
          <cell r="D3364" t="str">
            <v>SPCC-SD</v>
          </cell>
          <cell r="E3364" t="str">
            <v>AF1</v>
          </cell>
          <cell r="F3364">
            <v>1.6</v>
          </cell>
          <cell r="G3364">
            <v>1050</v>
          </cell>
          <cell r="H3364">
            <v>1219</v>
          </cell>
          <cell r="I3364">
            <v>5</v>
          </cell>
          <cell r="J3364" t="str">
            <v>STORE</v>
          </cell>
          <cell r="K3364">
            <v>69</v>
          </cell>
          <cell r="L3364">
            <v>1109</v>
          </cell>
          <cell r="M3364">
            <v>50135881</v>
          </cell>
          <cell r="N3364">
            <v>38905</v>
          </cell>
          <cell r="P3364" t="str">
            <v>5N6707N3D185501</v>
          </cell>
          <cell r="Q3364">
            <v>2</v>
          </cell>
        </row>
        <row r="3365">
          <cell r="A3365">
            <v>50136040</v>
          </cell>
          <cell r="B3365">
            <v>3363</v>
          </cell>
          <cell r="C3365" t="str">
            <v>OW01/1</v>
          </cell>
          <cell r="D3365" t="str">
            <v>SPCC-SD</v>
          </cell>
          <cell r="E3365" t="str">
            <v>AF1</v>
          </cell>
          <cell r="F3365">
            <v>1.6</v>
          </cell>
          <cell r="G3365">
            <v>1050</v>
          </cell>
          <cell r="H3365">
            <v>1219</v>
          </cell>
          <cell r="I3365">
            <v>5</v>
          </cell>
          <cell r="J3365" t="str">
            <v>STORE</v>
          </cell>
          <cell r="K3365">
            <v>114</v>
          </cell>
          <cell r="L3365">
            <v>1816</v>
          </cell>
          <cell r="M3365">
            <v>50136040</v>
          </cell>
          <cell r="N3365">
            <v>38905</v>
          </cell>
          <cell r="O3365" t="str">
            <v>125718TCD005</v>
          </cell>
          <cell r="P3365" t="str">
            <v>5N6707D1L184102</v>
          </cell>
          <cell r="Q3365" t="str">
            <v>D</v>
          </cell>
        </row>
        <row r="3366">
          <cell r="A3366">
            <v>50112853</v>
          </cell>
          <cell r="B3366">
            <v>3364</v>
          </cell>
          <cell r="C3366" t="str">
            <v>OW01/1</v>
          </cell>
          <cell r="D3366" t="str">
            <v>SPCC-SD</v>
          </cell>
          <cell r="E3366" t="str">
            <v>AF1</v>
          </cell>
          <cell r="F3366">
            <v>2</v>
          </cell>
          <cell r="G3366">
            <v>510</v>
          </cell>
          <cell r="H3366">
            <v>1845</v>
          </cell>
          <cell r="I3366">
            <v>5</v>
          </cell>
          <cell r="J3366" t="str">
            <v>STORE</v>
          </cell>
          <cell r="K3366">
            <v>43</v>
          </cell>
          <cell r="L3366">
            <v>635</v>
          </cell>
          <cell r="M3366">
            <v>50112853</v>
          </cell>
          <cell r="N3366">
            <v>38899</v>
          </cell>
          <cell r="P3366" t="str">
            <v>5N6107D1D623201</v>
          </cell>
          <cell r="Q3366">
            <v>3</v>
          </cell>
        </row>
        <row r="3367">
          <cell r="A3367">
            <v>50141199</v>
          </cell>
          <cell r="B3367">
            <v>3365</v>
          </cell>
          <cell r="C3367" t="str">
            <v>OW01/1</v>
          </cell>
          <cell r="D3367" t="str">
            <v>SPCC-SD</v>
          </cell>
          <cell r="E3367" t="str">
            <v>AF1</v>
          </cell>
          <cell r="F3367">
            <v>2.2999999999999998</v>
          </cell>
          <cell r="G3367">
            <v>1210</v>
          </cell>
          <cell r="H3367">
            <v>1219</v>
          </cell>
          <cell r="I3367">
            <v>5</v>
          </cell>
          <cell r="J3367" t="str">
            <v>STORE</v>
          </cell>
          <cell r="K3367">
            <v>30</v>
          </cell>
          <cell r="L3367">
            <v>807</v>
          </cell>
          <cell r="M3367">
            <v>50141199</v>
          </cell>
          <cell r="N3367" t="str">
            <v>28/8/2006</v>
          </cell>
          <cell r="P3367" t="str">
            <v>5N6828D1L331401</v>
          </cell>
          <cell r="Q3367" t="str">
            <v>D</v>
          </cell>
        </row>
        <row r="3368">
          <cell r="A3368">
            <v>50141969</v>
          </cell>
          <cell r="B3368">
            <v>3366</v>
          </cell>
          <cell r="C3368" t="str">
            <v>OW01/1</v>
          </cell>
          <cell r="D3368" t="str">
            <v>SPCC-SD</v>
          </cell>
          <cell r="E3368" t="str">
            <v>AF1</v>
          </cell>
          <cell r="F3368">
            <v>2.2999999999999998</v>
          </cell>
          <cell r="G3368">
            <v>1219</v>
          </cell>
          <cell r="H3368">
            <v>2200</v>
          </cell>
          <cell r="I3368">
            <v>5</v>
          </cell>
          <cell r="J3368" t="str">
            <v>STORE</v>
          </cell>
          <cell r="K3368">
            <v>4</v>
          </cell>
          <cell r="L3368">
            <v>194</v>
          </cell>
          <cell r="M3368">
            <v>50141969</v>
          </cell>
          <cell r="N3368">
            <v>38877</v>
          </cell>
          <cell r="P3368" t="str">
            <v>5N6906D2R355201</v>
          </cell>
          <cell r="Q3368">
            <v>2</v>
          </cell>
        </row>
        <row r="3369">
          <cell r="A3369">
            <v>50137572</v>
          </cell>
          <cell r="B3369">
            <v>3367</v>
          </cell>
          <cell r="C3369" t="str">
            <v>OW01/1</v>
          </cell>
          <cell r="D3369" t="str">
            <v>SPCC-SD</v>
          </cell>
          <cell r="E3369" t="str">
            <v>AF1</v>
          </cell>
          <cell r="F3369">
            <v>3</v>
          </cell>
          <cell r="G3369">
            <v>1219</v>
          </cell>
          <cell r="H3369">
            <v>1219</v>
          </cell>
          <cell r="I3369">
            <v>5</v>
          </cell>
          <cell r="J3369" t="str">
            <v>STORE</v>
          </cell>
          <cell r="K3369">
            <v>43</v>
          </cell>
          <cell r="L3369">
            <v>1500</v>
          </cell>
          <cell r="M3369">
            <v>50137572</v>
          </cell>
          <cell r="N3369" t="str">
            <v>24/7/2006</v>
          </cell>
          <cell r="P3369" t="str">
            <v>5N6724D2RBBBB01</v>
          </cell>
          <cell r="Q3369">
            <v>1</v>
          </cell>
        </row>
        <row r="3370">
          <cell r="A3370">
            <v>50139371</v>
          </cell>
          <cell r="B3370">
            <v>3368</v>
          </cell>
          <cell r="C3370" t="str">
            <v>OW01/1</v>
          </cell>
          <cell r="D3370" t="str">
            <v>SPCC-SD</v>
          </cell>
          <cell r="E3370" t="str">
            <v>AF1</v>
          </cell>
          <cell r="F3370">
            <v>3</v>
          </cell>
          <cell r="G3370">
            <v>1146</v>
          </cell>
          <cell r="H3370">
            <v>1219</v>
          </cell>
          <cell r="I3370">
            <v>5</v>
          </cell>
          <cell r="J3370" t="str">
            <v>STORE</v>
          </cell>
          <cell r="K3370">
            <v>50</v>
          </cell>
          <cell r="L3370">
            <v>1645</v>
          </cell>
          <cell r="M3370">
            <v>50139371</v>
          </cell>
          <cell r="N3370">
            <v>38906</v>
          </cell>
          <cell r="P3370" t="str">
            <v>5N6807D1D274506</v>
          </cell>
          <cell r="Q3370">
            <v>2</v>
          </cell>
        </row>
        <row r="3371">
          <cell r="A3371">
            <v>50136817</v>
          </cell>
          <cell r="B3371">
            <v>3369</v>
          </cell>
          <cell r="C3371" t="str">
            <v>OW01/1</v>
          </cell>
          <cell r="D3371" t="str">
            <v>SPCC-SD</v>
          </cell>
          <cell r="E3371" t="str">
            <v>AF1</v>
          </cell>
          <cell r="F3371">
            <v>3</v>
          </cell>
          <cell r="G3371">
            <v>1146</v>
          </cell>
          <cell r="H3371">
            <v>1219</v>
          </cell>
          <cell r="I3371">
            <v>5</v>
          </cell>
          <cell r="J3371" t="str">
            <v>STORE</v>
          </cell>
          <cell r="K3371">
            <v>31</v>
          </cell>
          <cell r="L3371">
            <v>1023</v>
          </cell>
          <cell r="M3371">
            <v>50136817</v>
          </cell>
          <cell r="N3371" t="str">
            <v>17/7/2006</v>
          </cell>
          <cell r="P3371" t="str">
            <v>5N6717D2L206305</v>
          </cell>
          <cell r="Q3371" t="str">
            <v>D</v>
          </cell>
        </row>
        <row r="3372">
          <cell r="A3372">
            <v>50135506</v>
          </cell>
          <cell r="B3372">
            <v>3370</v>
          </cell>
          <cell r="C3372" t="str">
            <v>OW01/1</v>
          </cell>
          <cell r="D3372" t="str">
            <v>SPCC-SD</v>
          </cell>
          <cell r="E3372" t="str">
            <v>AF1</v>
          </cell>
          <cell r="F3372">
            <v>3</v>
          </cell>
          <cell r="G3372">
            <v>1146</v>
          </cell>
          <cell r="H3372">
            <v>1219</v>
          </cell>
          <cell r="I3372">
            <v>5</v>
          </cell>
          <cell r="J3372" t="str">
            <v>STORE</v>
          </cell>
          <cell r="K3372">
            <v>40</v>
          </cell>
          <cell r="L3372">
            <v>1307</v>
          </cell>
          <cell r="M3372">
            <v>50135506</v>
          </cell>
          <cell r="N3372">
            <v>38844</v>
          </cell>
          <cell r="P3372" t="str">
            <v>5N6705N2L175704</v>
          </cell>
          <cell r="Q3372" t="str">
            <v>D</v>
          </cell>
        </row>
        <row r="3373">
          <cell r="A3373">
            <v>50134841</v>
          </cell>
          <cell r="B3373">
            <v>3371</v>
          </cell>
          <cell r="C3373" t="str">
            <v>OW01/1</v>
          </cell>
          <cell r="D3373" t="str">
            <v>SPCC-SD</v>
          </cell>
          <cell r="E3373" t="str">
            <v>AF1</v>
          </cell>
          <cell r="F3373">
            <v>3</v>
          </cell>
          <cell r="G3373">
            <v>1146</v>
          </cell>
          <cell r="H3373">
            <v>1219</v>
          </cell>
          <cell r="I3373">
            <v>5</v>
          </cell>
          <cell r="J3373" t="str">
            <v>STORE</v>
          </cell>
          <cell r="K3373">
            <v>14</v>
          </cell>
          <cell r="L3373">
            <v>458</v>
          </cell>
          <cell r="M3373">
            <v>50134841</v>
          </cell>
          <cell r="N3373" t="str">
            <v>29/6/2006</v>
          </cell>
          <cell r="P3373" t="str">
            <v>5N6629N2L153303</v>
          </cell>
          <cell r="Q3373">
            <v>1</v>
          </cell>
        </row>
        <row r="3374">
          <cell r="A3374">
            <v>50134457</v>
          </cell>
          <cell r="B3374">
            <v>3372</v>
          </cell>
          <cell r="C3374" t="str">
            <v>OW01/1</v>
          </cell>
          <cell r="D3374" t="str">
            <v>SPCC-SD</v>
          </cell>
          <cell r="E3374" t="str">
            <v>AF1</v>
          </cell>
          <cell r="F3374">
            <v>3</v>
          </cell>
          <cell r="G3374">
            <v>1146</v>
          </cell>
          <cell r="H3374">
            <v>1219</v>
          </cell>
          <cell r="I3374">
            <v>5</v>
          </cell>
          <cell r="J3374" t="str">
            <v>STORE</v>
          </cell>
          <cell r="K3374">
            <v>22</v>
          </cell>
          <cell r="L3374">
            <v>724</v>
          </cell>
          <cell r="M3374">
            <v>50134457</v>
          </cell>
          <cell r="N3374" t="str">
            <v>26/6/2006</v>
          </cell>
          <cell r="P3374" t="str">
            <v>5N6626D1D132702</v>
          </cell>
          <cell r="Q3374" t="str">
            <v>D</v>
          </cell>
        </row>
        <row r="3375">
          <cell r="A3375">
            <v>50132917</v>
          </cell>
          <cell r="B3375">
            <v>3373</v>
          </cell>
          <cell r="C3375" t="str">
            <v>OW01/1</v>
          </cell>
          <cell r="D3375" t="str">
            <v>SPCC-SD</v>
          </cell>
          <cell r="E3375" t="str">
            <v>AF1</v>
          </cell>
          <cell r="F3375">
            <v>3</v>
          </cell>
          <cell r="G3375">
            <v>1146</v>
          </cell>
          <cell r="H3375">
            <v>1219</v>
          </cell>
          <cell r="I3375">
            <v>5</v>
          </cell>
          <cell r="J3375" t="str">
            <v>STORE</v>
          </cell>
          <cell r="K3375">
            <v>15</v>
          </cell>
          <cell r="L3375">
            <v>494</v>
          </cell>
          <cell r="M3375">
            <v>50132917</v>
          </cell>
          <cell r="N3375" t="str">
            <v>13/6/2006</v>
          </cell>
          <cell r="P3375" t="str">
            <v>5N6613N1L099201</v>
          </cell>
          <cell r="Q3375">
            <v>2</v>
          </cell>
        </row>
        <row r="3376">
          <cell r="A3376">
            <v>50107673</v>
          </cell>
          <cell r="B3376">
            <v>3374</v>
          </cell>
          <cell r="C3376" t="str">
            <v>OW01/1</v>
          </cell>
          <cell r="D3376" t="str">
            <v>SPCD-SD</v>
          </cell>
          <cell r="E3376" t="str">
            <v>AF2</v>
          </cell>
          <cell r="F3376">
            <v>1.6</v>
          </cell>
          <cell r="G3376">
            <v>640</v>
          </cell>
          <cell r="H3376">
            <v>980</v>
          </cell>
          <cell r="I3376">
            <v>5</v>
          </cell>
          <cell r="J3376" t="str">
            <v>STORE</v>
          </cell>
          <cell r="K3376">
            <v>39</v>
          </cell>
          <cell r="L3376">
            <v>306</v>
          </cell>
          <cell r="M3376">
            <v>50107673</v>
          </cell>
          <cell r="N3376" t="str">
            <v>25/11/2005</v>
          </cell>
          <cell r="P3376" t="str">
            <v>5N5325N1L510601</v>
          </cell>
          <cell r="Q3376">
            <v>2</v>
          </cell>
        </row>
        <row r="3377">
          <cell r="A3377">
            <v>50131959</v>
          </cell>
          <cell r="B3377">
            <v>3375</v>
          </cell>
          <cell r="C3377" t="str">
            <v>OW01/1</v>
          </cell>
          <cell r="D3377" t="str">
            <v>SPCEN-SD</v>
          </cell>
          <cell r="E3377" t="str">
            <v>AF3</v>
          </cell>
          <cell r="F3377">
            <v>0.6</v>
          </cell>
          <cell r="G3377">
            <v>478</v>
          </cell>
          <cell r="H3377">
            <v>1219</v>
          </cell>
          <cell r="I3377">
            <v>5</v>
          </cell>
          <cell r="J3377" t="str">
            <v>STORE</v>
          </cell>
          <cell r="K3377">
            <v>85</v>
          </cell>
          <cell r="L3377">
            <v>233</v>
          </cell>
          <cell r="M3377">
            <v>50131959</v>
          </cell>
          <cell r="N3377">
            <v>38843</v>
          </cell>
          <cell r="O3377" t="str">
            <v>125407SUD002</v>
          </cell>
          <cell r="P3377" t="str">
            <v>5N6605D1M079502</v>
          </cell>
          <cell r="Q3377">
            <v>1</v>
          </cell>
        </row>
        <row r="3378">
          <cell r="A3378">
            <v>50133335</v>
          </cell>
          <cell r="B3378">
            <v>3376</v>
          </cell>
          <cell r="C3378" t="str">
            <v>OW01/1</v>
          </cell>
          <cell r="D3378" t="str">
            <v>SPCEN-SD</v>
          </cell>
          <cell r="E3378" t="str">
            <v>AF3</v>
          </cell>
          <cell r="F3378">
            <v>0.6</v>
          </cell>
          <cell r="G3378">
            <v>478</v>
          </cell>
          <cell r="H3378">
            <v>1219</v>
          </cell>
          <cell r="I3378">
            <v>5</v>
          </cell>
          <cell r="J3378" t="str">
            <v>STORE</v>
          </cell>
          <cell r="K3378">
            <v>50</v>
          </cell>
          <cell r="L3378">
            <v>137</v>
          </cell>
          <cell r="M3378">
            <v>50133335</v>
          </cell>
          <cell r="N3378" t="str">
            <v>15/6/2006</v>
          </cell>
          <cell r="O3378" t="str">
            <v>125928SUD004</v>
          </cell>
          <cell r="P3378" t="str">
            <v>5N6615D1D104203</v>
          </cell>
          <cell r="Q3378">
            <v>1</v>
          </cell>
        </row>
        <row r="3379">
          <cell r="A3379">
            <v>50130783</v>
          </cell>
          <cell r="B3379">
            <v>3377</v>
          </cell>
          <cell r="C3379" t="str">
            <v>OW01/1</v>
          </cell>
          <cell r="D3379" t="str">
            <v>SPCEN-SD</v>
          </cell>
          <cell r="E3379" t="str">
            <v>AF3</v>
          </cell>
          <cell r="F3379">
            <v>0.6</v>
          </cell>
          <cell r="G3379">
            <v>627.1</v>
          </cell>
          <cell r="H3379">
            <v>1219</v>
          </cell>
          <cell r="I3379">
            <v>5</v>
          </cell>
          <cell r="J3379" t="str">
            <v>STORE</v>
          </cell>
          <cell r="K3379">
            <v>73</v>
          </cell>
          <cell r="L3379">
            <v>263</v>
          </cell>
          <cell r="M3379">
            <v>50130783</v>
          </cell>
          <cell r="N3379" t="str">
            <v>30/5/2006</v>
          </cell>
          <cell r="P3379" t="str">
            <v>5N6530N1D058101</v>
          </cell>
          <cell r="Q3379">
            <v>2</v>
          </cell>
        </row>
        <row r="3380">
          <cell r="A3380">
            <v>50134422</v>
          </cell>
          <cell r="B3380">
            <v>3378</v>
          </cell>
          <cell r="C3380" t="str">
            <v>OW01/1</v>
          </cell>
          <cell r="D3380" t="str">
            <v>SPCEN-SD</v>
          </cell>
          <cell r="E3380" t="str">
            <v>AF3</v>
          </cell>
          <cell r="F3380">
            <v>0.6</v>
          </cell>
          <cell r="G3380">
            <v>627.1</v>
          </cell>
          <cell r="H3380">
            <v>1997</v>
          </cell>
          <cell r="I3380">
            <v>5</v>
          </cell>
          <cell r="J3380" t="str">
            <v>STORE</v>
          </cell>
          <cell r="K3380">
            <v>67</v>
          </cell>
          <cell r="L3380">
            <v>395</v>
          </cell>
          <cell r="M3380">
            <v>50134422</v>
          </cell>
          <cell r="N3380" t="str">
            <v>25/6/2006</v>
          </cell>
          <cell r="P3380" t="str">
            <v>5N6625N2D135701</v>
          </cell>
          <cell r="Q3380">
            <v>2</v>
          </cell>
        </row>
        <row r="3381">
          <cell r="A3381">
            <v>50138069</v>
          </cell>
          <cell r="B3381">
            <v>3379</v>
          </cell>
          <cell r="C3381" t="str">
            <v>OW01/1</v>
          </cell>
          <cell r="D3381" t="str">
            <v>SPCEN-SD</v>
          </cell>
          <cell r="E3381" t="str">
            <v>AF3</v>
          </cell>
          <cell r="F3381">
            <v>0.7</v>
          </cell>
          <cell r="G3381">
            <v>504</v>
          </cell>
          <cell r="H3381">
            <v>1219</v>
          </cell>
          <cell r="I3381">
            <v>5</v>
          </cell>
          <cell r="J3381" t="str">
            <v>STORE</v>
          </cell>
          <cell r="K3381">
            <v>169</v>
          </cell>
          <cell r="L3381">
            <v>570</v>
          </cell>
          <cell r="M3381">
            <v>50138069</v>
          </cell>
          <cell r="N3381" t="str">
            <v>28/7/2006</v>
          </cell>
          <cell r="P3381" t="str">
            <v>5N6728N3D240501</v>
          </cell>
          <cell r="Q3381" t="str">
            <v>D</v>
          </cell>
        </row>
        <row r="3382">
          <cell r="A3382">
            <v>50126921</v>
          </cell>
          <cell r="B3382">
            <v>3380</v>
          </cell>
          <cell r="C3382" t="str">
            <v>OW01/1</v>
          </cell>
          <cell r="D3382" t="str">
            <v>SPCEN-SD</v>
          </cell>
          <cell r="E3382" t="str">
            <v>AF3</v>
          </cell>
          <cell r="F3382">
            <v>0.7</v>
          </cell>
          <cell r="G3382">
            <v>520</v>
          </cell>
          <cell r="H3382">
            <v>1219</v>
          </cell>
          <cell r="I3382">
            <v>5</v>
          </cell>
          <cell r="J3382" t="str">
            <v>STORE</v>
          </cell>
          <cell r="K3382">
            <v>151</v>
          </cell>
          <cell r="L3382">
            <v>528</v>
          </cell>
          <cell r="M3382">
            <v>50126921</v>
          </cell>
          <cell r="N3382" t="str">
            <v>22/4/2006</v>
          </cell>
          <cell r="P3382" t="str">
            <v>5N6422D1L952801</v>
          </cell>
          <cell r="Q3382" t="str">
            <v>D</v>
          </cell>
        </row>
        <row r="3383">
          <cell r="A3383">
            <v>50141511</v>
          </cell>
          <cell r="B3383">
            <v>3381</v>
          </cell>
          <cell r="C3383" t="str">
            <v>OW01/1</v>
          </cell>
          <cell r="D3383" t="str">
            <v>SPCEN-SD</v>
          </cell>
          <cell r="E3383" t="str">
            <v>AF3</v>
          </cell>
          <cell r="F3383">
            <v>0.7</v>
          </cell>
          <cell r="G3383">
            <v>740</v>
          </cell>
          <cell r="H3383">
            <v>1219</v>
          </cell>
          <cell r="I3383">
            <v>5</v>
          </cell>
          <cell r="J3383" t="str">
            <v>STORE</v>
          </cell>
          <cell r="K3383">
            <v>59</v>
          </cell>
          <cell r="L3383">
            <v>294</v>
          </cell>
          <cell r="M3383">
            <v>50141511</v>
          </cell>
          <cell r="N3383" t="str">
            <v>31/8/2006</v>
          </cell>
          <cell r="P3383" t="str">
            <v>5N6831D1L335601</v>
          </cell>
          <cell r="Q3383" t="str">
            <v>D</v>
          </cell>
        </row>
        <row r="3384">
          <cell r="A3384">
            <v>50128927</v>
          </cell>
          <cell r="B3384">
            <v>3382</v>
          </cell>
          <cell r="C3384" t="str">
            <v>OW01/1</v>
          </cell>
          <cell r="D3384" t="str">
            <v>SPCEN-SD</v>
          </cell>
          <cell r="E3384" t="str">
            <v>AF3</v>
          </cell>
          <cell r="F3384">
            <v>0.7</v>
          </cell>
          <cell r="G3384">
            <v>840</v>
          </cell>
          <cell r="H3384">
            <v>1219</v>
          </cell>
          <cell r="I3384">
            <v>5</v>
          </cell>
          <cell r="J3384" t="str">
            <v>STORE</v>
          </cell>
          <cell r="K3384">
            <v>85</v>
          </cell>
          <cell r="L3384">
            <v>478</v>
          </cell>
          <cell r="M3384">
            <v>50128927</v>
          </cell>
          <cell r="N3384">
            <v>38995</v>
          </cell>
          <cell r="P3384" t="str">
            <v>5N6510D1L997501</v>
          </cell>
          <cell r="Q3384">
            <v>2</v>
          </cell>
        </row>
        <row r="3385">
          <cell r="A3385">
            <v>50129787</v>
          </cell>
          <cell r="B3385">
            <v>3383</v>
          </cell>
          <cell r="C3385" t="str">
            <v>OW01/1</v>
          </cell>
          <cell r="D3385" t="str">
            <v>SPCEN-SD</v>
          </cell>
          <cell r="E3385" t="str">
            <v>AF3</v>
          </cell>
          <cell r="F3385">
            <v>0.7</v>
          </cell>
          <cell r="G3385">
            <v>840</v>
          </cell>
          <cell r="H3385">
            <v>1219</v>
          </cell>
          <cell r="I3385">
            <v>5</v>
          </cell>
          <cell r="J3385" t="str">
            <v>STORE</v>
          </cell>
          <cell r="K3385">
            <v>68</v>
          </cell>
          <cell r="L3385">
            <v>385</v>
          </cell>
          <cell r="M3385">
            <v>50129787</v>
          </cell>
          <cell r="N3385" t="str">
            <v>20/05/2006</v>
          </cell>
          <cell r="P3385" t="str">
            <v>5N6520D1L024202</v>
          </cell>
          <cell r="Q3385">
            <v>2</v>
          </cell>
        </row>
        <row r="3386">
          <cell r="A3386">
            <v>50134780</v>
          </cell>
          <cell r="B3386">
            <v>3384</v>
          </cell>
          <cell r="C3386" t="str">
            <v>OW01/1</v>
          </cell>
          <cell r="D3386" t="str">
            <v>SPCEN-SD</v>
          </cell>
          <cell r="E3386" t="str">
            <v>AF3</v>
          </cell>
          <cell r="F3386">
            <v>0.7</v>
          </cell>
          <cell r="G3386">
            <v>840</v>
          </cell>
          <cell r="H3386">
            <v>1219</v>
          </cell>
          <cell r="I3386">
            <v>5</v>
          </cell>
          <cell r="J3386" t="str">
            <v>STORE</v>
          </cell>
          <cell r="K3386">
            <v>119</v>
          </cell>
          <cell r="L3386">
            <v>675</v>
          </cell>
          <cell r="M3386">
            <v>50134780</v>
          </cell>
          <cell r="N3386" t="str">
            <v>28/06/2006</v>
          </cell>
          <cell r="P3386" t="str">
            <v>5N6628N1L144504</v>
          </cell>
          <cell r="Q3386">
            <v>2</v>
          </cell>
        </row>
        <row r="3387">
          <cell r="A3387">
            <v>50135321</v>
          </cell>
          <cell r="B3387">
            <v>3385</v>
          </cell>
          <cell r="C3387" t="str">
            <v>OW01/1</v>
          </cell>
          <cell r="D3387" t="str">
            <v>SPCEN-SD</v>
          </cell>
          <cell r="E3387" t="str">
            <v>AF3</v>
          </cell>
          <cell r="F3387">
            <v>0.7</v>
          </cell>
          <cell r="G3387">
            <v>840</v>
          </cell>
          <cell r="H3387">
            <v>1219</v>
          </cell>
          <cell r="I3387">
            <v>5</v>
          </cell>
          <cell r="J3387" t="str">
            <v>STORE</v>
          </cell>
          <cell r="K3387">
            <v>143</v>
          </cell>
          <cell r="L3387">
            <v>805</v>
          </cell>
          <cell r="M3387">
            <v>50135321</v>
          </cell>
          <cell r="N3387">
            <v>38783</v>
          </cell>
          <cell r="P3387" t="str">
            <v>5N6703D1D167206</v>
          </cell>
          <cell r="Q3387">
            <v>2</v>
          </cell>
        </row>
        <row r="3388">
          <cell r="A3388">
            <v>50116002</v>
          </cell>
          <cell r="B3388">
            <v>3386</v>
          </cell>
          <cell r="C3388" t="str">
            <v>OW01/1</v>
          </cell>
          <cell r="D3388" t="str">
            <v>SPCEN-SD</v>
          </cell>
          <cell r="E3388" t="str">
            <v>AF3</v>
          </cell>
          <cell r="F3388">
            <v>0.7</v>
          </cell>
          <cell r="G3388">
            <v>1135</v>
          </cell>
          <cell r="H3388">
            <v>1219</v>
          </cell>
          <cell r="I3388">
            <v>5</v>
          </cell>
          <cell r="J3388" t="str">
            <v>STORE</v>
          </cell>
          <cell r="K3388">
            <v>88</v>
          </cell>
          <cell r="L3388">
            <v>669</v>
          </cell>
          <cell r="M3388">
            <v>50116002</v>
          </cell>
          <cell r="N3388">
            <v>38719</v>
          </cell>
          <cell r="P3388" t="str">
            <v>5N6201D1D696001</v>
          </cell>
          <cell r="Q3388">
            <v>2</v>
          </cell>
        </row>
        <row r="3389">
          <cell r="A3389">
            <v>50138445</v>
          </cell>
          <cell r="B3389">
            <v>3387</v>
          </cell>
          <cell r="C3389" t="str">
            <v>OW01/1</v>
          </cell>
          <cell r="D3389" t="str">
            <v>SPCEN-SD</v>
          </cell>
          <cell r="E3389" t="str">
            <v>AF3</v>
          </cell>
          <cell r="F3389">
            <v>0.8</v>
          </cell>
          <cell r="G3389">
            <v>620</v>
          </cell>
          <cell r="H3389">
            <v>1219</v>
          </cell>
          <cell r="I3389">
            <v>5</v>
          </cell>
          <cell r="J3389" t="str">
            <v>STORE</v>
          </cell>
          <cell r="K3389">
            <v>55</v>
          </cell>
          <cell r="L3389">
            <v>262</v>
          </cell>
          <cell r="M3389">
            <v>50138445</v>
          </cell>
          <cell r="N3389" t="str">
            <v>31/7/2006</v>
          </cell>
          <cell r="P3389" t="str">
            <v>5N6731D1L252001</v>
          </cell>
          <cell r="Q3389">
            <v>1</v>
          </cell>
        </row>
        <row r="3390">
          <cell r="A3390">
            <v>50140258</v>
          </cell>
          <cell r="B3390">
            <v>3388</v>
          </cell>
          <cell r="C3390" t="str">
            <v>OW01/1</v>
          </cell>
          <cell r="D3390" t="str">
            <v>SPCEN-SD</v>
          </cell>
          <cell r="E3390" t="str">
            <v>AF3</v>
          </cell>
          <cell r="F3390">
            <v>0.8</v>
          </cell>
          <cell r="G3390">
            <v>820</v>
          </cell>
          <cell r="H3390">
            <v>1219</v>
          </cell>
          <cell r="I3390">
            <v>5</v>
          </cell>
          <cell r="J3390" t="str">
            <v>STORE</v>
          </cell>
          <cell r="K3390">
            <v>68</v>
          </cell>
          <cell r="L3390">
            <v>427</v>
          </cell>
          <cell r="M3390">
            <v>50140258</v>
          </cell>
          <cell r="N3390" t="str">
            <v>18/8/2006</v>
          </cell>
          <cell r="O3390" t="str">
            <v>125B09SUD011</v>
          </cell>
          <cell r="P3390" t="str">
            <v>5N6818D1D301601</v>
          </cell>
          <cell r="Q3390">
            <v>2</v>
          </cell>
        </row>
        <row r="3391">
          <cell r="A3391">
            <v>50140282</v>
          </cell>
          <cell r="B3391">
            <v>3389</v>
          </cell>
          <cell r="C3391" t="str">
            <v>OW01/1</v>
          </cell>
          <cell r="D3391" t="str">
            <v>SPCEN-SD</v>
          </cell>
          <cell r="E3391" t="str">
            <v>AF3</v>
          </cell>
          <cell r="F3391">
            <v>0.8</v>
          </cell>
          <cell r="G3391">
            <v>840</v>
          </cell>
          <cell r="H3391">
            <v>1219</v>
          </cell>
          <cell r="I3391">
            <v>5</v>
          </cell>
          <cell r="J3391" t="str">
            <v>STORE</v>
          </cell>
          <cell r="K3391">
            <v>52</v>
          </cell>
          <cell r="L3391">
            <v>334</v>
          </cell>
          <cell r="M3391">
            <v>50140282</v>
          </cell>
          <cell r="N3391" t="str">
            <v>18/8/2006</v>
          </cell>
          <cell r="P3391" t="str">
            <v>5N6818D1D303001</v>
          </cell>
          <cell r="Q3391">
            <v>2</v>
          </cell>
        </row>
        <row r="3392">
          <cell r="A3392">
            <v>50129541</v>
          </cell>
          <cell r="B3392">
            <v>3390</v>
          </cell>
          <cell r="C3392" t="str">
            <v>OW01/1</v>
          </cell>
          <cell r="D3392" t="str">
            <v>SPCEN-SD</v>
          </cell>
          <cell r="E3392" t="str">
            <v>AF3</v>
          </cell>
          <cell r="F3392">
            <v>0.8</v>
          </cell>
          <cell r="G3392">
            <v>1023.6</v>
          </cell>
          <cell r="H3392">
            <v>1918</v>
          </cell>
          <cell r="I3392">
            <v>5</v>
          </cell>
          <cell r="J3392" t="str">
            <v>STORE</v>
          </cell>
          <cell r="K3392">
            <v>60</v>
          </cell>
          <cell r="L3392">
            <v>738</v>
          </cell>
          <cell r="M3392">
            <v>50129541</v>
          </cell>
          <cell r="N3392" t="str">
            <v>18/5/2006</v>
          </cell>
          <cell r="P3392" t="str">
            <v>5N6518D3RQQQQ01</v>
          </cell>
          <cell r="Q3392">
            <v>2</v>
          </cell>
        </row>
        <row r="3393">
          <cell r="A3393">
            <v>50104165</v>
          </cell>
          <cell r="B3393">
            <v>3391</v>
          </cell>
          <cell r="C3393" t="str">
            <v>OW01/1</v>
          </cell>
          <cell r="D3393" t="str">
            <v>SPCEN-SD</v>
          </cell>
          <cell r="E3393" t="str">
            <v>AF3</v>
          </cell>
          <cell r="F3393">
            <v>0.9</v>
          </cell>
          <cell r="G3393">
            <v>530</v>
          </cell>
          <cell r="H3393">
            <v>900</v>
          </cell>
          <cell r="I3393">
            <v>5</v>
          </cell>
          <cell r="J3393" t="str">
            <v>STORE</v>
          </cell>
          <cell r="K3393">
            <v>111</v>
          </cell>
          <cell r="L3393">
            <v>374</v>
          </cell>
          <cell r="M3393">
            <v>50104165</v>
          </cell>
          <cell r="N3393" t="str">
            <v>29/10/2005</v>
          </cell>
          <cell r="O3393" t="str">
            <v>124606SUD002</v>
          </cell>
          <cell r="P3393" t="str">
            <v>5N5A29D3R425601</v>
          </cell>
          <cell r="Q3393">
            <v>2</v>
          </cell>
        </row>
        <row r="3394">
          <cell r="A3394">
            <v>50135954</v>
          </cell>
          <cell r="B3394">
            <v>3392</v>
          </cell>
          <cell r="C3394" t="str">
            <v>OW01/1</v>
          </cell>
          <cell r="D3394" t="str">
            <v>SPCEN-SD</v>
          </cell>
          <cell r="E3394" t="str">
            <v>AF3</v>
          </cell>
          <cell r="F3394">
            <v>0.9</v>
          </cell>
          <cell r="G3394">
            <v>600</v>
          </cell>
          <cell r="H3394">
            <v>1219</v>
          </cell>
          <cell r="I3394">
            <v>5</v>
          </cell>
          <cell r="J3394" t="str">
            <v>STORE</v>
          </cell>
          <cell r="K3394">
            <v>91</v>
          </cell>
          <cell r="L3394">
            <v>472</v>
          </cell>
          <cell r="M3394">
            <v>50135954</v>
          </cell>
          <cell r="N3394">
            <v>38905</v>
          </cell>
          <cell r="P3394" t="str">
            <v>5N6707D1L182301</v>
          </cell>
          <cell r="Q3394" t="str">
            <v>D</v>
          </cell>
        </row>
        <row r="3395">
          <cell r="A3395">
            <v>50139919</v>
          </cell>
          <cell r="B3395">
            <v>3393</v>
          </cell>
          <cell r="C3395" t="str">
            <v>OW01/1</v>
          </cell>
          <cell r="D3395" t="str">
            <v>SPCEN-SD</v>
          </cell>
          <cell r="E3395" t="str">
            <v>AF3</v>
          </cell>
          <cell r="F3395">
            <v>0.9</v>
          </cell>
          <cell r="G3395">
            <v>600</v>
          </cell>
          <cell r="H3395">
            <v>1219</v>
          </cell>
          <cell r="I3395">
            <v>5</v>
          </cell>
          <cell r="J3395" t="str">
            <v>STORE</v>
          </cell>
          <cell r="K3395">
            <v>153</v>
          </cell>
          <cell r="L3395">
            <v>782</v>
          </cell>
          <cell r="M3395">
            <v>50139919</v>
          </cell>
          <cell r="N3395" t="str">
            <v>14/8/2006</v>
          </cell>
          <cell r="P3395" t="str">
            <v>5N6814D1L292502</v>
          </cell>
          <cell r="Q3395" t="str">
            <v>D</v>
          </cell>
        </row>
        <row r="3396">
          <cell r="A3396">
            <v>50139887</v>
          </cell>
          <cell r="B3396">
            <v>3394</v>
          </cell>
          <cell r="C3396" t="str">
            <v>OW01/1</v>
          </cell>
          <cell r="D3396" t="str">
            <v>SPCEN-SD</v>
          </cell>
          <cell r="E3396" t="str">
            <v>AF3</v>
          </cell>
          <cell r="F3396">
            <v>0.9</v>
          </cell>
          <cell r="G3396">
            <v>675</v>
          </cell>
          <cell r="H3396">
            <v>1219</v>
          </cell>
          <cell r="I3396">
            <v>5</v>
          </cell>
          <cell r="J3396" t="str">
            <v>STORE</v>
          </cell>
          <cell r="K3396">
            <v>127</v>
          </cell>
          <cell r="L3396">
            <v>734</v>
          </cell>
          <cell r="M3396">
            <v>50139887</v>
          </cell>
          <cell r="N3396" t="str">
            <v>14/8/2006</v>
          </cell>
          <cell r="P3396" t="str">
            <v>5N6814D1L292502</v>
          </cell>
          <cell r="Q3396" t="str">
            <v>D</v>
          </cell>
        </row>
        <row r="3397">
          <cell r="A3397">
            <v>50095747</v>
          </cell>
          <cell r="B3397">
            <v>3395</v>
          </cell>
          <cell r="C3397" t="str">
            <v>OW01/1</v>
          </cell>
          <cell r="D3397" t="str">
            <v>SPCEN-SD</v>
          </cell>
          <cell r="E3397" t="str">
            <v>AF3</v>
          </cell>
          <cell r="F3397">
            <v>0.9</v>
          </cell>
          <cell r="G3397">
            <v>680</v>
          </cell>
          <cell r="H3397">
            <v>1010</v>
          </cell>
          <cell r="I3397">
            <v>5</v>
          </cell>
          <cell r="J3397" t="str">
            <v>STORE</v>
          </cell>
          <cell r="K3397">
            <v>63</v>
          </cell>
          <cell r="L3397">
            <v>306</v>
          </cell>
          <cell r="M3397">
            <v>50095747</v>
          </cell>
          <cell r="N3397" t="str">
            <v>21/8/2005</v>
          </cell>
          <cell r="P3397" t="str">
            <v>5N5821N1M215501</v>
          </cell>
          <cell r="Q3397">
            <v>3</v>
          </cell>
        </row>
        <row r="3398">
          <cell r="A3398">
            <v>50133223</v>
          </cell>
          <cell r="B3398">
            <v>3396</v>
          </cell>
          <cell r="C3398" t="str">
            <v>OW01/1</v>
          </cell>
          <cell r="D3398" t="str">
            <v>SPCEN-SD</v>
          </cell>
          <cell r="E3398" t="str">
            <v>AF3</v>
          </cell>
          <cell r="F3398">
            <v>0.9</v>
          </cell>
          <cell r="G3398">
            <v>750</v>
          </cell>
          <cell r="H3398">
            <v>1219</v>
          </cell>
          <cell r="I3398">
            <v>5</v>
          </cell>
          <cell r="J3398" t="str">
            <v>STORE</v>
          </cell>
          <cell r="K3398">
            <v>80</v>
          </cell>
          <cell r="L3398">
            <v>518</v>
          </cell>
          <cell r="M3398">
            <v>50133223</v>
          </cell>
          <cell r="N3398" t="str">
            <v>14/6/2006</v>
          </cell>
          <cell r="P3398" t="str">
            <v>5N6614N1L104101</v>
          </cell>
          <cell r="Q3398">
            <v>2</v>
          </cell>
        </row>
        <row r="3399">
          <cell r="A3399">
            <v>50141642</v>
          </cell>
          <cell r="B3399">
            <v>3397</v>
          </cell>
          <cell r="C3399" t="str">
            <v>OW01/1</v>
          </cell>
          <cell r="D3399" t="str">
            <v>SPCEN-SD</v>
          </cell>
          <cell r="E3399" t="str">
            <v>AF3</v>
          </cell>
          <cell r="F3399">
            <v>0.9</v>
          </cell>
          <cell r="G3399">
            <v>1115</v>
          </cell>
          <cell r="H3399">
            <v>1219</v>
          </cell>
          <cell r="I3399">
            <v>5</v>
          </cell>
          <cell r="J3399" t="str">
            <v>STORE</v>
          </cell>
          <cell r="K3399">
            <v>10</v>
          </cell>
          <cell r="L3399">
            <v>96</v>
          </cell>
          <cell r="M3399">
            <v>50141642</v>
          </cell>
          <cell r="N3399">
            <v>38726</v>
          </cell>
          <cell r="P3399" t="str">
            <v>5N6901D1D335103</v>
          </cell>
          <cell r="Q3399">
            <v>2</v>
          </cell>
        </row>
        <row r="3400">
          <cell r="A3400">
            <v>50125099</v>
          </cell>
          <cell r="B3400">
            <v>3398</v>
          </cell>
          <cell r="C3400" t="str">
            <v>OW01/1</v>
          </cell>
          <cell r="D3400" t="str">
            <v>SPCEN-SD</v>
          </cell>
          <cell r="E3400" t="str">
            <v>AF3</v>
          </cell>
          <cell r="F3400">
            <v>0.9</v>
          </cell>
          <cell r="G3400">
            <v>1150</v>
          </cell>
          <cell r="H3400">
            <v>1219</v>
          </cell>
          <cell r="I3400">
            <v>5</v>
          </cell>
          <cell r="J3400" t="str">
            <v>STORE</v>
          </cell>
          <cell r="K3400">
            <v>87</v>
          </cell>
          <cell r="L3400">
            <v>865</v>
          </cell>
          <cell r="M3400">
            <v>50125099</v>
          </cell>
          <cell r="N3400" t="str">
            <v>31/3/2006</v>
          </cell>
          <cell r="P3400" t="str">
            <v>5N6331D1L901801</v>
          </cell>
          <cell r="Q3400">
            <v>2</v>
          </cell>
        </row>
        <row r="3401">
          <cell r="A3401">
            <v>50141509</v>
          </cell>
          <cell r="B3401">
            <v>3399</v>
          </cell>
          <cell r="C3401" t="str">
            <v>OW01/1</v>
          </cell>
          <cell r="D3401" t="str">
            <v>SPCEN-SD</v>
          </cell>
          <cell r="E3401" t="str">
            <v>AF3</v>
          </cell>
          <cell r="F3401">
            <v>1</v>
          </cell>
          <cell r="G3401">
            <v>270</v>
          </cell>
          <cell r="H3401">
            <v>570</v>
          </cell>
          <cell r="I3401">
            <v>5</v>
          </cell>
          <cell r="J3401" t="str">
            <v>STORE</v>
          </cell>
          <cell r="K3401">
            <v>296</v>
          </cell>
          <cell r="L3401">
            <v>358</v>
          </cell>
          <cell r="M3401">
            <v>50141509</v>
          </cell>
          <cell r="N3401" t="str">
            <v>31/8/2006</v>
          </cell>
          <cell r="P3401" t="str">
            <v>5N6831D3D323601</v>
          </cell>
          <cell r="Q3401">
            <v>1</v>
          </cell>
        </row>
        <row r="3402">
          <cell r="A3402">
            <v>50141223</v>
          </cell>
          <cell r="B3402">
            <v>3400</v>
          </cell>
          <cell r="C3402" t="str">
            <v>OW01/1</v>
          </cell>
          <cell r="D3402" t="str">
            <v>SPCEN-SD</v>
          </cell>
          <cell r="E3402" t="str">
            <v>AF3</v>
          </cell>
          <cell r="F3402">
            <v>1</v>
          </cell>
          <cell r="G3402">
            <v>490</v>
          </cell>
          <cell r="H3402">
            <v>597</v>
          </cell>
          <cell r="I3402">
            <v>5</v>
          </cell>
          <cell r="J3402" t="str">
            <v>STORE</v>
          </cell>
          <cell r="K3402">
            <v>145</v>
          </cell>
          <cell r="L3402">
            <v>323</v>
          </cell>
          <cell r="M3402">
            <v>50141223</v>
          </cell>
          <cell r="N3402" t="str">
            <v>28/8/2006</v>
          </cell>
          <cell r="P3402" t="str">
            <v>5N6822D3D326701</v>
          </cell>
          <cell r="Q3402">
            <v>1</v>
          </cell>
        </row>
        <row r="3403">
          <cell r="A3403">
            <v>50137576</v>
          </cell>
          <cell r="B3403">
            <v>3401</v>
          </cell>
          <cell r="C3403" t="str">
            <v>OW01/1</v>
          </cell>
          <cell r="D3403" t="str">
            <v>SPCEN-SD</v>
          </cell>
          <cell r="E3403" t="str">
            <v>AF3</v>
          </cell>
          <cell r="F3403">
            <v>1</v>
          </cell>
          <cell r="G3403">
            <v>510</v>
          </cell>
          <cell r="H3403">
            <v>1070</v>
          </cell>
          <cell r="I3403">
            <v>5</v>
          </cell>
          <cell r="J3403" t="str">
            <v>STORE</v>
          </cell>
          <cell r="K3403">
            <v>200</v>
          </cell>
          <cell r="L3403">
            <v>860</v>
          </cell>
          <cell r="M3403">
            <v>50137576</v>
          </cell>
          <cell r="N3403" t="str">
            <v>24/7/2006</v>
          </cell>
          <cell r="P3403" t="str">
            <v>5N6724D2RBBBB01</v>
          </cell>
          <cell r="Q3403">
            <v>1</v>
          </cell>
        </row>
        <row r="3404">
          <cell r="A3404">
            <v>50141477</v>
          </cell>
          <cell r="B3404">
            <v>3402</v>
          </cell>
          <cell r="C3404" t="str">
            <v>OW01/1</v>
          </cell>
          <cell r="D3404" t="str">
            <v>SPCEN-SD</v>
          </cell>
          <cell r="E3404" t="str">
            <v>AF3</v>
          </cell>
          <cell r="F3404">
            <v>1</v>
          </cell>
          <cell r="G3404">
            <v>925</v>
          </cell>
          <cell r="H3404">
            <v>1219</v>
          </cell>
          <cell r="I3404">
            <v>5</v>
          </cell>
          <cell r="J3404" t="str">
            <v>STORE</v>
          </cell>
          <cell r="K3404">
            <v>37</v>
          </cell>
          <cell r="L3404">
            <v>328</v>
          </cell>
          <cell r="M3404">
            <v>50141477</v>
          </cell>
          <cell r="N3404" t="str">
            <v>31/8/2006</v>
          </cell>
          <cell r="P3404" t="str">
            <v>5N6831D1L336901</v>
          </cell>
          <cell r="Q3404" t="str">
            <v>D</v>
          </cell>
        </row>
        <row r="3405">
          <cell r="A3405">
            <v>50141853</v>
          </cell>
          <cell r="B3405">
            <v>3403</v>
          </cell>
          <cell r="C3405" t="str">
            <v>OW01/1</v>
          </cell>
          <cell r="D3405" t="str">
            <v>SPCEN-SD</v>
          </cell>
          <cell r="E3405" t="str">
            <v>AF3</v>
          </cell>
          <cell r="F3405">
            <v>1</v>
          </cell>
          <cell r="G3405">
            <v>1120</v>
          </cell>
          <cell r="H3405">
            <v>1219</v>
          </cell>
          <cell r="I3405">
            <v>5</v>
          </cell>
          <cell r="J3405" t="str">
            <v>STORE</v>
          </cell>
          <cell r="K3405">
            <v>21</v>
          </cell>
          <cell r="L3405">
            <v>225</v>
          </cell>
          <cell r="M3405">
            <v>50141853</v>
          </cell>
          <cell r="N3405">
            <v>38846</v>
          </cell>
          <cell r="P3405" t="str">
            <v>5N6905D1L348901</v>
          </cell>
          <cell r="Q3405" t="str">
            <v>D</v>
          </cell>
        </row>
        <row r="3406">
          <cell r="A3406">
            <v>50141868</v>
          </cell>
          <cell r="B3406">
            <v>3404</v>
          </cell>
          <cell r="C3406" t="str">
            <v>OW01/1</v>
          </cell>
          <cell r="D3406" t="str">
            <v>SPCEN-SD</v>
          </cell>
          <cell r="E3406" t="str">
            <v>AF3</v>
          </cell>
          <cell r="F3406">
            <v>1</v>
          </cell>
          <cell r="G3406">
            <v>1120</v>
          </cell>
          <cell r="H3406">
            <v>1219</v>
          </cell>
          <cell r="I3406">
            <v>5</v>
          </cell>
          <cell r="J3406" t="str">
            <v>STORE</v>
          </cell>
          <cell r="K3406">
            <v>20</v>
          </cell>
          <cell r="L3406">
            <v>214</v>
          </cell>
          <cell r="M3406">
            <v>50141868</v>
          </cell>
          <cell r="N3406">
            <v>38846</v>
          </cell>
          <cell r="P3406" t="str">
            <v>5N6905D3D348902</v>
          </cell>
          <cell r="Q3406">
            <v>1</v>
          </cell>
        </row>
        <row r="3407">
          <cell r="A3407">
            <v>50141245</v>
          </cell>
          <cell r="B3407">
            <v>3405</v>
          </cell>
          <cell r="C3407" t="str">
            <v>OW01/1</v>
          </cell>
          <cell r="D3407" t="str">
            <v>SPCEN-SD</v>
          </cell>
          <cell r="E3407" t="str">
            <v>AF3</v>
          </cell>
          <cell r="F3407">
            <v>1.2</v>
          </cell>
          <cell r="G3407">
            <v>593</v>
          </cell>
          <cell r="H3407">
            <v>1219</v>
          </cell>
          <cell r="I3407">
            <v>5</v>
          </cell>
          <cell r="J3407" t="str">
            <v>STORE</v>
          </cell>
          <cell r="K3407">
            <v>60</v>
          </cell>
          <cell r="L3407">
            <v>409</v>
          </cell>
          <cell r="M3407">
            <v>50141245</v>
          </cell>
          <cell r="N3407" t="str">
            <v>29/8/2006</v>
          </cell>
          <cell r="P3407" t="str">
            <v>5N6829D3D325501</v>
          </cell>
          <cell r="Q3407">
            <v>1</v>
          </cell>
        </row>
        <row r="3408">
          <cell r="A3408">
            <v>50141187</v>
          </cell>
          <cell r="B3408">
            <v>3406</v>
          </cell>
          <cell r="C3408" t="str">
            <v>OW01/1</v>
          </cell>
          <cell r="D3408" t="str">
            <v>SPCEN-SD</v>
          </cell>
          <cell r="E3408" t="str">
            <v>AF3</v>
          </cell>
          <cell r="F3408">
            <v>1.2</v>
          </cell>
          <cell r="G3408">
            <v>615</v>
          </cell>
          <cell r="H3408">
            <v>1219</v>
          </cell>
          <cell r="I3408">
            <v>5</v>
          </cell>
          <cell r="J3408" t="str">
            <v>STORE</v>
          </cell>
          <cell r="K3408">
            <v>52</v>
          </cell>
          <cell r="L3408">
            <v>367</v>
          </cell>
          <cell r="M3408">
            <v>50141187</v>
          </cell>
          <cell r="N3408" t="str">
            <v>28/8/2006</v>
          </cell>
          <cell r="P3408" t="str">
            <v>5N6828D1L324601</v>
          </cell>
          <cell r="Q3408" t="str">
            <v>D</v>
          </cell>
        </row>
        <row r="3409">
          <cell r="A3409">
            <v>50109507</v>
          </cell>
          <cell r="B3409">
            <v>3407</v>
          </cell>
          <cell r="C3409" t="str">
            <v>OW01/1</v>
          </cell>
          <cell r="D3409" t="str">
            <v>SPCEN-SD</v>
          </cell>
          <cell r="E3409" t="str">
            <v>AF3</v>
          </cell>
          <cell r="F3409">
            <v>1.6</v>
          </cell>
          <cell r="G3409">
            <v>640</v>
          </cell>
          <cell r="H3409">
            <v>980</v>
          </cell>
          <cell r="I3409">
            <v>5</v>
          </cell>
          <cell r="J3409" t="str">
            <v>STORE</v>
          </cell>
          <cell r="K3409">
            <v>53</v>
          </cell>
          <cell r="L3409">
            <v>415</v>
          </cell>
          <cell r="M3409">
            <v>50109507</v>
          </cell>
          <cell r="N3409">
            <v>38607</v>
          </cell>
          <cell r="P3409" t="str">
            <v>5N5C09D1551301</v>
          </cell>
          <cell r="Q3409">
            <v>1</v>
          </cell>
        </row>
        <row r="3410">
          <cell r="A3410">
            <v>50114797</v>
          </cell>
          <cell r="B3410">
            <v>3408</v>
          </cell>
          <cell r="C3410" t="str">
            <v>OW01/1</v>
          </cell>
          <cell r="D3410" t="str">
            <v>SPCEN-SD</v>
          </cell>
          <cell r="E3410" t="str">
            <v>AF3</v>
          </cell>
          <cell r="F3410">
            <v>1.6</v>
          </cell>
          <cell r="G3410">
            <v>640</v>
          </cell>
          <cell r="H3410">
            <v>980</v>
          </cell>
          <cell r="I3410">
            <v>5</v>
          </cell>
          <cell r="J3410" t="str">
            <v>STORE</v>
          </cell>
          <cell r="K3410">
            <v>50</v>
          </cell>
          <cell r="L3410">
            <v>390</v>
          </cell>
          <cell r="M3410">
            <v>50114797</v>
          </cell>
          <cell r="N3410" t="str">
            <v>20/1/2006</v>
          </cell>
          <cell r="P3410" t="str">
            <v>5N6120N2L654702</v>
          </cell>
          <cell r="Q3410" t="str">
            <v>D</v>
          </cell>
        </row>
        <row r="3411">
          <cell r="A3411">
            <v>50117037</v>
          </cell>
          <cell r="B3411">
            <v>3409</v>
          </cell>
          <cell r="C3411" t="str">
            <v>OW01/1</v>
          </cell>
          <cell r="D3411" t="str">
            <v>SPCEN-SD</v>
          </cell>
          <cell r="E3411" t="str">
            <v>AF3</v>
          </cell>
          <cell r="F3411">
            <v>1.6</v>
          </cell>
          <cell r="G3411">
            <v>640</v>
          </cell>
          <cell r="H3411">
            <v>980</v>
          </cell>
          <cell r="I3411">
            <v>5</v>
          </cell>
          <cell r="J3411" t="str">
            <v>STORE</v>
          </cell>
          <cell r="K3411">
            <v>54</v>
          </cell>
          <cell r="L3411">
            <v>422</v>
          </cell>
          <cell r="M3411">
            <v>50117037</v>
          </cell>
          <cell r="N3411">
            <v>38962</v>
          </cell>
          <cell r="P3411" t="str">
            <v>5N6209D1L717204</v>
          </cell>
          <cell r="Q3411" t="str">
            <v>D</v>
          </cell>
        </row>
        <row r="3412">
          <cell r="A3412">
            <v>50120771</v>
          </cell>
          <cell r="B3412">
            <v>3410</v>
          </cell>
          <cell r="C3412" t="str">
            <v>OW01/1</v>
          </cell>
          <cell r="D3412" t="str">
            <v>SPCEN-SD</v>
          </cell>
          <cell r="E3412" t="str">
            <v>AF3</v>
          </cell>
          <cell r="F3412">
            <v>1.6</v>
          </cell>
          <cell r="G3412">
            <v>640</v>
          </cell>
          <cell r="H3412">
            <v>980</v>
          </cell>
          <cell r="I3412">
            <v>5</v>
          </cell>
          <cell r="J3412" t="str">
            <v>STORE</v>
          </cell>
          <cell r="K3412">
            <v>40</v>
          </cell>
          <cell r="L3412">
            <v>308</v>
          </cell>
          <cell r="M3412">
            <v>50120771</v>
          </cell>
          <cell r="N3412">
            <v>38871</v>
          </cell>
          <cell r="P3412" t="str">
            <v>5N6306D2L805305</v>
          </cell>
          <cell r="Q3412" t="str">
            <v>D</v>
          </cell>
        </row>
        <row r="3413">
          <cell r="A3413">
            <v>50132495</v>
          </cell>
          <cell r="B3413">
            <v>3411</v>
          </cell>
          <cell r="C3413" t="str">
            <v>OW01/1</v>
          </cell>
          <cell r="D3413" t="str">
            <v>SPCEN-SD</v>
          </cell>
          <cell r="E3413" t="str">
            <v>AF3</v>
          </cell>
          <cell r="F3413">
            <v>1.6</v>
          </cell>
          <cell r="G3413">
            <v>769</v>
          </cell>
          <cell r="H3413">
            <v>1219</v>
          </cell>
          <cell r="I3413">
            <v>5</v>
          </cell>
          <cell r="J3413" t="str">
            <v>STORE</v>
          </cell>
          <cell r="K3413">
            <v>131</v>
          </cell>
          <cell r="L3413">
            <v>1544</v>
          </cell>
          <cell r="M3413">
            <v>50132495</v>
          </cell>
          <cell r="N3413">
            <v>38935</v>
          </cell>
          <cell r="P3413" t="str">
            <v>5N6608D1L088901</v>
          </cell>
          <cell r="Q3413" t="str">
            <v>D</v>
          </cell>
        </row>
        <row r="3414">
          <cell r="A3414">
            <v>50134845</v>
          </cell>
          <cell r="B3414">
            <v>3412</v>
          </cell>
          <cell r="C3414" t="str">
            <v>OW01/1</v>
          </cell>
          <cell r="D3414" t="str">
            <v>SPCEN-SD</v>
          </cell>
          <cell r="E3414" t="str">
            <v>AF3</v>
          </cell>
          <cell r="F3414">
            <v>1.6</v>
          </cell>
          <cell r="G3414">
            <v>769</v>
          </cell>
          <cell r="H3414">
            <v>1219</v>
          </cell>
          <cell r="I3414">
            <v>5</v>
          </cell>
          <cell r="J3414" t="str">
            <v>STORE</v>
          </cell>
          <cell r="K3414">
            <v>58</v>
          </cell>
          <cell r="L3414">
            <v>688</v>
          </cell>
          <cell r="M3414">
            <v>50134845</v>
          </cell>
          <cell r="N3414" t="str">
            <v>29/6/2006</v>
          </cell>
          <cell r="P3414" t="str">
            <v>5N6629D1L149602</v>
          </cell>
          <cell r="Q3414" t="str">
            <v>D</v>
          </cell>
        </row>
        <row r="3415">
          <cell r="A3415">
            <v>50139938</v>
          </cell>
          <cell r="B3415">
            <v>3413</v>
          </cell>
          <cell r="C3415" t="str">
            <v>OW01/1</v>
          </cell>
          <cell r="D3415" t="str">
            <v>SPCEN-SD</v>
          </cell>
          <cell r="E3415" t="str">
            <v>AF3</v>
          </cell>
          <cell r="F3415">
            <v>1.6</v>
          </cell>
          <cell r="G3415">
            <v>769</v>
          </cell>
          <cell r="H3415">
            <v>1219</v>
          </cell>
          <cell r="I3415">
            <v>5</v>
          </cell>
          <cell r="J3415" t="str">
            <v>STORE</v>
          </cell>
          <cell r="K3415">
            <v>88</v>
          </cell>
          <cell r="L3415">
            <v>1036</v>
          </cell>
          <cell r="M3415">
            <v>50139938</v>
          </cell>
          <cell r="N3415" t="str">
            <v>14/8/2006</v>
          </cell>
          <cell r="P3415" t="str">
            <v>5N6814D2D294304</v>
          </cell>
          <cell r="Q3415">
            <v>1</v>
          </cell>
        </row>
        <row r="3416">
          <cell r="A3416">
            <v>50132630</v>
          </cell>
          <cell r="B3416">
            <v>3414</v>
          </cell>
          <cell r="C3416" t="str">
            <v>OW01/1</v>
          </cell>
          <cell r="D3416" t="str">
            <v>SPCEN-SD</v>
          </cell>
          <cell r="E3416" t="str">
            <v>AF3</v>
          </cell>
          <cell r="F3416">
            <v>1.6</v>
          </cell>
          <cell r="G3416">
            <v>800</v>
          </cell>
          <cell r="H3416">
            <v>1219</v>
          </cell>
          <cell r="I3416">
            <v>5</v>
          </cell>
          <cell r="J3416" t="str">
            <v>STORE</v>
          </cell>
          <cell r="K3416">
            <v>103</v>
          </cell>
          <cell r="L3416">
            <v>1267</v>
          </cell>
          <cell r="M3416">
            <v>50132630</v>
          </cell>
          <cell r="N3416">
            <v>38966</v>
          </cell>
          <cell r="P3416" t="str">
            <v>5N6609N1L090301</v>
          </cell>
          <cell r="Q3416">
            <v>2</v>
          </cell>
        </row>
        <row r="3417">
          <cell r="A3417">
            <v>50115089</v>
          </cell>
          <cell r="B3417">
            <v>3415</v>
          </cell>
          <cell r="C3417" t="str">
            <v>OW01/1</v>
          </cell>
          <cell r="D3417" t="str">
            <v>SPCEN-SD</v>
          </cell>
          <cell r="E3417" t="str">
            <v>AF3</v>
          </cell>
          <cell r="F3417">
            <v>1.6</v>
          </cell>
          <cell r="G3417">
            <v>800</v>
          </cell>
          <cell r="H3417">
            <v>1000</v>
          </cell>
          <cell r="I3417">
            <v>5</v>
          </cell>
          <cell r="J3417" t="str">
            <v>STORE</v>
          </cell>
          <cell r="K3417">
            <v>60</v>
          </cell>
          <cell r="L3417">
            <v>616</v>
          </cell>
          <cell r="M3417">
            <v>50115089</v>
          </cell>
          <cell r="N3417" t="str">
            <v>24/1/2006</v>
          </cell>
          <cell r="O3417" t="str">
            <v>125A21SUD002</v>
          </cell>
          <cell r="P3417" t="str">
            <v>5N6124D2L657401</v>
          </cell>
          <cell r="Q3417">
            <v>2</v>
          </cell>
        </row>
        <row r="3418">
          <cell r="A3418">
            <v>50115899</v>
          </cell>
          <cell r="B3418">
            <v>3416</v>
          </cell>
          <cell r="C3418" t="str">
            <v>OW01/1</v>
          </cell>
          <cell r="D3418" t="str">
            <v>SPCEN-SD</v>
          </cell>
          <cell r="E3418" t="str">
            <v>AF3</v>
          </cell>
          <cell r="F3418">
            <v>1.6</v>
          </cell>
          <cell r="G3418">
            <v>980</v>
          </cell>
          <cell r="H3418">
            <v>1219</v>
          </cell>
          <cell r="I3418">
            <v>5</v>
          </cell>
          <cell r="J3418" t="str">
            <v>STORE</v>
          </cell>
          <cell r="K3418">
            <v>72</v>
          </cell>
          <cell r="L3418">
            <v>1080</v>
          </cell>
          <cell r="M3418">
            <v>50115899</v>
          </cell>
          <cell r="N3418" t="str">
            <v>31/1/2006</v>
          </cell>
          <cell r="P3418" t="str">
            <v>5N6131N1D689701</v>
          </cell>
          <cell r="Q3418">
            <v>2</v>
          </cell>
        </row>
        <row r="3419">
          <cell r="A3419">
            <v>50129526</v>
          </cell>
          <cell r="B3419">
            <v>3417</v>
          </cell>
          <cell r="C3419" t="str">
            <v>OW01/1</v>
          </cell>
          <cell r="D3419" t="str">
            <v>SPCEN-SD</v>
          </cell>
          <cell r="E3419" t="str">
            <v>AF3</v>
          </cell>
          <cell r="F3419">
            <v>1.6</v>
          </cell>
          <cell r="G3419">
            <v>980</v>
          </cell>
          <cell r="H3419">
            <v>1219</v>
          </cell>
          <cell r="I3419">
            <v>5</v>
          </cell>
          <cell r="J3419" t="str">
            <v>STORE</v>
          </cell>
          <cell r="K3419">
            <v>29</v>
          </cell>
          <cell r="L3419">
            <v>436</v>
          </cell>
          <cell r="M3419">
            <v>50129526</v>
          </cell>
          <cell r="N3419" t="str">
            <v>18/5/2006</v>
          </cell>
          <cell r="P3419" t="str">
            <v>5N6518N1L015703</v>
          </cell>
          <cell r="Q3419">
            <v>2</v>
          </cell>
        </row>
        <row r="3420">
          <cell r="A3420">
            <v>50136067</v>
          </cell>
          <cell r="B3420">
            <v>3418</v>
          </cell>
          <cell r="C3420" t="str">
            <v>OW01/1</v>
          </cell>
          <cell r="D3420" t="str">
            <v>SPCEN-SD</v>
          </cell>
          <cell r="E3420" t="str">
            <v>AF3</v>
          </cell>
          <cell r="F3420">
            <v>1.6</v>
          </cell>
          <cell r="G3420">
            <v>980</v>
          </cell>
          <cell r="H3420">
            <v>1219</v>
          </cell>
          <cell r="I3420">
            <v>5</v>
          </cell>
          <cell r="J3420" t="str">
            <v>STORE</v>
          </cell>
          <cell r="K3420">
            <v>23</v>
          </cell>
          <cell r="L3420">
            <v>345</v>
          </cell>
          <cell r="M3420">
            <v>50136067</v>
          </cell>
          <cell r="N3420" t="str">
            <v>18/05/2006</v>
          </cell>
          <cell r="P3420" t="str">
            <v>5N6708N3D179404</v>
          </cell>
          <cell r="Q3420">
            <v>2</v>
          </cell>
        </row>
        <row r="3421">
          <cell r="A3421">
            <v>50136173</v>
          </cell>
          <cell r="B3421">
            <v>3419</v>
          </cell>
          <cell r="C3421" t="str">
            <v>OW01/1</v>
          </cell>
          <cell r="D3421" t="str">
            <v>SPCEN-SD</v>
          </cell>
          <cell r="E3421" t="str">
            <v>AF3</v>
          </cell>
          <cell r="F3421">
            <v>1.6</v>
          </cell>
          <cell r="G3421">
            <v>980</v>
          </cell>
          <cell r="H3421">
            <v>1219</v>
          </cell>
          <cell r="I3421">
            <v>5</v>
          </cell>
          <cell r="J3421" t="str">
            <v>STORE</v>
          </cell>
          <cell r="K3421">
            <v>25</v>
          </cell>
          <cell r="L3421">
            <v>376</v>
          </cell>
          <cell r="M3421">
            <v>50136173</v>
          </cell>
          <cell r="N3421">
            <v>38936</v>
          </cell>
          <cell r="P3421" t="str">
            <v>5N6710D1L190305</v>
          </cell>
          <cell r="Q3421">
            <v>2</v>
          </cell>
        </row>
        <row r="3422">
          <cell r="A3422">
            <v>50139872</v>
          </cell>
          <cell r="B3422">
            <v>3420</v>
          </cell>
          <cell r="C3422" t="str">
            <v>OW01/1</v>
          </cell>
          <cell r="D3422" t="str">
            <v>SPCEN-SD</v>
          </cell>
          <cell r="E3422" t="str">
            <v>AF3</v>
          </cell>
          <cell r="F3422">
            <v>1.6</v>
          </cell>
          <cell r="G3422">
            <v>980</v>
          </cell>
          <cell r="H3422">
            <v>1219</v>
          </cell>
          <cell r="I3422">
            <v>5</v>
          </cell>
          <cell r="J3422" t="str">
            <v>STORE</v>
          </cell>
          <cell r="K3422">
            <v>69</v>
          </cell>
          <cell r="L3422">
            <v>1028</v>
          </cell>
          <cell r="M3422">
            <v>50139872</v>
          </cell>
          <cell r="N3422">
            <v>39059</v>
          </cell>
          <cell r="P3422" t="str">
            <v>5N2812N1L287406</v>
          </cell>
          <cell r="Q3422">
            <v>1</v>
          </cell>
        </row>
        <row r="3423">
          <cell r="A3423">
            <v>50111138</v>
          </cell>
          <cell r="B3423">
            <v>3421</v>
          </cell>
          <cell r="C3423" t="str">
            <v>OW01/1</v>
          </cell>
          <cell r="D3423" t="str">
            <v>SPCEN-SD</v>
          </cell>
          <cell r="E3423" t="str">
            <v>AF3</v>
          </cell>
          <cell r="F3423">
            <v>1.6</v>
          </cell>
          <cell r="G3423">
            <v>1000</v>
          </cell>
          <cell r="H3423">
            <v>1219</v>
          </cell>
          <cell r="I3423">
            <v>5</v>
          </cell>
          <cell r="J3423" t="str">
            <v>STORE</v>
          </cell>
          <cell r="K3423">
            <v>60</v>
          </cell>
          <cell r="L3423">
            <v>913</v>
          </cell>
          <cell r="M3423">
            <v>50111138</v>
          </cell>
          <cell r="N3423" t="str">
            <v>20/12/2005</v>
          </cell>
          <cell r="O3423" t="str">
            <v>125921SUD005</v>
          </cell>
          <cell r="P3423" t="str">
            <v>5N5C20D2L582301</v>
          </cell>
          <cell r="Q3423">
            <v>2</v>
          </cell>
        </row>
        <row r="3424">
          <cell r="A3424">
            <v>50115090</v>
          </cell>
          <cell r="B3424">
            <v>3422</v>
          </cell>
          <cell r="C3424" t="str">
            <v>OW01/1</v>
          </cell>
          <cell r="D3424" t="str">
            <v>SPCEN-SD</v>
          </cell>
          <cell r="E3424" t="str">
            <v>AF3</v>
          </cell>
          <cell r="F3424">
            <v>1.6</v>
          </cell>
          <cell r="G3424">
            <v>1000</v>
          </cell>
          <cell r="H3424">
            <v>1219</v>
          </cell>
          <cell r="I3424">
            <v>5</v>
          </cell>
          <cell r="J3424" t="str">
            <v>STORE</v>
          </cell>
          <cell r="K3424">
            <v>43</v>
          </cell>
          <cell r="L3424">
            <v>652</v>
          </cell>
          <cell r="M3424">
            <v>50115090</v>
          </cell>
          <cell r="N3424" t="str">
            <v>24/1/2006</v>
          </cell>
          <cell r="O3424" t="str">
            <v>125A21SUD002</v>
          </cell>
          <cell r="P3424" t="str">
            <v>5N6124D2L657402</v>
          </cell>
          <cell r="Q3424">
            <v>2</v>
          </cell>
        </row>
        <row r="3425">
          <cell r="A3425">
            <v>50118468</v>
          </cell>
          <cell r="B3425">
            <v>3423</v>
          </cell>
          <cell r="C3425" t="str">
            <v>OW01/1</v>
          </cell>
          <cell r="D3425" t="str">
            <v>SPCEN-SD</v>
          </cell>
          <cell r="E3425" t="str">
            <v>AF3</v>
          </cell>
          <cell r="F3425">
            <v>1.6</v>
          </cell>
          <cell r="G3425">
            <v>1000</v>
          </cell>
          <cell r="H3425">
            <v>1219</v>
          </cell>
          <cell r="I3425">
            <v>5</v>
          </cell>
          <cell r="J3425" t="str">
            <v>STORE</v>
          </cell>
          <cell r="K3425">
            <v>26</v>
          </cell>
          <cell r="L3425">
            <v>398</v>
          </cell>
          <cell r="M3425">
            <v>50118468</v>
          </cell>
          <cell r="N3425" t="str">
            <v>21/2/2006</v>
          </cell>
          <cell r="P3425" t="str">
            <v>5N6221N1L758303</v>
          </cell>
          <cell r="Q3425">
            <v>2</v>
          </cell>
        </row>
        <row r="3426">
          <cell r="A3426">
            <v>50130984</v>
          </cell>
          <cell r="B3426">
            <v>3424</v>
          </cell>
          <cell r="C3426" t="str">
            <v>OW01/1</v>
          </cell>
          <cell r="D3426" t="str">
            <v>SPCEN-SD</v>
          </cell>
          <cell r="E3426" t="str">
            <v>AF3</v>
          </cell>
          <cell r="F3426">
            <v>1.6</v>
          </cell>
          <cell r="G3426">
            <v>1040</v>
          </cell>
          <cell r="H3426">
            <v>1219</v>
          </cell>
          <cell r="I3426">
            <v>5</v>
          </cell>
          <cell r="J3426" t="str">
            <v>STORE</v>
          </cell>
          <cell r="K3426">
            <v>56</v>
          </cell>
          <cell r="L3426">
            <v>895</v>
          </cell>
          <cell r="M3426">
            <v>50130984</v>
          </cell>
          <cell r="N3426" t="str">
            <v>30/5/2006</v>
          </cell>
          <cell r="P3426" t="str">
            <v>5N6530N1L051101</v>
          </cell>
          <cell r="Q3426">
            <v>2</v>
          </cell>
        </row>
        <row r="3427">
          <cell r="A3427">
            <v>50135801</v>
          </cell>
          <cell r="B3427">
            <v>3425</v>
          </cell>
          <cell r="C3427" t="str">
            <v>OW01/1</v>
          </cell>
          <cell r="D3427" t="str">
            <v>SPCEN-SD</v>
          </cell>
          <cell r="E3427" t="str">
            <v>AF3</v>
          </cell>
          <cell r="F3427">
            <v>1.6</v>
          </cell>
          <cell r="G3427">
            <v>1150</v>
          </cell>
          <cell r="H3427">
            <v>1219</v>
          </cell>
          <cell r="I3427">
            <v>5</v>
          </cell>
          <cell r="J3427" t="str">
            <v>STORE</v>
          </cell>
          <cell r="K3427">
            <v>70</v>
          </cell>
          <cell r="L3427">
            <v>1225</v>
          </cell>
          <cell r="M3427">
            <v>50135801</v>
          </cell>
          <cell r="N3427">
            <v>38875</v>
          </cell>
          <cell r="P3427" t="str">
            <v>5N6706D2RBBBB02</v>
          </cell>
          <cell r="Q3427" t="str">
            <v>D</v>
          </cell>
        </row>
        <row r="3428">
          <cell r="A3428">
            <v>50141773</v>
          </cell>
          <cell r="B3428">
            <v>3426</v>
          </cell>
          <cell r="C3428" t="str">
            <v>OW01/1</v>
          </cell>
          <cell r="D3428" t="str">
            <v>SPCEN-SD</v>
          </cell>
          <cell r="E3428" t="str">
            <v>AF3</v>
          </cell>
          <cell r="F3428">
            <v>1.6</v>
          </cell>
          <cell r="G3428">
            <v>609.5</v>
          </cell>
          <cell r="H3428">
            <v>1219</v>
          </cell>
          <cell r="I3428">
            <v>5</v>
          </cell>
          <cell r="J3428" t="str">
            <v>STORE</v>
          </cell>
          <cell r="K3428">
            <v>173</v>
          </cell>
          <cell r="L3428">
            <v>1623</v>
          </cell>
          <cell r="M3428">
            <v>50141773</v>
          </cell>
          <cell r="N3428">
            <v>38816</v>
          </cell>
          <cell r="P3428" t="str">
            <v>5N6904D1L345001</v>
          </cell>
          <cell r="Q3428" t="str">
            <v>D</v>
          </cell>
        </row>
        <row r="3429">
          <cell r="A3429">
            <v>50141403</v>
          </cell>
          <cell r="B3429">
            <v>3427</v>
          </cell>
          <cell r="C3429" t="str">
            <v>OW01/1</v>
          </cell>
          <cell r="D3429" t="str">
            <v>SPCC-SD</v>
          </cell>
          <cell r="E3429" t="str">
            <v>AG1</v>
          </cell>
          <cell r="F3429">
            <v>1.2</v>
          </cell>
          <cell r="G3429">
            <v>1219</v>
          </cell>
          <cell r="H3429">
            <v>1800</v>
          </cell>
          <cell r="I3429">
            <v>5</v>
          </cell>
          <cell r="J3429" t="str">
            <v>STORE</v>
          </cell>
          <cell r="K3429">
            <v>70</v>
          </cell>
          <cell r="L3429">
            <v>1452</v>
          </cell>
          <cell r="M3429">
            <v>50141403</v>
          </cell>
          <cell r="N3429" t="str">
            <v>30/8/2006</v>
          </cell>
          <cell r="O3429" t="str">
            <v>126510TCD016</v>
          </cell>
          <cell r="P3429" t="str">
            <v>5N6830D3RQQQQ01</v>
          </cell>
          <cell r="Q3429" t="str">
            <v>D</v>
          </cell>
        </row>
        <row r="3430">
          <cell r="A3430">
            <v>50141404</v>
          </cell>
          <cell r="B3430">
            <v>3428</v>
          </cell>
          <cell r="C3430" t="str">
            <v>OW01/1</v>
          </cell>
          <cell r="D3430" t="str">
            <v>SPCC-SD</v>
          </cell>
          <cell r="E3430" t="str">
            <v>AG1</v>
          </cell>
          <cell r="F3430">
            <v>1.2</v>
          </cell>
          <cell r="G3430">
            <v>1219</v>
          </cell>
          <cell r="H3430">
            <v>1800</v>
          </cell>
          <cell r="I3430">
            <v>5</v>
          </cell>
          <cell r="J3430" t="str">
            <v>STORE</v>
          </cell>
          <cell r="K3430">
            <v>70</v>
          </cell>
          <cell r="L3430">
            <v>1452</v>
          </cell>
          <cell r="M3430">
            <v>50141404</v>
          </cell>
          <cell r="N3430" t="str">
            <v>30/8/2006</v>
          </cell>
          <cell r="O3430" t="str">
            <v>126425TCD018</v>
          </cell>
          <cell r="P3430" t="str">
            <v>5N6830D3RQQQQ02</v>
          </cell>
          <cell r="Q3430" t="str">
            <v>D</v>
          </cell>
        </row>
        <row r="3431">
          <cell r="A3431">
            <v>50141405</v>
          </cell>
          <cell r="B3431">
            <v>3429</v>
          </cell>
          <cell r="C3431" t="str">
            <v>OW01/1</v>
          </cell>
          <cell r="D3431" t="str">
            <v>SPCC-SD</v>
          </cell>
          <cell r="E3431" t="str">
            <v>AG1</v>
          </cell>
          <cell r="F3431">
            <v>1.2</v>
          </cell>
          <cell r="G3431">
            <v>1219</v>
          </cell>
          <cell r="H3431">
            <v>1800</v>
          </cell>
          <cell r="I3431">
            <v>5</v>
          </cell>
          <cell r="J3431" t="str">
            <v>STORE</v>
          </cell>
          <cell r="K3431">
            <v>70</v>
          </cell>
          <cell r="L3431">
            <v>1452</v>
          </cell>
          <cell r="M3431">
            <v>50141405</v>
          </cell>
          <cell r="N3431" t="str">
            <v>30/8/2006</v>
          </cell>
          <cell r="P3431" t="str">
            <v>5N6830D3RQQQQ03</v>
          </cell>
          <cell r="Q3431" t="str">
            <v>D</v>
          </cell>
        </row>
        <row r="3432">
          <cell r="A3432">
            <v>50141406</v>
          </cell>
          <cell r="B3432">
            <v>3430</v>
          </cell>
          <cell r="C3432" t="str">
            <v>OW01/1</v>
          </cell>
          <cell r="D3432" t="str">
            <v>SPCC-SD</v>
          </cell>
          <cell r="E3432" t="str">
            <v>AG1</v>
          </cell>
          <cell r="F3432">
            <v>1.2</v>
          </cell>
          <cell r="G3432">
            <v>1219</v>
          </cell>
          <cell r="H3432">
            <v>1800</v>
          </cell>
          <cell r="I3432">
            <v>5</v>
          </cell>
          <cell r="J3432" t="str">
            <v>STORE</v>
          </cell>
          <cell r="K3432">
            <v>70</v>
          </cell>
          <cell r="L3432">
            <v>1452</v>
          </cell>
          <cell r="M3432">
            <v>50141406</v>
          </cell>
          <cell r="N3432" t="str">
            <v>30/8/2006</v>
          </cell>
          <cell r="P3432" t="str">
            <v>5N6830D3RQQQQ04</v>
          </cell>
          <cell r="Q3432" t="str">
            <v>D</v>
          </cell>
        </row>
        <row r="3433">
          <cell r="A3433">
            <v>50141407</v>
          </cell>
          <cell r="B3433">
            <v>3431</v>
          </cell>
          <cell r="C3433" t="str">
            <v>OW01/1</v>
          </cell>
          <cell r="D3433" t="str">
            <v>SPCC-SD</v>
          </cell>
          <cell r="E3433" t="str">
            <v>AG1</v>
          </cell>
          <cell r="F3433">
            <v>1.2</v>
          </cell>
          <cell r="G3433">
            <v>1219</v>
          </cell>
          <cell r="H3433">
            <v>1800</v>
          </cell>
          <cell r="I3433">
            <v>5</v>
          </cell>
          <cell r="J3433" t="str">
            <v>STORE</v>
          </cell>
          <cell r="K3433">
            <v>70</v>
          </cell>
          <cell r="L3433">
            <v>1452</v>
          </cell>
          <cell r="M3433">
            <v>50141407</v>
          </cell>
          <cell r="N3433" t="str">
            <v>30/8/2006</v>
          </cell>
          <cell r="P3433" t="str">
            <v>5N6830D3RQQQQ05</v>
          </cell>
          <cell r="Q3433" t="str">
            <v>D</v>
          </cell>
        </row>
        <row r="3434">
          <cell r="A3434">
            <v>50141408</v>
          </cell>
          <cell r="B3434">
            <v>3432</v>
          </cell>
          <cell r="C3434" t="str">
            <v>OW01/1</v>
          </cell>
          <cell r="D3434" t="str">
            <v>SPCC-SD</v>
          </cell>
          <cell r="E3434" t="str">
            <v>AG1</v>
          </cell>
          <cell r="F3434">
            <v>1.2</v>
          </cell>
          <cell r="G3434">
            <v>1219</v>
          </cell>
          <cell r="H3434">
            <v>1800</v>
          </cell>
          <cell r="I3434">
            <v>5</v>
          </cell>
          <cell r="J3434" t="str">
            <v>STORE</v>
          </cell>
          <cell r="K3434">
            <v>44</v>
          </cell>
          <cell r="L3434">
            <v>913</v>
          </cell>
          <cell r="M3434">
            <v>50141408</v>
          </cell>
          <cell r="N3434" t="str">
            <v>30/8/2006</v>
          </cell>
          <cell r="P3434" t="str">
            <v>5N6830D3RQQQQ06</v>
          </cell>
          <cell r="Q3434" t="str">
            <v>D</v>
          </cell>
        </row>
        <row r="3435">
          <cell r="A3435">
            <v>50120335</v>
          </cell>
          <cell r="B3435">
            <v>3433</v>
          </cell>
          <cell r="C3435" t="str">
            <v>OW01/1</v>
          </cell>
          <cell r="D3435" t="str">
            <v>SPCC-SD</v>
          </cell>
          <cell r="E3435" t="str">
            <v>AG1</v>
          </cell>
          <cell r="F3435">
            <v>1.6</v>
          </cell>
          <cell r="G3435">
            <v>769</v>
          </cell>
          <cell r="H3435">
            <v>1219</v>
          </cell>
          <cell r="I3435">
            <v>5</v>
          </cell>
          <cell r="J3435" t="str">
            <v>STORE</v>
          </cell>
          <cell r="K3435">
            <v>115</v>
          </cell>
          <cell r="L3435">
            <v>1346</v>
          </cell>
          <cell r="M3435">
            <v>50120335</v>
          </cell>
          <cell r="N3435">
            <v>38779</v>
          </cell>
          <cell r="P3435" t="str">
            <v>5N6303D1L796301</v>
          </cell>
          <cell r="Q3435">
            <v>2</v>
          </cell>
        </row>
        <row r="3436">
          <cell r="A3436">
            <v>50120357</v>
          </cell>
          <cell r="B3436">
            <v>3434</v>
          </cell>
          <cell r="C3436" t="str">
            <v>OW01/1</v>
          </cell>
          <cell r="D3436" t="str">
            <v>SPCC-SD</v>
          </cell>
          <cell r="E3436" t="str">
            <v>AG1</v>
          </cell>
          <cell r="F3436">
            <v>1.6</v>
          </cell>
          <cell r="G3436">
            <v>769</v>
          </cell>
          <cell r="H3436">
            <v>1219</v>
          </cell>
          <cell r="I3436">
            <v>5</v>
          </cell>
          <cell r="J3436" t="str">
            <v>STORE</v>
          </cell>
          <cell r="K3436">
            <v>114</v>
          </cell>
          <cell r="L3436">
            <v>1332</v>
          </cell>
          <cell r="M3436">
            <v>50120357</v>
          </cell>
          <cell r="N3436">
            <v>38779</v>
          </cell>
          <cell r="P3436" t="str">
            <v>5N6303D1L796302</v>
          </cell>
          <cell r="Q3436">
            <v>1</v>
          </cell>
        </row>
        <row r="3437">
          <cell r="A3437">
            <v>50137009</v>
          </cell>
          <cell r="B3437">
            <v>3435</v>
          </cell>
          <cell r="C3437" t="str">
            <v>OW01/1</v>
          </cell>
          <cell r="D3437" t="str">
            <v>SPCC-SD</v>
          </cell>
          <cell r="E3437" t="str">
            <v>AG1</v>
          </cell>
          <cell r="F3437">
            <v>1.6</v>
          </cell>
          <cell r="G3437">
            <v>769</v>
          </cell>
          <cell r="H3437">
            <v>1219</v>
          </cell>
          <cell r="I3437">
            <v>5</v>
          </cell>
          <cell r="J3437" t="str">
            <v>STORE</v>
          </cell>
          <cell r="K3437">
            <v>119</v>
          </cell>
          <cell r="L3437">
            <v>1403</v>
          </cell>
          <cell r="M3437">
            <v>50137009</v>
          </cell>
          <cell r="N3437" t="str">
            <v>18/7/2006</v>
          </cell>
          <cell r="P3437" t="str">
            <v>5N6718N1L210603</v>
          </cell>
          <cell r="Q3437" t="str">
            <v>D</v>
          </cell>
        </row>
        <row r="3438">
          <cell r="A3438">
            <v>50137026</v>
          </cell>
          <cell r="B3438">
            <v>3436</v>
          </cell>
          <cell r="C3438" t="str">
            <v>OW01/1</v>
          </cell>
          <cell r="D3438" t="str">
            <v>SPCC-SD</v>
          </cell>
          <cell r="E3438" t="str">
            <v>AG1</v>
          </cell>
          <cell r="F3438">
            <v>1.6</v>
          </cell>
          <cell r="G3438">
            <v>769</v>
          </cell>
          <cell r="H3438">
            <v>1219</v>
          </cell>
          <cell r="I3438">
            <v>5</v>
          </cell>
          <cell r="J3438" t="str">
            <v>STORE</v>
          </cell>
          <cell r="K3438">
            <v>90</v>
          </cell>
          <cell r="L3438">
            <v>1064</v>
          </cell>
          <cell r="M3438">
            <v>50137026</v>
          </cell>
          <cell r="N3438" t="str">
            <v>19/7/2006</v>
          </cell>
          <cell r="P3438" t="str">
            <v>5N6719N1L210604</v>
          </cell>
          <cell r="Q3438" t="str">
            <v>D</v>
          </cell>
        </row>
        <row r="3439">
          <cell r="A3439">
            <v>50137031</v>
          </cell>
          <cell r="B3439">
            <v>3437</v>
          </cell>
          <cell r="C3439" t="str">
            <v>OW01/1</v>
          </cell>
          <cell r="D3439" t="str">
            <v>SPCC-SD</v>
          </cell>
          <cell r="E3439" t="str">
            <v>AG1</v>
          </cell>
          <cell r="F3439">
            <v>1.6</v>
          </cell>
          <cell r="G3439">
            <v>769</v>
          </cell>
          <cell r="H3439">
            <v>1219</v>
          </cell>
          <cell r="I3439">
            <v>5</v>
          </cell>
          <cell r="J3439" t="str">
            <v>STORE</v>
          </cell>
          <cell r="K3439">
            <v>120</v>
          </cell>
          <cell r="L3439">
            <v>1414</v>
          </cell>
          <cell r="M3439">
            <v>50137031</v>
          </cell>
          <cell r="N3439" t="str">
            <v>19/7/2006</v>
          </cell>
          <cell r="P3439" t="str">
            <v>5N6719N1L210605</v>
          </cell>
          <cell r="Q3439">
            <v>2</v>
          </cell>
        </row>
        <row r="3440">
          <cell r="A3440">
            <v>50125077</v>
          </cell>
          <cell r="B3440">
            <v>3438</v>
          </cell>
          <cell r="C3440" t="str">
            <v>OW01/1</v>
          </cell>
          <cell r="D3440" t="str">
            <v>SPCC-SD</v>
          </cell>
          <cell r="E3440" t="str">
            <v>AG1</v>
          </cell>
          <cell r="F3440">
            <v>1.6</v>
          </cell>
          <cell r="G3440">
            <v>800</v>
          </cell>
          <cell r="H3440">
            <v>1219</v>
          </cell>
          <cell r="I3440">
            <v>5</v>
          </cell>
          <cell r="J3440" t="str">
            <v>STORE</v>
          </cell>
          <cell r="K3440">
            <v>175</v>
          </cell>
          <cell r="L3440">
            <v>2143</v>
          </cell>
          <cell r="M3440">
            <v>50125077</v>
          </cell>
          <cell r="N3440" t="str">
            <v>31/3/2006</v>
          </cell>
          <cell r="P3440" t="str">
            <v>5N6331D1L903301</v>
          </cell>
          <cell r="Q3440">
            <v>2</v>
          </cell>
        </row>
        <row r="3441">
          <cell r="A3441">
            <v>50125087</v>
          </cell>
          <cell r="B3441">
            <v>3439</v>
          </cell>
          <cell r="C3441" t="str">
            <v>OW01/1</v>
          </cell>
          <cell r="D3441" t="str">
            <v>SPCC-SD</v>
          </cell>
          <cell r="E3441" t="str">
            <v>AG1</v>
          </cell>
          <cell r="F3441">
            <v>1.6</v>
          </cell>
          <cell r="G3441">
            <v>800</v>
          </cell>
          <cell r="H3441">
            <v>1219</v>
          </cell>
          <cell r="I3441">
            <v>5</v>
          </cell>
          <cell r="J3441" t="str">
            <v>STORE</v>
          </cell>
          <cell r="K3441">
            <v>78</v>
          </cell>
          <cell r="L3441">
            <v>957</v>
          </cell>
          <cell r="M3441">
            <v>50125087</v>
          </cell>
          <cell r="N3441" t="str">
            <v>31/3/2006</v>
          </cell>
          <cell r="P3441" t="str">
            <v>5N6331D1L903302</v>
          </cell>
          <cell r="Q3441">
            <v>2</v>
          </cell>
        </row>
        <row r="3442">
          <cell r="A3442">
            <v>50126158</v>
          </cell>
          <cell r="B3442">
            <v>3440</v>
          </cell>
          <cell r="C3442" t="str">
            <v>OW01/1</v>
          </cell>
          <cell r="D3442" t="str">
            <v>SPCC-SD</v>
          </cell>
          <cell r="E3442" t="str">
            <v>AG1</v>
          </cell>
          <cell r="F3442">
            <v>1.6</v>
          </cell>
          <cell r="G3442">
            <v>800</v>
          </cell>
          <cell r="H3442">
            <v>1219</v>
          </cell>
          <cell r="I3442">
            <v>5</v>
          </cell>
          <cell r="J3442" t="str">
            <v>STORE</v>
          </cell>
          <cell r="K3442">
            <v>113</v>
          </cell>
          <cell r="L3442">
            <v>1387</v>
          </cell>
          <cell r="M3442">
            <v>50126158</v>
          </cell>
          <cell r="N3442" t="str">
            <v>17/4/2006</v>
          </cell>
          <cell r="P3442" t="str">
            <v>5N6417D1L921503</v>
          </cell>
          <cell r="Q3442" t="str">
            <v>D</v>
          </cell>
        </row>
        <row r="3443">
          <cell r="A3443">
            <v>50125164</v>
          </cell>
          <cell r="B3443">
            <v>3441</v>
          </cell>
          <cell r="C3443" t="str">
            <v>OW01/1</v>
          </cell>
          <cell r="D3443" t="str">
            <v>SPCC-SD</v>
          </cell>
          <cell r="E3443" t="str">
            <v>AG1</v>
          </cell>
          <cell r="F3443">
            <v>1.6</v>
          </cell>
          <cell r="G3443">
            <v>900</v>
          </cell>
          <cell r="H3443">
            <v>1219</v>
          </cell>
          <cell r="I3443">
            <v>5</v>
          </cell>
          <cell r="J3443" t="str">
            <v>STORE</v>
          </cell>
          <cell r="K3443">
            <v>65</v>
          </cell>
          <cell r="L3443">
            <v>902</v>
          </cell>
          <cell r="M3443">
            <v>50125164</v>
          </cell>
          <cell r="N3443">
            <v>38721</v>
          </cell>
          <cell r="P3443" t="str">
            <v>5N6401N1L901901</v>
          </cell>
          <cell r="Q3443">
            <v>1</v>
          </cell>
        </row>
        <row r="3444">
          <cell r="A3444">
            <v>50125261</v>
          </cell>
          <cell r="B3444">
            <v>3442</v>
          </cell>
          <cell r="C3444" t="str">
            <v>OW01/1</v>
          </cell>
          <cell r="D3444" t="str">
            <v>SPCC-SD</v>
          </cell>
          <cell r="E3444" t="str">
            <v>AG1</v>
          </cell>
          <cell r="F3444">
            <v>1.6</v>
          </cell>
          <cell r="G3444">
            <v>900</v>
          </cell>
          <cell r="H3444">
            <v>1219</v>
          </cell>
          <cell r="I3444">
            <v>5</v>
          </cell>
          <cell r="J3444" t="str">
            <v>STORE</v>
          </cell>
          <cell r="K3444">
            <v>57</v>
          </cell>
          <cell r="L3444">
            <v>790</v>
          </cell>
          <cell r="M3444">
            <v>50125261</v>
          </cell>
          <cell r="N3444">
            <v>38752</v>
          </cell>
          <cell r="P3444" t="str">
            <v>5N6401N1L901902</v>
          </cell>
          <cell r="Q3444">
            <v>1</v>
          </cell>
        </row>
        <row r="3445">
          <cell r="A3445">
            <v>50125277</v>
          </cell>
          <cell r="B3445">
            <v>3443</v>
          </cell>
          <cell r="C3445" t="str">
            <v>OW01/1</v>
          </cell>
          <cell r="D3445" t="str">
            <v>SPCC-SD</v>
          </cell>
          <cell r="E3445" t="str">
            <v>AG1</v>
          </cell>
          <cell r="F3445">
            <v>1.6</v>
          </cell>
          <cell r="G3445">
            <v>900</v>
          </cell>
          <cell r="H3445">
            <v>1219</v>
          </cell>
          <cell r="I3445">
            <v>5</v>
          </cell>
          <cell r="J3445" t="str">
            <v>STORE</v>
          </cell>
          <cell r="K3445">
            <v>53</v>
          </cell>
          <cell r="L3445">
            <v>733</v>
          </cell>
          <cell r="M3445">
            <v>50125277</v>
          </cell>
          <cell r="N3445">
            <v>38752</v>
          </cell>
          <cell r="P3445" t="str">
            <v>5N6401N1L901903</v>
          </cell>
          <cell r="Q3445">
            <v>1</v>
          </cell>
        </row>
        <row r="3446">
          <cell r="A3446">
            <v>50125254</v>
          </cell>
          <cell r="B3446">
            <v>3444</v>
          </cell>
          <cell r="C3446" t="str">
            <v>OW01/1</v>
          </cell>
          <cell r="D3446" t="str">
            <v>SPCC-SD</v>
          </cell>
          <cell r="E3446" t="str">
            <v>AG1</v>
          </cell>
          <cell r="F3446">
            <v>1.6</v>
          </cell>
          <cell r="G3446">
            <v>1000</v>
          </cell>
          <cell r="H3446">
            <v>1219</v>
          </cell>
          <cell r="I3446">
            <v>5</v>
          </cell>
          <cell r="J3446" t="str">
            <v>STORE</v>
          </cell>
          <cell r="K3446">
            <v>98</v>
          </cell>
          <cell r="L3446">
            <v>1511</v>
          </cell>
          <cell r="M3446">
            <v>50125254</v>
          </cell>
          <cell r="N3446">
            <v>38752</v>
          </cell>
          <cell r="O3446" t="str">
            <v>126329TCD002</v>
          </cell>
          <cell r="P3446" t="str">
            <v>5N6402N1L903801</v>
          </cell>
          <cell r="Q3446">
            <v>2</v>
          </cell>
        </row>
        <row r="3447">
          <cell r="A3447">
            <v>50139150</v>
          </cell>
          <cell r="B3447">
            <v>3445</v>
          </cell>
          <cell r="C3447" t="str">
            <v>OW01/1</v>
          </cell>
          <cell r="D3447" t="str">
            <v>SPCC-SD</v>
          </cell>
          <cell r="E3447" t="str">
            <v>AG1</v>
          </cell>
          <cell r="F3447">
            <v>1.6</v>
          </cell>
          <cell r="G3447">
            <v>1050</v>
          </cell>
          <cell r="H3447">
            <v>1219</v>
          </cell>
          <cell r="I3447">
            <v>5</v>
          </cell>
          <cell r="J3447" t="str">
            <v>STORE</v>
          </cell>
          <cell r="K3447">
            <v>85</v>
          </cell>
          <cell r="L3447">
            <v>1367</v>
          </cell>
          <cell r="M3447">
            <v>50139150</v>
          </cell>
          <cell r="N3447">
            <v>38815</v>
          </cell>
          <cell r="P3447" t="str">
            <v>5N6804D1L267301</v>
          </cell>
          <cell r="Q3447">
            <v>2</v>
          </cell>
        </row>
        <row r="3448">
          <cell r="A3448">
            <v>50141673</v>
          </cell>
          <cell r="B3448">
            <v>3446</v>
          </cell>
          <cell r="C3448" t="str">
            <v>OW01/1</v>
          </cell>
          <cell r="D3448" t="str">
            <v>SPHC-P/O</v>
          </cell>
          <cell r="E3448" t="str">
            <v>CA1</v>
          </cell>
          <cell r="F3448">
            <v>2</v>
          </cell>
          <cell r="G3448">
            <v>335</v>
          </cell>
          <cell r="H3448">
            <v>400</v>
          </cell>
          <cell r="I3448">
            <v>5</v>
          </cell>
          <cell r="J3448" t="str">
            <v>STORE</v>
          </cell>
          <cell r="K3448">
            <v>257</v>
          </cell>
          <cell r="L3448">
            <v>540</v>
          </cell>
          <cell r="M3448">
            <v>50141673</v>
          </cell>
          <cell r="N3448">
            <v>38757</v>
          </cell>
          <cell r="P3448" t="str">
            <v>5N6902D3D338301</v>
          </cell>
          <cell r="Q3448" t="str">
            <v>D</v>
          </cell>
        </row>
        <row r="3449">
          <cell r="A3449">
            <v>50082440</v>
          </cell>
          <cell r="B3449">
            <v>3447</v>
          </cell>
          <cell r="C3449" t="str">
            <v>OW01/1</v>
          </cell>
          <cell r="D3449" t="str">
            <v>SPHC-P/O</v>
          </cell>
          <cell r="E3449" t="str">
            <v>CA1</v>
          </cell>
          <cell r="F3449">
            <v>4</v>
          </cell>
          <cell r="G3449">
            <v>223</v>
          </cell>
          <cell r="H3449">
            <v>413</v>
          </cell>
          <cell r="I3449">
            <v>5</v>
          </cell>
          <cell r="J3449" t="str">
            <v>STORE</v>
          </cell>
          <cell r="K3449">
            <v>150</v>
          </cell>
          <cell r="L3449">
            <v>434</v>
          </cell>
          <cell r="M3449">
            <v>50082440</v>
          </cell>
          <cell r="N3449">
            <v>38661</v>
          </cell>
          <cell r="P3449" t="str">
            <v>5N5511D2M977501</v>
          </cell>
          <cell r="Q3449" t="str">
            <v>D</v>
          </cell>
        </row>
        <row r="3450">
          <cell r="A3450">
            <v>50082441</v>
          </cell>
          <cell r="B3450">
            <v>3448</v>
          </cell>
          <cell r="C3450" t="str">
            <v>OW01/1</v>
          </cell>
          <cell r="D3450" t="str">
            <v>SPHC-P/O</v>
          </cell>
          <cell r="E3450" t="str">
            <v>CA1</v>
          </cell>
          <cell r="F3450">
            <v>4</v>
          </cell>
          <cell r="G3450">
            <v>223</v>
          </cell>
          <cell r="H3450">
            <v>413</v>
          </cell>
          <cell r="I3450">
            <v>5</v>
          </cell>
          <cell r="J3450" t="str">
            <v>STORE</v>
          </cell>
          <cell r="K3450">
            <v>150</v>
          </cell>
          <cell r="L3450">
            <v>434</v>
          </cell>
          <cell r="M3450">
            <v>50082441</v>
          </cell>
          <cell r="N3450">
            <v>38661</v>
          </cell>
          <cell r="P3450" t="str">
            <v>5N5511D2M977502</v>
          </cell>
          <cell r="Q3450" t="str">
            <v>D</v>
          </cell>
        </row>
        <row r="3451">
          <cell r="A3451">
            <v>50082442</v>
          </cell>
          <cell r="B3451">
            <v>3449</v>
          </cell>
          <cell r="C3451" t="str">
            <v>OW01/1</v>
          </cell>
          <cell r="D3451" t="str">
            <v>SPHC-P/O</v>
          </cell>
          <cell r="E3451" t="str">
            <v>CA1</v>
          </cell>
          <cell r="F3451">
            <v>4</v>
          </cell>
          <cell r="G3451">
            <v>223</v>
          </cell>
          <cell r="H3451">
            <v>413</v>
          </cell>
          <cell r="I3451">
            <v>5</v>
          </cell>
          <cell r="J3451" t="str">
            <v>STORE</v>
          </cell>
          <cell r="K3451">
            <v>150</v>
          </cell>
          <cell r="L3451">
            <v>434</v>
          </cell>
          <cell r="M3451">
            <v>50082442</v>
          </cell>
          <cell r="N3451">
            <v>38661</v>
          </cell>
          <cell r="P3451" t="str">
            <v>5N5511D2M977503</v>
          </cell>
          <cell r="Q3451" t="str">
            <v>D</v>
          </cell>
        </row>
        <row r="3452">
          <cell r="A3452">
            <v>50082485</v>
          </cell>
          <cell r="B3452">
            <v>3450</v>
          </cell>
          <cell r="C3452" t="str">
            <v>OW01/1</v>
          </cell>
          <cell r="D3452" t="str">
            <v>SPHC-P/O</v>
          </cell>
          <cell r="E3452" t="str">
            <v>CA1</v>
          </cell>
          <cell r="F3452">
            <v>4</v>
          </cell>
          <cell r="G3452">
            <v>223</v>
          </cell>
          <cell r="H3452">
            <v>413</v>
          </cell>
          <cell r="I3452">
            <v>5</v>
          </cell>
          <cell r="J3452" t="str">
            <v>STORE</v>
          </cell>
          <cell r="K3452">
            <v>150</v>
          </cell>
          <cell r="L3452">
            <v>434</v>
          </cell>
          <cell r="M3452">
            <v>50082485</v>
          </cell>
          <cell r="N3452">
            <v>38661</v>
          </cell>
          <cell r="P3452" t="str">
            <v>5N5511D2M977504</v>
          </cell>
          <cell r="Q3452" t="str">
            <v>D</v>
          </cell>
        </row>
        <row r="3453">
          <cell r="A3453">
            <v>50082486</v>
          </cell>
          <cell r="B3453">
            <v>3451</v>
          </cell>
          <cell r="C3453" t="str">
            <v>OW01/1</v>
          </cell>
          <cell r="D3453" t="str">
            <v>SPHC-P/O</v>
          </cell>
          <cell r="E3453" t="str">
            <v>CA1</v>
          </cell>
          <cell r="F3453">
            <v>4</v>
          </cell>
          <cell r="G3453">
            <v>223</v>
          </cell>
          <cell r="H3453">
            <v>413</v>
          </cell>
          <cell r="I3453">
            <v>5</v>
          </cell>
          <cell r="J3453" t="str">
            <v>STORE</v>
          </cell>
          <cell r="K3453">
            <v>27</v>
          </cell>
          <cell r="L3453">
            <v>78</v>
          </cell>
          <cell r="M3453">
            <v>50082486</v>
          </cell>
          <cell r="N3453">
            <v>38661</v>
          </cell>
          <cell r="P3453" t="str">
            <v>5N5511D2M977505</v>
          </cell>
          <cell r="Q3453" t="str">
            <v>D</v>
          </cell>
        </row>
        <row r="3454">
          <cell r="A3454">
            <v>50083433</v>
          </cell>
          <cell r="B3454">
            <v>3452</v>
          </cell>
          <cell r="C3454" t="str">
            <v>OW01/1</v>
          </cell>
          <cell r="D3454" t="str">
            <v>SPHC-P/O</v>
          </cell>
          <cell r="E3454" t="str">
            <v>CA1</v>
          </cell>
          <cell r="F3454">
            <v>4</v>
          </cell>
          <cell r="G3454">
            <v>223</v>
          </cell>
          <cell r="H3454">
            <v>413</v>
          </cell>
          <cell r="I3454">
            <v>5</v>
          </cell>
          <cell r="J3454" t="str">
            <v>STORE</v>
          </cell>
          <cell r="K3454">
            <v>98</v>
          </cell>
          <cell r="L3454">
            <v>283</v>
          </cell>
          <cell r="M3454">
            <v>50083433</v>
          </cell>
          <cell r="N3454" t="str">
            <v>16/5/2005</v>
          </cell>
          <cell r="P3454" t="str">
            <v>5N5516N2M947506</v>
          </cell>
          <cell r="Q3454" t="str">
            <v>D</v>
          </cell>
        </row>
        <row r="3455">
          <cell r="A3455">
            <v>50141884</v>
          </cell>
          <cell r="B3455">
            <v>3453</v>
          </cell>
          <cell r="C3455" t="str">
            <v>OW01/1</v>
          </cell>
          <cell r="D3455" t="str">
            <v>SPHC-P/O</v>
          </cell>
          <cell r="E3455" t="str">
            <v>CA1</v>
          </cell>
          <cell r="F3455">
            <v>4</v>
          </cell>
          <cell r="G3455">
            <v>223</v>
          </cell>
          <cell r="H3455">
            <v>413</v>
          </cell>
          <cell r="I3455">
            <v>5</v>
          </cell>
          <cell r="J3455" t="str">
            <v>STORE</v>
          </cell>
          <cell r="K3455">
            <v>90</v>
          </cell>
          <cell r="L3455">
            <v>260</v>
          </cell>
          <cell r="M3455">
            <v>50141884</v>
          </cell>
          <cell r="N3455">
            <v>38846</v>
          </cell>
          <cell r="P3455" t="str">
            <v>5N6905N3RQQQQ07</v>
          </cell>
          <cell r="Q3455" t="str">
            <v>D</v>
          </cell>
        </row>
        <row r="3456">
          <cell r="A3456">
            <v>50134393</v>
          </cell>
          <cell r="B3456">
            <v>3454</v>
          </cell>
          <cell r="C3456" t="str">
            <v>OW01/1</v>
          </cell>
          <cell r="D3456" t="str">
            <v>SAPH440</v>
          </cell>
          <cell r="E3456" t="str">
            <v>CA5</v>
          </cell>
          <cell r="F3456">
            <v>2</v>
          </cell>
          <cell r="G3456">
            <v>1219</v>
          </cell>
          <cell r="H3456">
            <v>1240</v>
          </cell>
          <cell r="I3456">
            <v>5</v>
          </cell>
          <cell r="J3456" t="str">
            <v>STORE</v>
          </cell>
          <cell r="K3456">
            <v>43</v>
          </cell>
          <cell r="L3456">
            <v>1030</v>
          </cell>
          <cell r="M3456">
            <v>50134393</v>
          </cell>
          <cell r="N3456" t="str">
            <v>24/6/2006</v>
          </cell>
          <cell r="P3456" t="str">
            <v>5N6624D2L140001</v>
          </cell>
          <cell r="Q3456">
            <v>2</v>
          </cell>
        </row>
        <row r="3457">
          <cell r="A3457">
            <v>50135319</v>
          </cell>
          <cell r="B3457">
            <v>3455</v>
          </cell>
          <cell r="C3457" t="str">
            <v>OW01/1</v>
          </cell>
          <cell r="D3457" t="str">
            <v>EG-SECC</v>
          </cell>
          <cell r="E3457" t="str">
            <v>AI1</v>
          </cell>
          <cell r="F3457">
            <v>0.7</v>
          </cell>
          <cell r="G3457">
            <v>629</v>
          </cell>
          <cell r="H3457">
            <v>1219</v>
          </cell>
          <cell r="I3457">
            <v>5</v>
          </cell>
          <cell r="J3457" t="str">
            <v>STORE</v>
          </cell>
          <cell r="K3457">
            <v>350</v>
          </cell>
          <cell r="L3457">
            <v>1493</v>
          </cell>
          <cell r="M3457">
            <v>50135319</v>
          </cell>
          <cell r="N3457">
            <v>38783</v>
          </cell>
          <cell r="P3457" t="str">
            <v>5N6703D2RBBBB01</v>
          </cell>
          <cell r="Q3457">
            <v>1</v>
          </cell>
        </row>
        <row r="3458">
          <cell r="A3458">
            <v>60049041</v>
          </cell>
          <cell r="B3458">
            <v>3456</v>
          </cell>
          <cell r="C3458" t="str">
            <v>CS01/11</v>
          </cell>
          <cell r="D3458" t="str">
            <v>SPCC-SD</v>
          </cell>
          <cell r="E3458" t="str">
            <v>AF1</v>
          </cell>
          <cell r="F3458">
            <v>0.5</v>
          </cell>
          <cell r="G3458">
            <v>85</v>
          </cell>
          <cell r="H3458" t="str">
            <v>C</v>
          </cell>
          <cell r="I3458" t="str">
            <v>A</v>
          </cell>
          <cell r="K3458">
            <v>1</v>
          </cell>
          <cell r="L3458">
            <v>546</v>
          </cell>
          <cell r="M3458">
            <v>60049041</v>
          </cell>
          <cell r="N3458">
            <v>38869</v>
          </cell>
          <cell r="P3458" t="str">
            <v>IN6106D1S621201</v>
          </cell>
        </row>
        <row r="3459">
          <cell r="A3459">
            <v>60049042</v>
          </cell>
          <cell r="B3459">
            <v>3457</v>
          </cell>
          <cell r="C3459" t="str">
            <v>CS01/11</v>
          </cell>
          <cell r="D3459" t="str">
            <v>SPCC-SD</v>
          </cell>
          <cell r="E3459" t="str">
            <v>AF1</v>
          </cell>
          <cell r="F3459">
            <v>0.5</v>
          </cell>
          <cell r="G3459">
            <v>85</v>
          </cell>
          <cell r="H3459" t="str">
            <v>C</v>
          </cell>
          <cell r="I3459" t="str">
            <v>A</v>
          </cell>
          <cell r="K3459">
            <v>1</v>
          </cell>
          <cell r="L3459">
            <v>542</v>
          </cell>
          <cell r="M3459">
            <v>60049042</v>
          </cell>
          <cell r="N3459">
            <v>38869</v>
          </cell>
          <cell r="P3459" t="str">
            <v>IN6106D1S621202</v>
          </cell>
        </row>
        <row r="3460">
          <cell r="A3460">
            <v>60063970</v>
          </cell>
          <cell r="B3460">
            <v>3458</v>
          </cell>
          <cell r="C3460" t="str">
            <v>CS01/11</v>
          </cell>
          <cell r="D3460" t="str">
            <v>SPCC-SD</v>
          </cell>
          <cell r="E3460" t="str">
            <v>AF1</v>
          </cell>
          <cell r="F3460">
            <v>0.5</v>
          </cell>
          <cell r="G3460">
            <v>120</v>
          </cell>
          <cell r="H3460" t="str">
            <v>C</v>
          </cell>
          <cell r="I3460" t="str">
            <v>A</v>
          </cell>
          <cell r="K3460">
            <v>1</v>
          </cell>
          <cell r="L3460">
            <v>186</v>
          </cell>
          <cell r="M3460">
            <v>60063970</v>
          </cell>
          <cell r="N3460" t="str">
            <v>20/7/2006</v>
          </cell>
          <cell r="P3460" t="str">
            <v>IN6720D1S222601</v>
          </cell>
        </row>
        <row r="3461">
          <cell r="A3461">
            <v>60038140</v>
          </cell>
          <cell r="B3461">
            <v>3459</v>
          </cell>
          <cell r="C3461" t="str">
            <v>CS01/11</v>
          </cell>
          <cell r="D3461" t="str">
            <v>SPCC-SD</v>
          </cell>
          <cell r="E3461" t="str">
            <v>AF1</v>
          </cell>
          <cell r="F3461">
            <v>0.6</v>
          </cell>
          <cell r="G3461">
            <v>44</v>
          </cell>
          <cell r="H3461" t="str">
            <v>C</v>
          </cell>
          <cell r="I3461" t="str">
            <v>A</v>
          </cell>
          <cell r="K3461">
            <v>1</v>
          </cell>
          <cell r="L3461">
            <v>393</v>
          </cell>
          <cell r="M3461">
            <v>60038140</v>
          </cell>
          <cell r="N3461" t="str">
            <v>28/7/2005</v>
          </cell>
          <cell r="P3461" t="str">
            <v>IN5728N1S161201</v>
          </cell>
        </row>
        <row r="3462">
          <cell r="A3462">
            <v>60043750</v>
          </cell>
          <cell r="B3462">
            <v>3460</v>
          </cell>
          <cell r="C3462" t="str">
            <v>CS01/11</v>
          </cell>
          <cell r="D3462" t="str">
            <v>SPCC-SD</v>
          </cell>
          <cell r="E3462" t="str">
            <v>AF1</v>
          </cell>
          <cell r="F3462">
            <v>0.6</v>
          </cell>
          <cell r="G3462">
            <v>52</v>
          </cell>
          <cell r="H3462" t="str">
            <v>C</v>
          </cell>
          <cell r="I3462" t="str">
            <v>A</v>
          </cell>
          <cell r="K3462">
            <v>1</v>
          </cell>
          <cell r="L3462">
            <v>152</v>
          </cell>
          <cell r="M3462">
            <v>60043750</v>
          </cell>
          <cell r="N3462" t="str">
            <v>4/B/2005</v>
          </cell>
          <cell r="P3462" t="str">
            <v>IN5B04D1S445201</v>
          </cell>
        </row>
        <row r="3463">
          <cell r="A3463">
            <v>60043751</v>
          </cell>
          <cell r="B3463">
            <v>3461</v>
          </cell>
          <cell r="C3463" t="str">
            <v>CS01/11</v>
          </cell>
          <cell r="D3463" t="str">
            <v>SPCC-SD</v>
          </cell>
          <cell r="E3463" t="str">
            <v>AF1</v>
          </cell>
          <cell r="F3463">
            <v>0.6</v>
          </cell>
          <cell r="G3463">
            <v>52</v>
          </cell>
          <cell r="H3463" t="str">
            <v>C</v>
          </cell>
          <cell r="I3463" t="str">
            <v>A</v>
          </cell>
          <cell r="K3463">
            <v>1</v>
          </cell>
          <cell r="L3463">
            <v>152</v>
          </cell>
          <cell r="M3463">
            <v>60043751</v>
          </cell>
          <cell r="N3463" t="str">
            <v>4/B/2005</v>
          </cell>
          <cell r="P3463" t="str">
            <v>IN5B04D1S445202</v>
          </cell>
        </row>
        <row r="3464">
          <cell r="A3464">
            <v>60047257</v>
          </cell>
          <cell r="B3464">
            <v>3462</v>
          </cell>
          <cell r="C3464" t="str">
            <v>CS01/11</v>
          </cell>
          <cell r="D3464" t="str">
            <v>SPCC-SD</v>
          </cell>
          <cell r="E3464" t="str">
            <v>AF1</v>
          </cell>
          <cell r="F3464">
            <v>0.6</v>
          </cell>
          <cell r="G3464">
            <v>52</v>
          </cell>
          <cell r="H3464" t="str">
            <v>C</v>
          </cell>
          <cell r="I3464" t="str">
            <v>A</v>
          </cell>
          <cell r="K3464">
            <v>1</v>
          </cell>
          <cell r="L3464">
            <v>138</v>
          </cell>
          <cell r="M3464">
            <v>60047257</v>
          </cell>
          <cell r="N3464" t="str">
            <v>12/C/2005</v>
          </cell>
          <cell r="P3464" t="str">
            <v>IN5C12N1S562401</v>
          </cell>
        </row>
        <row r="3465">
          <cell r="A3465">
            <v>60047556</v>
          </cell>
          <cell r="B3465">
            <v>3463</v>
          </cell>
          <cell r="C3465" t="str">
            <v>CS01/11</v>
          </cell>
          <cell r="D3465" t="str">
            <v>SPCC-SD</v>
          </cell>
          <cell r="E3465" t="str">
            <v>AF1</v>
          </cell>
          <cell r="F3465">
            <v>0.6</v>
          </cell>
          <cell r="G3465">
            <v>52</v>
          </cell>
          <cell r="H3465" t="str">
            <v>C</v>
          </cell>
          <cell r="I3465" t="str">
            <v>A</v>
          </cell>
          <cell r="K3465">
            <v>1</v>
          </cell>
          <cell r="L3465">
            <v>170</v>
          </cell>
          <cell r="M3465">
            <v>60047556</v>
          </cell>
          <cell r="N3465" t="str">
            <v>15/C/2005</v>
          </cell>
          <cell r="P3465" t="str">
            <v>IN5C15N1S563601</v>
          </cell>
        </row>
        <row r="3466">
          <cell r="A3466">
            <v>60049538</v>
          </cell>
          <cell r="B3466">
            <v>3464</v>
          </cell>
          <cell r="C3466" t="str">
            <v>CS01/11</v>
          </cell>
          <cell r="D3466" t="str">
            <v>SPCC-SD</v>
          </cell>
          <cell r="E3466" t="str">
            <v>AF1</v>
          </cell>
          <cell r="F3466">
            <v>0.6</v>
          </cell>
          <cell r="G3466">
            <v>52</v>
          </cell>
          <cell r="H3466" t="str">
            <v>C</v>
          </cell>
          <cell r="I3466" t="str">
            <v>A</v>
          </cell>
          <cell r="K3466">
            <v>1</v>
          </cell>
          <cell r="L3466">
            <v>282</v>
          </cell>
          <cell r="M3466">
            <v>60049538</v>
          </cell>
          <cell r="N3466" t="str">
            <v>14/1/2006</v>
          </cell>
          <cell r="P3466" t="str">
            <v>IN6114D1S641601</v>
          </cell>
        </row>
        <row r="3467">
          <cell r="A3467">
            <v>60050758</v>
          </cell>
          <cell r="B3467">
            <v>3465</v>
          </cell>
          <cell r="C3467" t="str">
            <v>CS01/11</v>
          </cell>
          <cell r="D3467" t="str">
            <v>SPCC-SD</v>
          </cell>
          <cell r="E3467" t="str">
            <v>AF1</v>
          </cell>
          <cell r="F3467">
            <v>0.6</v>
          </cell>
          <cell r="G3467">
            <v>52</v>
          </cell>
          <cell r="H3467" t="str">
            <v>C</v>
          </cell>
          <cell r="I3467" t="str">
            <v>A</v>
          </cell>
          <cell r="K3467">
            <v>1</v>
          </cell>
          <cell r="L3467">
            <v>126</v>
          </cell>
          <cell r="M3467">
            <v>60050758</v>
          </cell>
          <cell r="N3467">
            <v>38719</v>
          </cell>
          <cell r="P3467" t="str">
            <v>IN6201N1S698101</v>
          </cell>
        </row>
        <row r="3468">
          <cell r="A3468">
            <v>60050759</v>
          </cell>
          <cell r="B3468">
            <v>3466</v>
          </cell>
          <cell r="C3468" t="str">
            <v>CS01/11</v>
          </cell>
          <cell r="D3468" t="str">
            <v>SPCC-SD</v>
          </cell>
          <cell r="E3468" t="str">
            <v>AF1</v>
          </cell>
          <cell r="F3468">
            <v>0.6</v>
          </cell>
          <cell r="G3468">
            <v>52</v>
          </cell>
          <cell r="H3468" t="str">
            <v>C</v>
          </cell>
          <cell r="I3468" t="str">
            <v>A</v>
          </cell>
          <cell r="K3468">
            <v>1</v>
          </cell>
          <cell r="L3468">
            <v>126</v>
          </cell>
          <cell r="M3468">
            <v>60050759</v>
          </cell>
          <cell r="N3468">
            <v>38719</v>
          </cell>
          <cell r="P3468" t="str">
            <v>IN6201N1S698102</v>
          </cell>
        </row>
        <row r="3469">
          <cell r="A3469">
            <v>60057701</v>
          </cell>
          <cell r="B3469">
            <v>3467</v>
          </cell>
          <cell r="C3469" t="str">
            <v>CS01/11</v>
          </cell>
          <cell r="D3469" t="str">
            <v>SPCC-SD</v>
          </cell>
          <cell r="E3469" t="str">
            <v>AF1</v>
          </cell>
          <cell r="F3469">
            <v>0.6</v>
          </cell>
          <cell r="G3469">
            <v>52</v>
          </cell>
          <cell r="H3469" t="str">
            <v>C</v>
          </cell>
          <cell r="I3469" t="str">
            <v>A</v>
          </cell>
          <cell r="K3469">
            <v>1</v>
          </cell>
          <cell r="L3469">
            <v>112</v>
          </cell>
          <cell r="M3469">
            <v>60057701</v>
          </cell>
          <cell r="N3469" t="str">
            <v>27/4/2006</v>
          </cell>
          <cell r="P3469" t="str">
            <v>IN6427N1S976001</v>
          </cell>
        </row>
        <row r="3470">
          <cell r="A3470">
            <v>60043749</v>
          </cell>
          <cell r="B3470">
            <v>3468</v>
          </cell>
          <cell r="C3470" t="str">
            <v>CS01/11</v>
          </cell>
          <cell r="D3470" t="str">
            <v>SPCC-SD</v>
          </cell>
          <cell r="E3470" t="str">
            <v>AF1</v>
          </cell>
          <cell r="F3470">
            <v>0.6</v>
          </cell>
          <cell r="G3470">
            <v>83</v>
          </cell>
          <cell r="H3470" t="str">
            <v>C</v>
          </cell>
          <cell r="I3470" t="str">
            <v>A</v>
          </cell>
          <cell r="K3470">
            <v>1</v>
          </cell>
          <cell r="L3470">
            <v>235</v>
          </cell>
          <cell r="M3470">
            <v>60043749</v>
          </cell>
          <cell r="N3470" t="str">
            <v>4/B/2005</v>
          </cell>
          <cell r="P3470" t="str">
            <v>IN5B04D1S445201</v>
          </cell>
        </row>
        <row r="3471">
          <cell r="A3471">
            <v>60044008</v>
          </cell>
          <cell r="B3471">
            <v>3469</v>
          </cell>
          <cell r="C3471" t="str">
            <v>CS01/11</v>
          </cell>
          <cell r="D3471" t="str">
            <v>SPCC-SD</v>
          </cell>
          <cell r="E3471" t="str">
            <v>AF1</v>
          </cell>
          <cell r="F3471">
            <v>0.6</v>
          </cell>
          <cell r="G3471">
            <v>83</v>
          </cell>
          <cell r="H3471" t="str">
            <v>C</v>
          </cell>
          <cell r="I3471" t="str">
            <v>A</v>
          </cell>
          <cell r="K3471">
            <v>1</v>
          </cell>
          <cell r="L3471">
            <v>198</v>
          </cell>
          <cell r="M3471">
            <v>60044008</v>
          </cell>
          <cell r="N3471" t="str">
            <v>7/B/2005</v>
          </cell>
          <cell r="P3471" t="str">
            <v>IN5B07D1S448701</v>
          </cell>
        </row>
        <row r="3472">
          <cell r="A3472">
            <v>60047255</v>
          </cell>
          <cell r="B3472">
            <v>3470</v>
          </cell>
          <cell r="C3472" t="str">
            <v>CS01/11</v>
          </cell>
          <cell r="D3472" t="str">
            <v>SPCC-SD</v>
          </cell>
          <cell r="E3472" t="str">
            <v>AF1</v>
          </cell>
          <cell r="F3472">
            <v>0.6</v>
          </cell>
          <cell r="G3472">
            <v>83</v>
          </cell>
          <cell r="H3472" t="str">
            <v>C</v>
          </cell>
          <cell r="I3472" t="str">
            <v>A</v>
          </cell>
          <cell r="K3472">
            <v>1</v>
          </cell>
          <cell r="L3472">
            <v>216</v>
          </cell>
          <cell r="M3472">
            <v>60047255</v>
          </cell>
          <cell r="N3472" t="str">
            <v>12/C/2005</v>
          </cell>
          <cell r="P3472" t="str">
            <v>IN5C12N1S562401</v>
          </cell>
        </row>
        <row r="3473">
          <cell r="A3473">
            <v>60047256</v>
          </cell>
          <cell r="B3473">
            <v>3471</v>
          </cell>
          <cell r="C3473" t="str">
            <v>CS01/11</v>
          </cell>
          <cell r="D3473" t="str">
            <v>SPCC-SD</v>
          </cell>
          <cell r="E3473" t="str">
            <v>AF1</v>
          </cell>
          <cell r="F3473">
            <v>0.6</v>
          </cell>
          <cell r="G3473">
            <v>83</v>
          </cell>
          <cell r="H3473" t="str">
            <v>C</v>
          </cell>
          <cell r="I3473" t="str">
            <v>A</v>
          </cell>
          <cell r="K3473">
            <v>1</v>
          </cell>
          <cell r="L3473">
            <v>216</v>
          </cell>
          <cell r="M3473">
            <v>60047256</v>
          </cell>
          <cell r="N3473" t="str">
            <v>12/C/2005</v>
          </cell>
          <cell r="P3473" t="str">
            <v>IN5C12N1S562402</v>
          </cell>
        </row>
        <row r="3474">
          <cell r="A3474">
            <v>60047345</v>
          </cell>
          <cell r="B3474">
            <v>3472</v>
          </cell>
          <cell r="C3474" t="str">
            <v>CS01/11</v>
          </cell>
          <cell r="D3474" t="str">
            <v>SPCC-SD</v>
          </cell>
          <cell r="E3474" t="str">
            <v>AF1</v>
          </cell>
          <cell r="F3474">
            <v>0.6</v>
          </cell>
          <cell r="G3474">
            <v>83</v>
          </cell>
          <cell r="H3474" t="str">
            <v>C</v>
          </cell>
          <cell r="I3474" t="str">
            <v>A</v>
          </cell>
          <cell r="K3474">
            <v>1</v>
          </cell>
          <cell r="L3474">
            <v>536</v>
          </cell>
          <cell r="M3474">
            <v>60047345</v>
          </cell>
          <cell r="N3474" t="str">
            <v>13/C/2005</v>
          </cell>
          <cell r="P3474" t="str">
            <v>IN5C13D1S563001</v>
          </cell>
        </row>
        <row r="3475">
          <cell r="A3475">
            <v>60047346</v>
          </cell>
          <cell r="B3475">
            <v>3473</v>
          </cell>
          <cell r="C3475" t="str">
            <v>CS01/11</v>
          </cell>
          <cell r="D3475" t="str">
            <v>SPCC-SD</v>
          </cell>
          <cell r="E3475" t="str">
            <v>AF1</v>
          </cell>
          <cell r="F3475">
            <v>0.6</v>
          </cell>
          <cell r="G3475">
            <v>83</v>
          </cell>
          <cell r="H3475" t="str">
            <v>C</v>
          </cell>
          <cell r="I3475" t="str">
            <v>A</v>
          </cell>
          <cell r="K3475">
            <v>1</v>
          </cell>
          <cell r="L3475">
            <v>542</v>
          </cell>
          <cell r="M3475">
            <v>60047346</v>
          </cell>
          <cell r="N3475" t="str">
            <v>13/C/2005</v>
          </cell>
          <cell r="P3475" t="str">
            <v>IN5C13D1S563001</v>
          </cell>
        </row>
        <row r="3476">
          <cell r="A3476">
            <v>60047347</v>
          </cell>
          <cell r="B3476">
            <v>3474</v>
          </cell>
          <cell r="C3476" t="str">
            <v>CS01/11</v>
          </cell>
          <cell r="D3476" t="str">
            <v>SPCC-SD</v>
          </cell>
          <cell r="E3476" t="str">
            <v>AF1</v>
          </cell>
          <cell r="F3476">
            <v>0.6</v>
          </cell>
          <cell r="G3476">
            <v>83</v>
          </cell>
          <cell r="H3476" t="str">
            <v>C</v>
          </cell>
          <cell r="I3476" t="str">
            <v>A</v>
          </cell>
          <cell r="K3476">
            <v>1</v>
          </cell>
          <cell r="L3476">
            <v>536</v>
          </cell>
          <cell r="M3476">
            <v>60047347</v>
          </cell>
          <cell r="N3476" t="str">
            <v>13/C/2005</v>
          </cell>
          <cell r="P3476" t="str">
            <v>IN5C13D1S563002</v>
          </cell>
        </row>
        <row r="3477">
          <cell r="A3477">
            <v>60047401</v>
          </cell>
          <cell r="B3477">
            <v>3475</v>
          </cell>
          <cell r="C3477" t="str">
            <v>CS01/11</v>
          </cell>
          <cell r="D3477" t="str">
            <v>SPCC-SD</v>
          </cell>
          <cell r="E3477" t="str">
            <v>AF1</v>
          </cell>
          <cell r="F3477">
            <v>0.6</v>
          </cell>
          <cell r="G3477">
            <v>83</v>
          </cell>
          <cell r="H3477" t="str">
            <v>C</v>
          </cell>
          <cell r="I3477" t="str">
            <v>A</v>
          </cell>
          <cell r="K3477">
            <v>1</v>
          </cell>
          <cell r="L3477">
            <v>484</v>
          </cell>
          <cell r="M3477">
            <v>60047401</v>
          </cell>
          <cell r="N3477" t="str">
            <v>13/C/2005</v>
          </cell>
          <cell r="P3477" t="str">
            <v>IN5C13N1S563201</v>
          </cell>
        </row>
        <row r="3478">
          <cell r="A3478">
            <v>60047402</v>
          </cell>
          <cell r="B3478">
            <v>3476</v>
          </cell>
          <cell r="C3478" t="str">
            <v>CS01/11</v>
          </cell>
          <cell r="D3478" t="str">
            <v>SPCC-SD</v>
          </cell>
          <cell r="E3478" t="str">
            <v>AF1</v>
          </cell>
          <cell r="F3478">
            <v>0.6</v>
          </cell>
          <cell r="G3478">
            <v>83</v>
          </cell>
          <cell r="H3478" t="str">
            <v>C</v>
          </cell>
          <cell r="I3478" t="str">
            <v>A</v>
          </cell>
          <cell r="K3478">
            <v>1</v>
          </cell>
          <cell r="L3478">
            <v>490</v>
          </cell>
          <cell r="M3478">
            <v>60047402</v>
          </cell>
          <cell r="N3478" t="str">
            <v>13/C/2005</v>
          </cell>
          <cell r="P3478" t="str">
            <v>IN5C13N1S563202</v>
          </cell>
        </row>
        <row r="3479">
          <cell r="A3479">
            <v>60047403</v>
          </cell>
          <cell r="B3479">
            <v>3477</v>
          </cell>
          <cell r="C3479" t="str">
            <v>CS01/11</v>
          </cell>
          <cell r="D3479" t="str">
            <v>SPCC-SD</v>
          </cell>
          <cell r="E3479" t="str">
            <v>AF1</v>
          </cell>
          <cell r="F3479">
            <v>0.6</v>
          </cell>
          <cell r="G3479">
            <v>83</v>
          </cell>
          <cell r="H3479" t="str">
            <v>C</v>
          </cell>
          <cell r="I3479" t="str">
            <v>A</v>
          </cell>
          <cell r="K3479">
            <v>1</v>
          </cell>
          <cell r="L3479">
            <v>484</v>
          </cell>
          <cell r="M3479">
            <v>60047403</v>
          </cell>
          <cell r="N3479" t="str">
            <v>13/C/2005</v>
          </cell>
          <cell r="P3479" t="str">
            <v>IN5C13N1S563203</v>
          </cell>
        </row>
        <row r="3480">
          <cell r="A3480">
            <v>60047412</v>
          </cell>
          <cell r="B3480">
            <v>3478</v>
          </cell>
          <cell r="C3480" t="str">
            <v>CS01/11</v>
          </cell>
          <cell r="D3480" t="str">
            <v>SPCC-SD</v>
          </cell>
          <cell r="E3480" t="str">
            <v>AF1</v>
          </cell>
          <cell r="F3480">
            <v>0.6</v>
          </cell>
          <cell r="G3480">
            <v>83</v>
          </cell>
          <cell r="H3480" t="str">
            <v>C</v>
          </cell>
          <cell r="I3480" t="str">
            <v>A</v>
          </cell>
          <cell r="K3480">
            <v>1</v>
          </cell>
          <cell r="L3480">
            <v>414</v>
          </cell>
          <cell r="M3480">
            <v>60047412</v>
          </cell>
          <cell r="N3480" t="str">
            <v>13/C/2005</v>
          </cell>
          <cell r="P3480" t="str">
            <v>IN5C13N1S563401</v>
          </cell>
        </row>
        <row r="3481">
          <cell r="A3481">
            <v>60047413</v>
          </cell>
          <cell r="B3481">
            <v>3479</v>
          </cell>
          <cell r="C3481" t="str">
            <v>CS01/11</v>
          </cell>
          <cell r="D3481" t="str">
            <v>SPCC-SD</v>
          </cell>
          <cell r="E3481" t="str">
            <v>AF1</v>
          </cell>
          <cell r="F3481">
            <v>0.6</v>
          </cell>
          <cell r="G3481">
            <v>83</v>
          </cell>
          <cell r="H3481" t="str">
            <v>C</v>
          </cell>
          <cell r="I3481" t="str">
            <v>A</v>
          </cell>
          <cell r="K3481">
            <v>1</v>
          </cell>
          <cell r="L3481">
            <v>420</v>
          </cell>
          <cell r="M3481">
            <v>60047413</v>
          </cell>
          <cell r="N3481" t="str">
            <v>13/C/2005</v>
          </cell>
          <cell r="P3481" t="str">
            <v>IN5C13N1S563402</v>
          </cell>
        </row>
        <row r="3482">
          <cell r="A3482">
            <v>60047414</v>
          </cell>
          <cell r="B3482">
            <v>3480</v>
          </cell>
          <cell r="C3482" t="str">
            <v>CS01/11</v>
          </cell>
          <cell r="D3482" t="str">
            <v>SPCC-SD</v>
          </cell>
          <cell r="E3482" t="str">
            <v>AF1</v>
          </cell>
          <cell r="F3482">
            <v>0.6</v>
          </cell>
          <cell r="G3482">
            <v>83</v>
          </cell>
          <cell r="H3482" t="str">
            <v>C</v>
          </cell>
          <cell r="I3482" t="str">
            <v>A</v>
          </cell>
          <cell r="K3482">
            <v>1</v>
          </cell>
          <cell r="L3482">
            <v>414</v>
          </cell>
          <cell r="M3482">
            <v>60047414</v>
          </cell>
          <cell r="N3482" t="str">
            <v>13/C/2005</v>
          </cell>
          <cell r="P3482" t="str">
            <v>IN5C13N1S563403</v>
          </cell>
        </row>
        <row r="3483">
          <cell r="A3483">
            <v>60047550</v>
          </cell>
          <cell r="B3483">
            <v>3481</v>
          </cell>
          <cell r="C3483" t="str">
            <v>CS01/11</v>
          </cell>
          <cell r="D3483" t="str">
            <v>SPCC-SD</v>
          </cell>
          <cell r="E3483" t="str">
            <v>AF1</v>
          </cell>
          <cell r="F3483">
            <v>0.6</v>
          </cell>
          <cell r="G3483">
            <v>83</v>
          </cell>
          <cell r="H3483" t="str">
            <v>C</v>
          </cell>
          <cell r="I3483" t="str">
            <v>A</v>
          </cell>
          <cell r="K3483">
            <v>1</v>
          </cell>
          <cell r="L3483">
            <v>264</v>
          </cell>
          <cell r="M3483">
            <v>60047550</v>
          </cell>
          <cell r="N3483" t="str">
            <v>15/C/2005</v>
          </cell>
          <cell r="P3483" t="str">
            <v>IN5C15N1S563601</v>
          </cell>
        </row>
        <row r="3484">
          <cell r="A3484">
            <v>60047551</v>
          </cell>
          <cell r="B3484">
            <v>3482</v>
          </cell>
          <cell r="C3484" t="str">
            <v>CS01/11</v>
          </cell>
          <cell r="D3484" t="str">
            <v>SPCC-SD</v>
          </cell>
          <cell r="E3484" t="str">
            <v>AF1</v>
          </cell>
          <cell r="F3484">
            <v>0.6</v>
          </cell>
          <cell r="G3484">
            <v>83</v>
          </cell>
          <cell r="H3484" t="str">
            <v>C</v>
          </cell>
          <cell r="I3484" t="str">
            <v>A</v>
          </cell>
          <cell r="K3484">
            <v>1</v>
          </cell>
          <cell r="L3484">
            <v>264</v>
          </cell>
          <cell r="M3484">
            <v>60047551</v>
          </cell>
          <cell r="N3484" t="str">
            <v>15/C/2005</v>
          </cell>
          <cell r="P3484" t="str">
            <v>IN5C15N1S563602</v>
          </cell>
        </row>
        <row r="3485">
          <cell r="A3485">
            <v>60047554</v>
          </cell>
          <cell r="B3485">
            <v>3483</v>
          </cell>
          <cell r="C3485" t="str">
            <v>CS01/11</v>
          </cell>
          <cell r="D3485" t="str">
            <v>SPCC-SD</v>
          </cell>
          <cell r="E3485" t="str">
            <v>AF1</v>
          </cell>
          <cell r="F3485">
            <v>0.6</v>
          </cell>
          <cell r="G3485">
            <v>83</v>
          </cell>
          <cell r="H3485" t="str">
            <v>C</v>
          </cell>
          <cell r="I3485" t="str">
            <v>A</v>
          </cell>
          <cell r="K3485">
            <v>1</v>
          </cell>
          <cell r="L3485">
            <v>268</v>
          </cell>
          <cell r="M3485">
            <v>60047554</v>
          </cell>
          <cell r="N3485" t="str">
            <v>15/C/2005</v>
          </cell>
          <cell r="P3485" t="str">
            <v>IN5C15N1S563603</v>
          </cell>
        </row>
        <row r="3486">
          <cell r="A3486">
            <v>60047555</v>
          </cell>
          <cell r="B3486">
            <v>3484</v>
          </cell>
          <cell r="C3486" t="str">
            <v>CS01/11</v>
          </cell>
          <cell r="D3486" t="str">
            <v>SPCC-SD</v>
          </cell>
          <cell r="E3486" t="str">
            <v>AF1</v>
          </cell>
          <cell r="F3486">
            <v>0.6</v>
          </cell>
          <cell r="G3486">
            <v>83</v>
          </cell>
          <cell r="H3486" t="str">
            <v>C</v>
          </cell>
          <cell r="I3486" t="str">
            <v>A</v>
          </cell>
          <cell r="K3486">
            <v>1</v>
          </cell>
          <cell r="L3486">
            <v>268</v>
          </cell>
          <cell r="M3486">
            <v>60047555</v>
          </cell>
          <cell r="N3486" t="str">
            <v>15/C/2005</v>
          </cell>
          <cell r="P3486" t="str">
            <v>IN5C15N1S563604</v>
          </cell>
        </row>
        <row r="3487">
          <cell r="A3487">
            <v>60049537</v>
          </cell>
          <cell r="B3487">
            <v>3485</v>
          </cell>
          <cell r="C3487" t="str">
            <v>CS01/11</v>
          </cell>
          <cell r="D3487" t="str">
            <v>SPCC-SD</v>
          </cell>
          <cell r="E3487" t="str">
            <v>AF1</v>
          </cell>
          <cell r="F3487">
            <v>0.6</v>
          </cell>
          <cell r="G3487">
            <v>83</v>
          </cell>
          <cell r="H3487" t="str">
            <v>C</v>
          </cell>
          <cell r="I3487" t="str">
            <v>A</v>
          </cell>
          <cell r="K3487">
            <v>1</v>
          </cell>
          <cell r="L3487">
            <v>448</v>
          </cell>
          <cell r="M3487">
            <v>60049537</v>
          </cell>
          <cell r="N3487" t="str">
            <v>14/1/2006</v>
          </cell>
          <cell r="P3487" t="str">
            <v>IN6114D1S641601</v>
          </cell>
        </row>
        <row r="3488">
          <cell r="A3488">
            <v>60051021</v>
          </cell>
          <cell r="B3488">
            <v>3486</v>
          </cell>
          <cell r="C3488" t="str">
            <v>CS01/11</v>
          </cell>
          <cell r="D3488" t="str">
            <v>SPCC-SD</v>
          </cell>
          <cell r="E3488" t="str">
            <v>AF1</v>
          </cell>
          <cell r="F3488">
            <v>0.6</v>
          </cell>
          <cell r="G3488">
            <v>83</v>
          </cell>
          <cell r="H3488" t="str">
            <v>C</v>
          </cell>
          <cell r="I3488" t="str">
            <v>A</v>
          </cell>
          <cell r="K3488">
            <v>1</v>
          </cell>
          <cell r="L3488">
            <v>338</v>
          </cell>
          <cell r="M3488">
            <v>60051021</v>
          </cell>
          <cell r="N3488">
            <v>38870</v>
          </cell>
          <cell r="P3488" t="str">
            <v>IN6206N1S711701</v>
          </cell>
        </row>
        <row r="3489">
          <cell r="A3489">
            <v>60048676</v>
          </cell>
          <cell r="B3489">
            <v>3487</v>
          </cell>
          <cell r="C3489" t="str">
            <v>CS01/11</v>
          </cell>
          <cell r="D3489" t="str">
            <v>SPCC-SD</v>
          </cell>
          <cell r="E3489" t="str">
            <v>AF1</v>
          </cell>
          <cell r="F3489">
            <v>0.6</v>
          </cell>
          <cell r="G3489">
            <v>84</v>
          </cell>
          <cell r="H3489" t="str">
            <v>C</v>
          </cell>
          <cell r="I3489" t="str">
            <v>A</v>
          </cell>
          <cell r="K3489">
            <v>1</v>
          </cell>
          <cell r="L3489">
            <v>218</v>
          </cell>
          <cell r="M3489">
            <v>60048676</v>
          </cell>
          <cell r="N3489" t="str">
            <v>27/C/2005</v>
          </cell>
          <cell r="P3489" t="str">
            <v>IN5C27D1S607901</v>
          </cell>
        </row>
        <row r="3490">
          <cell r="A3490">
            <v>60048677</v>
          </cell>
          <cell r="B3490">
            <v>3488</v>
          </cell>
          <cell r="C3490" t="str">
            <v>CS01/11</v>
          </cell>
          <cell r="D3490" t="str">
            <v>SPCC-SD</v>
          </cell>
          <cell r="E3490" t="str">
            <v>AF1</v>
          </cell>
          <cell r="F3490">
            <v>0.6</v>
          </cell>
          <cell r="G3490">
            <v>84</v>
          </cell>
          <cell r="H3490" t="str">
            <v>C</v>
          </cell>
          <cell r="I3490" t="str">
            <v>A</v>
          </cell>
          <cell r="K3490">
            <v>1</v>
          </cell>
          <cell r="L3490">
            <v>218</v>
          </cell>
          <cell r="M3490">
            <v>60048677</v>
          </cell>
          <cell r="N3490" t="str">
            <v>27/C/2005</v>
          </cell>
          <cell r="P3490" t="str">
            <v>IN5C27D1S607902</v>
          </cell>
        </row>
        <row r="3491">
          <cell r="A3491">
            <v>60048678</v>
          </cell>
          <cell r="B3491">
            <v>3489</v>
          </cell>
          <cell r="C3491" t="str">
            <v>CS01/11</v>
          </cell>
          <cell r="D3491" t="str">
            <v>SPCC-SD</v>
          </cell>
          <cell r="E3491" t="str">
            <v>AF1</v>
          </cell>
          <cell r="F3491">
            <v>0.6</v>
          </cell>
          <cell r="G3491">
            <v>84</v>
          </cell>
          <cell r="H3491" t="str">
            <v>C</v>
          </cell>
          <cell r="I3491" t="str">
            <v>A</v>
          </cell>
          <cell r="K3491">
            <v>1</v>
          </cell>
          <cell r="L3491">
            <v>220</v>
          </cell>
          <cell r="M3491">
            <v>60048678</v>
          </cell>
          <cell r="N3491" t="str">
            <v>27/C/2005</v>
          </cell>
          <cell r="P3491" t="str">
            <v>IN5C27D1S607903</v>
          </cell>
        </row>
        <row r="3492">
          <cell r="A3492">
            <v>6043719</v>
          </cell>
          <cell r="B3492">
            <v>3490</v>
          </cell>
          <cell r="C3492" t="str">
            <v>CS01/11</v>
          </cell>
          <cell r="D3492" t="str">
            <v>SPCC-SD</v>
          </cell>
          <cell r="E3492" t="str">
            <v>AF1</v>
          </cell>
          <cell r="F3492">
            <v>0.6</v>
          </cell>
          <cell r="G3492">
            <v>94</v>
          </cell>
          <cell r="H3492" t="str">
            <v>C</v>
          </cell>
          <cell r="I3492" t="str">
            <v>A</v>
          </cell>
          <cell r="K3492">
            <v>1</v>
          </cell>
          <cell r="L3492">
            <v>262</v>
          </cell>
          <cell r="M3492">
            <v>6043719</v>
          </cell>
          <cell r="N3492" t="str">
            <v>4/B/2005</v>
          </cell>
          <cell r="P3492" t="str">
            <v>IN5B04D1S443001</v>
          </cell>
        </row>
        <row r="3493">
          <cell r="A3493">
            <v>60047615</v>
          </cell>
          <cell r="B3493">
            <v>3491</v>
          </cell>
          <cell r="C3493" t="str">
            <v>CS01/11</v>
          </cell>
          <cell r="D3493" t="str">
            <v>SPCC-SD</v>
          </cell>
          <cell r="E3493" t="str">
            <v>AF1</v>
          </cell>
          <cell r="F3493">
            <v>0.8</v>
          </cell>
          <cell r="G3493">
            <v>33</v>
          </cell>
          <cell r="H3493" t="str">
            <v>C</v>
          </cell>
          <cell r="I3493" t="str">
            <v>A</v>
          </cell>
          <cell r="K3493">
            <v>1</v>
          </cell>
          <cell r="L3493">
            <v>76</v>
          </cell>
          <cell r="M3493">
            <v>60047615</v>
          </cell>
          <cell r="N3493" t="str">
            <v>15/C/2005</v>
          </cell>
          <cell r="P3493" t="str">
            <v>IN5C15D1S572501</v>
          </cell>
        </row>
        <row r="3494">
          <cell r="A3494">
            <v>60047468</v>
          </cell>
          <cell r="B3494">
            <v>3492</v>
          </cell>
          <cell r="C3494" t="str">
            <v>CS01/11</v>
          </cell>
          <cell r="D3494" t="str">
            <v>SPCC-SD</v>
          </cell>
          <cell r="E3494" t="str">
            <v>AF1</v>
          </cell>
          <cell r="F3494">
            <v>0.8</v>
          </cell>
          <cell r="G3494">
            <v>55</v>
          </cell>
          <cell r="H3494" t="str">
            <v>C</v>
          </cell>
          <cell r="I3494" t="str">
            <v>A</v>
          </cell>
          <cell r="K3494">
            <v>1</v>
          </cell>
          <cell r="L3494">
            <v>362</v>
          </cell>
          <cell r="M3494">
            <v>60047468</v>
          </cell>
          <cell r="N3494" t="str">
            <v>14/C/2005</v>
          </cell>
          <cell r="P3494" t="str">
            <v>IN5C14N1S570801</v>
          </cell>
        </row>
        <row r="3495">
          <cell r="A3495">
            <v>60063918</v>
          </cell>
          <cell r="B3495">
            <v>3493</v>
          </cell>
          <cell r="C3495" t="str">
            <v>CS01/11</v>
          </cell>
          <cell r="D3495" t="str">
            <v>SPCC-SD</v>
          </cell>
          <cell r="E3495" t="str">
            <v>AF1</v>
          </cell>
          <cell r="F3495">
            <v>0.8</v>
          </cell>
          <cell r="G3495">
            <v>105</v>
          </cell>
          <cell r="H3495" t="str">
            <v>C</v>
          </cell>
          <cell r="I3495" t="str">
            <v>A</v>
          </cell>
          <cell r="K3495">
            <v>1</v>
          </cell>
          <cell r="L3495">
            <v>192</v>
          </cell>
          <cell r="M3495">
            <v>60063918</v>
          </cell>
          <cell r="N3495" t="str">
            <v>19/7/2006</v>
          </cell>
          <cell r="P3495" t="str">
            <v>IN6719D1S214401</v>
          </cell>
        </row>
        <row r="3496">
          <cell r="A3496">
            <v>60063921</v>
          </cell>
          <cell r="B3496">
            <v>3494</v>
          </cell>
          <cell r="C3496" t="str">
            <v>CS01/11</v>
          </cell>
          <cell r="D3496" t="str">
            <v>SPCC-SD</v>
          </cell>
          <cell r="E3496" t="str">
            <v>AF1</v>
          </cell>
          <cell r="F3496">
            <v>0.8</v>
          </cell>
          <cell r="G3496">
            <v>153</v>
          </cell>
          <cell r="H3496" t="str">
            <v>C</v>
          </cell>
          <cell r="I3496" t="str">
            <v>A</v>
          </cell>
          <cell r="K3496">
            <v>1</v>
          </cell>
          <cell r="L3496">
            <v>166</v>
          </cell>
          <cell r="M3496">
            <v>60063921</v>
          </cell>
          <cell r="N3496" t="str">
            <v>19/7/2006</v>
          </cell>
          <cell r="O3496" t="str">
            <v>126424SUD008</v>
          </cell>
          <cell r="P3496" t="str">
            <v>IN6719D1S214402</v>
          </cell>
        </row>
        <row r="3497">
          <cell r="A3497">
            <v>60050090</v>
          </cell>
          <cell r="B3497">
            <v>3495</v>
          </cell>
          <cell r="C3497" t="str">
            <v>CS01/11</v>
          </cell>
          <cell r="D3497" t="str">
            <v>SPCC-SD</v>
          </cell>
          <cell r="E3497" t="str">
            <v>AF1</v>
          </cell>
          <cell r="F3497">
            <v>0.9</v>
          </cell>
          <cell r="G3497">
            <v>213</v>
          </cell>
          <cell r="H3497" t="str">
            <v>C</v>
          </cell>
          <cell r="I3497" t="str">
            <v>A</v>
          </cell>
          <cell r="K3497">
            <v>1</v>
          </cell>
          <cell r="L3497">
            <v>362</v>
          </cell>
          <cell r="M3497">
            <v>60050090</v>
          </cell>
          <cell r="N3497" t="str">
            <v>24/1/2006</v>
          </cell>
          <cell r="P3497" t="str">
            <v>IN6124N1S672601</v>
          </cell>
        </row>
        <row r="3498">
          <cell r="A3498">
            <v>60050093</v>
          </cell>
          <cell r="B3498">
            <v>3496</v>
          </cell>
          <cell r="C3498" t="str">
            <v>CS01/11</v>
          </cell>
          <cell r="D3498" t="str">
            <v>SPCC-SD</v>
          </cell>
          <cell r="E3498" t="str">
            <v>AF1</v>
          </cell>
          <cell r="F3498">
            <v>0.9</v>
          </cell>
          <cell r="G3498">
            <v>213</v>
          </cell>
          <cell r="H3498" t="str">
            <v>C</v>
          </cell>
          <cell r="I3498" t="str">
            <v>A</v>
          </cell>
          <cell r="K3498">
            <v>1</v>
          </cell>
          <cell r="L3498">
            <v>420</v>
          </cell>
          <cell r="M3498">
            <v>60050093</v>
          </cell>
          <cell r="N3498" t="str">
            <v>24/1/2006</v>
          </cell>
          <cell r="P3498" t="str">
            <v>IN6124N1S672602</v>
          </cell>
        </row>
        <row r="3499">
          <cell r="A3499">
            <v>60054461</v>
          </cell>
          <cell r="B3499">
            <v>3497</v>
          </cell>
          <cell r="C3499" t="str">
            <v>CS01/11</v>
          </cell>
          <cell r="D3499" t="str">
            <v>SPCC-SD</v>
          </cell>
          <cell r="E3499" t="str">
            <v>AF1</v>
          </cell>
          <cell r="F3499">
            <v>0.9</v>
          </cell>
          <cell r="G3499">
            <v>215</v>
          </cell>
          <cell r="H3499" t="str">
            <v>C</v>
          </cell>
          <cell r="I3499" t="str">
            <v>A</v>
          </cell>
          <cell r="K3499">
            <v>1</v>
          </cell>
          <cell r="L3499">
            <v>356</v>
          </cell>
          <cell r="M3499">
            <v>60054461</v>
          </cell>
          <cell r="N3499" t="str">
            <v>14/3/2006</v>
          </cell>
          <cell r="P3499" t="str">
            <v>IN6314D1S835101</v>
          </cell>
        </row>
        <row r="3500">
          <cell r="A3500">
            <v>60053374</v>
          </cell>
          <cell r="B3500">
            <v>3498</v>
          </cell>
          <cell r="C3500" t="str">
            <v>CS01/11</v>
          </cell>
          <cell r="D3500" t="str">
            <v>SPCC-SD</v>
          </cell>
          <cell r="E3500" t="str">
            <v>AF1</v>
          </cell>
          <cell r="F3500">
            <v>0.9</v>
          </cell>
          <cell r="G3500">
            <v>220</v>
          </cell>
          <cell r="H3500" t="str">
            <v>C</v>
          </cell>
          <cell r="I3500" t="str">
            <v>A</v>
          </cell>
          <cell r="K3500">
            <v>1</v>
          </cell>
          <cell r="L3500">
            <v>1350</v>
          </cell>
          <cell r="M3500">
            <v>60053374</v>
          </cell>
          <cell r="N3500">
            <v>38840</v>
          </cell>
          <cell r="P3500" t="str">
            <v>IN6305N1S813201</v>
          </cell>
        </row>
        <row r="3501">
          <cell r="A3501">
            <v>63456</v>
          </cell>
          <cell r="B3501">
            <v>3499</v>
          </cell>
          <cell r="C3501" t="str">
            <v>CS01/11</v>
          </cell>
          <cell r="D3501" t="str">
            <v>SPCC-SD</v>
          </cell>
          <cell r="E3501" t="str">
            <v>AF1</v>
          </cell>
          <cell r="F3501">
            <v>1</v>
          </cell>
          <cell r="G3501">
            <v>82</v>
          </cell>
          <cell r="H3501" t="str">
            <v>C</v>
          </cell>
          <cell r="I3501" t="str">
            <v>A</v>
          </cell>
          <cell r="K3501">
            <v>1</v>
          </cell>
          <cell r="L3501">
            <v>160</v>
          </cell>
          <cell r="M3501">
            <v>63456</v>
          </cell>
          <cell r="N3501" t="str">
            <v>25/B/2005</v>
          </cell>
          <cell r="P3501" t="str">
            <v>IN5B25D2Z110501</v>
          </cell>
        </row>
        <row r="3502">
          <cell r="A3502">
            <v>60055747</v>
          </cell>
          <cell r="B3502">
            <v>3500</v>
          </cell>
          <cell r="C3502" t="str">
            <v>CS01/11</v>
          </cell>
          <cell r="D3502" t="str">
            <v>SPCC-SD</v>
          </cell>
          <cell r="E3502" t="str">
            <v>AF1</v>
          </cell>
          <cell r="F3502">
            <v>1</v>
          </cell>
          <cell r="G3502">
            <v>90</v>
          </cell>
          <cell r="H3502" t="str">
            <v>C</v>
          </cell>
          <cell r="I3502" t="str">
            <v>A</v>
          </cell>
          <cell r="K3502">
            <v>1</v>
          </cell>
          <cell r="L3502">
            <v>165</v>
          </cell>
          <cell r="M3502">
            <v>60055747</v>
          </cell>
          <cell r="N3502" t="str">
            <v>28/3/2006</v>
          </cell>
          <cell r="P3502" t="str">
            <v>IN6328N1S883401</v>
          </cell>
        </row>
        <row r="3503">
          <cell r="A3503">
            <v>60048421</v>
          </cell>
          <cell r="B3503">
            <v>3501</v>
          </cell>
          <cell r="C3503" t="str">
            <v>CS01/11</v>
          </cell>
          <cell r="D3503" t="str">
            <v>SPCC-SD</v>
          </cell>
          <cell r="E3503" t="str">
            <v>AF1</v>
          </cell>
          <cell r="F3503">
            <v>1</v>
          </cell>
          <cell r="G3503">
            <v>106</v>
          </cell>
          <cell r="H3503" t="str">
            <v>C</v>
          </cell>
          <cell r="I3503" t="str">
            <v>A</v>
          </cell>
          <cell r="K3503">
            <v>1</v>
          </cell>
          <cell r="L3503">
            <v>664</v>
          </cell>
          <cell r="M3503">
            <v>60048421</v>
          </cell>
          <cell r="N3503" t="str">
            <v>24/C/2005</v>
          </cell>
          <cell r="P3503" t="str">
            <v>IN5C24N1S603101</v>
          </cell>
        </row>
        <row r="3504">
          <cell r="A3504">
            <v>60050983</v>
          </cell>
          <cell r="B3504">
            <v>3502</v>
          </cell>
          <cell r="C3504" t="str">
            <v>CS01/11</v>
          </cell>
          <cell r="D3504" t="str">
            <v>SPCC-SD</v>
          </cell>
          <cell r="E3504" t="str">
            <v>AF1</v>
          </cell>
          <cell r="F3504">
            <v>1</v>
          </cell>
          <cell r="G3504">
            <v>106</v>
          </cell>
          <cell r="H3504" t="str">
            <v>C</v>
          </cell>
          <cell r="I3504" t="str">
            <v>A</v>
          </cell>
          <cell r="K3504">
            <v>1</v>
          </cell>
          <cell r="L3504">
            <v>606</v>
          </cell>
          <cell r="M3504">
            <v>60050983</v>
          </cell>
          <cell r="N3504">
            <v>38839</v>
          </cell>
          <cell r="P3504" t="str">
            <v>IN6205N1S704001</v>
          </cell>
        </row>
        <row r="3505">
          <cell r="A3505">
            <v>60051018</v>
          </cell>
          <cell r="B3505">
            <v>3503</v>
          </cell>
          <cell r="C3505" t="str">
            <v>CS01/11</v>
          </cell>
          <cell r="D3505" t="str">
            <v>SPCC-SD</v>
          </cell>
          <cell r="E3505" t="str">
            <v>AF1</v>
          </cell>
          <cell r="F3505">
            <v>1</v>
          </cell>
          <cell r="G3505">
            <v>106</v>
          </cell>
          <cell r="H3505" t="str">
            <v>C</v>
          </cell>
          <cell r="I3505" t="str">
            <v>A</v>
          </cell>
          <cell r="K3505">
            <v>1</v>
          </cell>
          <cell r="L3505">
            <v>394</v>
          </cell>
          <cell r="M3505">
            <v>60051018</v>
          </cell>
          <cell r="N3505">
            <v>38870</v>
          </cell>
          <cell r="P3505" t="str">
            <v>IN6206D1S704002</v>
          </cell>
        </row>
        <row r="3506">
          <cell r="A3506">
            <v>60050727</v>
          </cell>
          <cell r="B3506">
            <v>3504</v>
          </cell>
          <cell r="C3506" t="str">
            <v>CS01/11</v>
          </cell>
          <cell r="D3506" t="str">
            <v>SPCC-SD</v>
          </cell>
          <cell r="E3506" t="str">
            <v>AF1</v>
          </cell>
          <cell r="F3506">
            <v>1.2</v>
          </cell>
          <cell r="G3506">
            <v>90</v>
          </cell>
          <cell r="H3506" t="str">
            <v>C</v>
          </cell>
          <cell r="I3506" t="str">
            <v>A</v>
          </cell>
          <cell r="K3506">
            <v>1</v>
          </cell>
          <cell r="L3506">
            <v>192</v>
          </cell>
          <cell r="M3506">
            <v>60050727</v>
          </cell>
          <cell r="N3506" t="str">
            <v>31/1/2006</v>
          </cell>
          <cell r="P3506" t="str">
            <v>IN6131D1S693301</v>
          </cell>
        </row>
        <row r="3507">
          <cell r="A3507">
            <v>60050728</v>
          </cell>
          <cell r="B3507">
            <v>3505</v>
          </cell>
          <cell r="C3507" t="str">
            <v>CS01/11</v>
          </cell>
          <cell r="D3507" t="str">
            <v>SPCC-SD</v>
          </cell>
          <cell r="E3507" t="str">
            <v>AF1</v>
          </cell>
          <cell r="F3507">
            <v>1.2</v>
          </cell>
          <cell r="G3507">
            <v>90</v>
          </cell>
          <cell r="H3507" t="str">
            <v>C</v>
          </cell>
          <cell r="I3507" t="str">
            <v>A</v>
          </cell>
          <cell r="K3507">
            <v>1</v>
          </cell>
          <cell r="L3507">
            <v>192</v>
          </cell>
          <cell r="M3507">
            <v>60050728</v>
          </cell>
          <cell r="N3507" t="str">
            <v>31/1/2006</v>
          </cell>
          <cell r="P3507" t="str">
            <v>IN6131D1S693302</v>
          </cell>
        </row>
        <row r="3508">
          <cell r="A3508">
            <v>60054847</v>
          </cell>
          <cell r="B3508">
            <v>3506</v>
          </cell>
          <cell r="C3508" t="str">
            <v>CS01/11</v>
          </cell>
          <cell r="D3508" t="str">
            <v>SPCC-SD</v>
          </cell>
          <cell r="E3508" t="str">
            <v>AF1</v>
          </cell>
          <cell r="F3508">
            <v>1.2</v>
          </cell>
          <cell r="G3508">
            <v>90</v>
          </cell>
          <cell r="H3508" t="str">
            <v>C</v>
          </cell>
          <cell r="I3508" t="str">
            <v>A</v>
          </cell>
          <cell r="K3508">
            <v>1</v>
          </cell>
          <cell r="L3508">
            <v>356</v>
          </cell>
          <cell r="M3508">
            <v>60054847</v>
          </cell>
          <cell r="N3508" t="str">
            <v>18/3/2006</v>
          </cell>
          <cell r="P3508" t="str">
            <v>IN6318N1S847601</v>
          </cell>
        </row>
        <row r="3509">
          <cell r="A3509">
            <v>60050123</v>
          </cell>
          <cell r="B3509">
            <v>3507</v>
          </cell>
          <cell r="C3509" t="str">
            <v>CS01/11</v>
          </cell>
          <cell r="D3509" t="str">
            <v>SPCC-SD</v>
          </cell>
          <cell r="E3509" t="str">
            <v>AF1</v>
          </cell>
          <cell r="F3509">
            <v>1.2</v>
          </cell>
          <cell r="G3509">
            <v>160</v>
          </cell>
          <cell r="H3509" t="str">
            <v>C</v>
          </cell>
          <cell r="I3509" t="str">
            <v>A</v>
          </cell>
          <cell r="K3509">
            <v>1</v>
          </cell>
          <cell r="L3509">
            <v>492</v>
          </cell>
          <cell r="M3509">
            <v>60050123</v>
          </cell>
          <cell r="N3509" t="str">
            <v>17/3/2006</v>
          </cell>
          <cell r="P3509" t="str">
            <v>IN6317N1S821001</v>
          </cell>
        </row>
        <row r="3510">
          <cell r="A3510">
            <v>60053332</v>
          </cell>
          <cell r="B3510">
            <v>3508</v>
          </cell>
          <cell r="C3510" t="str">
            <v>CS01/11</v>
          </cell>
          <cell r="D3510" t="str">
            <v>SPCC-SD</v>
          </cell>
          <cell r="E3510" t="str">
            <v>AF1</v>
          </cell>
          <cell r="F3510">
            <v>1.4</v>
          </cell>
          <cell r="G3510">
            <v>82</v>
          </cell>
          <cell r="H3510" t="str">
            <v>C</v>
          </cell>
          <cell r="I3510" t="str">
            <v>A</v>
          </cell>
          <cell r="K3510">
            <v>1</v>
          </cell>
          <cell r="L3510">
            <v>528</v>
          </cell>
          <cell r="M3510">
            <v>60053332</v>
          </cell>
          <cell r="N3510">
            <v>38840</v>
          </cell>
          <cell r="P3510" t="str">
            <v>IN6305D2S809801</v>
          </cell>
        </row>
        <row r="3511">
          <cell r="A3511">
            <v>60032578</v>
          </cell>
          <cell r="B3511">
            <v>3509</v>
          </cell>
          <cell r="C3511" t="str">
            <v>CS01/11</v>
          </cell>
          <cell r="D3511" t="str">
            <v>SPCC-SD</v>
          </cell>
          <cell r="E3511" t="str">
            <v>AF1</v>
          </cell>
          <cell r="F3511">
            <v>1.6</v>
          </cell>
          <cell r="G3511">
            <v>75</v>
          </cell>
          <cell r="H3511" t="str">
            <v>C</v>
          </cell>
          <cell r="I3511" t="str">
            <v>A</v>
          </cell>
          <cell r="K3511">
            <v>1</v>
          </cell>
          <cell r="L3511">
            <v>114</v>
          </cell>
          <cell r="M3511">
            <v>60032578</v>
          </cell>
          <cell r="N3511" t="str">
            <v>25/4/2005</v>
          </cell>
          <cell r="P3511" t="str">
            <v>IN5425N1S903001</v>
          </cell>
        </row>
        <row r="3512">
          <cell r="A3512">
            <v>60043913</v>
          </cell>
          <cell r="B3512">
            <v>3510</v>
          </cell>
          <cell r="C3512" t="str">
            <v>CS01/11</v>
          </cell>
          <cell r="D3512" t="str">
            <v>SPCC-SD</v>
          </cell>
          <cell r="E3512" t="str">
            <v>AF1</v>
          </cell>
          <cell r="F3512">
            <v>1.6</v>
          </cell>
          <cell r="G3512">
            <v>77.5</v>
          </cell>
          <cell r="H3512" t="str">
            <v>C</v>
          </cell>
          <cell r="I3512" t="str">
            <v>A</v>
          </cell>
          <cell r="K3512">
            <v>1</v>
          </cell>
          <cell r="L3512">
            <v>150</v>
          </cell>
          <cell r="M3512">
            <v>60043913</v>
          </cell>
          <cell r="N3512" t="str">
            <v>6/B/2005</v>
          </cell>
          <cell r="P3512" t="str">
            <v>IN5B06D1S451901</v>
          </cell>
        </row>
        <row r="3513">
          <cell r="A3513">
            <v>60043914</v>
          </cell>
          <cell r="B3513">
            <v>3511</v>
          </cell>
          <cell r="C3513" t="str">
            <v>CS01/11</v>
          </cell>
          <cell r="D3513" t="str">
            <v>SPCC-SD</v>
          </cell>
          <cell r="E3513" t="str">
            <v>AF1</v>
          </cell>
          <cell r="F3513">
            <v>1.6</v>
          </cell>
          <cell r="G3513">
            <v>77.5</v>
          </cell>
          <cell r="H3513" t="str">
            <v>C</v>
          </cell>
          <cell r="I3513" t="str">
            <v>A</v>
          </cell>
          <cell r="K3513">
            <v>1</v>
          </cell>
          <cell r="L3513">
            <v>148</v>
          </cell>
          <cell r="M3513">
            <v>60043914</v>
          </cell>
          <cell r="N3513" t="str">
            <v>6/B/2005</v>
          </cell>
          <cell r="P3513" t="str">
            <v>IN5B06D1S451902</v>
          </cell>
        </row>
        <row r="3514">
          <cell r="A3514">
            <v>60045848</v>
          </cell>
          <cell r="B3514">
            <v>3512</v>
          </cell>
          <cell r="C3514" t="str">
            <v>CS01/11</v>
          </cell>
          <cell r="D3514" t="str">
            <v>SPCC-SD</v>
          </cell>
          <cell r="E3514" t="str">
            <v>AF1</v>
          </cell>
          <cell r="F3514">
            <v>2</v>
          </cell>
          <cell r="G3514">
            <v>35</v>
          </cell>
          <cell r="H3514" t="str">
            <v>C</v>
          </cell>
          <cell r="I3514" t="str">
            <v>A</v>
          </cell>
          <cell r="K3514">
            <v>1</v>
          </cell>
          <cell r="L3514">
            <v>94</v>
          </cell>
          <cell r="M3514">
            <v>60045848</v>
          </cell>
          <cell r="N3514" t="str">
            <v>25/B/2005</v>
          </cell>
          <cell r="P3514" t="str">
            <v>IN5B25N1S504101</v>
          </cell>
        </row>
        <row r="3515">
          <cell r="A3515">
            <v>60062592</v>
          </cell>
          <cell r="B3515">
            <v>3513</v>
          </cell>
          <cell r="C3515" t="str">
            <v>CS01/11</v>
          </cell>
          <cell r="D3515" t="str">
            <v>SPCC-SD</v>
          </cell>
          <cell r="E3515" t="str">
            <v>AF1</v>
          </cell>
          <cell r="F3515">
            <v>2</v>
          </cell>
          <cell r="G3515">
            <v>50</v>
          </cell>
          <cell r="H3515" t="str">
            <v>C</v>
          </cell>
          <cell r="I3515" t="str">
            <v>A</v>
          </cell>
          <cell r="K3515">
            <v>1</v>
          </cell>
          <cell r="L3515">
            <v>177</v>
          </cell>
          <cell r="M3515">
            <v>60062592</v>
          </cell>
          <cell r="N3515">
            <v>38897</v>
          </cell>
          <cell r="P3515" t="str">
            <v>IN6629N1S152401</v>
          </cell>
        </row>
        <row r="3516">
          <cell r="A3516">
            <v>60062955</v>
          </cell>
          <cell r="B3516">
            <v>3514</v>
          </cell>
          <cell r="C3516" t="str">
            <v>CS01/11</v>
          </cell>
          <cell r="D3516" t="str">
            <v>SPCC-SD</v>
          </cell>
          <cell r="E3516" t="str">
            <v>AF1</v>
          </cell>
          <cell r="F3516">
            <v>2.2999999999999998</v>
          </cell>
          <cell r="G3516">
            <v>122.5</v>
          </cell>
          <cell r="H3516" t="str">
            <v>C</v>
          </cell>
          <cell r="I3516" t="str">
            <v>A</v>
          </cell>
          <cell r="K3516">
            <v>1</v>
          </cell>
          <cell r="L3516">
            <v>294</v>
          </cell>
          <cell r="M3516">
            <v>60062955</v>
          </cell>
          <cell r="N3516">
            <v>38903</v>
          </cell>
          <cell r="P3516" t="str">
            <v>IN6705D1S163601</v>
          </cell>
        </row>
        <row r="3517">
          <cell r="A3517">
            <v>60063268</v>
          </cell>
          <cell r="B3517">
            <v>3515</v>
          </cell>
          <cell r="C3517" t="str">
            <v>CS01/11</v>
          </cell>
          <cell r="D3517" t="str">
            <v>SPCC-SD</v>
          </cell>
          <cell r="E3517" t="str">
            <v>AF1</v>
          </cell>
          <cell r="F3517">
            <v>2.2999999999999998</v>
          </cell>
          <cell r="G3517">
            <v>122.5</v>
          </cell>
          <cell r="H3517" t="str">
            <v>C</v>
          </cell>
          <cell r="I3517" t="str">
            <v>A</v>
          </cell>
          <cell r="K3517">
            <v>1</v>
          </cell>
          <cell r="L3517">
            <v>330</v>
          </cell>
          <cell r="M3517">
            <v>60063268</v>
          </cell>
          <cell r="N3517">
            <v>38906</v>
          </cell>
          <cell r="P3517" t="str">
            <v>IN6708N2S185801</v>
          </cell>
        </row>
        <row r="3518">
          <cell r="A3518">
            <v>60063274</v>
          </cell>
          <cell r="B3518">
            <v>3516</v>
          </cell>
          <cell r="C3518" t="str">
            <v>CS01/11</v>
          </cell>
          <cell r="D3518" t="str">
            <v>SPCC-SD</v>
          </cell>
          <cell r="E3518" t="str">
            <v>AF1</v>
          </cell>
          <cell r="F3518">
            <v>2.2999999999999998</v>
          </cell>
          <cell r="G3518">
            <v>122.5</v>
          </cell>
          <cell r="H3518" t="str">
            <v>C</v>
          </cell>
          <cell r="I3518" t="str">
            <v>A</v>
          </cell>
          <cell r="K3518">
            <v>1</v>
          </cell>
          <cell r="L3518">
            <v>330</v>
          </cell>
          <cell r="M3518">
            <v>60063274</v>
          </cell>
          <cell r="N3518">
            <v>38906</v>
          </cell>
          <cell r="O3518" t="str">
            <v>126607TCD017</v>
          </cell>
          <cell r="P3518" t="str">
            <v>IN6708N2S185802</v>
          </cell>
        </row>
        <row r="3519">
          <cell r="A3519">
            <v>60049333</v>
          </cell>
          <cell r="B3519">
            <v>3517</v>
          </cell>
          <cell r="C3519" t="str">
            <v>CS01/11</v>
          </cell>
          <cell r="D3519" t="str">
            <v>SPCC-SD</v>
          </cell>
          <cell r="E3519" t="str">
            <v>AF1</v>
          </cell>
          <cell r="F3519">
            <v>3</v>
          </cell>
          <cell r="G3519">
            <v>38</v>
          </cell>
          <cell r="H3519" t="str">
            <v>C</v>
          </cell>
          <cell r="I3519" t="str">
            <v>A</v>
          </cell>
          <cell r="K3519">
            <v>1</v>
          </cell>
          <cell r="L3519">
            <v>280</v>
          </cell>
          <cell r="M3519">
            <v>60049333</v>
          </cell>
          <cell r="N3519">
            <v>38729</v>
          </cell>
          <cell r="P3519" t="str">
            <v>IN6112N2S642401</v>
          </cell>
        </row>
        <row r="3520">
          <cell r="A3520">
            <v>60054376</v>
          </cell>
          <cell r="B3520">
            <v>3518</v>
          </cell>
          <cell r="C3520" t="str">
            <v>CS01/11</v>
          </cell>
          <cell r="D3520" t="str">
            <v>SPCC-SD</v>
          </cell>
          <cell r="E3520" t="str">
            <v>AF1</v>
          </cell>
          <cell r="F3520">
            <v>3</v>
          </cell>
          <cell r="G3520">
            <v>39</v>
          </cell>
          <cell r="H3520" t="str">
            <v>C</v>
          </cell>
          <cell r="I3520" t="str">
            <v>A</v>
          </cell>
          <cell r="K3520">
            <v>1</v>
          </cell>
          <cell r="L3520">
            <v>146</v>
          </cell>
          <cell r="M3520">
            <v>60054376</v>
          </cell>
          <cell r="N3520">
            <v>38790</v>
          </cell>
          <cell r="P3520" t="str">
            <v>IN6314N2S834202</v>
          </cell>
        </row>
        <row r="3521">
          <cell r="A3521">
            <v>60054377</v>
          </cell>
          <cell r="B3521">
            <v>3519</v>
          </cell>
          <cell r="C3521" t="str">
            <v>CS01/11</v>
          </cell>
          <cell r="D3521" t="str">
            <v>SPCC-SD</v>
          </cell>
          <cell r="E3521" t="str">
            <v>AF1</v>
          </cell>
          <cell r="F3521">
            <v>3</v>
          </cell>
          <cell r="G3521">
            <v>39</v>
          </cell>
          <cell r="H3521" t="str">
            <v>C</v>
          </cell>
          <cell r="I3521" t="str">
            <v>A</v>
          </cell>
          <cell r="K3521">
            <v>1</v>
          </cell>
          <cell r="L3521">
            <v>146</v>
          </cell>
          <cell r="M3521">
            <v>60054377</v>
          </cell>
          <cell r="N3521">
            <v>38790</v>
          </cell>
          <cell r="P3521" t="str">
            <v>IN6314N2S834203</v>
          </cell>
        </row>
        <row r="3522">
          <cell r="A3522">
            <v>60054382</v>
          </cell>
          <cell r="B3522">
            <v>3520</v>
          </cell>
          <cell r="C3522" t="str">
            <v>CS01/11</v>
          </cell>
          <cell r="D3522" t="str">
            <v>SPCC-SD</v>
          </cell>
          <cell r="E3522" t="str">
            <v>AF1</v>
          </cell>
          <cell r="F3522">
            <v>3</v>
          </cell>
          <cell r="G3522">
            <v>39</v>
          </cell>
          <cell r="H3522" t="str">
            <v>C</v>
          </cell>
          <cell r="I3522" t="str">
            <v>A</v>
          </cell>
          <cell r="K3522">
            <v>1</v>
          </cell>
          <cell r="L3522">
            <v>144</v>
          </cell>
          <cell r="M3522">
            <v>60054382</v>
          </cell>
          <cell r="N3522">
            <v>38790</v>
          </cell>
          <cell r="P3522" t="str">
            <v>IN6314N2S834204</v>
          </cell>
        </row>
        <row r="3523">
          <cell r="A3523">
            <v>60054383</v>
          </cell>
          <cell r="B3523">
            <v>3521</v>
          </cell>
          <cell r="C3523" t="str">
            <v>CS01/11</v>
          </cell>
          <cell r="D3523" t="str">
            <v>SPCC-SD</v>
          </cell>
          <cell r="E3523" t="str">
            <v>AF1</v>
          </cell>
          <cell r="F3523">
            <v>3</v>
          </cell>
          <cell r="G3523">
            <v>39</v>
          </cell>
          <cell r="H3523" t="str">
            <v>C</v>
          </cell>
          <cell r="I3523" t="str">
            <v>A</v>
          </cell>
          <cell r="K3523">
            <v>1</v>
          </cell>
          <cell r="L3523">
            <v>144</v>
          </cell>
          <cell r="M3523">
            <v>60054383</v>
          </cell>
          <cell r="N3523">
            <v>38790</v>
          </cell>
          <cell r="P3523" t="str">
            <v>IN6314N2S834205</v>
          </cell>
        </row>
        <row r="3524">
          <cell r="A3524">
            <v>60054388</v>
          </cell>
          <cell r="B3524">
            <v>3522</v>
          </cell>
          <cell r="C3524" t="str">
            <v>CS01/11</v>
          </cell>
          <cell r="D3524" t="str">
            <v>SPCC-SD</v>
          </cell>
          <cell r="E3524" t="str">
            <v>AF1</v>
          </cell>
          <cell r="F3524">
            <v>3</v>
          </cell>
          <cell r="G3524">
            <v>39</v>
          </cell>
          <cell r="H3524" t="str">
            <v>C</v>
          </cell>
          <cell r="I3524" t="str">
            <v>A</v>
          </cell>
          <cell r="K3524">
            <v>1</v>
          </cell>
          <cell r="L3524">
            <v>150</v>
          </cell>
          <cell r="M3524">
            <v>60054388</v>
          </cell>
          <cell r="N3524">
            <v>38790</v>
          </cell>
          <cell r="P3524" t="str">
            <v>IN6314N2S834206</v>
          </cell>
        </row>
        <row r="3525">
          <cell r="A3525">
            <v>60054389</v>
          </cell>
          <cell r="B3525">
            <v>3523</v>
          </cell>
          <cell r="C3525" t="str">
            <v>CS01/11</v>
          </cell>
          <cell r="D3525" t="str">
            <v>SPCC-SD</v>
          </cell>
          <cell r="E3525" t="str">
            <v>AF1</v>
          </cell>
          <cell r="F3525">
            <v>3</v>
          </cell>
          <cell r="G3525">
            <v>39</v>
          </cell>
          <cell r="H3525" t="str">
            <v>C</v>
          </cell>
          <cell r="I3525" t="str">
            <v>A</v>
          </cell>
          <cell r="K3525">
            <v>1</v>
          </cell>
          <cell r="L3525">
            <v>150</v>
          </cell>
          <cell r="M3525">
            <v>60054389</v>
          </cell>
          <cell r="N3525">
            <v>38790</v>
          </cell>
          <cell r="P3525" t="str">
            <v>IN6314N2S834207</v>
          </cell>
        </row>
        <row r="3526">
          <cell r="A3526">
            <v>60054394</v>
          </cell>
          <cell r="B3526">
            <v>3524</v>
          </cell>
          <cell r="C3526" t="str">
            <v>CS01/11</v>
          </cell>
          <cell r="D3526" t="str">
            <v>SPCC-SD</v>
          </cell>
          <cell r="E3526" t="str">
            <v>AF1</v>
          </cell>
          <cell r="F3526">
            <v>3</v>
          </cell>
          <cell r="G3526">
            <v>39</v>
          </cell>
          <cell r="H3526" t="str">
            <v>C</v>
          </cell>
          <cell r="I3526" t="str">
            <v>A</v>
          </cell>
          <cell r="K3526">
            <v>1</v>
          </cell>
          <cell r="L3526">
            <v>149</v>
          </cell>
          <cell r="M3526">
            <v>60054394</v>
          </cell>
          <cell r="N3526">
            <v>38790</v>
          </cell>
          <cell r="P3526" t="str">
            <v>IN6314N2S834208</v>
          </cell>
        </row>
        <row r="3527">
          <cell r="A3527">
            <v>60054395</v>
          </cell>
          <cell r="B3527">
            <v>3525</v>
          </cell>
          <cell r="C3527" t="str">
            <v>CS01/11</v>
          </cell>
          <cell r="D3527" t="str">
            <v>SPCC-SD</v>
          </cell>
          <cell r="E3527" t="str">
            <v>AF1</v>
          </cell>
          <cell r="F3527">
            <v>3</v>
          </cell>
          <cell r="G3527">
            <v>39</v>
          </cell>
          <cell r="H3527" t="str">
            <v>C</v>
          </cell>
          <cell r="I3527" t="str">
            <v>A</v>
          </cell>
          <cell r="K3527">
            <v>1</v>
          </cell>
          <cell r="L3527">
            <v>149</v>
          </cell>
          <cell r="M3527">
            <v>60054395</v>
          </cell>
          <cell r="N3527">
            <v>38790</v>
          </cell>
          <cell r="P3527" t="str">
            <v>IN6314N2S834209</v>
          </cell>
        </row>
        <row r="3528">
          <cell r="A3528">
            <v>60054412</v>
          </cell>
          <cell r="B3528">
            <v>3526</v>
          </cell>
          <cell r="C3528" t="str">
            <v>CS01/11</v>
          </cell>
          <cell r="D3528" t="str">
            <v>SPCC-SD</v>
          </cell>
          <cell r="E3528" t="str">
            <v>AF1</v>
          </cell>
          <cell r="F3528">
            <v>3</v>
          </cell>
          <cell r="G3528">
            <v>39</v>
          </cell>
          <cell r="H3528" t="str">
            <v>C</v>
          </cell>
          <cell r="I3528" t="str">
            <v>A</v>
          </cell>
          <cell r="K3528">
            <v>1</v>
          </cell>
          <cell r="L3528">
            <v>78</v>
          </cell>
          <cell r="M3528">
            <v>60054412</v>
          </cell>
          <cell r="N3528">
            <v>38790</v>
          </cell>
          <cell r="P3528" t="str">
            <v>IN6314N2S834210</v>
          </cell>
        </row>
        <row r="3529">
          <cell r="A3529">
            <v>60054413</v>
          </cell>
          <cell r="B3529">
            <v>3527</v>
          </cell>
          <cell r="C3529" t="str">
            <v>CS01/11</v>
          </cell>
          <cell r="D3529" t="str">
            <v>SPCC-SD</v>
          </cell>
          <cell r="E3529" t="str">
            <v>AF1</v>
          </cell>
          <cell r="F3529">
            <v>3</v>
          </cell>
          <cell r="G3529">
            <v>39</v>
          </cell>
          <cell r="H3529" t="str">
            <v>C</v>
          </cell>
          <cell r="I3529" t="str">
            <v>A</v>
          </cell>
          <cell r="K3529">
            <v>1</v>
          </cell>
          <cell r="L3529">
            <v>78</v>
          </cell>
          <cell r="M3529">
            <v>60054413</v>
          </cell>
          <cell r="N3529">
            <v>38790</v>
          </cell>
          <cell r="P3529" t="str">
            <v>IN6314N2S834211</v>
          </cell>
        </row>
        <row r="3530">
          <cell r="A3530">
            <v>60045194</v>
          </cell>
          <cell r="B3530">
            <v>3528</v>
          </cell>
          <cell r="C3530" t="str">
            <v>CS01/11</v>
          </cell>
          <cell r="D3530" t="str">
            <v>SPCC-SD</v>
          </cell>
          <cell r="E3530" t="str">
            <v>AF1</v>
          </cell>
          <cell r="F3530">
            <v>3</v>
          </cell>
          <cell r="G3530">
            <v>78</v>
          </cell>
          <cell r="H3530" t="str">
            <v>C</v>
          </cell>
          <cell r="I3530" t="str">
            <v>A</v>
          </cell>
          <cell r="K3530">
            <v>1</v>
          </cell>
          <cell r="L3530">
            <v>404</v>
          </cell>
          <cell r="M3530">
            <v>60045194</v>
          </cell>
          <cell r="N3530" t="str">
            <v>18/B/2005</v>
          </cell>
          <cell r="P3530" t="str">
            <v>IN5B18D2S490301</v>
          </cell>
        </row>
        <row r="3531">
          <cell r="A3531">
            <v>60045196</v>
          </cell>
          <cell r="B3531">
            <v>3529</v>
          </cell>
          <cell r="C3531" t="str">
            <v>CS01/11</v>
          </cell>
          <cell r="D3531" t="str">
            <v>SPCC-SD</v>
          </cell>
          <cell r="E3531" t="str">
            <v>AF1</v>
          </cell>
          <cell r="F3531">
            <v>3</v>
          </cell>
          <cell r="G3531">
            <v>78</v>
          </cell>
          <cell r="H3531" t="str">
            <v>C</v>
          </cell>
          <cell r="I3531" t="str">
            <v>A</v>
          </cell>
          <cell r="K3531">
            <v>1</v>
          </cell>
          <cell r="L3531">
            <v>274</v>
          </cell>
          <cell r="M3531">
            <v>60045196</v>
          </cell>
          <cell r="N3531" t="str">
            <v>18/B/2005</v>
          </cell>
          <cell r="P3531" t="str">
            <v>IN5B18D2S489201</v>
          </cell>
        </row>
        <row r="3532">
          <cell r="A3532">
            <v>60045198</v>
          </cell>
          <cell r="B3532">
            <v>3530</v>
          </cell>
          <cell r="C3532" t="str">
            <v>CS01/11</v>
          </cell>
          <cell r="D3532" t="str">
            <v>SPCC-SD</v>
          </cell>
          <cell r="E3532" t="str">
            <v>AF1</v>
          </cell>
          <cell r="F3532">
            <v>3</v>
          </cell>
          <cell r="G3532">
            <v>78</v>
          </cell>
          <cell r="H3532" t="str">
            <v>C</v>
          </cell>
          <cell r="I3532" t="str">
            <v>A</v>
          </cell>
          <cell r="K3532">
            <v>1</v>
          </cell>
          <cell r="L3532">
            <v>360</v>
          </cell>
          <cell r="M3532">
            <v>60045198</v>
          </cell>
          <cell r="N3532" t="str">
            <v>18/B/2005</v>
          </cell>
          <cell r="P3532" t="str">
            <v>IN5B18D2S489202</v>
          </cell>
        </row>
        <row r="3533">
          <cell r="A3533">
            <v>60046011</v>
          </cell>
          <cell r="B3533">
            <v>3531</v>
          </cell>
          <cell r="C3533" t="str">
            <v>CS01/11</v>
          </cell>
          <cell r="D3533" t="str">
            <v>SPCC-SD</v>
          </cell>
          <cell r="E3533" t="str">
            <v>AF1</v>
          </cell>
          <cell r="F3533">
            <v>3</v>
          </cell>
          <cell r="G3533">
            <v>78</v>
          </cell>
          <cell r="H3533" t="str">
            <v>C</v>
          </cell>
          <cell r="I3533" t="str">
            <v>A</v>
          </cell>
          <cell r="K3533">
            <v>1</v>
          </cell>
          <cell r="L3533">
            <v>348</v>
          </cell>
          <cell r="M3533">
            <v>60046011</v>
          </cell>
          <cell r="N3533" t="str">
            <v>26/B/2005</v>
          </cell>
          <cell r="P3533" t="str">
            <v>IN5B26D1S510801</v>
          </cell>
        </row>
        <row r="3534">
          <cell r="A3534">
            <v>60053140</v>
          </cell>
          <cell r="B3534">
            <v>3532</v>
          </cell>
          <cell r="C3534" t="str">
            <v>CS01/11</v>
          </cell>
          <cell r="D3534" t="str">
            <v>SPCC-SD</v>
          </cell>
          <cell r="E3534" t="str">
            <v>AF1</v>
          </cell>
          <cell r="F3534">
            <v>3</v>
          </cell>
          <cell r="G3534">
            <v>78</v>
          </cell>
          <cell r="H3534" t="str">
            <v>C</v>
          </cell>
          <cell r="I3534" t="str">
            <v>A</v>
          </cell>
          <cell r="K3534">
            <v>1</v>
          </cell>
          <cell r="L3534">
            <v>210</v>
          </cell>
          <cell r="M3534">
            <v>60053140</v>
          </cell>
          <cell r="N3534">
            <v>38778</v>
          </cell>
          <cell r="P3534" t="str">
            <v>IN6302D2S787701</v>
          </cell>
        </row>
        <row r="3535">
          <cell r="A3535">
            <v>60053145</v>
          </cell>
          <cell r="B3535">
            <v>3533</v>
          </cell>
          <cell r="C3535" t="str">
            <v>CS01/11</v>
          </cell>
          <cell r="D3535" t="str">
            <v>SPCC-SD</v>
          </cell>
          <cell r="E3535" t="str">
            <v>AF1</v>
          </cell>
          <cell r="F3535">
            <v>3</v>
          </cell>
          <cell r="G3535">
            <v>78</v>
          </cell>
          <cell r="H3535" t="str">
            <v>C</v>
          </cell>
          <cell r="I3535" t="str">
            <v>A</v>
          </cell>
          <cell r="K3535">
            <v>1</v>
          </cell>
          <cell r="L3535">
            <v>228</v>
          </cell>
          <cell r="M3535">
            <v>60053145</v>
          </cell>
          <cell r="N3535">
            <v>38778</v>
          </cell>
          <cell r="P3535" t="str">
            <v>IN6302D2S787702</v>
          </cell>
        </row>
        <row r="3536">
          <cell r="A3536">
            <v>60053150</v>
          </cell>
          <cell r="B3536">
            <v>3534</v>
          </cell>
          <cell r="C3536" t="str">
            <v>CS01/11</v>
          </cell>
          <cell r="D3536" t="str">
            <v>SPCC-SD</v>
          </cell>
          <cell r="E3536" t="str">
            <v>AF1</v>
          </cell>
          <cell r="F3536">
            <v>3</v>
          </cell>
          <cell r="G3536">
            <v>78</v>
          </cell>
          <cell r="H3536" t="str">
            <v>C</v>
          </cell>
          <cell r="I3536" t="str">
            <v>A</v>
          </cell>
          <cell r="K3536">
            <v>1</v>
          </cell>
          <cell r="L3536">
            <v>204</v>
          </cell>
          <cell r="M3536">
            <v>60053150</v>
          </cell>
          <cell r="N3536">
            <v>38778</v>
          </cell>
          <cell r="P3536" t="str">
            <v>IN6302D2S787703</v>
          </cell>
        </row>
        <row r="3537">
          <cell r="A3537">
            <v>60053155</v>
          </cell>
          <cell r="B3537">
            <v>3535</v>
          </cell>
          <cell r="C3537" t="str">
            <v>CS01/11</v>
          </cell>
          <cell r="D3537" t="str">
            <v>SPCC-SD</v>
          </cell>
          <cell r="E3537" t="str">
            <v>AF1</v>
          </cell>
          <cell r="F3537">
            <v>3</v>
          </cell>
          <cell r="G3537">
            <v>78</v>
          </cell>
          <cell r="H3537" t="str">
            <v>C</v>
          </cell>
          <cell r="I3537" t="str">
            <v>A</v>
          </cell>
          <cell r="K3537">
            <v>1</v>
          </cell>
          <cell r="L3537">
            <v>202</v>
          </cell>
          <cell r="M3537">
            <v>60053155</v>
          </cell>
          <cell r="N3537">
            <v>38778</v>
          </cell>
          <cell r="P3537" t="str">
            <v>IN6302D2S787704</v>
          </cell>
        </row>
        <row r="3538">
          <cell r="A3538">
            <v>60053168</v>
          </cell>
          <cell r="B3538">
            <v>3536</v>
          </cell>
          <cell r="C3538" t="str">
            <v>CS01/11</v>
          </cell>
          <cell r="D3538" t="str">
            <v>SPCC-SD</v>
          </cell>
          <cell r="E3538" t="str">
            <v>AF1</v>
          </cell>
          <cell r="F3538">
            <v>3</v>
          </cell>
          <cell r="G3538">
            <v>78</v>
          </cell>
          <cell r="H3538" t="str">
            <v>C</v>
          </cell>
          <cell r="I3538" t="str">
            <v>A</v>
          </cell>
          <cell r="K3538">
            <v>1</v>
          </cell>
          <cell r="L3538">
            <v>276</v>
          </cell>
          <cell r="M3538">
            <v>60053168</v>
          </cell>
          <cell r="N3538">
            <v>38778</v>
          </cell>
          <cell r="P3538" t="str">
            <v>IN6302D2S787705</v>
          </cell>
        </row>
        <row r="3539">
          <cell r="A3539">
            <v>60053173</v>
          </cell>
          <cell r="B3539">
            <v>3537</v>
          </cell>
          <cell r="C3539" t="str">
            <v>CS01/11</v>
          </cell>
          <cell r="D3539" t="str">
            <v>SPCC-SD</v>
          </cell>
          <cell r="E3539" t="str">
            <v>AF1</v>
          </cell>
          <cell r="F3539">
            <v>3</v>
          </cell>
          <cell r="G3539">
            <v>78</v>
          </cell>
          <cell r="H3539" t="str">
            <v>C</v>
          </cell>
          <cell r="I3539" t="str">
            <v>A</v>
          </cell>
          <cell r="K3539">
            <v>1</v>
          </cell>
          <cell r="L3539">
            <v>326</v>
          </cell>
          <cell r="M3539">
            <v>60053173</v>
          </cell>
          <cell r="N3539">
            <v>38778</v>
          </cell>
          <cell r="P3539" t="str">
            <v>IN6302D2S787706</v>
          </cell>
        </row>
        <row r="3540">
          <cell r="A3540">
            <v>60053178</v>
          </cell>
          <cell r="B3540">
            <v>3538</v>
          </cell>
          <cell r="C3540" t="str">
            <v>CS01/11</v>
          </cell>
          <cell r="D3540" t="str">
            <v>SPCC-SD</v>
          </cell>
          <cell r="E3540" t="str">
            <v>AF1</v>
          </cell>
          <cell r="F3540">
            <v>3</v>
          </cell>
          <cell r="G3540">
            <v>78</v>
          </cell>
          <cell r="H3540" t="str">
            <v>C</v>
          </cell>
          <cell r="I3540" t="str">
            <v>A</v>
          </cell>
          <cell r="K3540">
            <v>1</v>
          </cell>
          <cell r="L3540">
            <v>320</v>
          </cell>
          <cell r="M3540">
            <v>60053178</v>
          </cell>
          <cell r="N3540">
            <v>38778</v>
          </cell>
          <cell r="P3540" t="str">
            <v>IN6302D2S787707</v>
          </cell>
        </row>
        <row r="3541">
          <cell r="A3541">
            <v>60057002</v>
          </cell>
          <cell r="B3541">
            <v>3539</v>
          </cell>
          <cell r="C3541" t="str">
            <v>CS01/11</v>
          </cell>
          <cell r="D3541" t="str">
            <v>SPCC-SD</v>
          </cell>
          <cell r="E3541" t="str">
            <v>AF1</v>
          </cell>
          <cell r="F3541">
            <v>3</v>
          </cell>
          <cell r="G3541">
            <v>78</v>
          </cell>
          <cell r="H3541" t="str">
            <v>C</v>
          </cell>
          <cell r="I3541" t="str">
            <v>A</v>
          </cell>
          <cell r="K3541">
            <v>1</v>
          </cell>
          <cell r="L3541">
            <v>268</v>
          </cell>
          <cell r="M3541">
            <v>60057002</v>
          </cell>
          <cell r="N3541">
            <v>38828</v>
          </cell>
          <cell r="P3541" t="str">
            <v>IN6421N2S934501</v>
          </cell>
        </row>
        <row r="3542">
          <cell r="A3542">
            <v>60057007</v>
          </cell>
          <cell r="B3542">
            <v>3540</v>
          </cell>
          <cell r="C3542" t="str">
            <v>CS01/11</v>
          </cell>
          <cell r="D3542" t="str">
            <v>SPCC-SD</v>
          </cell>
          <cell r="E3542" t="str">
            <v>AF1</v>
          </cell>
          <cell r="F3542">
            <v>3</v>
          </cell>
          <cell r="G3542">
            <v>78</v>
          </cell>
          <cell r="H3542" t="str">
            <v>C</v>
          </cell>
          <cell r="I3542" t="str">
            <v>A</v>
          </cell>
          <cell r="K3542">
            <v>1</v>
          </cell>
          <cell r="L3542">
            <v>266</v>
          </cell>
          <cell r="M3542">
            <v>60057007</v>
          </cell>
          <cell r="N3542">
            <v>38828</v>
          </cell>
          <cell r="P3542" t="str">
            <v>IN6421N2S934502</v>
          </cell>
        </row>
        <row r="3543">
          <cell r="A3543">
            <v>60057025</v>
          </cell>
          <cell r="B3543">
            <v>3541</v>
          </cell>
          <cell r="C3543" t="str">
            <v>CS01/11</v>
          </cell>
          <cell r="D3543" t="str">
            <v>SPCC-SD</v>
          </cell>
          <cell r="E3543" t="str">
            <v>AF1</v>
          </cell>
          <cell r="F3543">
            <v>3</v>
          </cell>
          <cell r="G3543">
            <v>78</v>
          </cell>
          <cell r="H3543" t="str">
            <v>C</v>
          </cell>
          <cell r="I3543" t="str">
            <v>A</v>
          </cell>
          <cell r="K3543">
            <v>1</v>
          </cell>
          <cell r="L3543">
            <v>298</v>
          </cell>
          <cell r="M3543">
            <v>60057025</v>
          </cell>
          <cell r="N3543">
            <v>38828</v>
          </cell>
          <cell r="P3543" t="str">
            <v>IN6421N2S934503</v>
          </cell>
        </row>
        <row r="3544">
          <cell r="A3544">
            <v>60047636</v>
          </cell>
          <cell r="B3544">
            <v>3542</v>
          </cell>
          <cell r="C3544" t="str">
            <v>CS01/11</v>
          </cell>
          <cell r="D3544" t="str">
            <v>SPCC-SD</v>
          </cell>
          <cell r="E3544" t="str">
            <v>AF1</v>
          </cell>
          <cell r="F3544">
            <v>3</v>
          </cell>
          <cell r="G3544">
            <v>90</v>
          </cell>
          <cell r="H3544" t="str">
            <v>C</v>
          </cell>
          <cell r="I3544" t="str">
            <v>A</v>
          </cell>
          <cell r="K3544">
            <v>1</v>
          </cell>
          <cell r="L3544">
            <v>382</v>
          </cell>
          <cell r="M3544">
            <v>60047636</v>
          </cell>
          <cell r="N3544" t="str">
            <v>16/C/2005</v>
          </cell>
          <cell r="P3544" t="str">
            <v>IN5C16N2S551601</v>
          </cell>
        </row>
        <row r="3545">
          <cell r="A3545">
            <v>60047652</v>
          </cell>
          <cell r="B3545">
            <v>3543</v>
          </cell>
          <cell r="C3545" t="str">
            <v>CS01/11</v>
          </cell>
          <cell r="D3545" t="str">
            <v>SPCC-SD</v>
          </cell>
          <cell r="E3545" t="str">
            <v>AF1</v>
          </cell>
          <cell r="F3545">
            <v>3</v>
          </cell>
          <cell r="G3545">
            <v>90</v>
          </cell>
          <cell r="H3545" t="str">
            <v>C</v>
          </cell>
          <cell r="I3545" t="str">
            <v>A</v>
          </cell>
          <cell r="K3545">
            <v>1</v>
          </cell>
          <cell r="L3545">
            <v>358</v>
          </cell>
          <cell r="M3545">
            <v>60047652</v>
          </cell>
          <cell r="N3545" t="str">
            <v>16/C/2005</v>
          </cell>
          <cell r="P3545" t="str">
            <v>IN5C16N2S551602</v>
          </cell>
        </row>
        <row r="3546">
          <cell r="A3546">
            <v>60047673</v>
          </cell>
          <cell r="B3546">
            <v>3544</v>
          </cell>
          <cell r="C3546" t="str">
            <v>CS01/11</v>
          </cell>
          <cell r="D3546" t="str">
            <v>SPCC-SD</v>
          </cell>
          <cell r="E3546" t="str">
            <v>AF1</v>
          </cell>
          <cell r="F3546">
            <v>3</v>
          </cell>
          <cell r="G3546">
            <v>90</v>
          </cell>
          <cell r="H3546" t="str">
            <v>C</v>
          </cell>
          <cell r="I3546" t="str">
            <v>A</v>
          </cell>
          <cell r="K3546">
            <v>1</v>
          </cell>
          <cell r="L3546">
            <v>368</v>
          </cell>
          <cell r="M3546">
            <v>60047673</v>
          </cell>
          <cell r="N3546" t="str">
            <v>16/C/2005</v>
          </cell>
          <cell r="P3546" t="str">
            <v>IN5C16N2S551603</v>
          </cell>
        </row>
        <row r="3547">
          <cell r="A3547">
            <v>60047677</v>
          </cell>
          <cell r="B3547">
            <v>3545</v>
          </cell>
          <cell r="C3547" t="str">
            <v>CS01/11</v>
          </cell>
          <cell r="D3547" t="str">
            <v>SPCC-SD</v>
          </cell>
          <cell r="E3547" t="str">
            <v>AF1</v>
          </cell>
          <cell r="F3547">
            <v>3</v>
          </cell>
          <cell r="G3547">
            <v>90</v>
          </cell>
          <cell r="H3547" t="str">
            <v>C</v>
          </cell>
          <cell r="I3547" t="str">
            <v>A</v>
          </cell>
          <cell r="K3547">
            <v>1</v>
          </cell>
          <cell r="L3547">
            <v>368</v>
          </cell>
          <cell r="M3547">
            <v>60047677</v>
          </cell>
          <cell r="N3547" t="str">
            <v>16/C/2005</v>
          </cell>
          <cell r="P3547" t="str">
            <v>IN5C16N2S551604</v>
          </cell>
        </row>
        <row r="3548">
          <cell r="A3548">
            <v>60047678</v>
          </cell>
          <cell r="B3548">
            <v>3546</v>
          </cell>
          <cell r="C3548" t="str">
            <v>CS01/11</v>
          </cell>
          <cell r="D3548" t="str">
            <v>SPCC-SD</v>
          </cell>
          <cell r="E3548" t="str">
            <v>AF1</v>
          </cell>
          <cell r="F3548">
            <v>3</v>
          </cell>
          <cell r="G3548">
            <v>90</v>
          </cell>
          <cell r="H3548" t="str">
            <v>C</v>
          </cell>
          <cell r="I3548" t="str">
            <v>A</v>
          </cell>
          <cell r="K3548">
            <v>1</v>
          </cell>
          <cell r="L3548">
            <v>366</v>
          </cell>
          <cell r="M3548">
            <v>60047678</v>
          </cell>
          <cell r="N3548" t="str">
            <v>16/C/2005</v>
          </cell>
          <cell r="P3548" t="str">
            <v>IN5C16N2S551605</v>
          </cell>
        </row>
        <row r="3549">
          <cell r="A3549">
            <v>60047682</v>
          </cell>
          <cell r="B3549">
            <v>3547</v>
          </cell>
          <cell r="C3549" t="str">
            <v>CS01/11</v>
          </cell>
          <cell r="D3549" t="str">
            <v>SPCC-SD</v>
          </cell>
          <cell r="E3549" t="str">
            <v>AF1</v>
          </cell>
          <cell r="F3549">
            <v>3</v>
          </cell>
          <cell r="G3549">
            <v>90</v>
          </cell>
          <cell r="H3549" t="str">
            <v>C</v>
          </cell>
          <cell r="I3549" t="str">
            <v>A</v>
          </cell>
          <cell r="K3549">
            <v>1</v>
          </cell>
          <cell r="L3549">
            <v>366</v>
          </cell>
          <cell r="M3549">
            <v>60047682</v>
          </cell>
          <cell r="N3549" t="str">
            <v>16/C/2005</v>
          </cell>
          <cell r="P3549" t="str">
            <v>IN5C16N2S551606</v>
          </cell>
        </row>
        <row r="3550">
          <cell r="A3550">
            <v>60048098</v>
          </cell>
          <cell r="B3550">
            <v>3548</v>
          </cell>
          <cell r="C3550" t="str">
            <v>CS01/11</v>
          </cell>
          <cell r="D3550" t="str">
            <v>SPCC-SD</v>
          </cell>
          <cell r="E3550" t="str">
            <v>AF1</v>
          </cell>
          <cell r="F3550">
            <v>3</v>
          </cell>
          <cell r="G3550">
            <v>90</v>
          </cell>
          <cell r="H3550" t="str">
            <v>C</v>
          </cell>
          <cell r="I3550" t="str">
            <v>A</v>
          </cell>
          <cell r="K3550">
            <v>1</v>
          </cell>
          <cell r="L3550">
            <v>408</v>
          </cell>
          <cell r="M3550">
            <v>60048098</v>
          </cell>
          <cell r="N3550" t="str">
            <v>21/C/2005</v>
          </cell>
          <cell r="P3550" t="str">
            <v>IN5C21D2S551701</v>
          </cell>
        </row>
        <row r="3551">
          <cell r="A3551">
            <v>60048102</v>
          </cell>
          <cell r="B3551">
            <v>3549</v>
          </cell>
          <cell r="C3551" t="str">
            <v>CS01/11</v>
          </cell>
          <cell r="D3551" t="str">
            <v>SPCC-SD</v>
          </cell>
          <cell r="E3551" t="str">
            <v>AF1</v>
          </cell>
          <cell r="F3551">
            <v>3</v>
          </cell>
          <cell r="G3551">
            <v>90</v>
          </cell>
          <cell r="H3551" t="str">
            <v>C</v>
          </cell>
          <cell r="I3551" t="str">
            <v>A</v>
          </cell>
          <cell r="K3551">
            <v>1</v>
          </cell>
          <cell r="L3551">
            <v>406</v>
          </cell>
          <cell r="M3551">
            <v>60048102</v>
          </cell>
          <cell r="N3551" t="str">
            <v>21/C/2005</v>
          </cell>
          <cell r="P3551" t="str">
            <v>IN5C21D2S551702</v>
          </cell>
        </row>
        <row r="3552">
          <cell r="A3552">
            <v>60049139</v>
          </cell>
          <cell r="B3552">
            <v>3550</v>
          </cell>
          <cell r="C3552" t="str">
            <v>CS01/11</v>
          </cell>
          <cell r="D3552" t="str">
            <v>SPCC-SD</v>
          </cell>
          <cell r="E3552" t="str">
            <v>AF1</v>
          </cell>
          <cell r="F3552">
            <v>3</v>
          </cell>
          <cell r="G3552">
            <v>90</v>
          </cell>
          <cell r="H3552" t="str">
            <v>C</v>
          </cell>
          <cell r="I3552" t="str">
            <v>A</v>
          </cell>
          <cell r="K3552">
            <v>1</v>
          </cell>
          <cell r="L3552">
            <v>319</v>
          </cell>
          <cell r="M3552">
            <v>60049139</v>
          </cell>
          <cell r="N3552">
            <v>38726</v>
          </cell>
          <cell r="P3552" t="str">
            <v>IN6109D2S617101</v>
          </cell>
        </row>
        <row r="3553">
          <cell r="A3553">
            <v>60049140</v>
          </cell>
          <cell r="B3553">
            <v>3551</v>
          </cell>
          <cell r="C3553" t="str">
            <v>CS01/11</v>
          </cell>
          <cell r="D3553" t="str">
            <v>SPCC-SD</v>
          </cell>
          <cell r="E3553" t="str">
            <v>AF1</v>
          </cell>
          <cell r="F3553">
            <v>3</v>
          </cell>
          <cell r="G3553">
            <v>90</v>
          </cell>
          <cell r="H3553" t="str">
            <v>C</v>
          </cell>
          <cell r="I3553" t="str">
            <v>A</v>
          </cell>
          <cell r="K3553">
            <v>1</v>
          </cell>
          <cell r="L3553">
            <v>319</v>
          </cell>
          <cell r="M3553">
            <v>60049140</v>
          </cell>
          <cell r="N3553">
            <v>38726</v>
          </cell>
          <cell r="P3553" t="str">
            <v>IN6109D2S617102</v>
          </cell>
        </row>
        <row r="3554">
          <cell r="A3554">
            <v>60049167</v>
          </cell>
          <cell r="B3554">
            <v>3552</v>
          </cell>
          <cell r="C3554" t="str">
            <v>CS01/11</v>
          </cell>
          <cell r="D3554" t="str">
            <v>SPCC-SD</v>
          </cell>
          <cell r="E3554" t="str">
            <v>AF1</v>
          </cell>
          <cell r="F3554">
            <v>3</v>
          </cell>
          <cell r="G3554">
            <v>90</v>
          </cell>
          <cell r="H3554" t="str">
            <v>C</v>
          </cell>
          <cell r="I3554" t="str">
            <v>A</v>
          </cell>
          <cell r="K3554">
            <v>1</v>
          </cell>
          <cell r="L3554">
            <v>401</v>
          </cell>
          <cell r="M3554">
            <v>60049167</v>
          </cell>
          <cell r="N3554">
            <v>38726</v>
          </cell>
          <cell r="P3554" t="str">
            <v>IN6109N2S617201</v>
          </cell>
        </row>
        <row r="3555">
          <cell r="A3555">
            <v>60048328</v>
          </cell>
          <cell r="B3555">
            <v>3553</v>
          </cell>
          <cell r="C3555" t="str">
            <v>CS01/11</v>
          </cell>
          <cell r="D3555" t="str">
            <v>SPCEN-SD</v>
          </cell>
          <cell r="E3555" t="str">
            <v>AF3</v>
          </cell>
          <cell r="F3555">
            <v>0.8</v>
          </cell>
          <cell r="G3555">
            <v>60</v>
          </cell>
          <cell r="H3555" t="str">
            <v>C</v>
          </cell>
          <cell r="I3555" t="str">
            <v>A</v>
          </cell>
          <cell r="K3555">
            <v>1</v>
          </cell>
          <cell r="L3555">
            <v>308</v>
          </cell>
          <cell r="M3555">
            <v>60048328</v>
          </cell>
          <cell r="N3555" t="str">
            <v>23/C/2005</v>
          </cell>
          <cell r="P3555" t="str">
            <v>IN5C23N1S602401</v>
          </cell>
        </row>
        <row r="3556">
          <cell r="A3556">
            <v>60048330</v>
          </cell>
          <cell r="B3556">
            <v>3554</v>
          </cell>
          <cell r="C3556" t="str">
            <v>CS01/11</v>
          </cell>
          <cell r="D3556" t="str">
            <v>SPCEN-SD</v>
          </cell>
          <cell r="E3556" t="str">
            <v>AF3</v>
          </cell>
          <cell r="F3556">
            <v>0.8</v>
          </cell>
          <cell r="G3556">
            <v>60</v>
          </cell>
          <cell r="H3556" t="str">
            <v>C</v>
          </cell>
          <cell r="I3556" t="str">
            <v>A</v>
          </cell>
          <cell r="K3556">
            <v>1</v>
          </cell>
          <cell r="L3556">
            <v>312</v>
          </cell>
          <cell r="M3556">
            <v>60048330</v>
          </cell>
          <cell r="N3556" t="str">
            <v>23/C/2005</v>
          </cell>
          <cell r="P3556" t="str">
            <v>IN5C23N1S602402</v>
          </cell>
        </row>
        <row r="3557">
          <cell r="A3557">
            <v>60033834</v>
          </cell>
          <cell r="B3557">
            <v>3555</v>
          </cell>
          <cell r="C3557" t="str">
            <v>CS01/11</v>
          </cell>
          <cell r="D3557" t="str">
            <v>SPCEN-SD</v>
          </cell>
          <cell r="E3557" t="str">
            <v>AF3</v>
          </cell>
          <cell r="F3557">
            <v>0.8</v>
          </cell>
          <cell r="G3557">
            <v>75</v>
          </cell>
          <cell r="H3557" t="str">
            <v>C</v>
          </cell>
          <cell r="I3557" t="str">
            <v>A</v>
          </cell>
          <cell r="K3557">
            <v>1</v>
          </cell>
          <cell r="L3557">
            <v>544</v>
          </cell>
          <cell r="M3557">
            <v>60033834</v>
          </cell>
          <cell r="N3557">
            <v>38483</v>
          </cell>
          <cell r="P3557" t="str">
            <v>IN5511N1S960901</v>
          </cell>
        </row>
        <row r="3558">
          <cell r="A3558">
            <v>60043813</v>
          </cell>
          <cell r="B3558">
            <v>3556</v>
          </cell>
          <cell r="C3558" t="str">
            <v>CS01/11</v>
          </cell>
          <cell r="D3558" t="str">
            <v>SPCEN-SD</v>
          </cell>
          <cell r="E3558" t="str">
            <v>AF3</v>
          </cell>
          <cell r="F3558">
            <v>0.8</v>
          </cell>
          <cell r="G3558">
            <v>85</v>
          </cell>
          <cell r="H3558" t="str">
            <v>C</v>
          </cell>
          <cell r="I3558" t="str">
            <v>A</v>
          </cell>
          <cell r="K3558">
            <v>1</v>
          </cell>
          <cell r="L3558">
            <v>335</v>
          </cell>
          <cell r="M3558">
            <v>60043813</v>
          </cell>
          <cell r="N3558">
            <v>38940</v>
          </cell>
          <cell r="P3558" t="str">
            <v>IN6811D1M286801</v>
          </cell>
        </row>
        <row r="3559">
          <cell r="A3559">
            <v>60043819</v>
          </cell>
          <cell r="B3559">
            <v>3557</v>
          </cell>
          <cell r="C3559" t="str">
            <v>CS01/11</v>
          </cell>
          <cell r="D3559" t="str">
            <v>SPCEN-SD</v>
          </cell>
          <cell r="E3559" t="str">
            <v>AF3</v>
          </cell>
          <cell r="F3559">
            <v>0.8</v>
          </cell>
          <cell r="G3559">
            <v>85</v>
          </cell>
          <cell r="H3559" t="str">
            <v>C</v>
          </cell>
          <cell r="I3559" t="str">
            <v>A</v>
          </cell>
          <cell r="K3559">
            <v>1</v>
          </cell>
          <cell r="L3559">
            <v>532</v>
          </cell>
          <cell r="M3559">
            <v>60043819</v>
          </cell>
          <cell r="N3559" t="str">
            <v>5/B/2005</v>
          </cell>
          <cell r="P3559" t="str">
            <v>IN5B05N1S440501</v>
          </cell>
        </row>
        <row r="3560">
          <cell r="A3560">
            <v>60043822</v>
          </cell>
          <cell r="B3560">
            <v>3558</v>
          </cell>
          <cell r="C3560" t="str">
            <v>CS01/11</v>
          </cell>
          <cell r="D3560" t="str">
            <v>SPCEN-SD</v>
          </cell>
          <cell r="E3560" t="str">
            <v>AF3</v>
          </cell>
          <cell r="F3560">
            <v>0.8</v>
          </cell>
          <cell r="G3560">
            <v>85</v>
          </cell>
          <cell r="H3560" t="str">
            <v>C</v>
          </cell>
          <cell r="I3560" t="str">
            <v>A</v>
          </cell>
          <cell r="K3560">
            <v>1</v>
          </cell>
          <cell r="L3560">
            <v>568</v>
          </cell>
          <cell r="M3560">
            <v>60043822</v>
          </cell>
          <cell r="N3560" t="str">
            <v>5/B/2005</v>
          </cell>
          <cell r="P3560" t="str">
            <v>IN5B05N1S440601</v>
          </cell>
        </row>
        <row r="3561">
          <cell r="A3561">
            <v>60045595</v>
          </cell>
          <cell r="B3561">
            <v>3559</v>
          </cell>
          <cell r="C3561" t="str">
            <v>CS01/11</v>
          </cell>
          <cell r="D3561" t="str">
            <v>SPCEN-SD</v>
          </cell>
          <cell r="E3561" t="str">
            <v>AF3</v>
          </cell>
          <cell r="F3561">
            <v>0.8</v>
          </cell>
          <cell r="G3561">
            <v>85</v>
          </cell>
          <cell r="H3561" t="str">
            <v>C</v>
          </cell>
          <cell r="I3561" t="str">
            <v>A</v>
          </cell>
          <cell r="K3561">
            <v>1</v>
          </cell>
          <cell r="L3561">
            <v>526</v>
          </cell>
          <cell r="M3561">
            <v>60045595</v>
          </cell>
          <cell r="N3561" t="str">
            <v>22/B/2005</v>
          </cell>
          <cell r="P3561" t="str">
            <v>IN5B22N1S501001</v>
          </cell>
        </row>
        <row r="3562">
          <cell r="A3562">
            <v>60045598</v>
          </cell>
          <cell r="B3562">
            <v>3560</v>
          </cell>
          <cell r="C3562" t="str">
            <v>CS01/11</v>
          </cell>
          <cell r="D3562" t="str">
            <v>SPCEN-SD</v>
          </cell>
          <cell r="E3562" t="str">
            <v>AF3</v>
          </cell>
          <cell r="F3562">
            <v>0.8</v>
          </cell>
          <cell r="G3562">
            <v>85</v>
          </cell>
          <cell r="H3562" t="str">
            <v>C</v>
          </cell>
          <cell r="I3562" t="str">
            <v>A</v>
          </cell>
          <cell r="K3562">
            <v>1</v>
          </cell>
          <cell r="L3562">
            <v>556</v>
          </cell>
          <cell r="M3562">
            <v>60045598</v>
          </cell>
          <cell r="N3562" t="str">
            <v>22/B/2005</v>
          </cell>
          <cell r="P3562" t="str">
            <v>IN5B22N1S501002</v>
          </cell>
        </row>
        <row r="3563">
          <cell r="A3563">
            <v>60051031</v>
          </cell>
          <cell r="B3563">
            <v>3561</v>
          </cell>
          <cell r="C3563" t="str">
            <v>CS01/11</v>
          </cell>
          <cell r="D3563" t="str">
            <v>SPCEN-SD</v>
          </cell>
          <cell r="E3563" t="str">
            <v>AF3</v>
          </cell>
          <cell r="F3563">
            <v>0.8</v>
          </cell>
          <cell r="G3563">
            <v>85</v>
          </cell>
          <cell r="H3563" t="str">
            <v>C</v>
          </cell>
          <cell r="I3563" t="str">
            <v>A</v>
          </cell>
          <cell r="K3563">
            <v>1</v>
          </cell>
          <cell r="L3563">
            <v>524</v>
          </cell>
          <cell r="M3563">
            <v>60051031</v>
          </cell>
          <cell r="N3563">
            <v>38755</v>
          </cell>
          <cell r="P3563" t="str">
            <v>IN6207N1S714901</v>
          </cell>
        </row>
        <row r="3564">
          <cell r="A3564">
            <v>60048068</v>
          </cell>
          <cell r="B3564">
            <v>3562</v>
          </cell>
          <cell r="C3564" t="str">
            <v>CS01/11</v>
          </cell>
          <cell r="D3564" t="str">
            <v>SPCEN-SD</v>
          </cell>
          <cell r="E3564" t="str">
            <v>AF3</v>
          </cell>
          <cell r="F3564">
            <v>0.8</v>
          </cell>
          <cell r="G3564">
            <v>126</v>
          </cell>
          <cell r="H3564" t="str">
            <v>C</v>
          </cell>
          <cell r="I3564" t="str">
            <v>A</v>
          </cell>
          <cell r="K3564">
            <v>1</v>
          </cell>
          <cell r="L3564">
            <v>630</v>
          </cell>
          <cell r="M3564">
            <v>60048068</v>
          </cell>
          <cell r="N3564" t="str">
            <v>21/C/2005</v>
          </cell>
          <cell r="P3564" t="str">
            <v>IN5C21N1S544501</v>
          </cell>
        </row>
        <row r="3565">
          <cell r="A3565">
            <v>60064423</v>
          </cell>
          <cell r="B3565">
            <v>3563</v>
          </cell>
          <cell r="C3565" t="str">
            <v>CS01/11</v>
          </cell>
          <cell r="D3565" t="str">
            <v>SPCEN-SD</v>
          </cell>
          <cell r="E3565" t="str">
            <v>AF3</v>
          </cell>
          <cell r="F3565">
            <v>0.8</v>
          </cell>
          <cell r="G3565">
            <v>155</v>
          </cell>
          <cell r="H3565" t="str">
            <v>C</v>
          </cell>
          <cell r="I3565" t="str">
            <v>A</v>
          </cell>
          <cell r="K3565">
            <v>1</v>
          </cell>
          <cell r="L3565">
            <v>1022</v>
          </cell>
          <cell r="M3565">
            <v>60064423</v>
          </cell>
          <cell r="N3565">
            <v>38926</v>
          </cell>
          <cell r="P3565" t="str">
            <v>IN6728N1S230401</v>
          </cell>
        </row>
        <row r="3566">
          <cell r="A3566">
            <v>60044052</v>
          </cell>
          <cell r="B3566">
            <v>3564</v>
          </cell>
          <cell r="C3566" t="str">
            <v>CS01/11</v>
          </cell>
          <cell r="D3566" t="str">
            <v>SPCEN-SD</v>
          </cell>
          <cell r="E3566" t="str">
            <v>AF3</v>
          </cell>
          <cell r="F3566">
            <v>0.9</v>
          </cell>
          <cell r="G3566">
            <v>40</v>
          </cell>
          <cell r="H3566" t="str">
            <v>C</v>
          </cell>
          <cell r="I3566" t="str">
            <v>A</v>
          </cell>
          <cell r="K3566">
            <v>1</v>
          </cell>
          <cell r="L3566">
            <v>172</v>
          </cell>
          <cell r="M3566">
            <v>60044052</v>
          </cell>
          <cell r="N3566" t="str">
            <v>8/B/2005</v>
          </cell>
          <cell r="P3566" t="str">
            <v>IN5B08N1S451601</v>
          </cell>
        </row>
        <row r="3567">
          <cell r="A3567">
            <v>60044056</v>
          </cell>
          <cell r="B3567">
            <v>3565</v>
          </cell>
          <cell r="C3567" t="str">
            <v>CS01/11</v>
          </cell>
          <cell r="D3567" t="str">
            <v>SPCEN-SD</v>
          </cell>
          <cell r="E3567" t="str">
            <v>AF3</v>
          </cell>
          <cell r="F3567">
            <v>0.9</v>
          </cell>
          <cell r="G3567">
            <v>40</v>
          </cell>
          <cell r="H3567" t="str">
            <v>C</v>
          </cell>
          <cell r="I3567" t="str">
            <v>A</v>
          </cell>
          <cell r="K3567">
            <v>1</v>
          </cell>
          <cell r="L3567">
            <v>82</v>
          </cell>
          <cell r="M3567">
            <v>60044056</v>
          </cell>
          <cell r="N3567" t="str">
            <v>8/B/2005</v>
          </cell>
          <cell r="P3567" t="str">
            <v>IN5B08N1S451602</v>
          </cell>
        </row>
        <row r="3568">
          <cell r="A3568">
            <v>60048206</v>
          </cell>
          <cell r="B3568">
            <v>3566</v>
          </cell>
          <cell r="C3568" t="str">
            <v>CS01/11</v>
          </cell>
          <cell r="D3568" t="str">
            <v>SPCEN-SD</v>
          </cell>
          <cell r="E3568" t="str">
            <v>AF3</v>
          </cell>
          <cell r="F3568">
            <v>0.9</v>
          </cell>
          <cell r="G3568">
            <v>148</v>
          </cell>
          <cell r="H3568" t="str">
            <v>C</v>
          </cell>
          <cell r="I3568" t="str">
            <v>A</v>
          </cell>
          <cell r="K3568">
            <v>1</v>
          </cell>
          <cell r="L3568">
            <v>305</v>
          </cell>
          <cell r="M3568">
            <v>60048206</v>
          </cell>
          <cell r="N3568" t="str">
            <v>22/C/2005</v>
          </cell>
          <cell r="P3568" t="str">
            <v>IN5C22D1S600301</v>
          </cell>
        </row>
        <row r="3569">
          <cell r="A3569">
            <v>60063196</v>
          </cell>
          <cell r="B3569">
            <v>3567</v>
          </cell>
          <cell r="C3569" t="str">
            <v>CS01/11</v>
          </cell>
          <cell r="D3569" t="str">
            <v>SPCEN-SD</v>
          </cell>
          <cell r="E3569" t="str">
            <v>AF3</v>
          </cell>
          <cell r="F3569">
            <v>0.9</v>
          </cell>
          <cell r="G3569">
            <v>150</v>
          </cell>
          <cell r="H3569" t="str">
            <v>C</v>
          </cell>
          <cell r="I3569" t="str">
            <v>A</v>
          </cell>
          <cell r="K3569">
            <v>1</v>
          </cell>
          <cell r="L3569">
            <v>232</v>
          </cell>
          <cell r="M3569">
            <v>60063196</v>
          </cell>
          <cell r="N3569">
            <v>38905</v>
          </cell>
          <cell r="P3569" t="str">
            <v>IN6707N1S182501</v>
          </cell>
        </row>
        <row r="3570">
          <cell r="A3570">
            <v>60051108</v>
          </cell>
          <cell r="B3570">
            <v>3568</v>
          </cell>
          <cell r="C3570" t="str">
            <v>CS01/11</v>
          </cell>
          <cell r="D3570" t="str">
            <v>SPCEN-SD</v>
          </cell>
          <cell r="E3570" t="str">
            <v>AF3</v>
          </cell>
          <cell r="F3570">
            <v>0.9</v>
          </cell>
          <cell r="G3570">
            <v>220</v>
          </cell>
          <cell r="H3570" t="str">
            <v>C</v>
          </cell>
          <cell r="I3570" t="str">
            <v>A</v>
          </cell>
          <cell r="K3570">
            <v>1</v>
          </cell>
          <cell r="L3570">
            <v>540</v>
          </cell>
          <cell r="M3570">
            <v>60051108</v>
          </cell>
          <cell r="N3570">
            <v>38756</v>
          </cell>
          <cell r="P3570" t="str">
            <v>IN6208D1S722001</v>
          </cell>
        </row>
        <row r="3571">
          <cell r="A3571">
            <v>60057515</v>
          </cell>
          <cell r="B3571">
            <v>3569</v>
          </cell>
          <cell r="C3571" t="str">
            <v>CS01/11</v>
          </cell>
          <cell r="D3571" t="str">
            <v>SPCEN-SD</v>
          </cell>
          <cell r="E3571" t="str">
            <v>AF3</v>
          </cell>
          <cell r="F3571">
            <v>1</v>
          </cell>
          <cell r="G3571">
            <v>82</v>
          </cell>
          <cell r="H3571" t="str">
            <v>C</v>
          </cell>
          <cell r="I3571" t="str">
            <v>A</v>
          </cell>
          <cell r="K3571">
            <v>1</v>
          </cell>
          <cell r="L3571">
            <v>148</v>
          </cell>
          <cell r="M3571">
            <v>60057515</v>
          </cell>
          <cell r="N3571">
            <v>38833</v>
          </cell>
          <cell r="P3571" t="str">
            <v>IN6426D1S956701</v>
          </cell>
        </row>
        <row r="3572">
          <cell r="A3572">
            <v>60038132</v>
          </cell>
          <cell r="B3572">
            <v>3570</v>
          </cell>
          <cell r="C3572" t="str">
            <v>CS01/11</v>
          </cell>
          <cell r="D3572" t="str">
            <v>SPCEN-SD</v>
          </cell>
          <cell r="E3572" t="str">
            <v>AF3</v>
          </cell>
          <cell r="F3572">
            <v>1</v>
          </cell>
          <cell r="G3572">
            <v>90</v>
          </cell>
          <cell r="H3572" t="str">
            <v>C</v>
          </cell>
          <cell r="I3572" t="str">
            <v>A</v>
          </cell>
          <cell r="K3572">
            <v>1</v>
          </cell>
          <cell r="L3572">
            <v>643</v>
          </cell>
          <cell r="M3572">
            <v>60038132</v>
          </cell>
          <cell r="N3572">
            <v>38560</v>
          </cell>
          <cell r="P3572" t="str">
            <v>IN5727D1S161801</v>
          </cell>
        </row>
        <row r="3573">
          <cell r="A3573">
            <v>60057554</v>
          </cell>
          <cell r="B3573">
            <v>3571</v>
          </cell>
          <cell r="C3573" t="str">
            <v>CS01/11</v>
          </cell>
          <cell r="D3573" t="str">
            <v>SPCEN-SD</v>
          </cell>
          <cell r="E3573" t="str">
            <v>AF3</v>
          </cell>
          <cell r="F3573">
            <v>1</v>
          </cell>
          <cell r="G3573">
            <v>148</v>
          </cell>
          <cell r="H3573" t="str">
            <v>C</v>
          </cell>
          <cell r="I3573" t="str">
            <v>A</v>
          </cell>
          <cell r="K3573">
            <v>1</v>
          </cell>
          <cell r="L3573">
            <v>628</v>
          </cell>
          <cell r="M3573">
            <v>60057554</v>
          </cell>
          <cell r="N3573">
            <v>38833</v>
          </cell>
          <cell r="P3573" t="str">
            <v>IN6426N1S966601</v>
          </cell>
        </row>
        <row r="3574">
          <cell r="A3574">
            <v>60062627</v>
          </cell>
          <cell r="B3574">
            <v>3572</v>
          </cell>
          <cell r="C3574" t="str">
            <v>CS01/11</v>
          </cell>
          <cell r="D3574" t="str">
            <v>SPCEN-SD</v>
          </cell>
          <cell r="E3574" t="str">
            <v>AF3</v>
          </cell>
          <cell r="F3574">
            <v>1.2</v>
          </cell>
          <cell r="G3574">
            <v>150</v>
          </cell>
          <cell r="H3574" t="str">
            <v>C</v>
          </cell>
          <cell r="I3574" t="str">
            <v>A</v>
          </cell>
          <cell r="K3574">
            <v>1</v>
          </cell>
          <cell r="L3574">
            <v>600</v>
          </cell>
          <cell r="M3574">
            <v>60062627</v>
          </cell>
          <cell r="N3574">
            <v>38898</v>
          </cell>
          <cell r="P3574" t="str">
            <v>IN6630N1S155101</v>
          </cell>
        </row>
        <row r="3575">
          <cell r="A3575">
            <v>60063050</v>
          </cell>
          <cell r="B3575">
            <v>3573</v>
          </cell>
          <cell r="C3575" t="str">
            <v>CS01/11</v>
          </cell>
          <cell r="D3575" t="str">
            <v>SPCEN-SD</v>
          </cell>
          <cell r="E3575" t="str">
            <v>AF3</v>
          </cell>
          <cell r="F3575">
            <v>1.2</v>
          </cell>
          <cell r="G3575">
            <v>150</v>
          </cell>
          <cell r="H3575" t="str">
            <v>C</v>
          </cell>
          <cell r="I3575" t="str">
            <v>A</v>
          </cell>
          <cell r="K3575">
            <v>1</v>
          </cell>
          <cell r="L3575">
            <v>1244</v>
          </cell>
          <cell r="M3575">
            <v>60063050</v>
          </cell>
          <cell r="N3575">
            <v>38904</v>
          </cell>
          <cell r="P3575" t="str">
            <v>IN6706N2S179501</v>
          </cell>
        </row>
        <row r="3576">
          <cell r="A3576">
            <v>60050258</v>
          </cell>
          <cell r="B3576">
            <v>3574</v>
          </cell>
          <cell r="C3576" t="str">
            <v>CS01/11</v>
          </cell>
          <cell r="D3576" t="str">
            <v>SPCEN-SD</v>
          </cell>
          <cell r="E3576" t="str">
            <v>AF3</v>
          </cell>
          <cell r="F3576">
            <v>1.6</v>
          </cell>
          <cell r="G3576">
            <v>43</v>
          </cell>
          <cell r="H3576" t="str">
            <v>C</v>
          </cell>
          <cell r="I3576" t="str">
            <v>A</v>
          </cell>
          <cell r="K3576">
            <v>1</v>
          </cell>
          <cell r="L3576">
            <v>194</v>
          </cell>
          <cell r="M3576">
            <v>60050258</v>
          </cell>
          <cell r="N3576">
            <v>38743</v>
          </cell>
          <cell r="P3576" t="str">
            <v>IN6126N1S685901</v>
          </cell>
        </row>
        <row r="3577">
          <cell r="A3577">
            <v>60048064</v>
          </cell>
          <cell r="B3577">
            <v>3575</v>
          </cell>
          <cell r="C3577" t="str">
            <v>CS01/11</v>
          </cell>
          <cell r="D3577" t="str">
            <v>SPHC P/O</v>
          </cell>
          <cell r="E3577" t="str">
            <v>CA1</v>
          </cell>
          <cell r="F3577">
            <v>1.2</v>
          </cell>
          <cell r="G3577">
            <v>101</v>
          </cell>
          <cell r="H3577" t="str">
            <v>C</v>
          </cell>
          <cell r="I3577" t="str">
            <v>A</v>
          </cell>
          <cell r="K3577">
            <v>1</v>
          </cell>
          <cell r="L3577">
            <v>187</v>
          </cell>
          <cell r="M3577">
            <v>60048064</v>
          </cell>
          <cell r="N3577" t="str">
            <v>21/C/2005</v>
          </cell>
          <cell r="P3577" t="str">
            <v>IN5C21N1S547001</v>
          </cell>
        </row>
        <row r="3578">
          <cell r="A3578">
            <v>60046093</v>
          </cell>
          <cell r="B3578">
            <v>3576</v>
          </cell>
          <cell r="C3578" t="str">
            <v>CS01/11</v>
          </cell>
          <cell r="D3578" t="str">
            <v>SPHC P/O</v>
          </cell>
          <cell r="E3578" t="str">
            <v>CA1</v>
          </cell>
          <cell r="F3578">
            <v>1.4</v>
          </cell>
          <cell r="G3578">
            <v>133</v>
          </cell>
          <cell r="H3578" t="str">
            <v>C</v>
          </cell>
          <cell r="I3578" t="str">
            <v>A</v>
          </cell>
          <cell r="K3578">
            <v>1</v>
          </cell>
          <cell r="L3578">
            <v>374</v>
          </cell>
          <cell r="M3578">
            <v>60046093</v>
          </cell>
          <cell r="N3578">
            <v>28</v>
          </cell>
          <cell r="P3578" t="str">
            <v>IN51128D1S505301</v>
          </cell>
        </row>
        <row r="3579">
          <cell r="A3579">
            <v>60046097</v>
          </cell>
          <cell r="B3579">
            <v>3577</v>
          </cell>
          <cell r="C3579" t="str">
            <v>CS01/11</v>
          </cell>
          <cell r="D3579" t="str">
            <v>SPHC P/O</v>
          </cell>
          <cell r="E3579" t="str">
            <v>CA1</v>
          </cell>
          <cell r="F3579">
            <v>1.4</v>
          </cell>
          <cell r="G3579">
            <v>133</v>
          </cell>
          <cell r="H3579" t="str">
            <v>C</v>
          </cell>
          <cell r="I3579" t="str">
            <v>A</v>
          </cell>
          <cell r="K3579">
            <v>1</v>
          </cell>
          <cell r="L3579">
            <v>360</v>
          </cell>
          <cell r="M3579">
            <v>60046097</v>
          </cell>
          <cell r="N3579">
            <v>28</v>
          </cell>
          <cell r="P3579" t="str">
            <v>IN51128D1S505302</v>
          </cell>
        </row>
        <row r="3580">
          <cell r="A3580">
            <v>60017632</v>
          </cell>
          <cell r="B3580">
            <v>3578</v>
          </cell>
          <cell r="C3580" t="str">
            <v>CS01/11</v>
          </cell>
          <cell r="D3580" t="str">
            <v>SPHC P/O</v>
          </cell>
          <cell r="E3580" t="str">
            <v>CA1</v>
          </cell>
          <cell r="F3580">
            <v>1.6</v>
          </cell>
          <cell r="G3580">
            <v>73</v>
          </cell>
          <cell r="H3580" t="str">
            <v>C</v>
          </cell>
          <cell r="I3580" t="str">
            <v>A</v>
          </cell>
          <cell r="K3580">
            <v>1</v>
          </cell>
          <cell r="L3580">
            <v>345</v>
          </cell>
          <cell r="M3580">
            <v>60017632</v>
          </cell>
          <cell r="N3580" t="str">
            <v>25/B/2005</v>
          </cell>
          <cell r="P3580" t="str">
            <v>IN5B25DZZ110501</v>
          </cell>
        </row>
        <row r="3581">
          <cell r="A3581">
            <v>60053582</v>
          </cell>
          <cell r="B3581">
            <v>3579</v>
          </cell>
          <cell r="C3581" t="str">
            <v>CS01/11</v>
          </cell>
          <cell r="D3581" t="str">
            <v>SPHC P/O</v>
          </cell>
          <cell r="E3581" t="str">
            <v>CA1</v>
          </cell>
          <cell r="F3581">
            <v>1.6</v>
          </cell>
          <cell r="G3581">
            <v>85</v>
          </cell>
          <cell r="H3581" t="str">
            <v>C</v>
          </cell>
          <cell r="I3581" t="str">
            <v>A</v>
          </cell>
          <cell r="K3581">
            <v>1</v>
          </cell>
          <cell r="L3581">
            <v>205</v>
          </cell>
          <cell r="M3581">
            <v>60053582</v>
          </cell>
          <cell r="N3581">
            <v>38784</v>
          </cell>
          <cell r="P3581" t="str">
            <v>IN6308D2S819101</v>
          </cell>
        </row>
        <row r="3582">
          <cell r="A3582">
            <v>60049100</v>
          </cell>
          <cell r="B3582">
            <v>3580</v>
          </cell>
          <cell r="C3582" t="str">
            <v>CS01/11</v>
          </cell>
          <cell r="D3582" t="str">
            <v>SPHC P/O</v>
          </cell>
          <cell r="E3582" t="str">
            <v>CA1</v>
          </cell>
          <cell r="F3582">
            <v>2.2999999999999998</v>
          </cell>
          <cell r="G3582">
            <v>61</v>
          </cell>
          <cell r="H3582" t="str">
            <v>C</v>
          </cell>
          <cell r="I3582" t="str">
            <v>A</v>
          </cell>
          <cell r="K3582">
            <v>1</v>
          </cell>
          <cell r="L3582">
            <v>162</v>
          </cell>
          <cell r="M3582">
            <v>60049100</v>
          </cell>
          <cell r="N3582">
            <v>38724</v>
          </cell>
          <cell r="P3582" t="str">
            <v>IN6107N2S602301</v>
          </cell>
        </row>
        <row r="3583">
          <cell r="A3583">
            <v>60046161</v>
          </cell>
          <cell r="B3583">
            <v>3581</v>
          </cell>
          <cell r="C3583" t="str">
            <v>CS01/11</v>
          </cell>
          <cell r="D3583" t="str">
            <v>SPHC P/O</v>
          </cell>
          <cell r="E3583" t="str">
            <v>CA1</v>
          </cell>
          <cell r="F3583">
            <v>2.2999999999999998</v>
          </cell>
          <cell r="G3583">
            <v>72</v>
          </cell>
          <cell r="H3583" t="str">
            <v>C</v>
          </cell>
          <cell r="I3583" t="str">
            <v>A</v>
          </cell>
          <cell r="K3583">
            <v>1</v>
          </cell>
          <cell r="L3583">
            <v>132</v>
          </cell>
          <cell r="M3583">
            <v>60046161</v>
          </cell>
          <cell r="N3583" t="str">
            <v>28/B/2005</v>
          </cell>
          <cell r="P3583" t="str">
            <v>IN5B28N1S505601</v>
          </cell>
        </row>
        <row r="3584">
          <cell r="A3584">
            <v>60046165</v>
          </cell>
          <cell r="B3584">
            <v>3582</v>
          </cell>
          <cell r="C3584" t="str">
            <v>CS01/11</v>
          </cell>
          <cell r="D3584" t="str">
            <v>SPHC P/O</v>
          </cell>
          <cell r="E3584" t="str">
            <v>CA1</v>
          </cell>
          <cell r="F3584">
            <v>2.2999999999999998</v>
          </cell>
          <cell r="G3584">
            <v>72</v>
          </cell>
          <cell r="H3584" t="str">
            <v>C</v>
          </cell>
          <cell r="I3584" t="str">
            <v>A</v>
          </cell>
          <cell r="K3584">
            <v>1</v>
          </cell>
          <cell r="L3584">
            <v>132</v>
          </cell>
          <cell r="M3584">
            <v>60046165</v>
          </cell>
          <cell r="N3584" t="str">
            <v>28/B/2005</v>
          </cell>
          <cell r="P3584" t="str">
            <v>IN5B28N1S505602</v>
          </cell>
        </row>
        <row r="3585">
          <cell r="A3585">
            <v>60048389</v>
          </cell>
          <cell r="B3585">
            <v>3583</v>
          </cell>
          <cell r="C3585" t="str">
            <v>CS01/11</v>
          </cell>
          <cell r="D3585" t="str">
            <v>SPHC P/O</v>
          </cell>
          <cell r="E3585" t="str">
            <v>CA1</v>
          </cell>
          <cell r="F3585">
            <v>2.2999999999999998</v>
          </cell>
          <cell r="G3585">
            <v>72</v>
          </cell>
          <cell r="H3585" t="str">
            <v>C</v>
          </cell>
          <cell r="I3585" t="str">
            <v>A</v>
          </cell>
          <cell r="K3585">
            <v>1</v>
          </cell>
          <cell r="L3585">
            <v>130</v>
          </cell>
          <cell r="M3585">
            <v>60048389</v>
          </cell>
          <cell r="N3585" t="str">
            <v>23/C/2005</v>
          </cell>
          <cell r="P3585" t="str">
            <v>IN5C23N2S596001</v>
          </cell>
        </row>
        <row r="3586">
          <cell r="A3586">
            <v>60048994</v>
          </cell>
          <cell r="B3586">
            <v>3584</v>
          </cell>
          <cell r="C3586" t="str">
            <v>CS01/11</v>
          </cell>
          <cell r="D3586" t="str">
            <v>SPHC P/O</v>
          </cell>
          <cell r="E3586" t="str">
            <v>CA1</v>
          </cell>
          <cell r="F3586">
            <v>2.2999999999999998</v>
          </cell>
          <cell r="G3586">
            <v>72</v>
          </cell>
          <cell r="H3586" t="str">
            <v>C</v>
          </cell>
          <cell r="I3586" t="str">
            <v>A</v>
          </cell>
          <cell r="K3586">
            <v>1</v>
          </cell>
          <cell r="L3586">
            <v>126</v>
          </cell>
          <cell r="M3586">
            <v>60048994</v>
          </cell>
          <cell r="N3586">
            <v>38723</v>
          </cell>
          <cell r="P3586" t="str">
            <v>IN6106N2S596201</v>
          </cell>
        </row>
        <row r="3587">
          <cell r="A3587">
            <v>60045729</v>
          </cell>
          <cell r="B3587">
            <v>3585</v>
          </cell>
          <cell r="C3587" t="str">
            <v>CS01/11</v>
          </cell>
          <cell r="D3587" t="str">
            <v>SPHC P/O</v>
          </cell>
          <cell r="E3587" t="str">
            <v>CA1</v>
          </cell>
          <cell r="F3587">
            <v>2.6</v>
          </cell>
          <cell r="G3587">
            <v>66</v>
          </cell>
          <cell r="H3587" t="str">
            <v>C</v>
          </cell>
          <cell r="I3587" t="str">
            <v>A</v>
          </cell>
          <cell r="K3587">
            <v>1</v>
          </cell>
          <cell r="L3587">
            <v>134</v>
          </cell>
          <cell r="M3587">
            <v>60045729</v>
          </cell>
          <cell r="N3587" t="str">
            <v>24/B/2005</v>
          </cell>
          <cell r="P3587" t="str">
            <v>IN5B24N1S504901</v>
          </cell>
        </row>
        <row r="3588">
          <cell r="A3588">
            <v>60045341</v>
          </cell>
          <cell r="B3588">
            <v>3586</v>
          </cell>
          <cell r="C3588" t="str">
            <v>CS01/11</v>
          </cell>
          <cell r="D3588" t="str">
            <v>SPHC P/O</v>
          </cell>
          <cell r="E3588" t="str">
            <v>CA1</v>
          </cell>
          <cell r="F3588">
            <v>3.6</v>
          </cell>
          <cell r="G3588">
            <v>144</v>
          </cell>
          <cell r="H3588" t="str">
            <v>C</v>
          </cell>
          <cell r="I3588" t="str">
            <v>A</v>
          </cell>
          <cell r="K3588">
            <v>1</v>
          </cell>
          <cell r="L3588">
            <v>422</v>
          </cell>
          <cell r="M3588">
            <v>60045341</v>
          </cell>
          <cell r="N3588" t="str">
            <v>20/B/2005</v>
          </cell>
          <cell r="P3588" t="str">
            <v>IN5B20N2S477501</v>
          </cell>
        </row>
        <row r="3589">
          <cell r="A3589">
            <v>60045346</v>
          </cell>
          <cell r="B3589">
            <v>3587</v>
          </cell>
          <cell r="C3589" t="str">
            <v>CS01/11</v>
          </cell>
          <cell r="D3589" t="str">
            <v>SPHC P/O</v>
          </cell>
          <cell r="E3589" t="str">
            <v>CA1</v>
          </cell>
          <cell r="F3589">
            <v>3.6</v>
          </cell>
          <cell r="G3589">
            <v>144</v>
          </cell>
          <cell r="H3589" t="str">
            <v>C</v>
          </cell>
          <cell r="I3589" t="str">
            <v>A</v>
          </cell>
          <cell r="K3589">
            <v>1</v>
          </cell>
          <cell r="L3589">
            <v>588</v>
          </cell>
          <cell r="M3589">
            <v>60045346</v>
          </cell>
          <cell r="N3589" t="str">
            <v>20/B/2005</v>
          </cell>
          <cell r="P3589" t="str">
            <v>IN5B20N2S477502</v>
          </cell>
        </row>
        <row r="3590">
          <cell r="A3590">
            <v>60042365</v>
          </cell>
          <cell r="B3590">
            <v>3588</v>
          </cell>
          <cell r="C3590" t="str">
            <v>CS01/11</v>
          </cell>
          <cell r="D3590" t="str">
            <v>SPHC P/O</v>
          </cell>
          <cell r="E3590" t="str">
            <v>CA1</v>
          </cell>
          <cell r="F3590">
            <v>4.5</v>
          </cell>
          <cell r="G3590">
            <v>55</v>
          </cell>
          <cell r="H3590" t="str">
            <v>C</v>
          </cell>
          <cell r="I3590" t="str">
            <v>A</v>
          </cell>
          <cell r="K3590">
            <v>1</v>
          </cell>
          <cell r="L3590">
            <v>438</v>
          </cell>
          <cell r="M3590">
            <v>60042365</v>
          </cell>
          <cell r="N3590" t="str">
            <v>14/A/2005</v>
          </cell>
          <cell r="P3590" t="str">
            <v>IN5A14D2S360801</v>
          </cell>
        </row>
        <row r="3591">
          <cell r="A3591">
            <v>60042367</v>
          </cell>
          <cell r="B3591">
            <v>3589</v>
          </cell>
          <cell r="C3591" t="str">
            <v>CS01/11</v>
          </cell>
          <cell r="D3591" t="str">
            <v>SPHC P/O</v>
          </cell>
          <cell r="E3591" t="str">
            <v>CA1</v>
          </cell>
          <cell r="F3591">
            <v>4.5</v>
          </cell>
          <cell r="G3591">
            <v>55</v>
          </cell>
          <cell r="H3591" t="str">
            <v>C</v>
          </cell>
          <cell r="I3591" t="str">
            <v>A</v>
          </cell>
          <cell r="K3591">
            <v>1</v>
          </cell>
          <cell r="L3591">
            <v>444</v>
          </cell>
          <cell r="M3591">
            <v>60042367</v>
          </cell>
          <cell r="N3591" t="str">
            <v>14/A/2005</v>
          </cell>
          <cell r="P3591" t="str">
            <v>IN5A14D2S360802</v>
          </cell>
        </row>
        <row r="3592">
          <cell r="A3592">
            <v>60042368</v>
          </cell>
          <cell r="B3592">
            <v>3590</v>
          </cell>
          <cell r="C3592" t="str">
            <v>CS01/11</v>
          </cell>
          <cell r="D3592" t="str">
            <v>SPHC P/O</v>
          </cell>
          <cell r="E3592" t="str">
            <v>CA1</v>
          </cell>
          <cell r="F3592">
            <v>4.5</v>
          </cell>
          <cell r="G3592">
            <v>55</v>
          </cell>
          <cell r="H3592" t="str">
            <v>C</v>
          </cell>
          <cell r="I3592" t="str">
            <v>A</v>
          </cell>
          <cell r="K3592">
            <v>1</v>
          </cell>
          <cell r="L3592">
            <v>424</v>
          </cell>
          <cell r="M3592">
            <v>60042368</v>
          </cell>
          <cell r="N3592" t="str">
            <v>14/A/2005</v>
          </cell>
          <cell r="P3592" t="str">
            <v>IN5A14N2S360501</v>
          </cell>
        </row>
        <row r="3593">
          <cell r="A3593">
            <v>60042370</v>
          </cell>
          <cell r="B3593">
            <v>3591</v>
          </cell>
          <cell r="C3593" t="str">
            <v>CS01/11</v>
          </cell>
          <cell r="D3593" t="str">
            <v>SPHC P/O</v>
          </cell>
          <cell r="E3593" t="str">
            <v>CA1</v>
          </cell>
          <cell r="F3593">
            <v>4.5</v>
          </cell>
          <cell r="G3593">
            <v>55</v>
          </cell>
          <cell r="H3593" t="str">
            <v>C</v>
          </cell>
          <cell r="I3593" t="str">
            <v>A</v>
          </cell>
          <cell r="K3593">
            <v>1</v>
          </cell>
          <cell r="L3593">
            <v>426</v>
          </cell>
          <cell r="M3593">
            <v>60042370</v>
          </cell>
          <cell r="N3593" t="str">
            <v>14/A/2005</v>
          </cell>
          <cell r="P3593" t="str">
            <v>IN5A14N2S360502</v>
          </cell>
        </row>
        <row r="3594">
          <cell r="A3594">
            <v>60047922</v>
          </cell>
          <cell r="B3594">
            <v>3592</v>
          </cell>
          <cell r="C3594" t="str">
            <v>CS01/11</v>
          </cell>
          <cell r="D3594" t="str">
            <v>SPHC P/O</v>
          </cell>
          <cell r="E3594" t="str">
            <v>CA1</v>
          </cell>
          <cell r="F3594">
            <v>4.5</v>
          </cell>
          <cell r="G3594">
            <v>72</v>
          </cell>
          <cell r="H3594" t="str">
            <v>C</v>
          </cell>
          <cell r="I3594" t="str">
            <v>A</v>
          </cell>
          <cell r="K3594">
            <v>1</v>
          </cell>
          <cell r="L3594">
            <v>605</v>
          </cell>
          <cell r="M3594">
            <v>60047922</v>
          </cell>
          <cell r="N3594" t="str">
            <v>20/C/2005</v>
          </cell>
          <cell r="P3594" t="str">
            <v>IN5C20N2S580401</v>
          </cell>
        </row>
        <row r="3595">
          <cell r="A3595">
            <v>60047923</v>
          </cell>
          <cell r="B3595">
            <v>3593</v>
          </cell>
          <cell r="C3595" t="str">
            <v>CS01/11</v>
          </cell>
          <cell r="D3595" t="str">
            <v>SPHC P/O</v>
          </cell>
          <cell r="E3595" t="str">
            <v>CA1</v>
          </cell>
          <cell r="F3595">
            <v>4.5</v>
          </cell>
          <cell r="G3595">
            <v>72</v>
          </cell>
          <cell r="H3595" t="str">
            <v>C</v>
          </cell>
          <cell r="I3595" t="str">
            <v>A</v>
          </cell>
          <cell r="K3595">
            <v>1</v>
          </cell>
          <cell r="L3595">
            <v>605</v>
          </cell>
          <cell r="M3595">
            <v>60047923</v>
          </cell>
          <cell r="N3595" t="str">
            <v>20/C/2005</v>
          </cell>
          <cell r="P3595" t="str">
            <v>IN5C20N2S580402</v>
          </cell>
        </row>
        <row r="3596">
          <cell r="A3596">
            <v>60047938</v>
          </cell>
          <cell r="B3596">
            <v>3594</v>
          </cell>
          <cell r="C3596" t="str">
            <v>CS01/11</v>
          </cell>
          <cell r="D3596" t="str">
            <v>SPHC P/O</v>
          </cell>
          <cell r="E3596" t="str">
            <v>CA1</v>
          </cell>
          <cell r="F3596">
            <v>4.5</v>
          </cell>
          <cell r="G3596">
            <v>72</v>
          </cell>
          <cell r="H3596" t="str">
            <v>C</v>
          </cell>
          <cell r="I3596" t="str">
            <v>A</v>
          </cell>
          <cell r="K3596">
            <v>1</v>
          </cell>
          <cell r="L3596">
            <v>582</v>
          </cell>
          <cell r="M3596">
            <v>60047938</v>
          </cell>
          <cell r="N3596" t="str">
            <v>20/C/2005</v>
          </cell>
          <cell r="P3596" t="str">
            <v>IN5C20N2S580403</v>
          </cell>
        </row>
        <row r="3597">
          <cell r="A3597">
            <v>60047939</v>
          </cell>
          <cell r="B3597">
            <v>3595</v>
          </cell>
          <cell r="C3597" t="str">
            <v>CS01/11</v>
          </cell>
          <cell r="D3597" t="str">
            <v>SPHC P/O</v>
          </cell>
          <cell r="E3597" t="str">
            <v>CA1</v>
          </cell>
          <cell r="F3597">
            <v>4.5</v>
          </cell>
          <cell r="G3597">
            <v>72</v>
          </cell>
          <cell r="H3597" t="str">
            <v>C</v>
          </cell>
          <cell r="I3597" t="str">
            <v>A</v>
          </cell>
          <cell r="K3597">
            <v>1</v>
          </cell>
          <cell r="L3597">
            <v>582</v>
          </cell>
          <cell r="M3597">
            <v>60047939</v>
          </cell>
          <cell r="N3597" t="str">
            <v>20/C/2005</v>
          </cell>
          <cell r="P3597" t="str">
            <v>IN5C20N2S580404</v>
          </cell>
        </row>
        <row r="3598">
          <cell r="A3598">
            <v>60054978</v>
          </cell>
          <cell r="B3598">
            <v>3596</v>
          </cell>
          <cell r="C3598" t="str">
            <v>CS01/11</v>
          </cell>
          <cell r="D3598" t="str">
            <v>SPHC P/O</v>
          </cell>
          <cell r="E3598" t="str">
            <v>CA1</v>
          </cell>
          <cell r="F3598">
            <v>4.5</v>
          </cell>
          <cell r="G3598">
            <v>72</v>
          </cell>
          <cell r="H3598" t="str">
            <v>C</v>
          </cell>
          <cell r="I3598" t="str">
            <v>A</v>
          </cell>
          <cell r="K3598">
            <v>1</v>
          </cell>
          <cell r="L3598">
            <v>366</v>
          </cell>
          <cell r="M3598">
            <v>60054978</v>
          </cell>
          <cell r="N3598">
            <v>38794</v>
          </cell>
          <cell r="P3598" t="str">
            <v>IN6318N2S858501</v>
          </cell>
        </row>
        <row r="3599">
          <cell r="A3599">
            <v>60045430</v>
          </cell>
          <cell r="B3599">
            <v>3597</v>
          </cell>
          <cell r="C3599" t="str">
            <v>CS01/11</v>
          </cell>
          <cell r="D3599" t="str">
            <v>SAPH440 P/O</v>
          </cell>
          <cell r="E3599" t="str">
            <v>CA5</v>
          </cell>
          <cell r="F3599">
            <v>2</v>
          </cell>
          <cell r="G3599">
            <v>60</v>
          </cell>
          <cell r="H3599" t="str">
            <v>C</v>
          </cell>
          <cell r="I3599" t="str">
            <v>A</v>
          </cell>
          <cell r="K3599">
            <v>1</v>
          </cell>
          <cell r="L3599">
            <v>432</v>
          </cell>
          <cell r="M3599">
            <v>60045430</v>
          </cell>
          <cell r="N3599" t="str">
            <v>21/B/2005</v>
          </cell>
          <cell r="P3599" t="str">
            <v>IN5B21N2S496001</v>
          </cell>
        </row>
        <row r="3600">
          <cell r="A3600">
            <v>60046149</v>
          </cell>
          <cell r="B3600">
            <v>3598</v>
          </cell>
          <cell r="C3600" t="str">
            <v>CS01/11</v>
          </cell>
          <cell r="D3600" t="str">
            <v>SAPH440 P/O</v>
          </cell>
          <cell r="E3600" t="str">
            <v>CA5</v>
          </cell>
          <cell r="F3600">
            <v>2</v>
          </cell>
          <cell r="G3600">
            <v>60</v>
          </cell>
          <cell r="H3600" t="str">
            <v>C</v>
          </cell>
          <cell r="I3600" t="str">
            <v>A</v>
          </cell>
          <cell r="K3600">
            <v>1</v>
          </cell>
          <cell r="L3600">
            <v>442</v>
          </cell>
          <cell r="M3600">
            <v>60046149</v>
          </cell>
          <cell r="N3600" t="str">
            <v>28/B/2005</v>
          </cell>
          <cell r="P3600" t="str">
            <v>IN5B28D1S515401</v>
          </cell>
        </row>
        <row r="3601">
          <cell r="A3601">
            <v>60044638</v>
          </cell>
          <cell r="B3601">
            <v>3599</v>
          </cell>
          <cell r="C3601" t="str">
            <v>CS01/11</v>
          </cell>
          <cell r="D3601" t="str">
            <v>SAPH440 P/O</v>
          </cell>
          <cell r="E3601" t="str">
            <v>CA5</v>
          </cell>
          <cell r="F3601">
            <v>2</v>
          </cell>
          <cell r="G3601">
            <v>155</v>
          </cell>
          <cell r="H3601" t="str">
            <v>C</v>
          </cell>
          <cell r="I3601" t="str">
            <v>A</v>
          </cell>
          <cell r="K3601">
            <v>1</v>
          </cell>
          <cell r="L3601">
            <v>1150</v>
          </cell>
          <cell r="M3601">
            <v>60044638</v>
          </cell>
          <cell r="N3601" t="str">
            <v>15/B/2005</v>
          </cell>
          <cell r="P3601" t="str">
            <v>IN5B15D2S476501</v>
          </cell>
        </row>
        <row r="3602">
          <cell r="A3602">
            <v>60044680</v>
          </cell>
          <cell r="B3602">
            <v>3600</v>
          </cell>
          <cell r="C3602" t="str">
            <v>CS01/11</v>
          </cell>
          <cell r="D3602" t="str">
            <v>SAPH440 P/O</v>
          </cell>
          <cell r="E3602" t="str">
            <v>CA5</v>
          </cell>
          <cell r="F3602">
            <v>2</v>
          </cell>
          <cell r="G3602">
            <v>155</v>
          </cell>
          <cell r="H3602" t="str">
            <v>C</v>
          </cell>
          <cell r="I3602" t="str">
            <v>A</v>
          </cell>
          <cell r="K3602">
            <v>1</v>
          </cell>
          <cell r="L3602">
            <v>1162</v>
          </cell>
          <cell r="M3602">
            <v>60044680</v>
          </cell>
          <cell r="N3602" t="str">
            <v>15/B/2005</v>
          </cell>
          <cell r="P3602" t="str">
            <v>IN5B15D2S476502</v>
          </cell>
        </row>
        <row r="3603">
          <cell r="A3603">
            <v>60043725</v>
          </cell>
          <cell r="B3603">
            <v>3601</v>
          </cell>
          <cell r="C3603" t="str">
            <v>CS01/11</v>
          </cell>
          <cell r="D3603" t="str">
            <v>SAPH440 P/O</v>
          </cell>
          <cell r="E3603" t="str">
            <v>CA5</v>
          </cell>
          <cell r="F3603">
            <v>4.5</v>
          </cell>
          <cell r="G3603">
            <v>175</v>
          </cell>
          <cell r="H3603" t="str">
            <v>C</v>
          </cell>
          <cell r="I3603" t="str">
            <v>A</v>
          </cell>
          <cell r="K3603">
            <v>1</v>
          </cell>
          <cell r="L3603">
            <v>1326</v>
          </cell>
          <cell r="M3603">
            <v>60043725</v>
          </cell>
          <cell r="N3603" t="str">
            <v>4/B/2005</v>
          </cell>
          <cell r="P3603" t="str">
            <v>IN5B04D2S438001</v>
          </cell>
        </row>
        <row r="3604">
          <cell r="A3604">
            <v>60046874</v>
          </cell>
          <cell r="B3604">
            <v>3602</v>
          </cell>
          <cell r="C3604" t="str">
            <v>CS01/11</v>
          </cell>
          <cell r="D3604" t="str">
            <v>SAPH440 P/O</v>
          </cell>
          <cell r="E3604" t="str">
            <v>CA5</v>
          </cell>
          <cell r="F3604">
            <v>4.5</v>
          </cell>
          <cell r="G3604">
            <v>175</v>
          </cell>
          <cell r="H3604" t="str">
            <v>C</v>
          </cell>
          <cell r="I3604" t="str">
            <v>A</v>
          </cell>
          <cell r="K3604">
            <v>1</v>
          </cell>
          <cell r="L3604">
            <v>934</v>
          </cell>
          <cell r="M3604">
            <v>60046874</v>
          </cell>
          <cell r="N3604" t="str">
            <v>7/C/2005</v>
          </cell>
          <cell r="P3604" t="str">
            <v>IN5C07D2S524701</v>
          </cell>
        </row>
        <row r="3605">
          <cell r="A3605">
            <v>60050992</v>
          </cell>
          <cell r="B3605">
            <v>3603</v>
          </cell>
          <cell r="C3605" t="str">
            <v>CS01/11</v>
          </cell>
          <cell r="D3605" t="str">
            <v>SAPH440 P/O</v>
          </cell>
          <cell r="E3605" t="str">
            <v>CA5</v>
          </cell>
          <cell r="F3605">
            <v>6</v>
          </cell>
          <cell r="G3605">
            <v>53</v>
          </cell>
          <cell r="H3605" t="str">
            <v>C</v>
          </cell>
          <cell r="I3605" t="str">
            <v>A</v>
          </cell>
          <cell r="K3605">
            <v>1</v>
          </cell>
          <cell r="L3605">
            <v>348</v>
          </cell>
          <cell r="M3605">
            <v>60050992</v>
          </cell>
          <cell r="N3605">
            <v>38754</v>
          </cell>
          <cell r="P3605" t="str">
            <v>IN6206D2S712201</v>
          </cell>
        </row>
        <row r="3606">
          <cell r="A3606">
            <v>60051001</v>
          </cell>
          <cell r="B3606">
            <v>3604</v>
          </cell>
          <cell r="C3606" t="str">
            <v>CS01/11</v>
          </cell>
          <cell r="D3606" t="str">
            <v>SAPH440 P/O</v>
          </cell>
          <cell r="E3606" t="str">
            <v>CA5</v>
          </cell>
          <cell r="F3606">
            <v>6</v>
          </cell>
          <cell r="G3606">
            <v>53</v>
          </cell>
          <cell r="H3606" t="str">
            <v>C</v>
          </cell>
          <cell r="I3606" t="str">
            <v>A</v>
          </cell>
          <cell r="K3606">
            <v>1</v>
          </cell>
          <cell r="L3606">
            <v>340</v>
          </cell>
          <cell r="M3606">
            <v>60051001</v>
          </cell>
          <cell r="N3606">
            <v>38754</v>
          </cell>
          <cell r="P3606" t="str">
            <v>IN6206D2S712202</v>
          </cell>
        </row>
        <row r="3607">
          <cell r="A3607">
            <v>60054050</v>
          </cell>
          <cell r="B3607">
            <v>3605</v>
          </cell>
          <cell r="C3607" t="str">
            <v>CS01/11</v>
          </cell>
          <cell r="D3607" t="str">
            <v>SAPH440 P/O</v>
          </cell>
          <cell r="E3607" t="str">
            <v>CA5</v>
          </cell>
          <cell r="F3607">
            <v>6</v>
          </cell>
          <cell r="G3607">
            <v>53</v>
          </cell>
          <cell r="H3607" t="str">
            <v>C</v>
          </cell>
          <cell r="I3607" t="str">
            <v>A</v>
          </cell>
          <cell r="K3607">
            <v>1</v>
          </cell>
          <cell r="L3607">
            <v>321</v>
          </cell>
          <cell r="M3607">
            <v>60054050</v>
          </cell>
          <cell r="N3607">
            <v>38787</v>
          </cell>
          <cell r="P3607" t="str">
            <v>IN6311N2S836201</v>
          </cell>
        </row>
        <row r="3608">
          <cell r="A3608">
            <v>60054067</v>
          </cell>
          <cell r="B3608">
            <v>3606</v>
          </cell>
          <cell r="C3608" t="str">
            <v>CS01/11</v>
          </cell>
          <cell r="D3608" t="str">
            <v>SAPH440 P/O</v>
          </cell>
          <cell r="E3608" t="str">
            <v>CA5</v>
          </cell>
          <cell r="F3608">
            <v>6</v>
          </cell>
          <cell r="G3608">
            <v>53</v>
          </cell>
          <cell r="H3608" t="str">
            <v>C</v>
          </cell>
          <cell r="I3608" t="str">
            <v>A</v>
          </cell>
          <cell r="K3608">
            <v>1</v>
          </cell>
          <cell r="L3608">
            <v>280</v>
          </cell>
          <cell r="M3608">
            <v>60054067</v>
          </cell>
          <cell r="N3608">
            <v>38787</v>
          </cell>
          <cell r="P3608" t="str">
            <v>IN6311N2S836301</v>
          </cell>
        </row>
        <row r="3609">
          <cell r="A3609">
            <v>60054148</v>
          </cell>
          <cell r="B3609">
            <v>3607</v>
          </cell>
          <cell r="C3609" t="str">
            <v>CS01/11</v>
          </cell>
          <cell r="D3609" t="str">
            <v>SAPH440 P/O</v>
          </cell>
          <cell r="E3609" t="str">
            <v>CA5</v>
          </cell>
          <cell r="F3609">
            <v>6</v>
          </cell>
          <cell r="G3609">
            <v>53</v>
          </cell>
          <cell r="H3609" t="str">
            <v>C</v>
          </cell>
          <cell r="I3609" t="str">
            <v>A</v>
          </cell>
          <cell r="K3609">
            <v>1</v>
          </cell>
          <cell r="L3609">
            <v>278</v>
          </cell>
          <cell r="M3609">
            <v>60054148</v>
          </cell>
          <cell r="N3609">
            <v>38787</v>
          </cell>
          <cell r="P3609" t="str">
            <v>IN6311N2S836302</v>
          </cell>
        </row>
        <row r="3610">
          <cell r="A3610">
            <v>60054855</v>
          </cell>
          <cell r="B3610">
            <v>3608</v>
          </cell>
          <cell r="C3610" t="str">
            <v>CS01/11</v>
          </cell>
          <cell r="D3610" t="str">
            <v>SAPH440 P/O</v>
          </cell>
          <cell r="E3610" t="str">
            <v>CA5</v>
          </cell>
          <cell r="F3610">
            <v>6</v>
          </cell>
          <cell r="G3610">
            <v>80</v>
          </cell>
          <cell r="H3610" t="str">
            <v>C</v>
          </cell>
          <cell r="I3610" t="str">
            <v>A</v>
          </cell>
          <cell r="K3610">
            <v>1</v>
          </cell>
          <cell r="L3610">
            <v>506</v>
          </cell>
          <cell r="M3610">
            <v>60054855</v>
          </cell>
          <cell r="N3610">
            <v>38794</v>
          </cell>
          <cell r="P3610" t="str">
            <v>IN6318N2S856201</v>
          </cell>
        </row>
        <row r="3611">
          <cell r="A3611">
            <v>60045391</v>
          </cell>
          <cell r="B3611">
            <v>3609</v>
          </cell>
          <cell r="C3611" t="str">
            <v>CS01/11</v>
          </cell>
          <cell r="D3611" t="str">
            <v>SAPH440 P/O</v>
          </cell>
          <cell r="E3611" t="str">
            <v>CA5</v>
          </cell>
          <cell r="F3611">
            <v>6</v>
          </cell>
          <cell r="G3611">
            <v>94</v>
          </cell>
          <cell r="H3611" t="str">
            <v>C</v>
          </cell>
          <cell r="I3611" t="str">
            <v>A</v>
          </cell>
          <cell r="K3611">
            <v>1</v>
          </cell>
          <cell r="L3611">
            <v>660</v>
          </cell>
          <cell r="M3611">
            <v>60045391</v>
          </cell>
          <cell r="N3611">
            <v>38432</v>
          </cell>
          <cell r="P3611" t="str">
            <v>IN5B21D2S496601</v>
          </cell>
        </row>
        <row r="3612">
          <cell r="A3612">
            <v>60045402</v>
          </cell>
          <cell r="B3612">
            <v>3610</v>
          </cell>
          <cell r="C3612" t="str">
            <v>CS01/11</v>
          </cell>
          <cell r="D3612" t="str">
            <v>SAPH440 P/O</v>
          </cell>
          <cell r="E3612" t="str">
            <v>CA5</v>
          </cell>
          <cell r="F3612">
            <v>6</v>
          </cell>
          <cell r="G3612">
            <v>94</v>
          </cell>
          <cell r="H3612" t="str">
            <v>C</v>
          </cell>
          <cell r="I3612" t="str">
            <v>A</v>
          </cell>
          <cell r="K3612">
            <v>1</v>
          </cell>
          <cell r="L3612">
            <v>658</v>
          </cell>
          <cell r="M3612">
            <v>60045402</v>
          </cell>
          <cell r="N3612">
            <v>38432</v>
          </cell>
          <cell r="P3612" t="str">
            <v>IN5B21D2S496602</v>
          </cell>
        </row>
        <row r="3613">
          <cell r="A3613">
            <v>60054279</v>
          </cell>
          <cell r="B3613">
            <v>3611</v>
          </cell>
          <cell r="C3613" t="str">
            <v>CS01/12</v>
          </cell>
          <cell r="D3613" t="str">
            <v>SPCC-SD</v>
          </cell>
          <cell r="E3613" t="str">
            <v>AF1</v>
          </cell>
          <cell r="F3613">
            <v>0.8</v>
          </cell>
          <cell r="G3613">
            <v>366</v>
          </cell>
          <cell r="H3613" t="str">
            <v>C</v>
          </cell>
          <cell r="I3613" t="str">
            <v>A</v>
          </cell>
          <cell r="K3613">
            <v>1</v>
          </cell>
          <cell r="L3613">
            <v>2368</v>
          </cell>
          <cell r="M3613">
            <v>60054279</v>
          </cell>
          <cell r="N3613">
            <v>38789</v>
          </cell>
          <cell r="P3613" t="str">
            <v>IN6313N1S808803</v>
          </cell>
        </row>
        <row r="3614">
          <cell r="A3614">
            <v>60048236</v>
          </cell>
          <cell r="B3614">
            <v>3612</v>
          </cell>
          <cell r="C3614" t="str">
            <v>CS01/12</v>
          </cell>
          <cell r="D3614" t="str">
            <v>SPCC-SD</v>
          </cell>
          <cell r="E3614" t="str">
            <v>AF1</v>
          </cell>
          <cell r="F3614">
            <v>0.8</v>
          </cell>
          <cell r="G3614">
            <v>443</v>
          </cell>
          <cell r="H3614" t="str">
            <v>C</v>
          </cell>
          <cell r="I3614" t="str">
            <v>A</v>
          </cell>
          <cell r="K3614">
            <v>1</v>
          </cell>
          <cell r="L3614">
            <v>1111</v>
          </cell>
          <cell r="M3614">
            <v>60048236</v>
          </cell>
          <cell r="N3614">
            <v>38861</v>
          </cell>
          <cell r="P3614" t="str">
            <v>IN6524D1M039501</v>
          </cell>
        </row>
        <row r="3615">
          <cell r="A3615">
            <v>60048249</v>
          </cell>
          <cell r="B3615">
            <v>3613</v>
          </cell>
          <cell r="C3615" t="str">
            <v>CS01/12</v>
          </cell>
          <cell r="D3615" t="str">
            <v>SPCC-SD</v>
          </cell>
          <cell r="E3615" t="str">
            <v>AF1</v>
          </cell>
          <cell r="F3615">
            <v>0.8</v>
          </cell>
          <cell r="G3615">
            <v>443</v>
          </cell>
          <cell r="H3615" t="str">
            <v>C</v>
          </cell>
          <cell r="I3615" t="str">
            <v>A</v>
          </cell>
          <cell r="K3615">
            <v>1</v>
          </cell>
          <cell r="L3615">
            <v>2858</v>
          </cell>
          <cell r="M3615">
            <v>60048249</v>
          </cell>
          <cell r="N3615" t="str">
            <v>22/C/2005</v>
          </cell>
          <cell r="O3615" t="str">
            <v>125B24SUD014</v>
          </cell>
          <cell r="P3615" t="str">
            <v>IN5C22D1S583401</v>
          </cell>
        </row>
        <row r="3616">
          <cell r="A3616">
            <v>60048354</v>
          </cell>
          <cell r="B3616">
            <v>3614</v>
          </cell>
          <cell r="C3616" t="str">
            <v>CS01/12</v>
          </cell>
          <cell r="D3616" t="str">
            <v>SPCC-SD</v>
          </cell>
          <cell r="E3616" t="str">
            <v>AF1</v>
          </cell>
          <cell r="F3616">
            <v>0.8</v>
          </cell>
          <cell r="G3616">
            <v>443</v>
          </cell>
          <cell r="H3616" t="str">
            <v>C</v>
          </cell>
          <cell r="I3616" t="str">
            <v>A</v>
          </cell>
          <cell r="K3616">
            <v>1</v>
          </cell>
          <cell r="L3616">
            <v>2772</v>
          </cell>
          <cell r="M3616">
            <v>60048354</v>
          </cell>
          <cell r="N3616" t="str">
            <v>23/C/2005</v>
          </cell>
          <cell r="O3616" t="str">
            <v>125B24SUD016</v>
          </cell>
          <cell r="P3616" t="str">
            <v>IN5C23N1S583501</v>
          </cell>
        </row>
        <row r="3617">
          <cell r="A3617">
            <v>60048357</v>
          </cell>
          <cell r="B3617">
            <v>3615</v>
          </cell>
          <cell r="C3617" t="str">
            <v>CS01/12</v>
          </cell>
          <cell r="D3617" t="str">
            <v>SPCC-SD</v>
          </cell>
          <cell r="E3617" t="str">
            <v>AF1</v>
          </cell>
          <cell r="F3617">
            <v>0.8</v>
          </cell>
          <cell r="G3617">
            <v>443</v>
          </cell>
          <cell r="H3617" t="str">
            <v>C</v>
          </cell>
          <cell r="I3617" t="str">
            <v>A</v>
          </cell>
          <cell r="K3617">
            <v>1</v>
          </cell>
          <cell r="L3617">
            <v>2912</v>
          </cell>
          <cell r="M3617">
            <v>60048357</v>
          </cell>
          <cell r="N3617" t="str">
            <v>23/C/2005</v>
          </cell>
          <cell r="P3617" t="str">
            <v>IN5C23N1S583502</v>
          </cell>
        </row>
        <row r="3618">
          <cell r="A3618">
            <v>60048618</v>
          </cell>
          <cell r="B3618">
            <v>3616</v>
          </cell>
          <cell r="C3618" t="str">
            <v>CS01/12</v>
          </cell>
          <cell r="D3618" t="str">
            <v>SPCC-SD</v>
          </cell>
          <cell r="E3618" t="str">
            <v>AF1</v>
          </cell>
          <cell r="F3618">
            <v>0.8</v>
          </cell>
          <cell r="G3618">
            <v>443</v>
          </cell>
          <cell r="H3618" t="str">
            <v>C</v>
          </cell>
          <cell r="I3618" t="str">
            <v>A</v>
          </cell>
          <cell r="K3618">
            <v>1</v>
          </cell>
          <cell r="L3618">
            <v>2826</v>
          </cell>
          <cell r="M3618">
            <v>60048618</v>
          </cell>
          <cell r="N3618" t="str">
            <v>26/C/2005</v>
          </cell>
          <cell r="O3618" t="str">
            <v>125B24SUD018</v>
          </cell>
          <cell r="P3618" t="str">
            <v>IN5C26D1S606001</v>
          </cell>
        </row>
        <row r="3619">
          <cell r="A3619">
            <v>60047061</v>
          </cell>
          <cell r="B3619">
            <v>3617</v>
          </cell>
          <cell r="C3619" t="str">
            <v>CS01/12</v>
          </cell>
          <cell r="D3619" t="str">
            <v>SPCC-SD</v>
          </cell>
          <cell r="E3619" t="str">
            <v>AF1</v>
          </cell>
          <cell r="F3619">
            <v>0.9</v>
          </cell>
          <cell r="G3619">
            <v>200</v>
          </cell>
          <cell r="H3619" t="str">
            <v>C</v>
          </cell>
          <cell r="I3619" t="str">
            <v>A</v>
          </cell>
          <cell r="K3619">
            <v>1</v>
          </cell>
          <cell r="L3619">
            <v>610</v>
          </cell>
          <cell r="M3619">
            <v>60047061</v>
          </cell>
          <cell r="N3619" t="str">
            <v>9/C/2005</v>
          </cell>
          <cell r="O3619" t="str">
            <v>125B24SUD018</v>
          </cell>
          <cell r="P3619" t="str">
            <v>IN5C09D1S550801</v>
          </cell>
        </row>
        <row r="3620">
          <cell r="A3620">
            <v>60051542</v>
          </cell>
          <cell r="B3620">
            <v>3618</v>
          </cell>
          <cell r="C3620" t="str">
            <v>CS01/12</v>
          </cell>
          <cell r="D3620" t="str">
            <v>SPCC-SD</v>
          </cell>
          <cell r="E3620" t="str">
            <v>AF1</v>
          </cell>
          <cell r="F3620">
            <v>0.9</v>
          </cell>
          <cell r="G3620">
            <v>215</v>
          </cell>
          <cell r="H3620" t="str">
            <v>C</v>
          </cell>
          <cell r="I3620" t="str">
            <v>A</v>
          </cell>
          <cell r="K3620">
            <v>1</v>
          </cell>
          <cell r="L3620">
            <v>882</v>
          </cell>
          <cell r="M3620">
            <v>60051542</v>
          </cell>
          <cell r="N3620">
            <v>38764</v>
          </cell>
          <cell r="P3620" t="str">
            <v>IN6216D1S739201</v>
          </cell>
        </row>
        <row r="3621">
          <cell r="A3621">
            <v>60053300</v>
          </cell>
          <cell r="B3621">
            <v>3619</v>
          </cell>
          <cell r="C3621" t="str">
            <v>CS01/12</v>
          </cell>
          <cell r="D3621" t="str">
            <v>SPCC-SD</v>
          </cell>
          <cell r="E3621" t="str">
            <v>AF1</v>
          </cell>
          <cell r="F3621">
            <v>1</v>
          </cell>
          <cell r="G3621">
            <v>33</v>
          </cell>
          <cell r="H3621" t="str">
            <v>C</v>
          </cell>
          <cell r="I3621" t="str">
            <v>A</v>
          </cell>
          <cell r="K3621">
            <v>1</v>
          </cell>
          <cell r="L3621">
            <v>212</v>
          </cell>
          <cell r="M3621">
            <v>60053300</v>
          </cell>
          <cell r="N3621">
            <v>38780</v>
          </cell>
          <cell r="P3621" t="str">
            <v>IN6304N1S809401</v>
          </cell>
        </row>
        <row r="3622">
          <cell r="A3622">
            <v>60053303</v>
          </cell>
          <cell r="B3622">
            <v>3620</v>
          </cell>
          <cell r="C3622" t="str">
            <v>CS01/12</v>
          </cell>
          <cell r="D3622" t="str">
            <v>SPCC-SD</v>
          </cell>
          <cell r="E3622" t="str">
            <v>AF1</v>
          </cell>
          <cell r="F3622">
            <v>1</v>
          </cell>
          <cell r="G3622">
            <v>33</v>
          </cell>
          <cell r="H3622" t="str">
            <v>C</v>
          </cell>
          <cell r="I3622" t="str">
            <v>A</v>
          </cell>
          <cell r="K3622">
            <v>1</v>
          </cell>
          <cell r="L3622">
            <v>82</v>
          </cell>
          <cell r="M3622">
            <v>60053303</v>
          </cell>
          <cell r="N3622">
            <v>38780</v>
          </cell>
          <cell r="P3622" t="str">
            <v>IN6304N1S809402</v>
          </cell>
        </row>
        <row r="3623">
          <cell r="A3623">
            <v>60050480</v>
          </cell>
          <cell r="B3623">
            <v>3621</v>
          </cell>
          <cell r="C3623" t="str">
            <v>CS01/12</v>
          </cell>
          <cell r="D3623" t="str">
            <v>SPCC-SD</v>
          </cell>
          <cell r="E3623" t="str">
            <v>AF1</v>
          </cell>
          <cell r="F3623">
            <v>1</v>
          </cell>
          <cell r="G3623">
            <v>34</v>
          </cell>
          <cell r="H3623" t="str">
            <v>C</v>
          </cell>
          <cell r="I3623" t="str">
            <v>A</v>
          </cell>
          <cell r="K3623">
            <v>1</v>
          </cell>
          <cell r="L3623">
            <v>110</v>
          </cell>
          <cell r="M3623">
            <v>60050480</v>
          </cell>
          <cell r="N3623">
            <v>38744</v>
          </cell>
          <cell r="P3623" t="str">
            <v>IN6127N1S686501</v>
          </cell>
        </row>
        <row r="3624">
          <cell r="A3624">
            <v>60050497</v>
          </cell>
          <cell r="B3624">
            <v>3622</v>
          </cell>
          <cell r="C3624" t="str">
            <v>CS01/12</v>
          </cell>
          <cell r="D3624" t="str">
            <v>SPCC-SD</v>
          </cell>
          <cell r="E3624" t="str">
            <v>AF1</v>
          </cell>
          <cell r="F3624">
            <v>1</v>
          </cell>
          <cell r="G3624">
            <v>34</v>
          </cell>
          <cell r="H3624" t="str">
            <v>C</v>
          </cell>
          <cell r="I3624" t="str">
            <v>A</v>
          </cell>
          <cell r="K3624">
            <v>1</v>
          </cell>
          <cell r="L3624">
            <v>111</v>
          </cell>
          <cell r="M3624">
            <v>60050497</v>
          </cell>
          <cell r="N3624">
            <v>38744</v>
          </cell>
          <cell r="P3624" t="str">
            <v>IN6127N1S686502</v>
          </cell>
        </row>
        <row r="3625">
          <cell r="A3625">
            <v>60050509</v>
          </cell>
          <cell r="B3625">
            <v>3623</v>
          </cell>
          <cell r="C3625" t="str">
            <v>CS01/12</v>
          </cell>
          <cell r="D3625" t="str">
            <v>SPCC-SD</v>
          </cell>
          <cell r="E3625" t="str">
            <v>AF1</v>
          </cell>
          <cell r="F3625">
            <v>1</v>
          </cell>
          <cell r="G3625">
            <v>34</v>
          </cell>
          <cell r="H3625" t="str">
            <v>C</v>
          </cell>
          <cell r="I3625" t="str">
            <v>A</v>
          </cell>
          <cell r="K3625">
            <v>1</v>
          </cell>
          <cell r="L3625">
            <v>101</v>
          </cell>
          <cell r="M3625">
            <v>60050509</v>
          </cell>
          <cell r="N3625">
            <v>38744</v>
          </cell>
          <cell r="P3625" t="str">
            <v>IN6127N1S686503</v>
          </cell>
        </row>
        <row r="3626">
          <cell r="A3626">
            <v>60050531</v>
          </cell>
          <cell r="B3626">
            <v>3624</v>
          </cell>
          <cell r="C3626" t="str">
            <v>CS01/12</v>
          </cell>
          <cell r="D3626" t="str">
            <v>SPCC-SD</v>
          </cell>
          <cell r="E3626" t="str">
            <v>AF1</v>
          </cell>
          <cell r="F3626">
            <v>1</v>
          </cell>
          <cell r="G3626">
            <v>34</v>
          </cell>
          <cell r="H3626" t="str">
            <v>C</v>
          </cell>
          <cell r="I3626" t="str">
            <v>A</v>
          </cell>
          <cell r="K3626">
            <v>1</v>
          </cell>
          <cell r="L3626">
            <v>101</v>
          </cell>
          <cell r="M3626">
            <v>60050531</v>
          </cell>
          <cell r="N3626">
            <v>38744</v>
          </cell>
          <cell r="P3626" t="str">
            <v>IN6127N1S686504</v>
          </cell>
        </row>
        <row r="3627">
          <cell r="A3627">
            <v>60049630</v>
          </cell>
          <cell r="B3627">
            <v>3625</v>
          </cell>
          <cell r="C3627" t="str">
            <v>CS01/12</v>
          </cell>
          <cell r="D3627" t="str">
            <v>SPCC-SD</v>
          </cell>
          <cell r="E3627" t="str">
            <v>AF1</v>
          </cell>
          <cell r="F3627">
            <v>1</v>
          </cell>
          <cell r="G3627">
            <v>60</v>
          </cell>
          <cell r="H3627" t="str">
            <v>C</v>
          </cell>
          <cell r="I3627" t="str">
            <v>A</v>
          </cell>
          <cell r="K3627">
            <v>1</v>
          </cell>
          <cell r="L3627">
            <v>280</v>
          </cell>
          <cell r="M3627">
            <v>60049630</v>
          </cell>
          <cell r="N3627">
            <v>38734</v>
          </cell>
          <cell r="P3627" t="str">
            <v>IN6117D1S633701</v>
          </cell>
        </row>
        <row r="3628">
          <cell r="A3628">
            <v>60054511</v>
          </cell>
          <cell r="B3628">
            <v>3626</v>
          </cell>
          <cell r="C3628" t="str">
            <v>CS01/12</v>
          </cell>
          <cell r="D3628" t="str">
            <v>SPCC-SD</v>
          </cell>
          <cell r="E3628" t="str">
            <v>AF1</v>
          </cell>
          <cell r="F3628">
            <v>1</v>
          </cell>
          <cell r="G3628">
            <v>80</v>
          </cell>
          <cell r="H3628" t="str">
            <v>C</v>
          </cell>
          <cell r="I3628" t="str">
            <v>A</v>
          </cell>
          <cell r="K3628">
            <v>1</v>
          </cell>
          <cell r="L3628">
            <v>161</v>
          </cell>
          <cell r="M3628">
            <v>60054511</v>
          </cell>
          <cell r="N3628">
            <v>38885</v>
          </cell>
          <cell r="P3628" t="str">
            <v>IN6617D1M113901</v>
          </cell>
        </row>
        <row r="3629">
          <cell r="A3629">
            <v>60047728</v>
          </cell>
          <cell r="B3629">
            <v>3627</v>
          </cell>
          <cell r="C3629" t="str">
            <v>CS01/12</v>
          </cell>
          <cell r="D3629" t="str">
            <v>SPCC-SD</v>
          </cell>
          <cell r="E3629" t="str">
            <v>AF1</v>
          </cell>
          <cell r="F3629">
            <v>1</v>
          </cell>
          <cell r="G3629">
            <v>87</v>
          </cell>
          <cell r="H3629" t="str">
            <v>C</v>
          </cell>
          <cell r="I3629" t="str">
            <v>A</v>
          </cell>
          <cell r="K3629">
            <v>1</v>
          </cell>
          <cell r="L3629">
            <v>166</v>
          </cell>
          <cell r="M3629">
            <v>60047728</v>
          </cell>
          <cell r="N3629" t="str">
            <v>17/C/2005</v>
          </cell>
          <cell r="O3629" t="str">
            <v>F25B16SUD024</v>
          </cell>
          <cell r="P3629" t="str">
            <v>IN5C17N1S572801</v>
          </cell>
        </row>
        <row r="3630">
          <cell r="A3630">
            <v>60053349</v>
          </cell>
          <cell r="B3630">
            <v>3628</v>
          </cell>
          <cell r="C3630" t="str">
            <v>CS01/12</v>
          </cell>
          <cell r="D3630" t="str">
            <v>SPCC-SD</v>
          </cell>
          <cell r="E3630" t="str">
            <v>AF1</v>
          </cell>
          <cell r="F3630">
            <v>1</v>
          </cell>
          <cell r="G3630">
            <v>87</v>
          </cell>
          <cell r="H3630" t="str">
            <v>C</v>
          </cell>
          <cell r="I3630" t="str">
            <v>A</v>
          </cell>
          <cell r="K3630">
            <v>1</v>
          </cell>
          <cell r="L3630">
            <v>386</v>
          </cell>
          <cell r="M3630">
            <v>60053349</v>
          </cell>
          <cell r="N3630">
            <v>38781</v>
          </cell>
          <cell r="P3630" t="str">
            <v>IN6305D1S794901</v>
          </cell>
        </row>
        <row r="3631">
          <cell r="A3631">
            <v>60038942</v>
          </cell>
          <cell r="B3631">
            <v>3629</v>
          </cell>
          <cell r="C3631" t="str">
            <v>CS01/12</v>
          </cell>
          <cell r="D3631" t="str">
            <v>SPCC-SD</v>
          </cell>
          <cell r="E3631" t="str">
            <v>AF1</v>
          </cell>
          <cell r="F3631">
            <v>1</v>
          </cell>
          <cell r="G3631">
            <v>90</v>
          </cell>
          <cell r="H3631" t="str">
            <v>C</v>
          </cell>
          <cell r="I3631" t="str">
            <v>A</v>
          </cell>
          <cell r="K3631">
            <v>1</v>
          </cell>
          <cell r="L3631">
            <v>603</v>
          </cell>
          <cell r="M3631">
            <v>60038942</v>
          </cell>
          <cell r="N3631">
            <v>38950</v>
          </cell>
          <cell r="P3631" t="str">
            <v>IN6821D1M306601</v>
          </cell>
        </row>
        <row r="3632">
          <cell r="A3632">
            <v>60040538</v>
          </cell>
          <cell r="B3632">
            <v>3630</v>
          </cell>
          <cell r="C3632" t="str">
            <v>CS01/12</v>
          </cell>
          <cell r="D3632" t="str">
            <v>SPCC-SD</v>
          </cell>
          <cell r="E3632" t="str">
            <v>AF1</v>
          </cell>
          <cell r="F3632">
            <v>1</v>
          </cell>
          <cell r="G3632">
            <v>90</v>
          </cell>
          <cell r="H3632" t="str">
            <v>C</v>
          </cell>
          <cell r="I3632" t="str">
            <v>A</v>
          </cell>
          <cell r="K3632">
            <v>1</v>
          </cell>
          <cell r="L3632">
            <v>500</v>
          </cell>
          <cell r="M3632">
            <v>60040538</v>
          </cell>
          <cell r="N3632">
            <v>38608</v>
          </cell>
          <cell r="O3632" t="str">
            <v>126626SUD001</v>
          </cell>
          <cell r="P3632" t="str">
            <v>IN5913D1S286301</v>
          </cell>
        </row>
        <row r="3633">
          <cell r="A3633">
            <v>60041240</v>
          </cell>
          <cell r="B3633">
            <v>3631</v>
          </cell>
          <cell r="C3633" t="str">
            <v>CS01/12</v>
          </cell>
          <cell r="D3633" t="str">
            <v>SPCC-SD</v>
          </cell>
          <cell r="E3633" t="str">
            <v>AF1</v>
          </cell>
          <cell r="F3633">
            <v>1</v>
          </cell>
          <cell r="G3633">
            <v>90</v>
          </cell>
          <cell r="H3633" t="str">
            <v>C</v>
          </cell>
          <cell r="I3633" t="str">
            <v>A</v>
          </cell>
          <cell r="K3633">
            <v>1</v>
          </cell>
          <cell r="L3633">
            <v>590</v>
          </cell>
          <cell r="M3633">
            <v>60041240</v>
          </cell>
          <cell r="N3633">
            <v>38625</v>
          </cell>
          <cell r="P3633" t="str">
            <v>IN5930N1S344101</v>
          </cell>
        </row>
        <row r="3634">
          <cell r="A3634">
            <v>60042171</v>
          </cell>
          <cell r="B3634">
            <v>3632</v>
          </cell>
          <cell r="C3634" t="str">
            <v>CS01/12</v>
          </cell>
          <cell r="D3634" t="str">
            <v>SPCC-SD</v>
          </cell>
          <cell r="E3634" t="str">
            <v>AF1</v>
          </cell>
          <cell r="F3634">
            <v>1</v>
          </cell>
          <cell r="G3634">
            <v>90</v>
          </cell>
          <cell r="H3634" t="str">
            <v>C</v>
          </cell>
          <cell r="I3634" t="str">
            <v>A</v>
          </cell>
          <cell r="K3634">
            <v>1</v>
          </cell>
          <cell r="L3634">
            <v>652</v>
          </cell>
          <cell r="M3634">
            <v>60042171</v>
          </cell>
          <cell r="N3634" t="str">
            <v>12/A/2005</v>
          </cell>
          <cell r="P3634" t="str">
            <v>IN5A12N1S354601</v>
          </cell>
        </row>
        <row r="3635">
          <cell r="A3635">
            <v>60042336</v>
          </cell>
          <cell r="B3635">
            <v>3633</v>
          </cell>
          <cell r="C3635" t="str">
            <v>CS01/12</v>
          </cell>
          <cell r="D3635" t="str">
            <v>SPCC-SD</v>
          </cell>
          <cell r="E3635" t="str">
            <v>AF1</v>
          </cell>
          <cell r="F3635">
            <v>1</v>
          </cell>
          <cell r="G3635">
            <v>90</v>
          </cell>
          <cell r="H3635" t="str">
            <v>C</v>
          </cell>
          <cell r="I3635" t="str">
            <v>A</v>
          </cell>
          <cell r="K3635">
            <v>1</v>
          </cell>
          <cell r="L3635">
            <v>592</v>
          </cell>
          <cell r="M3635">
            <v>60042336</v>
          </cell>
          <cell r="N3635" t="str">
            <v>14/A/2005</v>
          </cell>
          <cell r="P3635" t="str">
            <v>IN5A14D1S364801</v>
          </cell>
        </row>
        <row r="3636">
          <cell r="A3636">
            <v>60060742</v>
          </cell>
          <cell r="B3636">
            <v>3634</v>
          </cell>
          <cell r="C3636" t="str">
            <v>CS01/12</v>
          </cell>
          <cell r="D3636" t="str">
            <v>SPCC-SD</v>
          </cell>
          <cell r="E3636" t="str">
            <v>AF1</v>
          </cell>
          <cell r="F3636">
            <v>1</v>
          </cell>
          <cell r="G3636">
            <v>90</v>
          </cell>
          <cell r="H3636" t="str">
            <v>C</v>
          </cell>
          <cell r="I3636" t="str">
            <v>A</v>
          </cell>
          <cell r="K3636">
            <v>1</v>
          </cell>
          <cell r="L3636">
            <v>683</v>
          </cell>
          <cell r="M3636">
            <v>60060742</v>
          </cell>
          <cell r="N3636">
            <v>38869</v>
          </cell>
          <cell r="P3636" t="str">
            <v>IN6601N1S074201</v>
          </cell>
        </row>
        <row r="3637">
          <cell r="A3637">
            <v>60058254</v>
          </cell>
          <cell r="B3637">
            <v>3635</v>
          </cell>
          <cell r="C3637" t="str">
            <v>CS01/12</v>
          </cell>
          <cell r="D3637" t="str">
            <v>SPCC-SD</v>
          </cell>
          <cell r="E3637" t="str">
            <v>AF1</v>
          </cell>
          <cell r="F3637">
            <v>1</v>
          </cell>
          <cell r="G3637">
            <v>98</v>
          </cell>
          <cell r="H3637" t="str">
            <v>C</v>
          </cell>
          <cell r="I3637" t="str">
            <v>A</v>
          </cell>
          <cell r="K3637">
            <v>1</v>
          </cell>
          <cell r="L3637">
            <v>284</v>
          </cell>
          <cell r="M3637">
            <v>60058254</v>
          </cell>
          <cell r="N3637">
            <v>38841</v>
          </cell>
          <cell r="P3637" t="str">
            <v>IN6504N1S986601</v>
          </cell>
        </row>
        <row r="3638">
          <cell r="A3638">
            <v>60032585</v>
          </cell>
          <cell r="B3638">
            <v>3636</v>
          </cell>
          <cell r="C3638" t="str">
            <v>CS01/12</v>
          </cell>
          <cell r="D3638" t="str">
            <v>SPCC-SD</v>
          </cell>
          <cell r="E3638" t="str">
            <v>AF1</v>
          </cell>
          <cell r="F3638">
            <v>1.6</v>
          </cell>
          <cell r="G3638">
            <v>75</v>
          </cell>
          <cell r="H3638" t="str">
            <v>C</v>
          </cell>
          <cell r="I3638" t="str">
            <v>A</v>
          </cell>
          <cell r="K3638">
            <v>1</v>
          </cell>
          <cell r="L3638">
            <v>116</v>
          </cell>
          <cell r="M3638">
            <v>60032585</v>
          </cell>
          <cell r="N3638">
            <v>38467</v>
          </cell>
          <cell r="P3638" t="str">
            <v>IN5425N1S903001</v>
          </cell>
        </row>
        <row r="3639">
          <cell r="A3639">
            <v>60032592</v>
          </cell>
          <cell r="B3639">
            <v>3637</v>
          </cell>
          <cell r="C3639" t="str">
            <v>CS01/12</v>
          </cell>
          <cell r="D3639" t="str">
            <v>SPCC-SD</v>
          </cell>
          <cell r="E3639" t="str">
            <v>AF1</v>
          </cell>
          <cell r="F3639">
            <v>1.6</v>
          </cell>
          <cell r="G3639">
            <v>75</v>
          </cell>
          <cell r="H3639" t="str">
            <v>C</v>
          </cell>
          <cell r="I3639" t="str">
            <v>A</v>
          </cell>
          <cell r="K3639">
            <v>1</v>
          </cell>
          <cell r="L3639">
            <v>113</v>
          </cell>
          <cell r="M3639">
            <v>60032592</v>
          </cell>
          <cell r="N3639">
            <v>38467</v>
          </cell>
          <cell r="P3639" t="str">
            <v>IN5425N1S903002</v>
          </cell>
        </row>
        <row r="3640">
          <cell r="A3640">
            <v>60032372</v>
          </cell>
          <cell r="B3640">
            <v>3638</v>
          </cell>
          <cell r="C3640" t="str">
            <v>CS01/12</v>
          </cell>
          <cell r="D3640" t="str">
            <v>SPCC-SD</v>
          </cell>
          <cell r="E3640" t="str">
            <v>AF1</v>
          </cell>
          <cell r="F3640">
            <v>1.6</v>
          </cell>
          <cell r="G3640">
            <v>85</v>
          </cell>
          <cell r="H3640" t="str">
            <v>C</v>
          </cell>
          <cell r="I3640" t="str">
            <v>A</v>
          </cell>
          <cell r="K3640">
            <v>1</v>
          </cell>
          <cell r="L3640">
            <v>160</v>
          </cell>
          <cell r="M3640">
            <v>60032372</v>
          </cell>
          <cell r="N3640">
            <v>38490</v>
          </cell>
          <cell r="P3640" t="str">
            <v>IN5518D2M967201</v>
          </cell>
        </row>
        <row r="3641">
          <cell r="A3641">
            <v>60039672</v>
          </cell>
          <cell r="B3641">
            <v>3639</v>
          </cell>
          <cell r="C3641" t="str">
            <v>CS01/12</v>
          </cell>
          <cell r="D3641" t="str">
            <v>SPCC-SD</v>
          </cell>
          <cell r="E3641" t="str">
            <v>AF1</v>
          </cell>
          <cell r="F3641">
            <v>1.6</v>
          </cell>
          <cell r="G3641">
            <v>125</v>
          </cell>
          <cell r="H3641" t="str">
            <v>C</v>
          </cell>
          <cell r="I3641" t="str">
            <v>A</v>
          </cell>
          <cell r="K3641">
            <v>1</v>
          </cell>
          <cell r="L3641">
            <v>238</v>
          </cell>
          <cell r="M3641">
            <v>60039672</v>
          </cell>
          <cell r="N3641">
            <v>38594</v>
          </cell>
          <cell r="P3641" t="str">
            <v>IN5830D1S244001</v>
          </cell>
        </row>
        <row r="3642">
          <cell r="A3642">
            <v>60040108</v>
          </cell>
          <cell r="B3642">
            <v>3640</v>
          </cell>
          <cell r="C3642" t="str">
            <v>CS01/12</v>
          </cell>
          <cell r="D3642" t="str">
            <v>SPCC-SD</v>
          </cell>
          <cell r="E3642" t="str">
            <v>AF1</v>
          </cell>
          <cell r="F3642">
            <v>1.6</v>
          </cell>
          <cell r="G3642">
            <v>133</v>
          </cell>
          <cell r="H3642" t="str">
            <v>C</v>
          </cell>
          <cell r="I3642" t="str">
            <v>A</v>
          </cell>
          <cell r="K3642">
            <v>1</v>
          </cell>
          <cell r="L3642">
            <v>514</v>
          </cell>
          <cell r="M3642">
            <v>60040108</v>
          </cell>
          <cell r="N3642">
            <v>38601</v>
          </cell>
          <cell r="O3642" t="str">
            <v>125809TCD016</v>
          </cell>
          <cell r="P3642" t="str">
            <v>IN5906D2S276701</v>
          </cell>
        </row>
        <row r="3643">
          <cell r="A3643">
            <v>60055631</v>
          </cell>
          <cell r="B3643">
            <v>3641</v>
          </cell>
          <cell r="C3643" t="str">
            <v>CS01/12</v>
          </cell>
          <cell r="D3643" t="str">
            <v>SPCC-SD</v>
          </cell>
          <cell r="E3643" t="str">
            <v>AF1</v>
          </cell>
          <cell r="F3643">
            <v>1.6</v>
          </cell>
          <cell r="G3643">
            <v>150</v>
          </cell>
          <cell r="H3643" t="str">
            <v>C</v>
          </cell>
          <cell r="I3643" t="str">
            <v>A</v>
          </cell>
          <cell r="K3643">
            <v>1</v>
          </cell>
          <cell r="L3643">
            <v>644</v>
          </cell>
          <cell r="M3643">
            <v>60055631</v>
          </cell>
          <cell r="N3643">
            <v>38802</v>
          </cell>
          <cell r="P3643" t="str">
            <v>IN6326D1S886301</v>
          </cell>
        </row>
        <row r="3644">
          <cell r="A3644">
            <v>60054677</v>
          </cell>
          <cell r="B3644">
            <v>3642</v>
          </cell>
          <cell r="C3644" t="str">
            <v>CS01/12</v>
          </cell>
          <cell r="D3644" t="str">
            <v>SPCC-SD</v>
          </cell>
          <cell r="E3644" t="str">
            <v>AF1</v>
          </cell>
          <cell r="F3644">
            <v>1.6</v>
          </cell>
          <cell r="G3644">
            <v>306</v>
          </cell>
          <cell r="H3644" t="str">
            <v>C</v>
          </cell>
          <cell r="I3644" t="str">
            <v>A</v>
          </cell>
          <cell r="K3644">
            <v>1</v>
          </cell>
          <cell r="L3644">
            <v>507</v>
          </cell>
          <cell r="M3644">
            <v>60054677</v>
          </cell>
          <cell r="N3644">
            <v>38882</v>
          </cell>
          <cell r="P3644" t="str">
            <v>IN6614D1S103301</v>
          </cell>
        </row>
        <row r="3645">
          <cell r="A3645">
            <v>60056260</v>
          </cell>
          <cell r="B3645">
            <v>3643</v>
          </cell>
          <cell r="C3645" t="str">
            <v>CS01/12</v>
          </cell>
          <cell r="D3645" t="str">
            <v>SPCC-SD</v>
          </cell>
          <cell r="E3645" t="str">
            <v>AF1</v>
          </cell>
          <cell r="F3645">
            <v>1.6</v>
          </cell>
          <cell r="G3645">
            <v>413</v>
          </cell>
          <cell r="H3645" t="str">
            <v>C</v>
          </cell>
          <cell r="I3645" t="str">
            <v>A</v>
          </cell>
          <cell r="K3645">
            <v>1</v>
          </cell>
          <cell r="L3645">
            <v>969</v>
          </cell>
          <cell r="M3645">
            <v>60056260</v>
          </cell>
          <cell r="N3645">
            <v>38929</v>
          </cell>
          <cell r="P3645" t="str">
            <v>IN6731D1S242401</v>
          </cell>
        </row>
        <row r="3646">
          <cell r="A3646">
            <v>60041732</v>
          </cell>
          <cell r="B3646">
            <v>3644</v>
          </cell>
          <cell r="C3646" t="str">
            <v>CS01/12</v>
          </cell>
          <cell r="D3646" t="str">
            <v>SPCC-SD</v>
          </cell>
          <cell r="E3646" t="str">
            <v>AF1</v>
          </cell>
          <cell r="F3646">
            <v>2</v>
          </cell>
          <cell r="G3646">
            <v>65</v>
          </cell>
          <cell r="H3646" t="str">
            <v>C</v>
          </cell>
          <cell r="I3646" t="str">
            <v>A</v>
          </cell>
          <cell r="K3646">
            <v>1</v>
          </cell>
          <cell r="L3646">
            <v>188</v>
          </cell>
          <cell r="M3646">
            <v>60041732</v>
          </cell>
          <cell r="N3646" t="str">
            <v>7/A/2005</v>
          </cell>
          <cell r="P3646" t="str">
            <v>IN5A07D2S354101</v>
          </cell>
        </row>
        <row r="3647">
          <cell r="A3647">
            <v>60054338</v>
          </cell>
          <cell r="B3647">
            <v>3645</v>
          </cell>
          <cell r="C3647" t="str">
            <v>CS01/12</v>
          </cell>
          <cell r="D3647" t="str">
            <v>SPCC-SD</v>
          </cell>
          <cell r="E3647" t="str">
            <v>AF1</v>
          </cell>
          <cell r="F3647">
            <v>2</v>
          </cell>
          <cell r="G3647">
            <v>92</v>
          </cell>
          <cell r="H3647" t="str">
            <v>C</v>
          </cell>
          <cell r="I3647" t="str">
            <v>A</v>
          </cell>
          <cell r="K3647">
            <v>1</v>
          </cell>
          <cell r="L3647">
            <v>140</v>
          </cell>
          <cell r="M3647">
            <v>60054338</v>
          </cell>
          <cell r="N3647">
            <v>38789</v>
          </cell>
          <cell r="P3647" t="str">
            <v>IN6313N2S836401</v>
          </cell>
        </row>
        <row r="3648">
          <cell r="A3648">
            <v>60054339</v>
          </cell>
          <cell r="B3648">
            <v>3646</v>
          </cell>
          <cell r="C3648" t="str">
            <v>CS01/12</v>
          </cell>
          <cell r="D3648" t="str">
            <v>SPCC-SD</v>
          </cell>
          <cell r="E3648" t="str">
            <v>AF1</v>
          </cell>
          <cell r="F3648">
            <v>2</v>
          </cell>
          <cell r="G3648">
            <v>92</v>
          </cell>
          <cell r="H3648" t="str">
            <v>C</v>
          </cell>
          <cell r="I3648" t="str">
            <v>A</v>
          </cell>
          <cell r="K3648">
            <v>1</v>
          </cell>
          <cell r="L3648">
            <v>140</v>
          </cell>
          <cell r="M3648">
            <v>60054339</v>
          </cell>
          <cell r="N3648">
            <v>38789</v>
          </cell>
          <cell r="P3648" t="str">
            <v>IN6313N2S836402</v>
          </cell>
        </row>
        <row r="3649">
          <cell r="A3649">
            <v>60054340</v>
          </cell>
          <cell r="B3649">
            <v>3647</v>
          </cell>
          <cell r="C3649" t="str">
            <v>CS01/12</v>
          </cell>
          <cell r="D3649" t="str">
            <v>SPCC-SD</v>
          </cell>
          <cell r="E3649" t="str">
            <v>AF1</v>
          </cell>
          <cell r="F3649">
            <v>2</v>
          </cell>
          <cell r="G3649">
            <v>92</v>
          </cell>
          <cell r="H3649" t="str">
            <v>C</v>
          </cell>
          <cell r="I3649" t="str">
            <v>A</v>
          </cell>
          <cell r="K3649">
            <v>1</v>
          </cell>
          <cell r="L3649">
            <v>140</v>
          </cell>
          <cell r="M3649">
            <v>60054340</v>
          </cell>
          <cell r="N3649">
            <v>38789</v>
          </cell>
          <cell r="P3649" t="str">
            <v>IN6313N2S836403</v>
          </cell>
        </row>
        <row r="3650">
          <cell r="A3650">
            <v>60054341</v>
          </cell>
          <cell r="B3650">
            <v>3648</v>
          </cell>
          <cell r="C3650" t="str">
            <v>CS01/12</v>
          </cell>
          <cell r="D3650" t="str">
            <v>SPCC-SD</v>
          </cell>
          <cell r="E3650" t="str">
            <v>AF1</v>
          </cell>
          <cell r="F3650">
            <v>2</v>
          </cell>
          <cell r="G3650">
            <v>92</v>
          </cell>
          <cell r="H3650" t="str">
            <v>C</v>
          </cell>
          <cell r="I3650" t="str">
            <v>A</v>
          </cell>
          <cell r="K3650">
            <v>1</v>
          </cell>
          <cell r="L3650">
            <v>140</v>
          </cell>
          <cell r="M3650">
            <v>60054341</v>
          </cell>
          <cell r="N3650">
            <v>38789</v>
          </cell>
          <cell r="P3650" t="str">
            <v>IN6313N2S836404</v>
          </cell>
        </row>
        <row r="3651">
          <cell r="A3651">
            <v>60063905</v>
          </cell>
          <cell r="B3651">
            <v>3649</v>
          </cell>
          <cell r="C3651" t="str">
            <v>CS01/12</v>
          </cell>
          <cell r="D3651" t="str">
            <v>SPCC-SD</v>
          </cell>
          <cell r="E3651" t="str">
            <v>AF1</v>
          </cell>
          <cell r="F3651">
            <v>2</v>
          </cell>
          <cell r="G3651">
            <v>92</v>
          </cell>
          <cell r="H3651" t="str">
            <v>C</v>
          </cell>
          <cell r="I3651" t="str">
            <v>A</v>
          </cell>
          <cell r="K3651">
            <v>1</v>
          </cell>
          <cell r="L3651">
            <v>188</v>
          </cell>
          <cell r="M3651">
            <v>60063905</v>
          </cell>
          <cell r="N3651">
            <v>38917</v>
          </cell>
          <cell r="P3651" t="str">
            <v>IN6719D2S210001</v>
          </cell>
        </row>
        <row r="3652">
          <cell r="A3652">
            <v>60057776</v>
          </cell>
          <cell r="B3652">
            <v>3650</v>
          </cell>
          <cell r="C3652" t="str">
            <v>CS01/12</v>
          </cell>
          <cell r="D3652" t="str">
            <v>SPCC-SD</v>
          </cell>
          <cell r="E3652" t="str">
            <v>AF1</v>
          </cell>
          <cell r="F3652">
            <v>2.2999999999999998</v>
          </cell>
          <cell r="G3652">
            <v>48</v>
          </cell>
          <cell r="H3652" t="str">
            <v>C</v>
          </cell>
          <cell r="I3652" t="str">
            <v>A</v>
          </cell>
          <cell r="K3652">
            <v>1</v>
          </cell>
          <cell r="L3652">
            <v>132</v>
          </cell>
          <cell r="M3652">
            <v>60057776</v>
          </cell>
          <cell r="N3652">
            <v>38835</v>
          </cell>
          <cell r="P3652" t="str">
            <v>IN6428D2S963401</v>
          </cell>
        </row>
        <row r="3653">
          <cell r="A3653">
            <v>60052690</v>
          </cell>
          <cell r="B3653">
            <v>3651</v>
          </cell>
          <cell r="C3653" t="str">
            <v>CS01/12</v>
          </cell>
          <cell r="D3653" t="str">
            <v>SPCC-SD</v>
          </cell>
          <cell r="E3653" t="str">
            <v>AF1</v>
          </cell>
          <cell r="F3653">
            <v>2.6</v>
          </cell>
          <cell r="G3653">
            <v>85</v>
          </cell>
          <cell r="H3653" t="str">
            <v>C</v>
          </cell>
          <cell r="I3653" t="str">
            <v>A</v>
          </cell>
          <cell r="K3653">
            <v>1</v>
          </cell>
          <cell r="L3653">
            <v>170</v>
          </cell>
          <cell r="M3653">
            <v>60052690</v>
          </cell>
          <cell r="N3653">
            <v>38773</v>
          </cell>
          <cell r="P3653" t="str">
            <v>IN6225N1S775401</v>
          </cell>
        </row>
        <row r="3654">
          <cell r="A3654">
            <v>60052693</v>
          </cell>
          <cell r="B3654">
            <v>3652</v>
          </cell>
          <cell r="C3654" t="str">
            <v>CS01/12</v>
          </cell>
          <cell r="D3654" t="str">
            <v>SPCC-SD</v>
          </cell>
          <cell r="E3654" t="str">
            <v>AF1</v>
          </cell>
          <cell r="F3654">
            <v>2.6</v>
          </cell>
          <cell r="G3654">
            <v>85</v>
          </cell>
          <cell r="H3654" t="str">
            <v>C</v>
          </cell>
          <cell r="I3654" t="str">
            <v>A</v>
          </cell>
          <cell r="K3654">
            <v>1</v>
          </cell>
          <cell r="L3654">
            <v>156</v>
          </cell>
          <cell r="M3654">
            <v>60052693</v>
          </cell>
          <cell r="N3654">
            <v>38773</v>
          </cell>
          <cell r="P3654" t="str">
            <v>IN6225N1S775402</v>
          </cell>
        </row>
        <row r="3655">
          <cell r="A3655">
            <v>60041111</v>
          </cell>
          <cell r="B3655">
            <v>3653</v>
          </cell>
          <cell r="C3655" t="str">
            <v>CS01/12</v>
          </cell>
          <cell r="D3655" t="str">
            <v>SPCC-SD</v>
          </cell>
          <cell r="E3655" t="str">
            <v>AF1</v>
          </cell>
          <cell r="F3655">
            <v>3</v>
          </cell>
          <cell r="G3655">
            <v>38</v>
          </cell>
          <cell r="H3655" t="str">
            <v>C</v>
          </cell>
          <cell r="I3655" t="str">
            <v>A</v>
          </cell>
          <cell r="K3655">
            <v>1</v>
          </cell>
          <cell r="L3655">
            <v>185</v>
          </cell>
          <cell r="M3655">
            <v>60041111</v>
          </cell>
          <cell r="N3655">
            <v>38623</v>
          </cell>
          <cell r="P3655" t="str">
            <v>IN5928D2S328601</v>
          </cell>
        </row>
        <row r="3656">
          <cell r="A3656">
            <v>60041113</v>
          </cell>
          <cell r="B3656">
            <v>3654</v>
          </cell>
          <cell r="C3656" t="str">
            <v>CS01/12</v>
          </cell>
          <cell r="D3656" t="str">
            <v>SPCC-SD</v>
          </cell>
          <cell r="E3656" t="str">
            <v>AF1</v>
          </cell>
          <cell r="F3656">
            <v>3</v>
          </cell>
          <cell r="G3656">
            <v>38</v>
          </cell>
          <cell r="H3656" t="str">
            <v>C</v>
          </cell>
          <cell r="I3656" t="str">
            <v>A</v>
          </cell>
          <cell r="K3656">
            <v>1</v>
          </cell>
          <cell r="L3656">
            <v>185</v>
          </cell>
          <cell r="M3656">
            <v>60041113</v>
          </cell>
          <cell r="N3656">
            <v>38623</v>
          </cell>
          <cell r="P3656" t="str">
            <v>IN5928D2S328602</v>
          </cell>
        </row>
        <row r="3657">
          <cell r="A3657">
            <v>60041114</v>
          </cell>
          <cell r="B3657">
            <v>3655</v>
          </cell>
          <cell r="C3657" t="str">
            <v>CS01/12</v>
          </cell>
          <cell r="D3657" t="str">
            <v>SPCC-SD</v>
          </cell>
          <cell r="E3657" t="str">
            <v>AF1</v>
          </cell>
          <cell r="F3657">
            <v>3</v>
          </cell>
          <cell r="G3657">
            <v>38</v>
          </cell>
          <cell r="H3657" t="str">
            <v>C</v>
          </cell>
          <cell r="I3657" t="str">
            <v>A</v>
          </cell>
          <cell r="K3657">
            <v>1</v>
          </cell>
          <cell r="L3657">
            <v>262</v>
          </cell>
          <cell r="M3657">
            <v>60041114</v>
          </cell>
          <cell r="N3657">
            <v>38623</v>
          </cell>
          <cell r="P3657" t="str">
            <v>IN5928D2S328603</v>
          </cell>
        </row>
        <row r="3658">
          <cell r="A3658">
            <v>60041116</v>
          </cell>
          <cell r="B3658">
            <v>3656</v>
          </cell>
          <cell r="C3658" t="str">
            <v>CS01/12</v>
          </cell>
          <cell r="D3658" t="str">
            <v>SPCC-SD</v>
          </cell>
          <cell r="E3658" t="str">
            <v>AF1</v>
          </cell>
          <cell r="F3658">
            <v>3</v>
          </cell>
          <cell r="G3658">
            <v>38</v>
          </cell>
          <cell r="H3658" t="str">
            <v>C</v>
          </cell>
          <cell r="I3658" t="str">
            <v>A</v>
          </cell>
          <cell r="K3658">
            <v>1</v>
          </cell>
          <cell r="L3658">
            <v>262</v>
          </cell>
          <cell r="M3658">
            <v>60041116</v>
          </cell>
          <cell r="N3658">
            <v>38623</v>
          </cell>
          <cell r="P3658" t="str">
            <v>IN5928D2S328604</v>
          </cell>
        </row>
        <row r="3659">
          <cell r="A3659">
            <v>60041132</v>
          </cell>
          <cell r="B3659">
            <v>3657</v>
          </cell>
          <cell r="C3659" t="str">
            <v>CS01/12</v>
          </cell>
          <cell r="D3659" t="str">
            <v>SPCC-SD</v>
          </cell>
          <cell r="E3659" t="str">
            <v>AF1</v>
          </cell>
          <cell r="F3659">
            <v>3</v>
          </cell>
          <cell r="G3659">
            <v>38</v>
          </cell>
          <cell r="H3659" t="str">
            <v>C</v>
          </cell>
          <cell r="I3659" t="str">
            <v>A</v>
          </cell>
          <cell r="K3659">
            <v>1</v>
          </cell>
          <cell r="L3659">
            <v>288</v>
          </cell>
          <cell r="M3659">
            <v>60041132</v>
          </cell>
          <cell r="N3659">
            <v>38624</v>
          </cell>
          <cell r="P3659" t="str">
            <v>IN5929D2S328601</v>
          </cell>
        </row>
        <row r="3660">
          <cell r="A3660">
            <v>60041134</v>
          </cell>
          <cell r="B3660">
            <v>3658</v>
          </cell>
          <cell r="C3660" t="str">
            <v>CS01/12</v>
          </cell>
          <cell r="D3660" t="str">
            <v>SPCC-SD</v>
          </cell>
          <cell r="E3660" t="str">
            <v>AF1</v>
          </cell>
          <cell r="F3660">
            <v>3</v>
          </cell>
          <cell r="G3660">
            <v>38</v>
          </cell>
          <cell r="H3660" t="str">
            <v>C</v>
          </cell>
          <cell r="I3660" t="str">
            <v>A</v>
          </cell>
          <cell r="K3660">
            <v>1</v>
          </cell>
          <cell r="L3660">
            <v>288</v>
          </cell>
          <cell r="M3660">
            <v>60041134</v>
          </cell>
          <cell r="N3660">
            <v>38624</v>
          </cell>
          <cell r="P3660" t="str">
            <v>IN5929D2S328602</v>
          </cell>
        </row>
        <row r="3661">
          <cell r="A3661">
            <v>60042394</v>
          </cell>
          <cell r="B3661">
            <v>3659</v>
          </cell>
          <cell r="C3661" t="str">
            <v>CS01/12</v>
          </cell>
          <cell r="D3661" t="str">
            <v>SPCC-SD</v>
          </cell>
          <cell r="E3661" t="str">
            <v>AF1</v>
          </cell>
          <cell r="F3661">
            <v>3</v>
          </cell>
          <cell r="G3661">
            <v>39</v>
          </cell>
          <cell r="H3661" t="str">
            <v>C</v>
          </cell>
          <cell r="I3661" t="str">
            <v>A</v>
          </cell>
          <cell r="K3661">
            <v>1</v>
          </cell>
          <cell r="L3661">
            <v>186</v>
          </cell>
          <cell r="M3661">
            <v>60042394</v>
          </cell>
          <cell r="N3661" t="str">
            <v>15/A/2005</v>
          </cell>
          <cell r="P3661" t="str">
            <v>IN5A15D1S373201</v>
          </cell>
        </row>
        <row r="3662">
          <cell r="A3662">
            <v>60042396</v>
          </cell>
          <cell r="B3662">
            <v>3660</v>
          </cell>
          <cell r="C3662" t="str">
            <v>CS01/12</v>
          </cell>
          <cell r="D3662" t="str">
            <v>SPCC-SD</v>
          </cell>
          <cell r="E3662" t="str">
            <v>AF1</v>
          </cell>
          <cell r="F3662">
            <v>3</v>
          </cell>
          <cell r="G3662">
            <v>39</v>
          </cell>
          <cell r="H3662" t="str">
            <v>C</v>
          </cell>
          <cell r="I3662" t="str">
            <v>A</v>
          </cell>
          <cell r="K3662">
            <v>1</v>
          </cell>
          <cell r="L3662">
            <v>186</v>
          </cell>
          <cell r="M3662">
            <v>60042396</v>
          </cell>
          <cell r="N3662" t="str">
            <v>15/A/2005</v>
          </cell>
          <cell r="P3662" t="str">
            <v>IN5A15D1S373202</v>
          </cell>
        </row>
        <row r="3663">
          <cell r="A3663">
            <v>60042397</v>
          </cell>
          <cell r="B3663">
            <v>3661</v>
          </cell>
          <cell r="C3663" t="str">
            <v>CS01/12</v>
          </cell>
          <cell r="D3663" t="str">
            <v>SPCC-SD</v>
          </cell>
          <cell r="E3663" t="str">
            <v>AF1</v>
          </cell>
          <cell r="F3663">
            <v>3</v>
          </cell>
          <cell r="G3663">
            <v>39</v>
          </cell>
          <cell r="H3663" t="str">
            <v>C</v>
          </cell>
          <cell r="I3663" t="str">
            <v>A</v>
          </cell>
          <cell r="K3663">
            <v>1</v>
          </cell>
          <cell r="L3663">
            <v>196</v>
          </cell>
          <cell r="M3663">
            <v>60042397</v>
          </cell>
          <cell r="N3663" t="str">
            <v>15/A/2005</v>
          </cell>
          <cell r="P3663" t="str">
            <v>IN5A15D1S373203</v>
          </cell>
        </row>
        <row r="3664">
          <cell r="A3664">
            <v>60042399</v>
          </cell>
          <cell r="B3664">
            <v>3662</v>
          </cell>
          <cell r="C3664" t="str">
            <v>CS01/12</v>
          </cell>
          <cell r="D3664" t="str">
            <v>SPCC-SD</v>
          </cell>
          <cell r="E3664" t="str">
            <v>AF1</v>
          </cell>
          <cell r="F3664">
            <v>3</v>
          </cell>
          <cell r="G3664">
            <v>39</v>
          </cell>
          <cell r="H3664" t="str">
            <v>C</v>
          </cell>
          <cell r="I3664" t="str">
            <v>A</v>
          </cell>
          <cell r="K3664">
            <v>1</v>
          </cell>
          <cell r="L3664">
            <v>196</v>
          </cell>
          <cell r="M3664">
            <v>60042399</v>
          </cell>
          <cell r="N3664" t="str">
            <v>15/A/2005</v>
          </cell>
          <cell r="P3664" t="str">
            <v>IN5A15D1S373204</v>
          </cell>
        </row>
        <row r="3665">
          <cell r="A3665">
            <v>60042406</v>
          </cell>
          <cell r="B3665">
            <v>3663</v>
          </cell>
          <cell r="C3665" t="str">
            <v>CS01/12</v>
          </cell>
          <cell r="D3665" t="str">
            <v>SPCC-SD</v>
          </cell>
          <cell r="E3665" t="str">
            <v>AF1</v>
          </cell>
          <cell r="F3665">
            <v>3</v>
          </cell>
          <cell r="G3665">
            <v>39</v>
          </cell>
          <cell r="H3665" t="str">
            <v>C</v>
          </cell>
          <cell r="I3665" t="str">
            <v>A</v>
          </cell>
          <cell r="K3665">
            <v>1</v>
          </cell>
          <cell r="L3665">
            <v>280</v>
          </cell>
          <cell r="M3665">
            <v>60042406</v>
          </cell>
          <cell r="N3665" t="str">
            <v>15/A/2005</v>
          </cell>
          <cell r="P3665" t="str">
            <v>IN5A15D2S381201</v>
          </cell>
        </row>
        <row r="3666">
          <cell r="A3666">
            <v>60042408</v>
          </cell>
          <cell r="B3666">
            <v>3664</v>
          </cell>
          <cell r="C3666" t="str">
            <v>CS01/12</v>
          </cell>
          <cell r="D3666" t="str">
            <v>SPCC-SD</v>
          </cell>
          <cell r="E3666" t="str">
            <v>AF1</v>
          </cell>
          <cell r="F3666">
            <v>3</v>
          </cell>
          <cell r="G3666">
            <v>39</v>
          </cell>
          <cell r="H3666" t="str">
            <v>C</v>
          </cell>
          <cell r="I3666" t="str">
            <v>A</v>
          </cell>
          <cell r="K3666">
            <v>1</v>
          </cell>
          <cell r="L3666">
            <v>280</v>
          </cell>
          <cell r="M3666">
            <v>60042408</v>
          </cell>
          <cell r="N3666" t="str">
            <v>15/A/2005</v>
          </cell>
          <cell r="P3666" t="str">
            <v>IN5A15D2S381202</v>
          </cell>
        </row>
        <row r="3667">
          <cell r="A3667">
            <v>60044249</v>
          </cell>
          <cell r="B3667">
            <v>3665</v>
          </cell>
          <cell r="C3667" t="str">
            <v>CS01/12</v>
          </cell>
          <cell r="D3667" t="str">
            <v>SPCC-SD</v>
          </cell>
          <cell r="E3667" t="str">
            <v>AF1</v>
          </cell>
          <cell r="F3667">
            <v>3</v>
          </cell>
          <cell r="G3667">
            <v>39</v>
          </cell>
          <cell r="H3667" t="str">
            <v>C</v>
          </cell>
          <cell r="I3667" t="str">
            <v>A</v>
          </cell>
          <cell r="K3667">
            <v>1</v>
          </cell>
          <cell r="L3667">
            <v>198</v>
          </cell>
          <cell r="M3667">
            <v>60044249</v>
          </cell>
          <cell r="N3667" t="str">
            <v>10/B/2005</v>
          </cell>
          <cell r="P3667" t="str">
            <v>IN5B10D2S462601</v>
          </cell>
        </row>
        <row r="3668">
          <cell r="A3668">
            <v>60044251</v>
          </cell>
          <cell r="B3668">
            <v>3666</v>
          </cell>
          <cell r="C3668" t="str">
            <v>CS01/12</v>
          </cell>
          <cell r="D3668" t="str">
            <v>SPCC-SD</v>
          </cell>
          <cell r="E3668" t="str">
            <v>AF1</v>
          </cell>
          <cell r="F3668">
            <v>3</v>
          </cell>
          <cell r="G3668">
            <v>39</v>
          </cell>
          <cell r="H3668" t="str">
            <v>C</v>
          </cell>
          <cell r="I3668" t="str">
            <v>A</v>
          </cell>
          <cell r="K3668">
            <v>1</v>
          </cell>
          <cell r="L3668">
            <v>198</v>
          </cell>
          <cell r="M3668">
            <v>60044251</v>
          </cell>
          <cell r="N3668" t="str">
            <v>10/B/2005</v>
          </cell>
          <cell r="P3668" t="str">
            <v>IN5B10D2S462602</v>
          </cell>
        </row>
        <row r="3669">
          <cell r="A3669">
            <v>60044252</v>
          </cell>
          <cell r="B3669">
            <v>3667</v>
          </cell>
          <cell r="C3669" t="str">
            <v>CS01/12</v>
          </cell>
          <cell r="D3669" t="str">
            <v>SPCC-SD</v>
          </cell>
          <cell r="E3669" t="str">
            <v>AF1</v>
          </cell>
          <cell r="F3669">
            <v>3</v>
          </cell>
          <cell r="G3669">
            <v>39</v>
          </cell>
          <cell r="H3669" t="str">
            <v>C</v>
          </cell>
          <cell r="I3669" t="str">
            <v>A</v>
          </cell>
          <cell r="K3669">
            <v>1</v>
          </cell>
          <cell r="L3669">
            <v>188</v>
          </cell>
          <cell r="M3669">
            <v>60044252</v>
          </cell>
          <cell r="N3669" t="str">
            <v>10/B/2005</v>
          </cell>
          <cell r="P3669" t="str">
            <v>IN5B10D2S462603</v>
          </cell>
        </row>
        <row r="3670">
          <cell r="A3670">
            <v>60044254</v>
          </cell>
          <cell r="B3670">
            <v>3668</v>
          </cell>
          <cell r="C3670" t="str">
            <v>CS01/12</v>
          </cell>
          <cell r="D3670" t="str">
            <v>SPCC-SD</v>
          </cell>
          <cell r="E3670" t="str">
            <v>AF1</v>
          </cell>
          <cell r="F3670">
            <v>3</v>
          </cell>
          <cell r="G3670">
            <v>39</v>
          </cell>
          <cell r="H3670" t="str">
            <v>C</v>
          </cell>
          <cell r="I3670" t="str">
            <v>A</v>
          </cell>
          <cell r="K3670">
            <v>1</v>
          </cell>
          <cell r="L3670">
            <v>188</v>
          </cell>
          <cell r="M3670">
            <v>60044254</v>
          </cell>
          <cell r="N3670" t="str">
            <v>10/B/2005</v>
          </cell>
          <cell r="P3670" t="str">
            <v>IN5B10D2S462604</v>
          </cell>
        </row>
        <row r="3671">
          <cell r="A3671">
            <v>60044276</v>
          </cell>
          <cell r="B3671">
            <v>3669</v>
          </cell>
          <cell r="C3671" t="str">
            <v>CS01/12</v>
          </cell>
          <cell r="D3671" t="str">
            <v>SPCC-SD</v>
          </cell>
          <cell r="E3671" t="str">
            <v>AF1</v>
          </cell>
          <cell r="F3671">
            <v>3</v>
          </cell>
          <cell r="G3671">
            <v>39</v>
          </cell>
          <cell r="H3671" t="str">
            <v>C</v>
          </cell>
          <cell r="I3671" t="str">
            <v>A</v>
          </cell>
          <cell r="K3671">
            <v>1</v>
          </cell>
          <cell r="L3671">
            <v>94</v>
          </cell>
          <cell r="M3671">
            <v>60044276</v>
          </cell>
          <cell r="N3671" t="str">
            <v>11/B/2005</v>
          </cell>
          <cell r="P3671" t="str">
            <v>IN5B11D2S462601</v>
          </cell>
        </row>
        <row r="3672">
          <cell r="A3672">
            <v>60044278</v>
          </cell>
          <cell r="B3672">
            <v>3670</v>
          </cell>
          <cell r="C3672" t="str">
            <v>CS01/12</v>
          </cell>
          <cell r="D3672" t="str">
            <v>SPCC-SD</v>
          </cell>
          <cell r="E3672" t="str">
            <v>AF1</v>
          </cell>
          <cell r="F3672">
            <v>3</v>
          </cell>
          <cell r="G3672">
            <v>39</v>
          </cell>
          <cell r="H3672" t="str">
            <v>C</v>
          </cell>
          <cell r="I3672" t="str">
            <v>A</v>
          </cell>
          <cell r="K3672">
            <v>1</v>
          </cell>
          <cell r="L3672">
            <v>94</v>
          </cell>
          <cell r="M3672">
            <v>60044278</v>
          </cell>
          <cell r="N3672" t="str">
            <v>11/B/2005</v>
          </cell>
          <cell r="P3672" t="str">
            <v>IN5B11D2S462602</v>
          </cell>
        </row>
        <row r="3673">
          <cell r="A3673">
            <v>60053401</v>
          </cell>
          <cell r="B3673">
            <v>3671</v>
          </cell>
          <cell r="C3673" t="str">
            <v>CS01/12</v>
          </cell>
          <cell r="D3673" t="str">
            <v>SPCC-SD</v>
          </cell>
          <cell r="E3673" t="str">
            <v>AF1</v>
          </cell>
          <cell r="F3673">
            <v>3</v>
          </cell>
          <cell r="G3673">
            <v>39</v>
          </cell>
          <cell r="H3673" t="str">
            <v>C</v>
          </cell>
          <cell r="I3673" t="str">
            <v>A</v>
          </cell>
          <cell r="K3673">
            <v>1</v>
          </cell>
          <cell r="L3673">
            <v>170</v>
          </cell>
          <cell r="M3673">
            <v>60053401</v>
          </cell>
          <cell r="N3673">
            <v>38782</v>
          </cell>
          <cell r="P3673" t="str">
            <v>IN6306D2S806801</v>
          </cell>
        </row>
        <row r="3674">
          <cell r="A3674">
            <v>60053406</v>
          </cell>
          <cell r="B3674">
            <v>3672</v>
          </cell>
          <cell r="C3674" t="str">
            <v>CS01/12</v>
          </cell>
          <cell r="D3674" t="str">
            <v>SPCC-SD</v>
          </cell>
          <cell r="E3674" t="str">
            <v>AF1</v>
          </cell>
          <cell r="F3674">
            <v>3</v>
          </cell>
          <cell r="G3674">
            <v>39</v>
          </cell>
          <cell r="H3674" t="str">
            <v>C</v>
          </cell>
          <cell r="I3674" t="str">
            <v>A</v>
          </cell>
          <cell r="K3674">
            <v>1</v>
          </cell>
          <cell r="L3674">
            <v>170</v>
          </cell>
          <cell r="M3674">
            <v>60053406</v>
          </cell>
          <cell r="N3674">
            <v>38782</v>
          </cell>
          <cell r="P3674" t="str">
            <v>IN6306D2S806802</v>
          </cell>
        </row>
        <row r="3675">
          <cell r="A3675">
            <v>60053407</v>
          </cell>
          <cell r="B3675">
            <v>3673</v>
          </cell>
          <cell r="C3675" t="str">
            <v>CS01/12</v>
          </cell>
          <cell r="D3675" t="str">
            <v>SPCC-SD</v>
          </cell>
          <cell r="E3675" t="str">
            <v>AF1</v>
          </cell>
          <cell r="F3675">
            <v>3</v>
          </cell>
          <cell r="G3675">
            <v>39</v>
          </cell>
          <cell r="H3675" t="str">
            <v>C</v>
          </cell>
          <cell r="I3675" t="str">
            <v>A</v>
          </cell>
          <cell r="K3675">
            <v>1</v>
          </cell>
          <cell r="L3675">
            <v>170</v>
          </cell>
          <cell r="M3675">
            <v>60053407</v>
          </cell>
          <cell r="N3675">
            <v>38782</v>
          </cell>
          <cell r="P3675" t="str">
            <v>IN6306D2S806803</v>
          </cell>
        </row>
        <row r="3676">
          <cell r="A3676">
            <v>60053412</v>
          </cell>
          <cell r="B3676">
            <v>3674</v>
          </cell>
          <cell r="C3676" t="str">
            <v>CS01/12</v>
          </cell>
          <cell r="D3676" t="str">
            <v>SPCC-SD</v>
          </cell>
          <cell r="E3676" t="str">
            <v>AF1</v>
          </cell>
          <cell r="F3676">
            <v>3</v>
          </cell>
          <cell r="G3676">
            <v>39</v>
          </cell>
          <cell r="H3676" t="str">
            <v>C</v>
          </cell>
          <cell r="I3676" t="str">
            <v>A</v>
          </cell>
          <cell r="K3676">
            <v>1</v>
          </cell>
          <cell r="L3676">
            <v>170</v>
          </cell>
          <cell r="M3676">
            <v>60053412</v>
          </cell>
          <cell r="N3676">
            <v>38782</v>
          </cell>
          <cell r="P3676" t="str">
            <v>IN6306D2S806804</v>
          </cell>
        </row>
        <row r="3677">
          <cell r="A3677">
            <v>60053413</v>
          </cell>
          <cell r="B3677">
            <v>3675</v>
          </cell>
          <cell r="C3677" t="str">
            <v>CS01/12</v>
          </cell>
          <cell r="D3677" t="str">
            <v>SPCC-SD</v>
          </cell>
          <cell r="E3677" t="str">
            <v>AF1</v>
          </cell>
          <cell r="F3677">
            <v>3</v>
          </cell>
          <cell r="G3677">
            <v>39</v>
          </cell>
          <cell r="H3677" t="str">
            <v>C</v>
          </cell>
          <cell r="I3677" t="str">
            <v>A</v>
          </cell>
          <cell r="K3677">
            <v>1</v>
          </cell>
          <cell r="L3677">
            <v>154</v>
          </cell>
          <cell r="M3677">
            <v>60053413</v>
          </cell>
          <cell r="N3677">
            <v>38782</v>
          </cell>
          <cell r="P3677" t="str">
            <v>IN6306D2S806805</v>
          </cell>
        </row>
        <row r="3678">
          <cell r="A3678">
            <v>60053418</v>
          </cell>
          <cell r="B3678">
            <v>3676</v>
          </cell>
          <cell r="C3678" t="str">
            <v>CS01/12</v>
          </cell>
          <cell r="D3678" t="str">
            <v>SPCC-SD</v>
          </cell>
          <cell r="E3678" t="str">
            <v>AF1</v>
          </cell>
          <cell r="F3678">
            <v>3</v>
          </cell>
          <cell r="G3678">
            <v>39</v>
          </cell>
          <cell r="H3678" t="str">
            <v>C</v>
          </cell>
          <cell r="I3678" t="str">
            <v>A</v>
          </cell>
          <cell r="K3678">
            <v>1</v>
          </cell>
          <cell r="L3678">
            <v>154</v>
          </cell>
          <cell r="M3678">
            <v>60053418</v>
          </cell>
          <cell r="N3678">
            <v>38782</v>
          </cell>
          <cell r="P3678" t="str">
            <v>IN6306D2S806806</v>
          </cell>
        </row>
        <row r="3679">
          <cell r="A3679">
            <v>60054418</v>
          </cell>
          <cell r="B3679">
            <v>3677</v>
          </cell>
          <cell r="C3679" t="str">
            <v>CS01/12</v>
          </cell>
          <cell r="D3679" t="str">
            <v>SPCC-SD</v>
          </cell>
          <cell r="E3679" t="str">
            <v>AF1</v>
          </cell>
          <cell r="F3679">
            <v>3</v>
          </cell>
          <cell r="G3679">
            <v>39</v>
          </cell>
          <cell r="H3679" t="str">
            <v>C</v>
          </cell>
          <cell r="I3679" t="str">
            <v>A</v>
          </cell>
          <cell r="K3679">
            <v>1</v>
          </cell>
          <cell r="L3679">
            <v>76</v>
          </cell>
          <cell r="M3679">
            <v>60054418</v>
          </cell>
          <cell r="N3679">
            <v>38790</v>
          </cell>
          <cell r="P3679" t="str">
            <v>IN6314D2S834201</v>
          </cell>
        </row>
        <row r="3680">
          <cell r="A3680">
            <v>60054419</v>
          </cell>
          <cell r="B3680">
            <v>3678</v>
          </cell>
          <cell r="C3680" t="str">
            <v>CS01/12</v>
          </cell>
          <cell r="D3680" t="str">
            <v>SPCC-SD</v>
          </cell>
          <cell r="E3680" t="str">
            <v>AF1</v>
          </cell>
          <cell r="F3680">
            <v>3</v>
          </cell>
          <cell r="G3680">
            <v>39</v>
          </cell>
          <cell r="H3680" t="str">
            <v>C</v>
          </cell>
          <cell r="I3680" t="str">
            <v>A</v>
          </cell>
          <cell r="K3680">
            <v>1</v>
          </cell>
          <cell r="L3680">
            <v>76</v>
          </cell>
          <cell r="M3680">
            <v>60054419</v>
          </cell>
          <cell r="N3680">
            <v>38790</v>
          </cell>
          <cell r="P3680" t="str">
            <v>IN6314D2S834202</v>
          </cell>
        </row>
        <row r="3681">
          <cell r="A3681">
            <v>60045759</v>
          </cell>
          <cell r="B3681">
            <v>3679</v>
          </cell>
          <cell r="C3681" t="str">
            <v>CS01/12</v>
          </cell>
          <cell r="D3681" t="str">
            <v>SPCC-SD</v>
          </cell>
          <cell r="E3681" t="str">
            <v>AF1</v>
          </cell>
          <cell r="F3681">
            <v>3</v>
          </cell>
          <cell r="G3681">
            <v>40</v>
          </cell>
          <cell r="H3681" t="str">
            <v>C</v>
          </cell>
          <cell r="I3681" t="str">
            <v>A</v>
          </cell>
          <cell r="K3681">
            <v>1</v>
          </cell>
          <cell r="L3681">
            <v>100</v>
          </cell>
          <cell r="M3681">
            <v>60045759</v>
          </cell>
          <cell r="N3681" t="str">
            <v>24/B/2005</v>
          </cell>
          <cell r="P3681" t="str">
            <v>IN5B24D2S449001</v>
          </cell>
        </row>
        <row r="3682">
          <cell r="A3682">
            <v>60045765</v>
          </cell>
          <cell r="B3682">
            <v>3680</v>
          </cell>
          <cell r="C3682" t="str">
            <v>CS01/12</v>
          </cell>
          <cell r="D3682" t="str">
            <v>SPCC-SD</v>
          </cell>
          <cell r="E3682" t="str">
            <v>AF1</v>
          </cell>
          <cell r="F3682">
            <v>3</v>
          </cell>
          <cell r="G3682">
            <v>40</v>
          </cell>
          <cell r="H3682" t="str">
            <v>C</v>
          </cell>
          <cell r="I3682" t="str">
            <v>A</v>
          </cell>
          <cell r="K3682">
            <v>1</v>
          </cell>
          <cell r="L3682">
            <v>126</v>
          </cell>
          <cell r="M3682">
            <v>60045765</v>
          </cell>
          <cell r="N3682" t="str">
            <v>24/B/2005</v>
          </cell>
          <cell r="P3682" t="str">
            <v>IN5B24D2S449002</v>
          </cell>
        </row>
        <row r="3683">
          <cell r="A3683">
            <v>60045771</v>
          </cell>
          <cell r="B3683">
            <v>3681</v>
          </cell>
          <cell r="C3683" t="str">
            <v>CS01/12</v>
          </cell>
          <cell r="D3683" t="str">
            <v>SPCC-SD</v>
          </cell>
          <cell r="E3683" t="str">
            <v>AF1</v>
          </cell>
          <cell r="F3683">
            <v>3</v>
          </cell>
          <cell r="G3683">
            <v>40</v>
          </cell>
          <cell r="H3683" t="str">
            <v>C</v>
          </cell>
          <cell r="I3683" t="str">
            <v>A</v>
          </cell>
          <cell r="K3683">
            <v>1</v>
          </cell>
          <cell r="L3683">
            <v>160</v>
          </cell>
          <cell r="M3683">
            <v>60045771</v>
          </cell>
          <cell r="N3683" t="str">
            <v>24/B/2005</v>
          </cell>
          <cell r="P3683" t="str">
            <v>IN5B24D2S449003</v>
          </cell>
        </row>
        <row r="3684">
          <cell r="A3684">
            <v>60045776</v>
          </cell>
          <cell r="B3684">
            <v>3682</v>
          </cell>
          <cell r="C3684" t="str">
            <v>CS01/12</v>
          </cell>
          <cell r="D3684" t="str">
            <v>SPCC-SD</v>
          </cell>
          <cell r="E3684" t="str">
            <v>AF1</v>
          </cell>
          <cell r="F3684">
            <v>3</v>
          </cell>
          <cell r="G3684">
            <v>40</v>
          </cell>
          <cell r="H3684" t="str">
            <v>C</v>
          </cell>
          <cell r="I3684" t="str">
            <v>A</v>
          </cell>
          <cell r="K3684">
            <v>1</v>
          </cell>
          <cell r="L3684">
            <v>160</v>
          </cell>
          <cell r="M3684">
            <v>60045776</v>
          </cell>
          <cell r="N3684" t="str">
            <v>24/B/2005</v>
          </cell>
          <cell r="P3684" t="str">
            <v>IN5B24D2S449004</v>
          </cell>
        </row>
        <row r="3685">
          <cell r="A3685">
            <v>60049110</v>
          </cell>
          <cell r="B3685">
            <v>3683</v>
          </cell>
          <cell r="C3685" t="str">
            <v>CS01/12</v>
          </cell>
          <cell r="D3685" t="str">
            <v>SPCC-SD</v>
          </cell>
          <cell r="E3685" t="str">
            <v>AF1</v>
          </cell>
          <cell r="F3685">
            <v>3</v>
          </cell>
          <cell r="G3685">
            <v>69</v>
          </cell>
          <cell r="H3685" t="str">
            <v>C</v>
          </cell>
          <cell r="I3685" t="str">
            <v>A</v>
          </cell>
          <cell r="K3685">
            <v>1</v>
          </cell>
          <cell r="L3685">
            <v>332</v>
          </cell>
          <cell r="M3685">
            <v>60049110</v>
          </cell>
          <cell r="N3685">
            <v>38725</v>
          </cell>
          <cell r="P3685" t="str">
            <v>IN6108N2S632001</v>
          </cell>
        </row>
        <row r="3686">
          <cell r="A3686">
            <v>60038369</v>
          </cell>
          <cell r="B3686">
            <v>3684</v>
          </cell>
          <cell r="C3686" t="str">
            <v>CS01/12</v>
          </cell>
          <cell r="D3686" t="str">
            <v>SPCC-SD</v>
          </cell>
          <cell r="E3686" t="str">
            <v>AF1</v>
          </cell>
          <cell r="F3686">
            <v>3</v>
          </cell>
          <cell r="G3686">
            <v>77</v>
          </cell>
          <cell r="H3686" t="str">
            <v>C</v>
          </cell>
          <cell r="I3686" t="str">
            <v>A</v>
          </cell>
          <cell r="K3686">
            <v>1</v>
          </cell>
          <cell r="L3686">
            <v>620</v>
          </cell>
          <cell r="M3686">
            <v>60038369</v>
          </cell>
          <cell r="N3686">
            <v>38567</v>
          </cell>
          <cell r="P3686" t="str">
            <v>IN5803D2S188201</v>
          </cell>
        </row>
        <row r="3687">
          <cell r="A3687">
            <v>60041069</v>
          </cell>
          <cell r="B3687">
            <v>3685</v>
          </cell>
          <cell r="C3687" t="str">
            <v>CS01/12</v>
          </cell>
          <cell r="D3687" t="str">
            <v>SPCC-SD</v>
          </cell>
          <cell r="E3687" t="str">
            <v>AF1</v>
          </cell>
          <cell r="F3687">
            <v>3</v>
          </cell>
          <cell r="G3687">
            <v>78</v>
          </cell>
          <cell r="H3687" t="str">
            <v>C</v>
          </cell>
          <cell r="I3687" t="str">
            <v>A</v>
          </cell>
          <cell r="K3687">
            <v>1</v>
          </cell>
          <cell r="L3687">
            <v>208</v>
          </cell>
          <cell r="M3687">
            <v>60041069</v>
          </cell>
          <cell r="N3687">
            <v>38621</v>
          </cell>
          <cell r="P3687" t="str">
            <v>IN5926D2S925401</v>
          </cell>
        </row>
        <row r="3688">
          <cell r="A3688">
            <v>60041520</v>
          </cell>
          <cell r="B3688">
            <v>3686</v>
          </cell>
          <cell r="C3688" t="str">
            <v>CS01/12</v>
          </cell>
          <cell r="D3688" t="str">
            <v>SPCC-SD</v>
          </cell>
          <cell r="E3688" t="str">
            <v>AF1</v>
          </cell>
          <cell r="F3688">
            <v>3</v>
          </cell>
          <cell r="G3688">
            <v>78</v>
          </cell>
          <cell r="H3688" t="str">
            <v>C</v>
          </cell>
          <cell r="I3688" t="str">
            <v>A</v>
          </cell>
          <cell r="K3688">
            <v>1</v>
          </cell>
          <cell r="L3688">
            <v>314</v>
          </cell>
          <cell r="M3688">
            <v>60041520</v>
          </cell>
          <cell r="N3688" t="str">
            <v>5/A/2005</v>
          </cell>
          <cell r="P3688" t="str">
            <v>IN5A05D2S346701</v>
          </cell>
        </row>
        <row r="3689">
          <cell r="A3689">
            <v>60046744</v>
          </cell>
          <cell r="B3689">
            <v>3687</v>
          </cell>
          <cell r="C3689" t="str">
            <v>CS01/12</v>
          </cell>
          <cell r="D3689" t="str">
            <v>SPCC-SD</v>
          </cell>
          <cell r="E3689" t="str">
            <v>AF1</v>
          </cell>
          <cell r="F3689">
            <v>3</v>
          </cell>
          <cell r="G3689">
            <v>78</v>
          </cell>
          <cell r="H3689" t="str">
            <v>C</v>
          </cell>
          <cell r="I3689" t="str">
            <v>A</v>
          </cell>
          <cell r="K3689">
            <v>1</v>
          </cell>
          <cell r="L3689">
            <v>340</v>
          </cell>
          <cell r="M3689">
            <v>60046744</v>
          </cell>
          <cell r="N3689" t="str">
            <v>4/C/2005</v>
          </cell>
          <cell r="P3689" t="str">
            <v>IN5C04N1S547401</v>
          </cell>
        </row>
        <row r="3690">
          <cell r="A3690">
            <v>60057120</v>
          </cell>
          <cell r="B3690">
            <v>3688</v>
          </cell>
          <cell r="C3690" t="str">
            <v>CS01/12</v>
          </cell>
          <cell r="D3690" t="str">
            <v>SPCC-SD</v>
          </cell>
          <cell r="E3690" t="str">
            <v>AF1</v>
          </cell>
          <cell r="F3690">
            <v>3</v>
          </cell>
          <cell r="G3690">
            <v>78</v>
          </cell>
          <cell r="H3690" t="str">
            <v>C</v>
          </cell>
          <cell r="I3690" t="str">
            <v>A</v>
          </cell>
          <cell r="K3690">
            <v>1</v>
          </cell>
          <cell r="L3690">
            <v>304</v>
          </cell>
          <cell r="M3690">
            <v>60057120</v>
          </cell>
          <cell r="N3690">
            <v>38828</v>
          </cell>
          <cell r="P3690" t="str">
            <v>IN6421N2S934501</v>
          </cell>
        </row>
        <row r="3691">
          <cell r="A3691">
            <v>60049130</v>
          </cell>
          <cell r="B3691">
            <v>3689</v>
          </cell>
          <cell r="C3691" t="str">
            <v>CS01/12</v>
          </cell>
          <cell r="D3691" t="str">
            <v>SPCC-SD</v>
          </cell>
          <cell r="E3691" t="str">
            <v>AF1</v>
          </cell>
          <cell r="F3691">
            <v>3</v>
          </cell>
          <cell r="G3691">
            <v>90</v>
          </cell>
          <cell r="H3691" t="str">
            <v>C</v>
          </cell>
          <cell r="I3691" t="str">
            <v>A</v>
          </cell>
          <cell r="K3691">
            <v>1</v>
          </cell>
          <cell r="L3691">
            <v>386</v>
          </cell>
          <cell r="M3691">
            <v>60049130</v>
          </cell>
          <cell r="N3691">
            <v>38726</v>
          </cell>
          <cell r="P3691" t="str">
            <v>IN6109D2S617101</v>
          </cell>
        </row>
        <row r="3692">
          <cell r="A3692">
            <v>60049135</v>
          </cell>
          <cell r="B3692">
            <v>3690</v>
          </cell>
          <cell r="C3692" t="str">
            <v>CS01/12</v>
          </cell>
          <cell r="D3692" t="str">
            <v>SPCC-SD</v>
          </cell>
          <cell r="E3692" t="str">
            <v>AF1</v>
          </cell>
          <cell r="F3692">
            <v>3</v>
          </cell>
          <cell r="G3692">
            <v>90</v>
          </cell>
          <cell r="H3692" t="str">
            <v>C</v>
          </cell>
          <cell r="I3692" t="str">
            <v>A</v>
          </cell>
          <cell r="K3692">
            <v>1</v>
          </cell>
          <cell r="L3692">
            <v>384</v>
          </cell>
          <cell r="M3692">
            <v>60049135</v>
          </cell>
          <cell r="N3692">
            <v>38726</v>
          </cell>
          <cell r="P3692" t="str">
            <v>IN6109D2S617102</v>
          </cell>
        </row>
        <row r="3693">
          <cell r="A3693">
            <v>60049144</v>
          </cell>
          <cell r="B3693">
            <v>3691</v>
          </cell>
          <cell r="C3693" t="str">
            <v>CS01/12</v>
          </cell>
          <cell r="D3693" t="str">
            <v>SPCC-SD</v>
          </cell>
          <cell r="E3693" t="str">
            <v>AF1</v>
          </cell>
          <cell r="F3693">
            <v>3</v>
          </cell>
          <cell r="G3693">
            <v>90</v>
          </cell>
          <cell r="H3693" t="str">
            <v>C</v>
          </cell>
          <cell r="I3693" t="str">
            <v>A</v>
          </cell>
          <cell r="K3693">
            <v>1</v>
          </cell>
          <cell r="L3693">
            <v>323</v>
          </cell>
          <cell r="M3693">
            <v>60049144</v>
          </cell>
          <cell r="N3693">
            <v>38726</v>
          </cell>
          <cell r="P3693" t="str">
            <v>IN6109D2S617103</v>
          </cell>
        </row>
        <row r="3694">
          <cell r="A3694">
            <v>60049145</v>
          </cell>
          <cell r="B3694">
            <v>3692</v>
          </cell>
          <cell r="C3694" t="str">
            <v>CS01/12</v>
          </cell>
          <cell r="D3694" t="str">
            <v>SPCC-SD</v>
          </cell>
          <cell r="E3694" t="str">
            <v>AF1</v>
          </cell>
          <cell r="F3694">
            <v>3</v>
          </cell>
          <cell r="G3694">
            <v>90</v>
          </cell>
          <cell r="H3694" t="str">
            <v>C</v>
          </cell>
          <cell r="I3694" t="str">
            <v>A</v>
          </cell>
          <cell r="K3694">
            <v>1</v>
          </cell>
          <cell r="L3694">
            <v>323</v>
          </cell>
          <cell r="M3694">
            <v>60049145</v>
          </cell>
          <cell r="N3694">
            <v>38726</v>
          </cell>
          <cell r="P3694" t="str">
            <v>IN6109D2S617104</v>
          </cell>
        </row>
        <row r="3695">
          <cell r="A3695">
            <v>60049149</v>
          </cell>
          <cell r="B3695">
            <v>3693</v>
          </cell>
          <cell r="C3695" t="str">
            <v>CS01/12</v>
          </cell>
          <cell r="D3695" t="str">
            <v>SPCC-SD</v>
          </cell>
          <cell r="E3695" t="str">
            <v>AF1</v>
          </cell>
          <cell r="F3695">
            <v>3</v>
          </cell>
          <cell r="G3695">
            <v>90</v>
          </cell>
          <cell r="H3695" t="str">
            <v>C</v>
          </cell>
          <cell r="I3695" t="str">
            <v>A</v>
          </cell>
          <cell r="K3695">
            <v>1</v>
          </cell>
          <cell r="L3695">
            <v>395</v>
          </cell>
          <cell r="M3695">
            <v>60049149</v>
          </cell>
          <cell r="N3695">
            <v>38726</v>
          </cell>
          <cell r="P3695" t="str">
            <v>IN6109D2S617105</v>
          </cell>
        </row>
        <row r="3696">
          <cell r="A3696">
            <v>60049150</v>
          </cell>
          <cell r="B3696">
            <v>3694</v>
          </cell>
          <cell r="C3696" t="str">
            <v>CS01/12</v>
          </cell>
          <cell r="D3696" t="str">
            <v>SPCC-SD</v>
          </cell>
          <cell r="E3696" t="str">
            <v>AF1</v>
          </cell>
          <cell r="F3696">
            <v>3</v>
          </cell>
          <cell r="G3696">
            <v>90</v>
          </cell>
          <cell r="H3696" t="str">
            <v>C</v>
          </cell>
          <cell r="I3696" t="str">
            <v>A</v>
          </cell>
          <cell r="K3696">
            <v>1</v>
          </cell>
          <cell r="L3696">
            <v>395</v>
          </cell>
          <cell r="M3696">
            <v>60049150</v>
          </cell>
          <cell r="N3696">
            <v>38726</v>
          </cell>
          <cell r="P3696" t="str">
            <v>IN6109D2S617106</v>
          </cell>
        </row>
        <row r="3697">
          <cell r="A3697">
            <v>60049154</v>
          </cell>
          <cell r="B3697">
            <v>3695</v>
          </cell>
          <cell r="C3697" t="str">
            <v>CS01/12</v>
          </cell>
          <cell r="D3697" t="str">
            <v>SPCC-SD</v>
          </cell>
          <cell r="E3697" t="str">
            <v>AF1</v>
          </cell>
          <cell r="F3697">
            <v>3</v>
          </cell>
          <cell r="G3697">
            <v>90</v>
          </cell>
          <cell r="H3697" t="str">
            <v>C</v>
          </cell>
          <cell r="I3697" t="str">
            <v>A</v>
          </cell>
          <cell r="K3697">
            <v>1</v>
          </cell>
          <cell r="L3697">
            <v>389</v>
          </cell>
          <cell r="M3697">
            <v>60049154</v>
          </cell>
          <cell r="N3697">
            <v>38726</v>
          </cell>
          <cell r="P3697" t="str">
            <v>IN6109D2S617107</v>
          </cell>
        </row>
        <row r="3698">
          <cell r="A3698">
            <v>60049155</v>
          </cell>
          <cell r="B3698">
            <v>3696</v>
          </cell>
          <cell r="C3698" t="str">
            <v>CS01/12</v>
          </cell>
          <cell r="D3698" t="str">
            <v>SPCC-SD</v>
          </cell>
          <cell r="E3698" t="str">
            <v>AF1</v>
          </cell>
          <cell r="F3698">
            <v>3</v>
          </cell>
          <cell r="G3698">
            <v>90</v>
          </cell>
          <cell r="H3698" t="str">
            <v>C</v>
          </cell>
          <cell r="I3698" t="str">
            <v>A</v>
          </cell>
          <cell r="K3698">
            <v>1</v>
          </cell>
          <cell r="L3698">
            <v>389</v>
          </cell>
          <cell r="M3698">
            <v>60049155</v>
          </cell>
          <cell r="N3698">
            <v>38726</v>
          </cell>
          <cell r="P3698" t="str">
            <v>IN6109D2S617108</v>
          </cell>
        </row>
        <row r="3699">
          <cell r="A3699">
            <v>60049381</v>
          </cell>
          <cell r="B3699">
            <v>3697</v>
          </cell>
          <cell r="C3699" t="str">
            <v>CS01/12</v>
          </cell>
          <cell r="D3699" t="str">
            <v>SPCC-SD</v>
          </cell>
          <cell r="E3699" t="str">
            <v>AF1</v>
          </cell>
          <cell r="F3699">
            <v>3</v>
          </cell>
          <cell r="G3699">
            <v>90</v>
          </cell>
          <cell r="H3699" t="str">
            <v>C</v>
          </cell>
          <cell r="I3699" t="str">
            <v>A</v>
          </cell>
          <cell r="K3699">
            <v>1</v>
          </cell>
          <cell r="L3699">
            <v>397</v>
          </cell>
          <cell r="M3699">
            <v>60049381</v>
          </cell>
          <cell r="N3699">
            <v>38729</v>
          </cell>
          <cell r="P3699" t="str">
            <v>IN6112D2S617401</v>
          </cell>
        </row>
        <row r="3700">
          <cell r="A3700">
            <v>60049382</v>
          </cell>
          <cell r="B3700">
            <v>3698</v>
          </cell>
          <cell r="C3700" t="str">
            <v>CS01/12</v>
          </cell>
          <cell r="D3700" t="str">
            <v>SPCC-SD</v>
          </cell>
          <cell r="E3700" t="str">
            <v>AF1</v>
          </cell>
          <cell r="F3700">
            <v>3</v>
          </cell>
          <cell r="G3700">
            <v>90</v>
          </cell>
          <cell r="H3700" t="str">
            <v>C</v>
          </cell>
          <cell r="I3700" t="str">
            <v>A</v>
          </cell>
          <cell r="K3700">
            <v>1</v>
          </cell>
          <cell r="L3700">
            <v>397</v>
          </cell>
          <cell r="M3700">
            <v>60049382</v>
          </cell>
          <cell r="N3700">
            <v>38729</v>
          </cell>
          <cell r="P3700" t="str">
            <v>IN6112D2S617402</v>
          </cell>
        </row>
        <row r="3701">
          <cell r="A3701">
            <v>60049386</v>
          </cell>
          <cell r="B3701">
            <v>3699</v>
          </cell>
          <cell r="C3701" t="str">
            <v>CS01/12</v>
          </cell>
          <cell r="D3701" t="str">
            <v>SPCC-SD</v>
          </cell>
          <cell r="E3701" t="str">
            <v>AF1</v>
          </cell>
          <cell r="F3701">
            <v>3</v>
          </cell>
          <cell r="G3701">
            <v>90</v>
          </cell>
          <cell r="H3701" t="str">
            <v>C</v>
          </cell>
          <cell r="I3701" t="str">
            <v>A</v>
          </cell>
          <cell r="K3701">
            <v>1</v>
          </cell>
          <cell r="L3701">
            <v>387</v>
          </cell>
          <cell r="M3701">
            <v>60049386</v>
          </cell>
          <cell r="N3701">
            <v>38729</v>
          </cell>
          <cell r="P3701" t="str">
            <v>IN6112D2S617403</v>
          </cell>
        </row>
        <row r="3702">
          <cell r="A3702">
            <v>60049387</v>
          </cell>
          <cell r="B3702">
            <v>3700</v>
          </cell>
          <cell r="C3702" t="str">
            <v>CS01/12</v>
          </cell>
          <cell r="D3702" t="str">
            <v>SPCC-SD</v>
          </cell>
          <cell r="E3702" t="str">
            <v>AF1</v>
          </cell>
          <cell r="F3702">
            <v>3</v>
          </cell>
          <cell r="G3702">
            <v>90</v>
          </cell>
          <cell r="H3702" t="str">
            <v>C</v>
          </cell>
          <cell r="I3702" t="str">
            <v>A</v>
          </cell>
          <cell r="K3702">
            <v>1</v>
          </cell>
          <cell r="L3702">
            <v>387</v>
          </cell>
          <cell r="M3702">
            <v>60049387</v>
          </cell>
          <cell r="N3702">
            <v>38729</v>
          </cell>
          <cell r="P3702" t="str">
            <v>IN6112D2S617404</v>
          </cell>
        </row>
        <row r="3703">
          <cell r="A3703">
            <v>60049391</v>
          </cell>
          <cell r="B3703">
            <v>3701</v>
          </cell>
          <cell r="C3703" t="str">
            <v>CS01/12</v>
          </cell>
          <cell r="D3703" t="str">
            <v>SPCC-SD</v>
          </cell>
          <cell r="E3703" t="str">
            <v>AF1</v>
          </cell>
          <cell r="F3703">
            <v>3</v>
          </cell>
          <cell r="G3703">
            <v>90</v>
          </cell>
          <cell r="H3703" t="str">
            <v>C</v>
          </cell>
          <cell r="I3703" t="str">
            <v>A</v>
          </cell>
          <cell r="K3703">
            <v>1</v>
          </cell>
          <cell r="L3703">
            <v>405</v>
          </cell>
          <cell r="M3703">
            <v>60049391</v>
          </cell>
          <cell r="N3703">
            <v>38729</v>
          </cell>
          <cell r="P3703" t="str">
            <v>IN6112D2S617405</v>
          </cell>
        </row>
        <row r="3704">
          <cell r="A3704">
            <v>60049392</v>
          </cell>
          <cell r="B3704">
            <v>3702</v>
          </cell>
          <cell r="C3704" t="str">
            <v>CS01/12</v>
          </cell>
          <cell r="D3704" t="str">
            <v>SPCC-SD</v>
          </cell>
          <cell r="E3704" t="str">
            <v>AF1</v>
          </cell>
          <cell r="F3704">
            <v>3</v>
          </cell>
          <cell r="G3704">
            <v>90</v>
          </cell>
          <cell r="H3704" t="str">
            <v>C</v>
          </cell>
          <cell r="I3704" t="str">
            <v>A</v>
          </cell>
          <cell r="K3704">
            <v>1</v>
          </cell>
          <cell r="L3704">
            <v>405</v>
          </cell>
          <cell r="M3704">
            <v>60049392</v>
          </cell>
          <cell r="N3704">
            <v>38729</v>
          </cell>
          <cell r="P3704" t="str">
            <v>IN6112D2S617406</v>
          </cell>
        </row>
        <row r="3705">
          <cell r="A3705">
            <v>60049396</v>
          </cell>
          <cell r="B3705">
            <v>3703</v>
          </cell>
          <cell r="C3705" t="str">
            <v>CS01/12</v>
          </cell>
          <cell r="D3705" t="str">
            <v>SPCC-SD</v>
          </cell>
          <cell r="E3705" t="str">
            <v>AF1</v>
          </cell>
          <cell r="F3705">
            <v>3</v>
          </cell>
          <cell r="G3705">
            <v>90</v>
          </cell>
          <cell r="H3705" t="str">
            <v>C</v>
          </cell>
          <cell r="I3705" t="str">
            <v>A</v>
          </cell>
          <cell r="K3705">
            <v>1</v>
          </cell>
          <cell r="L3705">
            <v>400</v>
          </cell>
          <cell r="M3705">
            <v>60049396</v>
          </cell>
          <cell r="N3705">
            <v>38729</v>
          </cell>
          <cell r="P3705" t="str">
            <v>IN6112D2S617407</v>
          </cell>
        </row>
        <row r="3706">
          <cell r="A3706">
            <v>60049397</v>
          </cell>
          <cell r="B3706">
            <v>3704</v>
          </cell>
          <cell r="C3706" t="str">
            <v>CS01/12</v>
          </cell>
          <cell r="D3706" t="str">
            <v>SPCC-SD</v>
          </cell>
          <cell r="E3706" t="str">
            <v>AF1</v>
          </cell>
          <cell r="F3706">
            <v>3</v>
          </cell>
          <cell r="G3706">
            <v>90</v>
          </cell>
          <cell r="H3706" t="str">
            <v>C</v>
          </cell>
          <cell r="I3706" t="str">
            <v>A</v>
          </cell>
          <cell r="K3706">
            <v>1</v>
          </cell>
          <cell r="L3706">
            <v>401</v>
          </cell>
          <cell r="M3706">
            <v>60049397</v>
          </cell>
          <cell r="N3706">
            <v>38729</v>
          </cell>
          <cell r="P3706" t="str">
            <v>IN6112D2S617408</v>
          </cell>
        </row>
        <row r="3707">
          <cell r="A3707">
            <v>60050857</v>
          </cell>
          <cell r="B3707">
            <v>3705</v>
          </cell>
          <cell r="C3707" t="str">
            <v>CS01/12</v>
          </cell>
          <cell r="D3707" t="str">
            <v>SPCC-SD</v>
          </cell>
          <cell r="E3707" t="str">
            <v>AF1</v>
          </cell>
          <cell r="F3707">
            <v>3</v>
          </cell>
          <cell r="G3707">
            <v>90</v>
          </cell>
          <cell r="H3707" t="str">
            <v>C</v>
          </cell>
          <cell r="I3707" t="str">
            <v>A</v>
          </cell>
          <cell r="K3707">
            <v>1</v>
          </cell>
          <cell r="L3707">
            <v>397</v>
          </cell>
          <cell r="M3707">
            <v>60050857</v>
          </cell>
          <cell r="N3707">
            <v>38750</v>
          </cell>
          <cell r="P3707" t="str">
            <v>IN6202N2S703601</v>
          </cell>
        </row>
        <row r="3708">
          <cell r="A3708">
            <v>60050858</v>
          </cell>
          <cell r="B3708">
            <v>3706</v>
          </cell>
          <cell r="C3708" t="str">
            <v>CS01/12</v>
          </cell>
          <cell r="D3708" t="str">
            <v>SPCC-SD</v>
          </cell>
          <cell r="E3708" t="str">
            <v>AF1</v>
          </cell>
          <cell r="F3708">
            <v>3</v>
          </cell>
          <cell r="G3708">
            <v>90</v>
          </cell>
          <cell r="H3708" t="str">
            <v>C</v>
          </cell>
          <cell r="I3708" t="str">
            <v>A</v>
          </cell>
          <cell r="K3708">
            <v>1</v>
          </cell>
          <cell r="L3708">
            <v>397</v>
          </cell>
          <cell r="M3708">
            <v>60050858</v>
          </cell>
          <cell r="N3708">
            <v>38750</v>
          </cell>
          <cell r="P3708" t="str">
            <v>IN6202N2S703602</v>
          </cell>
        </row>
        <row r="3709">
          <cell r="A3709">
            <v>60050873</v>
          </cell>
          <cell r="B3709">
            <v>3707</v>
          </cell>
          <cell r="C3709" t="str">
            <v>CS01/12</v>
          </cell>
          <cell r="D3709" t="str">
            <v>SPCC-SD</v>
          </cell>
          <cell r="E3709" t="str">
            <v>AF1</v>
          </cell>
          <cell r="F3709">
            <v>3</v>
          </cell>
          <cell r="G3709">
            <v>90</v>
          </cell>
          <cell r="H3709" t="str">
            <v>C</v>
          </cell>
          <cell r="I3709" t="str">
            <v>A</v>
          </cell>
          <cell r="K3709">
            <v>1</v>
          </cell>
          <cell r="L3709">
            <v>378</v>
          </cell>
          <cell r="M3709">
            <v>60050873</v>
          </cell>
          <cell r="N3709">
            <v>38750</v>
          </cell>
          <cell r="P3709" t="str">
            <v>IN6202N2S703603</v>
          </cell>
        </row>
        <row r="3710">
          <cell r="A3710">
            <v>60050878</v>
          </cell>
          <cell r="B3710">
            <v>3708</v>
          </cell>
          <cell r="C3710" t="str">
            <v>CS01/12</v>
          </cell>
          <cell r="D3710" t="str">
            <v>SPCC-SD</v>
          </cell>
          <cell r="E3710" t="str">
            <v>AF1</v>
          </cell>
          <cell r="F3710">
            <v>3</v>
          </cell>
          <cell r="G3710">
            <v>90</v>
          </cell>
          <cell r="H3710" t="str">
            <v>C</v>
          </cell>
          <cell r="I3710" t="str">
            <v>A</v>
          </cell>
          <cell r="K3710">
            <v>1</v>
          </cell>
          <cell r="L3710">
            <v>348</v>
          </cell>
          <cell r="M3710">
            <v>60050878</v>
          </cell>
          <cell r="N3710">
            <v>38750</v>
          </cell>
          <cell r="P3710" t="str">
            <v>IN6202N2S703604</v>
          </cell>
        </row>
        <row r="3711">
          <cell r="A3711">
            <v>60050879</v>
          </cell>
          <cell r="B3711">
            <v>3709</v>
          </cell>
          <cell r="C3711" t="str">
            <v>CS01/12</v>
          </cell>
          <cell r="D3711" t="str">
            <v>SPCC-SD</v>
          </cell>
          <cell r="E3711" t="str">
            <v>AF1</v>
          </cell>
          <cell r="F3711">
            <v>3</v>
          </cell>
          <cell r="G3711">
            <v>90</v>
          </cell>
          <cell r="H3711" t="str">
            <v>C</v>
          </cell>
          <cell r="I3711" t="str">
            <v>A</v>
          </cell>
          <cell r="K3711">
            <v>1</v>
          </cell>
          <cell r="L3711">
            <v>348</v>
          </cell>
          <cell r="M3711">
            <v>60050879</v>
          </cell>
          <cell r="N3711">
            <v>38750</v>
          </cell>
          <cell r="P3711" t="str">
            <v>IN6202N2S703605</v>
          </cell>
        </row>
        <row r="3712">
          <cell r="A3712">
            <v>60063763</v>
          </cell>
          <cell r="B3712">
            <v>3710</v>
          </cell>
          <cell r="C3712" t="str">
            <v>CS01/12</v>
          </cell>
          <cell r="D3712" t="str">
            <v>SPCC-SD</v>
          </cell>
          <cell r="E3712" t="str">
            <v>AF1</v>
          </cell>
          <cell r="F3712">
            <v>3</v>
          </cell>
          <cell r="G3712">
            <v>90</v>
          </cell>
          <cell r="H3712" t="str">
            <v>C</v>
          </cell>
          <cell r="I3712" t="str">
            <v>A</v>
          </cell>
          <cell r="K3712">
            <v>1</v>
          </cell>
          <cell r="L3712">
            <v>134</v>
          </cell>
          <cell r="M3712">
            <v>60063763</v>
          </cell>
          <cell r="N3712">
            <v>38915</v>
          </cell>
          <cell r="P3712" t="str">
            <v>IN6717D2S207501</v>
          </cell>
        </row>
        <row r="3713">
          <cell r="A3713">
            <v>60063767</v>
          </cell>
          <cell r="B3713">
            <v>3711</v>
          </cell>
          <cell r="C3713" t="str">
            <v>CS01/12</v>
          </cell>
          <cell r="D3713" t="str">
            <v>SPCC-SD</v>
          </cell>
          <cell r="E3713" t="str">
            <v>AF1</v>
          </cell>
          <cell r="F3713">
            <v>3</v>
          </cell>
          <cell r="G3713">
            <v>90</v>
          </cell>
          <cell r="H3713" t="str">
            <v>C</v>
          </cell>
          <cell r="I3713" t="str">
            <v>A</v>
          </cell>
          <cell r="K3713">
            <v>1</v>
          </cell>
          <cell r="L3713">
            <v>134</v>
          </cell>
          <cell r="M3713">
            <v>60063767</v>
          </cell>
          <cell r="N3713">
            <v>38915</v>
          </cell>
          <cell r="P3713" t="str">
            <v>IN6717D2S207502</v>
          </cell>
        </row>
        <row r="3714">
          <cell r="A3714">
            <v>60059726</v>
          </cell>
          <cell r="B3714">
            <v>3712</v>
          </cell>
          <cell r="C3714" t="str">
            <v>CS01/12</v>
          </cell>
          <cell r="D3714" t="str">
            <v>SPCC-SD</v>
          </cell>
          <cell r="E3714" t="str">
            <v>AF1</v>
          </cell>
          <cell r="F3714">
            <v>3</v>
          </cell>
          <cell r="G3714">
            <v>147</v>
          </cell>
          <cell r="H3714" t="str">
            <v>C</v>
          </cell>
          <cell r="I3714" t="str">
            <v>A</v>
          </cell>
          <cell r="K3714">
            <v>1</v>
          </cell>
          <cell r="L3714">
            <v>412</v>
          </cell>
          <cell r="M3714">
            <v>60059726</v>
          </cell>
          <cell r="N3714">
            <v>38860</v>
          </cell>
          <cell r="P3714" t="str">
            <v>IN6523D2S027201</v>
          </cell>
        </row>
        <row r="3715">
          <cell r="A3715">
            <v>60059735</v>
          </cell>
          <cell r="B3715">
            <v>3713</v>
          </cell>
          <cell r="C3715" t="str">
            <v>CS01/12</v>
          </cell>
          <cell r="D3715" t="str">
            <v>SPCC-SD</v>
          </cell>
          <cell r="E3715" t="str">
            <v>AF1</v>
          </cell>
          <cell r="F3715">
            <v>3</v>
          </cell>
          <cell r="G3715">
            <v>147</v>
          </cell>
          <cell r="H3715" t="str">
            <v>C</v>
          </cell>
          <cell r="I3715" t="str">
            <v>A</v>
          </cell>
          <cell r="K3715">
            <v>1</v>
          </cell>
          <cell r="L3715">
            <v>458</v>
          </cell>
          <cell r="M3715">
            <v>60059735</v>
          </cell>
          <cell r="N3715">
            <v>38860</v>
          </cell>
          <cell r="P3715" t="str">
            <v>IN6523D2S027202</v>
          </cell>
        </row>
        <row r="3716">
          <cell r="A3716">
            <v>60058027</v>
          </cell>
          <cell r="B3716">
            <v>3714</v>
          </cell>
          <cell r="C3716" t="str">
            <v>CS01/12</v>
          </cell>
          <cell r="D3716" t="str">
            <v>SPCC-SD</v>
          </cell>
          <cell r="E3716" t="str">
            <v>AF1</v>
          </cell>
          <cell r="F3716">
            <v>3.2</v>
          </cell>
          <cell r="G3716">
            <v>56</v>
          </cell>
          <cell r="H3716" t="str">
            <v>C</v>
          </cell>
          <cell r="I3716" t="str">
            <v>A</v>
          </cell>
          <cell r="K3716">
            <v>1</v>
          </cell>
          <cell r="L3716">
            <v>166</v>
          </cell>
          <cell r="M3716">
            <v>60058027</v>
          </cell>
          <cell r="N3716">
            <v>38840</v>
          </cell>
          <cell r="P3716" t="str">
            <v>IN6503N2S969801</v>
          </cell>
        </row>
        <row r="3717">
          <cell r="A3717">
            <v>60058039</v>
          </cell>
          <cell r="B3717">
            <v>3715</v>
          </cell>
          <cell r="C3717" t="str">
            <v>CS01/12</v>
          </cell>
          <cell r="D3717" t="str">
            <v>SPCC-SD</v>
          </cell>
          <cell r="E3717" t="str">
            <v>AF1</v>
          </cell>
          <cell r="F3717">
            <v>3.2</v>
          </cell>
          <cell r="G3717">
            <v>56</v>
          </cell>
          <cell r="H3717" t="str">
            <v>C</v>
          </cell>
          <cell r="I3717" t="str">
            <v>A</v>
          </cell>
          <cell r="K3717">
            <v>1</v>
          </cell>
          <cell r="L3717">
            <v>174</v>
          </cell>
          <cell r="M3717">
            <v>60058039</v>
          </cell>
          <cell r="N3717">
            <v>38840</v>
          </cell>
          <cell r="P3717" t="str">
            <v>IN6503N2S969802</v>
          </cell>
        </row>
        <row r="3718">
          <cell r="A3718">
            <v>60054607</v>
          </cell>
          <cell r="B3718">
            <v>3716</v>
          </cell>
          <cell r="C3718" t="str">
            <v>CS01/12</v>
          </cell>
          <cell r="D3718" t="str">
            <v>SPCC-SD</v>
          </cell>
          <cell r="E3718" t="str">
            <v>AF1</v>
          </cell>
          <cell r="F3718">
            <v>3.2</v>
          </cell>
          <cell r="G3718">
            <v>170</v>
          </cell>
          <cell r="H3718" t="str">
            <v>C</v>
          </cell>
          <cell r="I3718" t="str">
            <v>A</v>
          </cell>
          <cell r="K3718">
            <v>1</v>
          </cell>
          <cell r="L3718">
            <v>580</v>
          </cell>
          <cell r="M3718">
            <v>60054607</v>
          </cell>
          <cell r="N3718">
            <v>38791</v>
          </cell>
          <cell r="O3718" t="str">
            <v>126227SUD009</v>
          </cell>
          <cell r="P3718" t="str">
            <v>IN6315N2S838801</v>
          </cell>
        </row>
        <row r="3719">
          <cell r="A3719">
            <v>60067058</v>
          </cell>
          <cell r="B3719">
            <v>3717</v>
          </cell>
          <cell r="C3719" t="str">
            <v>CS01/12</v>
          </cell>
          <cell r="D3719" t="str">
            <v>SPCEN-SD</v>
          </cell>
          <cell r="E3719" t="str">
            <v>AF3</v>
          </cell>
          <cell r="F3719">
            <v>0.6</v>
          </cell>
          <cell r="G3719">
            <v>180</v>
          </cell>
          <cell r="H3719" t="str">
            <v>C</v>
          </cell>
          <cell r="I3719" t="str">
            <v>A</v>
          </cell>
          <cell r="K3719">
            <v>1</v>
          </cell>
          <cell r="L3719">
            <v>393</v>
          </cell>
          <cell r="M3719">
            <v>60067058</v>
          </cell>
          <cell r="N3719">
            <v>38955</v>
          </cell>
          <cell r="P3719" t="str">
            <v>IN6826N1S329301</v>
          </cell>
        </row>
        <row r="3720">
          <cell r="A3720">
            <v>60061419</v>
          </cell>
          <cell r="B3720">
            <v>3718</v>
          </cell>
          <cell r="C3720" t="str">
            <v>CS01/12</v>
          </cell>
          <cell r="D3720" t="str">
            <v>SPCEN-SD</v>
          </cell>
          <cell r="E3720" t="str">
            <v>AF3</v>
          </cell>
          <cell r="F3720">
            <v>0.7</v>
          </cell>
          <cell r="G3720">
            <v>345</v>
          </cell>
          <cell r="H3720" t="str">
            <v>C</v>
          </cell>
          <cell r="I3720" t="str">
            <v>A</v>
          </cell>
          <cell r="K3720">
            <v>1</v>
          </cell>
          <cell r="L3720">
            <v>2558</v>
          </cell>
          <cell r="M3720">
            <v>60061419</v>
          </cell>
          <cell r="N3720">
            <v>38879</v>
          </cell>
          <cell r="P3720" t="str">
            <v>IN6611N1S095801</v>
          </cell>
        </row>
        <row r="3721">
          <cell r="A3721">
            <v>60063533</v>
          </cell>
          <cell r="B3721">
            <v>3719</v>
          </cell>
          <cell r="C3721" t="str">
            <v>CS01/12</v>
          </cell>
          <cell r="D3721" t="str">
            <v>SPCEN-SD</v>
          </cell>
          <cell r="E3721" t="str">
            <v>AF3</v>
          </cell>
          <cell r="F3721">
            <v>0.7</v>
          </cell>
          <cell r="G3721">
            <v>345</v>
          </cell>
          <cell r="H3721" t="str">
            <v>C</v>
          </cell>
          <cell r="I3721" t="str">
            <v>A</v>
          </cell>
          <cell r="K3721">
            <v>1</v>
          </cell>
          <cell r="L3721">
            <v>2055</v>
          </cell>
          <cell r="M3721">
            <v>60063533</v>
          </cell>
          <cell r="N3721">
            <v>38912</v>
          </cell>
          <cell r="O3721" t="str">
            <v>125B28SUD008</v>
          </cell>
          <cell r="P3721" t="str">
            <v>IN6714D1S201501</v>
          </cell>
        </row>
        <row r="3722">
          <cell r="A3722">
            <v>60063897</v>
          </cell>
          <cell r="B3722">
            <v>3720</v>
          </cell>
          <cell r="C3722" t="str">
            <v>CS01/12</v>
          </cell>
          <cell r="D3722" t="str">
            <v>SPCEN-SD</v>
          </cell>
          <cell r="E3722" t="str">
            <v>AF3</v>
          </cell>
          <cell r="F3722">
            <v>0.7</v>
          </cell>
          <cell r="G3722">
            <v>345</v>
          </cell>
          <cell r="H3722" t="str">
            <v>C</v>
          </cell>
          <cell r="I3722" t="str">
            <v>A</v>
          </cell>
          <cell r="K3722">
            <v>1</v>
          </cell>
          <cell r="L3722">
            <v>2250</v>
          </cell>
          <cell r="M3722">
            <v>60063897</v>
          </cell>
          <cell r="N3722">
            <v>38917</v>
          </cell>
          <cell r="P3722" t="str">
            <v>IN6719D1S218501</v>
          </cell>
        </row>
        <row r="3723">
          <cell r="A3723">
            <v>60064539</v>
          </cell>
          <cell r="B3723">
            <v>3721</v>
          </cell>
          <cell r="C3723" t="str">
            <v>CS01/12</v>
          </cell>
          <cell r="D3723" t="str">
            <v>SPCEN-SD</v>
          </cell>
          <cell r="E3723" t="str">
            <v>AF3</v>
          </cell>
          <cell r="F3723">
            <v>0.7</v>
          </cell>
          <cell r="G3723">
            <v>345</v>
          </cell>
          <cell r="H3723" t="str">
            <v>C</v>
          </cell>
          <cell r="I3723" t="str">
            <v>A</v>
          </cell>
          <cell r="K3723">
            <v>1</v>
          </cell>
          <cell r="L3723">
            <v>2158</v>
          </cell>
          <cell r="M3723">
            <v>60064539</v>
          </cell>
          <cell r="N3723">
            <v>38927</v>
          </cell>
          <cell r="P3723" t="str">
            <v>IN6729D1S245901</v>
          </cell>
        </row>
        <row r="3724">
          <cell r="A3724">
            <v>60065100</v>
          </cell>
          <cell r="B3724">
            <v>3722</v>
          </cell>
          <cell r="C3724" t="str">
            <v>CS01/12</v>
          </cell>
          <cell r="D3724" t="str">
            <v>SPCEN-SD</v>
          </cell>
          <cell r="E3724" t="str">
            <v>AF3</v>
          </cell>
          <cell r="F3724">
            <v>0.7</v>
          </cell>
          <cell r="G3724">
            <v>345</v>
          </cell>
          <cell r="H3724" t="str">
            <v>C</v>
          </cell>
          <cell r="I3724" t="str">
            <v>A</v>
          </cell>
          <cell r="K3724">
            <v>1</v>
          </cell>
          <cell r="L3724">
            <v>2243</v>
          </cell>
          <cell r="M3724">
            <v>60065100</v>
          </cell>
          <cell r="N3724">
            <v>38930</v>
          </cell>
          <cell r="O3724" t="str">
            <v>126216SUD027</v>
          </cell>
          <cell r="P3724" t="str">
            <v>IN6801N1S258101</v>
          </cell>
        </row>
        <row r="3725">
          <cell r="A3725">
            <v>60058992</v>
          </cell>
          <cell r="B3725">
            <v>3723</v>
          </cell>
          <cell r="C3725" t="str">
            <v>CS01/12</v>
          </cell>
          <cell r="D3725" t="str">
            <v>SPCEN-SD</v>
          </cell>
          <cell r="E3725" t="str">
            <v>AF3</v>
          </cell>
          <cell r="F3725">
            <v>0.8</v>
          </cell>
          <cell r="G3725">
            <v>155</v>
          </cell>
          <cell r="H3725" t="str">
            <v>C</v>
          </cell>
          <cell r="I3725" t="str">
            <v>A</v>
          </cell>
          <cell r="K3725">
            <v>1</v>
          </cell>
          <cell r="L3725">
            <v>169</v>
          </cell>
          <cell r="M3725">
            <v>60058992</v>
          </cell>
          <cell r="N3725">
            <v>38852</v>
          </cell>
          <cell r="P3725" t="str">
            <v>IN6515N1S008201</v>
          </cell>
        </row>
        <row r="3726">
          <cell r="A3726">
            <v>60063322</v>
          </cell>
          <cell r="B3726">
            <v>3724</v>
          </cell>
          <cell r="C3726" t="str">
            <v>CS01/12</v>
          </cell>
          <cell r="D3726" t="str">
            <v>SPCEN-SD</v>
          </cell>
          <cell r="E3726" t="str">
            <v>AF3</v>
          </cell>
          <cell r="F3726">
            <v>0.8</v>
          </cell>
          <cell r="G3726">
            <v>218</v>
          </cell>
          <cell r="H3726" t="str">
            <v>C</v>
          </cell>
          <cell r="I3726" t="str">
            <v>A</v>
          </cell>
          <cell r="K3726">
            <v>1</v>
          </cell>
          <cell r="L3726">
            <v>416</v>
          </cell>
          <cell r="M3726">
            <v>60063322</v>
          </cell>
          <cell r="N3726">
            <v>38939</v>
          </cell>
          <cell r="P3726" t="str">
            <v>IN6810N1S279501</v>
          </cell>
        </row>
        <row r="3727">
          <cell r="A3727">
            <v>60047208</v>
          </cell>
          <cell r="B3727">
            <v>3725</v>
          </cell>
          <cell r="C3727" t="str">
            <v>CS01/12</v>
          </cell>
          <cell r="D3727" t="str">
            <v>SPCEN-SD</v>
          </cell>
          <cell r="E3727" t="str">
            <v>AF3</v>
          </cell>
          <cell r="F3727">
            <v>0.8</v>
          </cell>
          <cell r="G3727">
            <v>260</v>
          </cell>
          <cell r="H3727" t="str">
            <v>C</v>
          </cell>
          <cell r="I3727" t="str">
            <v>A</v>
          </cell>
          <cell r="K3727">
            <v>1</v>
          </cell>
          <cell r="L3727">
            <v>236</v>
          </cell>
          <cell r="M3727">
            <v>60047208</v>
          </cell>
          <cell r="N3727">
            <v>38912</v>
          </cell>
          <cell r="P3727" t="str">
            <v>IN6714D3M198201</v>
          </cell>
        </row>
        <row r="3728">
          <cell r="A3728">
            <v>60024179</v>
          </cell>
          <cell r="B3728">
            <v>3726</v>
          </cell>
          <cell r="C3728" t="str">
            <v>CS01/12</v>
          </cell>
          <cell r="D3728" t="str">
            <v>SPCEN-SD</v>
          </cell>
          <cell r="E3728" t="str">
            <v>AF3</v>
          </cell>
          <cell r="F3728">
            <v>0.8</v>
          </cell>
          <cell r="G3728">
            <v>375</v>
          </cell>
          <cell r="H3728" t="str">
            <v>C</v>
          </cell>
          <cell r="I3728" t="str">
            <v>A</v>
          </cell>
          <cell r="K3728">
            <v>1</v>
          </cell>
          <cell r="L3728">
            <v>1140</v>
          </cell>
          <cell r="M3728">
            <v>60024179</v>
          </cell>
          <cell r="N3728">
            <v>38410</v>
          </cell>
          <cell r="P3728" t="str">
            <v>IN5227D1M681001</v>
          </cell>
        </row>
        <row r="3729">
          <cell r="A3729">
            <v>60043434</v>
          </cell>
          <cell r="B3729">
            <v>3727</v>
          </cell>
          <cell r="C3729" t="str">
            <v>CS01/12</v>
          </cell>
          <cell r="D3729" t="str">
            <v>SPCEN-SD</v>
          </cell>
          <cell r="E3729" t="str">
            <v>AF3</v>
          </cell>
          <cell r="F3729">
            <v>0.9</v>
          </cell>
          <cell r="G3729">
            <v>90</v>
          </cell>
          <cell r="H3729" t="str">
            <v>C</v>
          </cell>
          <cell r="I3729" t="str">
            <v>A</v>
          </cell>
          <cell r="K3729">
            <v>1</v>
          </cell>
          <cell r="L3729">
            <v>156</v>
          </cell>
          <cell r="M3729">
            <v>60043434</v>
          </cell>
          <cell r="N3729" t="str">
            <v>30/A/2005</v>
          </cell>
          <cell r="P3729" t="str">
            <v>IN5A30N1S430601</v>
          </cell>
        </row>
        <row r="3730">
          <cell r="A3730">
            <v>60047783</v>
          </cell>
          <cell r="B3730">
            <v>3728</v>
          </cell>
          <cell r="C3730" t="str">
            <v>CS01/12</v>
          </cell>
          <cell r="D3730" t="str">
            <v>SPCEN-SD</v>
          </cell>
          <cell r="E3730" t="str">
            <v>AF3</v>
          </cell>
          <cell r="F3730">
            <v>0.9</v>
          </cell>
          <cell r="G3730">
            <v>90</v>
          </cell>
          <cell r="H3730" t="str">
            <v>C</v>
          </cell>
          <cell r="I3730" t="str">
            <v>A</v>
          </cell>
          <cell r="K3730">
            <v>1</v>
          </cell>
          <cell r="L3730">
            <v>258</v>
          </cell>
          <cell r="M3730">
            <v>60047783</v>
          </cell>
          <cell r="N3730" t="str">
            <v>18/C/2005</v>
          </cell>
          <cell r="P3730" t="str">
            <v>IN5C18N1S581801</v>
          </cell>
        </row>
        <row r="3731">
          <cell r="A3731">
            <v>60040329</v>
          </cell>
          <cell r="B3731">
            <v>3729</v>
          </cell>
          <cell r="C3731" t="str">
            <v>CS01/12</v>
          </cell>
          <cell r="D3731" t="str">
            <v>SPCEN-SD</v>
          </cell>
          <cell r="E3731" t="str">
            <v>AF3</v>
          </cell>
          <cell r="F3731">
            <v>0.9</v>
          </cell>
          <cell r="G3731">
            <v>150</v>
          </cell>
          <cell r="H3731" t="str">
            <v>C</v>
          </cell>
          <cell r="I3731" t="str">
            <v>A</v>
          </cell>
          <cell r="K3731">
            <v>1</v>
          </cell>
          <cell r="L3731">
            <v>246</v>
          </cell>
          <cell r="M3731">
            <v>60040329</v>
          </cell>
          <cell r="N3731">
            <v>38889</v>
          </cell>
          <cell r="P3731" t="str">
            <v>IN6621D1M122101</v>
          </cell>
        </row>
        <row r="3732">
          <cell r="A3732">
            <v>60061589</v>
          </cell>
          <cell r="B3732">
            <v>3730</v>
          </cell>
          <cell r="C3732" t="str">
            <v>CS01/12</v>
          </cell>
          <cell r="D3732" t="str">
            <v>SPCEN-SD</v>
          </cell>
          <cell r="E3732" t="str">
            <v>AF3</v>
          </cell>
          <cell r="F3732">
            <v>0.9</v>
          </cell>
          <cell r="G3732">
            <v>150</v>
          </cell>
          <cell r="H3732" t="str">
            <v>C</v>
          </cell>
          <cell r="I3732" t="str">
            <v>A</v>
          </cell>
          <cell r="K3732">
            <v>1</v>
          </cell>
          <cell r="L3732">
            <v>443</v>
          </cell>
          <cell r="M3732">
            <v>60061589</v>
          </cell>
          <cell r="N3732">
            <v>38882</v>
          </cell>
          <cell r="P3732" t="str">
            <v>IN6614D1S104601</v>
          </cell>
        </row>
        <row r="3733">
          <cell r="A3733">
            <v>60035825</v>
          </cell>
          <cell r="B3733">
            <v>3731</v>
          </cell>
          <cell r="C3733" t="str">
            <v>CS01/12</v>
          </cell>
          <cell r="D3733" t="str">
            <v>SPCEN-SD</v>
          </cell>
          <cell r="E3733" t="str">
            <v>AF3</v>
          </cell>
          <cell r="F3733">
            <v>0.9</v>
          </cell>
          <cell r="G3733">
            <v>152</v>
          </cell>
          <cell r="H3733" t="str">
            <v>C</v>
          </cell>
          <cell r="I3733" t="str">
            <v>A</v>
          </cell>
          <cell r="K3733">
            <v>1</v>
          </cell>
          <cell r="L3733">
            <v>395</v>
          </cell>
          <cell r="M3733">
            <v>60035825</v>
          </cell>
          <cell r="N3733">
            <v>38513</v>
          </cell>
          <cell r="P3733" t="str">
            <v>IN5610D1S045201</v>
          </cell>
        </row>
        <row r="3734">
          <cell r="A3734">
            <v>60037623</v>
          </cell>
          <cell r="B3734">
            <v>3732</v>
          </cell>
          <cell r="C3734" t="str">
            <v>CS01/12</v>
          </cell>
          <cell r="D3734" t="str">
            <v>SPCEN-SD</v>
          </cell>
          <cell r="E3734" t="str">
            <v>AF3</v>
          </cell>
          <cell r="F3734">
            <v>0.9</v>
          </cell>
          <cell r="G3734">
            <v>152</v>
          </cell>
          <cell r="H3734" t="str">
            <v>C</v>
          </cell>
          <cell r="I3734" t="str">
            <v>A</v>
          </cell>
          <cell r="K3734">
            <v>1</v>
          </cell>
          <cell r="L3734">
            <v>245</v>
          </cell>
          <cell r="M3734">
            <v>60037623</v>
          </cell>
          <cell r="N3734">
            <v>38548</v>
          </cell>
          <cell r="P3734" t="str">
            <v>IN5715N1S137601</v>
          </cell>
        </row>
        <row r="3735">
          <cell r="A3735">
            <v>60061584</v>
          </cell>
          <cell r="B3735">
            <v>3733</v>
          </cell>
          <cell r="C3735" t="str">
            <v>CS01/12</v>
          </cell>
          <cell r="D3735" t="str">
            <v>SPCEN-SD</v>
          </cell>
          <cell r="E3735" t="str">
            <v>AF3</v>
          </cell>
          <cell r="F3735">
            <v>0.9</v>
          </cell>
          <cell r="G3735">
            <v>180</v>
          </cell>
          <cell r="H3735" t="str">
            <v>C</v>
          </cell>
          <cell r="I3735" t="str">
            <v>A</v>
          </cell>
          <cell r="K3735">
            <v>1</v>
          </cell>
          <cell r="L3735">
            <v>413</v>
          </cell>
          <cell r="M3735">
            <v>60061584</v>
          </cell>
          <cell r="N3735">
            <v>38882</v>
          </cell>
          <cell r="P3735" t="str">
            <v>IN6614D1S104101</v>
          </cell>
        </row>
        <row r="3736">
          <cell r="A3736">
            <v>60047782</v>
          </cell>
          <cell r="B3736">
            <v>3734</v>
          </cell>
          <cell r="C3736" t="str">
            <v>CS01/12</v>
          </cell>
          <cell r="D3736" t="str">
            <v>SPCEN-SD</v>
          </cell>
          <cell r="E3736" t="str">
            <v>AF3</v>
          </cell>
          <cell r="F3736">
            <v>0.9</v>
          </cell>
          <cell r="G3736">
            <v>220</v>
          </cell>
          <cell r="H3736" t="str">
            <v>C</v>
          </cell>
          <cell r="I3736" t="str">
            <v>A</v>
          </cell>
          <cell r="K3736">
            <v>1</v>
          </cell>
          <cell r="L3736">
            <v>626</v>
          </cell>
          <cell r="M3736">
            <v>60047782</v>
          </cell>
          <cell r="N3736" t="str">
            <v>18/C/2005</v>
          </cell>
          <cell r="P3736" t="str">
            <v>IN5C18N1S581801</v>
          </cell>
        </row>
        <row r="3737">
          <cell r="A3737">
            <v>60053493</v>
          </cell>
          <cell r="B3737">
            <v>3735</v>
          </cell>
          <cell r="C3737" t="str">
            <v>CS01/12</v>
          </cell>
          <cell r="D3737" t="str">
            <v>SPCEN-SD</v>
          </cell>
          <cell r="E3737" t="str">
            <v>AF3</v>
          </cell>
          <cell r="F3737">
            <v>0.9</v>
          </cell>
          <cell r="G3737">
            <v>350</v>
          </cell>
          <cell r="H3737" t="str">
            <v>C</v>
          </cell>
          <cell r="I3737" t="str">
            <v>A</v>
          </cell>
          <cell r="K3737">
            <v>1</v>
          </cell>
          <cell r="L3737">
            <v>1700</v>
          </cell>
          <cell r="M3737">
            <v>60053493</v>
          </cell>
          <cell r="N3737">
            <v>38783</v>
          </cell>
          <cell r="P3737" t="str">
            <v>IN6307N1S814801</v>
          </cell>
        </row>
        <row r="3738">
          <cell r="A3738">
            <v>60041736</v>
          </cell>
          <cell r="B3738">
            <v>3736</v>
          </cell>
          <cell r="C3738" t="str">
            <v>CS01/12</v>
          </cell>
          <cell r="D3738" t="str">
            <v>SPCEN-SD</v>
          </cell>
          <cell r="E3738" t="str">
            <v>AF3</v>
          </cell>
          <cell r="F3738">
            <v>1</v>
          </cell>
          <cell r="G3738">
            <v>43</v>
          </cell>
          <cell r="H3738" t="str">
            <v>C</v>
          </cell>
          <cell r="I3738" t="str">
            <v>A</v>
          </cell>
          <cell r="K3738">
            <v>1</v>
          </cell>
          <cell r="L3738">
            <v>294</v>
          </cell>
          <cell r="M3738">
            <v>60041736</v>
          </cell>
          <cell r="N3738" t="str">
            <v>7/A/2005</v>
          </cell>
          <cell r="P3738" t="str">
            <v>IN5A07D1S352701</v>
          </cell>
        </row>
        <row r="3739">
          <cell r="A3739">
            <v>60041748</v>
          </cell>
          <cell r="B3739">
            <v>3737</v>
          </cell>
          <cell r="C3739" t="str">
            <v>CS01/12</v>
          </cell>
          <cell r="D3739" t="str">
            <v>SPCEN-SD</v>
          </cell>
          <cell r="E3739" t="str">
            <v>AF3</v>
          </cell>
          <cell r="F3739">
            <v>1</v>
          </cell>
          <cell r="G3739">
            <v>43</v>
          </cell>
          <cell r="H3739" t="str">
            <v>C</v>
          </cell>
          <cell r="I3739" t="str">
            <v>A</v>
          </cell>
          <cell r="K3739">
            <v>1</v>
          </cell>
          <cell r="L3739">
            <v>316</v>
          </cell>
          <cell r="M3739">
            <v>60041748</v>
          </cell>
          <cell r="N3739" t="str">
            <v>7/A/2005</v>
          </cell>
          <cell r="P3739" t="str">
            <v>IN5A07D1S352702</v>
          </cell>
        </row>
        <row r="3740">
          <cell r="A3740">
            <v>60042240</v>
          </cell>
          <cell r="B3740">
            <v>3738</v>
          </cell>
          <cell r="C3740" t="str">
            <v>CS01/12</v>
          </cell>
          <cell r="D3740" t="str">
            <v>SPCEN-SD</v>
          </cell>
          <cell r="E3740" t="str">
            <v>AF3</v>
          </cell>
          <cell r="F3740">
            <v>1</v>
          </cell>
          <cell r="G3740">
            <v>43</v>
          </cell>
          <cell r="H3740" t="str">
            <v>C</v>
          </cell>
          <cell r="I3740" t="str">
            <v>A</v>
          </cell>
          <cell r="K3740">
            <v>1</v>
          </cell>
          <cell r="L3740">
            <v>205</v>
          </cell>
          <cell r="M3740">
            <v>60042240</v>
          </cell>
          <cell r="N3740" t="str">
            <v>13/A/2005</v>
          </cell>
          <cell r="P3740" t="str">
            <v>IN5A13N1S353001</v>
          </cell>
        </row>
        <row r="3741">
          <cell r="A3741">
            <v>60042427</v>
          </cell>
          <cell r="B3741">
            <v>3739</v>
          </cell>
          <cell r="C3741" t="str">
            <v>CS01/12</v>
          </cell>
          <cell r="D3741" t="str">
            <v>SPCEN-SD</v>
          </cell>
          <cell r="E3741" t="str">
            <v>AF3</v>
          </cell>
          <cell r="F3741">
            <v>1</v>
          </cell>
          <cell r="G3741">
            <v>43</v>
          </cell>
          <cell r="H3741" t="str">
            <v>C</v>
          </cell>
          <cell r="I3741" t="str">
            <v>A</v>
          </cell>
          <cell r="K3741">
            <v>1</v>
          </cell>
          <cell r="L3741">
            <v>307</v>
          </cell>
          <cell r="M3741">
            <v>60042427</v>
          </cell>
          <cell r="N3741" t="str">
            <v>16/A/2005</v>
          </cell>
          <cell r="P3741" t="str">
            <v>IN5A16N1S366101</v>
          </cell>
        </row>
        <row r="3742">
          <cell r="A3742">
            <v>60042431</v>
          </cell>
          <cell r="B3742">
            <v>3740</v>
          </cell>
          <cell r="C3742" t="str">
            <v>CS01/12</v>
          </cell>
          <cell r="D3742" t="str">
            <v>SPCEN-SD</v>
          </cell>
          <cell r="E3742" t="str">
            <v>AF3</v>
          </cell>
          <cell r="F3742">
            <v>1</v>
          </cell>
          <cell r="G3742">
            <v>43</v>
          </cell>
          <cell r="H3742" t="str">
            <v>C</v>
          </cell>
          <cell r="I3742" t="str">
            <v>A</v>
          </cell>
          <cell r="K3742">
            <v>1</v>
          </cell>
          <cell r="L3742">
            <v>321</v>
          </cell>
          <cell r="M3742">
            <v>60042431</v>
          </cell>
          <cell r="N3742" t="str">
            <v>16/A/2005</v>
          </cell>
          <cell r="P3742" t="str">
            <v>IN5A16N1S366102</v>
          </cell>
        </row>
        <row r="3743">
          <cell r="A3743">
            <v>60042435</v>
          </cell>
          <cell r="B3743">
            <v>3741</v>
          </cell>
          <cell r="C3743" t="str">
            <v>CS01/12</v>
          </cell>
          <cell r="D3743" t="str">
            <v>SPCEN-SD</v>
          </cell>
          <cell r="E3743" t="str">
            <v>AF3</v>
          </cell>
          <cell r="F3743">
            <v>1</v>
          </cell>
          <cell r="G3743">
            <v>43</v>
          </cell>
          <cell r="H3743" t="str">
            <v>C</v>
          </cell>
          <cell r="I3743" t="str">
            <v>A</v>
          </cell>
          <cell r="K3743">
            <v>1</v>
          </cell>
          <cell r="L3743">
            <v>290</v>
          </cell>
          <cell r="M3743">
            <v>60042435</v>
          </cell>
          <cell r="N3743" t="str">
            <v>16/A/2005</v>
          </cell>
          <cell r="P3743" t="str">
            <v>IN5A16N1S366103</v>
          </cell>
        </row>
        <row r="3744">
          <cell r="A3744">
            <v>60042802</v>
          </cell>
          <cell r="B3744">
            <v>3742</v>
          </cell>
          <cell r="C3744" t="str">
            <v>CS01/12</v>
          </cell>
          <cell r="D3744" t="str">
            <v>SPCEN-SD</v>
          </cell>
          <cell r="E3744" t="str">
            <v>AF3</v>
          </cell>
          <cell r="F3744">
            <v>1</v>
          </cell>
          <cell r="G3744">
            <v>43</v>
          </cell>
          <cell r="H3744" t="str">
            <v>C</v>
          </cell>
          <cell r="I3744" t="str">
            <v>A</v>
          </cell>
          <cell r="K3744">
            <v>1</v>
          </cell>
          <cell r="L3744">
            <v>233</v>
          </cell>
          <cell r="M3744">
            <v>60042802</v>
          </cell>
          <cell r="N3744" t="str">
            <v>20/A/2005</v>
          </cell>
          <cell r="P3744" t="str">
            <v>IN5A20N1S366301</v>
          </cell>
        </row>
        <row r="3745">
          <cell r="A3745">
            <v>60042806</v>
          </cell>
          <cell r="B3745">
            <v>3743</v>
          </cell>
          <cell r="C3745" t="str">
            <v>CS01/12</v>
          </cell>
          <cell r="D3745" t="str">
            <v>SPCEN-SD</v>
          </cell>
          <cell r="E3745" t="str">
            <v>AF3</v>
          </cell>
          <cell r="F3745">
            <v>1</v>
          </cell>
          <cell r="G3745">
            <v>43</v>
          </cell>
          <cell r="H3745" t="str">
            <v>C</v>
          </cell>
          <cell r="I3745" t="str">
            <v>A</v>
          </cell>
          <cell r="K3745">
            <v>1</v>
          </cell>
          <cell r="L3745">
            <v>314</v>
          </cell>
          <cell r="M3745">
            <v>60042806</v>
          </cell>
          <cell r="N3745" t="str">
            <v>21/A/2005</v>
          </cell>
          <cell r="P3745" t="str">
            <v>IN5A21N1S366302</v>
          </cell>
        </row>
        <row r="3746">
          <cell r="A3746">
            <v>60042810</v>
          </cell>
          <cell r="B3746">
            <v>3744</v>
          </cell>
          <cell r="C3746" t="str">
            <v>CS01/12</v>
          </cell>
          <cell r="D3746" t="str">
            <v>SPCEN-SD</v>
          </cell>
          <cell r="E3746" t="str">
            <v>AF3</v>
          </cell>
          <cell r="F3746">
            <v>1</v>
          </cell>
          <cell r="G3746">
            <v>43</v>
          </cell>
          <cell r="H3746" t="str">
            <v>C</v>
          </cell>
          <cell r="I3746" t="str">
            <v>A</v>
          </cell>
          <cell r="K3746">
            <v>1</v>
          </cell>
          <cell r="L3746">
            <v>175</v>
          </cell>
          <cell r="M3746">
            <v>60042810</v>
          </cell>
          <cell r="N3746" t="str">
            <v>21/A/2005</v>
          </cell>
          <cell r="P3746" t="str">
            <v>IN5A21N1S366303</v>
          </cell>
        </row>
        <row r="3747">
          <cell r="A3747">
            <v>60043236</v>
          </cell>
          <cell r="B3747">
            <v>3745</v>
          </cell>
          <cell r="C3747" t="str">
            <v>CS01/12</v>
          </cell>
          <cell r="D3747" t="str">
            <v>SPCEN-SD</v>
          </cell>
          <cell r="E3747" t="str">
            <v>AF3</v>
          </cell>
          <cell r="F3747">
            <v>1</v>
          </cell>
          <cell r="G3747">
            <v>43</v>
          </cell>
          <cell r="H3747" t="str">
            <v>C</v>
          </cell>
          <cell r="I3747" t="str">
            <v>A</v>
          </cell>
          <cell r="K3747">
            <v>1</v>
          </cell>
          <cell r="L3747">
            <v>124</v>
          </cell>
          <cell r="M3747">
            <v>60043236</v>
          </cell>
          <cell r="N3747" t="str">
            <v>27/A/2005</v>
          </cell>
          <cell r="P3747" t="str">
            <v>IN5A27N1S418301</v>
          </cell>
        </row>
        <row r="3748">
          <cell r="A3748">
            <v>60060058</v>
          </cell>
          <cell r="B3748">
            <v>3746</v>
          </cell>
          <cell r="C3748" t="str">
            <v>CS01/12</v>
          </cell>
          <cell r="D3748" t="str">
            <v>SPCEN-SD</v>
          </cell>
          <cell r="E3748" t="str">
            <v>AF3</v>
          </cell>
          <cell r="F3748">
            <v>1</v>
          </cell>
          <cell r="G3748">
            <v>44</v>
          </cell>
          <cell r="H3748" t="str">
            <v>C</v>
          </cell>
          <cell r="I3748" t="str">
            <v>A</v>
          </cell>
          <cell r="K3748">
            <v>1</v>
          </cell>
          <cell r="L3748">
            <v>380</v>
          </cell>
          <cell r="M3748">
            <v>60060058</v>
          </cell>
          <cell r="N3748">
            <v>38862</v>
          </cell>
          <cell r="P3748" t="str">
            <v>IN6525D1S041501</v>
          </cell>
        </row>
        <row r="3749">
          <cell r="A3749">
            <v>60062156</v>
          </cell>
          <cell r="B3749">
            <v>3747</v>
          </cell>
          <cell r="C3749" t="str">
            <v>CS01/12</v>
          </cell>
          <cell r="D3749" t="str">
            <v>SPHC P/O</v>
          </cell>
          <cell r="E3749" t="str">
            <v>CA1</v>
          </cell>
          <cell r="F3749">
            <v>1.4</v>
          </cell>
          <cell r="G3749">
            <v>100</v>
          </cell>
          <cell r="H3749" t="str">
            <v>C</v>
          </cell>
          <cell r="I3749" t="str">
            <v>A</v>
          </cell>
          <cell r="K3749">
            <v>1</v>
          </cell>
          <cell r="L3749">
            <v>262</v>
          </cell>
          <cell r="M3749">
            <v>60062156</v>
          </cell>
          <cell r="N3749">
            <v>38890</v>
          </cell>
          <cell r="P3749" t="str">
            <v>IN6622D2S130601</v>
          </cell>
        </row>
        <row r="3750">
          <cell r="A3750">
            <v>60039704</v>
          </cell>
          <cell r="B3750">
            <v>3748</v>
          </cell>
          <cell r="C3750" t="str">
            <v>CS01/12</v>
          </cell>
          <cell r="D3750" t="str">
            <v>SPHC P/O</v>
          </cell>
          <cell r="E3750" t="str">
            <v>CA1</v>
          </cell>
          <cell r="F3750">
            <v>1.4</v>
          </cell>
          <cell r="G3750">
            <v>133</v>
          </cell>
          <cell r="H3750" t="str">
            <v>C</v>
          </cell>
          <cell r="I3750" t="str">
            <v>A</v>
          </cell>
          <cell r="K3750">
            <v>1</v>
          </cell>
          <cell r="L3750">
            <v>124</v>
          </cell>
          <cell r="M3750">
            <v>60039704</v>
          </cell>
          <cell r="N3750">
            <v>38594</v>
          </cell>
          <cell r="P3750" t="str">
            <v>IN5830D2S244501</v>
          </cell>
        </row>
        <row r="3751">
          <cell r="A3751">
            <v>60043051</v>
          </cell>
          <cell r="B3751">
            <v>3749</v>
          </cell>
          <cell r="C3751" t="str">
            <v>CS01/12</v>
          </cell>
          <cell r="D3751" t="str">
            <v>SPHC P/O</v>
          </cell>
          <cell r="E3751" t="str">
            <v>CA1</v>
          </cell>
          <cell r="F3751">
            <v>1.4</v>
          </cell>
          <cell r="G3751">
            <v>133</v>
          </cell>
          <cell r="H3751" t="str">
            <v>C</v>
          </cell>
          <cell r="I3751" t="str">
            <v>A</v>
          </cell>
          <cell r="K3751">
            <v>1</v>
          </cell>
          <cell r="L3751">
            <v>174</v>
          </cell>
          <cell r="M3751">
            <v>60043051</v>
          </cell>
          <cell r="N3751" t="str">
            <v>25/A/2005</v>
          </cell>
          <cell r="P3751" t="str">
            <v>IN5A25D1S409201</v>
          </cell>
        </row>
        <row r="3752">
          <cell r="A3752">
            <v>60052890</v>
          </cell>
          <cell r="B3752">
            <v>3750</v>
          </cell>
          <cell r="C3752" t="str">
            <v>CS01/12</v>
          </cell>
          <cell r="D3752" t="str">
            <v>SPHC P/O</v>
          </cell>
          <cell r="E3752" t="str">
            <v>CA1</v>
          </cell>
          <cell r="F3752">
            <v>1.4</v>
          </cell>
          <cell r="G3752">
            <v>133</v>
          </cell>
          <cell r="H3752" t="str">
            <v>C</v>
          </cell>
          <cell r="I3752" t="str">
            <v>A</v>
          </cell>
          <cell r="K3752">
            <v>1</v>
          </cell>
          <cell r="L3752">
            <v>377</v>
          </cell>
          <cell r="M3752">
            <v>60052890</v>
          </cell>
          <cell r="N3752">
            <v>38776</v>
          </cell>
          <cell r="P3752" t="str">
            <v>IN6228D1S783201</v>
          </cell>
        </row>
        <row r="3753">
          <cell r="A3753">
            <v>60024640</v>
          </cell>
          <cell r="B3753">
            <v>3751</v>
          </cell>
          <cell r="C3753" t="str">
            <v>CS01/12</v>
          </cell>
          <cell r="D3753" t="str">
            <v>SPHC P/O</v>
          </cell>
          <cell r="E3753" t="str">
            <v>CA1</v>
          </cell>
          <cell r="F3753">
            <v>1.4</v>
          </cell>
          <cell r="G3753">
            <v>196</v>
          </cell>
          <cell r="H3753" t="str">
            <v>C</v>
          </cell>
          <cell r="I3753" t="str">
            <v>A</v>
          </cell>
          <cell r="K3753">
            <v>1</v>
          </cell>
          <cell r="L3753">
            <v>370</v>
          </cell>
          <cell r="M3753">
            <v>60024640</v>
          </cell>
          <cell r="N3753" t="str">
            <v>11/C/2004</v>
          </cell>
          <cell r="P3753" t="str">
            <v>IN4C11D1S513301</v>
          </cell>
        </row>
        <row r="3754">
          <cell r="A3754">
            <v>60058273</v>
          </cell>
          <cell r="B3754">
            <v>3752</v>
          </cell>
          <cell r="C3754" t="str">
            <v>CS01/12</v>
          </cell>
          <cell r="D3754" t="str">
            <v>SPHC P/O</v>
          </cell>
          <cell r="E3754" t="str">
            <v>CA1</v>
          </cell>
          <cell r="F3754">
            <v>1.4</v>
          </cell>
          <cell r="G3754">
            <v>265</v>
          </cell>
          <cell r="H3754" t="str">
            <v>C</v>
          </cell>
          <cell r="I3754" t="str">
            <v>A</v>
          </cell>
          <cell r="K3754">
            <v>1</v>
          </cell>
          <cell r="L3754">
            <v>544</v>
          </cell>
          <cell r="M3754">
            <v>60058273</v>
          </cell>
          <cell r="N3754">
            <v>38841</v>
          </cell>
          <cell r="P3754" t="str">
            <v>IN6504N2S957201</v>
          </cell>
        </row>
        <row r="3755">
          <cell r="A3755">
            <v>60058261</v>
          </cell>
          <cell r="B3755">
            <v>3753</v>
          </cell>
          <cell r="C3755" t="str">
            <v>CS01/12</v>
          </cell>
          <cell r="D3755" t="str">
            <v>SPHC P/O</v>
          </cell>
          <cell r="E3755" t="str">
            <v>CA1</v>
          </cell>
          <cell r="F3755">
            <v>1.6</v>
          </cell>
          <cell r="G3755">
            <v>61</v>
          </cell>
          <cell r="H3755" t="str">
            <v>C</v>
          </cell>
          <cell r="I3755" t="str">
            <v>A</v>
          </cell>
          <cell r="K3755">
            <v>1</v>
          </cell>
          <cell r="L3755">
            <v>144</v>
          </cell>
          <cell r="M3755">
            <v>60058261</v>
          </cell>
          <cell r="N3755">
            <v>38841</v>
          </cell>
          <cell r="P3755" t="str">
            <v>IN6504N2S987701</v>
          </cell>
        </row>
        <row r="3756">
          <cell r="A3756">
            <v>60065414</v>
          </cell>
          <cell r="B3756">
            <v>3754</v>
          </cell>
          <cell r="C3756" t="str">
            <v>CS01/12</v>
          </cell>
          <cell r="D3756" t="str">
            <v>SPHC P/O</v>
          </cell>
          <cell r="E3756" t="str">
            <v>CA1</v>
          </cell>
          <cell r="F3756">
            <v>1.6</v>
          </cell>
          <cell r="G3756">
            <v>143</v>
          </cell>
          <cell r="H3756" t="str">
            <v>C</v>
          </cell>
          <cell r="I3756" t="str">
            <v>A</v>
          </cell>
          <cell r="K3756">
            <v>1</v>
          </cell>
          <cell r="L3756">
            <v>503</v>
          </cell>
          <cell r="M3756">
            <v>60065414</v>
          </cell>
          <cell r="N3756">
            <v>38933</v>
          </cell>
          <cell r="O3756" t="str">
            <v>R36614NSI003</v>
          </cell>
          <cell r="P3756" t="str">
            <v>IN6804D1S264301</v>
          </cell>
        </row>
        <row r="3757">
          <cell r="A3757">
            <v>60065415</v>
          </cell>
          <cell r="B3757">
            <v>3755</v>
          </cell>
          <cell r="C3757" t="str">
            <v>CS01/12</v>
          </cell>
          <cell r="D3757" t="str">
            <v>SPHC P/O</v>
          </cell>
          <cell r="E3757" t="str">
            <v>CA1</v>
          </cell>
          <cell r="F3757">
            <v>1.6</v>
          </cell>
          <cell r="G3757">
            <v>143</v>
          </cell>
          <cell r="H3757" t="str">
            <v>C</v>
          </cell>
          <cell r="I3757" t="str">
            <v>A</v>
          </cell>
          <cell r="K3757">
            <v>1</v>
          </cell>
          <cell r="L3757">
            <v>503</v>
          </cell>
          <cell r="M3757">
            <v>60065415</v>
          </cell>
          <cell r="N3757">
            <v>38933</v>
          </cell>
          <cell r="O3757" t="str">
            <v>R36614NSI003</v>
          </cell>
          <cell r="P3757" t="str">
            <v>IN6804D1S264302</v>
          </cell>
        </row>
        <row r="3758">
          <cell r="A3758">
            <v>60065416</v>
          </cell>
          <cell r="B3758">
            <v>3756</v>
          </cell>
          <cell r="C3758" t="str">
            <v>CS01/12</v>
          </cell>
          <cell r="D3758" t="str">
            <v>SPHC P/O</v>
          </cell>
          <cell r="E3758" t="str">
            <v>CA1</v>
          </cell>
          <cell r="F3758">
            <v>1.6</v>
          </cell>
          <cell r="G3758">
            <v>143</v>
          </cell>
          <cell r="H3758" t="str">
            <v>C</v>
          </cell>
          <cell r="I3758" t="str">
            <v>A</v>
          </cell>
          <cell r="K3758">
            <v>1</v>
          </cell>
          <cell r="L3758">
            <v>503</v>
          </cell>
          <cell r="M3758">
            <v>60065416</v>
          </cell>
          <cell r="N3758">
            <v>38933</v>
          </cell>
          <cell r="P3758" t="str">
            <v>IN6804D1S264303</v>
          </cell>
        </row>
        <row r="3759">
          <cell r="A3759">
            <v>60032250</v>
          </cell>
          <cell r="B3759">
            <v>3757</v>
          </cell>
          <cell r="C3759" t="str">
            <v>CS01/12</v>
          </cell>
          <cell r="D3759" t="str">
            <v>SPHC P/O</v>
          </cell>
          <cell r="E3759" t="str">
            <v>CA1</v>
          </cell>
          <cell r="F3759">
            <v>1.8</v>
          </cell>
          <cell r="G3759">
            <v>145</v>
          </cell>
          <cell r="H3759" t="str">
            <v>C</v>
          </cell>
          <cell r="I3759" t="str">
            <v>A</v>
          </cell>
          <cell r="K3759">
            <v>1</v>
          </cell>
          <cell r="L3759">
            <v>428</v>
          </cell>
          <cell r="M3759">
            <v>60032250</v>
          </cell>
          <cell r="N3759">
            <v>38462</v>
          </cell>
          <cell r="P3759" t="str">
            <v>IN5420D2S885601</v>
          </cell>
        </row>
        <row r="3760">
          <cell r="A3760">
            <v>60041585</v>
          </cell>
          <cell r="B3760">
            <v>3758</v>
          </cell>
          <cell r="C3760" t="str">
            <v>CS01/12</v>
          </cell>
          <cell r="D3760" t="str">
            <v>SPHC P/O</v>
          </cell>
          <cell r="E3760" t="str">
            <v>CA1</v>
          </cell>
          <cell r="F3760">
            <v>1.8</v>
          </cell>
          <cell r="G3760">
            <v>146</v>
          </cell>
          <cell r="H3760" t="str">
            <v>C</v>
          </cell>
          <cell r="I3760" t="str">
            <v>A</v>
          </cell>
          <cell r="K3760">
            <v>1</v>
          </cell>
          <cell r="L3760">
            <v>412</v>
          </cell>
          <cell r="M3760">
            <v>60041585</v>
          </cell>
          <cell r="N3760" t="str">
            <v>6/A/2005</v>
          </cell>
          <cell r="P3760" t="str">
            <v>IN5A06D2S332801</v>
          </cell>
        </row>
        <row r="3761">
          <cell r="A3761">
            <v>60041589</v>
          </cell>
          <cell r="B3761">
            <v>3759</v>
          </cell>
          <cell r="C3761" t="str">
            <v>CS01/12</v>
          </cell>
          <cell r="D3761" t="str">
            <v>SPHC P/O</v>
          </cell>
          <cell r="E3761" t="str">
            <v>CA1</v>
          </cell>
          <cell r="F3761">
            <v>1.8</v>
          </cell>
          <cell r="G3761">
            <v>146</v>
          </cell>
          <cell r="H3761" t="str">
            <v>C</v>
          </cell>
          <cell r="I3761" t="str">
            <v>A</v>
          </cell>
          <cell r="K3761">
            <v>1</v>
          </cell>
          <cell r="L3761">
            <v>404</v>
          </cell>
          <cell r="M3761">
            <v>60041589</v>
          </cell>
          <cell r="N3761" t="str">
            <v>6/A/2005</v>
          </cell>
          <cell r="P3761" t="str">
            <v>IN5A06D2S332802</v>
          </cell>
        </row>
        <row r="3762">
          <cell r="A3762">
            <v>60041593</v>
          </cell>
          <cell r="B3762">
            <v>3760</v>
          </cell>
          <cell r="C3762" t="str">
            <v>CS01/12</v>
          </cell>
          <cell r="D3762" t="str">
            <v>SPHC P/O</v>
          </cell>
          <cell r="E3762" t="str">
            <v>CA1</v>
          </cell>
          <cell r="F3762">
            <v>1.8</v>
          </cell>
          <cell r="G3762">
            <v>146</v>
          </cell>
          <cell r="H3762" t="str">
            <v>C</v>
          </cell>
          <cell r="I3762" t="str">
            <v>A</v>
          </cell>
          <cell r="K3762">
            <v>1</v>
          </cell>
          <cell r="L3762">
            <v>418</v>
          </cell>
          <cell r="M3762">
            <v>60041593</v>
          </cell>
          <cell r="N3762" t="str">
            <v>6/A/2005</v>
          </cell>
          <cell r="P3762" t="str">
            <v>IN5A06D2S332803</v>
          </cell>
        </row>
        <row r="3763">
          <cell r="A3763">
            <v>60042842</v>
          </cell>
          <cell r="B3763">
            <v>3761</v>
          </cell>
          <cell r="C3763" t="str">
            <v>CS01/12</v>
          </cell>
          <cell r="D3763" t="str">
            <v>SPHC P/O</v>
          </cell>
          <cell r="E3763" t="str">
            <v>CA1</v>
          </cell>
          <cell r="F3763">
            <v>1.8</v>
          </cell>
          <cell r="G3763">
            <v>146</v>
          </cell>
          <cell r="H3763" t="str">
            <v>C</v>
          </cell>
          <cell r="I3763" t="str">
            <v>A</v>
          </cell>
          <cell r="K3763">
            <v>1</v>
          </cell>
          <cell r="L3763">
            <v>430</v>
          </cell>
          <cell r="M3763">
            <v>60042842</v>
          </cell>
          <cell r="N3763" t="str">
            <v>21/A/2005</v>
          </cell>
          <cell r="P3763" t="str">
            <v>IN5A21D2S367901</v>
          </cell>
        </row>
        <row r="3764">
          <cell r="A3764">
            <v>60042846</v>
          </cell>
          <cell r="B3764">
            <v>3762</v>
          </cell>
          <cell r="C3764" t="str">
            <v>CS01/12</v>
          </cell>
          <cell r="D3764" t="str">
            <v>SPHC P/O</v>
          </cell>
          <cell r="E3764" t="str">
            <v>CA1</v>
          </cell>
          <cell r="F3764">
            <v>1.8</v>
          </cell>
          <cell r="G3764">
            <v>146</v>
          </cell>
          <cell r="H3764" t="str">
            <v>C</v>
          </cell>
          <cell r="I3764" t="str">
            <v>A</v>
          </cell>
          <cell r="K3764">
            <v>1</v>
          </cell>
          <cell r="L3764">
            <v>424</v>
          </cell>
          <cell r="M3764">
            <v>60042846</v>
          </cell>
          <cell r="N3764" t="str">
            <v>21/A/2005</v>
          </cell>
          <cell r="P3764" t="str">
            <v>IN5A21D2S367902</v>
          </cell>
        </row>
        <row r="3765">
          <cell r="A3765">
            <v>60042850</v>
          </cell>
          <cell r="B3765">
            <v>3763</v>
          </cell>
          <cell r="C3765" t="str">
            <v>CS01/12</v>
          </cell>
          <cell r="D3765" t="str">
            <v>SPHC P/O</v>
          </cell>
          <cell r="E3765" t="str">
            <v>CA1</v>
          </cell>
          <cell r="F3765">
            <v>1.8</v>
          </cell>
          <cell r="G3765">
            <v>146</v>
          </cell>
          <cell r="H3765" t="str">
            <v>C</v>
          </cell>
          <cell r="I3765" t="str">
            <v>A</v>
          </cell>
          <cell r="K3765">
            <v>1</v>
          </cell>
          <cell r="L3765">
            <v>404</v>
          </cell>
          <cell r="M3765">
            <v>60042850</v>
          </cell>
          <cell r="N3765" t="str">
            <v>21/A/2005</v>
          </cell>
          <cell r="P3765" t="str">
            <v>IN5A21D2S367903</v>
          </cell>
        </row>
        <row r="3766">
          <cell r="A3766">
            <v>60021872</v>
          </cell>
          <cell r="B3766">
            <v>3764</v>
          </cell>
          <cell r="C3766" t="str">
            <v>CS01/12</v>
          </cell>
          <cell r="D3766" t="str">
            <v>SPHC P/O</v>
          </cell>
          <cell r="E3766" t="str">
            <v>CA1</v>
          </cell>
          <cell r="F3766">
            <v>1.8</v>
          </cell>
          <cell r="G3766">
            <v>185</v>
          </cell>
          <cell r="H3766" t="str">
            <v>C</v>
          </cell>
          <cell r="I3766" t="str">
            <v>A</v>
          </cell>
          <cell r="K3766">
            <v>1</v>
          </cell>
          <cell r="L3766">
            <v>431</v>
          </cell>
          <cell r="M3766">
            <v>60021872</v>
          </cell>
          <cell r="N3766" t="str">
            <v>7/A/2005</v>
          </cell>
          <cell r="P3766" t="str">
            <v>IN5A07D2M358601</v>
          </cell>
        </row>
        <row r="3767">
          <cell r="A3767">
            <v>60032272</v>
          </cell>
          <cell r="B3767">
            <v>3765</v>
          </cell>
          <cell r="C3767" t="str">
            <v>CS01/12</v>
          </cell>
          <cell r="D3767" t="str">
            <v>SPHC P/O</v>
          </cell>
          <cell r="E3767" t="str">
            <v>CA1</v>
          </cell>
          <cell r="F3767">
            <v>1.8</v>
          </cell>
          <cell r="G3767">
            <v>185</v>
          </cell>
          <cell r="H3767" t="str">
            <v>C</v>
          </cell>
          <cell r="I3767" t="str">
            <v>A</v>
          </cell>
          <cell r="K3767">
            <v>1</v>
          </cell>
          <cell r="L3767">
            <v>505</v>
          </cell>
          <cell r="M3767">
            <v>60032272</v>
          </cell>
          <cell r="N3767">
            <v>38463</v>
          </cell>
          <cell r="P3767" t="str">
            <v>IN5421N2S885401</v>
          </cell>
        </row>
        <row r="3768">
          <cell r="A3768">
            <v>60032275</v>
          </cell>
          <cell r="B3768">
            <v>3766</v>
          </cell>
          <cell r="C3768" t="str">
            <v>CS01/12</v>
          </cell>
          <cell r="D3768" t="str">
            <v>SPHC P/O</v>
          </cell>
          <cell r="E3768" t="str">
            <v>CA1</v>
          </cell>
          <cell r="F3768">
            <v>1.8</v>
          </cell>
          <cell r="G3768">
            <v>185</v>
          </cell>
          <cell r="H3768" t="str">
            <v>C</v>
          </cell>
          <cell r="I3768" t="str">
            <v>A</v>
          </cell>
          <cell r="K3768">
            <v>1</v>
          </cell>
          <cell r="L3768">
            <v>426</v>
          </cell>
          <cell r="M3768">
            <v>60032275</v>
          </cell>
          <cell r="N3768">
            <v>38463</v>
          </cell>
          <cell r="P3768" t="str">
            <v>IN5421N2S885402</v>
          </cell>
        </row>
        <row r="3769">
          <cell r="A3769">
            <v>60032278</v>
          </cell>
          <cell r="B3769">
            <v>3767</v>
          </cell>
          <cell r="C3769" t="str">
            <v>CS01/12</v>
          </cell>
          <cell r="D3769" t="str">
            <v>SPHC P/O</v>
          </cell>
          <cell r="E3769" t="str">
            <v>CA1</v>
          </cell>
          <cell r="F3769">
            <v>1.8</v>
          </cell>
          <cell r="G3769">
            <v>185</v>
          </cell>
          <cell r="H3769" t="str">
            <v>C</v>
          </cell>
          <cell r="I3769" t="str">
            <v>A</v>
          </cell>
          <cell r="K3769">
            <v>1</v>
          </cell>
          <cell r="L3769">
            <v>460</v>
          </cell>
          <cell r="M3769">
            <v>60032278</v>
          </cell>
          <cell r="N3769">
            <v>38463</v>
          </cell>
          <cell r="P3769" t="str">
            <v>IN5421N2S885403</v>
          </cell>
        </row>
        <row r="3770">
          <cell r="A3770">
            <v>60061140</v>
          </cell>
          <cell r="B3770">
            <v>3768</v>
          </cell>
          <cell r="C3770" t="str">
            <v>CS01/12</v>
          </cell>
          <cell r="D3770" t="str">
            <v>SPHC P/O</v>
          </cell>
          <cell r="E3770" t="str">
            <v>CA1</v>
          </cell>
          <cell r="F3770">
            <v>2</v>
          </cell>
          <cell r="G3770">
            <v>110</v>
          </cell>
          <cell r="H3770" t="str">
            <v>C</v>
          </cell>
          <cell r="I3770" t="str">
            <v>A</v>
          </cell>
          <cell r="K3770">
            <v>1</v>
          </cell>
          <cell r="L3770">
            <v>140</v>
          </cell>
          <cell r="M3770">
            <v>60061140</v>
          </cell>
          <cell r="N3770">
            <v>38875</v>
          </cell>
          <cell r="P3770" t="str">
            <v>IN6607N2S069301</v>
          </cell>
        </row>
        <row r="3771">
          <cell r="A3771">
            <v>60061141</v>
          </cell>
          <cell r="B3771">
            <v>3769</v>
          </cell>
          <cell r="C3771" t="str">
            <v>CS01/12</v>
          </cell>
          <cell r="D3771" t="str">
            <v>SPHC P/O</v>
          </cell>
          <cell r="E3771" t="str">
            <v>CA1</v>
          </cell>
          <cell r="F3771">
            <v>2</v>
          </cell>
          <cell r="G3771">
            <v>110</v>
          </cell>
          <cell r="H3771" t="str">
            <v>C</v>
          </cell>
          <cell r="I3771" t="str">
            <v>A</v>
          </cell>
          <cell r="K3771">
            <v>1</v>
          </cell>
          <cell r="L3771">
            <v>140</v>
          </cell>
          <cell r="M3771">
            <v>60061141</v>
          </cell>
          <cell r="N3771">
            <v>38875</v>
          </cell>
          <cell r="P3771" t="str">
            <v>IN6607N2S069302</v>
          </cell>
        </row>
        <row r="3772">
          <cell r="A3772">
            <v>60032257</v>
          </cell>
          <cell r="B3772">
            <v>3770</v>
          </cell>
          <cell r="C3772" t="str">
            <v>CS01/12</v>
          </cell>
          <cell r="D3772" t="str">
            <v>SPHC P/O</v>
          </cell>
          <cell r="E3772" t="str">
            <v>CA1</v>
          </cell>
          <cell r="F3772">
            <v>2.2999999999999998</v>
          </cell>
          <cell r="G3772">
            <v>42</v>
          </cell>
          <cell r="H3772" t="str">
            <v>C</v>
          </cell>
          <cell r="I3772" t="str">
            <v>A</v>
          </cell>
          <cell r="K3772">
            <v>1</v>
          </cell>
          <cell r="L3772">
            <v>86</v>
          </cell>
          <cell r="M3772">
            <v>60032257</v>
          </cell>
          <cell r="N3772">
            <v>38462</v>
          </cell>
          <cell r="P3772" t="str">
            <v>IN5420D2S872901</v>
          </cell>
        </row>
        <row r="3773">
          <cell r="A3773">
            <v>60058297</v>
          </cell>
          <cell r="B3773">
            <v>3771</v>
          </cell>
          <cell r="C3773" t="str">
            <v>CS01/12</v>
          </cell>
          <cell r="D3773" t="str">
            <v>SPHC P/O</v>
          </cell>
          <cell r="E3773" t="str">
            <v>CA1</v>
          </cell>
          <cell r="F3773">
            <v>2.2999999999999998</v>
          </cell>
          <cell r="G3773">
            <v>72</v>
          </cell>
          <cell r="H3773" t="str">
            <v>C</v>
          </cell>
          <cell r="I3773" t="str">
            <v>A</v>
          </cell>
          <cell r="K3773">
            <v>1</v>
          </cell>
          <cell r="L3773">
            <v>128</v>
          </cell>
          <cell r="M3773">
            <v>60058297</v>
          </cell>
          <cell r="N3773">
            <v>38842</v>
          </cell>
          <cell r="P3773" t="str">
            <v>IN6505N2S959301</v>
          </cell>
        </row>
        <row r="3774">
          <cell r="A3774">
            <v>60062185</v>
          </cell>
          <cell r="B3774">
            <v>3772</v>
          </cell>
          <cell r="C3774" t="str">
            <v>CS01/12</v>
          </cell>
          <cell r="D3774" t="str">
            <v>SPHC P/O</v>
          </cell>
          <cell r="E3774" t="str">
            <v>CA1</v>
          </cell>
          <cell r="F3774">
            <v>2.2999999999999998</v>
          </cell>
          <cell r="G3774">
            <v>72</v>
          </cell>
          <cell r="H3774" t="str">
            <v>C</v>
          </cell>
          <cell r="I3774" t="str">
            <v>A</v>
          </cell>
          <cell r="K3774">
            <v>1</v>
          </cell>
          <cell r="L3774">
            <v>94</v>
          </cell>
          <cell r="M3774">
            <v>60062185</v>
          </cell>
          <cell r="N3774">
            <v>38891</v>
          </cell>
          <cell r="P3774" t="str">
            <v>IN6623N2S127601</v>
          </cell>
        </row>
        <row r="3775">
          <cell r="A3775">
            <v>60024288</v>
          </cell>
          <cell r="B3775">
            <v>3773</v>
          </cell>
          <cell r="C3775" t="str">
            <v>CS01/12</v>
          </cell>
          <cell r="D3775" t="str">
            <v>SPHC P/O</v>
          </cell>
          <cell r="E3775" t="str">
            <v>CA1</v>
          </cell>
          <cell r="F3775">
            <v>2.2999999999999998</v>
          </cell>
          <cell r="G3775">
            <v>98</v>
          </cell>
          <cell r="H3775" t="str">
            <v>C</v>
          </cell>
          <cell r="I3775" t="str">
            <v>A</v>
          </cell>
          <cell r="K3775">
            <v>1</v>
          </cell>
          <cell r="L3775">
            <v>360</v>
          </cell>
          <cell r="M3775">
            <v>60024288</v>
          </cell>
          <cell r="N3775" t="str">
            <v>8/C/2004</v>
          </cell>
          <cell r="P3775" t="str">
            <v>IN4C08N1S533901</v>
          </cell>
        </row>
        <row r="3776">
          <cell r="A3776">
            <v>60054745</v>
          </cell>
          <cell r="B3776">
            <v>3774</v>
          </cell>
          <cell r="C3776" t="str">
            <v>CS01/12</v>
          </cell>
          <cell r="D3776" t="str">
            <v>SPHC P/O</v>
          </cell>
          <cell r="E3776" t="str">
            <v>CA1</v>
          </cell>
          <cell r="F3776">
            <v>2.2999999999999998</v>
          </cell>
          <cell r="G3776">
            <v>110</v>
          </cell>
          <cell r="H3776" t="str">
            <v>C</v>
          </cell>
          <cell r="I3776" t="str">
            <v>A</v>
          </cell>
          <cell r="K3776">
            <v>1</v>
          </cell>
          <cell r="L3776">
            <v>254</v>
          </cell>
          <cell r="M3776">
            <v>60054745</v>
          </cell>
          <cell r="N3776">
            <v>38793</v>
          </cell>
          <cell r="O3776" t="str">
            <v>136301CSI001</v>
          </cell>
          <cell r="P3776" t="str">
            <v>IN6317D2S853901</v>
          </cell>
        </row>
        <row r="3777">
          <cell r="A3777">
            <v>60054746</v>
          </cell>
          <cell r="B3777">
            <v>3775</v>
          </cell>
          <cell r="C3777" t="str">
            <v>CS01/12</v>
          </cell>
          <cell r="D3777" t="str">
            <v>SPHC P/O</v>
          </cell>
          <cell r="E3777" t="str">
            <v>CA1</v>
          </cell>
          <cell r="F3777">
            <v>2.2999999999999998</v>
          </cell>
          <cell r="G3777">
            <v>110</v>
          </cell>
          <cell r="H3777" t="str">
            <v>C</v>
          </cell>
          <cell r="I3777" t="str">
            <v>A</v>
          </cell>
          <cell r="K3777">
            <v>1</v>
          </cell>
          <cell r="L3777">
            <v>254</v>
          </cell>
          <cell r="M3777">
            <v>60054746</v>
          </cell>
          <cell r="N3777">
            <v>38793</v>
          </cell>
          <cell r="O3777" t="str">
            <v>136301CSI001</v>
          </cell>
          <cell r="P3777" t="str">
            <v>IN6317D2S853902</v>
          </cell>
        </row>
        <row r="3778">
          <cell r="A3778">
            <v>60054747</v>
          </cell>
          <cell r="B3778">
            <v>3776</v>
          </cell>
          <cell r="C3778" t="str">
            <v>CS01/12</v>
          </cell>
          <cell r="D3778" t="str">
            <v>SPHC P/O</v>
          </cell>
          <cell r="E3778" t="str">
            <v>CA1</v>
          </cell>
          <cell r="F3778">
            <v>2.2999999999999998</v>
          </cell>
          <cell r="G3778">
            <v>110</v>
          </cell>
          <cell r="H3778" t="str">
            <v>C</v>
          </cell>
          <cell r="I3778" t="str">
            <v>A</v>
          </cell>
          <cell r="K3778">
            <v>1</v>
          </cell>
          <cell r="L3778">
            <v>254</v>
          </cell>
          <cell r="M3778">
            <v>60054747</v>
          </cell>
          <cell r="N3778">
            <v>38793</v>
          </cell>
          <cell r="O3778" t="str">
            <v>136301CSI001</v>
          </cell>
          <cell r="P3778" t="str">
            <v>IN6317D2S853903</v>
          </cell>
        </row>
        <row r="3779">
          <cell r="A3779">
            <v>60058304</v>
          </cell>
          <cell r="B3779">
            <v>3777</v>
          </cell>
          <cell r="C3779" t="str">
            <v>CS01/12</v>
          </cell>
          <cell r="D3779" t="str">
            <v>SPHC P/O</v>
          </cell>
          <cell r="E3779" t="str">
            <v>CA1</v>
          </cell>
          <cell r="F3779">
            <v>2.2999999999999998</v>
          </cell>
          <cell r="G3779">
            <v>110</v>
          </cell>
          <cell r="H3779" t="str">
            <v>C</v>
          </cell>
          <cell r="I3779" t="str">
            <v>A</v>
          </cell>
          <cell r="K3779">
            <v>1</v>
          </cell>
          <cell r="L3779">
            <v>228</v>
          </cell>
          <cell r="M3779">
            <v>60058304</v>
          </cell>
          <cell r="N3779">
            <v>38842</v>
          </cell>
          <cell r="O3779" t="str">
            <v>136323PCI013</v>
          </cell>
          <cell r="P3779" t="str">
            <v>IN6505N2S953901</v>
          </cell>
        </row>
        <row r="3780">
          <cell r="A3780">
            <v>60045926</v>
          </cell>
          <cell r="B3780">
            <v>3778</v>
          </cell>
          <cell r="C3780" t="str">
            <v>CS01/12</v>
          </cell>
          <cell r="D3780" t="str">
            <v>SPHC P/O</v>
          </cell>
          <cell r="E3780" t="str">
            <v>CA1</v>
          </cell>
          <cell r="F3780">
            <v>2.2999999999999998</v>
          </cell>
          <cell r="G3780">
            <v>192</v>
          </cell>
          <cell r="H3780" t="str">
            <v>C</v>
          </cell>
          <cell r="I3780" t="str">
            <v>A</v>
          </cell>
          <cell r="K3780">
            <v>1</v>
          </cell>
          <cell r="L3780">
            <v>494</v>
          </cell>
          <cell r="M3780">
            <v>60045926</v>
          </cell>
          <cell r="N3780">
            <v>38929</v>
          </cell>
          <cell r="P3780" t="str">
            <v>IN6731D1S249401</v>
          </cell>
        </row>
        <row r="3781">
          <cell r="A3781">
            <v>60061574</v>
          </cell>
          <cell r="B3781">
            <v>3779</v>
          </cell>
          <cell r="C3781" t="str">
            <v>CS01/12</v>
          </cell>
          <cell r="D3781" t="str">
            <v>SPHC P/O</v>
          </cell>
          <cell r="E3781" t="str">
            <v>CA1</v>
          </cell>
          <cell r="F3781">
            <v>2.2999999999999998</v>
          </cell>
          <cell r="G3781">
            <v>276</v>
          </cell>
          <cell r="H3781" t="str">
            <v>C</v>
          </cell>
          <cell r="I3781" t="str">
            <v>A</v>
          </cell>
          <cell r="K3781">
            <v>1</v>
          </cell>
          <cell r="L3781">
            <v>1173</v>
          </cell>
          <cell r="M3781">
            <v>60061574</v>
          </cell>
          <cell r="N3781">
            <v>38881</v>
          </cell>
          <cell r="P3781" t="str">
            <v>IN6613N1S098401</v>
          </cell>
        </row>
        <row r="3782">
          <cell r="A3782">
            <v>60062166</v>
          </cell>
          <cell r="B3782">
            <v>3780</v>
          </cell>
          <cell r="C3782" t="str">
            <v>CS01/12</v>
          </cell>
          <cell r="D3782" t="str">
            <v>SPHC P/O</v>
          </cell>
          <cell r="E3782" t="str">
            <v>CA1</v>
          </cell>
          <cell r="F3782">
            <v>2.2999999999999998</v>
          </cell>
          <cell r="G3782">
            <v>276</v>
          </cell>
          <cell r="H3782" t="str">
            <v>C</v>
          </cell>
          <cell r="I3782" t="str">
            <v>A</v>
          </cell>
          <cell r="K3782">
            <v>1</v>
          </cell>
          <cell r="L3782">
            <v>906</v>
          </cell>
          <cell r="M3782">
            <v>60062166</v>
          </cell>
          <cell r="N3782">
            <v>38890</v>
          </cell>
          <cell r="P3782" t="str">
            <v>IN6622D2S127301</v>
          </cell>
        </row>
        <row r="3783">
          <cell r="A3783">
            <v>60039140</v>
          </cell>
          <cell r="B3783">
            <v>3781</v>
          </cell>
          <cell r="C3783" t="str">
            <v>CS01/12</v>
          </cell>
          <cell r="D3783" t="str">
            <v>SPHC P/O</v>
          </cell>
          <cell r="E3783" t="str">
            <v>CA1</v>
          </cell>
          <cell r="F3783">
            <v>2.6</v>
          </cell>
          <cell r="G3783">
            <v>66</v>
          </cell>
          <cell r="H3783" t="str">
            <v>C</v>
          </cell>
          <cell r="I3783" t="str">
            <v>A</v>
          </cell>
          <cell r="K3783">
            <v>1</v>
          </cell>
          <cell r="L3783">
            <v>178</v>
          </cell>
          <cell r="M3783">
            <v>60039140</v>
          </cell>
          <cell r="N3783">
            <v>38580</v>
          </cell>
          <cell r="P3783" t="str">
            <v>IN5816N1S205401</v>
          </cell>
        </row>
        <row r="3784">
          <cell r="A3784">
            <v>60039142</v>
          </cell>
          <cell r="B3784">
            <v>3782</v>
          </cell>
          <cell r="C3784" t="str">
            <v>CS01/12</v>
          </cell>
          <cell r="D3784" t="str">
            <v>SPHC P/O</v>
          </cell>
          <cell r="E3784" t="str">
            <v>CA1</v>
          </cell>
          <cell r="F3784">
            <v>2.6</v>
          </cell>
          <cell r="G3784">
            <v>66</v>
          </cell>
          <cell r="H3784" t="str">
            <v>C</v>
          </cell>
          <cell r="I3784" t="str">
            <v>A</v>
          </cell>
          <cell r="K3784">
            <v>1</v>
          </cell>
          <cell r="L3784">
            <v>180</v>
          </cell>
          <cell r="M3784">
            <v>60039142</v>
          </cell>
          <cell r="N3784">
            <v>38580</v>
          </cell>
          <cell r="P3784" t="str">
            <v>IN5816N1S205402</v>
          </cell>
        </row>
        <row r="3785">
          <cell r="A3785">
            <v>60056256</v>
          </cell>
          <cell r="B3785">
            <v>3783</v>
          </cell>
          <cell r="C3785" t="str">
            <v>CS01/12</v>
          </cell>
          <cell r="D3785" t="str">
            <v>SPHC P/O</v>
          </cell>
          <cell r="E3785" t="str">
            <v>CA1</v>
          </cell>
          <cell r="F3785">
            <v>3.2</v>
          </cell>
          <cell r="G3785">
            <v>96</v>
          </cell>
          <cell r="H3785" t="str">
            <v>C</v>
          </cell>
          <cell r="I3785" t="str">
            <v>A</v>
          </cell>
          <cell r="K3785">
            <v>1</v>
          </cell>
          <cell r="L3785">
            <v>258</v>
          </cell>
          <cell r="M3785">
            <v>60056256</v>
          </cell>
          <cell r="N3785">
            <v>38811</v>
          </cell>
          <cell r="P3785" t="str">
            <v>IN6404N2S917101</v>
          </cell>
        </row>
        <row r="3786">
          <cell r="A3786">
            <v>60057940</v>
          </cell>
          <cell r="B3786">
            <v>3784</v>
          </cell>
          <cell r="C3786" t="str">
            <v>CS01/12</v>
          </cell>
          <cell r="D3786" t="str">
            <v>SPHC P/O</v>
          </cell>
          <cell r="E3786" t="str">
            <v>CA1</v>
          </cell>
          <cell r="F3786">
            <v>3.2</v>
          </cell>
          <cell r="G3786">
            <v>121</v>
          </cell>
          <cell r="H3786" t="str">
            <v>C</v>
          </cell>
          <cell r="I3786" t="str">
            <v>A</v>
          </cell>
          <cell r="K3786">
            <v>1</v>
          </cell>
          <cell r="L3786">
            <v>878</v>
          </cell>
          <cell r="M3786">
            <v>60057940</v>
          </cell>
          <cell r="N3786">
            <v>38839</v>
          </cell>
          <cell r="P3786" t="str">
            <v>IN6502D2S976301</v>
          </cell>
        </row>
        <row r="3787">
          <cell r="A3787">
            <v>60040037</v>
          </cell>
          <cell r="B3787">
            <v>3785</v>
          </cell>
          <cell r="C3787" t="str">
            <v>CS01/12</v>
          </cell>
          <cell r="D3787" t="str">
            <v>SPHC P/O</v>
          </cell>
          <cell r="E3787" t="str">
            <v>CA1</v>
          </cell>
          <cell r="F3787">
            <v>3.6</v>
          </cell>
          <cell r="G3787">
            <v>144</v>
          </cell>
          <cell r="H3787" t="str">
            <v>C</v>
          </cell>
          <cell r="I3787" t="str">
            <v>A</v>
          </cell>
          <cell r="K3787">
            <v>1</v>
          </cell>
          <cell r="L3787">
            <v>504</v>
          </cell>
          <cell r="M3787">
            <v>60040037</v>
          </cell>
          <cell r="N3787">
            <v>38600</v>
          </cell>
          <cell r="P3787" t="str">
            <v>IN5905D2S264701</v>
          </cell>
        </row>
        <row r="3788">
          <cell r="A3788">
            <v>60040051</v>
          </cell>
          <cell r="B3788">
            <v>3786</v>
          </cell>
          <cell r="C3788" t="str">
            <v>CS01/12</v>
          </cell>
          <cell r="D3788" t="str">
            <v>SPHC P/O</v>
          </cell>
          <cell r="E3788" t="str">
            <v>CA1</v>
          </cell>
          <cell r="F3788">
            <v>3.6</v>
          </cell>
          <cell r="G3788">
            <v>144</v>
          </cell>
          <cell r="H3788" t="str">
            <v>C</v>
          </cell>
          <cell r="I3788" t="str">
            <v>A</v>
          </cell>
          <cell r="K3788">
            <v>1</v>
          </cell>
          <cell r="L3788">
            <v>516</v>
          </cell>
          <cell r="M3788">
            <v>60040051</v>
          </cell>
          <cell r="N3788">
            <v>38600</v>
          </cell>
          <cell r="P3788" t="str">
            <v>IN5905D2S264702</v>
          </cell>
        </row>
        <row r="3789">
          <cell r="A3789">
            <v>60042863</v>
          </cell>
          <cell r="B3789">
            <v>3787</v>
          </cell>
          <cell r="C3789" t="str">
            <v>CS01/12</v>
          </cell>
          <cell r="D3789" t="str">
            <v>SPHC P/O</v>
          </cell>
          <cell r="E3789" t="str">
            <v>CA1</v>
          </cell>
          <cell r="F3789">
            <v>3.6</v>
          </cell>
          <cell r="G3789">
            <v>144</v>
          </cell>
          <cell r="H3789" t="str">
            <v>C</v>
          </cell>
          <cell r="I3789" t="str">
            <v>A</v>
          </cell>
          <cell r="K3789">
            <v>1</v>
          </cell>
          <cell r="L3789">
            <v>522</v>
          </cell>
          <cell r="M3789">
            <v>60042863</v>
          </cell>
          <cell r="N3789" t="str">
            <v>21/A/2005</v>
          </cell>
          <cell r="P3789" t="str">
            <v>IN5A21D2S393801</v>
          </cell>
        </row>
        <row r="3790">
          <cell r="A3790">
            <v>60042869</v>
          </cell>
          <cell r="B3790">
            <v>3788</v>
          </cell>
          <cell r="C3790" t="str">
            <v>CS01/12</v>
          </cell>
          <cell r="D3790" t="str">
            <v>SPHC P/O</v>
          </cell>
          <cell r="E3790" t="str">
            <v>CA1</v>
          </cell>
          <cell r="F3790">
            <v>3.6</v>
          </cell>
          <cell r="G3790">
            <v>144</v>
          </cell>
          <cell r="H3790" t="str">
            <v>C</v>
          </cell>
          <cell r="I3790" t="str">
            <v>A</v>
          </cell>
          <cell r="K3790">
            <v>1</v>
          </cell>
          <cell r="L3790">
            <v>518</v>
          </cell>
          <cell r="M3790">
            <v>60042869</v>
          </cell>
          <cell r="N3790" t="str">
            <v>21/A/2005</v>
          </cell>
          <cell r="P3790" t="str">
            <v>IN5A21D2S393802</v>
          </cell>
        </row>
        <row r="3791">
          <cell r="A3791">
            <v>60042878</v>
          </cell>
          <cell r="B3791">
            <v>3789</v>
          </cell>
          <cell r="C3791" t="str">
            <v>CS01/12</v>
          </cell>
          <cell r="D3791" t="str">
            <v>SPHC P/O</v>
          </cell>
          <cell r="E3791" t="str">
            <v>CA1</v>
          </cell>
          <cell r="F3791">
            <v>3.6</v>
          </cell>
          <cell r="G3791">
            <v>144</v>
          </cell>
          <cell r="H3791" t="str">
            <v>C</v>
          </cell>
          <cell r="I3791" t="str">
            <v>A</v>
          </cell>
          <cell r="K3791">
            <v>1</v>
          </cell>
          <cell r="L3791">
            <v>536</v>
          </cell>
          <cell r="M3791">
            <v>60042878</v>
          </cell>
          <cell r="N3791" t="str">
            <v>21/A/2005</v>
          </cell>
          <cell r="P3791" t="str">
            <v>IN5A21D2S393803</v>
          </cell>
        </row>
        <row r="3792">
          <cell r="A3792">
            <v>60042884</v>
          </cell>
          <cell r="B3792">
            <v>3790</v>
          </cell>
          <cell r="C3792" t="str">
            <v>CS01/12</v>
          </cell>
          <cell r="D3792" t="str">
            <v>SPHC P/O</v>
          </cell>
          <cell r="E3792" t="str">
            <v>CA1</v>
          </cell>
          <cell r="F3792">
            <v>3.6</v>
          </cell>
          <cell r="G3792">
            <v>144</v>
          </cell>
          <cell r="H3792" t="str">
            <v>C</v>
          </cell>
          <cell r="I3792" t="str">
            <v>A</v>
          </cell>
          <cell r="K3792">
            <v>1</v>
          </cell>
          <cell r="L3792">
            <v>498</v>
          </cell>
          <cell r="M3792">
            <v>60042884</v>
          </cell>
          <cell r="N3792" t="str">
            <v>21/A/2005</v>
          </cell>
          <cell r="P3792" t="str">
            <v>IN5A21D2S393804</v>
          </cell>
        </row>
        <row r="3793">
          <cell r="A3793">
            <v>60045336</v>
          </cell>
          <cell r="B3793">
            <v>3791</v>
          </cell>
          <cell r="C3793" t="str">
            <v>CS01/12</v>
          </cell>
          <cell r="D3793" t="str">
            <v>SPHC P/O</v>
          </cell>
          <cell r="E3793" t="str">
            <v>CA1</v>
          </cell>
          <cell r="F3793">
            <v>3.6</v>
          </cell>
          <cell r="G3793">
            <v>144</v>
          </cell>
          <cell r="H3793" t="str">
            <v>C</v>
          </cell>
          <cell r="I3793" t="str">
            <v>A</v>
          </cell>
          <cell r="K3793">
            <v>1</v>
          </cell>
          <cell r="L3793">
            <v>440</v>
          </cell>
          <cell r="M3793">
            <v>60045336</v>
          </cell>
          <cell r="N3793" t="str">
            <v>20/B/2005</v>
          </cell>
          <cell r="P3793" t="str">
            <v>IN5B20N2S477501</v>
          </cell>
        </row>
        <row r="3794">
          <cell r="A3794">
            <v>60065424</v>
          </cell>
          <cell r="B3794">
            <v>3792</v>
          </cell>
          <cell r="C3794" t="str">
            <v>CS01/12</v>
          </cell>
          <cell r="D3794" t="str">
            <v>SPHC P/O</v>
          </cell>
          <cell r="E3794" t="str">
            <v>CA1</v>
          </cell>
          <cell r="F3794">
            <v>4</v>
          </cell>
          <cell r="G3794">
            <v>123</v>
          </cell>
          <cell r="H3794" t="str">
            <v>C</v>
          </cell>
          <cell r="I3794" t="str">
            <v>A</v>
          </cell>
          <cell r="K3794">
            <v>1</v>
          </cell>
          <cell r="L3794">
            <v>302</v>
          </cell>
          <cell r="M3794">
            <v>60065424</v>
          </cell>
          <cell r="N3794">
            <v>38933</v>
          </cell>
          <cell r="P3794" t="str">
            <v>IN6804D2S266201</v>
          </cell>
        </row>
        <row r="3795">
          <cell r="A3795">
            <v>60063523</v>
          </cell>
          <cell r="B3795">
            <v>3793</v>
          </cell>
          <cell r="C3795" t="str">
            <v>CS01/12</v>
          </cell>
          <cell r="D3795" t="str">
            <v>SPHC P/O</v>
          </cell>
          <cell r="E3795" t="str">
            <v>CA1</v>
          </cell>
          <cell r="F3795">
            <v>4</v>
          </cell>
          <cell r="G3795">
            <v>124</v>
          </cell>
          <cell r="H3795" t="str">
            <v>C</v>
          </cell>
          <cell r="I3795" t="str">
            <v>A</v>
          </cell>
          <cell r="K3795">
            <v>1</v>
          </cell>
          <cell r="L3795">
            <v>548</v>
          </cell>
          <cell r="M3795">
            <v>60063523</v>
          </cell>
          <cell r="N3795">
            <v>38912</v>
          </cell>
          <cell r="P3795" t="str">
            <v>IN6714N2S197601</v>
          </cell>
        </row>
        <row r="3796">
          <cell r="A3796">
            <v>60058513</v>
          </cell>
          <cell r="B3796">
            <v>3794</v>
          </cell>
          <cell r="C3796" t="str">
            <v>CS01/12</v>
          </cell>
          <cell r="D3796" t="str">
            <v>SPHC P/O</v>
          </cell>
          <cell r="E3796" t="str">
            <v>CA1</v>
          </cell>
          <cell r="F3796">
            <v>4</v>
          </cell>
          <cell r="G3796">
            <v>160</v>
          </cell>
          <cell r="H3796" t="str">
            <v>C</v>
          </cell>
          <cell r="I3796" t="str">
            <v>A</v>
          </cell>
          <cell r="K3796">
            <v>1</v>
          </cell>
          <cell r="L3796">
            <v>1156</v>
          </cell>
          <cell r="M3796">
            <v>60058513</v>
          </cell>
          <cell r="N3796">
            <v>38844</v>
          </cell>
          <cell r="P3796" t="str">
            <v>IN6507N2S997801</v>
          </cell>
        </row>
        <row r="3797">
          <cell r="A3797">
            <v>60058543</v>
          </cell>
          <cell r="B3797">
            <v>3795</v>
          </cell>
          <cell r="C3797" t="str">
            <v>CS01/12</v>
          </cell>
          <cell r="D3797" t="str">
            <v>SPHC P/O</v>
          </cell>
          <cell r="E3797" t="str">
            <v>CA1</v>
          </cell>
          <cell r="F3797">
            <v>4</v>
          </cell>
          <cell r="G3797">
            <v>160</v>
          </cell>
          <cell r="H3797" t="str">
            <v>C</v>
          </cell>
          <cell r="I3797" t="str">
            <v>A</v>
          </cell>
          <cell r="K3797">
            <v>1</v>
          </cell>
          <cell r="L3797">
            <v>1146</v>
          </cell>
          <cell r="M3797">
            <v>60058543</v>
          </cell>
          <cell r="N3797">
            <v>38844</v>
          </cell>
          <cell r="P3797" t="str">
            <v>IN6507N2S997802</v>
          </cell>
        </row>
        <row r="3798">
          <cell r="A3798">
            <v>60043776</v>
          </cell>
          <cell r="B3798">
            <v>3796</v>
          </cell>
          <cell r="C3798" t="str">
            <v>CS01/12</v>
          </cell>
          <cell r="D3798" t="str">
            <v>SPHC P/O</v>
          </cell>
          <cell r="E3798" t="str">
            <v>CA1</v>
          </cell>
          <cell r="F3798">
            <v>4.5</v>
          </cell>
          <cell r="G3798">
            <v>72</v>
          </cell>
          <cell r="H3798" t="str">
            <v>C</v>
          </cell>
          <cell r="I3798" t="str">
            <v>A</v>
          </cell>
          <cell r="K3798">
            <v>1</v>
          </cell>
          <cell r="L3798">
            <v>628</v>
          </cell>
          <cell r="M3798">
            <v>60043776</v>
          </cell>
          <cell r="N3798" t="str">
            <v>4/B/2005</v>
          </cell>
          <cell r="P3798" t="str">
            <v>IN5B04D2S440401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"/>
      <sheetName val="Raw all"/>
      <sheetName val=" fg all"/>
      <sheetName val="grb"/>
      <sheetName val="gr5"/>
      <sheetName val="nc"/>
      <sheetName val="SEMI WIP"/>
      <sheetName val="fg 2006 มีลูกค้า"/>
      <sheetName val="SEMI SALE 2005"/>
      <sheetName val="fg over 2005"/>
      <sheetName val="sep"/>
      <sheetName val="2005 By Cust."/>
      <sheetName val="ม้วนกลับ check จริง "/>
      <sheetName val="rct po 09"/>
      <sheetName val="Raw Good"/>
      <sheetName val="Raw nc"/>
      <sheetName val="recoil 9 "/>
      <sheetName val="NC SLIT"/>
      <sheetName val="NC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Lot</v>
          </cell>
        </row>
        <row r="2">
          <cell r="A2">
            <v>103117</v>
          </cell>
        </row>
        <row r="3">
          <cell r="A3">
            <v>104504</v>
          </cell>
        </row>
        <row r="4">
          <cell r="A4">
            <v>205584</v>
          </cell>
        </row>
        <row r="5">
          <cell r="A5">
            <v>23001506</v>
          </cell>
        </row>
        <row r="6">
          <cell r="A6">
            <v>23003145</v>
          </cell>
        </row>
        <row r="7">
          <cell r="A7">
            <v>23003890</v>
          </cell>
        </row>
        <row r="8">
          <cell r="A8">
            <v>23005928</v>
          </cell>
        </row>
        <row r="9">
          <cell r="A9">
            <v>23006166</v>
          </cell>
        </row>
        <row r="10">
          <cell r="A10">
            <v>23006167</v>
          </cell>
        </row>
        <row r="11">
          <cell r="A11">
            <v>23007307</v>
          </cell>
        </row>
        <row r="12">
          <cell r="A12">
            <v>23008207</v>
          </cell>
        </row>
        <row r="13">
          <cell r="A13">
            <v>23008320</v>
          </cell>
        </row>
        <row r="14">
          <cell r="A14">
            <v>23008536</v>
          </cell>
        </row>
        <row r="15">
          <cell r="A15">
            <v>23009425</v>
          </cell>
        </row>
        <row r="16">
          <cell r="A16">
            <v>23009741</v>
          </cell>
        </row>
        <row r="17">
          <cell r="A17">
            <v>23009824</v>
          </cell>
        </row>
        <row r="18">
          <cell r="A18">
            <v>23009895</v>
          </cell>
        </row>
        <row r="19">
          <cell r="A19">
            <v>23010487</v>
          </cell>
        </row>
        <row r="20">
          <cell r="A20">
            <v>23010639</v>
          </cell>
        </row>
        <row r="21">
          <cell r="A21">
            <v>23010764</v>
          </cell>
        </row>
        <row r="22">
          <cell r="A22">
            <v>23010805</v>
          </cell>
        </row>
        <row r="23">
          <cell r="A23">
            <v>23011006</v>
          </cell>
        </row>
        <row r="24">
          <cell r="A24">
            <v>23011013</v>
          </cell>
        </row>
        <row r="25">
          <cell r="A25">
            <v>23011055</v>
          </cell>
        </row>
        <row r="26">
          <cell r="A26">
            <v>23011200</v>
          </cell>
        </row>
        <row r="27">
          <cell r="A27">
            <v>23011337</v>
          </cell>
        </row>
        <row r="28">
          <cell r="A28">
            <v>23011390</v>
          </cell>
        </row>
        <row r="29">
          <cell r="A29">
            <v>23011487</v>
          </cell>
        </row>
        <row r="30">
          <cell r="A30">
            <v>23011488</v>
          </cell>
        </row>
        <row r="31">
          <cell r="A31">
            <v>23011544</v>
          </cell>
        </row>
        <row r="32">
          <cell r="A32">
            <v>23011552</v>
          </cell>
        </row>
        <row r="33">
          <cell r="A33">
            <v>23011672</v>
          </cell>
        </row>
        <row r="34">
          <cell r="A34">
            <v>23011731</v>
          </cell>
        </row>
        <row r="35">
          <cell r="A35">
            <v>23011767</v>
          </cell>
        </row>
        <row r="36">
          <cell r="A36">
            <v>23012117</v>
          </cell>
        </row>
        <row r="37">
          <cell r="A37">
            <v>23012648</v>
          </cell>
        </row>
        <row r="38">
          <cell r="A38">
            <v>23012980</v>
          </cell>
        </row>
        <row r="39">
          <cell r="A39">
            <v>23013159</v>
          </cell>
        </row>
        <row r="40">
          <cell r="A40">
            <v>23013176</v>
          </cell>
        </row>
        <row r="41">
          <cell r="A41">
            <v>23013317</v>
          </cell>
        </row>
        <row r="42">
          <cell r="A42">
            <v>23013366</v>
          </cell>
        </row>
        <row r="43">
          <cell r="A43">
            <v>23013390</v>
          </cell>
        </row>
        <row r="44">
          <cell r="A44">
            <v>23013428</v>
          </cell>
        </row>
        <row r="45">
          <cell r="A45">
            <v>23013429</v>
          </cell>
        </row>
        <row r="46">
          <cell r="A46">
            <v>23013526</v>
          </cell>
        </row>
        <row r="47">
          <cell r="A47">
            <v>23013535</v>
          </cell>
        </row>
        <row r="48">
          <cell r="A48">
            <v>23013681</v>
          </cell>
        </row>
        <row r="49">
          <cell r="A49">
            <v>23013721</v>
          </cell>
        </row>
        <row r="50">
          <cell r="A50">
            <v>23013737</v>
          </cell>
        </row>
        <row r="51">
          <cell r="A51">
            <v>23013828</v>
          </cell>
        </row>
        <row r="52">
          <cell r="A52">
            <v>23014114</v>
          </cell>
        </row>
        <row r="53">
          <cell r="A53">
            <v>23014140</v>
          </cell>
        </row>
        <row r="54">
          <cell r="A54">
            <v>23014147</v>
          </cell>
        </row>
        <row r="55">
          <cell r="A55">
            <v>23014170</v>
          </cell>
        </row>
        <row r="56">
          <cell r="A56">
            <v>23014413</v>
          </cell>
        </row>
        <row r="57">
          <cell r="A57">
            <v>23014590</v>
          </cell>
        </row>
        <row r="58">
          <cell r="A58">
            <v>23014625</v>
          </cell>
        </row>
        <row r="59">
          <cell r="A59">
            <v>23014660</v>
          </cell>
        </row>
        <row r="60">
          <cell r="A60">
            <v>23014665</v>
          </cell>
        </row>
        <row r="61">
          <cell r="A61">
            <v>23014705</v>
          </cell>
        </row>
        <row r="62">
          <cell r="A62">
            <v>23014738</v>
          </cell>
        </row>
        <row r="63">
          <cell r="A63">
            <v>23014750</v>
          </cell>
        </row>
        <row r="64">
          <cell r="A64">
            <v>23014836</v>
          </cell>
        </row>
        <row r="65">
          <cell r="A65">
            <v>23015006</v>
          </cell>
        </row>
        <row r="66">
          <cell r="A66">
            <v>23015202</v>
          </cell>
        </row>
        <row r="67">
          <cell r="A67">
            <v>23015408</v>
          </cell>
        </row>
        <row r="68">
          <cell r="A68">
            <v>23015511</v>
          </cell>
        </row>
        <row r="69">
          <cell r="A69">
            <v>23015544</v>
          </cell>
        </row>
        <row r="70">
          <cell r="A70">
            <v>23015629</v>
          </cell>
        </row>
        <row r="71">
          <cell r="A71">
            <v>23015644</v>
          </cell>
        </row>
        <row r="72">
          <cell r="A72">
            <v>23015646</v>
          </cell>
        </row>
        <row r="73">
          <cell r="A73">
            <v>23015676</v>
          </cell>
        </row>
        <row r="74">
          <cell r="A74">
            <v>23016094</v>
          </cell>
        </row>
        <row r="75">
          <cell r="A75">
            <v>23016135</v>
          </cell>
        </row>
        <row r="76">
          <cell r="A76">
            <v>23016141</v>
          </cell>
        </row>
        <row r="77">
          <cell r="A77">
            <v>23016160</v>
          </cell>
        </row>
        <row r="78">
          <cell r="A78">
            <v>23016163</v>
          </cell>
        </row>
        <row r="79">
          <cell r="A79">
            <v>23016572</v>
          </cell>
        </row>
        <row r="80">
          <cell r="A80">
            <v>23016626</v>
          </cell>
        </row>
        <row r="81">
          <cell r="A81">
            <v>23016627</v>
          </cell>
        </row>
        <row r="82">
          <cell r="A82">
            <v>23016628</v>
          </cell>
        </row>
        <row r="83">
          <cell r="A83">
            <v>23016631</v>
          </cell>
        </row>
        <row r="84">
          <cell r="A84">
            <v>23016641</v>
          </cell>
        </row>
        <row r="85">
          <cell r="A85">
            <v>23017262</v>
          </cell>
        </row>
        <row r="86">
          <cell r="A86">
            <v>23017406</v>
          </cell>
        </row>
        <row r="87">
          <cell r="A87">
            <v>23017408</v>
          </cell>
        </row>
        <row r="88">
          <cell r="A88">
            <v>23017439</v>
          </cell>
        </row>
        <row r="89">
          <cell r="A89">
            <v>23017465</v>
          </cell>
        </row>
        <row r="90">
          <cell r="A90">
            <v>23018068</v>
          </cell>
        </row>
        <row r="91">
          <cell r="A91">
            <v>23018250</v>
          </cell>
        </row>
        <row r="92">
          <cell r="A92">
            <v>23018261</v>
          </cell>
        </row>
        <row r="93">
          <cell r="A93">
            <v>23018267</v>
          </cell>
        </row>
        <row r="94">
          <cell r="A94">
            <v>23018268</v>
          </cell>
        </row>
        <row r="95">
          <cell r="A95">
            <v>23018301</v>
          </cell>
        </row>
        <row r="96">
          <cell r="A96">
            <v>23018302</v>
          </cell>
        </row>
        <row r="97">
          <cell r="A97">
            <v>23018304</v>
          </cell>
        </row>
        <row r="98">
          <cell r="A98">
            <v>23018510</v>
          </cell>
        </row>
        <row r="99">
          <cell r="A99">
            <v>23018513</v>
          </cell>
        </row>
        <row r="100">
          <cell r="A100">
            <v>23018542</v>
          </cell>
        </row>
        <row r="101">
          <cell r="A101">
            <v>23018916</v>
          </cell>
        </row>
        <row r="102">
          <cell r="A102">
            <v>23019003</v>
          </cell>
        </row>
        <row r="103">
          <cell r="A103">
            <v>23019023</v>
          </cell>
        </row>
        <row r="104">
          <cell r="A104">
            <v>23019078</v>
          </cell>
        </row>
        <row r="105">
          <cell r="A105">
            <v>23019339</v>
          </cell>
        </row>
        <row r="106">
          <cell r="A106">
            <v>23019558</v>
          </cell>
        </row>
        <row r="107">
          <cell r="A107">
            <v>23019818</v>
          </cell>
        </row>
        <row r="108">
          <cell r="A108">
            <v>23019850</v>
          </cell>
        </row>
        <row r="109">
          <cell r="A109">
            <v>23019867</v>
          </cell>
        </row>
        <row r="110">
          <cell r="A110">
            <v>23019874</v>
          </cell>
        </row>
        <row r="111">
          <cell r="A111">
            <v>23020012</v>
          </cell>
        </row>
        <row r="112">
          <cell r="A112">
            <v>23020073</v>
          </cell>
        </row>
        <row r="113">
          <cell r="A113">
            <v>23020263</v>
          </cell>
        </row>
        <row r="114">
          <cell r="A114">
            <v>23020288</v>
          </cell>
        </row>
        <row r="115">
          <cell r="A115">
            <v>23020357</v>
          </cell>
        </row>
        <row r="116">
          <cell r="A116">
            <v>23020633</v>
          </cell>
        </row>
        <row r="117">
          <cell r="A117">
            <v>23020723</v>
          </cell>
        </row>
        <row r="118">
          <cell r="A118">
            <v>23020804</v>
          </cell>
        </row>
        <row r="119">
          <cell r="A119">
            <v>23020862</v>
          </cell>
        </row>
        <row r="120">
          <cell r="A120">
            <v>23020863</v>
          </cell>
        </row>
        <row r="121">
          <cell r="A121">
            <v>23020869</v>
          </cell>
        </row>
        <row r="122">
          <cell r="A122">
            <v>23020870</v>
          </cell>
        </row>
        <row r="123">
          <cell r="A123">
            <v>23020871</v>
          </cell>
        </row>
        <row r="124">
          <cell r="A124">
            <v>23020872</v>
          </cell>
        </row>
        <row r="125">
          <cell r="A125">
            <v>23020950</v>
          </cell>
        </row>
        <row r="126">
          <cell r="A126">
            <v>23020957</v>
          </cell>
        </row>
        <row r="127">
          <cell r="A127">
            <v>23021024</v>
          </cell>
        </row>
        <row r="128">
          <cell r="A128">
            <v>23021039</v>
          </cell>
        </row>
        <row r="129">
          <cell r="A129">
            <v>23021096</v>
          </cell>
        </row>
        <row r="130">
          <cell r="A130">
            <v>23021171</v>
          </cell>
        </row>
        <row r="131">
          <cell r="A131">
            <v>23021226</v>
          </cell>
        </row>
        <row r="132">
          <cell r="A132">
            <v>23021261</v>
          </cell>
        </row>
        <row r="133">
          <cell r="A133">
            <v>23021337</v>
          </cell>
        </row>
        <row r="134">
          <cell r="A134">
            <v>60006864</v>
          </cell>
        </row>
        <row r="135">
          <cell r="A135">
            <v>230201166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"/>
      <sheetName val="FORM"/>
      <sheetName val="BLANK"/>
      <sheetName val="PIVOT STRIP"/>
      <sheetName val="project press part"/>
      <sheetName val="MRP end August 09"/>
      <sheetName val="DEATH STOCK"/>
      <sheetName val="COVER STOCK"/>
      <sheetName val="UNCOVERED STOCK"/>
      <sheetName val="TOTOL MOVE DIE"/>
    </sheetNames>
    <sheetDataSet>
      <sheetData sheetId="0">
        <row r="5">
          <cell r="A5" t="str">
            <v>F11333-KGH-9000</v>
          </cell>
          <cell r="B5">
            <v>800</v>
          </cell>
        </row>
        <row r="6">
          <cell r="A6" t="str">
            <v>F1P7-E4718-00-02</v>
          </cell>
          <cell r="B6">
            <v>600</v>
          </cell>
        </row>
        <row r="7">
          <cell r="A7" t="str">
            <v>F1P7-E4718-00-2</v>
          </cell>
          <cell r="B7">
            <v>600</v>
          </cell>
        </row>
        <row r="8">
          <cell r="A8" t="str">
            <v>F1P7-E471K-00</v>
          </cell>
          <cell r="B8">
            <v>1000</v>
          </cell>
        </row>
        <row r="9">
          <cell r="A9" t="str">
            <v>F2303430-03</v>
          </cell>
          <cell r="B9">
            <v>1300</v>
          </cell>
        </row>
        <row r="10">
          <cell r="A10" t="str">
            <v>F24701-KPP-900</v>
          </cell>
          <cell r="B10">
            <v>500</v>
          </cell>
        </row>
        <row r="11">
          <cell r="A11" t="str">
            <v>F24701-KPP-9000</v>
          </cell>
          <cell r="B11">
            <v>500</v>
          </cell>
        </row>
        <row r="12">
          <cell r="A12" t="str">
            <v>F2JH-F2134-00</v>
          </cell>
          <cell r="B12">
            <v>500</v>
          </cell>
        </row>
        <row r="13">
          <cell r="A13" t="str">
            <v>F4NR-F2353-00</v>
          </cell>
          <cell r="B13">
            <v>500</v>
          </cell>
        </row>
        <row r="14">
          <cell r="A14" t="str">
            <v>F4YS-F2150-00</v>
          </cell>
          <cell r="B14">
            <v>4000</v>
          </cell>
        </row>
        <row r="15">
          <cell r="A15" t="str">
            <v>F50133-KPH7000H101</v>
          </cell>
          <cell r="B15">
            <v>8000</v>
          </cell>
        </row>
        <row r="16">
          <cell r="A16" t="str">
            <v>F50149-KPHV-651010</v>
          </cell>
          <cell r="B16">
            <v>800</v>
          </cell>
        </row>
        <row r="17">
          <cell r="A17" t="str">
            <v>F50157-KPWA-9000</v>
          </cell>
          <cell r="B17">
            <v>5000</v>
          </cell>
        </row>
        <row r="18">
          <cell r="A18" t="str">
            <v>F50206-GEZ-3002</v>
          </cell>
          <cell r="B18">
            <v>500</v>
          </cell>
        </row>
        <row r="19">
          <cell r="A19" t="str">
            <v>F50500-KGHA-900006</v>
          </cell>
          <cell r="B19">
            <v>2400</v>
          </cell>
        </row>
        <row r="20">
          <cell r="A20" t="str">
            <v>F50500-KGHA-900007</v>
          </cell>
          <cell r="B20">
            <v>2400</v>
          </cell>
        </row>
        <row r="21">
          <cell r="A21" t="str">
            <v>F53100-KRSH-690102</v>
          </cell>
          <cell r="B21">
            <v>400</v>
          </cell>
        </row>
        <row r="22">
          <cell r="A22" t="str">
            <v>F5MY-F1382-00</v>
          </cell>
          <cell r="B22">
            <v>500</v>
          </cell>
        </row>
        <row r="23">
          <cell r="A23" t="str">
            <v>F5MY-F139V-00</v>
          </cell>
          <cell r="B23">
            <v>1000</v>
          </cell>
        </row>
        <row r="24">
          <cell r="A24" t="str">
            <v>F5MY-F6393-00</v>
          </cell>
          <cell r="B24">
            <v>6000</v>
          </cell>
        </row>
        <row r="25">
          <cell r="A25" t="str">
            <v>F5TN-E471R-00</v>
          </cell>
          <cell r="B25">
            <v>1000</v>
          </cell>
        </row>
        <row r="26">
          <cell r="A26" t="str">
            <v>F5TN-E472K-00</v>
          </cell>
          <cell r="B26">
            <v>1600</v>
          </cell>
        </row>
        <row r="27">
          <cell r="A27" t="str">
            <v>F5TN-E476A-00</v>
          </cell>
          <cell r="B27">
            <v>1600</v>
          </cell>
        </row>
        <row r="28">
          <cell r="A28" t="str">
            <v>F5TN-E4771-00</v>
          </cell>
          <cell r="B28">
            <v>2000</v>
          </cell>
        </row>
        <row r="29">
          <cell r="A29" t="str">
            <v>F5TN-E4772-00</v>
          </cell>
          <cell r="B29">
            <v>2000</v>
          </cell>
        </row>
        <row r="30">
          <cell r="A30" t="str">
            <v>F5TN-F1113-00</v>
          </cell>
          <cell r="B30">
            <v>450</v>
          </cell>
        </row>
        <row r="31">
          <cell r="A31" t="str">
            <v>F5TN-F1136-00</v>
          </cell>
          <cell r="B31">
            <v>500</v>
          </cell>
        </row>
        <row r="32">
          <cell r="A32" t="str">
            <v>F5TN-F117K</v>
          </cell>
          <cell r="B32">
            <v>500</v>
          </cell>
        </row>
        <row r="33">
          <cell r="A33" t="str">
            <v>F5TN-F1359-00</v>
          </cell>
          <cell r="B33">
            <v>200</v>
          </cell>
        </row>
        <row r="34">
          <cell r="A34" t="str">
            <v>F5TN-F139N-00</v>
          </cell>
          <cell r="B34">
            <v>500</v>
          </cell>
        </row>
        <row r="35">
          <cell r="A35" t="str">
            <v>F5TN-F141E-00</v>
          </cell>
          <cell r="B35">
            <v>400</v>
          </cell>
        </row>
        <row r="36">
          <cell r="A36" t="str">
            <v>F5TN-F1429-00</v>
          </cell>
          <cell r="B36">
            <v>500</v>
          </cell>
        </row>
        <row r="37">
          <cell r="A37" t="str">
            <v>F5TN-F1587-00</v>
          </cell>
          <cell r="B37">
            <v>500</v>
          </cell>
        </row>
        <row r="38">
          <cell r="A38" t="str">
            <v>F5TN-F2171-00</v>
          </cell>
          <cell r="B38">
            <v>106</v>
          </cell>
        </row>
        <row r="39">
          <cell r="A39" t="str">
            <v>F5TN-F539F-00-2</v>
          </cell>
          <cell r="B39">
            <v>900</v>
          </cell>
        </row>
        <row r="40">
          <cell r="A40" t="str">
            <v>F5TN-F7314-00</v>
          </cell>
          <cell r="B40">
            <v>600</v>
          </cell>
        </row>
        <row r="41">
          <cell r="A41" t="str">
            <v>F5VV-F1117-00</v>
          </cell>
          <cell r="B41">
            <v>6000</v>
          </cell>
        </row>
        <row r="42">
          <cell r="A42" t="str">
            <v>F5VV-F111H-00</v>
          </cell>
          <cell r="B42">
            <v>11600</v>
          </cell>
        </row>
        <row r="43">
          <cell r="A43" t="str">
            <v>F5VV-F1287-00</v>
          </cell>
          <cell r="B43">
            <v>7500</v>
          </cell>
        </row>
        <row r="44">
          <cell r="A44" t="str">
            <v>F5VV-F1369-00</v>
          </cell>
          <cell r="B44">
            <v>800</v>
          </cell>
        </row>
        <row r="45">
          <cell r="A45" t="str">
            <v>F5VV-F1458-00</v>
          </cell>
          <cell r="B45">
            <v>10000</v>
          </cell>
        </row>
        <row r="46">
          <cell r="A46" t="str">
            <v>F5VV-F149E-00</v>
          </cell>
          <cell r="B46">
            <v>9000</v>
          </cell>
        </row>
        <row r="47">
          <cell r="A47" t="str">
            <v>F5YP-F1134-00</v>
          </cell>
          <cell r="B47">
            <v>1700</v>
          </cell>
        </row>
        <row r="48">
          <cell r="A48" t="str">
            <v>F5YP-F1147-00</v>
          </cell>
          <cell r="B48">
            <v>500</v>
          </cell>
        </row>
        <row r="49">
          <cell r="A49" t="str">
            <v>F5YP-F1148-00</v>
          </cell>
          <cell r="B49">
            <v>500</v>
          </cell>
        </row>
        <row r="50">
          <cell r="A50" t="str">
            <v>F5YP-F115K-00</v>
          </cell>
          <cell r="B50">
            <v>500</v>
          </cell>
        </row>
        <row r="51">
          <cell r="A51" t="str">
            <v>F5YP-F116B-00</v>
          </cell>
          <cell r="B51">
            <v>800</v>
          </cell>
        </row>
        <row r="52">
          <cell r="A52" t="str">
            <v>F5YP-F116E-00</v>
          </cell>
          <cell r="B52">
            <v>800</v>
          </cell>
        </row>
        <row r="53">
          <cell r="A53" t="str">
            <v>F5YP-F1183-00</v>
          </cell>
          <cell r="B53">
            <v>600</v>
          </cell>
        </row>
        <row r="54">
          <cell r="A54" t="str">
            <v>F5YP-F1319-00</v>
          </cell>
          <cell r="B54">
            <v>400</v>
          </cell>
        </row>
        <row r="55">
          <cell r="A55" t="str">
            <v>F5YP-F131L-00</v>
          </cell>
          <cell r="B55">
            <v>600</v>
          </cell>
        </row>
        <row r="56">
          <cell r="A56" t="str">
            <v>F5YP-F134M-00</v>
          </cell>
          <cell r="B56">
            <v>300</v>
          </cell>
        </row>
        <row r="57">
          <cell r="A57" t="str">
            <v>F5YP-F134N-00</v>
          </cell>
          <cell r="B57">
            <v>400</v>
          </cell>
        </row>
        <row r="58">
          <cell r="A58" t="str">
            <v>F5YP-F1382-00</v>
          </cell>
          <cell r="B58">
            <v>300</v>
          </cell>
        </row>
        <row r="59">
          <cell r="A59" t="str">
            <v>F5YP-F139G-00</v>
          </cell>
          <cell r="B59">
            <v>800</v>
          </cell>
        </row>
        <row r="60">
          <cell r="A60" t="str">
            <v>F5YP-F141E-00</v>
          </cell>
          <cell r="B60">
            <v>1400</v>
          </cell>
        </row>
        <row r="61">
          <cell r="A61" t="str">
            <v>F5YP-F142M-00</v>
          </cell>
          <cell r="B61">
            <v>600</v>
          </cell>
        </row>
        <row r="62">
          <cell r="A62" t="str">
            <v>F5YP-F142N-00</v>
          </cell>
          <cell r="B62">
            <v>400</v>
          </cell>
        </row>
        <row r="63">
          <cell r="A63" t="str">
            <v>F5YP-F1441-00</v>
          </cell>
          <cell r="B63">
            <v>500</v>
          </cell>
        </row>
        <row r="64">
          <cell r="A64" t="str">
            <v>F5YP-F1446-00</v>
          </cell>
          <cell r="B64">
            <v>400</v>
          </cell>
        </row>
        <row r="65">
          <cell r="A65" t="str">
            <v>F5YP-F144F-00</v>
          </cell>
          <cell r="B65">
            <v>400</v>
          </cell>
        </row>
        <row r="66">
          <cell r="A66" t="str">
            <v>F5YP-F1455-00</v>
          </cell>
          <cell r="B66">
            <v>400</v>
          </cell>
        </row>
        <row r="67">
          <cell r="A67" t="str">
            <v>F5YP-F2111-00</v>
          </cell>
          <cell r="B67">
            <v>400</v>
          </cell>
        </row>
        <row r="68">
          <cell r="A68" t="str">
            <v>F5YP-F2112-00</v>
          </cell>
          <cell r="B68">
            <v>400</v>
          </cell>
        </row>
        <row r="69">
          <cell r="A69" t="str">
            <v>F5YP-F2113-00</v>
          </cell>
          <cell r="B69">
            <v>400</v>
          </cell>
        </row>
        <row r="70">
          <cell r="A70" t="str">
            <v>F5YP-F2114-00</v>
          </cell>
          <cell r="B70">
            <v>400</v>
          </cell>
        </row>
        <row r="71">
          <cell r="A71" t="str">
            <v>F5YP-F2132-00</v>
          </cell>
          <cell r="B71">
            <v>500</v>
          </cell>
        </row>
        <row r="72">
          <cell r="A72" t="str">
            <v>F5YP-F213E-00</v>
          </cell>
          <cell r="B72">
            <v>600</v>
          </cell>
        </row>
        <row r="73">
          <cell r="A73" t="str">
            <v>F5YP-F2150-00</v>
          </cell>
          <cell r="B73">
            <v>400</v>
          </cell>
        </row>
        <row r="74">
          <cell r="A74" t="str">
            <v>F5YP-F2153-00</v>
          </cell>
          <cell r="B74">
            <v>800</v>
          </cell>
        </row>
        <row r="75">
          <cell r="A75" t="str">
            <v>F5YP-F2167-00</v>
          </cell>
          <cell r="B75">
            <v>1000</v>
          </cell>
        </row>
        <row r="76">
          <cell r="A76" t="str">
            <v>P4D0-F146R-00</v>
          </cell>
          <cell r="B76">
            <v>10800</v>
          </cell>
        </row>
        <row r="77">
          <cell r="A77" t="str">
            <v>P50100-KPHA-9000</v>
          </cell>
          <cell r="B77">
            <v>1000</v>
          </cell>
        </row>
        <row r="78">
          <cell r="A78" t="str">
            <v>P50111-KPHX-7000</v>
          </cell>
          <cell r="B78">
            <v>5500</v>
          </cell>
        </row>
        <row r="79">
          <cell r="A79" t="str">
            <v>P50125-KGHA-900003</v>
          </cell>
          <cell r="B79">
            <v>1000</v>
          </cell>
        </row>
        <row r="80">
          <cell r="A80" t="str">
            <v>P50127-KEV-9000-H1</v>
          </cell>
          <cell r="B80">
            <v>15000</v>
          </cell>
        </row>
        <row r="81">
          <cell r="A81" t="str">
            <v>P50183-KPW-9000-H1</v>
          </cell>
          <cell r="B81">
            <v>1920</v>
          </cell>
        </row>
        <row r="82">
          <cell r="A82" t="str">
            <v>P50500-KGHA-9000</v>
          </cell>
          <cell r="B82">
            <v>2500</v>
          </cell>
        </row>
        <row r="83">
          <cell r="A83" t="str">
            <v>P50500-KGHA-900012</v>
          </cell>
          <cell r="B83">
            <v>2400</v>
          </cell>
        </row>
        <row r="84">
          <cell r="A84" t="str">
            <v>P50500-KGHA-9000H1</v>
          </cell>
          <cell r="B84">
            <v>2100</v>
          </cell>
        </row>
        <row r="85">
          <cell r="A85" t="str">
            <v>P50500-KGHG-900002</v>
          </cell>
          <cell r="B85">
            <v>1000</v>
          </cell>
        </row>
        <row r="86">
          <cell r="A86" t="str">
            <v>P5LN-F112L-00</v>
          </cell>
          <cell r="B86">
            <v>500</v>
          </cell>
        </row>
        <row r="87">
          <cell r="A87" t="str">
            <v>P5YP-F1216-00</v>
          </cell>
          <cell r="B87">
            <v>300</v>
          </cell>
        </row>
        <row r="88">
          <cell r="A88" t="str">
            <v>P5YP-F1312-00</v>
          </cell>
          <cell r="B88">
            <v>400</v>
          </cell>
        </row>
        <row r="89">
          <cell r="A89" t="str">
            <v>F5YP-F2187-00</v>
          </cell>
          <cell r="B89">
            <v>500</v>
          </cell>
        </row>
      </sheetData>
      <sheetData sheetId="1">
        <row r="3">
          <cell r="A3" t="str">
            <v>ผลรวม ของ Qty On Hand</v>
          </cell>
          <cell r="B3" t="str">
            <v>STATUS</v>
          </cell>
        </row>
        <row r="4">
          <cell r="A4" t="str">
            <v>Item Number</v>
          </cell>
          <cell r="B4" t="str">
            <v>FG FORM</v>
          </cell>
          <cell r="C4" t="str">
            <v>NC FORM</v>
          </cell>
          <cell r="D4" t="str">
            <v>NG FORM</v>
          </cell>
          <cell r="E4" t="str">
            <v>ผลรวมทั้งหมด</v>
          </cell>
        </row>
        <row r="5">
          <cell r="A5" t="str">
            <v>F11333-KGH-9000</v>
          </cell>
          <cell r="B5">
            <v>1437</v>
          </cell>
          <cell r="E5">
            <v>1437</v>
          </cell>
        </row>
        <row r="6">
          <cell r="A6" t="str">
            <v>F1P7-E4718-00-02</v>
          </cell>
          <cell r="B6">
            <v>108</v>
          </cell>
          <cell r="E6">
            <v>108</v>
          </cell>
        </row>
        <row r="7">
          <cell r="A7" t="str">
            <v>F1P7-E4718-00-2</v>
          </cell>
          <cell r="B7">
            <v>1347</v>
          </cell>
          <cell r="E7">
            <v>1347</v>
          </cell>
        </row>
        <row r="8">
          <cell r="A8" t="str">
            <v>F1P7-E471K-00</v>
          </cell>
          <cell r="B8">
            <v>640</v>
          </cell>
          <cell r="E8">
            <v>640</v>
          </cell>
        </row>
        <row r="9">
          <cell r="A9" t="str">
            <v>F1P7-F1158-00</v>
          </cell>
          <cell r="B9">
            <v>558</v>
          </cell>
          <cell r="E9">
            <v>558</v>
          </cell>
        </row>
        <row r="10">
          <cell r="A10" t="str">
            <v>F1P7-F115K-00</v>
          </cell>
          <cell r="B10">
            <v>134</v>
          </cell>
          <cell r="E10">
            <v>134</v>
          </cell>
        </row>
        <row r="11">
          <cell r="A11" t="str">
            <v>F1P7-F116J-00</v>
          </cell>
          <cell r="B11">
            <v>1881</v>
          </cell>
          <cell r="E11">
            <v>1881</v>
          </cell>
        </row>
        <row r="12">
          <cell r="A12" t="str">
            <v>F1P7-F1249-00</v>
          </cell>
          <cell r="B12">
            <v>808</v>
          </cell>
          <cell r="E12">
            <v>808</v>
          </cell>
        </row>
        <row r="13">
          <cell r="A13" t="str">
            <v>F1P7-F131L-00</v>
          </cell>
          <cell r="B13">
            <v>1313</v>
          </cell>
          <cell r="E13">
            <v>1313</v>
          </cell>
        </row>
        <row r="14">
          <cell r="A14" t="str">
            <v>F1P7-F134M-00</v>
          </cell>
          <cell r="B14">
            <v>909</v>
          </cell>
          <cell r="E14">
            <v>909</v>
          </cell>
        </row>
        <row r="15">
          <cell r="A15" t="str">
            <v>F1P7-F1369-00</v>
          </cell>
          <cell r="B15">
            <v>119</v>
          </cell>
          <cell r="E15">
            <v>119</v>
          </cell>
        </row>
        <row r="16">
          <cell r="A16" t="str">
            <v>F1P7-F139F-00</v>
          </cell>
          <cell r="B16">
            <v>1113</v>
          </cell>
          <cell r="E16">
            <v>1113</v>
          </cell>
        </row>
        <row r="17">
          <cell r="A17" t="str">
            <v>F1P7-F139N-00-01</v>
          </cell>
          <cell r="B17">
            <v>1070</v>
          </cell>
          <cell r="E17">
            <v>1070</v>
          </cell>
        </row>
        <row r="18">
          <cell r="A18" t="str">
            <v>F1P7-F1447-00</v>
          </cell>
          <cell r="B18">
            <v>1290</v>
          </cell>
          <cell r="E18">
            <v>1290</v>
          </cell>
        </row>
        <row r="19">
          <cell r="A19" t="str">
            <v>F1P7-F149T-00</v>
          </cell>
          <cell r="B19">
            <v>90</v>
          </cell>
          <cell r="E19">
            <v>90</v>
          </cell>
        </row>
        <row r="20">
          <cell r="A20" t="str">
            <v>F1P7-F7314-00-001B</v>
          </cell>
          <cell r="B20">
            <v>1020</v>
          </cell>
          <cell r="E20">
            <v>1020</v>
          </cell>
        </row>
        <row r="21">
          <cell r="A21" t="str">
            <v>F2303430-03</v>
          </cell>
          <cell r="B21">
            <v>897</v>
          </cell>
          <cell r="E21">
            <v>897</v>
          </cell>
        </row>
        <row r="22">
          <cell r="A22" t="str">
            <v>F24701-KPP-900</v>
          </cell>
          <cell r="B22">
            <v>853</v>
          </cell>
          <cell r="E22">
            <v>853</v>
          </cell>
        </row>
        <row r="23">
          <cell r="A23" t="str">
            <v>F24701-KPP-9000</v>
          </cell>
          <cell r="B23">
            <v>2892</v>
          </cell>
          <cell r="E23">
            <v>2892</v>
          </cell>
        </row>
        <row r="24">
          <cell r="A24" t="str">
            <v>F2470B-KPH-9700</v>
          </cell>
          <cell r="B24">
            <v>386</v>
          </cell>
          <cell r="E24">
            <v>386</v>
          </cell>
        </row>
        <row r="25">
          <cell r="A25" t="str">
            <v>F2JH-F2134-00</v>
          </cell>
          <cell r="B25">
            <v>34</v>
          </cell>
          <cell r="E25">
            <v>34</v>
          </cell>
        </row>
        <row r="26">
          <cell r="A26" t="str">
            <v>F41211-KPPA-9010</v>
          </cell>
          <cell r="B26">
            <v>76</v>
          </cell>
          <cell r="D26">
            <v>675</v>
          </cell>
          <cell r="E26">
            <v>751</v>
          </cell>
        </row>
        <row r="27">
          <cell r="A27" t="str">
            <v>F46500-KGHA-900001</v>
          </cell>
          <cell r="B27">
            <v>735</v>
          </cell>
          <cell r="E27">
            <v>735</v>
          </cell>
        </row>
        <row r="28">
          <cell r="A28" t="str">
            <v>F4NR-F2353-00</v>
          </cell>
          <cell r="B28">
            <v>2190</v>
          </cell>
          <cell r="E28">
            <v>2190</v>
          </cell>
        </row>
        <row r="29">
          <cell r="A29" t="str">
            <v>F4YS-F2150-00</v>
          </cell>
          <cell r="B29">
            <v>122</v>
          </cell>
          <cell r="E29">
            <v>122</v>
          </cell>
        </row>
        <row r="30">
          <cell r="A30" t="str">
            <v>F50100-KPK-9000AHA</v>
          </cell>
          <cell r="B30">
            <v>122</v>
          </cell>
          <cell r="E30">
            <v>122</v>
          </cell>
        </row>
        <row r="31">
          <cell r="A31" t="str">
            <v>F50100-KPK-9000AHB</v>
          </cell>
          <cell r="B31">
            <v>80</v>
          </cell>
          <cell r="E31">
            <v>80</v>
          </cell>
        </row>
        <row r="32">
          <cell r="A32" t="str">
            <v>F50101-KPHJ-940002</v>
          </cell>
          <cell r="B32">
            <v>129</v>
          </cell>
          <cell r="E32">
            <v>129</v>
          </cell>
        </row>
        <row r="33">
          <cell r="A33" t="str">
            <v>F50112-KPK-9000H1A</v>
          </cell>
          <cell r="B33">
            <v>319</v>
          </cell>
          <cell r="E33">
            <v>319</v>
          </cell>
        </row>
        <row r="34">
          <cell r="A34" t="str">
            <v>F50112-KPK-9000H1B</v>
          </cell>
          <cell r="B34">
            <v>228</v>
          </cell>
          <cell r="E34">
            <v>228</v>
          </cell>
        </row>
        <row r="35">
          <cell r="A35" t="str">
            <v>F50124-GEZ-3100</v>
          </cell>
          <cell r="B35">
            <v>392</v>
          </cell>
          <cell r="C35">
            <v>50</v>
          </cell>
          <cell r="E35">
            <v>442</v>
          </cell>
        </row>
        <row r="36">
          <cell r="A36" t="str">
            <v>F50127-GEZ-3002</v>
          </cell>
          <cell r="B36">
            <v>296</v>
          </cell>
          <cell r="C36">
            <v>2160</v>
          </cell>
          <cell r="E36">
            <v>2456</v>
          </cell>
        </row>
        <row r="37">
          <cell r="A37" t="str">
            <v>F50127-GEZ-6400</v>
          </cell>
          <cell r="B37">
            <v>50</v>
          </cell>
          <cell r="E37">
            <v>50</v>
          </cell>
        </row>
        <row r="38">
          <cell r="A38" t="str">
            <v>F50132-GEZ-3000</v>
          </cell>
          <cell r="B38">
            <v>1457</v>
          </cell>
          <cell r="E38">
            <v>1457</v>
          </cell>
        </row>
        <row r="39">
          <cell r="A39" t="str">
            <v>F50133-KPH7000H101</v>
          </cell>
          <cell r="B39">
            <v>10093</v>
          </cell>
          <cell r="E39">
            <v>10093</v>
          </cell>
        </row>
        <row r="40">
          <cell r="A40" t="str">
            <v>F50134-GEZ-3100</v>
          </cell>
          <cell r="B40">
            <v>30</v>
          </cell>
          <cell r="E40">
            <v>30</v>
          </cell>
        </row>
        <row r="41">
          <cell r="A41" t="str">
            <v>F50136-GEZ-3001</v>
          </cell>
          <cell r="B41">
            <v>1075</v>
          </cell>
          <cell r="E41">
            <v>1075</v>
          </cell>
        </row>
        <row r="42">
          <cell r="A42" t="str">
            <v>F50138-KPPA-900001</v>
          </cell>
          <cell r="B42">
            <v>290</v>
          </cell>
          <cell r="E42">
            <v>290</v>
          </cell>
        </row>
        <row r="43">
          <cell r="A43" t="str">
            <v>F50146-GEZ-3001</v>
          </cell>
          <cell r="B43">
            <v>3630</v>
          </cell>
          <cell r="C43">
            <v>800</v>
          </cell>
          <cell r="E43">
            <v>4430</v>
          </cell>
        </row>
        <row r="44">
          <cell r="A44" t="str">
            <v>F50149-KPHV-651010</v>
          </cell>
          <cell r="B44">
            <v>2091</v>
          </cell>
          <cell r="E44">
            <v>2091</v>
          </cell>
        </row>
        <row r="45">
          <cell r="A45" t="str">
            <v>F50150-GEZG-670120</v>
          </cell>
          <cell r="B45">
            <v>868</v>
          </cell>
          <cell r="E45">
            <v>868</v>
          </cell>
        </row>
        <row r="46">
          <cell r="A46" t="str">
            <v>F50157-KPWA-9000</v>
          </cell>
          <cell r="B46">
            <v>1014</v>
          </cell>
          <cell r="E46">
            <v>1014</v>
          </cell>
        </row>
        <row r="47">
          <cell r="A47" t="str">
            <v>F50162KPPA9000-H1</v>
          </cell>
          <cell r="B47">
            <v>1181</v>
          </cell>
          <cell r="E47">
            <v>1181</v>
          </cell>
        </row>
        <row r="48">
          <cell r="A48" t="str">
            <v>F50162KPPF8600-H1</v>
          </cell>
          <cell r="B48">
            <v>1045</v>
          </cell>
          <cell r="E48">
            <v>1045</v>
          </cell>
        </row>
        <row r="49">
          <cell r="A49" t="str">
            <v>F50202-GEZ-3001</v>
          </cell>
          <cell r="B49">
            <v>970</v>
          </cell>
          <cell r="C49">
            <v>100</v>
          </cell>
          <cell r="E49">
            <v>1070</v>
          </cell>
        </row>
        <row r="50">
          <cell r="A50" t="str">
            <v>F50203-GEZ-3001</v>
          </cell>
          <cell r="B50">
            <v>221</v>
          </cell>
          <cell r="C50">
            <v>1300</v>
          </cell>
          <cell r="E50">
            <v>1521</v>
          </cell>
        </row>
        <row r="51">
          <cell r="A51" t="str">
            <v>F50206-GEZ-3002</v>
          </cell>
          <cell r="B51">
            <v>698</v>
          </cell>
          <cell r="C51">
            <v>300</v>
          </cell>
          <cell r="D51">
            <v>2</v>
          </cell>
          <cell r="E51">
            <v>1000</v>
          </cell>
        </row>
        <row r="52">
          <cell r="A52" t="str">
            <v>F50500-KGHA-900006</v>
          </cell>
          <cell r="B52">
            <v>1682</v>
          </cell>
          <cell r="E52">
            <v>1682</v>
          </cell>
        </row>
        <row r="53">
          <cell r="A53" t="str">
            <v>F50500-KGHA-900007</v>
          </cell>
          <cell r="B53">
            <v>790</v>
          </cell>
          <cell r="E53">
            <v>790</v>
          </cell>
        </row>
        <row r="54">
          <cell r="A54" t="str">
            <v>F53100-KEVA-900003</v>
          </cell>
          <cell r="B54">
            <v>1649</v>
          </cell>
          <cell r="E54">
            <v>1649</v>
          </cell>
        </row>
        <row r="55">
          <cell r="A55" t="str">
            <v>F53100-KEVA-900004</v>
          </cell>
          <cell r="B55">
            <v>13</v>
          </cell>
          <cell r="E55">
            <v>13</v>
          </cell>
        </row>
        <row r="56">
          <cell r="A56" t="str">
            <v>F53100-KRSH-690102</v>
          </cell>
          <cell r="B56">
            <v>31</v>
          </cell>
          <cell r="E56">
            <v>31</v>
          </cell>
        </row>
        <row r="57">
          <cell r="A57" t="str">
            <v>F53103-KEVA-9000H1</v>
          </cell>
          <cell r="B57">
            <v>1147</v>
          </cell>
          <cell r="E57">
            <v>1147</v>
          </cell>
        </row>
        <row r="58">
          <cell r="A58" t="str">
            <v>F53109-KRS-7800-01</v>
          </cell>
          <cell r="B58">
            <v>256</v>
          </cell>
          <cell r="E58">
            <v>256</v>
          </cell>
        </row>
        <row r="59">
          <cell r="A59" t="str">
            <v>F5MY-F113R-00</v>
          </cell>
          <cell r="B59">
            <v>797</v>
          </cell>
          <cell r="E59">
            <v>797</v>
          </cell>
        </row>
        <row r="60">
          <cell r="A60" t="str">
            <v>F5MY-F113U-00</v>
          </cell>
          <cell r="B60">
            <v>1195</v>
          </cell>
          <cell r="E60">
            <v>1195</v>
          </cell>
        </row>
        <row r="61">
          <cell r="A61" t="str">
            <v>F5MY-F116K-00</v>
          </cell>
          <cell r="B61">
            <v>719</v>
          </cell>
          <cell r="E61">
            <v>719</v>
          </cell>
        </row>
        <row r="62">
          <cell r="A62" t="str">
            <v>F5MY-F1256-00</v>
          </cell>
          <cell r="B62">
            <v>1059</v>
          </cell>
          <cell r="E62">
            <v>1059</v>
          </cell>
        </row>
        <row r="63">
          <cell r="A63" t="str">
            <v>F5MY-F1257-00</v>
          </cell>
          <cell r="B63">
            <v>418</v>
          </cell>
          <cell r="E63">
            <v>418</v>
          </cell>
        </row>
        <row r="64">
          <cell r="A64" t="str">
            <v>F5MY-F134N-00</v>
          </cell>
          <cell r="B64">
            <v>540</v>
          </cell>
          <cell r="E64">
            <v>540</v>
          </cell>
        </row>
        <row r="65">
          <cell r="A65" t="str">
            <v>F5MY-F1381-00</v>
          </cell>
          <cell r="B65">
            <v>202</v>
          </cell>
          <cell r="E65">
            <v>202</v>
          </cell>
        </row>
        <row r="66">
          <cell r="A66" t="str">
            <v>F5MY-F1382-00</v>
          </cell>
          <cell r="B66">
            <v>1030</v>
          </cell>
          <cell r="E66">
            <v>1030</v>
          </cell>
        </row>
        <row r="67">
          <cell r="A67" t="str">
            <v>F5MY-F139G-00</v>
          </cell>
          <cell r="B67">
            <v>460</v>
          </cell>
          <cell r="E67">
            <v>460</v>
          </cell>
        </row>
        <row r="68">
          <cell r="A68" t="str">
            <v>F5MY-F139H-00</v>
          </cell>
          <cell r="B68">
            <v>1956</v>
          </cell>
          <cell r="E68">
            <v>1956</v>
          </cell>
        </row>
        <row r="69">
          <cell r="A69" t="str">
            <v>F5MY-F139J-00</v>
          </cell>
          <cell r="B69">
            <v>278</v>
          </cell>
          <cell r="E69">
            <v>278</v>
          </cell>
        </row>
        <row r="70">
          <cell r="A70" t="str">
            <v>F5MY-F139K-00</v>
          </cell>
          <cell r="B70">
            <v>508</v>
          </cell>
          <cell r="E70">
            <v>508</v>
          </cell>
        </row>
        <row r="71">
          <cell r="A71" t="str">
            <v>F5MY-F139V-00</v>
          </cell>
          <cell r="B71">
            <v>943</v>
          </cell>
          <cell r="E71">
            <v>943</v>
          </cell>
        </row>
        <row r="72">
          <cell r="A72" t="str">
            <v>F5MY-F145B-00</v>
          </cell>
          <cell r="B72">
            <v>270</v>
          </cell>
          <cell r="E72">
            <v>270</v>
          </cell>
        </row>
        <row r="73">
          <cell r="A73" t="str">
            <v>F5MY-F146R</v>
          </cell>
          <cell r="B73">
            <v>18</v>
          </cell>
          <cell r="E73">
            <v>18</v>
          </cell>
        </row>
        <row r="74">
          <cell r="A74" t="str">
            <v>F5MY-F189A-00</v>
          </cell>
          <cell r="B74">
            <v>737</v>
          </cell>
          <cell r="E74">
            <v>737</v>
          </cell>
        </row>
        <row r="75">
          <cell r="A75" t="str">
            <v>F5MY-F6393-00</v>
          </cell>
          <cell r="B75">
            <v>2258</v>
          </cell>
          <cell r="D75">
            <v>110</v>
          </cell>
          <cell r="E75">
            <v>2368</v>
          </cell>
        </row>
        <row r="76">
          <cell r="A76" t="str">
            <v>F5TN-E471K-00</v>
          </cell>
          <cell r="B76">
            <v>3676</v>
          </cell>
          <cell r="E76">
            <v>3676</v>
          </cell>
        </row>
        <row r="77">
          <cell r="A77" t="str">
            <v>F5TN-E471R-00</v>
          </cell>
          <cell r="B77">
            <v>899</v>
          </cell>
          <cell r="E77">
            <v>899</v>
          </cell>
        </row>
        <row r="78">
          <cell r="A78" t="str">
            <v>F5TN-E472K-00</v>
          </cell>
          <cell r="B78">
            <v>3000</v>
          </cell>
          <cell r="E78">
            <v>3000</v>
          </cell>
        </row>
        <row r="79">
          <cell r="A79" t="str">
            <v>F5TN-E476A-00</v>
          </cell>
          <cell r="B79">
            <v>225</v>
          </cell>
          <cell r="D79">
            <v>700</v>
          </cell>
          <cell r="E79">
            <v>925</v>
          </cell>
        </row>
        <row r="80">
          <cell r="A80" t="str">
            <v>F5TN-E4771-00</v>
          </cell>
          <cell r="B80">
            <v>3391</v>
          </cell>
          <cell r="E80">
            <v>3391</v>
          </cell>
        </row>
        <row r="81">
          <cell r="A81" t="str">
            <v>F5TN-E4772-00</v>
          </cell>
          <cell r="B81">
            <v>2455</v>
          </cell>
          <cell r="E81">
            <v>2455</v>
          </cell>
        </row>
        <row r="82">
          <cell r="A82" t="str">
            <v>F5TN-F1113-00</v>
          </cell>
          <cell r="B82">
            <v>52</v>
          </cell>
          <cell r="D82">
            <v>89</v>
          </cell>
          <cell r="E82">
            <v>141</v>
          </cell>
        </row>
        <row r="83">
          <cell r="A83" t="str">
            <v>F5TN-F1136-00</v>
          </cell>
          <cell r="B83">
            <v>574</v>
          </cell>
          <cell r="E83">
            <v>574</v>
          </cell>
        </row>
        <row r="84">
          <cell r="A84" t="str">
            <v>F5TN-F1177-00</v>
          </cell>
          <cell r="B84">
            <v>1768</v>
          </cell>
          <cell r="E84">
            <v>1768</v>
          </cell>
        </row>
        <row r="85">
          <cell r="A85" t="str">
            <v>F5TN-F117K</v>
          </cell>
          <cell r="B85">
            <v>1542</v>
          </cell>
          <cell r="E85">
            <v>1542</v>
          </cell>
        </row>
        <row r="86">
          <cell r="A86" t="str">
            <v>F5TN-F1359-00</v>
          </cell>
          <cell r="B86">
            <v>549</v>
          </cell>
          <cell r="E86">
            <v>549</v>
          </cell>
        </row>
        <row r="87">
          <cell r="A87" t="str">
            <v>F5TN-F139H-00</v>
          </cell>
          <cell r="B87">
            <v>687</v>
          </cell>
          <cell r="E87">
            <v>687</v>
          </cell>
        </row>
        <row r="88">
          <cell r="A88" t="str">
            <v>F5TN-F139N-00</v>
          </cell>
          <cell r="B88">
            <v>1084</v>
          </cell>
          <cell r="E88">
            <v>1084</v>
          </cell>
        </row>
        <row r="89">
          <cell r="A89" t="str">
            <v>F5TN-F141E-00</v>
          </cell>
          <cell r="B89">
            <v>1232</v>
          </cell>
          <cell r="E89">
            <v>1232</v>
          </cell>
        </row>
        <row r="90">
          <cell r="A90" t="str">
            <v>F5TN-F1429-00</v>
          </cell>
          <cell r="B90">
            <v>369</v>
          </cell>
          <cell r="C90">
            <v>800</v>
          </cell>
          <cell r="E90">
            <v>1169</v>
          </cell>
        </row>
        <row r="91">
          <cell r="A91" t="str">
            <v>F5TN-F142G-00</v>
          </cell>
          <cell r="B91">
            <v>541</v>
          </cell>
          <cell r="E91">
            <v>541</v>
          </cell>
        </row>
        <row r="92">
          <cell r="A92" t="str">
            <v>F5TN-F1446-00</v>
          </cell>
          <cell r="B92">
            <v>659</v>
          </cell>
          <cell r="E92">
            <v>659</v>
          </cell>
        </row>
        <row r="93">
          <cell r="A93" t="str">
            <v>F5TN-F1465-00</v>
          </cell>
          <cell r="B93">
            <v>41</v>
          </cell>
          <cell r="C93">
            <v>100</v>
          </cell>
          <cell r="E93">
            <v>141</v>
          </cell>
        </row>
        <row r="94">
          <cell r="A94" t="str">
            <v>F5TN-F1587-00</v>
          </cell>
          <cell r="B94">
            <v>630</v>
          </cell>
          <cell r="E94">
            <v>630</v>
          </cell>
        </row>
        <row r="95">
          <cell r="A95" t="str">
            <v>F5TN-F2171-00</v>
          </cell>
          <cell r="B95">
            <v>804</v>
          </cell>
          <cell r="E95">
            <v>804</v>
          </cell>
        </row>
        <row r="96">
          <cell r="A96" t="str">
            <v>F5TN-F2172-00</v>
          </cell>
          <cell r="B96">
            <v>130</v>
          </cell>
          <cell r="E96">
            <v>130</v>
          </cell>
        </row>
        <row r="97">
          <cell r="A97" t="str">
            <v>F5TN-F538G-00</v>
          </cell>
          <cell r="B97">
            <v>2551</v>
          </cell>
          <cell r="E97">
            <v>2551</v>
          </cell>
        </row>
        <row r="98">
          <cell r="A98" t="str">
            <v>F5TN-F539F-00-1</v>
          </cell>
          <cell r="B98">
            <v>1504</v>
          </cell>
          <cell r="E98">
            <v>1504</v>
          </cell>
        </row>
        <row r="99">
          <cell r="A99" t="str">
            <v>F5TN-F539F-00-2</v>
          </cell>
          <cell r="B99">
            <v>234</v>
          </cell>
          <cell r="E99">
            <v>234</v>
          </cell>
        </row>
        <row r="100">
          <cell r="A100" t="str">
            <v>F5TN-F7314-00</v>
          </cell>
          <cell r="B100">
            <v>33</v>
          </cell>
          <cell r="C100">
            <v>2143</v>
          </cell>
          <cell r="E100">
            <v>2176</v>
          </cell>
        </row>
        <row r="101">
          <cell r="A101" t="str">
            <v>F5VV-F1117-00</v>
          </cell>
          <cell r="B101">
            <v>1189</v>
          </cell>
          <cell r="C101">
            <v>3600</v>
          </cell>
          <cell r="E101">
            <v>4789</v>
          </cell>
        </row>
        <row r="102">
          <cell r="A102" t="str">
            <v>F5VV-F111A</v>
          </cell>
          <cell r="B102">
            <v>1587</v>
          </cell>
          <cell r="E102">
            <v>1587</v>
          </cell>
        </row>
        <row r="103">
          <cell r="A103" t="str">
            <v>F5VV-F111H-00</v>
          </cell>
          <cell r="B103">
            <v>515</v>
          </cell>
          <cell r="E103">
            <v>515</v>
          </cell>
        </row>
        <row r="104">
          <cell r="A104" t="str">
            <v>F5VV-F116E-00</v>
          </cell>
          <cell r="B104">
            <v>2570</v>
          </cell>
          <cell r="E104">
            <v>2570</v>
          </cell>
        </row>
        <row r="105">
          <cell r="A105" t="str">
            <v>F5VV-F1287-00</v>
          </cell>
          <cell r="B105">
            <v>10882</v>
          </cell>
          <cell r="E105">
            <v>10882</v>
          </cell>
        </row>
        <row r="106">
          <cell r="A106" t="str">
            <v>F5VV-F1369-00</v>
          </cell>
          <cell r="B106">
            <v>2540</v>
          </cell>
          <cell r="E106">
            <v>2540</v>
          </cell>
        </row>
        <row r="107">
          <cell r="A107" t="str">
            <v>F5VV-F1458-00</v>
          </cell>
          <cell r="B107">
            <v>9236</v>
          </cell>
          <cell r="E107">
            <v>9236</v>
          </cell>
        </row>
        <row r="108">
          <cell r="A108" t="str">
            <v>F5VV-F148U-00</v>
          </cell>
          <cell r="B108">
            <v>57</v>
          </cell>
          <cell r="E108">
            <v>57</v>
          </cell>
        </row>
        <row r="109">
          <cell r="A109" t="str">
            <v>F5VV-F148V-00</v>
          </cell>
          <cell r="B109">
            <v>563</v>
          </cell>
          <cell r="E109">
            <v>563</v>
          </cell>
        </row>
        <row r="110">
          <cell r="A110" t="str">
            <v>F5VV-F149E-00</v>
          </cell>
          <cell r="B110">
            <v>5015</v>
          </cell>
          <cell r="E110">
            <v>5015</v>
          </cell>
        </row>
        <row r="111">
          <cell r="A111" t="str">
            <v>F5YP-F1134-00</v>
          </cell>
          <cell r="B111">
            <v>78</v>
          </cell>
          <cell r="E111">
            <v>78</v>
          </cell>
        </row>
        <row r="112">
          <cell r="A112" t="str">
            <v>F5YP-F1147-00</v>
          </cell>
          <cell r="B112">
            <v>963</v>
          </cell>
          <cell r="E112">
            <v>963</v>
          </cell>
        </row>
        <row r="113">
          <cell r="A113" t="str">
            <v>F5YP-F1148-00</v>
          </cell>
          <cell r="B113">
            <v>790</v>
          </cell>
          <cell r="E113">
            <v>790</v>
          </cell>
        </row>
        <row r="114">
          <cell r="A114" t="str">
            <v>F5YP-F115K-00</v>
          </cell>
          <cell r="B114">
            <v>595</v>
          </cell>
          <cell r="E114">
            <v>595</v>
          </cell>
        </row>
        <row r="115">
          <cell r="A115" t="str">
            <v>F5YP-F116B-00</v>
          </cell>
          <cell r="B115">
            <v>155</v>
          </cell>
          <cell r="C115">
            <v>900</v>
          </cell>
          <cell r="E115">
            <v>1055</v>
          </cell>
        </row>
        <row r="116">
          <cell r="A116" t="str">
            <v>F5YP-F116E-00</v>
          </cell>
          <cell r="B116">
            <v>248</v>
          </cell>
          <cell r="E116">
            <v>248</v>
          </cell>
        </row>
        <row r="117">
          <cell r="A117" t="str">
            <v>F5YP-F1183-00</v>
          </cell>
          <cell r="B117">
            <v>57</v>
          </cell>
          <cell r="E117">
            <v>57</v>
          </cell>
        </row>
        <row r="118">
          <cell r="A118" t="str">
            <v>F5YP-F118V-00</v>
          </cell>
          <cell r="B118">
            <v>403</v>
          </cell>
          <cell r="E118">
            <v>403</v>
          </cell>
        </row>
        <row r="119">
          <cell r="A119" t="str">
            <v>F5YP-F1238-00</v>
          </cell>
          <cell r="B119">
            <v>221</v>
          </cell>
          <cell r="E119">
            <v>221</v>
          </cell>
        </row>
        <row r="120">
          <cell r="A120" t="str">
            <v>F5YP-F1239-00</v>
          </cell>
          <cell r="B120">
            <v>122</v>
          </cell>
          <cell r="E120">
            <v>122</v>
          </cell>
        </row>
        <row r="121">
          <cell r="A121" t="str">
            <v>F5YP-F1317-00</v>
          </cell>
          <cell r="B121">
            <v>898</v>
          </cell>
          <cell r="E121">
            <v>898</v>
          </cell>
        </row>
        <row r="122">
          <cell r="A122" t="str">
            <v>F5YP-F1319-00</v>
          </cell>
          <cell r="B122">
            <v>1805</v>
          </cell>
          <cell r="C122">
            <v>200</v>
          </cell>
          <cell r="E122">
            <v>2005</v>
          </cell>
        </row>
        <row r="123">
          <cell r="A123" t="str">
            <v>F5YP-F131L-00</v>
          </cell>
          <cell r="B123">
            <v>1108</v>
          </cell>
          <cell r="E123">
            <v>1108</v>
          </cell>
        </row>
        <row r="124">
          <cell r="A124" t="str">
            <v>F5YP-F134E-00</v>
          </cell>
          <cell r="B124">
            <v>100</v>
          </cell>
          <cell r="E124">
            <v>100</v>
          </cell>
        </row>
        <row r="125">
          <cell r="A125" t="str">
            <v>F5YP-F134M-00</v>
          </cell>
          <cell r="B125">
            <v>602</v>
          </cell>
          <cell r="E125">
            <v>602</v>
          </cell>
        </row>
        <row r="126">
          <cell r="A126" t="str">
            <v>F5YP-F134N-00</v>
          </cell>
          <cell r="B126">
            <v>54</v>
          </cell>
          <cell r="E126">
            <v>54</v>
          </cell>
        </row>
        <row r="127">
          <cell r="A127" t="str">
            <v>F5YP-F134V-00</v>
          </cell>
          <cell r="B127">
            <v>803</v>
          </cell>
          <cell r="E127">
            <v>803</v>
          </cell>
        </row>
        <row r="128">
          <cell r="A128" t="str">
            <v>F5YP-F1382-00</v>
          </cell>
          <cell r="B128">
            <v>962</v>
          </cell>
          <cell r="E128">
            <v>962</v>
          </cell>
        </row>
        <row r="129">
          <cell r="A129" t="str">
            <v>F5YP-F138L-00</v>
          </cell>
          <cell r="B129">
            <v>396</v>
          </cell>
          <cell r="E129">
            <v>396</v>
          </cell>
        </row>
        <row r="130">
          <cell r="A130" t="str">
            <v>F5YP-F139G-00</v>
          </cell>
          <cell r="B130">
            <v>14</v>
          </cell>
          <cell r="C130">
            <v>816</v>
          </cell>
          <cell r="E130">
            <v>830</v>
          </cell>
        </row>
        <row r="131">
          <cell r="A131" t="str">
            <v>F5YP-F139H-00</v>
          </cell>
          <cell r="B131">
            <v>920</v>
          </cell>
          <cell r="E131">
            <v>920</v>
          </cell>
        </row>
        <row r="132">
          <cell r="A132" t="str">
            <v>F5YP-F141E-00</v>
          </cell>
          <cell r="B132">
            <v>1335</v>
          </cell>
          <cell r="E132">
            <v>1335</v>
          </cell>
        </row>
        <row r="133">
          <cell r="A133" t="str">
            <v>F5YP-F141E-10</v>
          </cell>
          <cell r="B133">
            <v>310</v>
          </cell>
          <cell r="D133">
            <v>100</v>
          </cell>
          <cell r="E133">
            <v>410</v>
          </cell>
        </row>
        <row r="134">
          <cell r="A134" t="str">
            <v>F5YP-F142M-00</v>
          </cell>
          <cell r="B134">
            <v>191</v>
          </cell>
          <cell r="E134">
            <v>191</v>
          </cell>
        </row>
        <row r="135">
          <cell r="A135" t="str">
            <v>F5YP-F142N-00</v>
          </cell>
          <cell r="B135">
            <v>398</v>
          </cell>
          <cell r="E135">
            <v>398</v>
          </cell>
        </row>
        <row r="136">
          <cell r="A136" t="str">
            <v>F5YP-F1441-00</v>
          </cell>
          <cell r="B136">
            <v>13</v>
          </cell>
          <cell r="E136">
            <v>13</v>
          </cell>
        </row>
        <row r="137">
          <cell r="A137" t="str">
            <v>F5YP-F1446-00</v>
          </cell>
          <cell r="B137">
            <v>1122</v>
          </cell>
          <cell r="E137">
            <v>1122</v>
          </cell>
        </row>
        <row r="138">
          <cell r="A138" t="str">
            <v>F5YP-F144F-00</v>
          </cell>
          <cell r="B138">
            <v>1028</v>
          </cell>
          <cell r="E138">
            <v>1028</v>
          </cell>
        </row>
        <row r="139">
          <cell r="A139" t="str">
            <v>F5YP-F1455-00</v>
          </cell>
          <cell r="B139">
            <v>140</v>
          </cell>
          <cell r="E139">
            <v>140</v>
          </cell>
        </row>
        <row r="140">
          <cell r="A140" t="str">
            <v>F5YP-F2111-00</v>
          </cell>
          <cell r="B140">
            <v>557</v>
          </cell>
          <cell r="E140">
            <v>557</v>
          </cell>
        </row>
        <row r="141">
          <cell r="A141" t="str">
            <v>F5YP-F2112-00</v>
          </cell>
          <cell r="B141">
            <v>546</v>
          </cell>
          <cell r="E141">
            <v>546</v>
          </cell>
        </row>
        <row r="142">
          <cell r="A142" t="str">
            <v>F5YP-F2113-00</v>
          </cell>
          <cell r="B142">
            <v>133</v>
          </cell>
          <cell r="E142">
            <v>133</v>
          </cell>
        </row>
        <row r="143">
          <cell r="A143" t="str">
            <v>F5YP-F2114-00</v>
          </cell>
          <cell r="B143">
            <v>128</v>
          </cell>
          <cell r="D143">
            <v>14</v>
          </cell>
          <cell r="E143">
            <v>142</v>
          </cell>
        </row>
        <row r="144">
          <cell r="A144" t="str">
            <v>F5YP-F2132-00</v>
          </cell>
          <cell r="B144">
            <v>1042</v>
          </cell>
          <cell r="E144">
            <v>1042</v>
          </cell>
        </row>
        <row r="145">
          <cell r="A145" t="str">
            <v>F5YP-F213E-00</v>
          </cell>
          <cell r="B145">
            <v>720</v>
          </cell>
          <cell r="E145">
            <v>720</v>
          </cell>
        </row>
        <row r="146">
          <cell r="A146" t="str">
            <v>F5YP-F2150-00</v>
          </cell>
          <cell r="B146">
            <v>100</v>
          </cell>
          <cell r="E146">
            <v>100</v>
          </cell>
        </row>
        <row r="147">
          <cell r="A147" t="str">
            <v>F5YP-F2153-00</v>
          </cell>
          <cell r="B147">
            <v>1491</v>
          </cell>
          <cell r="E147">
            <v>1491</v>
          </cell>
        </row>
        <row r="148">
          <cell r="A148" t="str">
            <v>F5YP-F2167-00</v>
          </cell>
          <cell r="B148">
            <v>1622</v>
          </cell>
          <cell r="E148">
            <v>1622</v>
          </cell>
        </row>
        <row r="149">
          <cell r="A149" t="str">
            <v>F5YP-F2187-00</v>
          </cell>
          <cell r="B149">
            <v>450</v>
          </cell>
          <cell r="E149">
            <v>450</v>
          </cell>
        </row>
        <row r="150">
          <cell r="A150" t="str">
            <v>F5YP-F5356-00</v>
          </cell>
          <cell r="B150">
            <v>1969</v>
          </cell>
          <cell r="D150">
            <v>200</v>
          </cell>
          <cell r="E150">
            <v>2169</v>
          </cell>
        </row>
        <row r="151">
          <cell r="A151" t="str">
            <v>F5YW-E4718-00-2</v>
          </cell>
          <cell r="B151">
            <v>689</v>
          </cell>
          <cell r="E151">
            <v>689</v>
          </cell>
        </row>
        <row r="152">
          <cell r="A152" t="str">
            <v>F5YW-E4718-00-3</v>
          </cell>
          <cell r="B152">
            <v>480</v>
          </cell>
          <cell r="E152">
            <v>480</v>
          </cell>
        </row>
        <row r="153">
          <cell r="A153" t="str">
            <v>F80125-KFEA-700000</v>
          </cell>
          <cell r="B153">
            <v>361</v>
          </cell>
          <cell r="E153">
            <v>361</v>
          </cell>
        </row>
        <row r="154">
          <cell r="A154" t="str">
            <v>F80125-KFEA-700003</v>
          </cell>
          <cell r="B154">
            <v>151</v>
          </cell>
          <cell r="E154">
            <v>151</v>
          </cell>
        </row>
        <row r="155">
          <cell r="A155" t="str">
            <v>F80125-KFEA-700004</v>
          </cell>
          <cell r="B155">
            <v>445</v>
          </cell>
          <cell r="E155">
            <v>445</v>
          </cell>
        </row>
        <row r="156">
          <cell r="A156" t="str">
            <v>F80125KFEA-7000-05</v>
          </cell>
          <cell r="B156">
            <v>338</v>
          </cell>
          <cell r="E156">
            <v>338</v>
          </cell>
        </row>
        <row r="157">
          <cell r="A157" t="str">
            <v>F80125kfea-7000-06</v>
          </cell>
          <cell r="B157">
            <v>359</v>
          </cell>
          <cell r="E157">
            <v>359</v>
          </cell>
        </row>
        <row r="158">
          <cell r="A158" t="str">
            <v>F80125-KFEA-700009</v>
          </cell>
          <cell r="B158">
            <v>821</v>
          </cell>
          <cell r="E158">
            <v>821</v>
          </cell>
        </row>
        <row r="159">
          <cell r="A159" t="str">
            <v>F83150-KPK-9000-04</v>
          </cell>
          <cell r="B159">
            <v>2303</v>
          </cell>
          <cell r="E159">
            <v>2303</v>
          </cell>
        </row>
        <row r="160">
          <cell r="A160" t="str">
            <v>F83510-KPKJ-940002</v>
          </cell>
          <cell r="B160">
            <v>99</v>
          </cell>
          <cell r="E160">
            <v>99</v>
          </cell>
        </row>
        <row r="161">
          <cell r="A161" t="str">
            <v>ผลรวมทั้งหมด</v>
          </cell>
          <cell r="B161">
            <v>160676</v>
          </cell>
          <cell r="C161">
            <v>13269</v>
          </cell>
          <cell r="D161">
            <v>1890</v>
          </cell>
          <cell r="E161">
            <v>175835</v>
          </cell>
        </row>
      </sheetData>
      <sheetData sheetId="2">
        <row r="3">
          <cell r="A3" t="str">
            <v>ผลรวม ของ Qty On Hand</v>
          </cell>
          <cell r="B3" t="str">
            <v>STATUS</v>
          </cell>
        </row>
        <row r="4">
          <cell r="A4" t="str">
            <v>Item Number</v>
          </cell>
          <cell r="B4" t="str">
            <v>BLANK</v>
          </cell>
          <cell r="C4" t="str">
            <v>NC</v>
          </cell>
          <cell r="D4" t="str">
            <v>NG BLANK</v>
          </cell>
          <cell r="E4" t="str">
            <v>WIP PP FORM</v>
          </cell>
          <cell r="F4" t="str">
            <v>ผลรวมทั้งหมด</v>
          </cell>
        </row>
        <row r="5">
          <cell r="A5" t="str">
            <v>P1P7-F1111-00</v>
          </cell>
          <cell r="B5">
            <v>1411</v>
          </cell>
          <cell r="F5">
            <v>1411</v>
          </cell>
        </row>
        <row r="6">
          <cell r="A6" t="str">
            <v>P1P7-F1162-01</v>
          </cell>
          <cell r="B6">
            <v>830</v>
          </cell>
          <cell r="F6">
            <v>830</v>
          </cell>
        </row>
        <row r="7">
          <cell r="A7" t="str">
            <v>P1P7-F1168-00</v>
          </cell>
          <cell r="B7">
            <v>1142</v>
          </cell>
          <cell r="F7">
            <v>1142</v>
          </cell>
        </row>
        <row r="8">
          <cell r="A8" t="str">
            <v>P1P7-F119M-00</v>
          </cell>
          <cell r="B8">
            <v>2847</v>
          </cell>
          <cell r="C8">
            <v>120</v>
          </cell>
          <cell r="F8">
            <v>2967</v>
          </cell>
        </row>
        <row r="9">
          <cell r="A9" t="str">
            <v>P1P7-F1369-00</v>
          </cell>
          <cell r="D9">
            <v>3120</v>
          </cell>
          <cell r="F9">
            <v>3120</v>
          </cell>
        </row>
        <row r="10">
          <cell r="A10" t="str">
            <v>P1SY277-01</v>
          </cell>
          <cell r="B10">
            <v>493</v>
          </cell>
          <cell r="F10">
            <v>493</v>
          </cell>
        </row>
        <row r="11">
          <cell r="A11" t="str">
            <v>P2081015-01</v>
          </cell>
          <cell r="B11">
            <v>1480</v>
          </cell>
          <cell r="F11">
            <v>1480</v>
          </cell>
        </row>
        <row r="12">
          <cell r="A12" t="str">
            <v>P2303430-03</v>
          </cell>
          <cell r="E12">
            <v>5214</v>
          </cell>
          <cell r="F12">
            <v>5214</v>
          </cell>
        </row>
        <row r="13">
          <cell r="A13" t="str">
            <v>P31069 EB70A</v>
          </cell>
          <cell r="B13">
            <v>98</v>
          </cell>
          <cell r="F13">
            <v>98</v>
          </cell>
        </row>
        <row r="14">
          <cell r="A14" t="str">
            <v>P4D0-F146R-00</v>
          </cell>
          <cell r="B14">
            <v>47994</v>
          </cell>
          <cell r="F14">
            <v>47994</v>
          </cell>
        </row>
        <row r="15">
          <cell r="A15" t="str">
            <v>P4NR-F2163-00</v>
          </cell>
          <cell r="B15">
            <v>6</v>
          </cell>
          <cell r="C15">
            <v>50</v>
          </cell>
          <cell r="F15">
            <v>56</v>
          </cell>
        </row>
        <row r="16">
          <cell r="A16" t="str">
            <v>P50100-KPH-9700</v>
          </cell>
          <cell r="B16">
            <v>172</v>
          </cell>
          <cell r="F16">
            <v>172</v>
          </cell>
        </row>
        <row r="17">
          <cell r="A17" t="str">
            <v>P50100-KPHA-9000</v>
          </cell>
          <cell r="B17">
            <v>358</v>
          </cell>
          <cell r="F17">
            <v>358</v>
          </cell>
        </row>
        <row r="18">
          <cell r="A18" t="str">
            <v>P50111-KPHL-6900</v>
          </cell>
          <cell r="B18">
            <v>13</v>
          </cell>
          <cell r="F18">
            <v>13</v>
          </cell>
        </row>
        <row r="19">
          <cell r="A19" t="str">
            <v>P50111-KPHX-7000</v>
          </cell>
          <cell r="B19">
            <v>178</v>
          </cell>
          <cell r="F19">
            <v>178</v>
          </cell>
        </row>
        <row r="20">
          <cell r="A20" t="str">
            <v>P50112-KPK-9000H1B</v>
          </cell>
          <cell r="B20">
            <v>1</v>
          </cell>
          <cell r="F20">
            <v>1</v>
          </cell>
        </row>
        <row r="21">
          <cell r="A21" t="str">
            <v>P50125-KGHA-900003</v>
          </cell>
          <cell r="B21">
            <v>1519</v>
          </cell>
          <cell r="F21">
            <v>1519</v>
          </cell>
        </row>
        <row r="22">
          <cell r="A22" t="str">
            <v>P50127-KEV-9000-H1</v>
          </cell>
          <cell r="B22">
            <v>3292</v>
          </cell>
          <cell r="F22">
            <v>3292</v>
          </cell>
        </row>
        <row r="23">
          <cell r="A23" t="str">
            <v>P50127-KPH-7000-01</v>
          </cell>
          <cell r="B23">
            <v>1200</v>
          </cell>
          <cell r="F23">
            <v>1200</v>
          </cell>
        </row>
        <row r="24">
          <cell r="A24" t="str">
            <v>P50136-GEZ-3001</v>
          </cell>
          <cell r="B24">
            <v>1</v>
          </cell>
          <cell r="E24">
            <v>1699</v>
          </cell>
          <cell r="F24">
            <v>1700</v>
          </cell>
        </row>
        <row r="25">
          <cell r="A25" t="str">
            <v>P50136-KGH-9000-H1</v>
          </cell>
          <cell r="B25">
            <v>3556</v>
          </cell>
          <cell r="F25">
            <v>3556</v>
          </cell>
        </row>
        <row r="26">
          <cell r="A26" t="str">
            <v>P50155-KPHX-7000</v>
          </cell>
          <cell r="B26">
            <v>3</v>
          </cell>
          <cell r="F26">
            <v>3</v>
          </cell>
        </row>
        <row r="27">
          <cell r="A27" t="str">
            <v>P50156-GEZ-3000</v>
          </cell>
          <cell r="B27">
            <v>1515</v>
          </cell>
          <cell r="F27">
            <v>1515</v>
          </cell>
        </row>
        <row r="28">
          <cell r="A28" t="str">
            <v>P50156-KPHX-7001</v>
          </cell>
          <cell r="B28">
            <v>997</v>
          </cell>
          <cell r="F28">
            <v>997</v>
          </cell>
        </row>
        <row r="29">
          <cell r="A29" t="str">
            <v>P50157-KPWA-9000</v>
          </cell>
          <cell r="E29">
            <v>6504</v>
          </cell>
          <cell r="F29">
            <v>6504</v>
          </cell>
        </row>
        <row r="30">
          <cell r="A30" t="str">
            <v>P50162KPPF8600-03</v>
          </cell>
          <cell r="B30">
            <v>427</v>
          </cell>
          <cell r="D30">
            <v>157</v>
          </cell>
          <cell r="F30">
            <v>584</v>
          </cell>
        </row>
        <row r="31">
          <cell r="A31" t="str">
            <v>P50162KPPF8600-H1</v>
          </cell>
          <cell r="B31">
            <v>66</v>
          </cell>
          <cell r="E31">
            <v>1</v>
          </cell>
          <cell r="F31">
            <v>67</v>
          </cell>
        </row>
        <row r="32">
          <cell r="A32" t="str">
            <v>P50183-KPW-9000-H1</v>
          </cell>
          <cell r="B32">
            <v>92</v>
          </cell>
          <cell r="D32">
            <v>1</v>
          </cell>
          <cell r="F32">
            <v>93</v>
          </cell>
        </row>
        <row r="33">
          <cell r="A33" t="str">
            <v>P50206-GEZ-3002</v>
          </cell>
          <cell r="E33">
            <v>2611</v>
          </cell>
          <cell r="F33">
            <v>2611</v>
          </cell>
        </row>
        <row r="34">
          <cell r="A34" t="str">
            <v>P50500-KGHA-9000</v>
          </cell>
          <cell r="B34">
            <v>2988</v>
          </cell>
          <cell r="F34">
            <v>2988</v>
          </cell>
        </row>
        <row r="35">
          <cell r="A35" t="str">
            <v>P50500-KGHA-900012</v>
          </cell>
          <cell r="B35">
            <v>3431</v>
          </cell>
          <cell r="F35">
            <v>3431</v>
          </cell>
        </row>
        <row r="36">
          <cell r="A36" t="str">
            <v>P50500-KGHA-9000H1</v>
          </cell>
          <cell r="B36">
            <v>482</v>
          </cell>
          <cell r="F36">
            <v>482</v>
          </cell>
        </row>
        <row r="37">
          <cell r="A37" t="str">
            <v>P50500-KGHG-900002</v>
          </cell>
          <cell r="B37">
            <v>1902</v>
          </cell>
          <cell r="F37">
            <v>1902</v>
          </cell>
        </row>
        <row r="38">
          <cell r="A38" t="str">
            <v>P53100-HP2A-670121</v>
          </cell>
          <cell r="B38">
            <v>1460</v>
          </cell>
          <cell r="F38">
            <v>1460</v>
          </cell>
        </row>
        <row r="39">
          <cell r="A39" t="str">
            <v>P53109-KRSH-780002</v>
          </cell>
          <cell r="B39">
            <v>43</v>
          </cell>
          <cell r="C39">
            <v>3150</v>
          </cell>
          <cell r="F39">
            <v>3193</v>
          </cell>
        </row>
        <row r="40">
          <cell r="A40" t="str">
            <v>P53116-KRS-6900-H1</v>
          </cell>
          <cell r="B40">
            <v>960</v>
          </cell>
          <cell r="F40">
            <v>960</v>
          </cell>
        </row>
        <row r="41">
          <cell r="A41" t="str">
            <v>P5LN-F112L-00</v>
          </cell>
          <cell r="B41">
            <v>896</v>
          </cell>
          <cell r="F41">
            <v>896</v>
          </cell>
        </row>
        <row r="42">
          <cell r="A42" t="str">
            <v>P5MY-F113R-00</v>
          </cell>
          <cell r="E42">
            <v>1020</v>
          </cell>
          <cell r="F42">
            <v>1020</v>
          </cell>
        </row>
        <row r="43">
          <cell r="A43" t="str">
            <v>P5MY-F116K-00</v>
          </cell>
          <cell r="E43">
            <v>1395</v>
          </cell>
          <cell r="F43">
            <v>1395</v>
          </cell>
        </row>
        <row r="44">
          <cell r="A44" t="str">
            <v>P5MY-F1215-00</v>
          </cell>
          <cell r="B44">
            <v>157</v>
          </cell>
          <cell r="F44">
            <v>157</v>
          </cell>
        </row>
        <row r="45">
          <cell r="A45" t="str">
            <v>P5MY-F1216-00</v>
          </cell>
          <cell r="B45">
            <v>1027</v>
          </cell>
          <cell r="F45">
            <v>1027</v>
          </cell>
        </row>
        <row r="46">
          <cell r="A46" t="str">
            <v>P5MY-F1336-00</v>
          </cell>
          <cell r="C46">
            <v>1</v>
          </cell>
          <cell r="F46">
            <v>1</v>
          </cell>
        </row>
        <row r="47">
          <cell r="A47" t="str">
            <v>P5MY-F146R</v>
          </cell>
          <cell r="E47">
            <v>600</v>
          </cell>
          <cell r="F47">
            <v>600</v>
          </cell>
        </row>
        <row r="48">
          <cell r="A48" t="str">
            <v>P5MY-F6393-00</v>
          </cell>
          <cell r="E48">
            <v>13056</v>
          </cell>
          <cell r="F48">
            <v>13056</v>
          </cell>
        </row>
        <row r="49">
          <cell r="A49" t="str">
            <v>P5TN-E471R-00</v>
          </cell>
          <cell r="C49">
            <v>198</v>
          </cell>
          <cell r="F49">
            <v>198</v>
          </cell>
        </row>
        <row r="50">
          <cell r="A50" t="str">
            <v>P5TN-E476A-00</v>
          </cell>
          <cell r="E50">
            <v>1674</v>
          </cell>
          <cell r="F50">
            <v>1674</v>
          </cell>
        </row>
        <row r="51">
          <cell r="A51" t="str">
            <v>P5TN-F134M-00</v>
          </cell>
          <cell r="B51">
            <v>760</v>
          </cell>
          <cell r="F51">
            <v>760</v>
          </cell>
        </row>
        <row r="52">
          <cell r="A52" t="str">
            <v>P5TN-F134V-00</v>
          </cell>
          <cell r="B52">
            <v>26</v>
          </cell>
          <cell r="C52">
            <v>50</v>
          </cell>
          <cell r="F52">
            <v>76</v>
          </cell>
        </row>
        <row r="53">
          <cell r="A53" t="str">
            <v>P5TN-F137F-00</v>
          </cell>
          <cell r="B53">
            <v>23</v>
          </cell>
          <cell r="F53">
            <v>23</v>
          </cell>
        </row>
        <row r="54">
          <cell r="A54" t="str">
            <v>P5TN-F137G</v>
          </cell>
          <cell r="B54">
            <v>1213</v>
          </cell>
          <cell r="F54">
            <v>1213</v>
          </cell>
        </row>
        <row r="55">
          <cell r="A55" t="str">
            <v>P5TN-F1381-00</v>
          </cell>
          <cell r="B55">
            <v>72</v>
          </cell>
          <cell r="F55">
            <v>72</v>
          </cell>
        </row>
        <row r="56">
          <cell r="A56" t="str">
            <v>P5TN-F139H-00</v>
          </cell>
          <cell r="B56">
            <v>1</v>
          </cell>
          <cell r="F56">
            <v>1</v>
          </cell>
        </row>
        <row r="57">
          <cell r="A57" t="str">
            <v>P5TN-F1429-00</v>
          </cell>
          <cell r="E57">
            <v>1600</v>
          </cell>
          <cell r="F57">
            <v>1600</v>
          </cell>
        </row>
        <row r="58">
          <cell r="A58" t="str">
            <v>P5TN-F1445-00</v>
          </cell>
          <cell r="C58">
            <v>640</v>
          </cell>
          <cell r="F58">
            <v>640</v>
          </cell>
        </row>
        <row r="59">
          <cell r="A59" t="str">
            <v>P5TN-F145B-00</v>
          </cell>
          <cell r="B59">
            <v>3088</v>
          </cell>
          <cell r="C59">
            <v>9</v>
          </cell>
          <cell r="D59">
            <v>1</v>
          </cell>
          <cell r="F59">
            <v>3098</v>
          </cell>
        </row>
        <row r="60">
          <cell r="A60" t="str">
            <v>P5VV-E4718-00-3</v>
          </cell>
          <cell r="B60">
            <v>49</v>
          </cell>
          <cell r="C60">
            <v>3000</v>
          </cell>
          <cell r="F60">
            <v>3049</v>
          </cell>
        </row>
        <row r="61">
          <cell r="A61" t="str">
            <v>P5VV-E4728-00-2</v>
          </cell>
          <cell r="B61">
            <v>157</v>
          </cell>
          <cell r="F61">
            <v>157</v>
          </cell>
        </row>
        <row r="62">
          <cell r="A62" t="str">
            <v>P5VV-E4728-00-3</v>
          </cell>
          <cell r="B62">
            <v>179</v>
          </cell>
          <cell r="F62">
            <v>179</v>
          </cell>
        </row>
        <row r="63">
          <cell r="A63" t="str">
            <v>P5VV-F1111-00</v>
          </cell>
          <cell r="B63">
            <v>4610</v>
          </cell>
          <cell r="F63">
            <v>4610</v>
          </cell>
        </row>
        <row r="64">
          <cell r="A64" t="str">
            <v>P5VV-F1117-00</v>
          </cell>
          <cell r="D64">
            <v>1290</v>
          </cell>
          <cell r="F64">
            <v>1290</v>
          </cell>
        </row>
        <row r="65">
          <cell r="A65" t="str">
            <v>P5VV-F111A</v>
          </cell>
          <cell r="E65">
            <v>156</v>
          </cell>
          <cell r="F65">
            <v>156</v>
          </cell>
        </row>
        <row r="66">
          <cell r="A66" t="str">
            <v>P5VV-F138K-00</v>
          </cell>
          <cell r="B66">
            <v>5547</v>
          </cell>
          <cell r="F66">
            <v>5547</v>
          </cell>
        </row>
        <row r="67">
          <cell r="A67" t="str">
            <v>P5VV-F146R-00</v>
          </cell>
          <cell r="B67">
            <v>24</v>
          </cell>
          <cell r="F67">
            <v>24</v>
          </cell>
        </row>
        <row r="68">
          <cell r="A68" t="str">
            <v>P5VV-F148U-00</v>
          </cell>
          <cell r="B68">
            <v>1</v>
          </cell>
          <cell r="F68">
            <v>1</v>
          </cell>
        </row>
        <row r="69">
          <cell r="A69" t="str">
            <v>P5VV-F149E-00</v>
          </cell>
          <cell r="E69">
            <v>20020</v>
          </cell>
          <cell r="F69">
            <v>20020</v>
          </cell>
        </row>
        <row r="70">
          <cell r="A70" t="str">
            <v>P5XV-F3472-00</v>
          </cell>
          <cell r="B70">
            <v>110</v>
          </cell>
          <cell r="C70">
            <v>900</v>
          </cell>
          <cell r="F70">
            <v>1010</v>
          </cell>
        </row>
        <row r="71">
          <cell r="A71" t="str">
            <v>P5YP-F1147-00</v>
          </cell>
          <cell r="E71">
            <v>80</v>
          </cell>
          <cell r="F71">
            <v>80</v>
          </cell>
        </row>
        <row r="72">
          <cell r="A72" t="str">
            <v>P5YP-F1216-00</v>
          </cell>
          <cell r="B72">
            <v>269</v>
          </cell>
          <cell r="F72">
            <v>269</v>
          </cell>
        </row>
        <row r="73">
          <cell r="A73" t="str">
            <v>P5YP-F128A-00</v>
          </cell>
          <cell r="B73">
            <v>302</v>
          </cell>
          <cell r="F73">
            <v>302</v>
          </cell>
        </row>
        <row r="74">
          <cell r="A74" t="str">
            <v>P5YP-F1312-00</v>
          </cell>
          <cell r="B74">
            <v>746</v>
          </cell>
          <cell r="F74">
            <v>746</v>
          </cell>
        </row>
        <row r="75">
          <cell r="A75" t="str">
            <v>P5YP-F1329-00</v>
          </cell>
          <cell r="B75">
            <v>1734</v>
          </cell>
          <cell r="F75">
            <v>1734</v>
          </cell>
        </row>
        <row r="76">
          <cell r="A76" t="str">
            <v>P5YP-F134M-00</v>
          </cell>
          <cell r="B76">
            <v>6</v>
          </cell>
          <cell r="F76">
            <v>6</v>
          </cell>
        </row>
        <row r="77">
          <cell r="A77" t="str">
            <v>P5YP-F142M-00</v>
          </cell>
          <cell r="E77">
            <v>1972</v>
          </cell>
          <cell r="F77">
            <v>1972</v>
          </cell>
        </row>
        <row r="78">
          <cell r="A78" t="str">
            <v>P5YW-F139N-00</v>
          </cell>
          <cell r="B78">
            <v>68</v>
          </cell>
          <cell r="C78">
            <v>5446</v>
          </cell>
          <cell r="F78">
            <v>5514</v>
          </cell>
        </row>
        <row r="79">
          <cell r="A79" t="str">
            <v>P61498 ED500</v>
          </cell>
          <cell r="B79">
            <v>204</v>
          </cell>
          <cell r="F79">
            <v>204</v>
          </cell>
        </row>
        <row r="80">
          <cell r="A80" t="str">
            <v>P641F2 EB70A</v>
          </cell>
          <cell r="B80">
            <v>721</v>
          </cell>
          <cell r="C80">
            <v>1</v>
          </cell>
          <cell r="F80">
            <v>722</v>
          </cell>
        </row>
        <row r="81">
          <cell r="A81" t="str">
            <v>P641F3 EB70A</v>
          </cell>
          <cell r="B81">
            <v>646</v>
          </cell>
          <cell r="F81">
            <v>646</v>
          </cell>
        </row>
        <row r="82">
          <cell r="A82" t="str">
            <v>P74552/3 JR200</v>
          </cell>
          <cell r="B82">
            <v>580</v>
          </cell>
          <cell r="F82">
            <v>580</v>
          </cell>
        </row>
        <row r="83">
          <cell r="A83" t="str">
            <v>P74552/53 JR000</v>
          </cell>
          <cell r="B83">
            <v>2346</v>
          </cell>
          <cell r="F83">
            <v>2346</v>
          </cell>
        </row>
        <row r="84">
          <cell r="A84" t="str">
            <v>P74558 JR000</v>
          </cell>
          <cell r="B84">
            <v>133</v>
          </cell>
          <cell r="F84">
            <v>133</v>
          </cell>
        </row>
        <row r="85">
          <cell r="A85" t="str">
            <v>P74572 JR000</v>
          </cell>
          <cell r="B85">
            <v>14</v>
          </cell>
          <cell r="F85">
            <v>14</v>
          </cell>
        </row>
        <row r="86">
          <cell r="A86" t="str">
            <v>P745F8 JR00A</v>
          </cell>
          <cell r="B86">
            <v>17</v>
          </cell>
          <cell r="C86">
            <v>320</v>
          </cell>
          <cell r="F86">
            <v>337</v>
          </cell>
        </row>
        <row r="87">
          <cell r="A87" t="str">
            <v>P75112 EB70B</v>
          </cell>
          <cell r="B87">
            <v>1560</v>
          </cell>
          <cell r="F87">
            <v>1560</v>
          </cell>
        </row>
        <row r="88">
          <cell r="A88" t="str">
            <v>P75113 EB70B</v>
          </cell>
          <cell r="B88">
            <v>1065</v>
          </cell>
          <cell r="F88">
            <v>1065</v>
          </cell>
        </row>
        <row r="89">
          <cell r="A89" t="str">
            <v>P76216 CJ400</v>
          </cell>
          <cell r="B89">
            <v>230</v>
          </cell>
          <cell r="F89">
            <v>230</v>
          </cell>
        </row>
        <row r="90">
          <cell r="A90" t="str">
            <v>P763A1 CJ40A</v>
          </cell>
          <cell r="B90">
            <v>84</v>
          </cell>
          <cell r="F90">
            <v>84</v>
          </cell>
        </row>
        <row r="91">
          <cell r="A91" t="str">
            <v>P76482 JR200</v>
          </cell>
          <cell r="C91">
            <v>337</v>
          </cell>
          <cell r="F91">
            <v>337</v>
          </cell>
        </row>
        <row r="92">
          <cell r="A92" t="str">
            <v>P76574 AX000</v>
          </cell>
          <cell r="B92">
            <v>3563</v>
          </cell>
          <cell r="F92">
            <v>3563</v>
          </cell>
        </row>
        <row r="93">
          <cell r="A93" t="str">
            <v>P76575 AX000</v>
          </cell>
          <cell r="B93">
            <v>2109</v>
          </cell>
          <cell r="F93">
            <v>2109</v>
          </cell>
        </row>
        <row r="94">
          <cell r="A94" t="str">
            <v>P80125-KFEA-700000</v>
          </cell>
          <cell r="E94">
            <v>3</v>
          </cell>
          <cell r="F94">
            <v>3</v>
          </cell>
        </row>
        <row r="95">
          <cell r="A95" t="str">
            <v>P80125-KFEA-700004</v>
          </cell>
          <cell r="E95">
            <v>23</v>
          </cell>
          <cell r="F95">
            <v>23</v>
          </cell>
        </row>
        <row r="96">
          <cell r="A96" t="str">
            <v>P80125KFEA-7000-06</v>
          </cell>
          <cell r="E96">
            <v>3</v>
          </cell>
          <cell r="F96">
            <v>3</v>
          </cell>
        </row>
        <row r="97">
          <cell r="A97" t="str">
            <v>PF83150 A07 N0000</v>
          </cell>
          <cell r="B97">
            <v>1894</v>
          </cell>
          <cell r="F97">
            <v>1894</v>
          </cell>
        </row>
        <row r="98">
          <cell r="A98" t="str">
            <v>PF87520 A07 N0000</v>
          </cell>
          <cell r="C98">
            <v>4200</v>
          </cell>
          <cell r="F98">
            <v>4200</v>
          </cell>
        </row>
        <row r="99">
          <cell r="A99" t="str">
            <v>PF87530 A07 N0000</v>
          </cell>
          <cell r="B99">
            <v>300</v>
          </cell>
          <cell r="F99">
            <v>300</v>
          </cell>
        </row>
        <row r="100">
          <cell r="A100" t="str">
            <v>PF87720 A07 N0000</v>
          </cell>
          <cell r="B100">
            <v>260</v>
          </cell>
          <cell r="C100">
            <v>3900</v>
          </cell>
          <cell r="F100">
            <v>4160</v>
          </cell>
        </row>
        <row r="101">
          <cell r="A101" t="str">
            <v>PF87730 A07 N0000</v>
          </cell>
          <cell r="B101">
            <v>491</v>
          </cell>
          <cell r="F101">
            <v>491</v>
          </cell>
        </row>
        <row r="102">
          <cell r="A102" t="str">
            <v>ผลรวมทั้งหมด</v>
          </cell>
          <cell r="B102">
            <v>118239</v>
          </cell>
          <cell r="C102">
            <v>22322</v>
          </cell>
          <cell r="D102">
            <v>4569</v>
          </cell>
          <cell r="E102">
            <v>57631</v>
          </cell>
          <cell r="F102">
            <v>202761</v>
          </cell>
        </row>
      </sheetData>
      <sheetData sheetId="3">
        <row r="1">
          <cell r="B1" t="str">
            <v>STOCK STRIP AS OF 30 SEPTEMBER 2552 14.30</v>
          </cell>
        </row>
        <row r="3">
          <cell r="B3" t="str">
            <v>Sum of QOH  (Kg.)</v>
          </cell>
          <cell r="D3" t="str">
            <v>Location</v>
          </cell>
          <cell r="G3" t="str">
            <v>Grand Total</v>
          </cell>
        </row>
        <row r="4">
          <cell r="B4" t="str">
            <v>Item Number</v>
          </cell>
          <cell r="C4" t="str">
            <v>Description</v>
          </cell>
          <cell r="D4" t="str">
            <v>STRIP PSP</v>
          </cell>
          <cell r="E4" t="str">
            <v>STRIP THAIPIYA</v>
          </cell>
          <cell r="F4" t="str">
            <v>NC01/2</v>
          </cell>
        </row>
        <row r="5">
          <cell r="A5" t="str">
            <v>CR SPCC-SD0.635605</v>
          </cell>
          <cell r="B5" t="str">
            <v>52AF1006000350605</v>
          </cell>
          <cell r="C5" t="str">
            <v>CR SPCC-SD 0.6x35x605</v>
          </cell>
          <cell r="D5">
            <v>31</v>
          </cell>
          <cell r="G5">
            <v>31</v>
          </cell>
        </row>
        <row r="6">
          <cell r="A6" t="str">
            <v>CR SPCC-SD11901219</v>
          </cell>
          <cell r="B6" t="str">
            <v>52AF1010001901219</v>
          </cell>
          <cell r="C6" t="str">
            <v>CR SPCC-SD 1.0x190x1219</v>
          </cell>
          <cell r="D6">
            <v>380</v>
          </cell>
          <cell r="G6">
            <v>380</v>
          </cell>
        </row>
        <row r="7">
          <cell r="A7" t="str">
            <v>CR SPCC-SD1.2681219</v>
          </cell>
          <cell r="B7" t="str">
            <v>52AF1012000681219</v>
          </cell>
          <cell r="C7" t="str">
            <v>CR SPCC-SD 1.2x68x1219</v>
          </cell>
          <cell r="D7">
            <v>298</v>
          </cell>
          <cell r="G7">
            <v>298</v>
          </cell>
        </row>
        <row r="8">
          <cell r="A8" t="str">
            <v>CR SPCC-SD1.2721219</v>
          </cell>
          <cell r="B8" t="str">
            <v>52AF1012000721219</v>
          </cell>
          <cell r="C8" t="str">
            <v>CR SPCC-SD 1.2x72x1219</v>
          </cell>
          <cell r="D8">
            <v>350</v>
          </cell>
          <cell r="G8">
            <v>350</v>
          </cell>
        </row>
        <row r="9">
          <cell r="A9" t="str">
            <v>CR SPCC-SD1.23041219</v>
          </cell>
          <cell r="B9" t="str">
            <v>52AF1012003041219</v>
          </cell>
          <cell r="C9" t="str">
            <v>CR SPCC-SD 1.2x304x1219</v>
          </cell>
          <cell r="D9">
            <v>73</v>
          </cell>
          <cell r="G9">
            <v>73</v>
          </cell>
        </row>
        <row r="10">
          <cell r="A10" t="str">
            <v>CR SPCC-SD1.4451219</v>
          </cell>
          <cell r="B10" t="str">
            <v>52AF1014000451219</v>
          </cell>
          <cell r="C10" t="str">
            <v>CR SPCC-SD 1.4x45x1219</v>
          </cell>
          <cell r="D10">
            <v>24</v>
          </cell>
          <cell r="G10">
            <v>24</v>
          </cell>
        </row>
        <row r="11">
          <cell r="A11" t="str">
            <v>CR SPCC-SD1.6921219</v>
          </cell>
          <cell r="B11" t="str">
            <v>52AF1016000921219</v>
          </cell>
          <cell r="C11" t="str">
            <v>CR SPCC-SD 1.6x92x1219</v>
          </cell>
          <cell r="D11">
            <v>3</v>
          </cell>
          <cell r="G11">
            <v>3</v>
          </cell>
        </row>
        <row r="12">
          <cell r="A12" t="str">
            <v>CR SPCC-SD1.62201219</v>
          </cell>
          <cell r="B12" t="str">
            <v>52AF1016002201219</v>
          </cell>
          <cell r="C12" t="str">
            <v>CR SPCC-SD 1.6x220x1219</v>
          </cell>
          <cell r="D12">
            <v>563</v>
          </cell>
          <cell r="G12">
            <v>563</v>
          </cell>
        </row>
        <row r="13">
          <cell r="A13" t="str">
            <v>CR SPCC-SD1.62301219</v>
          </cell>
          <cell r="B13" t="str">
            <v>52AF1016002301219</v>
          </cell>
          <cell r="C13" t="str">
            <v>CR SPCC-SD 1.6x230x1219</v>
          </cell>
          <cell r="D13">
            <v>472</v>
          </cell>
          <cell r="G13">
            <v>472</v>
          </cell>
        </row>
        <row r="14">
          <cell r="A14" t="str">
            <v>CR SPCC-SD1.62501219</v>
          </cell>
          <cell r="B14" t="str">
            <v>52AF1016002501219</v>
          </cell>
          <cell r="C14" t="str">
            <v>CR SPCC-SD 1.6x250x1219</v>
          </cell>
          <cell r="D14">
            <v>73</v>
          </cell>
          <cell r="G14">
            <v>73</v>
          </cell>
        </row>
        <row r="15">
          <cell r="A15" t="str">
            <v>CR SPCC-SD1.63051050</v>
          </cell>
          <cell r="B15" t="str">
            <v>52AF1016003051050</v>
          </cell>
          <cell r="C15" t="str">
            <v>CR SPCC-SD 1.6x305x1050</v>
          </cell>
          <cell r="D15">
            <v>241</v>
          </cell>
          <cell r="G15">
            <v>241</v>
          </cell>
        </row>
        <row r="16">
          <cell r="A16" t="str">
            <v>CR SPCC-SD21071000</v>
          </cell>
          <cell r="B16" t="str">
            <v>52AF1020001071000</v>
          </cell>
          <cell r="C16" t="str">
            <v>CR SPCC-SD 2.0x107x1000</v>
          </cell>
          <cell r="D16">
            <v>240</v>
          </cell>
          <cell r="G16">
            <v>240</v>
          </cell>
        </row>
        <row r="17">
          <cell r="A17" t="str">
            <v>CR SPCC-SD21661219</v>
          </cell>
          <cell r="B17" t="str">
            <v>52AF1020001661219</v>
          </cell>
          <cell r="C17" t="str">
            <v>CR SPCC-SD 2.0x166x1219</v>
          </cell>
          <cell r="D17">
            <v>95</v>
          </cell>
          <cell r="G17">
            <v>95</v>
          </cell>
        </row>
        <row r="18">
          <cell r="A18" t="str">
            <v>CR SPCC-SD22261219</v>
          </cell>
          <cell r="B18" t="str">
            <v>52AF1020002261219</v>
          </cell>
          <cell r="C18" t="str">
            <v>CR SPCC-SD 2.0x226x1219</v>
          </cell>
          <cell r="D18">
            <v>52</v>
          </cell>
          <cell r="G18">
            <v>52</v>
          </cell>
        </row>
        <row r="19">
          <cell r="A19" t="str">
            <v>CR SPCC-SD2.3521219</v>
          </cell>
          <cell r="B19" t="str">
            <v>52AF1023000521219</v>
          </cell>
          <cell r="C19" t="str">
            <v>CR SPCC-SD 2.3x52x1219</v>
          </cell>
          <cell r="D19">
            <v>316</v>
          </cell>
          <cell r="G19">
            <v>316</v>
          </cell>
        </row>
        <row r="20">
          <cell r="A20" t="str">
            <v>CR SPCC-SD2.3621219</v>
          </cell>
          <cell r="B20" t="str">
            <v>52AF1023000621219</v>
          </cell>
          <cell r="C20" t="str">
            <v>CR SPCC-SD 2.3x62x1219</v>
          </cell>
          <cell r="D20">
            <v>1156</v>
          </cell>
          <cell r="G20">
            <v>1156</v>
          </cell>
        </row>
        <row r="21">
          <cell r="A21" t="str">
            <v>CR SPCC-SD2.6851219</v>
          </cell>
          <cell r="B21" t="str">
            <v>52AF1026000851219</v>
          </cell>
          <cell r="C21" t="str">
            <v>CR SPCC-SD 2.6x85x1219</v>
          </cell>
          <cell r="D21">
            <v>1157</v>
          </cell>
          <cell r="G21">
            <v>1157</v>
          </cell>
        </row>
        <row r="22">
          <cell r="A22" t="str">
            <v>CR SPCC-SD3.2581219</v>
          </cell>
          <cell r="B22" t="str">
            <v>52AF1032000581219</v>
          </cell>
          <cell r="C22" t="str">
            <v>CR SPCC-SD 3.2x58x1219</v>
          </cell>
          <cell r="D22">
            <v>231</v>
          </cell>
          <cell r="G22">
            <v>231</v>
          </cell>
        </row>
        <row r="23">
          <cell r="A23" t="str">
            <v>CR SPCC-SD3.2921219</v>
          </cell>
          <cell r="B23" t="str">
            <v>52AF1032000921219</v>
          </cell>
          <cell r="C23" t="str">
            <v>CR SPCC-SD 3.2x92x1219</v>
          </cell>
          <cell r="D23">
            <v>169</v>
          </cell>
          <cell r="G23">
            <v>169</v>
          </cell>
        </row>
        <row r="24">
          <cell r="A24" t="str">
            <v>CR SPCC-SD3.21241219</v>
          </cell>
          <cell r="B24" t="str">
            <v>52AF1032001241219</v>
          </cell>
          <cell r="C24" t="str">
            <v>CR SPCC-SD 3.2x124x1219</v>
          </cell>
          <cell r="D24">
            <v>80</v>
          </cell>
          <cell r="G24">
            <v>80</v>
          </cell>
        </row>
        <row r="25">
          <cell r="A25" t="str">
            <v>CR SPCEN-SD1801219</v>
          </cell>
          <cell r="B25" t="str">
            <v>52AF3010000801219</v>
          </cell>
          <cell r="C25" t="str">
            <v>CR SPCEN-SD 1.0x80x1219</v>
          </cell>
          <cell r="D25">
            <v>127</v>
          </cell>
          <cell r="G25">
            <v>127</v>
          </cell>
        </row>
        <row r="26">
          <cell r="A26" t="str">
            <v>PO SPHC P/O1.2371219</v>
          </cell>
          <cell r="B26" t="str">
            <v>53CA1012000371219</v>
          </cell>
          <cell r="C26" t="str">
            <v>PO SPHC P/O 1.2x37x1219</v>
          </cell>
          <cell r="D26">
            <v>12</v>
          </cell>
          <cell r="G26">
            <v>12</v>
          </cell>
        </row>
        <row r="27">
          <cell r="A27" t="str">
            <v>PO SPHC P/O1.2681219</v>
          </cell>
          <cell r="B27" t="str">
            <v>53CA1012000681219</v>
          </cell>
          <cell r="C27" t="str">
            <v>PO SPHC P/O 1.2x68x1219</v>
          </cell>
          <cell r="D27">
            <v>40</v>
          </cell>
          <cell r="G27">
            <v>40</v>
          </cell>
        </row>
        <row r="28">
          <cell r="A28" t="str">
            <v>PO SPHC-P/O1.2711219</v>
          </cell>
          <cell r="B28" t="str">
            <v>53CA1012000711219</v>
          </cell>
          <cell r="C28" t="str">
            <v>PO SPHC-P/O 1.2x71x1219</v>
          </cell>
          <cell r="D28">
            <v>52</v>
          </cell>
          <cell r="G28">
            <v>52</v>
          </cell>
        </row>
        <row r="29">
          <cell r="A29" t="str">
            <v>PO SPHC P/O1.4581219</v>
          </cell>
          <cell r="B29" t="str">
            <v>53CA1014000581219</v>
          </cell>
          <cell r="C29" t="str">
            <v>PO SPHC P/O 1.4x58x1219</v>
          </cell>
          <cell r="D29">
            <v>37</v>
          </cell>
          <cell r="G29">
            <v>37</v>
          </cell>
        </row>
        <row r="30">
          <cell r="A30" t="str">
            <v>PO SPHC P/O1.6271219</v>
          </cell>
          <cell r="B30" t="str">
            <v>53CA1016000271219</v>
          </cell>
          <cell r="C30" t="str">
            <v>PO SPHC P/O 1.6x27x1219</v>
          </cell>
          <cell r="D30">
            <v>10</v>
          </cell>
          <cell r="G30">
            <v>10</v>
          </cell>
        </row>
        <row r="31">
          <cell r="A31" t="str">
            <v>PO SPHC P/O1.6351219</v>
          </cell>
          <cell r="B31" t="str">
            <v>53CA1016000351219</v>
          </cell>
          <cell r="C31" t="str">
            <v>PO SPHC P/O 1.6x35x1219</v>
          </cell>
          <cell r="D31">
            <v>33</v>
          </cell>
          <cell r="G31">
            <v>33</v>
          </cell>
        </row>
        <row r="32">
          <cell r="A32" t="str">
            <v>PO SPHC P/O1.6481219</v>
          </cell>
          <cell r="B32" t="str">
            <v>53CA1016000481219</v>
          </cell>
          <cell r="C32" t="str">
            <v>PO SPHC P/O 1.6x48x1219</v>
          </cell>
          <cell r="D32">
            <v>37</v>
          </cell>
          <cell r="G32">
            <v>37</v>
          </cell>
        </row>
        <row r="33">
          <cell r="A33" t="str">
            <v>PO SPHC P/O1.6501219</v>
          </cell>
          <cell r="B33" t="str">
            <v>53CA1016000501219</v>
          </cell>
          <cell r="C33" t="str">
            <v>PO SPHC P/O 1.6x50x1219</v>
          </cell>
          <cell r="D33">
            <v>27</v>
          </cell>
          <cell r="G33">
            <v>27</v>
          </cell>
        </row>
        <row r="34">
          <cell r="A34" t="str">
            <v>PO SPHC P/O1.6641219</v>
          </cell>
          <cell r="B34" t="str">
            <v>53CA1016000641219</v>
          </cell>
          <cell r="C34" t="str">
            <v>PO SPHC P/O 1.6x64x1219</v>
          </cell>
          <cell r="D34">
            <v>91</v>
          </cell>
          <cell r="G34">
            <v>91</v>
          </cell>
        </row>
        <row r="35">
          <cell r="A35" t="str">
            <v>PO SPHC P/O1.6731219</v>
          </cell>
          <cell r="B35" t="str">
            <v>53CA1016000731219</v>
          </cell>
          <cell r="C35" t="str">
            <v>PO SPHC P/O 1.6x73x1219</v>
          </cell>
          <cell r="D35">
            <v>1</v>
          </cell>
          <cell r="G35">
            <v>1</v>
          </cell>
        </row>
        <row r="36">
          <cell r="A36" t="str">
            <v>PO SPHC P/O1.6861219</v>
          </cell>
          <cell r="B36" t="str">
            <v>53CA1016000861219</v>
          </cell>
          <cell r="C36" t="str">
            <v>PO SPHC P/O 1.6x86x1219</v>
          </cell>
          <cell r="D36">
            <v>79</v>
          </cell>
          <cell r="G36">
            <v>79</v>
          </cell>
        </row>
        <row r="37">
          <cell r="A37" t="str">
            <v>PO SPHC-P/O2751145</v>
          </cell>
          <cell r="B37" t="str">
            <v>53CA1020000751145</v>
          </cell>
          <cell r="C37" t="str">
            <v>PO SPHC-P/O 2.0x75x1145</v>
          </cell>
          <cell r="D37">
            <v>40</v>
          </cell>
          <cell r="G37">
            <v>40</v>
          </cell>
        </row>
        <row r="38">
          <cell r="A38" t="str">
            <v>PO SPHC P/O2951219</v>
          </cell>
          <cell r="B38" t="str">
            <v>53CA1020000951219</v>
          </cell>
          <cell r="C38" t="str">
            <v>PO SPHC P/O 2.0x95x1219</v>
          </cell>
          <cell r="D38">
            <v>207</v>
          </cell>
          <cell r="G38">
            <v>207</v>
          </cell>
        </row>
        <row r="39">
          <cell r="A39" t="str">
            <v>PO SPHC P/O21201219</v>
          </cell>
          <cell r="B39" t="str">
            <v>53CA1020001201219</v>
          </cell>
          <cell r="C39" t="str">
            <v>PO SPHC P/O 2.0x120x1219</v>
          </cell>
          <cell r="D39">
            <v>5053</v>
          </cell>
          <cell r="G39">
            <v>5053</v>
          </cell>
        </row>
        <row r="40">
          <cell r="A40" t="str">
            <v>PO SPHC-P/O21551145</v>
          </cell>
          <cell r="B40" t="str">
            <v>53CA1020001551145</v>
          </cell>
          <cell r="C40" t="str">
            <v>PO SPHC-P/O 2.0x155x1145</v>
          </cell>
          <cell r="D40">
            <v>181</v>
          </cell>
          <cell r="G40">
            <v>181</v>
          </cell>
        </row>
        <row r="41">
          <cell r="A41" t="str">
            <v>PO SPHC-P/O21801145</v>
          </cell>
          <cell r="B41" t="str">
            <v>53CA1020001801145</v>
          </cell>
          <cell r="C41" t="str">
            <v>PO SPHC-P/O 2.0x180x1145</v>
          </cell>
          <cell r="D41">
            <v>113</v>
          </cell>
          <cell r="G41">
            <v>113</v>
          </cell>
        </row>
        <row r="42">
          <cell r="A42" t="str">
            <v>PO SPHC P/O22451219</v>
          </cell>
          <cell r="B42" t="str">
            <v>53CA1020002451219</v>
          </cell>
          <cell r="C42" t="str">
            <v>PO SPHC P/O 2.0x245x1219</v>
          </cell>
          <cell r="F42">
            <v>436</v>
          </cell>
          <cell r="G42">
            <v>436</v>
          </cell>
        </row>
        <row r="43">
          <cell r="A43" t="str">
            <v>PO SPHC P/O2.3851219</v>
          </cell>
          <cell r="B43" t="str">
            <v>53CA1023000851219</v>
          </cell>
          <cell r="C43" t="str">
            <v>PO SPHC P/O 2.3x85x1219</v>
          </cell>
          <cell r="D43">
            <v>118</v>
          </cell>
          <cell r="G43">
            <v>118</v>
          </cell>
        </row>
        <row r="44">
          <cell r="A44" t="str">
            <v>PO SPHC P/O2.31101219</v>
          </cell>
          <cell r="B44" t="str">
            <v>53CA1023001101219</v>
          </cell>
          <cell r="C44" t="str">
            <v>PO SPHC P/O 2.3x110x1219</v>
          </cell>
          <cell r="D44">
            <v>4634</v>
          </cell>
          <cell r="G44">
            <v>4634</v>
          </cell>
        </row>
        <row r="45">
          <cell r="A45" t="str">
            <v>PO SPHC-P/O2.31111219</v>
          </cell>
          <cell r="B45" t="str">
            <v>53CA1023001111219</v>
          </cell>
          <cell r="C45" t="str">
            <v>PO SPHC-P/O 2.3x111x1219</v>
          </cell>
          <cell r="D45">
            <v>83</v>
          </cell>
          <cell r="G45">
            <v>83</v>
          </cell>
        </row>
        <row r="46">
          <cell r="A46" t="str">
            <v>PO SPHC P/O2.31251219</v>
          </cell>
          <cell r="B46" t="str">
            <v>53CA1023001251219</v>
          </cell>
          <cell r="C46" t="str">
            <v>PO SPHC P/O 2.3x125x1219</v>
          </cell>
          <cell r="D46">
            <v>3</v>
          </cell>
          <cell r="G46">
            <v>3</v>
          </cell>
        </row>
        <row r="47">
          <cell r="A47" t="str">
            <v>PO SPHC P/O2.32151219</v>
          </cell>
          <cell r="B47" t="str">
            <v>53CA1023002151219</v>
          </cell>
          <cell r="C47" t="str">
            <v>PO SPHC P/O 2.3x215x1219</v>
          </cell>
          <cell r="D47">
            <v>738</v>
          </cell>
          <cell r="G47">
            <v>738</v>
          </cell>
        </row>
        <row r="48">
          <cell r="A48" t="str">
            <v>PO SPHC-P/O2.675937</v>
          </cell>
          <cell r="B48" t="str">
            <v>53CA1026000750937</v>
          </cell>
          <cell r="C48" t="str">
            <v>PO SPHC-P/O 2.6x75x937</v>
          </cell>
          <cell r="D48">
            <v>65</v>
          </cell>
          <cell r="G48">
            <v>65</v>
          </cell>
        </row>
        <row r="49">
          <cell r="A49" t="str">
            <v>PO SPHC P/O2.62291219</v>
          </cell>
          <cell r="B49" t="str">
            <v>53CA1026002291219</v>
          </cell>
          <cell r="C49" t="str">
            <v>PO SPHC P/O 2.6x229x1219</v>
          </cell>
          <cell r="F49">
            <v>325</v>
          </cell>
          <cell r="G49">
            <v>325</v>
          </cell>
        </row>
        <row r="50">
          <cell r="A50" t="str">
            <v>PO SPHC P/O31051219</v>
          </cell>
          <cell r="B50" t="str">
            <v>53CA1030001051219</v>
          </cell>
          <cell r="C50" t="str">
            <v>PO SPHC P/O 3.0x105x1219</v>
          </cell>
          <cell r="D50">
            <v>789</v>
          </cell>
          <cell r="G50">
            <v>789</v>
          </cell>
        </row>
        <row r="51">
          <cell r="A51" t="str">
            <v>PO SPHC P/O3.2401219</v>
          </cell>
          <cell r="B51" t="str">
            <v>53CA1032000401219</v>
          </cell>
          <cell r="C51" t="str">
            <v>PO SPHC P/O 3.2x40x1219</v>
          </cell>
          <cell r="D51">
            <v>4</v>
          </cell>
          <cell r="G51">
            <v>4</v>
          </cell>
        </row>
        <row r="52">
          <cell r="A52" t="str">
            <v>PO SPHC P/O3.2641219</v>
          </cell>
          <cell r="B52" t="str">
            <v>53CA1032000641219</v>
          </cell>
          <cell r="C52" t="str">
            <v>PO SPHC P/O 3.2x64x1219</v>
          </cell>
          <cell r="D52">
            <v>74</v>
          </cell>
          <cell r="G52">
            <v>74</v>
          </cell>
        </row>
        <row r="53">
          <cell r="A53" t="str">
            <v>PO SPHC P/O3.21201219</v>
          </cell>
          <cell r="B53" t="str">
            <v>53CA1032001201219</v>
          </cell>
          <cell r="C53" t="str">
            <v>PO SPHC P/O 3.2x120x1219</v>
          </cell>
          <cell r="D53">
            <v>4</v>
          </cell>
          <cell r="G53">
            <v>4</v>
          </cell>
        </row>
        <row r="54">
          <cell r="A54" t="str">
            <v>PO SPHC P/O3.21521219</v>
          </cell>
          <cell r="B54" t="str">
            <v>53CA1032001521219</v>
          </cell>
          <cell r="C54" t="str">
            <v>PO SPHC P/O 3.2x152x1219</v>
          </cell>
          <cell r="D54">
            <v>116</v>
          </cell>
          <cell r="G54">
            <v>116</v>
          </cell>
        </row>
        <row r="55">
          <cell r="A55" t="str">
            <v>PO SPHC P/O4401219</v>
          </cell>
          <cell r="B55" t="str">
            <v>53CA1040000401219</v>
          </cell>
          <cell r="C55" t="str">
            <v>PO SPHC P/O 4.0x40x1219</v>
          </cell>
          <cell r="D55">
            <v>165</v>
          </cell>
          <cell r="G55">
            <v>165</v>
          </cell>
        </row>
        <row r="56">
          <cell r="A56" t="str">
            <v>PO SPHC P/O4.5641219</v>
          </cell>
          <cell r="B56" t="str">
            <v>53CA1045000641219</v>
          </cell>
          <cell r="C56" t="str">
            <v>PO SPHC P/O 4.5x64x1219</v>
          </cell>
          <cell r="D56">
            <v>111</v>
          </cell>
          <cell r="G56">
            <v>111</v>
          </cell>
        </row>
        <row r="57">
          <cell r="A57" t="str">
            <v>PO SPHC P/O4.51261219</v>
          </cell>
          <cell r="B57" t="str">
            <v>53CA1045001261219</v>
          </cell>
          <cell r="C57" t="str">
            <v>PO SPHC P/O 4.5x126x1219</v>
          </cell>
          <cell r="D57">
            <v>11</v>
          </cell>
          <cell r="G57">
            <v>11</v>
          </cell>
        </row>
        <row r="58">
          <cell r="A58" t="str">
            <v>PO SPHC P/O4.52701219</v>
          </cell>
          <cell r="B58" t="str">
            <v>53CA1045002701219</v>
          </cell>
          <cell r="C58" t="str">
            <v>PO SPHC P/O 4.5x270x1219</v>
          </cell>
          <cell r="D58">
            <v>466</v>
          </cell>
          <cell r="G58">
            <v>466</v>
          </cell>
        </row>
        <row r="59">
          <cell r="A59" t="str">
            <v>PO SPHC P/O6531219</v>
          </cell>
          <cell r="B59" t="str">
            <v>53CA1060000531219</v>
          </cell>
          <cell r="C59" t="str">
            <v>PO SPHC P/O 6.0x53x1219</v>
          </cell>
          <cell r="D59">
            <v>1462</v>
          </cell>
          <cell r="G59">
            <v>1462</v>
          </cell>
        </row>
        <row r="60">
          <cell r="A60" t="str">
            <v>SP121 BQ0.8641219</v>
          </cell>
          <cell r="B60" t="str">
            <v>55ALA008000641219</v>
          </cell>
          <cell r="C60" t="str">
            <v>SP121 BQ 0.8x64x1219</v>
          </cell>
          <cell r="E60">
            <v>125.91</v>
          </cell>
          <cell r="G60">
            <v>125.91</v>
          </cell>
        </row>
        <row r="61">
          <cell r="A61" t="str">
            <v>SP121 BQ0.8681219</v>
          </cell>
          <cell r="B61" t="str">
            <v>55ALA008000681219</v>
          </cell>
          <cell r="C61" t="str">
            <v>SP121 BQ 0.8x68x1219</v>
          </cell>
          <cell r="E61">
            <v>26.55</v>
          </cell>
          <cell r="G61">
            <v>26.55</v>
          </cell>
        </row>
        <row r="62">
          <cell r="A62" t="str">
            <v>SP121 BQ1.4861219</v>
          </cell>
          <cell r="B62" t="str">
            <v>55ALA014000861219</v>
          </cell>
          <cell r="C62" t="str">
            <v>SP121 BQ 1.4x86x1219</v>
          </cell>
          <cell r="E62">
            <v>73.739999999999995</v>
          </cell>
          <cell r="G62">
            <v>73.739999999999995</v>
          </cell>
        </row>
        <row r="63">
          <cell r="A63" t="str">
            <v>SP121 BQ1.41131219</v>
          </cell>
          <cell r="B63" t="str">
            <v>55ALA014001131219</v>
          </cell>
          <cell r="C63" t="str">
            <v>SP121 BQ 1.4x113x1219</v>
          </cell>
          <cell r="E63">
            <v>744.81</v>
          </cell>
          <cell r="G63">
            <v>744.81</v>
          </cell>
        </row>
        <row r="64">
          <cell r="A64" t="str">
            <v>CR SPCC-SD1.2721219</v>
          </cell>
          <cell r="B64" t="str">
            <v>56AT1012000721219</v>
          </cell>
          <cell r="C64" t="str">
            <v>CR SPCC-SD 1.20x72x1219</v>
          </cell>
          <cell r="E64">
            <v>2731.75</v>
          </cell>
          <cell r="G64">
            <v>2731.75</v>
          </cell>
        </row>
        <row r="65">
          <cell r="A65" t="str">
            <v>CR SPCC-SD1.21241219</v>
          </cell>
          <cell r="B65" t="str">
            <v>56AT1012001241219</v>
          </cell>
          <cell r="C65" t="str">
            <v>CR SPCC-SD 1.20x124x1219</v>
          </cell>
          <cell r="E65">
            <v>169.44</v>
          </cell>
          <cell r="G65">
            <v>169.44</v>
          </cell>
        </row>
        <row r="66">
          <cell r="A66" t="str">
            <v>SP781 BQ0.81361219</v>
          </cell>
          <cell r="B66" t="str">
            <v>57ALE008001361219</v>
          </cell>
          <cell r="C66" t="str">
            <v>SP781 BQ 0.80x136x1219</v>
          </cell>
          <cell r="E66">
            <v>46.47</v>
          </cell>
          <cell r="G66">
            <v>46.47</v>
          </cell>
        </row>
        <row r="67">
          <cell r="A67" t="str">
            <v>SP781 BQ1.62601219</v>
          </cell>
          <cell r="B67" t="str">
            <v>57ALE016002601219</v>
          </cell>
          <cell r="C67" t="str">
            <v>SP781 BQ 1.6x260x1219</v>
          </cell>
          <cell r="E67">
            <v>589.37</v>
          </cell>
          <cell r="G67">
            <v>589.37</v>
          </cell>
        </row>
        <row r="68">
          <cell r="A68" t="str">
            <v>SP7911.41261219</v>
          </cell>
          <cell r="B68" t="str">
            <v>57ALF014001261219</v>
          </cell>
          <cell r="C68" t="str">
            <v>SP791 1.4x126x1219</v>
          </cell>
          <cell r="E68">
            <v>61.26</v>
          </cell>
          <cell r="G68">
            <v>61.26</v>
          </cell>
        </row>
        <row r="69">
          <cell r="A69" t="str">
            <v>SP781 BQ1.2611219</v>
          </cell>
          <cell r="B69" t="str">
            <v>57AME012000611219</v>
          </cell>
          <cell r="C69" t="str">
            <v>SP781 BQ 1.2x61x1219</v>
          </cell>
          <cell r="E69">
            <v>486.52</v>
          </cell>
          <cell r="G69">
            <v>486.52</v>
          </cell>
        </row>
        <row r="70">
          <cell r="A70" t="str">
            <v>SP781 BQ1.2631219</v>
          </cell>
          <cell r="B70" t="str">
            <v>57AME012000631219</v>
          </cell>
          <cell r="C70" t="str">
            <v>SP781 BQ 1.2x63x1219</v>
          </cell>
          <cell r="E70">
            <v>566.01</v>
          </cell>
          <cell r="G70">
            <v>566.01</v>
          </cell>
        </row>
        <row r="71">
          <cell r="A71" t="str">
            <v>SP781 BQ1.2841219</v>
          </cell>
          <cell r="B71" t="str">
            <v>57AME012000841219</v>
          </cell>
          <cell r="C71" t="str">
            <v>SP781 BQ 1.2x84x1219</v>
          </cell>
          <cell r="E71">
            <v>493.88</v>
          </cell>
          <cell r="G71">
            <v>493.88</v>
          </cell>
        </row>
        <row r="72">
          <cell r="A72" t="str">
            <v>PO SPHC P/O1.4411219</v>
          </cell>
          <cell r="B72" t="str">
            <v>57AT1014000411219</v>
          </cell>
          <cell r="C72" t="str">
            <v>PO SPHC P/O 1.40x41x1219</v>
          </cell>
          <cell r="E72">
            <v>135.13</v>
          </cell>
          <cell r="G72">
            <v>135.13</v>
          </cell>
        </row>
        <row r="73">
          <cell r="A73" t="str">
            <v>PO SPHC P/O1.6201219</v>
          </cell>
          <cell r="B73" t="str">
            <v>57AT1016000201219</v>
          </cell>
          <cell r="C73" t="str">
            <v>PO SPHC P/O 1.60x20x1219</v>
          </cell>
          <cell r="E73">
            <v>52.05</v>
          </cell>
          <cell r="G73">
            <v>52.05</v>
          </cell>
        </row>
        <row r="74">
          <cell r="A74" t="str">
            <v>PO SPHC P/O1.6271219</v>
          </cell>
          <cell r="B74" t="str">
            <v>57AT1016000271219</v>
          </cell>
          <cell r="C74" t="str">
            <v>PO SPHC P/O 1.60x27x1219</v>
          </cell>
          <cell r="E74">
            <v>26.87</v>
          </cell>
          <cell r="G74">
            <v>26.87</v>
          </cell>
        </row>
        <row r="75">
          <cell r="A75" t="str">
            <v>PO SPHC P/O1.6391219</v>
          </cell>
          <cell r="B75" t="str">
            <v>57AT1016000391219</v>
          </cell>
          <cell r="C75" t="str">
            <v>PO SPHC P/O 1.60x39x1219</v>
          </cell>
          <cell r="E75">
            <v>14.93</v>
          </cell>
          <cell r="G75">
            <v>14.93</v>
          </cell>
        </row>
        <row r="76">
          <cell r="A76" t="str">
            <v>PO SPHC P/O1.6401219</v>
          </cell>
          <cell r="B76" t="str">
            <v>57AT1016000401219</v>
          </cell>
          <cell r="C76" t="str">
            <v>PO SPHC P/O 1.60x40x1219</v>
          </cell>
          <cell r="E76">
            <v>11.64</v>
          </cell>
          <cell r="G76">
            <v>11.64</v>
          </cell>
        </row>
        <row r="77">
          <cell r="A77" t="str">
            <v>PO SPHC P/O1.6481219</v>
          </cell>
          <cell r="B77" t="str">
            <v>57AT1016000481219</v>
          </cell>
          <cell r="C77" t="str">
            <v>PO SPHC P/O 1.60x48x1219</v>
          </cell>
          <cell r="E77">
            <v>554.12</v>
          </cell>
          <cell r="G77">
            <v>554.12</v>
          </cell>
        </row>
        <row r="78">
          <cell r="A78" t="str">
            <v>PO SPHC P/O1.6551219</v>
          </cell>
          <cell r="B78" t="str">
            <v>57AT1016000551219</v>
          </cell>
          <cell r="C78" t="str">
            <v>PO SPHC P/O 1.60x55x1219</v>
          </cell>
          <cell r="E78">
            <v>16.84</v>
          </cell>
          <cell r="G78">
            <v>16.84</v>
          </cell>
        </row>
        <row r="79">
          <cell r="A79" t="str">
            <v>PO SPHC P/O1.6561219</v>
          </cell>
          <cell r="B79" t="str">
            <v>57AT1016000561219</v>
          </cell>
          <cell r="C79" t="str">
            <v>PO SPHC P/O 1.60x56x1219</v>
          </cell>
          <cell r="E79">
            <v>44.58</v>
          </cell>
          <cell r="G79">
            <v>44.58</v>
          </cell>
        </row>
        <row r="80">
          <cell r="A80" t="str">
            <v>PO SPHC P/O1.6601219</v>
          </cell>
          <cell r="B80" t="str">
            <v>57AT1016000601219</v>
          </cell>
          <cell r="C80" t="str">
            <v>PO SPHC P/O 1.60x60x1219</v>
          </cell>
          <cell r="E80">
            <v>137.79</v>
          </cell>
          <cell r="G80">
            <v>137.79</v>
          </cell>
        </row>
        <row r="81">
          <cell r="A81" t="str">
            <v>PO SPHC P/O1.6751219</v>
          </cell>
          <cell r="B81" t="str">
            <v>57AT1016000751219</v>
          </cell>
          <cell r="C81" t="str">
            <v>PO SPHC P/O 1.60x75x1219</v>
          </cell>
          <cell r="E81">
            <v>41.33</v>
          </cell>
          <cell r="G81">
            <v>41.33</v>
          </cell>
        </row>
        <row r="82">
          <cell r="A82" t="str">
            <v>PO SPHC P/O1.6801219</v>
          </cell>
          <cell r="B82" t="str">
            <v>57AT1016000801219</v>
          </cell>
          <cell r="C82" t="str">
            <v>PO SPHC P/O 1.60x80x1219</v>
          </cell>
          <cell r="E82">
            <v>242.53</v>
          </cell>
          <cell r="G82">
            <v>242.53</v>
          </cell>
        </row>
        <row r="83">
          <cell r="A83" t="str">
            <v>PO SPHC P/O1.6841219</v>
          </cell>
          <cell r="B83" t="str">
            <v>57AT1016000841219</v>
          </cell>
          <cell r="C83" t="str">
            <v>PO SPHC P/O 1.60x84x1219</v>
          </cell>
          <cell r="E83">
            <v>12.86</v>
          </cell>
          <cell r="G83">
            <v>12.86</v>
          </cell>
        </row>
        <row r="84">
          <cell r="A84" t="str">
            <v>PO SPHC P/O1.6861219</v>
          </cell>
          <cell r="B84" t="str">
            <v>57AT1016000861219</v>
          </cell>
          <cell r="C84" t="str">
            <v>PO SPHC P/O 1.60x86x1219</v>
          </cell>
          <cell r="E84">
            <v>317.32</v>
          </cell>
          <cell r="G84">
            <v>317.32</v>
          </cell>
        </row>
        <row r="85">
          <cell r="A85" t="str">
            <v>PO SPHC P/O1.6981219</v>
          </cell>
          <cell r="B85" t="str">
            <v>57AT1016000981219</v>
          </cell>
          <cell r="C85" t="str">
            <v>PO SPHC P/O 1.60x98x1219</v>
          </cell>
          <cell r="E85">
            <v>45.01</v>
          </cell>
          <cell r="G85">
            <v>45.01</v>
          </cell>
        </row>
        <row r="86">
          <cell r="A86" t="str">
            <v>PO SPHC P/O1.61441219</v>
          </cell>
          <cell r="B86" t="str">
            <v>57AT1016001441219</v>
          </cell>
          <cell r="C86" t="str">
            <v>PO SPHC P/O 1.60x144x1219</v>
          </cell>
          <cell r="E86">
            <v>257.95</v>
          </cell>
          <cell r="G86">
            <v>257.95</v>
          </cell>
        </row>
        <row r="87">
          <cell r="A87" t="str">
            <v>PO SPHC P/O1.61601219</v>
          </cell>
          <cell r="B87" t="str">
            <v>57AT1016001601219</v>
          </cell>
          <cell r="C87" t="str">
            <v>PO SPHC P/O 1.60x160x1219</v>
          </cell>
          <cell r="E87">
            <v>438.49</v>
          </cell>
          <cell r="G87">
            <v>438.49</v>
          </cell>
        </row>
        <row r="88">
          <cell r="A88" t="str">
            <v>PO SPHC P/O2611219</v>
          </cell>
          <cell r="B88" t="str">
            <v>57AT1020000611219</v>
          </cell>
          <cell r="C88" t="str">
            <v>PO SPHC P/O 2.00x61x1219</v>
          </cell>
          <cell r="E88">
            <v>32.69</v>
          </cell>
          <cell r="G88">
            <v>32.69</v>
          </cell>
        </row>
        <row r="89">
          <cell r="A89" t="str">
            <v>PO SPHC P/O2651219</v>
          </cell>
          <cell r="B89" t="str">
            <v>57AT1020000651219</v>
          </cell>
          <cell r="C89" t="str">
            <v>PO SPHC P/O 2.0x65x1219</v>
          </cell>
          <cell r="E89">
            <v>180.38</v>
          </cell>
          <cell r="G89">
            <v>180.38</v>
          </cell>
        </row>
        <row r="90">
          <cell r="A90" t="str">
            <v>PO SPHC P/O2781219</v>
          </cell>
          <cell r="B90" t="str">
            <v>57AT1020000781219</v>
          </cell>
          <cell r="C90" t="str">
            <v>PO SPHC P/O 2.0x78x1219</v>
          </cell>
          <cell r="E90">
            <v>198.54</v>
          </cell>
          <cell r="G90">
            <v>198.54</v>
          </cell>
        </row>
        <row r="91">
          <cell r="A91" t="str">
            <v>PO SPHC P/O21001219</v>
          </cell>
          <cell r="B91" t="str">
            <v>57AT1020001001219</v>
          </cell>
          <cell r="C91" t="str">
            <v>PO SPHC P/O 2.0x100x1219</v>
          </cell>
          <cell r="E91">
            <v>688.97</v>
          </cell>
          <cell r="G91">
            <v>688.97</v>
          </cell>
        </row>
        <row r="92">
          <cell r="A92" t="str">
            <v>PO SPHC P/O21181219</v>
          </cell>
          <cell r="B92" t="str">
            <v>57AT1020001181219</v>
          </cell>
          <cell r="C92" t="str">
            <v>PO SPHC P/O 2.0x118x1219</v>
          </cell>
          <cell r="E92">
            <v>24.84</v>
          </cell>
          <cell r="G92">
            <v>24.84</v>
          </cell>
        </row>
        <row r="93">
          <cell r="A93" t="str">
            <v>PO SPHC P/O21201219</v>
          </cell>
          <cell r="B93" t="str">
            <v>57AT1020001201219</v>
          </cell>
          <cell r="C93" t="str">
            <v>PO SPHC P/O 2.00x120x1219</v>
          </cell>
          <cell r="E93">
            <v>8182.81</v>
          </cell>
          <cell r="F93">
            <v>914.05</v>
          </cell>
          <cell r="G93">
            <v>9096.86</v>
          </cell>
        </row>
        <row r="94">
          <cell r="A94" t="str">
            <v>PO SPHC P/O21351219</v>
          </cell>
          <cell r="B94" t="str">
            <v>57AT1020001351219</v>
          </cell>
          <cell r="C94" t="str">
            <v>PO SPHC P/O 2.0x135x1219</v>
          </cell>
          <cell r="E94">
            <v>452.15</v>
          </cell>
          <cell r="G94">
            <v>452.15</v>
          </cell>
        </row>
        <row r="95">
          <cell r="A95" t="str">
            <v>PO SPHC P/O21401219</v>
          </cell>
          <cell r="B95" t="str">
            <v>57AT1020001401219</v>
          </cell>
          <cell r="C95" t="str">
            <v>PO SPHC P/O 2.0x140x1219</v>
          </cell>
          <cell r="E95">
            <v>83.06</v>
          </cell>
          <cell r="G95">
            <v>83.06</v>
          </cell>
        </row>
        <row r="96">
          <cell r="A96" t="str">
            <v>PO SPHC P/O21471219</v>
          </cell>
          <cell r="B96" t="str">
            <v>57AT1020001471219</v>
          </cell>
          <cell r="C96" t="str">
            <v>PO SPHC P/O 2.0x147x1219</v>
          </cell>
          <cell r="E96">
            <v>309.45999999999998</v>
          </cell>
          <cell r="G96">
            <v>309.45999999999998</v>
          </cell>
        </row>
        <row r="97">
          <cell r="A97" t="str">
            <v>PO SPHC P/O21591219</v>
          </cell>
          <cell r="B97" t="str">
            <v>57AT1020001591219</v>
          </cell>
          <cell r="C97" t="str">
            <v>PO SPHC P/O 2.0x159x1219</v>
          </cell>
          <cell r="E97">
            <v>18.260000000000002</v>
          </cell>
          <cell r="G97">
            <v>18.260000000000002</v>
          </cell>
        </row>
        <row r="98">
          <cell r="A98" t="str">
            <v>PO SPHC P/O21801219</v>
          </cell>
          <cell r="B98" t="str">
            <v>57AT1020001801219</v>
          </cell>
          <cell r="C98" t="str">
            <v>PO SPHC P/O 2.0x180x1219</v>
          </cell>
          <cell r="E98">
            <v>51.67</v>
          </cell>
          <cell r="G98">
            <v>51.67</v>
          </cell>
        </row>
        <row r="99">
          <cell r="A99" t="str">
            <v>PO SPHC P/O22401219</v>
          </cell>
          <cell r="B99" t="str">
            <v>57AT1020002401219</v>
          </cell>
          <cell r="C99" t="str">
            <v>PO SPHC P/O 2.0x240x1219</v>
          </cell>
          <cell r="E99">
            <v>734.91</v>
          </cell>
          <cell r="G99">
            <v>734.91</v>
          </cell>
        </row>
        <row r="100">
          <cell r="A100" t="str">
            <v>PO SPHC P/O22571219</v>
          </cell>
          <cell r="B100" t="str">
            <v>57AT1020002571219</v>
          </cell>
          <cell r="C100" t="str">
            <v>PO SPHC P/O 2.0x257x1219</v>
          </cell>
          <cell r="E100">
            <v>172.15</v>
          </cell>
          <cell r="G100">
            <v>172.15</v>
          </cell>
        </row>
        <row r="101">
          <cell r="A101" t="str">
            <v>PO SPHC P/O2.31921219</v>
          </cell>
          <cell r="B101" t="str">
            <v>57AT1023001921219</v>
          </cell>
          <cell r="C101" t="str">
            <v>PO SPHC P/O 2.30x192x1219</v>
          </cell>
          <cell r="E101">
            <v>4893.3599999999997</v>
          </cell>
          <cell r="G101">
            <v>4893.3599999999997</v>
          </cell>
        </row>
        <row r="102">
          <cell r="A102" t="str">
            <v>PO SPHC P/O2.6311219</v>
          </cell>
          <cell r="B102" t="str">
            <v>57AT1026000311219</v>
          </cell>
          <cell r="C102" t="str">
            <v>PO SPHC P/O 2.60x31x1219</v>
          </cell>
          <cell r="E102">
            <v>38.57</v>
          </cell>
          <cell r="G102">
            <v>38.57</v>
          </cell>
        </row>
        <row r="103">
          <cell r="A103" t="str">
            <v>PO SPHC P/O2.6751219</v>
          </cell>
          <cell r="B103" t="str">
            <v>57AT1026000751219</v>
          </cell>
          <cell r="C103" t="str">
            <v>PO SPHC P/O 2.60x75x1219</v>
          </cell>
          <cell r="E103">
            <v>9.33</v>
          </cell>
          <cell r="G103">
            <v>9.33</v>
          </cell>
        </row>
        <row r="104">
          <cell r="A104" t="str">
            <v>PO SPHC P/O2.61301219</v>
          </cell>
          <cell r="B104" t="str">
            <v>57AT1026001301219</v>
          </cell>
          <cell r="C104" t="str">
            <v>PO SPHC P/O 2.6x130x1219</v>
          </cell>
          <cell r="E104">
            <v>404.3</v>
          </cell>
          <cell r="G104">
            <v>404.3</v>
          </cell>
        </row>
        <row r="105">
          <cell r="A105" t="str">
            <v>PO SPHC P/O2.61401219</v>
          </cell>
          <cell r="B105" t="str">
            <v>57AT1026001401219</v>
          </cell>
          <cell r="C105" t="str">
            <v>PO SPHC P/O 2.60x140x1219</v>
          </cell>
          <cell r="E105">
            <v>208.99</v>
          </cell>
          <cell r="G105">
            <v>208.99</v>
          </cell>
        </row>
        <row r="106">
          <cell r="A106" t="str">
            <v>PO SPHC P/O3.2951219</v>
          </cell>
          <cell r="B106" t="str">
            <v>57AT1032000951219</v>
          </cell>
          <cell r="C106" t="str">
            <v>PO SPHC P/O 3.20x95x1219</v>
          </cell>
          <cell r="E106">
            <v>436.35</v>
          </cell>
          <cell r="G106">
            <v>436.35</v>
          </cell>
        </row>
        <row r="107">
          <cell r="A107" t="str">
            <v>PO SPHC P/O3.2961219</v>
          </cell>
          <cell r="B107" t="str">
            <v>57AT1032000961219</v>
          </cell>
          <cell r="C107" t="str">
            <v>PO SPHC P/O 3.20x96x1219</v>
          </cell>
          <cell r="E107">
            <v>1463.92</v>
          </cell>
          <cell r="G107">
            <v>1463.92</v>
          </cell>
        </row>
        <row r="108">
          <cell r="A108" t="str">
            <v>PO SPHC P/O3.21051219</v>
          </cell>
          <cell r="B108" t="str">
            <v>57AT1032001051219</v>
          </cell>
          <cell r="C108" t="str">
            <v>PO SPHC P/O 3.20x105x1219</v>
          </cell>
          <cell r="E108">
            <v>562.66</v>
          </cell>
          <cell r="G108">
            <v>562.66</v>
          </cell>
        </row>
        <row r="109">
          <cell r="A109" t="str">
            <v>PO SPHC P/O6621219</v>
          </cell>
          <cell r="B109" t="str">
            <v>57AT1060000621219</v>
          </cell>
          <cell r="C109" t="str">
            <v>PO SPHC P/O 6.0x62x1219</v>
          </cell>
          <cell r="E109">
            <v>477</v>
          </cell>
          <cell r="G109">
            <v>477</v>
          </cell>
        </row>
        <row r="110">
          <cell r="A110" t="str">
            <v>PO SPHC P/O6941219</v>
          </cell>
          <cell r="B110" t="str">
            <v>57AT1060000941219</v>
          </cell>
          <cell r="C110" t="str">
            <v>PO SPHC P/O 6.0x94x1219</v>
          </cell>
          <cell r="E110">
            <v>21.59</v>
          </cell>
          <cell r="G110">
            <v>21.59</v>
          </cell>
        </row>
        <row r="111">
          <cell r="A111" t="str">
            <v>PO SPHC P/O1.664C</v>
          </cell>
          <cell r="B111" t="str">
            <v>63CA101600064</v>
          </cell>
          <cell r="C111" t="str">
            <v>PO SPHC P/O 1.6x64xC</v>
          </cell>
          <cell r="D111">
            <v>254</v>
          </cell>
          <cell r="G111">
            <v>254</v>
          </cell>
        </row>
        <row r="112">
          <cell r="A112" t="str">
            <v>SP791 Q1.6660C</v>
          </cell>
          <cell r="B112" t="str">
            <v>6BALH01600660</v>
          </cell>
          <cell r="C112" t="str">
            <v>SP791 Q 1.6x660xC</v>
          </cell>
          <cell r="E112">
            <v>614</v>
          </cell>
          <cell r="G112">
            <v>614</v>
          </cell>
        </row>
        <row r="113">
          <cell r="B113" t="str">
            <v>Grand Total</v>
          </cell>
          <cell r="D113">
            <v>21241</v>
          </cell>
          <cell r="E113">
            <v>28725.11</v>
          </cell>
          <cell r="F113">
            <v>1675.05</v>
          </cell>
          <cell r="G113">
            <v>51641.16</v>
          </cell>
        </row>
      </sheetData>
      <sheetData sheetId="4"/>
      <sheetData sheetId="5"/>
      <sheetData sheetId="6"/>
      <sheetData sheetId="7"/>
      <sheetData sheetId="8"/>
      <sheetData sheetId="9">
        <row r="1">
          <cell r="B1" t="str">
            <v>1100 บริษัทไทยซัมมิท โอโตพาร์ท อินดัสตรี จำกัด</v>
          </cell>
          <cell r="F1" t="str">
            <v>จัดทำโดย      คุณ วิทยา  วิเชียรชาติ              วันที่     5/9/2009</v>
          </cell>
        </row>
        <row r="2">
          <cell r="F2" t="str">
            <v xml:space="preserve">                   คุณ ฐานวัฒน์ กุลพิพัฒน์ภักดี      เจ้าหน้าที่วางแผนวัตถุดิบ</v>
          </cell>
        </row>
        <row r="3">
          <cell r="B3" t="str">
            <v>1110 ฝ่ายโรงงาน 1 (ชิ้นส่วนจักรยานยนต์)</v>
          </cell>
          <cell r="F3" t="str">
            <v xml:space="preserve">                   คุณ เอกลักณ์  ทองน้อย</v>
          </cell>
          <cell r="G3" t="str">
            <v>ผู้รับ(จัดซื้อ)  คุณ จิระ  พงษาสุรารักษ์</v>
          </cell>
        </row>
        <row r="4">
          <cell r="F4" t="str">
            <v>ตรวจสอบโดย คุณวรรษพล บุญจรัส   (วิศวกร)    วันที่    14/09/2009</v>
          </cell>
          <cell r="H4" t="str">
            <v xml:space="preserve"> ผู้ช่วยผู้จัดการส่วนจัดซื้อ</v>
          </cell>
        </row>
        <row r="5">
          <cell r="B5" t="str">
            <v>ประมาณการสั่งซื้อรายเดือน ตุลาคม 2552 - ธันวาคม 2552</v>
          </cell>
          <cell r="F5" t="str">
            <v>อนุมัติโดย      คุณ สมาน  สืบวงศ์   รก.ผู้ช่วยผู้จัดการส่วนวางแผนฯ    วันที่  16/9/2009</v>
          </cell>
          <cell r="G5" t="str">
            <v>วันที่ ......................................</v>
          </cell>
        </row>
        <row r="7">
          <cell r="A7" t="str">
            <v>Material</v>
          </cell>
          <cell r="B7" t="str">
            <v>NO.</v>
          </cell>
          <cell r="C7" t="str">
            <v>Vendor</v>
          </cell>
          <cell r="D7" t="str">
            <v>Vendor Descriptn.</v>
          </cell>
          <cell r="E7" t="str">
            <v>Plnt com</v>
          </cell>
          <cell r="F7" t="str">
            <v>Material Description</v>
          </cell>
          <cell r="G7">
            <v>10.200900000000001</v>
          </cell>
          <cell r="H7">
            <v>11.200900000000001</v>
          </cell>
          <cell r="I7">
            <v>12.200900000000001</v>
          </cell>
          <cell r="J7" t="str">
            <v>BUn</v>
          </cell>
          <cell r="K7" t="str">
            <v>STOCK PSP</v>
          </cell>
          <cell r="L7" t="str">
            <v>BALANCE</v>
          </cell>
        </row>
        <row r="8">
          <cell r="A8">
            <v>30002160</v>
          </cell>
          <cell r="B8">
            <v>9</v>
          </cell>
          <cell r="C8">
            <v>100559</v>
          </cell>
          <cell r="D8" t="str">
            <v>บจก. พรีเมี่ยมสตีล โพรเซสซิ่ง</v>
          </cell>
          <cell r="E8">
            <v>1110</v>
          </cell>
          <cell r="F8" t="str">
            <v>*       30002160  CAP MAIN PIPE (5VV-F111A-00)</v>
          </cell>
          <cell r="G8">
            <v>0</v>
          </cell>
          <cell r="H8">
            <v>0</v>
          </cell>
          <cell r="I8">
            <v>0</v>
          </cell>
          <cell r="J8" t="str">
            <v>PC</v>
          </cell>
          <cell r="K8">
            <v>1743</v>
          </cell>
          <cell r="N8" t="str">
            <v>DEATH STOCK</v>
          </cell>
          <cell r="O8" t="str">
            <v>PHASE 1.1</v>
          </cell>
        </row>
        <row r="9">
          <cell r="A9">
            <v>30002171</v>
          </cell>
          <cell r="B9">
            <v>15</v>
          </cell>
          <cell r="C9">
            <v>100559</v>
          </cell>
          <cell r="D9" t="str">
            <v>บจก. พรีเมี่ยมสตีล โพรเซสซิ่ง</v>
          </cell>
          <cell r="E9">
            <v>1110</v>
          </cell>
          <cell r="F9" t="str">
            <v>*       30002171  STAY 1 (5TN-F142G-00)</v>
          </cell>
          <cell r="G9">
            <v>0</v>
          </cell>
          <cell r="H9">
            <v>0</v>
          </cell>
          <cell r="I9">
            <v>0</v>
          </cell>
          <cell r="J9" t="str">
            <v>PC</v>
          </cell>
          <cell r="K9">
            <v>2026</v>
          </cell>
          <cell r="N9" t="str">
            <v>DEATH STOCK</v>
          </cell>
          <cell r="O9" t="str">
            <v>PHASE 1.1</v>
          </cell>
        </row>
        <row r="10">
          <cell r="A10">
            <v>30002172</v>
          </cell>
          <cell r="B10">
            <v>16</v>
          </cell>
          <cell r="C10">
            <v>100559</v>
          </cell>
          <cell r="D10" t="str">
            <v>บจก. พรีเมี่ยมสตีล โพรเซสซิ่ง</v>
          </cell>
          <cell r="E10">
            <v>1110</v>
          </cell>
          <cell r="F10" t="str">
            <v>*       30002172  STAY MUFF 2 (5TN-F1446-00)</v>
          </cell>
          <cell r="G10">
            <v>0</v>
          </cell>
          <cell r="H10">
            <v>0</v>
          </cell>
          <cell r="I10">
            <v>0</v>
          </cell>
          <cell r="J10" t="str">
            <v>PC</v>
          </cell>
          <cell r="K10">
            <v>1922</v>
          </cell>
          <cell r="N10" t="str">
            <v>DEATH STOCK</v>
          </cell>
          <cell r="O10" t="str">
            <v>PHASE 1.1</v>
          </cell>
        </row>
        <row r="11">
          <cell r="A11">
            <v>30002173</v>
          </cell>
          <cell r="B11">
            <v>17</v>
          </cell>
          <cell r="C11">
            <v>100559</v>
          </cell>
          <cell r="D11" t="str">
            <v>บจก. พรีเมี่ยมสตีล โพรเซสซิ่ง</v>
          </cell>
          <cell r="E11">
            <v>1110</v>
          </cell>
          <cell r="F11" t="str">
            <v>*       30002173  STAY 3 (2JH-F2134-00)</v>
          </cell>
          <cell r="G11">
            <v>0</v>
          </cell>
          <cell r="H11">
            <v>0</v>
          </cell>
          <cell r="I11">
            <v>0</v>
          </cell>
          <cell r="J11" t="str">
            <v>PC</v>
          </cell>
          <cell r="K11">
            <v>543</v>
          </cell>
          <cell r="N11" t="str">
            <v>DEATH STOCK</v>
          </cell>
          <cell r="O11" t="str">
            <v>PHASE 1.1</v>
          </cell>
        </row>
        <row r="12">
          <cell r="A12">
            <v>30002175</v>
          </cell>
          <cell r="B12">
            <v>18</v>
          </cell>
          <cell r="C12">
            <v>100559</v>
          </cell>
          <cell r="D12" t="str">
            <v>บจก. พรีเมี่ยมสตีล โพรเซสซิ่ง</v>
          </cell>
          <cell r="E12">
            <v>1110</v>
          </cell>
          <cell r="F12" t="str">
            <v>*       30002175  REINF 3 (4NR-F2353-00)</v>
          </cell>
          <cell r="G12">
            <v>0</v>
          </cell>
          <cell r="H12">
            <v>0</v>
          </cell>
          <cell r="I12">
            <v>0</v>
          </cell>
          <cell r="J12" t="str">
            <v>PC</v>
          </cell>
          <cell r="K12">
            <v>150</v>
          </cell>
          <cell r="N12" t="str">
            <v>DEATH STOCK</v>
          </cell>
          <cell r="O12" t="str">
            <v>PHASE 1.1</v>
          </cell>
        </row>
        <row r="13">
          <cell r="A13">
            <v>30002403</v>
          </cell>
          <cell r="B13">
            <v>45</v>
          </cell>
          <cell r="C13">
            <v>100559</v>
          </cell>
          <cell r="D13" t="str">
            <v>บจก. พรีเมี่ยมสตีล โพรเซสซิ่ง</v>
          </cell>
          <cell r="E13">
            <v>1110</v>
          </cell>
          <cell r="F13" t="str">
            <v>*       30002403  REINF (5VV-F146R-00)</v>
          </cell>
          <cell r="G13">
            <v>0</v>
          </cell>
          <cell r="H13">
            <v>0</v>
          </cell>
          <cell r="I13">
            <v>0</v>
          </cell>
          <cell r="J13" t="str">
            <v>PC</v>
          </cell>
          <cell r="K13">
            <v>24</v>
          </cell>
          <cell r="N13" t="str">
            <v>DEATH STOCK</v>
          </cell>
          <cell r="O13" t="str">
            <v>PHASE 1.1</v>
          </cell>
        </row>
        <row r="14">
          <cell r="A14">
            <v>30002522</v>
          </cell>
          <cell r="B14">
            <v>68</v>
          </cell>
          <cell r="C14">
            <v>100559</v>
          </cell>
          <cell r="D14" t="str">
            <v>บจก. พรีเมี่ยมสตีล โพรเซสซิ่ง</v>
          </cell>
          <cell r="E14">
            <v>1110</v>
          </cell>
          <cell r="F14" t="str">
            <v>*       30002522  STAY (50162-KPPF-8600-H1)</v>
          </cell>
          <cell r="G14">
            <v>0</v>
          </cell>
          <cell r="H14">
            <v>0</v>
          </cell>
          <cell r="I14">
            <v>0</v>
          </cell>
          <cell r="J14" t="str">
            <v>PC</v>
          </cell>
          <cell r="K14">
            <v>1112</v>
          </cell>
          <cell r="N14" t="str">
            <v>DEATH STOCK</v>
          </cell>
          <cell r="O14" t="str">
            <v>PHASE 1.1</v>
          </cell>
        </row>
        <row r="15">
          <cell r="A15">
            <v>30002524</v>
          </cell>
          <cell r="B15">
            <v>69</v>
          </cell>
          <cell r="C15">
            <v>100559</v>
          </cell>
          <cell r="D15" t="str">
            <v>บจก. พรีเมี่ยมสตีล โพรเซสซิ่ง</v>
          </cell>
          <cell r="E15">
            <v>1110</v>
          </cell>
          <cell r="F15" t="str">
            <v>*       30002524  STAY HELMET HOLDER (50206-GEZ-3002)</v>
          </cell>
          <cell r="G15">
            <v>0</v>
          </cell>
          <cell r="H15">
            <v>0</v>
          </cell>
          <cell r="I15">
            <v>0</v>
          </cell>
          <cell r="J15" t="str">
            <v>PC</v>
          </cell>
          <cell r="K15">
            <v>3609</v>
          </cell>
          <cell r="N15" t="str">
            <v>DEATH STOCK</v>
          </cell>
          <cell r="O15" t="str">
            <v>PHASE 1.1</v>
          </cell>
        </row>
        <row r="16">
          <cell r="A16">
            <v>30002525</v>
          </cell>
          <cell r="B16">
            <v>70</v>
          </cell>
          <cell r="C16">
            <v>100559</v>
          </cell>
          <cell r="D16" t="str">
            <v>บจก. พรีเมี่ยมสตีล โพรเซสซิ่ง</v>
          </cell>
          <cell r="E16">
            <v>1110</v>
          </cell>
          <cell r="F16" t="str">
            <v>*       30002525  BRKT L SEAT RIAL (50203-GEZ-3001)</v>
          </cell>
          <cell r="G16">
            <v>0</v>
          </cell>
          <cell r="H16">
            <v>0</v>
          </cell>
          <cell r="I16">
            <v>0</v>
          </cell>
          <cell r="J16" t="str">
            <v>PC</v>
          </cell>
          <cell r="K16">
            <v>1521</v>
          </cell>
          <cell r="N16" t="str">
            <v>DEATH STOCK</v>
          </cell>
          <cell r="O16" t="str">
            <v>PHASE 1.1</v>
          </cell>
        </row>
        <row r="17">
          <cell r="A17">
            <v>30002526</v>
          </cell>
          <cell r="B17">
            <v>71</v>
          </cell>
          <cell r="C17">
            <v>100559</v>
          </cell>
          <cell r="D17" t="str">
            <v>บจก. พรีเมี่ยมสตีล โพรเซสซิ่ง</v>
          </cell>
          <cell r="E17">
            <v>1110</v>
          </cell>
          <cell r="F17" t="str">
            <v>*       30002526  BRKT R SEAT RIAL (50202-GEZ-3001)</v>
          </cell>
          <cell r="G17">
            <v>0</v>
          </cell>
          <cell r="H17">
            <v>0</v>
          </cell>
          <cell r="I17">
            <v>0</v>
          </cell>
          <cell r="J17" t="str">
            <v>PC</v>
          </cell>
          <cell r="K17">
            <v>1070</v>
          </cell>
          <cell r="N17" t="str">
            <v>DEATH STOCK</v>
          </cell>
          <cell r="O17" t="str">
            <v>PHASE 1.1</v>
          </cell>
        </row>
        <row r="18">
          <cell r="A18">
            <v>30002527</v>
          </cell>
          <cell r="B18">
            <v>72</v>
          </cell>
          <cell r="C18">
            <v>100559</v>
          </cell>
          <cell r="D18" t="str">
            <v>บจก. พรีเมี่ยมสตีล โพรเซสซิ่ง</v>
          </cell>
          <cell r="E18">
            <v>1110</v>
          </cell>
          <cell r="F18" t="str">
            <v>*       30002527  BRKT NO PLATE (80120-KFEA-7000-09)</v>
          </cell>
          <cell r="G18">
            <v>0</v>
          </cell>
          <cell r="H18">
            <v>0</v>
          </cell>
          <cell r="I18">
            <v>0</v>
          </cell>
          <cell r="J18" t="str">
            <v>PC</v>
          </cell>
          <cell r="K18">
            <v>821</v>
          </cell>
          <cell r="N18" t="str">
            <v>DEATH STOCK</v>
          </cell>
          <cell r="O18" t="str">
            <v>PHASE 1.1</v>
          </cell>
        </row>
        <row r="19">
          <cell r="A19">
            <v>30002528</v>
          </cell>
          <cell r="B19">
            <v>73</v>
          </cell>
          <cell r="C19">
            <v>100559</v>
          </cell>
          <cell r="D19" t="str">
            <v>บจก. พรีเมี่ยมสตีล โพรเซสซิ่ง</v>
          </cell>
          <cell r="E19">
            <v>1110</v>
          </cell>
          <cell r="F19" t="str">
            <v>*       30002528  PLATE FR CROSS (80125-KFEA-7000-00)</v>
          </cell>
          <cell r="G19">
            <v>0</v>
          </cell>
          <cell r="H19">
            <v>0</v>
          </cell>
          <cell r="I19">
            <v>0</v>
          </cell>
          <cell r="J19" t="str">
            <v>PC</v>
          </cell>
          <cell r="K19">
            <v>564</v>
          </cell>
          <cell r="N19" t="str">
            <v>DEATH STOCK</v>
          </cell>
          <cell r="O19" t="str">
            <v>PHASE 1.1</v>
          </cell>
        </row>
        <row r="20">
          <cell r="A20">
            <v>30002530</v>
          </cell>
          <cell r="B20">
            <v>74</v>
          </cell>
          <cell r="C20">
            <v>100559</v>
          </cell>
          <cell r="D20" t="str">
            <v>บจก. พรีเมี่ยมสตีล โพรเซสซิ่ง</v>
          </cell>
          <cell r="E20">
            <v>1110</v>
          </cell>
          <cell r="F20" t="str">
            <v>*       30002530  BRKT L SIDE (80125-KFEA-7000-06)</v>
          </cell>
          <cell r="G20">
            <v>0</v>
          </cell>
          <cell r="H20">
            <v>0</v>
          </cell>
          <cell r="I20">
            <v>0</v>
          </cell>
          <cell r="J20" t="str">
            <v>PC</v>
          </cell>
          <cell r="K20">
            <v>362</v>
          </cell>
          <cell r="N20" t="str">
            <v>DEATH STOCK</v>
          </cell>
          <cell r="O20" t="str">
            <v>PHASE 1.1</v>
          </cell>
        </row>
        <row r="21">
          <cell r="A21">
            <v>30002532</v>
          </cell>
          <cell r="B21">
            <v>75</v>
          </cell>
          <cell r="C21">
            <v>100559</v>
          </cell>
          <cell r="D21" t="str">
            <v>บจก. พรีเมี่ยมสตีล โพรเซสซิ่ง</v>
          </cell>
          <cell r="E21">
            <v>1110</v>
          </cell>
          <cell r="F21" t="str">
            <v>*       30002532  BRKT R SIDE (80125-KFEA-7000-05)</v>
          </cell>
          <cell r="G21">
            <v>0</v>
          </cell>
          <cell r="H21">
            <v>0</v>
          </cell>
          <cell r="I21">
            <v>0</v>
          </cell>
          <cell r="J21" t="str">
            <v>PC</v>
          </cell>
          <cell r="K21">
            <v>338</v>
          </cell>
          <cell r="N21" t="str">
            <v>DEATH STOCK</v>
          </cell>
          <cell r="O21" t="str">
            <v>PHASE 1.1</v>
          </cell>
        </row>
        <row r="22">
          <cell r="A22">
            <v>30002533</v>
          </cell>
          <cell r="B22">
            <v>76</v>
          </cell>
          <cell r="C22">
            <v>100559</v>
          </cell>
          <cell r="D22" t="str">
            <v>บจก. พรีเมี่ยมสตีล โพรเซสซิ่ง</v>
          </cell>
          <cell r="E22">
            <v>1110</v>
          </cell>
          <cell r="F22" t="str">
            <v>*       30002533  BRKT T/L MOUNT (80125-KFEA-7000-04)</v>
          </cell>
          <cell r="G22">
            <v>0</v>
          </cell>
          <cell r="H22">
            <v>0</v>
          </cell>
          <cell r="I22">
            <v>0</v>
          </cell>
          <cell r="J22" t="str">
            <v>PC</v>
          </cell>
          <cell r="K22">
            <v>468</v>
          </cell>
          <cell r="N22" t="str">
            <v>DEATH STOCK</v>
          </cell>
          <cell r="O22" t="str">
            <v>PHASE 1.1</v>
          </cell>
        </row>
        <row r="23">
          <cell r="A23">
            <v>30002534</v>
          </cell>
          <cell r="B23">
            <v>77</v>
          </cell>
          <cell r="C23">
            <v>100559</v>
          </cell>
          <cell r="D23" t="str">
            <v>บจก. พรีเมี่ยมสตีล โพรเซสซิ่ง</v>
          </cell>
          <cell r="E23">
            <v>1110</v>
          </cell>
          <cell r="F23" t="str">
            <v>*       30002534  PLATE RR CROSS (80125-KFEA-7000-03)</v>
          </cell>
          <cell r="G23">
            <v>0</v>
          </cell>
          <cell r="H23">
            <v>200</v>
          </cell>
          <cell r="I23">
            <v>200</v>
          </cell>
          <cell r="J23" t="str">
            <v>PC</v>
          </cell>
          <cell r="K23">
            <v>351</v>
          </cell>
          <cell r="N23" t="str">
            <v>DEATH STOCK</v>
          </cell>
          <cell r="O23" t="str">
            <v>PHASE 1.1</v>
          </cell>
        </row>
        <row r="24">
          <cell r="A24">
            <v>30002535</v>
          </cell>
          <cell r="B24">
            <v>78</v>
          </cell>
          <cell r="C24">
            <v>100559</v>
          </cell>
          <cell r="D24" t="str">
            <v>บจก. พรีเมี่ยมสตีล โพรเซสซิ่ง</v>
          </cell>
          <cell r="E24">
            <v>1110</v>
          </cell>
          <cell r="F24" t="str">
            <v>*       30002535  STAY TAIL LIGHT (50150-GEZG-6701-20)</v>
          </cell>
          <cell r="G24">
            <v>0</v>
          </cell>
          <cell r="H24">
            <v>0</v>
          </cell>
          <cell r="I24">
            <v>0</v>
          </cell>
          <cell r="J24" t="str">
            <v>PC</v>
          </cell>
          <cell r="K24">
            <v>868</v>
          </cell>
          <cell r="N24" t="str">
            <v>DEATH STOCK</v>
          </cell>
          <cell r="O24" t="str">
            <v>PHASE 1.1</v>
          </cell>
        </row>
        <row r="25">
          <cell r="A25">
            <v>30002542</v>
          </cell>
          <cell r="B25">
            <v>82</v>
          </cell>
          <cell r="C25">
            <v>100559</v>
          </cell>
          <cell r="D25" t="str">
            <v>บจก. พรีเมี่ยมสตีล โพรเซสซิ่ง</v>
          </cell>
          <cell r="E25">
            <v>1110</v>
          </cell>
          <cell r="F25" t="str">
            <v>*       30002542  PLATE (50127-GEZ-3002) 2 Holes</v>
          </cell>
          <cell r="G25">
            <v>0</v>
          </cell>
          <cell r="H25">
            <v>0</v>
          </cell>
          <cell r="I25">
            <v>0</v>
          </cell>
          <cell r="J25" t="str">
            <v>PC</v>
          </cell>
          <cell r="K25">
            <v>2456</v>
          </cell>
          <cell r="N25" t="str">
            <v>DEATH STOCK</v>
          </cell>
          <cell r="O25" t="str">
            <v>PHASE 1.1</v>
          </cell>
        </row>
        <row r="26">
          <cell r="A26">
            <v>30002556</v>
          </cell>
          <cell r="B26">
            <v>88</v>
          </cell>
          <cell r="C26">
            <v>100559</v>
          </cell>
          <cell r="D26" t="str">
            <v>บจก. พรีเมี่ยมสตีล โพรเซสซิ่ง</v>
          </cell>
          <cell r="E26">
            <v>1110</v>
          </cell>
          <cell r="F26" t="str">
            <v>*       30002556  ARM (2470B-KPH-9700)</v>
          </cell>
          <cell r="G26">
            <v>0</v>
          </cell>
          <cell r="H26">
            <v>300</v>
          </cell>
          <cell r="I26">
            <v>600</v>
          </cell>
          <cell r="J26" t="str">
            <v>PC</v>
          </cell>
          <cell r="K26">
            <v>386</v>
          </cell>
          <cell r="N26" t="str">
            <v>DEATH STOCK</v>
          </cell>
          <cell r="O26" t="str">
            <v>PHASE 1.1</v>
          </cell>
        </row>
        <row r="27">
          <cell r="A27">
            <v>30002558</v>
          </cell>
          <cell r="B27">
            <v>89</v>
          </cell>
          <cell r="C27">
            <v>100559</v>
          </cell>
          <cell r="D27" t="str">
            <v>บจก. พรีเมี่ยมสตีล โพรเซสซิ่ง</v>
          </cell>
          <cell r="E27">
            <v>1110</v>
          </cell>
          <cell r="F27" t="str">
            <v>*       30002558  PLATE (50162-KPPF-8600-H1)</v>
          </cell>
          <cell r="G27">
            <v>0</v>
          </cell>
          <cell r="H27">
            <v>0</v>
          </cell>
          <cell r="I27">
            <v>0</v>
          </cell>
          <cell r="J27" t="str">
            <v>PC</v>
          </cell>
          <cell r="K27">
            <v>427</v>
          </cell>
          <cell r="N27" t="str">
            <v>DEATH STOCK</v>
          </cell>
          <cell r="O27" t="str">
            <v>PHASE 1.1</v>
          </cell>
        </row>
        <row r="28">
          <cell r="A28">
            <v>30002569</v>
          </cell>
          <cell r="B28">
            <v>94</v>
          </cell>
          <cell r="C28">
            <v>100559</v>
          </cell>
          <cell r="D28" t="str">
            <v>บจก. พรีเมี่ยมสตีล โพรเซสซิ่ง</v>
          </cell>
          <cell r="E28">
            <v>1110</v>
          </cell>
          <cell r="F28" t="str">
            <v>*       30002569  BRKT . L (53109-KRS-7800-01)</v>
          </cell>
          <cell r="G28">
            <v>0</v>
          </cell>
          <cell r="H28">
            <v>0</v>
          </cell>
          <cell r="I28">
            <v>0</v>
          </cell>
          <cell r="J28" t="str">
            <v>PC</v>
          </cell>
          <cell r="K28">
            <v>256</v>
          </cell>
          <cell r="N28" t="str">
            <v>DEATH STOCK</v>
          </cell>
          <cell r="O28" t="str">
            <v>PHASE 1.1</v>
          </cell>
        </row>
        <row r="29">
          <cell r="A29">
            <v>30002570</v>
          </cell>
          <cell r="B29">
            <v>95</v>
          </cell>
          <cell r="C29">
            <v>100559</v>
          </cell>
          <cell r="D29" t="str">
            <v>บจก. พรีเมี่ยมสตีล โพรเซสซิ่ง</v>
          </cell>
          <cell r="E29">
            <v>1110</v>
          </cell>
          <cell r="F29" t="str">
            <v>*       30002570  PLATE A (53108-KRSH-6900-02)</v>
          </cell>
          <cell r="G29">
            <v>0</v>
          </cell>
          <cell r="H29">
            <v>0</v>
          </cell>
          <cell r="I29">
            <v>0</v>
          </cell>
          <cell r="J29" t="str">
            <v>PC</v>
          </cell>
          <cell r="K29" t="str">
            <v>-</v>
          </cell>
          <cell r="N29" t="str">
            <v>DEATH STOCK</v>
          </cell>
          <cell r="O29" t="str">
            <v>PHASE 1.1</v>
          </cell>
        </row>
        <row r="30">
          <cell r="A30">
            <v>30002670</v>
          </cell>
          <cell r="B30">
            <v>116</v>
          </cell>
          <cell r="C30">
            <v>100559</v>
          </cell>
          <cell r="D30" t="str">
            <v>บจก. พรีเมี่ยมสตีล โพรเซสซิ่ง</v>
          </cell>
          <cell r="E30">
            <v>1110</v>
          </cell>
          <cell r="F30" t="str">
            <v>*       30002670  BRKT 4 (5YP-F118V-00)</v>
          </cell>
          <cell r="G30">
            <v>0</v>
          </cell>
          <cell r="H30">
            <v>800</v>
          </cell>
          <cell r="I30">
            <v>400</v>
          </cell>
          <cell r="J30" t="str">
            <v>PC</v>
          </cell>
          <cell r="K30">
            <v>803</v>
          </cell>
          <cell r="N30" t="str">
            <v>DEATH STOCK</v>
          </cell>
          <cell r="O30" t="str">
            <v>PHASE 1.1</v>
          </cell>
        </row>
        <row r="31">
          <cell r="A31">
            <v>30002734</v>
          </cell>
          <cell r="B31">
            <v>137</v>
          </cell>
          <cell r="C31">
            <v>100559</v>
          </cell>
          <cell r="D31" t="str">
            <v>บจก. พรีเมี่ยมสตีล โพรเซสซิ่ง</v>
          </cell>
          <cell r="E31">
            <v>1110</v>
          </cell>
          <cell r="F31" t="str">
            <v>*       30002734  LEVER CAMSHAFT RR (23U-F5355-00)</v>
          </cell>
          <cell r="G31">
            <v>0</v>
          </cell>
          <cell r="H31">
            <v>0</v>
          </cell>
          <cell r="I31">
            <v>0</v>
          </cell>
          <cell r="J31" t="str">
            <v>PC</v>
          </cell>
          <cell r="K31" t="str">
            <v>-</v>
          </cell>
          <cell r="N31" t="str">
            <v>DEATH STOCK</v>
          </cell>
          <cell r="O31" t="str">
            <v>PHASE 1.1</v>
          </cell>
        </row>
        <row r="32">
          <cell r="A32">
            <v>30002538</v>
          </cell>
          <cell r="B32">
            <v>80</v>
          </cell>
          <cell r="C32">
            <v>100559</v>
          </cell>
          <cell r="D32" t="str">
            <v>บจก. พรีเมี่ยมสตีล โพรเซสซิ่ง</v>
          </cell>
          <cell r="E32">
            <v>1110</v>
          </cell>
          <cell r="F32" t="str">
            <v>*       30002538  STAY (50136-GEZ-3001)</v>
          </cell>
          <cell r="G32">
            <v>400</v>
          </cell>
          <cell r="H32">
            <v>400</v>
          </cell>
          <cell r="I32">
            <v>400</v>
          </cell>
          <cell r="J32" t="str">
            <v>PC</v>
          </cell>
          <cell r="K32">
            <v>2775</v>
          </cell>
          <cell r="L32">
            <v>2375</v>
          </cell>
          <cell r="M32" t="str">
            <v>7 เดือน</v>
          </cell>
          <cell r="N32" t="str">
            <v>COVER STOCK</v>
          </cell>
          <cell r="O32" t="str">
            <v>PHASE 1.2</v>
          </cell>
        </row>
        <row r="33">
          <cell r="A33">
            <v>30002422</v>
          </cell>
          <cell r="B33">
            <v>49</v>
          </cell>
          <cell r="C33">
            <v>100559</v>
          </cell>
          <cell r="D33" t="str">
            <v>บจก. พรีเมี่ยมสตีล โพรเซสซิ่ง</v>
          </cell>
          <cell r="E33">
            <v>1110</v>
          </cell>
          <cell r="F33" t="str">
            <v>*       30002422  GUSSET (5TN-F1113-00)</v>
          </cell>
          <cell r="G33">
            <v>300</v>
          </cell>
          <cell r="H33">
            <v>0</v>
          </cell>
          <cell r="I33">
            <v>0</v>
          </cell>
          <cell r="J33" t="str">
            <v>PC</v>
          </cell>
          <cell r="K33">
            <v>2059</v>
          </cell>
          <cell r="L33">
            <v>1759</v>
          </cell>
          <cell r="M33" t="str">
            <v>6.8 เดือน</v>
          </cell>
          <cell r="N33" t="str">
            <v>COVER STOCK</v>
          </cell>
          <cell r="O33" t="str">
            <v>PHASE 1.2</v>
          </cell>
        </row>
        <row r="34">
          <cell r="A34">
            <v>30002545</v>
          </cell>
          <cell r="B34">
            <v>84</v>
          </cell>
          <cell r="C34">
            <v>100559</v>
          </cell>
          <cell r="D34" t="str">
            <v>บจก. พรีเมี่ยมสตีล โพรเซสซิ่ง</v>
          </cell>
          <cell r="E34">
            <v>1110</v>
          </cell>
          <cell r="F34" t="str">
            <v>*       30002545  BRKT R (50134-GEZ-3100)</v>
          </cell>
          <cell r="G34">
            <v>600</v>
          </cell>
          <cell r="H34">
            <v>400</v>
          </cell>
          <cell r="I34">
            <v>400</v>
          </cell>
          <cell r="J34" t="str">
            <v>PC</v>
          </cell>
          <cell r="K34">
            <v>2680</v>
          </cell>
          <cell r="L34">
            <v>2080</v>
          </cell>
          <cell r="M34" t="str">
            <v>6 เดือน</v>
          </cell>
          <cell r="N34" t="str">
            <v>COVER STOCK</v>
          </cell>
          <cell r="O34" t="str">
            <v>PHASE 1.2</v>
          </cell>
        </row>
        <row r="35">
          <cell r="A35">
            <v>30002544</v>
          </cell>
          <cell r="B35">
            <v>83</v>
          </cell>
          <cell r="C35">
            <v>100559</v>
          </cell>
          <cell r="D35" t="str">
            <v>บจก. พรีเมี่ยมสตีล โพรเซสซิ่ง</v>
          </cell>
          <cell r="E35">
            <v>1110</v>
          </cell>
          <cell r="F35" t="str">
            <v>*       30002544  BRKT L (50124-GEZ-3100)</v>
          </cell>
          <cell r="G35">
            <v>600</v>
          </cell>
          <cell r="H35">
            <v>400</v>
          </cell>
          <cell r="I35">
            <v>400</v>
          </cell>
          <cell r="J35" t="str">
            <v>PC</v>
          </cell>
          <cell r="K35">
            <v>2392</v>
          </cell>
          <cell r="L35">
            <v>1792</v>
          </cell>
          <cell r="M35" t="str">
            <v>5.5 เดือน</v>
          </cell>
          <cell r="N35" t="str">
            <v>COVER STOCK</v>
          </cell>
          <cell r="O35" t="str">
            <v>PHASE 1.2</v>
          </cell>
        </row>
        <row r="36">
          <cell r="A36">
            <v>30002704</v>
          </cell>
          <cell r="B36">
            <v>132</v>
          </cell>
          <cell r="C36">
            <v>100559</v>
          </cell>
          <cell r="D36" t="str">
            <v>บจก. พรีเมี่ยมสตีล โพรเซสซิ่ง</v>
          </cell>
          <cell r="E36">
            <v>1110</v>
          </cell>
          <cell r="F36" t="str">
            <v>*       30002704  BRKT ENGINE 3 (5TN-F1429-00)</v>
          </cell>
          <cell r="G36">
            <v>500</v>
          </cell>
          <cell r="H36">
            <v>0</v>
          </cell>
          <cell r="I36">
            <v>0</v>
          </cell>
          <cell r="J36" t="str">
            <v>PC</v>
          </cell>
          <cell r="K36">
            <v>2769</v>
          </cell>
          <cell r="L36">
            <v>2269</v>
          </cell>
          <cell r="M36" t="str">
            <v>4 เดือน</v>
          </cell>
          <cell r="N36" t="str">
            <v>COVER STOCK</v>
          </cell>
          <cell r="O36" t="str">
            <v>PHASE 1.2</v>
          </cell>
        </row>
        <row r="37">
          <cell r="A37">
            <v>30002178</v>
          </cell>
          <cell r="B37">
            <v>21</v>
          </cell>
          <cell r="C37">
            <v>100559</v>
          </cell>
          <cell r="D37" t="str">
            <v>บจก. พรีเมี่ยมสตีล โพรเซสซิ่ง</v>
          </cell>
          <cell r="E37">
            <v>1110</v>
          </cell>
          <cell r="F37" t="str">
            <v>*       30002178  BRKT FLASHER RH (5TN-F1177-00)</v>
          </cell>
          <cell r="G37">
            <v>500</v>
          </cell>
          <cell r="H37">
            <v>0</v>
          </cell>
          <cell r="I37">
            <v>0</v>
          </cell>
          <cell r="J37" t="str">
            <v>PC</v>
          </cell>
          <cell r="K37">
            <v>1768</v>
          </cell>
          <cell r="L37">
            <v>1268</v>
          </cell>
          <cell r="M37" t="str">
            <v>3.5 เดือน</v>
          </cell>
          <cell r="N37" t="str">
            <v>COVER STOCK</v>
          </cell>
          <cell r="O37" t="str">
            <v>PHASE 1.2</v>
          </cell>
        </row>
        <row r="38">
          <cell r="A38">
            <v>30002539</v>
          </cell>
          <cell r="B38">
            <v>81</v>
          </cell>
          <cell r="C38">
            <v>100559</v>
          </cell>
          <cell r="D38" t="str">
            <v>บจก. พรีเมี่ยมสตีล โพรเซสซิ่ง</v>
          </cell>
          <cell r="E38">
            <v>1110</v>
          </cell>
          <cell r="F38" t="str">
            <v>*       30002539  STAY (50132-GEZ-3000)</v>
          </cell>
          <cell r="G38">
            <v>400</v>
          </cell>
          <cell r="H38">
            <v>400</v>
          </cell>
          <cell r="I38">
            <v>400</v>
          </cell>
          <cell r="J38" t="str">
            <v>PC</v>
          </cell>
          <cell r="K38">
            <v>1457</v>
          </cell>
          <cell r="L38">
            <v>1057</v>
          </cell>
          <cell r="M38" t="str">
            <v>3.5 เดือน</v>
          </cell>
          <cell r="N38" t="str">
            <v>COVER STOCK</v>
          </cell>
          <cell r="O38" t="str">
            <v>PHASE 1.2</v>
          </cell>
        </row>
        <row r="39">
          <cell r="A39">
            <v>30002742</v>
          </cell>
          <cell r="B39">
            <v>141</v>
          </cell>
          <cell r="C39">
            <v>100559</v>
          </cell>
          <cell r="D39" t="str">
            <v>บจก. พรีเมี่ยมสตีล โพรเซสซิ่ง</v>
          </cell>
          <cell r="E39">
            <v>1110</v>
          </cell>
          <cell r="F39" t="str">
            <v>*       30002742  STAY 2 (5VV-F116E-00)</v>
          </cell>
          <cell r="G39">
            <v>400</v>
          </cell>
          <cell r="H39">
            <v>800</v>
          </cell>
          <cell r="I39">
            <v>800</v>
          </cell>
          <cell r="J39" t="str">
            <v>PC</v>
          </cell>
          <cell r="K39">
            <v>2570</v>
          </cell>
          <cell r="L39">
            <v>2170</v>
          </cell>
          <cell r="M39" t="str">
            <v>3.5 เดือน</v>
          </cell>
          <cell r="N39" t="str">
            <v>COVER STOCK</v>
          </cell>
          <cell r="O39" t="str">
            <v>PHASE 1.2</v>
          </cell>
        </row>
        <row r="40">
          <cell r="A40">
            <v>30002574</v>
          </cell>
          <cell r="B40">
            <v>98</v>
          </cell>
          <cell r="C40">
            <v>100559</v>
          </cell>
          <cell r="D40" t="str">
            <v>บจก. พรีเมี่ยมสตีล โพรเซสซิ่ง</v>
          </cell>
          <cell r="E40">
            <v>1110</v>
          </cell>
          <cell r="F40" t="str">
            <v>*       30002574  STAY R HANDLE COVER (53100-KEVA-9000-03)</v>
          </cell>
          <cell r="G40">
            <v>700</v>
          </cell>
          <cell r="H40">
            <v>400</v>
          </cell>
          <cell r="I40">
            <v>400</v>
          </cell>
          <cell r="J40" t="str">
            <v>PC</v>
          </cell>
          <cell r="K40">
            <v>1649</v>
          </cell>
          <cell r="L40">
            <v>949</v>
          </cell>
          <cell r="M40" t="str">
            <v>3 เดือน</v>
          </cell>
          <cell r="N40" t="str">
            <v>COVER STOCK</v>
          </cell>
          <cell r="O40" t="str">
            <v>PHASE 1.2</v>
          </cell>
        </row>
        <row r="41">
          <cell r="A41">
            <v>30002587</v>
          </cell>
          <cell r="B41">
            <v>101</v>
          </cell>
          <cell r="C41">
            <v>100559</v>
          </cell>
          <cell r="D41" t="str">
            <v>บจก. พรีเมี่ยมสตีล โพรเซสซิ่ง</v>
          </cell>
          <cell r="E41">
            <v>1110</v>
          </cell>
          <cell r="F41" t="str">
            <v>*       30002587  LEVER CAMSHAFT 2 (5YP-F5356-00)</v>
          </cell>
          <cell r="G41">
            <v>1000</v>
          </cell>
          <cell r="H41">
            <v>500</v>
          </cell>
          <cell r="I41">
            <v>500</v>
          </cell>
          <cell r="J41" t="str">
            <v>PC</v>
          </cell>
          <cell r="K41">
            <v>1969</v>
          </cell>
          <cell r="L41">
            <v>969</v>
          </cell>
          <cell r="M41" t="str">
            <v>3 เดือน</v>
          </cell>
          <cell r="N41" t="str">
            <v>COVER STOCK</v>
          </cell>
          <cell r="O41" t="str">
            <v>PHASE 1.2</v>
          </cell>
        </row>
        <row r="42">
          <cell r="A42">
            <v>30002738</v>
          </cell>
          <cell r="B42">
            <v>139</v>
          </cell>
          <cell r="C42">
            <v>100559</v>
          </cell>
          <cell r="D42" t="str">
            <v>บจก. พรีเมี่ยมสตีล โพรเซสซิ่ง</v>
          </cell>
          <cell r="E42">
            <v>1110</v>
          </cell>
          <cell r="F42" t="str">
            <v>*       30002738  STAY LOCK (5TN-F117K-00)</v>
          </cell>
          <cell r="G42">
            <v>500</v>
          </cell>
          <cell r="H42">
            <v>0</v>
          </cell>
          <cell r="I42">
            <v>0</v>
          </cell>
          <cell r="J42" t="str">
            <v>PC</v>
          </cell>
          <cell r="K42">
            <v>1542</v>
          </cell>
          <cell r="L42">
            <v>1042</v>
          </cell>
          <cell r="M42" t="str">
            <v>3 เดือน</v>
          </cell>
          <cell r="N42" t="str">
            <v>COVER STOCK</v>
          </cell>
          <cell r="O42" t="str">
            <v>PHASE 1.2</v>
          </cell>
        </row>
        <row r="43">
          <cell r="A43">
            <v>30002595</v>
          </cell>
          <cell r="B43">
            <v>107</v>
          </cell>
          <cell r="C43">
            <v>100559</v>
          </cell>
          <cell r="D43" t="str">
            <v>บจก. พรีเมี่ยมสตีล โพรเซสซิ่ง</v>
          </cell>
          <cell r="E43">
            <v>1110</v>
          </cell>
          <cell r="F43" t="str">
            <v>*       30002595  BRKT 1 (5YW-E4718-00-2)</v>
          </cell>
          <cell r="G43">
            <v>400</v>
          </cell>
          <cell r="H43">
            <v>0</v>
          </cell>
          <cell r="I43">
            <v>0</v>
          </cell>
          <cell r="J43" t="str">
            <v>PC</v>
          </cell>
          <cell r="K43">
            <v>1089</v>
          </cell>
          <cell r="L43">
            <v>689</v>
          </cell>
          <cell r="M43" t="str">
            <v>2.7 เดือน</v>
          </cell>
          <cell r="N43" t="str">
            <v>COVER STOCK</v>
          </cell>
          <cell r="O43" t="str">
            <v>PHASE 1.2</v>
          </cell>
        </row>
        <row r="44">
          <cell r="A44">
            <v>30002576</v>
          </cell>
          <cell r="B44">
            <v>100</v>
          </cell>
          <cell r="C44">
            <v>100559</v>
          </cell>
          <cell r="D44" t="str">
            <v>บจก. พรีเมี่ยมสตีล โพรเซสซิ่ง</v>
          </cell>
          <cell r="E44">
            <v>1110</v>
          </cell>
          <cell r="F44" t="str">
            <v>*       30002576  BRKT HANDLE (53100-KRSH-6901-02)</v>
          </cell>
          <cell r="G44">
            <v>400</v>
          </cell>
          <cell r="H44">
            <v>200</v>
          </cell>
          <cell r="I44">
            <v>200</v>
          </cell>
          <cell r="J44" t="str">
            <v>PC</v>
          </cell>
          <cell r="K44">
            <v>751</v>
          </cell>
          <cell r="L44">
            <v>351</v>
          </cell>
          <cell r="M44" t="str">
            <v>2.5 เดือน</v>
          </cell>
          <cell r="N44" t="str">
            <v>COVER STOCK</v>
          </cell>
          <cell r="O44" t="str">
            <v>PHASE 1.2</v>
          </cell>
        </row>
        <row r="45">
          <cell r="A45">
            <v>30002588</v>
          </cell>
          <cell r="B45">
            <v>102</v>
          </cell>
          <cell r="C45">
            <v>100559</v>
          </cell>
          <cell r="D45" t="str">
            <v>บจก. พรีเมี่ยมสตีล โพรเซสซิ่ง</v>
          </cell>
          <cell r="E45">
            <v>1110</v>
          </cell>
          <cell r="F45" t="str">
            <v>*       30002588  PULLER CHAIN 2 (5TN-F538G-00)</v>
          </cell>
          <cell r="G45">
            <v>1000</v>
          </cell>
          <cell r="H45">
            <v>0</v>
          </cell>
          <cell r="I45">
            <v>0</v>
          </cell>
          <cell r="J45" t="str">
            <v>PC</v>
          </cell>
          <cell r="K45">
            <v>2551</v>
          </cell>
          <cell r="L45">
            <v>1551</v>
          </cell>
          <cell r="M45" t="str">
            <v>2.5 เดือน</v>
          </cell>
          <cell r="N45" t="str">
            <v>COVER STOCK</v>
          </cell>
          <cell r="O45" t="str">
            <v>PHASE 1.2</v>
          </cell>
        </row>
        <row r="46">
          <cell r="A46">
            <v>30002853</v>
          </cell>
          <cell r="B46">
            <v>151</v>
          </cell>
          <cell r="C46">
            <v>100559</v>
          </cell>
          <cell r="D46" t="str">
            <v>บจก. พรีเมี่ยมสตีล โพรเซสซิ่ง</v>
          </cell>
          <cell r="E46">
            <v>1110</v>
          </cell>
          <cell r="F46" t="str">
            <v>*       30002853  ARM (24701-KPP-9000)</v>
          </cell>
          <cell r="G46">
            <v>1000</v>
          </cell>
          <cell r="H46">
            <v>500</v>
          </cell>
          <cell r="I46">
            <v>1500</v>
          </cell>
          <cell r="J46" t="str">
            <v>PC</v>
          </cell>
          <cell r="K46">
            <v>2461</v>
          </cell>
          <cell r="L46">
            <v>1461</v>
          </cell>
          <cell r="M46" t="str">
            <v>2.5 เดือน</v>
          </cell>
          <cell r="N46" t="str">
            <v>COVER STOCK</v>
          </cell>
          <cell r="O46" t="str">
            <v>PHASE 1.2</v>
          </cell>
        </row>
        <row r="47">
          <cell r="A47">
            <v>30002572</v>
          </cell>
          <cell r="B47">
            <v>96</v>
          </cell>
          <cell r="C47">
            <v>100559</v>
          </cell>
          <cell r="D47" t="str">
            <v>บจก. พรีเมี่ยมสตีล โพรเซสซิ่ง</v>
          </cell>
          <cell r="E47">
            <v>1110</v>
          </cell>
          <cell r="F47" t="str">
            <v>*       30002572  PATCH HANDLE PIPE (53116-KRSH-6901)</v>
          </cell>
          <cell r="G47">
            <v>500</v>
          </cell>
          <cell r="H47">
            <v>600</v>
          </cell>
          <cell r="I47">
            <v>600</v>
          </cell>
          <cell r="J47" t="str">
            <v>PC</v>
          </cell>
          <cell r="K47">
            <v>960</v>
          </cell>
          <cell r="L47">
            <v>460</v>
          </cell>
          <cell r="M47" t="str">
            <v>2.3 เดือน</v>
          </cell>
          <cell r="N47" t="str">
            <v>COVER STOCK</v>
          </cell>
          <cell r="O47" t="str">
            <v>PHASE 1.2</v>
          </cell>
        </row>
        <row r="48">
          <cell r="A48">
            <v>30002169</v>
          </cell>
          <cell r="B48">
            <v>13</v>
          </cell>
          <cell r="C48">
            <v>100559</v>
          </cell>
          <cell r="D48" t="str">
            <v>บจก. พรีเมี่ยมสตีล โพรเซสซิ่ง</v>
          </cell>
          <cell r="E48">
            <v>1110</v>
          </cell>
          <cell r="F48" t="str">
            <v>*       30002169  BRKT COIL (5TN-F1359-00)</v>
          </cell>
          <cell r="G48">
            <v>300</v>
          </cell>
          <cell r="H48">
            <v>0</v>
          </cell>
          <cell r="I48">
            <v>0</v>
          </cell>
          <cell r="J48" t="str">
            <v>PC</v>
          </cell>
          <cell r="K48">
            <v>649</v>
          </cell>
          <cell r="L48">
            <v>349</v>
          </cell>
          <cell r="M48" t="str">
            <v>2 เดือน</v>
          </cell>
          <cell r="N48" t="str">
            <v>COVER STOCK</v>
          </cell>
          <cell r="O48" t="str">
            <v>PHASE 1.2</v>
          </cell>
        </row>
        <row r="49">
          <cell r="A49">
            <v>30002194</v>
          </cell>
          <cell r="B49">
            <v>33</v>
          </cell>
          <cell r="C49">
            <v>100559</v>
          </cell>
          <cell r="D49" t="str">
            <v>บจก. พรีเมี่ยมสตีล โพรเซสซิ่ง</v>
          </cell>
          <cell r="E49">
            <v>1110</v>
          </cell>
          <cell r="F49" t="str">
            <v>*       30002194  BRKT 6 (5YP-F139H-00)</v>
          </cell>
          <cell r="G49">
            <v>500</v>
          </cell>
          <cell r="H49">
            <v>500</v>
          </cell>
          <cell r="I49">
            <v>500</v>
          </cell>
          <cell r="J49" t="str">
            <v>PC</v>
          </cell>
          <cell r="K49">
            <v>920</v>
          </cell>
          <cell r="L49">
            <v>420</v>
          </cell>
          <cell r="M49" t="str">
            <v>2 เดือน</v>
          </cell>
          <cell r="N49" t="str">
            <v>COVER STOCK</v>
          </cell>
          <cell r="O49" t="str">
            <v>PHASE 1.2</v>
          </cell>
        </row>
        <row r="50">
          <cell r="A50">
            <v>30002589</v>
          </cell>
          <cell r="B50">
            <v>103</v>
          </cell>
          <cell r="C50">
            <v>100559</v>
          </cell>
          <cell r="D50" t="str">
            <v>บจก. พรีเมี่ยมสตีล โพรเซสซิ่ง</v>
          </cell>
          <cell r="E50">
            <v>1110</v>
          </cell>
          <cell r="F50" t="str">
            <v>*       30002589  STAY 1 (5TN-F1587-00)</v>
          </cell>
          <cell r="G50">
            <v>500</v>
          </cell>
          <cell r="H50">
            <v>0</v>
          </cell>
          <cell r="I50">
            <v>0</v>
          </cell>
          <cell r="J50" t="str">
            <v>PC</v>
          </cell>
          <cell r="K50">
            <v>1130</v>
          </cell>
          <cell r="L50">
            <v>630</v>
          </cell>
          <cell r="M50" t="str">
            <v>2 เดือน</v>
          </cell>
          <cell r="N50" t="str">
            <v>COVER STOCK</v>
          </cell>
          <cell r="O50" t="str">
            <v>PHASE 1.2</v>
          </cell>
        </row>
        <row r="51">
          <cell r="A51">
            <v>30002700</v>
          </cell>
          <cell r="B51">
            <v>131</v>
          </cell>
          <cell r="C51">
            <v>100559</v>
          </cell>
          <cell r="D51" t="str">
            <v>บจก. พรีเมี่ยมสตีล โพรเซสซิ่ง</v>
          </cell>
          <cell r="E51">
            <v>1110</v>
          </cell>
          <cell r="F51" t="str">
            <v>*       30002700  GUSSET (5TN-F1136-00)</v>
          </cell>
          <cell r="G51">
            <v>500</v>
          </cell>
          <cell r="H51">
            <v>0</v>
          </cell>
          <cell r="I51">
            <v>0</v>
          </cell>
          <cell r="J51" t="str">
            <v>PC</v>
          </cell>
          <cell r="K51">
            <v>1074</v>
          </cell>
          <cell r="L51">
            <v>574</v>
          </cell>
          <cell r="M51" t="str">
            <v>2 เดือน</v>
          </cell>
          <cell r="N51" t="str">
            <v>COVER STOCK</v>
          </cell>
          <cell r="O51" t="str">
            <v>PHASE 1.2</v>
          </cell>
        </row>
        <row r="52">
          <cell r="A52">
            <v>30002768</v>
          </cell>
          <cell r="B52">
            <v>145</v>
          </cell>
          <cell r="C52">
            <v>100559</v>
          </cell>
          <cell r="D52" t="str">
            <v>บจก. พรีเมี่ยมสตีล โพรเซสซิ่ง</v>
          </cell>
          <cell r="E52">
            <v>1110</v>
          </cell>
          <cell r="F52" t="str">
            <v>*       30002768  BRKT 11 (5TN-F139N-00)</v>
          </cell>
          <cell r="G52">
            <v>500</v>
          </cell>
          <cell r="H52">
            <v>0</v>
          </cell>
          <cell r="I52">
            <v>0</v>
          </cell>
          <cell r="J52" t="str">
            <v>PC</v>
          </cell>
          <cell r="K52">
            <v>1084</v>
          </cell>
          <cell r="L52">
            <v>584</v>
          </cell>
          <cell r="M52" t="str">
            <v>2 เดือน</v>
          </cell>
          <cell r="N52" t="str">
            <v>COVER STOCK</v>
          </cell>
          <cell r="O52" t="str">
            <v>PHASE 1.2</v>
          </cell>
        </row>
        <row r="53">
          <cell r="A53">
            <v>30002183</v>
          </cell>
          <cell r="B53">
            <v>24</v>
          </cell>
          <cell r="C53">
            <v>100559</v>
          </cell>
          <cell r="D53" t="str">
            <v>บจก. พรีเมี่ยมสตีล โพรเซสซิ่ง</v>
          </cell>
          <cell r="E53">
            <v>1110</v>
          </cell>
          <cell r="F53" t="str">
            <v>*       30002183  BRKT (1P7-F1249-00)</v>
          </cell>
          <cell r="G53">
            <v>1200</v>
          </cell>
          <cell r="H53">
            <v>1200</v>
          </cell>
          <cell r="I53">
            <v>800</v>
          </cell>
          <cell r="J53" t="str">
            <v>PC</v>
          </cell>
          <cell r="K53">
            <v>1208</v>
          </cell>
          <cell r="L53">
            <v>8</v>
          </cell>
          <cell r="M53" t="str">
            <v>1เดือน</v>
          </cell>
          <cell r="N53" t="str">
            <v>COVER STOCK</v>
          </cell>
          <cell r="O53" t="str">
            <v>PHASE 1.2</v>
          </cell>
        </row>
        <row r="54">
          <cell r="A54">
            <v>30002503</v>
          </cell>
          <cell r="B54">
            <v>58</v>
          </cell>
          <cell r="C54">
            <v>100559</v>
          </cell>
          <cell r="D54" t="str">
            <v>บจก. พรีเมี่ยมสตีล โพรเซสซิ่ง</v>
          </cell>
          <cell r="E54">
            <v>1110</v>
          </cell>
          <cell r="F54" t="str">
            <v>*       30002503  PLATE B , L (50112-KPK-9000-H1)</v>
          </cell>
          <cell r="G54">
            <v>200</v>
          </cell>
          <cell r="H54">
            <v>200</v>
          </cell>
          <cell r="I54">
            <v>200</v>
          </cell>
          <cell r="J54" t="str">
            <v>PC</v>
          </cell>
          <cell r="K54">
            <v>229</v>
          </cell>
          <cell r="L54">
            <v>29</v>
          </cell>
          <cell r="M54" t="str">
            <v>1เดือน</v>
          </cell>
          <cell r="N54" t="str">
            <v>COVER STOCK</v>
          </cell>
          <cell r="O54" t="str">
            <v>PHASE 1.2</v>
          </cell>
        </row>
        <row r="55">
          <cell r="A55">
            <v>30002502</v>
          </cell>
          <cell r="B55">
            <v>57</v>
          </cell>
          <cell r="C55">
            <v>100559</v>
          </cell>
          <cell r="D55" t="str">
            <v>บจก. พรีเมี่ยมสตีล โพรเซสซิ่ง</v>
          </cell>
          <cell r="E55">
            <v>1110</v>
          </cell>
          <cell r="F55" t="str">
            <v>*       30002502  STAY COVER (83150-KPK-9000-04)</v>
          </cell>
          <cell r="G55">
            <v>200</v>
          </cell>
          <cell r="H55">
            <v>200</v>
          </cell>
          <cell r="I55">
            <v>200</v>
          </cell>
          <cell r="J55" t="str">
            <v>PC</v>
          </cell>
          <cell r="K55">
            <v>2503</v>
          </cell>
          <cell r="L55">
            <v>2303</v>
          </cell>
          <cell r="M55" t="str">
            <v>12.5 เดือน</v>
          </cell>
          <cell r="N55" t="str">
            <v>COVER STOCK</v>
          </cell>
          <cell r="O55" t="str">
            <v>PHASE 1.2</v>
          </cell>
        </row>
        <row r="56">
          <cell r="A56">
            <v>30002537</v>
          </cell>
          <cell r="B56">
            <v>79</v>
          </cell>
          <cell r="C56">
            <v>100559</v>
          </cell>
          <cell r="D56" t="str">
            <v>บจก. พรีเมี่ยมสตีล โพรเซสซิ่ง</v>
          </cell>
          <cell r="E56">
            <v>1110</v>
          </cell>
          <cell r="F56" t="str">
            <v>*       30002537  STIFFINER L PIVOT (50146-GEZ-3001)</v>
          </cell>
          <cell r="G56">
            <v>600</v>
          </cell>
          <cell r="H56">
            <v>400</v>
          </cell>
          <cell r="I56">
            <v>400</v>
          </cell>
          <cell r="J56" t="str">
            <v>PC</v>
          </cell>
          <cell r="K56">
            <v>4430</v>
          </cell>
          <cell r="L56">
            <v>3830</v>
          </cell>
          <cell r="M56" t="str">
            <v>10.5 เดือน</v>
          </cell>
          <cell r="N56" t="str">
            <v>COVER STOCK</v>
          </cell>
          <cell r="O56" t="str">
            <v>PHASE 1.2</v>
          </cell>
        </row>
        <row r="57">
          <cell r="A57">
            <v>30002534</v>
          </cell>
          <cell r="B57">
            <v>77</v>
          </cell>
          <cell r="C57">
            <v>100559</v>
          </cell>
          <cell r="D57" t="str">
            <v>บจก. พรีเมี่ยมสตีล โพรเซสซิ่ง</v>
          </cell>
          <cell r="E57">
            <v>1110</v>
          </cell>
          <cell r="F57" t="str">
            <v>*       30002534  PLATE RR CROSS (80125-KFEA-7000-03)</v>
          </cell>
          <cell r="G57">
            <v>0</v>
          </cell>
          <cell r="H57">
            <v>200</v>
          </cell>
          <cell r="I57">
            <v>200</v>
          </cell>
          <cell r="J57" t="str">
            <v>PC</v>
          </cell>
          <cell r="K57">
            <v>351</v>
          </cell>
          <cell r="L57">
            <v>351</v>
          </cell>
          <cell r="M57" t="str">
            <v>1.8 เดือน</v>
          </cell>
          <cell r="N57" t="str">
            <v>COVER STOCK</v>
          </cell>
          <cell r="O57" t="str">
            <v>PHASE 1.2</v>
          </cell>
        </row>
        <row r="58">
          <cell r="A58">
            <v>30002395</v>
          </cell>
          <cell r="B58">
            <v>39</v>
          </cell>
          <cell r="C58">
            <v>100559</v>
          </cell>
          <cell r="D58" t="str">
            <v>บจก. พรีเมี่ยมสตีล โพรเซสซิ่ง</v>
          </cell>
          <cell r="E58">
            <v>1110</v>
          </cell>
          <cell r="F58" t="str">
            <v>*       30002395  STAY 2 (5YP-F2132-00)</v>
          </cell>
          <cell r="G58">
            <v>1200</v>
          </cell>
          <cell r="H58">
            <v>1000</v>
          </cell>
          <cell r="I58">
            <v>1000</v>
          </cell>
          <cell r="J58" t="str">
            <v>PC</v>
          </cell>
          <cell r="K58">
            <v>2042</v>
          </cell>
          <cell r="L58">
            <v>842</v>
          </cell>
          <cell r="M58" t="str">
            <v>1.7เดือน</v>
          </cell>
          <cell r="N58" t="str">
            <v>COVER STOCK</v>
          </cell>
          <cell r="O58" t="str">
            <v>PHASE 1.2</v>
          </cell>
        </row>
        <row r="59">
          <cell r="A59">
            <v>30002924</v>
          </cell>
          <cell r="B59">
            <v>157</v>
          </cell>
          <cell r="C59">
            <v>100559</v>
          </cell>
          <cell r="D59" t="str">
            <v>บจก. พรีเมี่ยมสตีล โพรเซสซิ่ง</v>
          </cell>
          <cell r="E59">
            <v>1110</v>
          </cell>
          <cell r="F59" t="str">
            <v>*       30002924  CABLE CLIP (2303430-03)</v>
          </cell>
          <cell r="G59">
            <v>2000</v>
          </cell>
          <cell r="H59">
            <v>2000</v>
          </cell>
          <cell r="I59">
            <v>2000</v>
          </cell>
          <cell r="J59" t="str">
            <v>PC</v>
          </cell>
          <cell r="K59">
            <v>3511</v>
          </cell>
          <cell r="L59">
            <v>1511</v>
          </cell>
          <cell r="M59" t="str">
            <v>1.7 เดือน</v>
          </cell>
          <cell r="N59" t="str">
            <v>COVER STOCK</v>
          </cell>
          <cell r="O59" t="str">
            <v>PHASE 1.2</v>
          </cell>
        </row>
        <row r="60">
          <cell r="A60">
            <v>30002458</v>
          </cell>
          <cell r="B60">
            <v>54</v>
          </cell>
          <cell r="C60">
            <v>100559</v>
          </cell>
          <cell r="D60" t="str">
            <v>บจก. พรีเมี่ยมสตีล โพรเซสซิ่ง</v>
          </cell>
          <cell r="E60">
            <v>1110</v>
          </cell>
          <cell r="F60" t="str">
            <v>*       30002458  ARM RR 1 (5TN-F2171-00)</v>
          </cell>
          <cell r="G60">
            <v>300</v>
          </cell>
          <cell r="H60">
            <v>0</v>
          </cell>
          <cell r="I60">
            <v>0</v>
          </cell>
          <cell r="J60" t="str">
            <v>PC</v>
          </cell>
          <cell r="K60">
            <v>429</v>
          </cell>
          <cell r="L60">
            <v>129</v>
          </cell>
          <cell r="M60" t="str">
            <v>1.5 เดือน</v>
          </cell>
          <cell r="N60" t="str">
            <v>COVER STOCK</v>
          </cell>
          <cell r="O60" t="str">
            <v>PHASE 1.2</v>
          </cell>
        </row>
        <row r="61">
          <cell r="A61">
            <v>30002504</v>
          </cell>
          <cell r="B61">
            <v>59</v>
          </cell>
          <cell r="C61">
            <v>100559</v>
          </cell>
          <cell r="D61" t="str">
            <v>บจก. พรีเมี่ยมสตีล โพรเซสซิ่ง</v>
          </cell>
          <cell r="E61">
            <v>1110</v>
          </cell>
          <cell r="F61" t="str">
            <v>*       30002504  PLATE A , L (50112-KPK-9000-H1)</v>
          </cell>
          <cell r="G61">
            <v>200</v>
          </cell>
          <cell r="H61">
            <v>200</v>
          </cell>
          <cell r="I61">
            <v>200</v>
          </cell>
          <cell r="J61" t="str">
            <v>PC</v>
          </cell>
          <cell r="K61">
            <v>319</v>
          </cell>
          <cell r="L61">
            <v>119</v>
          </cell>
          <cell r="M61" t="str">
            <v>1.5 เดือน</v>
          </cell>
          <cell r="N61" t="str">
            <v>COVER STOCK</v>
          </cell>
          <cell r="O61" t="str">
            <v>PHASE 1.2</v>
          </cell>
        </row>
        <row r="62">
          <cell r="A62">
            <v>30002514</v>
          </cell>
          <cell r="B62">
            <v>64</v>
          </cell>
          <cell r="C62">
            <v>100559</v>
          </cell>
          <cell r="D62" t="str">
            <v>บจก. พรีเมี่ยมสตีล โพรเซสซิ่ง</v>
          </cell>
          <cell r="E62">
            <v>1110</v>
          </cell>
          <cell r="F62" t="str">
            <v>*       30002514  STAY METER (83510-KPKJ-9400-02)</v>
          </cell>
          <cell r="G62">
            <v>200</v>
          </cell>
          <cell r="H62">
            <v>200</v>
          </cell>
          <cell r="I62">
            <v>200</v>
          </cell>
          <cell r="J62" t="str">
            <v>PC</v>
          </cell>
          <cell r="K62">
            <v>299</v>
          </cell>
          <cell r="L62">
            <v>99</v>
          </cell>
          <cell r="M62" t="str">
            <v>1.5 เดือน</v>
          </cell>
          <cell r="N62" t="str">
            <v>COVER STOCK</v>
          </cell>
          <cell r="O62" t="str">
            <v>PHASE 1.2</v>
          </cell>
        </row>
        <row r="63">
          <cell r="A63">
            <v>30002551</v>
          </cell>
          <cell r="B63">
            <v>85</v>
          </cell>
          <cell r="C63">
            <v>100559</v>
          </cell>
          <cell r="D63" t="str">
            <v>บจก. พรีเมี่ยมสตีล โพรเซสซิ่ง</v>
          </cell>
          <cell r="E63">
            <v>1110</v>
          </cell>
          <cell r="F63" t="str">
            <v>*       30002551  PLATE UPPER STOPPER (50500-KPHA-9000-12)</v>
          </cell>
          <cell r="G63">
            <v>2800</v>
          </cell>
          <cell r="H63">
            <v>2500</v>
          </cell>
          <cell r="I63">
            <v>2500</v>
          </cell>
          <cell r="J63" t="str">
            <v>PC</v>
          </cell>
          <cell r="K63">
            <v>4231</v>
          </cell>
          <cell r="L63">
            <v>1431</v>
          </cell>
          <cell r="M63" t="str">
            <v>1.5 เดือน</v>
          </cell>
          <cell r="N63" t="str">
            <v>COVER STOCK</v>
          </cell>
          <cell r="O63" t="str">
            <v>PHASE 1.2</v>
          </cell>
        </row>
        <row r="64">
          <cell r="A64">
            <v>30002556</v>
          </cell>
          <cell r="B64">
            <v>88</v>
          </cell>
          <cell r="C64">
            <v>100559</v>
          </cell>
          <cell r="D64" t="str">
            <v>บจก. พรีเมี่ยมสตีล โพรเซสซิ่ง</v>
          </cell>
          <cell r="E64">
            <v>1110</v>
          </cell>
          <cell r="F64" t="str">
            <v>*       30002556  ARM (2470B-KPH-9700)</v>
          </cell>
          <cell r="G64">
            <v>0</v>
          </cell>
          <cell r="H64">
            <v>300</v>
          </cell>
          <cell r="I64">
            <v>600</v>
          </cell>
          <cell r="J64" t="str">
            <v>PC</v>
          </cell>
          <cell r="K64">
            <v>386</v>
          </cell>
          <cell r="L64">
            <v>386</v>
          </cell>
          <cell r="M64" t="str">
            <v>1.5 เดือน</v>
          </cell>
          <cell r="N64" t="str">
            <v>COVER STOCK</v>
          </cell>
          <cell r="O64" t="str">
            <v>PHASE 1.2</v>
          </cell>
        </row>
        <row r="65">
          <cell r="A65">
            <v>30002680</v>
          </cell>
          <cell r="B65">
            <v>119</v>
          </cell>
          <cell r="C65">
            <v>100559</v>
          </cell>
          <cell r="D65" t="str">
            <v>บจก. พรีเมี่ยมสตีล โพรเซสซิ่ง</v>
          </cell>
          <cell r="E65">
            <v>1110</v>
          </cell>
          <cell r="F65" t="str">
            <v>*       30002680  STOPPER STRG (5YP-F1312-00)</v>
          </cell>
          <cell r="G65">
            <v>800</v>
          </cell>
          <cell r="H65">
            <v>1200</v>
          </cell>
          <cell r="I65">
            <v>1200</v>
          </cell>
          <cell r="J65" t="str">
            <v>PC</v>
          </cell>
          <cell r="K65">
            <v>1456</v>
          </cell>
          <cell r="L65">
            <v>656</v>
          </cell>
          <cell r="M65" t="str">
            <v>1.5 เดือน</v>
          </cell>
          <cell r="N65" t="str">
            <v>COVER STOCK</v>
          </cell>
          <cell r="O65" t="str">
            <v>PHASE 1.2</v>
          </cell>
        </row>
        <row r="66">
          <cell r="A66">
            <v>30002697</v>
          </cell>
          <cell r="B66">
            <v>130</v>
          </cell>
          <cell r="C66">
            <v>100559</v>
          </cell>
          <cell r="D66" t="str">
            <v>บจก. พรีเมี่ยมสตีล โพรเซสซิ่ง</v>
          </cell>
          <cell r="E66">
            <v>1110</v>
          </cell>
          <cell r="F66" t="str">
            <v>*       30002697  BRKT 1 (5YP-F1238-00)</v>
          </cell>
          <cell r="G66">
            <v>1000</v>
          </cell>
          <cell r="H66">
            <v>2000</v>
          </cell>
          <cell r="I66">
            <v>0</v>
          </cell>
          <cell r="J66" t="str">
            <v>PC</v>
          </cell>
          <cell r="K66">
            <v>1981</v>
          </cell>
          <cell r="L66">
            <v>981</v>
          </cell>
          <cell r="M66" t="str">
            <v>1.5 เดือน</v>
          </cell>
          <cell r="N66" t="str">
            <v>COVER STOCK</v>
          </cell>
          <cell r="O66" t="str">
            <v>PHASE 1.2</v>
          </cell>
        </row>
        <row r="67">
          <cell r="A67">
            <v>30002705</v>
          </cell>
          <cell r="B67">
            <v>133</v>
          </cell>
          <cell r="C67">
            <v>100559</v>
          </cell>
          <cell r="D67" t="str">
            <v>บจก. พรีเมี่ยมสตีล โพรเซสซิ่ง</v>
          </cell>
          <cell r="E67">
            <v>1110</v>
          </cell>
          <cell r="F67" t="str">
            <v>*       30002705  REINF ENG BRKT RR UPR 1(5TN-F1465-00)</v>
          </cell>
          <cell r="G67">
            <v>500</v>
          </cell>
          <cell r="H67">
            <v>0</v>
          </cell>
          <cell r="I67">
            <v>0</v>
          </cell>
          <cell r="J67" t="str">
            <v>PC</v>
          </cell>
          <cell r="K67">
            <v>741</v>
          </cell>
          <cell r="L67">
            <v>241</v>
          </cell>
          <cell r="M67" t="str">
            <v>1.5 เดือน</v>
          </cell>
          <cell r="N67" t="str">
            <v>COVER STOCK</v>
          </cell>
          <cell r="O67" t="str">
            <v>PHASE 1.2</v>
          </cell>
        </row>
        <row r="68">
          <cell r="A68">
            <v>30002789</v>
          </cell>
          <cell r="B68">
            <v>150</v>
          </cell>
          <cell r="C68">
            <v>100559</v>
          </cell>
          <cell r="D68" t="str">
            <v>บจก. พรีเมี่ยมสตีล โพรเซสซิ่ง</v>
          </cell>
          <cell r="E68">
            <v>1110</v>
          </cell>
          <cell r="F68" t="str">
            <v>*       30002789  BRKT 4 (1P7-F139F-00)</v>
          </cell>
          <cell r="G68">
            <v>1500</v>
          </cell>
          <cell r="H68">
            <v>1000</v>
          </cell>
          <cell r="I68">
            <v>500</v>
          </cell>
          <cell r="J68" t="str">
            <v>PC</v>
          </cell>
          <cell r="K68">
            <v>2241</v>
          </cell>
          <cell r="L68">
            <v>741</v>
          </cell>
          <cell r="M68" t="str">
            <v>1.5 เดือน</v>
          </cell>
          <cell r="N68" t="str">
            <v>COVER STOCK</v>
          </cell>
          <cell r="O68" t="str">
            <v>PHASE 1.2</v>
          </cell>
        </row>
        <row r="69">
          <cell r="A69">
            <v>30002884</v>
          </cell>
          <cell r="B69">
            <v>154</v>
          </cell>
          <cell r="C69">
            <v>100559</v>
          </cell>
          <cell r="D69" t="str">
            <v>บจก. พรีเมี่ยมสตีล โพรเซสซิ่ง</v>
          </cell>
          <cell r="E69">
            <v>1110</v>
          </cell>
          <cell r="F69" t="str">
            <v>*       30002884  BRKT 2 (5YP-F141E-10)</v>
          </cell>
          <cell r="G69">
            <v>800</v>
          </cell>
          <cell r="H69">
            <v>1200</v>
          </cell>
          <cell r="I69">
            <v>1200</v>
          </cell>
          <cell r="J69" t="str">
            <v>PC</v>
          </cell>
          <cell r="K69">
            <v>1110</v>
          </cell>
          <cell r="L69">
            <v>310</v>
          </cell>
          <cell r="M69" t="str">
            <v>1.4 เดือน</v>
          </cell>
          <cell r="N69" t="str">
            <v>COVER STOCK</v>
          </cell>
          <cell r="O69" t="str">
            <v>PHASE 1.2</v>
          </cell>
        </row>
        <row r="70">
          <cell r="A70">
            <v>30002516</v>
          </cell>
          <cell r="B70">
            <v>65</v>
          </cell>
          <cell r="C70">
            <v>100559</v>
          </cell>
          <cell r="D70" t="str">
            <v>บจก. พรีเมี่ยมสตีล โพรเซสซิ่ง</v>
          </cell>
          <cell r="E70">
            <v>1110</v>
          </cell>
          <cell r="F70" t="str">
            <v>*       30002516  ARM TIE ROD (24701-KPP-900)</v>
          </cell>
          <cell r="G70">
            <v>1000</v>
          </cell>
          <cell r="H70">
            <v>1000</v>
          </cell>
          <cell r="I70">
            <v>1000</v>
          </cell>
          <cell r="J70" t="str">
            <v>PC</v>
          </cell>
          <cell r="K70">
            <v>1353</v>
          </cell>
          <cell r="L70">
            <v>353</v>
          </cell>
          <cell r="M70" t="str">
            <v>1.3 เดือน</v>
          </cell>
          <cell r="N70" t="str">
            <v>COVER STOCK</v>
          </cell>
          <cell r="O70" t="str">
            <v>PHASE 1.2</v>
          </cell>
        </row>
        <row r="71">
          <cell r="A71">
            <v>30002664</v>
          </cell>
          <cell r="B71">
            <v>113</v>
          </cell>
          <cell r="C71">
            <v>100559</v>
          </cell>
          <cell r="D71" t="str">
            <v>บจก. พรีเมี่ยมสตีล โพรเซสซิ่ง</v>
          </cell>
          <cell r="E71">
            <v>1110</v>
          </cell>
          <cell r="F71" t="str">
            <v>*       30002664  BRKT 2 (5YP-F138L-00)</v>
          </cell>
          <cell r="G71">
            <v>1200</v>
          </cell>
          <cell r="H71">
            <v>1200</v>
          </cell>
          <cell r="I71">
            <v>600</v>
          </cell>
          <cell r="J71" t="str">
            <v>PC</v>
          </cell>
          <cell r="K71">
            <v>1596</v>
          </cell>
          <cell r="L71">
            <v>396</v>
          </cell>
          <cell r="M71" t="str">
            <v>1.3 เดือน</v>
          </cell>
          <cell r="N71" t="str">
            <v>COVER STOCK</v>
          </cell>
          <cell r="O71" t="str">
            <v>PHASE 1.2</v>
          </cell>
        </row>
        <row r="72">
          <cell r="A72">
            <v>30002190</v>
          </cell>
          <cell r="B72">
            <v>31</v>
          </cell>
          <cell r="C72">
            <v>100559</v>
          </cell>
          <cell r="D72" t="str">
            <v>บจก. พรีเมี่ยมสตีล โพรเซสซิ่ง</v>
          </cell>
          <cell r="E72">
            <v>1110</v>
          </cell>
          <cell r="F72" t="str">
            <v>*       30002190  PLATE 1 (5TN-F539F-00-1)</v>
          </cell>
          <cell r="G72">
            <v>1500</v>
          </cell>
          <cell r="H72">
            <v>0</v>
          </cell>
          <cell r="I72">
            <v>0</v>
          </cell>
          <cell r="J72" t="str">
            <v>PC</v>
          </cell>
          <cell r="K72">
            <v>2004</v>
          </cell>
          <cell r="L72">
            <v>504</v>
          </cell>
          <cell r="M72" t="str">
            <v>1.25 เดือน</v>
          </cell>
          <cell r="N72" t="str">
            <v>COVER STOCK</v>
          </cell>
          <cell r="O72" t="str">
            <v>PHASE 1.2</v>
          </cell>
        </row>
        <row r="73">
          <cell r="A73">
            <v>30002396</v>
          </cell>
          <cell r="B73">
            <v>40</v>
          </cell>
          <cell r="C73">
            <v>100559</v>
          </cell>
          <cell r="D73" t="str">
            <v>บจก. พรีเมี่ยมสตีล โพรเซสซิ่ง</v>
          </cell>
          <cell r="E73">
            <v>1110</v>
          </cell>
          <cell r="F73" t="str">
            <v>*       30002396  GUIDE CHAIN (5YP-F2187-00)</v>
          </cell>
          <cell r="G73">
            <v>1200</v>
          </cell>
          <cell r="H73">
            <v>1200</v>
          </cell>
          <cell r="I73">
            <v>1000</v>
          </cell>
          <cell r="J73" t="str">
            <v>PC</v>
          </cell>
          <cell r="K73">
            <v>1450</v>
          </cell>
          <cell r="L73">
            <v>250</v>
          </cell>
          <cell r="M73" t="str">
            <v>1.25 เดือน</v>
          </cell>
          <cell r="N73" t="str">
            <v>COVER STOCK</v>
          </cell>
          <cell r="O73" t="str">
            <v>PHASE 1.2</v>
          </cell>
        </row>
        <row r="74">
          <cell r="A74">
            <v>30002521</v>
          </cell>
          <cell r="B74">
            <v>67</v>
          </cell>
          <cell r="C74">
            <v>100559</v>
          </cell>
          <cell r="D74" t="str">
            <v>บจก. พรีเมี่ยมสตีล โพรเซสซิ่ง</v>
          </cell>
          <cell r="E74">
            <v>1110</v>
          </cell>
          <cell r="F74" t="str">
            <v>*       30002521  STAY CDI (50138-KPPA-9000-01)</v>
          </cell>
          <cell r="G74">
            <v>800</v>
          </cell>
          <cell r="H74">
            <v>800</v>
          </cell>
          <cell r="I74">
            <v>800</v>
          </cell>
          <cell r="J74" t="str">
            <v>PC</v>
          </cell>
          <cell r="K74">
            <v>1092</v>
          </cell>
          <cell r="L74">
            <v>292</v>
          </cell>
          <cell r="M74" t="str">
            <v>1.2 เดือน</v>
          </cell>
          <cell r="N74" t="str">
            <v>COVER STOCK</v>
          </cell>
          <cell r="O74" t="str">
            <v>PHASE 1.2</v>
          </cell>
        </row>
        <row r="75">
          <cell r="A75">
            <v>30002143</v>
          </cell>
          <cell r="B75">
            <v>1</v>
          </cell>
          <cell r="C75">
            <v>100559</v>
          </cell>
          <cell r="D75" t="str">
            <v>บจก. พรีเมี่ยมสตีล โพรเซสซิ่ง</v>
          </cell>
          <cell r="E75">
            <v>1110</v>
          </cell>
          <cell r="F75" t="str">
            <v>*       30002143  BRKT RR CUSHION 2 LH (5MY-F1382-00)</v>
          </cell>
          <cell r="G75">
            <v>1000</v>
          </cell>
          <cell r="H75">
            <v>1000</v>
          </cell>
          <cell r="I75">
            <v>1000</v>
          </cell>
          <cell r="J75" t="str">
            <v>PC</v>
          </cell>
          <cell r="K75">
            <v>1030</v>
          </cell>
          <cell r="L75">
            <v>30</v>
          </cell>
          <cell r="M75" t="str">
            <v>1 เดือน</v>
          </cell>
          <cell r="N75" t="str">
            <v>COVER STOCK</v>
          </cell>
          <cell r="O75" t="str">
            <v>PHASE 1.2</v>
          </cell>
        </row>
        <row r="76">
          <cell r="A76">
            <v>30002425</v>
          </cell>
          <cell r="B76">
            <v>50</v>
          </cell>
          <cell r="C76">
            <v>100559</v>
          </cell>
          <cell r="D76" t="str">
            <v>บจก. พรีเมี่ยมสตีล โพรเซสซิ่ง</v>
          </cell>
          <cell r="E76">
            <v>1110</v>
          </cell>
          <cell r="F76" t="str">
            <v>*       30002425  HOOK SPRING (50500-KPH-6000-05)</v>
          </cell>
          <cell r="G76">
            <v>2846</v>
          </cell>
          <cell r="H76">
            <v>2500</v>
          </cell>
          <cell r="I76">
            <v>2500</v>
          </cell>
          <cell r="J76" t="str">
            <v>PC</v>
          </cell>
          <cell r="K76">
            <v>2902</v>
          </cell>
          <cell r="L76">
            <v>56</v>
          </cell>
          <cell r="M76" t="str">
            <v>1 เดือน</v>
          </cell>
          <cell r="N76" t="str">
            <v>COVER STOCK</v>
          </cell>
          <cell r="O76" t="str">
            <v>PHASE 1.2</v>
          </cell>
        </row>
        <row r="77">
          <cell r="A77">
            <v>30002560</v>
          </cell>
          <cell r="B77">
            <v>91</v>
          </cell>
          <cell r="C77">
            <v>100559</v>
          </cell>
          <cell r="D77" t="str">
            <v>บจก. พรีเมี่ยมสตีล โพรเซสซิ่ง</v>
          </cell>
          <cell r="E77">
            <v>1110</v>
          </cell>
          <cell r="F77" t="str">
            <v>*       30002560  GUSSET PIVOT BL. AAT (50157-KPWA-9000)</v>
          </cell>
          <cell r="G77">
            <v>14000</v>
          </cell>
          <cell r="H77">
            <v>15000</v>
          </cell>
          <cell r="I77">
            <v>15000</v>
          </cell>
          <cell r="J77" t="str">
            <v>PC</v>
          </cell>
          <cell r="K77">
            <v>16022</v>
          </cell>
          <cell r="L77">
            <v>2022</v>
          </cell>
          <cell r="M77" t="str">
            <v>1 เดือน</v>
          </cell>
          <cell r="N77" t="str">
            <v>COVER STOCK</v>
          </cell>
          <cell r="O77" t="str">
            <v>PHASE 1.2</v>
          </cell>
        </row>
        <row r="78">
          <cell r="A78">
            <v>30002590</v>
          </cell>
          <cell r="B78">
            <v>104</v>
          </cell>
          <cell r="C78">
            <v>100559</v>
          </cell>
          <cell r="D78" t="str">
            <v>บจก. พรีเมี่ยมสตีล โพรเซสซิ่ง</v>
          </cell>
          <cell r="E78">
            <v>1110</v>
          </cell>
          <cell r="F78" t="str">
            <v>*       30002590  BRKT 6 (5TN-F139H-00)</v>
          </cell>
          <cell r="G78">
            <v>500</v>
          </cell>
          <cell r="H78">
            <v>0</v>
          </cell>
          <cell r="I78">
            <v>0</v>
          </cell>
          <cell r="J78" t="str">
            <v>PC</v>
          </cell>
          <cell r="K78">
            <v>688</v>
          </cell>
          <cell r="L78">
            <v>188</v>
          </cell>
          <cell r="M78" t="str">
            <v>1 เดือน</v>
          </cell>
          <cell r="N78" t="str">
            <v>COVER STOCK</v>
          </cell>
          <cell r="O78" t="str">
            <v>PHASE 1.2</v>
          </cell>
        </row>
        <row r="79">
          <cell r="A79">
            <v>30002593</v>
          </cell>
          <cell r="B79">
            <v>106</v>
          </cell>
          <cell r="C79">
            <v>100559</v>
          </cell>
          <cell r="D79" t="str">
            <v>บจก. พรีเมี่ยมสตีล โพรเซสซิ่ง</v>
          </cell>
          <cell r="E79">
            <v>1110</v>
          </cell>
          <cell r="F79" t="str">
            <v>*       30002593  BRKT RR CUSHION 1 (5YP-F213E-00)</v>
          </cell>
          <cell r="G79">
            <v>1200</v>
          </cell>
          <cell r="H79">
            <v>1200</v>
          </cell>
          <cell r="I79">
            <v>1200</v>
          </cell>
          <cell r="J79" t="str">
            <v>PC</v>
          </cell>
          <cell r="K79">
            <v>1320</v>
          </cell>
          <cell r="L79">
            <v>120</v>
          </cell>
          <cell r="M79" t="str">
            <v>1 เดือน</v>
          </cell>
          <cell r="N79" t="str">
            <v>COVER STOCK</v>
          </cell>
          <cell r="O79" t="str">
            <v>PHASE 1.2</v>
          </cell>
        </row>
        <row r="80">
          <cell r="A80">
            <v>30002668</v>
          </cell>
          <cell r="B80">
            <v>115</v>
          </cell>
          <cell r="C80">
            <v>100559</v>
          </cell>
          <cell r="D80" t="str">
            <v>บจก. พรีเมี่ยมสตีล โพรเซสซิ่ง</v>
          </cell>
          <cell r="E80">
            <v>1110</v>
          </cell>
          <cell r="F80" t="str">
            <v>*       30002668  BRKT 1 (5YP-F134M-00)</v>
          </cell>
          <cell r="G80">
            <v>1200</v>
          </cell>
          <cell r="H80">
            <v>1200</v>
          </cell>
          <cell r="I80">
            <v>600</v>
          </cell>
          <cell r="J80" t="str">
            <v>PC</v>
          </cell>
          <cell r="K80">
            <v>1208</v>
          </cell>
          <cell r="L80">
            <v>8</v>
          </cell>
          <cell r="M80" t="str">
            <v>1 เดือน</v>
          </cell>
          <cell r="N80" t="str">
            <v>COVER STOCK</v>
          </cell>
          <cell r="O80" t="str">
            <v>PHASE 1.2</v>
          </cell>
        </row>
        <row r="81">
          <cell r="A81">
            <v>30002670</v>
          </cell>
          <cell r="B81">
            <v>116</v>
          </cell>
          <cell r="C81">
            <v>100559</v>
          </cell>
          <cell r="D81" t="str">
            <v>บจก. พรีเมี่ยมสตีล โพรเซสซิ่ง</v>
          </cell>
          <cell r="E81">
            <v>1110</v>
          </cell>
          <cell r="F81" t="str">
            <v>*       30002670  BRKT 4 (5YP-F118V-00)</v>
          </cell>
          <cell r="G81">
            <v>0</v>
          </cell>
          <cell r="H81">
            <v>800</v>
          </cell>
          <cell r="I81">
            <v>400</v>
          </cell>
          <cell r="J81" t="str">
            <v>PC</v>
          </cell>
          <cell r="K81">
            <v>803</v>
          </cell>
          <cell r="L81">
            <v>803</v>
          </cell>
          <cell r="M81" t="str">
            <v>1 เดือน</v>
          </cell>
          <cell r="N81" t="str">
            <v>COVER STOCK</v>
          </cell>
          <cell r="O81" t="str">
            <v>PHASE 1.2</v>
          </cell>
        </row>
        <row r="82">
          <cell r="A82">
            <v>30002692</v>
          </cell>
          <cell r="B82">
            <v>125</v>
          </cell>
          <cell r="C82">
            <v>100559</v>
          </cell>
          <cell r="D82" t="str">
            <v>บจก. พรีเมี่ยมสตีล โพรเซสซิ่ง</v>
          </cell>
          <cell r="E82">
            <v>1110</v>
          </cell>
          <cell r="F82" t="str">
            <v>*       30002692  BRKT RADIATOR 3 (5YP-F142M-00)</v>
          </cell>
          <cell r="G82">
            <v>600</v>
          </cell>
          <cell r="H82">
            <v>1200</v>
          </cell>
          <cell r="I82">
            <v>1200</v>
          </cell>
          <cell r="J82" t="str">
            <v>PC</v>
          </cell>
          <cell r="K82">
            <v>791</v>
          </cell>
          <cell r="L82">
            <v>191</v>
          </cell>
          <cell r="M82" t="str">
            <v>1 เดือน</v>
          </cell>
          <cell r="N82" t="str">
            <v>COVER STOCK</v>
          </cell>
          <cell r="O82" t="str">
            <v>PHASE 1.2</v>
          </cell>
        </row>
        <row r="83">
          <cell r="A83">
            <v>30002694</v>
          </cell>
          <cell r="B83">
            <v>127</v>
          </cell>
          <cell r="C83">
            <v>100559</v>
          </cell>
          <cell r="D83" t="str">
            <v>บจก. พรีเมี่ยมสตีล โพรเซสซิ่ง</v>
          </cell>
          <cell r="E83">
            <v>1110</v>
          </cell>
          <cell r="F83" t="str">
            <v>*       30002694  BRKT 11 (1P7-F139N-00)</v>
          </cell>
          <cell r="G83">
            <v>1000</v>
          </cell>
          <cell r="H83">
            <v>1000</v>
          </cell>
          <cell r="I83">
            <v>1000</v>
          </cell>
          <cell r="J83" t="str">
            <v>PC</v>
          </cell>
          <cell r="K83">
            <v>1070</v>
          </cell>
          <cell r="L83">
            <v>70</v>
          </cell>
          <cell r="M83" t="str">
            <v>1 เดือน</v>
          </cell>
          <cell r="N83" t="str">
            <v>COVER STOCK</v>
          </cell>
          <cell r="O83" t="str">
            <v>PHASE 1.2</v>
          </cell>
        </row>
        <row r="84">
          <cell r="A84">
            <v>30002696</v>
          </cell>
          <cell r="B84">
            <v>129</v>
          </cell>
          <cell r="C84">
            <v>100559</v>
          </cell>
          <cell r="D84" t="str">
            <v>บจก. พรีเมี่ยมสตีล โพรเซสซิ่ง</v>
          </cell>
          <cell r="E84">
            <v>1110</v>
          </cell>
          <cell r="F84" t="str">
            <v>*       30002696  BRKT 2 (5YP-F1239-00)</v>
          </cell>
          <cell r="G84">
            <v>1000</v>
          </cell>
          <cell r="H84">
            <v>2000</v>
          </cell>
          <cell r="I84">
            <v>0</v>
          </cell>
          <cell r="J84" t="str">
            <v>PC</v>
          </cell>
          <cell r="K84">
            <v>1122</v>
          </cell>
          <cell r="L84">
            <v>122</v>
          </cell>
          <cell r="M84" t="str">
            <v>1 เดือน</v>
          </cell>
          <cell r="N84" t="str">
            <v>COVER STOCK</v>
          </cell>
          <cell r="O84" t="str">
            <v>PHASE 1.2</v>
          </cell>
        </row>
        <row r="85">
          <cell r="A85">
            <v>30002741</v>
          </cell>
          <cell r="B85">
            <v>140</v>
          </cell>
          <cell r="C85">
            <v>100559</v>
          </cell>
          <cell r="D85" t="str">
            <v>บจก. พรีเมี่ยมสตีล โพรเซสซิ่ง</v>
          </cell>
          <cell r="E85">
            <v>1110</v>
          </cell>
          <cell r="F85" t="str">
            <v>*       30002741  BRKT 2-1 (5TN-E472K-00)</v>
          </cell>
          <cell r="G85">
            <v>4000</v>
          </cell>
          <cell r="H85">
            <v>3800</v>
          </cell>
          <cell r="I85">
            <v>3800</v>
          </cell>
          <cell r="J85" t="str">
            <v>PC</v>
          </cell>
          <cell r="K85">
            <v>4000</v>
          </cell>
          <cell r="L85">
            <v>0</v>
          </cell>
          <cell r="M85" t="str">
            <v>1 เดือน</v>
          </cell>
          <cell r="N85" t="str">
            <v>COVER STOCK</v>
          </cell>
          <cell r="O85" t="str">
            <v>PHASE 1.2</v>
          </cell>
        </row>
        <row r="86">
          <cell r="A86">
            <v>30002778</v>
          </cell>
          <cell r="B86">
            <v>148</v>
          </cell>
          <cell r="C86">
            <v>100559</v>
          </cell>
          <cell r="D86" t="str">
            <v>บจก. พรีเมี่ยมสตีล โพรเซสซิ่ง</v>
          </cell>
          <cell r="E86">
            <v>1110</v>
          </cell>
          <cell r="F86" t="str">
            <v>*       30002778  REINF 2 (5YP-F2112-00)</v>
          </cell>
          <cell r="G86">
            <v>1200</v>
          </cell>
          <cell r="H86">
            <v>1200</v>
          </cell>
          <cell r="I86">
            <v>800</v>
          </cell>
          <cell r="J86" t="str">
            <v>PC</v>
          </cell>
          <cell r="K86">
            <v>1346</v>
          </cell>
          <cell r="L86">
            <v>146</v>
          </cell>
          <cell r="M86" t="str">
            <v>1 เดือน</v>
          </cell>
          <cell r="N86" t="str">
            <v>COVER STOCK</v>
          </cell>
          <cell r="O86" t="str">
            <v>PHASE 1.2</v>
          </cell>
        </row>
        <row r="87">
          <cell r="A87">
            <v>30002779</v>
          </cell>
          <cell r="B87">
            <v>149</v>
          </cell>
          <cell r="C87">
            <v>100559</v>
          </cell>
          <cell r="D87" t="str">
            <v>บจก. พรีเมี่ยมสตีล โพรเซสซิ่ง</v>
          </cell>
          <cell r="E87">
            <v>1110</v>
          </cell>
          <cell r="F87" t="str">
            <v>*       30002779  REINF 1 (5YP-F2111-00)</v>
          </cell>
          <cell r="G87">
            <v>1200</v>
          </cell>
          <cell r="H87">
            <v>1200</v>
          </cell>
          <cell r="I87">
            <v>800</v>
          </cell>
          <cell r="J87" t="str">
            <v>PC</v>
          </cell>
          <cell r="K87">
            <v>1357</v>
          </cell>
          <cell r="L87">
            <v>157</v>
          </cell>
          <cell r="M87" t="str">
            <v>1 เดือน</v>
          </cell>
          <cell r="N87" t="str">
            <v>COVER STOCK</v>
          </cell>
          <cell r="O87" t="str">
            <v>PHASE 1.2</v>
          </cell>
        </row>
        <row r="88">
          <cell r="A88">
            <v>30002915</v>
          </cell>
          <cell r="B88">
            <v>156</v>
          </cell>
          <cell r="C88">
            <v>100559</v>
          </cell>
          <cell r="D88" t="str">
            <v>บจก. พรีเมี่ยมสตีล โพรเซสซิ่ง</v>
          </cell>
          <cell r="E88">
            <v>1110</v>
          </cell>
          <cell r="F88" t="str">
            <v>*       30002915  BRKT (5YP-F134V-00)</v>
          </cell>
          <cell r="G88">
            <v>1234</v>
          </cell>
          <cell r="H88">
            <v>1300</v>
          </cell>
          <cell r="I88">
            <v>1300</v>
          </cell>
          <cell r="J88" t="str">
            <v>PC</v>
          </cell>
          <cell r="K88">
            <v>1303</v>
          </cell>
          <cell r="L88">
            <v>69</v>
          </cell>
          <cell r="M88" t="str">
            <v>1 เดือน</v>
          </cell>
          <cell r="N88" t="str">
            <v>COVER STOCK</v>
          </cell>
          <cell r="O88" t="str">
            <v>PHASE 1.2</v>
          </cell>
        </row>
        <row r="89">
          <cell r="A89">
            <v>30002958</v>
          </cell>
          <cell r="B89">
            <v>160</v>
          </cell>
          <cell r="C89">
            <v>100559</v>
          </cell>
          <cell r="D89" t="str">
            <v>บจก. พรีเมี่ยมสตีล โพรเซสซิ่ง</v>
          </cell>
          <cell r="E89">
            <v>1110</v>
          </cell>
          <cell r="F89" t="str">
            <v>*       30002958  STAY (50162-KPPA-9000-H1)</v>
          </cell>
          <cell r="G89">
            <v>1000</v>
          </cell>
          <cell r="H89">
            <v>500</v>
          </cell>
          <cell r="I89">
            <v>1000</v>
          </cell>
          <cell r="J89" t="str">
            <v>PC</v>
          </cell>
          <cell r="K89">
            <v>1173</v>
          </cell>
          <cell r="L89">
            <v>173</v>
          </cell>
          <cell r="M89" t="str">
            <v>1 เดือน</v>
          </cell>
          <cell r="N89" t="str">
            <v>COVER STOCK</v>
          </cell>
          <cell r="O89" t="str">
            <v>PHASE 1.2</v>
          </cell>
        </row>
        <row r="90">
          <cell r="A90">
            <v>73000483</v>
          </cell>
          <cell r="B90">
            <v>168</v>
          </cell>
          <cell r="C90">
            <v>100559</v>
          </cell>
          <cell r="D90" t="str">
            <v>บจก. พรีเมี่ยมสตีล โพรเซสซิ่ง</v>
          </cell>
          <cell r="E90">
            <v>1110</v>
          </cell>
          <cell r="F90" t="str">
            <v>*       73000483  BRKT 1 (5YP-F115K-00)</v>
          </cell>
          <cell r="G90">
            <v>1000</v>
          </cell>
          <cell r="H90">
            <v>1500</v>
          </cell>
          <cell r="I90">
            <v>1000</v>
          </cell>
          <cell r="J90" t="str">
            <v>PC</v>
          </cell>
          <cell r="K90">
            <v>1095</v>
          </cell>
          <cell r="L90">
            <v>95</v>
          </cell>
          <cell r="M90" t="str">
            <v>1 เดือน</v>
          </cell>
          <cell r="N90" t="str">
            <v>COVER STOCK</v>
          </cell>
          <cell r="O90" t="str">
            <v>PHASE 1.2</v>
          </cell>
        </row>
        <row r="91">
          <cell r="A91">
            <v>30002144</v>
          </cell>
          <cell r="B91">
            <v>2</v>
          </cell>
          <cell r="C91">
            <v>100559</v>
          </cell>
          <cell r="D91" t="str">
            <v>บจก. พรีเมี่ยมสตีล โพรเซสซิ่ง</v>
          </cell>
          <cell r="E91">
            <v>1110</v>
          </cell>
          <cell r="F91" t="str">
            <v>*       30002144  BRKT RR CUSHION 2 RH (5MY-F1381-00)</v>
          </cell>
          <cell r="G91">
            <v>1000</v>
          </cell>
          <cell r="H91">
            <v>1000</v>
          </cell>
          <cell r="I91">
            <v>1000</v>
          </cell>
          <cell r="J91" t="str">
            <v>PC</v>
          </cell>
          <cell r="K91">
            <v>702</v>
          </cell>
          <cell r="L91">
            <v>-298</v>
          </cell>
          <cell r="N91" t="str">
            <v>UNCOVER STOCK</v>
          </cell>
          <cell r="O91" t="str">
            <v>PHASE 1.3</v>
          </cell>
        </row>
        <row r="92">
          <cell r="A92">
            <v>30002146</v>
          </cell>
          <cell r="B92">
            <v>3</v>
          </cell>
          <cell r="C92">
            <v>100559</v>
          </cell>
          <cell r="D92" t="str">
            <v>บจก. พรีเมี่ยมสตีล โพรเซสซิ่ง</v>
          </cell>
          <cell r="E92">
            <v>1110</v>
          </cell>
          <cell r="F92" t="str">
            <v>*       30002146  BRKT 5 (5MY-F139G-00)</v>
          </cell>
          <cell r="G92">
            <v>1500</v>
          </cell>
          <cell r="H92">
            <v>1000</v>
          </cell>
          <cell r="I92">
            <v>500</v>
          </cell>
          <cell r="J92" t="str">
            <v>PC</v>
          </cell>
          <cell r="K92">
            <v>960</v>
          </cell>
          <cell r="L92">
            <v>-540</v>
          </cell>
          <cell r="N92" t="str">
            <v>UNCOVER STOCK</v>
          </cell>
          <cell r="O92" t="str">
            <v>PHASE 1.3</v>
          </cell>
        </row>
        <row r="93">
          <cell r="A93">
            <v>30002148</v>
          </cell>
          <cell r="B93">
            <v>4</v>
          </cell>
          <cell r="C93">
            <v>100559</v>
          </cell>
          <cell r="D93" t="str">
            <v>บจก. พรีเมี่ยมสตีล โพรเซสซิ่ง</v>
          </cell>
          <cell r="E93">
            <v>1110</v>
          </cell>
          <cell r="F93" t="str">
            <v>*       30002148  BRKT 6 (5MY-F139H-00)</v>
          </cell>
          <cell r="G93">
            <v>1500</v>
          </cell>
          <cell r="H93">
            <v>1000</v>
          </cell>
          <cell r="I93">
            <v>500</v>
          </cell>
          <cell r="J93" t="str">
            <v>PC</v>
          </cell>
          <cell r="K93">
            <v>376</v>
          </cell>
          <cell r="L93">
            <v>-1124</v>
          </cell>
          <cell r="N93" t="str">
            <v>UNCOVER STOCK</v>
          </cell>
          <cell r="O93" t="str">
            <v>PHASE 1.3</v>
          </cell>
        </row>
        <row r="94">
          <cell r="A94">
            <v>30002150</v>
          </cell>
          <cell r="B94">
            <v>5</v>
          </cell>
          <cell r="C94">
            <v>100559</v>
          </cell>
          <cell r="D94" t="str">
            <v>บจก. พรีเมี่ยมสตีล โพรเซสซิ่ง</v>
          </cell>
          <cell r="E94">
            <v>1110</v>
          </cell>
          <cell r="F94" t="str">
            <v>*       30002150  BRKT 8 (5MY-F139K-00)</v>
          </cell>
          <cell r="G94">
            <v>1500</v>
          </cell>
          <cell r="H94">
            <v>1000</v>
          </cell>
          <cell r="I94">
            <v>500</v>
          </cell>
          <cell r="J94" t="str">
            <v>PC</v>
          </cell>
          <cell r="K94">
            <v>1008</v>
          </cell>
          <cell r="L94">
            <v>-492</v>
          </cell>
          <cell r="N94" t="str">
            <v>UNCOVER STOCK</v>
          </cell>
          <cell r="O94" t="str">
            <v>PHASE 1.3</v>
          </cell>
        </row>
        <row r="95">
          <cell r="A95">
            <v>30002151</v>
          </cell>
          <cell r="B95">
            <v>6</v>
          </cell>
          <cell r="C95">
            <v>100559</v>
          </cell>
          <cell r="D95" t="str">
            <v>บจก. พรีเมี่ยมสตีล โพรเซสซิ่ง</v>
          </cell>
          <cell r="E95">
            <v>1110</v>
          </cell>
          <cell r="F95" t="str">
            <v>*       30002151  BRKT 7 (5MY-F139J-00)</v>
          </cell>
          <cell r="G95">
            <v>1000</v>
          </cell>
          <cell r="H95">
            <v>1000</v>
          </cell>
          <cell r="I95">
            <v>1000</v>
          </cell>
          <cell r="J95" t="str">
            <v>PC</v>
          </cell>
          <cell r="K95">
            <v>778</v>
          </cell>
          <cell r="L95">
            <v>-222</v>
          </cell>
          <cell r="N95" t="str">
            <v>UNCOVER STOCK</v>
          </cell>
          <cell r="O95" t="str">
            <v>PHASE 1.3</v>
          </cell>
        </row>
        <row r="96">
          <cell r="A96">
            <v>30002155</v>
          </cell>
          <cell r="B96">
            <v>7</v>
          </cell>
          <cell r="C96">
            <v>100559</v>
          </cell>
          <cell r="D96" t="str">
            <v>บจก. พรีเมี่ยมสตีล โพรเซสซิ่ง</v>
          </cell>
          <cell r="E96">
            <v>1110</v>
          </cell>
          <cell r="F96" t="str">
            <v>*       30002155  REINF 1 (5MY-F146R-00)</v>
          </cell>
          <cell r="G96">
            <v>2800</v>
          </cell>
          <cell r="H96">
            <v>2200</v>
          </cell>
          <cell r="I96">
            <v>2200</v>
          </cell>
          <cell r="J96" t="str">
            <v>PC</v>
          </cell>
          <cell r="K96">
            <v>1418</v>
          </cell>
          <cell r="L96">
            <v>-1382</v>
          </cell>
          <cell r="N96" t="str">
            <v>UNCOVER STOCK</v>
          </cell>
          <cell r="O96" t="str">
            <v>PHASE 1.3</v>
          </cell>
        </row>
        <row r="97">
          <cell r="A97">
            <v>30002156</v>
          </cell>
          <cell r="B97">
            <v>8</v>
          </cell>
          <cell r="C97">
            <v>100559</v>
          </cell>
          <cell r="D97" t="str">
            <v>บจก. พรีเมี่ยมสตีล โพรเซสซิ่ง</v>
          </cell>
          <cell r="E97">
            <v>1110</v>
          </cell>
          <cell r="F97" t="str">
            <v>*       30002156  PLATE ENGINE MOUNT (5MY-F145B-00)</v>
          </cell>
          <cell r="G97">
            <v>1200</v>
          </cell>
          <cell r="H97">
            <v>1200</v>
          </cell>
          <cell r="I97">
            <v>800</v>
          </cell>
          <cell r="J97" t="str">
            <v>PC</v>
          </cell>
          <cell r="K97">
            <v>670</v>
          </cell>
          <cell r="L97">
            <v>-530</v>
          </cell>
          <cell r="N97" t="str">
            <v>UNCOVER STOCK</v>
          </cell>
          <cell r="O97" t="str">
            <v>PHASE 1.3</v>
          </cell>
        </row>
        <row r="98">
          <cell r="A98">
            <v>30002163</v>
          </cell>
          <cell r="B98">
            <v>10</v>
          </cell>
          <cell r="C98">
            <v>100559</v>
          </cell>
          <cell r="D98" t="str">
            <v>บจก. พรีเมี่ยมสตีล โพรเซสซิ่ง</v>
          </cell>
          <cell r="E98">
            <v>1110</v>
          </cell>
          <cell r="F98" t="str">
            <v>*       30002163  BRKT LEG SHIELD (5VV-F1369-00)</v>
          </cell>
          <cell r="G98">
            <v>2000</v>
          </cell>
          <cell r="H98">
            <v>1600</v>
          </cell>
          <cell r="I98">
            <v>1600</v>
          </cell>
          <cell r="J98" t="str">
            <v>PC</v>
          </cell>
          <cell r="K98">
            <v>740</v>
          </cell>
          <cell r="L98">
            <v>-1260</v>
          </cell>
          <cell r="N98" t="str">
            <v>UNCOVER STOCK</v>
          </cell>
          <cell r="O98" t="str">
            <v>PHASE 1.3</v>
          </cell>
        </row>
        <row r="99">
          <cell r="A99">
            <v>30002165</v>
          </cell>
          <cell r="B99">
            <v>11</v>
          </cell>
          <cell r="C99">
            <v>100559</v>
          </cell>
          <cell r="D99" t="str">
            <v>บจก. พรีเมี่ยมสตีล โพรเซสซิ่ง</v>
          </cell>
          <cell r="E99">
            <v>1110</v>
          </cell>
          <cell r="F99" t="str">
            <v>*       30002165  BRKT REGURATOR (5VV-F1287-00)</v>
          </cell>
          <cell r="G99">
            <v>27000</v>
          </cell>
          <cell r="H99">
            <v>23000</v>
          </cell>
          <cell r="I99">
            <v>23000</v>
          </cell>
          <cell r="J99" t="str">
            <v>PC</v>
          </cell>
          <cell r="K99">
            <v>18992</v>
          </cell>
          <cell r="L99">
            <v>-8008</v>
          </cell>
          <cell r="N99" t="str">
            <v>UNCOVER STOCK</v>
          </cell>
          <cell r="O99" t="str">
            <v>PHASE 1.3</v>
          </cell>
        </row>
        <row r="100">
          <cell r="A100">
            <v>30002167</v>
          </cell>
          <cell r="B100">
            <v>12</v>
          </cell>
          <cell r="C100">
            <v>100559</v>
          </cell>
          <cell r="D100" t="str">
            <v>บจก. พรีเมี่ยมสตีล โพรเซสซิ่ง</v>
          </cell>
          <cell r="E100">
            <v>1110</v>
          </cell>
          <cell r="F100" t="str">
            <v>*       30002167  STAY STOPPER (5VV-F149E-00)</v>
          </cell>
          <cell r="G100">
            <v>30000</v>
          </cell>
          <cell r="H100">
            <v>28000</v>
          </cell>
          <cell r="I100">
            <v>28000</v>
          </cell>
          <cell r="J100" t="str">
            <v>PC</v>
          </cell>
          <cell r="K100">
            <v>5765</v>
          </cell>
          <cell r="L100">
            <v>-24235</v>
          </cell>
          <cell r="N100" t="str">
            <v>UNCOVER STOCK</v>
          </cell>
          <cell r="O100" t="str">
            <v>PHASE 1.3</v>
          </cell>
        </row>
        <row r="101">
          <cell r="A101">
            <v>30002170</v>
          </cell>
          <cell r="B101">
            <v>14</v>
          </cell>
          <cell r="C101">
            <v>100559</v>
          </cell>
          <cell r="D101" t="str">
            <v>บจก. พรีเมี่ยมสตีล โพรเซสซิ่ง</v>
          </cell>
          <cell r="E101">
            <v>1110</v>
          </cell>
          <cell r="F101" t="str">
            <v>*       30002170  BRKT 1-1 (5TN-E471K-00)</v>
          </cell>
          <cell r="G101">
            <v>8500</v>
          </cell>
          <cell r="H101">
            <v>7500</v>
          </cell>
          <cell r="I101">
            <v>7500</v>
          </cell>
          <cell r="J101" t="str">
            <v>PC</v>
          </cell>
          <cell r="K101">
            <v>5772</v>
          </cell>
          <cell r="L101">
            <v>-2728</v>
          </cell>
          <cell r="N101" t="str">
            <v>UNCOVER STOCK</v>
          </cell>
          <cell r="O101" t="str">
            <v>PHASE 1.3</v>
          </cell>
        </row>
        <row r="102">
          <cell r="A102">
            <v>30002176</v>
          </cell>
          <cell r="B102">
            <v>19</v>
          </cell>
          <cell r="C102">
            <v>100559</v>
          </cell>
          <cell r="D102" t="str">
            <v>บจก. พรีเมี่ยมสตีล โพรเซสซิ่ง</v>
          </cell>
          <cell r="E102">
            <v>1110</v>
          </cell>
          <cell r="F102" t="str">
            <v>*       30002176  STAY MUFF 1-1 (5TN-E4771-00)</v>
          </cell>
          <cell r="G102">
            <v>4000</v>
          </cell>
          <cell r="H102">
            <v>3000</v>
          </cell>
          <cell r="I102">
            <v>2000</v>
          </cell>
          <cell r="J102" t="str">
            <v>PC</v>
          </cell>
          <cell r="K102">
            <v>391</v>
          </cell>
          <cell r="L102">
            <v>-3609</v>
          </cell>
          <cell r="N102" t="str">
            <v>UNCOVER STOCK</v>
          </cell>
          <cell r="O102" t="str">
            <v>PHASE 1.3</v>
          </cell>
        </row>
        <row r="103">
          <cell r="A103">
            <v>30002177</v>
          </cell>
          <cell r="B103">
            <v>20</v>
          </cell>
          <cell r="C103">
            <v>100559</v>
          </cell>
          <cell r="D103" t="str">
            <v>บจก. พรีเมี่ยมสตีล โพรเซสซิ่ง</v>
          </cell>
          <cell r="E103">
            <v>1110</v>
          </cell>
          <cell r="F103" t="str">
            <v>*       30002177  STAY MUFF 1-2 (5TN-E4772-00)</v>
          </cell>
          <cell r="G103">
            <v>4000</v>
          </cell>
          <cell r="H103">
            <v>3000</v>
          </cell>
          <cell r="I103">
            <v>2000</v>
          </cell>
          <cell r="J103" t="str">
            <v>PC</v>
          </cell>
          <cell r="K103">
            <v>3455</v>
          </cell>
          <cell r="L103">
            <v>-545</v>
          </cell>
          <cell r="N103" t="str">
            <v>UNCOVER STOCK</v>
          </cell>
          <cell r="O103" t="str">
            <v>PHASE 1.3</v>
          </cell>
        </row>
        <row r="104">
          <cell r="A104">
            <v>30002181</v>
          </cell>
          <cell r="B104">
            <v>22</v>
          </cell>
          <cell r="C104">
            <v>100559</v>
          </cell>
          <cell r="D104" t="str">
            <v>บจก. พรีเมี่ยมสตีล โพรเซสซิ่ง</v>
          </cell>
          <cell r="E104">
            <v>1110</v>
          </cell>
          <cell r="F104" t="str">
            <v>*       30002181  STOPPER (1P7-F7314-00-00-1B)</v>
          </cell>
          <cell r="G104">
            <v>2000</v>
          </cell>
          <cell r="H104">
            <v>3000</v>
          </cell>
          <cell r="I104">
            <v>3000</v>
          </cell>
          <cell r="J104" t="str">
            <v>PC</v>
          </cell>
          <cell r="K104">
            <v>1020</v>
          </cell>
          <cell r="L104">
            <v>-980</v>
          </cell>
          <cell r="N104" t="str">
            <v>UNCOVER STOCK</v>
          </cell>
          <cell r="O104" t="str">
            <v>PHASE 1.3</v>
          </cell>
        </row>
        <row r="105">
          <cell r="A105">
            <v>30002182</v>
          </cell>
          <cell r="B105">
            <v>23</v>
          </cell>
          <cell r="C105">
            <v>100559</v>
          </cell>
          <cell r="D105" t="str">
            <v>บจก. พรีเมี่ยมสตีล โพรเซสซิ่ง</v>
          </cell>
          <cell r="E105">
            <v>1110</v>
          </cell>
          <cell r="F105" t="str">
            <v>*       30002182  BRKT (1P7-F1158-00)</v>
          </cell>
          <cell r="G105">
            <v>1200</v>
          </cell>
          <cell r="H105">
            <v>800</v>
          </cell>
          <cell r="I105">
            <v>800</v>
          </cell>
          <cell r="J105" t="str">
            <v>PC</v>
          </cell>
          <cell r="K105">
            <v>958</v>
          </cell>
          <cell r="L105">
            <v>-242</v>
          </cell>
          <cell r="N105" t="str">
            <v>UNCOVER STOCK</v>
          </cell>
          <cell r="O105" t="str">
            <v>PHASE 1.3</v>
          </cell>
        </row>
        <row r="106">
          <cell r="A106">
            <v>30002184</v>
          </cell>
          <cell r="B106">
            <v>25</v>
          </cell>
          <cell r="C106">
            <v>100559</v>
          </cell>
          <cell r="D106" t="str">
            <v>บจก. พรีเมี่ยมสตีล โพรเซสซิ่ง</v>
          </cell>
          <cell r="E106">
            <v>1110</v>
          </cell>
          <cell r="F106" t="str">
            <v>*       30002184  BRKT 7 (1P7-F116J-00)</v>
          </cell>
          <cell r="G106">
            <v>1500</v>
          </cell>
          <cell r="H106">
            <v>1000</v>
          </cell>
          <cell r="I106">
            <v>1000</v>
          </cell>
          <cell r="J106" t="str">
            <v>PC</v>
          </cell>
          <cell r="K106">
            <v>313</v>
          </cell>
          <cell r="L106">
            <v>-1187</v>
          </cell>
          <cell r="N106" t="str">
            <v>UNCOVER STOCK</v>
          </cell>
          <cell r="O106" t="str">
            <v>PHASE 1.3</v>
          </cell>
        </row>
        <row r="107">
          <cell r="A107">
            <v>30002185</v>
          </cell>
          <cell r="B107">
            <v>26</v>
          </cell>
          <cell r="C107">
            <v>100559</v>
          </cell>
          <cell r="D107" t="str">
            <v>บจก. พรีเมี่ยมสตีล โพรเซสซิ่ง</v>
          </cell>
          <cell r="E107">
            <v>1110</v>
          </cell>
          <cell r="F107" t="str">
            <v>*       30002185  BRKT 6 (1P7-F149T-00)</v>
          </cell>
          <cell r="G107">
            <v>1200</v>
          </cell>
          <cell r="H107">
            <v>800</v>
          </cell>
          <cell r="I107">
            <v>800</v>
          </cell>
          <cell r="J107" t="str">
            <v>PC</v>
          </cell>
          <cell r="K107">
            <v>409</v>
          </cell>
          <cell r="L107">
            <v>-791</v>
          </cell>
          <cell r="N107" t="str">
            <v>UNCOVER STOCK</v>
          </cell>
          <cell r="O107" t="str">
            <v>PHASE 1.3</v>
          </cell>
        </row>
        <row r="108">
          <cell r="A108">
            <v>30002186</v>
          </cell>
          <cell r="B108">
            <v>27</v>
          </cell>
          <cell r="C108">
            <v>100559</v>
          </cell>
          <cell r="D108" t="str">
            <v>บจก. พรีเมี่ยมสตีล โพรเซสซิ่ง</v>
          </cell>
          <cell r="E108">
            <v>1110</v>
          </cell>
          <cell r="F108" t="str">
            <v>*       30002186  BRKT 12 (1P7-F131L-00)</v>
          </cell>
          <cell r="G108">
            <v>1200</v>
          </cell>
          <cell r="H108">
            <v>800</v>
          </cell>
          <cell r="I108">
            <v>800</v>
          </cell>
          <cell r="J108" t="str">
            <v>PC</v>
          </cell>
          <cell r="K108">
            <v>453</v>
          </cell>
          <cell r="L108">
            <v>-747</v>
          </cell>
          <cell r="N108" t="str">
            <v>UNCOVER STOCK</v>
          </cell>
          <cell r="O108" t="str">
            <v>PHASE 1.3</v>
          </cell>
        </row>
        <row r="109">
          <cell r="A109">
            <v>30002187</v>
          </cell>
          <cell r="B109">
            <v>28</v>
          </cell>
          <cell r="C109">
            <v>100559</v>
          </cell>
          <cell r="D109" t="str">
            <v>บจก. พรีเมี่ยมสตีล โพรเซสซิ่ง</v>
          </cell>
          <cell r="E109">
            <v>1110</v>
          </cell>
          <cell r="F109" t="str">
            <v>*       30002187  BRKT 1 (1P7-F134M-00)</v>
          </cell>
          <cell r="G109">
            <v>1200</v>
          </cell>
          <cell r="H109">
            <v>800</v>
          </cell>
          <cell r="I109">
            <v>800</v>
          </cell>
          <cell r="J109" t="str">
            <v>PC</v>
          </cell>
          <cell r="K109">
            <v>85</v>
          </cell>
          <cell r="L109">
            <v>-1115</v>
          </cell>
          <cell r="N109" t="str">
            <v>UNCOVER STOCK</v>
          </cell>
          <cell r="O109" t="str">
            <v>PHASE 1.3</v>
          </cell>
        </row>
        <row r="110">
          <cell r="A110">
            <v>30002188</v>
          </cell>
          <cell r="B110">
            <v>29</v>
          </cell>
          <cell r="C110">
            <v>100559</v>
          </cell>
          <cell r="D110" t="str">
            <v>บจก. พรีเมี่ยมสตีล โพรเซสซิ่ง</v>
          </cell>
          <cell r="E110">
            <v>1110</v>
          </cell>
          <cell r="F110" t="str">
            <v>*       30002188  BRKT 1-1 (1P7-E471K-00)</v>
          </cell>
          <cell r="G110">
            <v>1000</v>
          </cell>
          <cell r="H110">
            <v>1000</v>
          </cell>
          <cell r="I110">
            <v>1000</v>
          </cell>
          <cell r="J110" t="str">
            <v>PC</v>
          </cell>
          <cell r="K110">
            <v>484</v>
          </cell>
          <cell r="L110">
            <v>-516</v>
          </cell>
          <cell r="N110" t="str">
            <v>UNCOVER STOCK</v>
          </cell>
          <cell r="O110" t="str">
            <v>PHASE 1.3</v>
          </cell>
        </row>
        <row r="111">
          <cell r="A111">
            <v>30002189</v>
          </cell>
          <cell r="B111">
            <v>30</v>
          </cell>
          <cell r="C111">
            <v>100559</v>
          </cell>
          <cell r="D111" t="str">
            <v>บจก. พรีเมี่ยมสตีล โพรเซสซิ่ง</v>
          </cell>
          <cell r="E111">
            <v>1110</v>
          </cell>
          <cell r="F111" t="str">
            <v>*       30002189  BRKT LEG SHIELD (1P7-F1369-00)</v>
          </cell>
          <cell r="G111">
            <v>1200</v>
          </cell>
          <cell r="H111">
            <v>800</v>
          </cell>
          <cell r="I111">
            <v>800</v>
          </cell>
          <cell r="J111" t="str">
            <v>PC</v>
          </cell>
          <cell r="K111">
            <v>519</v>
          </cell>
          <cell r="L111">
            <v>-681</v>
          </cell>
          <cell r="N111" t="str">
            <v>UNCOVER STOCK</v>
          </cell>
          <cell r="O111" t="str">
            <v>PHASE 1.3</v>
          </cell>
        </row>
        <row r="112">
          <cell r="A112">
            <v>30002191</v>
          </cell>
          <cell r="B112">
            <v>32</v>
          </cell>
          <cell r="C112">
            <v>100559</v>
          </cell>
          <cell r="D112" t="str">
            <v>บจก. พรีเมี่ยมสตีล โพรเซสซิ่ง</v>
          </cell>
          <cell r="E112">
            <v>1110</v>
          </cell>
          <cell r="F112" t="str">
            <v>*       30002191  PLATE 2 (5TN-F539F-00-2)</v>
          </cell>
          <cell r="G112">
            <v>1500</v>
          </cell>
          <cell r="H112">
            <v>0</v>
          </cell>
          <cell r="I112">
            <v>0</v>
          </cell>
          <cell r="J112" t="str">
            <v>PC</v>
          </cell>
          <cell r="K112">
            <v>734</v>
          </cell>
          <cell r="L112">
            <v>-766</v>
          </cell>
          <cell r="N112" t="str">
            <v>UNCOVER STOCK</v>
          </cell>
          <cell r="O112" t="str">
            <v>PHASE 1.3</v>
          </cell>
        </row>
        <row r="113">
          <cell r="A113">
            <v>30002197</v>
          </cell>
          <cell r="B113">
            <v>34</v>
          </cell>
          <cell r="C113">
            <v>100559</v>
          </cell>
          <cell r="D113" t="str">
            <v>บจก. พรีเมี่ยมสตีล โพรเซสซิ่ง</v>
          </cell>
          <cell r="E113">
            <v>1110</v>
          </cell>
          <cell r="F113" t="str">
            <v>*       30002197  BRKT (5YP-F116B-00)</v>
          </cell>
          <cell r="G113">
            <v>1200</v>
          </cell>
          <cell r="H113">
            <v>1200</v>
          </cell>
          <cell r="I113">
            <v>800</v>
          </cell>
          <cell r="J113" t="str">
            <v>PC</v>
          </cell>
          <cell r="K113">
            <v>83</v>
          </cell>
          <cell r="L113">
            <v>-1117</v>
          </cell>
          <cell r="N113" t="str">
            <v>UNCOVER STOCK</v>
          </cell>
          <cell r="O113" t="str">
            <v>PHASE 1.3</v>
          </cell>
        </row>
        <row r="114">
          <cell r="A114">
            <v>30002198</v>
          </cell>
          <cell r="B114">
            <v>35</v>
          </cell>
          <cell r="C114">
            <v>100559</v>
          </cell>
          <cell r="D114" t="str">
            <v>บจก. พรีเมี่ยมสตีล โพรเซสซิ่ง</v>
          </cell>
          <cell r="E114">
            <v>1110</v>
          </cell>
          <cell r="F114" t="str">
            <v>*       30002198  STAY MUFF 2 (5YP-F1446-00)</v>
          </cell>
          <cell r="G114">
            <v>1200</v>
          </cell>
          <cell r="H114">
            <v>1200</v>
          </cell>
          <cell r="I114">
            <v>800</v>
          </cell>
          <cell r="J114" t="str">
            <v>PC</v>
          </cell>
          <cell r="K114">
            <v>659</v>
          </cell>
          <cell r="L114">
            <v>-541</v>
          </cell>
          <cell r="N114" t="str">
            <v>UNCOVER STOCK</v>
          </cell>
          <cell r="O114" t="str">
            <v>PHASE 1.3</v>
          </cell>
        </row>
        <row r="115">
          <cell r="A115">
            <v>30002199</v>
          </cell>
          <cell r="B115">
            <v>36</v>
          </cell>
          <cell r="C115">
            <v>100559</v>
          </cell>
          <cell r="D115" t="str">
            <v>บจก. พรีเมี่ยมสตีล โพรเซสซิ่ง</v>
          </cell>
          <cell r="E115">
            <v>1110</v>
          </cell>
          <cell r="F115" t="str">
            <v>*       30002199  STAY ENGINE 3 (5YP-F1317-00)</v>
          </cell>
          <cell r="G115">
            <v>1200</v>
          </cell>
          <cell r="H115">
            <v>1200</v>
          </cell>
          <cell r="I115">
            <v>800</v>
          </cell>
          <cell r="J115" t="str">
            <v>PC</v>
          </cell>
          <cell r="K115">
            <v>308</v>
          </cell>
          <cell r="L115">
            <v>-892</v>
          </cell>
          <cell r="N115" t="str">
            <v>UNCOVER STOCK</v>
          </cell>
          <cell r="O115" t="str">
            <v>PHASE 1.3</v>
          </cell>
        </row>
        <row r="116">
          <cell r="A116">
            <v>30002393</v>
          </cell>
          <cell r="B116">
            <v>37</v>
          </cell>
          <cell r="C116">
            <v>100559</v>
          </cell>
          <cell r="D116" t="str">
            <v>บจก. พรีเมี่ยมสตีล โพรเซสซิ่ง</v>
          </cell>
          <cell r="E116">
            <v>1110</v>
          </cell>
          <cell r="F116" t="str">
            <v>*       30002393  BRKT CHAIN GUARD 2 (5YP-F2150-00)</v>
          </cell>
          <cell r="G116">
            <v>1200</v>
          </cell>
          <cell r="H116">
            <v>1200</v>
          </cell>
          <cell r="I116">
            <v>800</v>
          </cell>
          <cell r="J116" t="str">
            <v>PC</v>
          </cell>
          <cell r="K116">
            <v>900</v>
          </cell>
          <cell r="L116">
            <v>-300</v>
          </cell>
          <cell r="N116" t="str">
            <v>UNCOVER STOCK</v>
          </cell>
          <cell r="O116" t="str">
            <v>PHASE 1.3</v>
          </cell>
        </row>
        <row r="117">
          <cell r="A117">
            <v>30002394</v>
          </cell>
          <cell r="B117">
            <v>38</v>
          </cell>
          <cell r="C117">
            <v>100559</v>
          </cell>
          <cell r="D117" t="str">
            <v>บจก. พรีเมี่ยมสตีล โพรเซสซิ่ง</v>
          </cell>
          <cell r="E117">
            <v>1110</v>
          </cell>
          <cell r="F117" t="str">
            <v>*       30002394  GUIDE (5YP-F2167-00)</v>
          </cell>
          <cell r="G117">
            <v>2500</v>
          </cell>
          <cell r="H117">
            <v>2500</v>
          </cell>
          <cell r="I117">
            <v>1500</v>
          </cell>
          <cell r="J117" t="str">
            <v>PC</v>
          </cell>
          <cell r="K117">
            <v>664</v>
          </cell>
          <cell r="L117">
            <v>-1836</v>
          </cell>
          <cell r="N117" t="str">
            <v>UNCOVER STOCK</v>
          </cell>
          <cell r="O117" t="str">
            <v>PHASE 1.3</v>
          </cell>
        </row>
        <row r="118">
          <cell r="A118">
            <v>30002397</v>
          </cell>
          <cell r="B118">
            <v>41</v>
          </cell>
          <cell r="C118">
            <v>100559</v>
          </cell>
          <cell r="D118" t="str">
            <v>บจก. พรีเมี่ยมสตีล โพรเซสซิ่ง</v>
          </cell>
          <cell r="E118">
            <v>1110</v>
          </cell>
          <cell r="F118" t="str">
            <v>*       30002397  GUARD CHAIN (5YP-F2153-00)</v>
          </cell>
          <cell r="G118">
            <v>1200</v>
          </cell>
          <cell r="H118">
            <v>1200</v>
          </cell>
          <cell r="I118">
            <v>800</v>
          </cell>
          <cell r="J118" t="str">
            <v>PC</v>
          </cell>
          <cell r="K118">
            <v>653</v>
          </cell>
          <cell r="L118">
            <v>-547</v>
          </cell>
          <cell r="N118" t="str">
            <v>UNCOVER STOCK</v>
          </cell>
          <cell r="O118" t="str">
            <v>PHASE 1.3</v>
          </cell>
        </row>
        <row r="119">
          <cell r="A119">
            <v>30002399</v>
          </cell>
          <cell r="B119">
            <v>42</v>
          </cell>
          <cell r="C119">
            <v>100559</v>
          </cell>
          <cell r="D119" t="str">
            <v>บจก. พรีเมี่ยมสตีล โพรเซสซิ่ง</v>
          </cell>
          <cell r="E119">
            <v>1110</v>
          </cell>
          <cell r="F119" t="str">
            <v>*       30002399  PLATE PATCH (5YP-F1455-00)</v>
          </cell>
          <cell r="G119">
            <v>1200</v>
          </cell>
          <cell r="H119">
            <v>1200</v>
          </cell>
          <cell r="I119">
            <v>800</v>
          </cell>
          <cell r="J119" t="str">
            <v>PC</v>
          </cell>
          <cell r="K119">
            <v>300</v>
          </cell>
          <cell r="L119">
            <v>-900</v>
          </cell>
          <cell r="N119" t="str">
            <v>UNCOVER STOCK</v>
          </cell>
          <cell r="O119" t="str">
            <v>PHASE 1.3</v>
          </cell>
        </row>
        <row r="120">
          <cell r="A120">
            <v>30002400</v>
          </cell>
          <cell r="B120">
            <v>43</v>
          </cell>
          <cell r="C120">
            <v>100559</v>
          </cell>
          <cell r="D120" t="str">
            <v>บจก. พรีเมี่ยมสตีล โพรเซสซิ่ง</v>
          </cell>
          <cell r="E120">
            <v>1110</v>
          </cell>
          <cell r="F120" t="str">
            <v>*       30002400  BRKT RELAY (5YP-F134E-00)</v>
          </cell>
          <cell r="G120">
            <v>400</v>
          </cell>
          <cell r="H120">
            <v>400</v>
          </cell>
          <cell r="I120">
            <v>400</v>
          </cell>
          <cell r="J120" t="str">
            <v>PC</v>
          </cell>
          <cell r="K120">
            <v>100</v>
          </cell>
          <cell r="L120">
            <v>-300</v>
          </cell>
          <cell r="N120" t="str">
            <v>UNCOVER STOCK</v>
          </cell>
          <cell r="O120" t="str">
            <v>PHASE 1.3</v>
          </cell>
        </row>
        <row r="121">
          <cell r="A121">
            <v>30002402</v>
          </cell>
          <cell r="B121">
            <v>44</v>
          </cell>
          <cell r="C121">
            <v>100559</v>
          </cell>
          <cell r="D121" t="str">
            <v>บจก. พรีเมี่ยมสตีล โพรเซสซิ่ง</v>
          </cell>
          <cell r="E121">
            <v>1110</v>
          </cell>
          <cell r="F121" t="str">
            <v>*       30002402  STAY MUFF 3 (5YP-F144F-00)</v>
          </cell>
          <cell r="G121">
            <v>800</v>
          </cell>
          <cell r="H121">
            <v>1200</v>
          </cell>
          <cell r="I121">
            <v>1200</v>
          </cell>
          <cell r="J121" t="str">
            <v>PC</v>
          </cell>
          <cell r="K121">
            <v>24</v>
          </cell>
          <cell r="L121">
            <v>-776</v>
          </cell>
          <cell r="N121" t="str">
            <v>UNCOVER STOCK</v>
          </cell>
          <cell r="O121" t="str">
            <v>PHASE 1.3</v>
          </cell>
        </row>
        <row r="122">
          <cell r="A122">
            <v>30002404</v>
          </cell>
          <cell r="B122">
            <v>46</v>
          </cell>
          <cell r="C122">
            <v>100559</v>
          </cell>
          <cell r="D122" t="str">
            <v>บจก. พรีเมี่ยมสตีล โพรเซสซิ่ง</v>
          </cell>
          <cell r="E122">
            <v>1110</v>
          </cell>
          <cell r="F122" t="str">
            <v>*       30002404  REINF (5MY-F1215-00)</v>
          </cell>
          <cell r="G122">
            <v>1400</v>
          </cell>
          <cell r="H122">
            <v>1000</v>
          </cell>
          <cell r="I122">
            <v>500</v>
          </cell>
          <cell r="J122" t="str">
            <v>PC</v>
          </cell>
          <cell r="K122">
            <v>257</v>
          </cell>
          <cell r="L122">
            <v>-1143</v>
          </cell>
          <cell r="N122" t="str">
            <v>UNCOVER STOCK</v>
          </cell>
          <cell r="O122" t="str">
            <v>PHASE 1.3</v>
          </cell>
        </row>
        <row r="123">
          <cell r="A123">
            <v>30002405</v>
          </cell>
          <cell r="B123">
            <v>47</v>
          </cell>
          <cell r="C123">
            <v>100559</v>
          </cell>
          <cell r="D123" t="str">
            <v>บจก. พรีเมี่ยมสตีล โพรเซสซิ่ง</v>
          </cell>
          <cell r="E123">
            <v>1110</v>
          </cell>
          <cell r="F123" t="str">
            <v>*       30002405  REINF (5MY-F1216-00)</v>
          </cell>
          <cell r="G123">
            <v>1400</v>
          </cell>
          <cell r="H123">
            <v>1000</v>
          </cell>
          <cell r="I123">
            <v>500</v>
          </cell>
          <cell r="J123" t="str">
            <v>PC</v>
          </cell>
          <cell r="K123">
            <v>467</v>
          </cell>
          <cell r="L123">
            <v>-933</v>
          </cell>
          <cell r="N123" t="str">
            <v>UNCOVER STOCK</v>
          </cell>
          <cell r="O123" t="str">
            <v>PHASE 1.3</v>
          </cell>
        </row>
        <row r="124">
          <cell r="A124">
            <v>30002407</v>
          </cell>
          <cell r="B124">
            <v>48</v>
          </cell>
          <cell r="C124">
            <v>100559</v>
          </cell>
          <cell r="D124" t="str">
            <v>บจก. พรีเมี่ยมสตีล โพรเซสซิ่ง</v>
          </cell>
          <cell r="E124">
            <v>1110</v>
          </cell>
          <cell r="F124" t="str">
            <v>*       30002407  HOLDER (5MY-F6393-00)</v>
          </cell>
          <cell r="G124">
            <v>32000</v>
          </cell>
          <cell r="H124">
            <v>30000</v>
          </cell>
          <cell r="I124">
            <v>30000</v>
          </cell>
          <cell r="J124" t="str">
            <v>PC</v>
          </cell>
          <cell r="K124">
            <v>158</v>
          </cell>
          <cell r="L124">
            <v>-31842</v>
          </cell>
          <cell r="N124" t="str">
            <v>UNCOVER STOCK</v>
          </cell>
          <cell r="O124" t="str">
            <v>PHASE 1.3</v>
          </cell>
        </row>
        <row r="125">
          <cell r="A125">
            <v>30002427</v>
          </cell>
          <cell r="B125">
            <v>51</v>
          </cell>
          <cell r="C125">
            <v>100559</v>
          </cell>
          <cell r="D125" t="str">
            <v>บจก. พรีเมี่ยมสตีล โพรเซสซิ่ง</v>
          </cell>
          <cell r="E125">
            <v>1110</v>
          </cell>
          <cell r="F125" t="str">
            <v>*       30002427  PLATE SIDE STOPPER (50500-KGH-6000-04)</v>
          </cell>
          <cell r="G125">
            <v>5000</v>
          </cell>
          <cell r="H125">
            <v>5000</v>
          </cell>
          <cell r="I125">
            <v>5000</v>
          </cell>
          <cell r="J125" t="str">
            <v>PC</v>
          </cell>
          <cell r="K125">
            <v>4988</v>
          </cell>
          <cell r="L125">
            <v>-12</v>
          </cell>
          <cell r="N125" t="str">
            <v>UNCOVER STOCK</v>
          </cell>
          <cell r="O125" t="str">
            <v>PHASE 1.3</v>
          </cell>
        </row>
        <row r="126">
          <cell r="A126">
            <v>30002456</v>
          </cell>
          <cell r="B126">
            <v>52</v>
          </cell>
          <cell r="C126">
            <v>100559</v>
          </cell>
          <cell r="D126" t="str">
            <v>บจก. พรีเมี่ยมสตีล โพรเซสซิ่ง</v>
          </cell>
          <cell r="E126">
            <v>1110</v>
          </cell>
          <cell r="F126" t="str">
            <v>*       30002456  STOPPER (5TN-F7314-00)</v>
          </cell>
          <cell r="G126">
            <v>1000</v>
          </cell>
          <cell r="H126">
            <v>0</v>
          </cell>
          <cell r="I126">
            <v>0</v>
          </cell>
          <cell r="J126" t="str">
            <v>PC</v>
          </cell>
          <cell r="K126">
            <v>133</v>
          </cell>
          <cell r="L126">
            <v>-867</v>
          </cell>
          <cell r="N126" t="str">
            <v>UNCOVER STOCK</v>
          </cell>
          <cell r="O126" t="str">
            <v>PHASE 1.3</v>
          </cell>
        </row>
        <row r="127">
          <cell r="A127">
            <v>30002457</v>
          </cell>
          <cell r="B127">
            <v>53</v>
          </cell>
          <cell r="C127">
            <v>100559</v>
          </cell>
          <cell r="D127" t="str">
            <v>บจก. พรีเมี่ยมสตีล โพรเซสซิ่ง</v>
          </cell>
          <cell r="E127">
            <v>1110</v>
          </cell>
          <cell r="F127" t="str">
            <v>*       30002457  ARM RR 2 (5TN-F2172-00)</v>
          </cell>
          <cell r="G127">
            <v>400</v>
          </cell>
          <cell r="H127">
            <v>0</v>
          </cell>
          <cell r="I127">
            <v>0</v>
          </cell>
          <cell r="J127" t="str">
            <v>PC</v>
          </cell>
          <cell r="K127">
            <v>88</v>
          </cell>
          <cell r="L127">
            <v>-312</v>
          </cell>
          <cell r="N127" t="str">
            <v>UNCOVER STOCK</v>
          </cell>
          <cell r="O127" t="str">
            <v>PHASE 1.3</v>
          </cell>
        </row>
        <row r="128">
          <cell r="A128">
            <v>30002481</v>
          </cell>
          <cell r="B128">
            <v>55</v>
          </cell>
          <cell r="C128">
            <v>100559</v>
          </cell>
          <cell r="D128" t="str">
            <v>บจก. พรีเมี่ยมสตีล โพรเซสซิ่ง</v>
          </cell>
          <cell r="E128">
            <v>1110</v>
          </cell>
          <cell r="F128" t="str">
            <v>*       30002481  PLATE HANDLE STOPPER (50127-KEV-STOPPER)</v>
          </cell>
          <cell r="G128">
            <v>54000</v>
          </cell>
          <cell r="H128">
            <v>54000</v>
          </cell>
          <cell r="I128">
            <v>46000</v>
          </cell>
          <cell r="J128" t="str">
            <v>PC</v>
          </cell>
          <cell r="K128">
            <v>1472</v>
          </cell>
          <cell r="L128">
            <v>-52528</v>
          </cell>
          <cell r="N128" t="str">
            <v>UNCOVER STOCK</v>
          </cell>
          <cell r="O128" t="str">
            <v>PHASE 1.3</v>
          </cell>
        </row>
        <row r="129">
          <cell r="A129">
            <v>30002486</v>
          </cell>
          <cell r="B129">
            <v>56</v>
          </cell>
          <cell r="C129">
            <v>100559</v>
          </cell>
          <cell r="D129" t="str">
            <v>บจก. พรีเมี่ยมสตีล โพรเซสซิ่ง</v>
          </cell>
          <cell r="E129">
            <v>1110</v>
          </cell>
          <cell r="F129" t="str">
            <v>*       30002486  BRKT 2 (5TN-F141E-00)</v>
          </cell>
          <cell r="G129">
            <v>400</v>
          </cell>
          <cell r="H129">
            <v>0</v>
          </cell>
          <cell r="I129">
            <v>0</v>
          </cell>
          <cell r="J129" t="str">
            <v>PC</v>
          </cell>
          <cell r="K129">
            <v>264</v>
          </cell>
          <cell r="L129">
            <v>-136</v>
          </cell>
          <cell r="N129" t="str">
            <v>UNCOVER STOCK</v>
          </cell>
          <cell r="O129" t="str">
            <v>PHASE 1.3</v>
          </cell>
        </row>
        <row r="130">
          <cell r="A130">
            <v>30002505</v>
          </cell>
          <cell r="B130">
            <v>60</v>
          </cell>
          <cell r="C130">
            <v>100559</v>
          </cell>
          <cell r="D130" t="str">
            <v>บจก. พรีเมี่ยมสตีล โพรเซสซิ่ง</v>
          </cell>
          <cell r="E130">
            <v>1110</v>
          </cell>
          <cell r="F130" t="str">
            <v>*       30002505  PLATE B , R (50100-KPK-9000-AH)</v>
          </cell>
          <cell r="G130">
            <v>200</v>
          </cell>
          <cell r="H130">
            <v>200</v>
          </cell>
          <cell r="I130">
            <v>200</v>
          </cell>
          <cell r="J130" t="str">
            <v>PC</v>
          </cell>
          <cell r="K130">
            <v>80</v>
          </cell>
          <cell r="L130">
            <v>-120</v>
          </cell>
          <cell r="N130" t="str">
            <v>UNCOVER STOCK</v>
          </cell>
          <cell r="O130" t="str">
            <v>PHASE 1.3</v>
          </cell>
        </row>
        <row r="131">
          <cell r="A131">
            <v>30002506</v>
          </cell>
          <cell r="B131">
            <v>61</v>
          </cell>
          <cell r="C131">
            <v>100559</v>
          </cell>
          <cell r="D131" t="str">
            <v>บจก. พรีเมี่ยมสตีล โพรเซสซิ่ง</v>
          </cell>
          <cell r="E131">
            <v>1110</v>
          </cell>
          <cell r="F131" t="str">
            <v>*       30002506  PLATE A , R (50100-KPK-9000-AH)</v>
          </cell>
          <cell r="G131">
            <v>200</v>
          </cell>
          <cell r="H131">
            <v>200</v>
          </cell>
          <cell r="I131">
            <v>200</v>
          </cell>
          <cell r="J131" t="str">
            <v>PC</v>
          </cell>
          <cell r="K131">
            <v>122</v>
          </cell>
          <cell r="L131">
            <v>-78</v>
          </cell>
          <cell r="N131" t="str">
            <v>UNCOVER STOCK</v>
          </cell>
          <cell r="O131" t="str">
            <v>PHASE 1.3</v>
          </cell>
        </row>
        <row r="132">
          <cell r="A132">
            <v>30002508</v>
          </cell>
          <cell r="B132">
            <v>62</v>
          </cell>
          <cell r="C132">
            <v>100559</v>
          </cell>
          <cell r="D132" t="str">
            <v>บจก. พรีเมี่ยมสตีล โพรเซสซิ่ง</v>
          </cell>
          <cell r="E132">
            <v>1110</v>
          </cell>
          <cell r="F132" t="str">
            <v>*       30002508  PLATE STOPPER (50100-KPH-9700)</v>
          </cell>
          <cell r="G132">
            <v>200</v>
          </cell>
          <cell r="H132">
            <v>200</v>
          </cell>
          <cell r="I132">
            <v>200</v>
          </cell>
          <cell r="J132" t="str">
            <v>PC</v>
          </cell>
          <cell r="K132">
            <v>172</v>
          </cell>
          <cell r="L132">
            <v>-28</v>
          </cell>
          <cell r="N132" t="str">
            <v>UNCOVER STOCK</v>
          </cell>
          <cell r="O132" t="str">
            <v>PHASE 1.3</v>
          </cell>
        </row>
        <row r="133">
          <cell r="A133">
            <v>30002513</v>
          </cell>
          <cell r="B133">
            <v>63</v>
          </cell>
          <cell r="C133">
            <v>100559</v>
          </cell>
          <cell r="D133" t="str">
            <v>บจก. พรีเมี่ยมสตีล โพรเซสซิ่ง</v>
          </cell>
          <cell r="E133">
            <v>1110</v>
          </cell>
          <cell r="F133" t="str">
            <v>*       30002513  PEDAL BRAKE (46500-KGHA-9000-01)</v>
          </cell>
          <cell r="G133">
            <v>4000</v>
          </cell>
          <cell r="H133">
            <v>2800</v>
          </cell>
          <cell r="I133">
            <v>2800</v>
          </cell>
          <cell r="J133" t="str">
            <v>PC</v>
          </cell>
          <cell r="K133">
            <v>1235</v>
          </cell>
          <cell r="L133">
            <v>-2765</v>
          </cell>
          <cell r="N133" t="str">
            <v>UNCOVER STOCK</v>
          </cell>
          <cell r="O133" t="str">
            <v>PHASE 1.3</v>
          </cell>
        </row>
        <row r="134">
          <cell r="A134">
            <v>30002518</v>
          </cell>
          <cell r="B134">
            <v>66</v>
          </cell>
          <cell r="C134">
            <v>100559</v>
          </cell>
          <cell r="D134" t="str">
            <v>บจก. พรีเมี่ยมสตีล โพรเซสซิ่ง</v>
          </cell>
          <cell r="E134">
            <v>1110</v>
          </cell>
          <cell r="F134" t="str">
            <v>*       30002518  PATCH (50125-KGHA-9000-03)</v>
          </cell>
          <cell r="G134">
            <v>2000</v>
          </cell>
          <cell r="H134">
            <v>2000</v>
          </cell>
          <cell r="I134">
            <v>3000</v>
          </cell>
          <cell r="J134" t="str">
            <v>PC</v>
          </cell>
          <cell r="K134">
            <v>1519</v>
          </cell>
          <cell r="L134">
            <v>-481</v>
          </cell>
          <cell r="N134" t="str">
            <v>UNCOVER STOCK</v>
          </cell>
          <cell r="O134" t="str">
            <v>PHASE 1.3</v>
          </cell>
        </row>
        <row r="135">
          <cell r="A135">
            <v>30002552</v>
          </cell>
          <cell r="B135">
            <v>86</v>
          </cell>
          <cell r="C135">
            <v>100559</v>
          </cell>
          <cell r="D135" t="str">
            <v>บจก. พรีเมี่ยมสตีล โพรเซสซิ่ง</v>
          </cell>
          <cell r="E135">
            <v>1110</v>
          </cell>
          <cell r="F135" t="str">
            <v>*       30002552  PLATE L STAND TREAD (50500-KGHA-9000-07)</v>
          </cell>
          <cell r="G135">
            <v>2800</v>
          </cell>
          <cell r="H135">
            <v>2500</v>
          </cell>
          <cell r="I135">
            <v>2500</v>
          </cell>
          <cell r="J135" t="str">
            <v>PC</v>
          </cell>
          <cell r="K135">
            <v>1590</v>
          </cell>
          <cell r="L135">
            <v>-1210</v>
          </cell>
          <cell r="N135" t="str">
            <v>UNCOVER STOCK</v>
          </cell>
          <cell r="O135" t="str">
            <v>PHASE 1.3</v>
          </cell>
        </row>
        <row r="136">
          <cell r="A136">
            <v>30002553</v>
          </cell>
          <cell r="B136">
            <v>87</v>
          </cell>
          <cell r="C136">
            <v>100559</v>
          </cell>
          <cell r="D136" t="str">
            <v>บจก. พรีเมี่ยมสตีล โพรเซสซิ่ง</v>
          </cell>
          <cell r="E136">
            <v>1110</v>
          </cell>
          <cell r="F136" t="str">
            <v>*       30002553  PLATE R STAND TREAD (50500-KGHA-9000-06)</v>
          </cell>
          <cell r="G136">
            <v>2800</v>
          </cell>
          <cell r="H136">
            <v>2500</v>
          </cell>
          <cell r="I136">
            <v>2500</v>
          </cell>
          <cell r="J136" t="str">
            <v>PC</v>
          </cell>
          <cell r="K136">
            <v>2482</v>
          </cell>
          <cell r="L136">
            <v>-318</v>
          </cell>
          <cell r="N136" t="str">
            <v>UNCOVER STOCK</v>
          </cell>
          <cell r="O136" t="str">
            <v>PHASE 1.3</v>
          </cell>
        </row>
        <row r="137">
          <cell r="A137">
            <v>30002559</v>
          </cell>
          <cell r="B137">
            <v>90</v>
          </cell>
          <cell r="C137">
            <v>100559</v>
          </cell>
          <cell r="D137" t="str">
            <v>บจก. พรีเมี่ยมสตีล โพรเซสซิ่ง</v>
          </cell>
          <cell r="E137">
            <v>1110</v>
          </cell>
          <cell r="F137" t="str">
            <v>*       30002559  PLATE KEY LOCK (50500-KGHA-9000-H1)</v>
          </cell>
          <cell r="G137">
            <v>2800</v>
          </cell>
          <cell r="H137">
            <v>2500</v>
          </cell>
          <cell r="I137">
            <v>2500</v>
          </cell>
          <cell r="J137" t="str">
            <v>PC</v>
          </cell>
          <cell r="K137">
            <v>982</v>
          </cell>
          <cell r="L137">
            <v>-1818</v>
          </cell>
          <cell r="N137" t="str">
            <v>UNCOVER STOCK</v>
          </cell>
          <cell r="O137" t="str">
            <v>PHASE 1.3</v>
          </cell>
        </row>
        <row r="138">
          <cell r="A138">
            <v>30002566</v>
          </cell>
          <cell r="B138">
            <v>92</v>
          </cell>
          <cell r="C138">
            <v>100559</v>
          </cell>
          <cell r="D138" t="str">
            <v>บจก. พรีเมี่ยมสตีล โพรเซสซิ่ง</v>
          </cell>
          <cell r="E138">
            <v>1110</v>
          </cell>
          <cell r="F138" t="str">
            <v>*       30002566  STOPPER HANDLE LOCK (50101-KPHJ-9400-02)</v>
          </cell>
          <cell r="G138">
            <v>200</v>
          </cell>
          <cell r="H138">
            <v>200</v>
          </cell>
          <cell r="I138">
            <v>200</v>
          </cell>
          <cell r="J138" t="str">
            <v>PC</v>
          </cell>
          <cell r="K138">
            <v>129</v>
          </cell>
          <cell r="L138">
            <v>-71</v>
          </cell>
          <cell r="N138" t="str">
            <v>UNCOVER STOCK</v>
          </cell>
          <cell r="O138" t="str">
            <v>PHASE 1.3</v>
          </cell>
        </row>
        <row r="139">
          <cell r="A139">
            <v>30002567</v>
          </cell>
          <cell r="B139">
            <v>93</v>
          </cell>
          <cell r="C139">
            <v>100559</v>
          </cell>
          <cell r="D139" t="str">
            <v>บจก. พรีเมี่ยมสตีล โพรเซสซิ่ง</v>
          </cell>
          <cell r="E139">
            <v>1110</v>
          </cell>
          <cell r="F139" t="str">
            <v>*       30002567  STAY (50133-KPH-7000-H1-01)</v>
          </cell>
          <cell r="G139">
            <v>20000</v>
          </cell>
          <cell r="H139">
            <v>16000</v>
          </cell>
          <cell r="I139">
            <v>16000</v>
          </cell>
          <cell r="J139" t="str">
            <v>PC</v>
          </cell>
          <cell r="K139">
            <v>4918</v>
          </cell>
          <cell r="L139">
            <v>-15082</v>
          </cell>
          <cell r="N139" t="str">
            <v>UNCOVER STOCK</v>
          </cell>
          <cell r="O139" t="str">
            <v>PHASE 1.3</v>
          </cell>
        </row>
        <row r="140">
          <cell r="A140">
            <v>30002573</v>
          </cell>
          <cell r="B140">
            <v>97</v>
          </cell>
          <cell r="C140">
            <v>100559</v>
          </cell>
          <cell r="D140" t="str">
            <v>บจก. พรีเมี่ยมสตีล โพรเซสซิ่ง</v>
          </cell>
          <cell r="E140">
            <v>1110</v>
          </cell>
          <cell r="F140" t="str">
            <v>*       30002573  STAY L HANDLE COVER (53100-KEVA-9000-04)</v>
          </cell>
          <cell r="G140">
            <v>700</v>
          </cell>
          <cell r="H140">
            <v>400</v>
          </cell>
          <cell r="I140">
            <v>400</v>
          </cell>
          <cell r="J140" t="str">
            <v>PC</v>
          </cell>
          <cell r="K140">
            <v>513</v>
          </cell>
          <cell r="L140">
            <v>-187</v>
          </cell>
          <cell r="N140" t="str">
            <v>UNCOVER STOCK</v>
          </cell>
          <cell r="O140" t="str">
            <v>PHASE 1.3</v>
          </cell>
        </row>
        <row r="141">
          <cell r="A141">
            <v>30002575</v>
          </cell>
          <cell r="B141">
            <v>99</v>
          </cell>
          <cell r="C141">
            <v>100559</v>
          </cell>
          <cell r="D141" t="str">
            <v>บจก. พรีเมี่ยมสตีล โพรเซสซิ่ง</v>
          </cell>
          <cell r="E141">
            <v>1110</v>
          </cell>
          <cell r="F141" t="str">
            <v>*       30002575  BRKT MIRROR (53103-KEVA-9000-H1)</v>
          </cell>
          <cell r="G141">
            <v>700</v>
          </cell>
          <cell r="H141">
            <v>400</v>
          </cell>
          <cell r="I141">
            <v>400</v>
          </cell>
          <cell r="J141" t="str">
            <v>PC</v>
          </cell>
          <cell r="K141">
            <v>0</v>
          </cell>
          <cell r="L141">
            <v>-700</v>
          </cell>
          <cell r="N141" t="str">
            <v>UNCOVER STOCK</v>
          </cell>
          <cell r="O141" t="str">
            <v>PHASE 1.3</v>
          </cell>
        </row>
        <row r="142">
          <cell r="A142">
            <v>30002592</v>
          </cell>
          <cell r="B142">
            <v>105</v>
          </cell>
          <cell r="C142">
            <v>100559</v>
          </cell>
          <cell r="D142" t="str">
            <v>บจก. พรีเมี่ยมสตีล โพรเซสซิ่ง</v>
          </cell>
          <cell r="E142">
            <v>1110</v>
          </cell>
          <cell r="F142" t="str">
            <v>*       30002592  BRKT RR CUSHION 2 (5YP-F1382-00)</v>
          </cell>
          <cell r="G142">
            <v>1200</v>
          </cell>
          <cell r="H142">
            <v>1200</v>
          </cell>
          <cell r="I142">
            <v>1200</v>
          </cell>
          <cell r="J142" t="str">
            <v>PC</v>
          </cell>
          <cell r="K142">
            <v>87</v>
          </cell>
          <cell r="L142">
            <v>-1113</v>
          </cell>
          <cell r="N142" t="str">
            <v>UNCOVER STOCK</v>
          </cell>
          <cell r="O142" t="str">
            <v>PHASE 1.3</v>
          </cell>
        </row>
        <row r="143">
          <cell r="A143">
            <v>30002596</v>
          </cell>
          <cell r="B143">
            <v>108</v>
          </cell>
          <cell r="C143">
            <v>100559</v>
          </cell>
          <cell r="D143" t="str">
            <v>บจก. พรีเมี่ยมสตีล โพรเซสซิ่ง</v>
          </cell>
          <cell r="E143">
            <v>1110</v>
          </cell>
          <cell r="F143" t="str">
            <v>*       30002596  BRKT 2 (1P7-E4718-00-3)</v>
          </cell>
          <cell r="G143">
            <v>1200</v>
          </cell>
          <cell r="H143">
            <v>1200</v>
          </cell>
          <cell r="I143">
            <v>0</v>
          </cell>
          <cell r="J143" t="str">
            <v>PC</v>
          </cell>
          <cell r="K143">
            <v>108</v>
          </cell>
          <cell r="L143">
            <v>-1092</v>
          </cell>
          <cell r="N143" t="str">
            <v>UNCOVER STOCK</v>
          </cell>
          <cell r="O143" t="str">
            <v>PHASE 1.3</v>
          </cell>
        </row>
        <row r="144">
          <cell r="A144">
            <v>30002597</v>
          </cell>
          <cell r="B144">
            <v>109</v>
          </cell>
          <cell r="C144">
            <v>100559</v>
          </cell>
          <cell r="D144" t="str">
            <v>บจก. พรีเมี่ยมสตีล โพรเซสซิ่ง</v>
          </cell>
          <cell r="E144">
            <v>1110</v>
          </cell>
          <cell r="F144" t="str">
            <v>*       30002597  BRKT 1 (1P7-E4718-00-2)</v>
          </cell>
          <cell r="G144">
            <v>1200</v>
          </cell>
          <cell r="H144">
            <v>1200</v>
          </cell>
          <cell r="I144">
            <v>0</v>
          </cell>
          <cell r="J144" t="str">
            <v>PC</v>
          </cell>
          <cell r="K144">
            <v>147</v>
          </cell>
          <cell r="L144">
            <v>-1053</v>
          </cell>
          <cell r="N144" t="str">
            <v>UNCOVER STOCK</v>
          </cell>
          <cell r="O144" t="str">
            <v>PHASE 1.3</v>
          </cell>
        </row>
        <row r="145">
          <cell r="A145">
            <v>30002598</v>
          </cell>
          <cell r="B145">
            <v>110</v>
          </cell>
          <cell r="C145">
            <v>100559</v>
          </cell>
          <cell r="D145" t="str">
            <v>บจก. พรีเมี่ยมสตีล โพรเซสซิ่ง</v>
          </cell>
          <cell r="E145">
            <v>1110</v>
          </cell>
          <cell r="F145" t="str">
            <v>*       30002598  BRKT INNER 2 (5MY-F113U-00)</v>
          </cell>
          <cell r="G145">
            <v>1200</v>
          </cell>
          <cell r="H145">
            <v>1200</v>
          </cell>
          <cell r="I145">
            <v>1200</v>
          </cell>
          <cell r="J145" t="str">
            <v>PC</v>
          </cell>
          <cell r="K145">
            <v>598</v>
          </cell>
          <cell r="L145">
            <v>-602</v>
          </cell>
          <cell r="N145" t="str">
            <v>UNCOVER STOCK</v>
          </cell>
          <cell r="O145" t="str">
            <v>PHASE 1.3</v>
          </cell>
        </row>
        <row r="146">
          <cell r="A146">
            <v>30002599</v>
          </cell>
          <cell r="B146">
            <v>111</v>
          </cell>
          <cell r="C146">
            <v>100559</v>
          </cell>
          <cell r="D146" t="str">
            <v>บจก. พรีเมี่ยมสตีล โพรเซสซิ่ง</v>
          </cell>
          <cell r="E146">
            <v>1110</v>
          </cell>
          <cell r="F146" t="str">
            <v>*       30002599  BRKT OUTER 2 (5MY-F113R-00)</v>
          </cell>
          <cell r="G146">
            <v>1200</v>
          </cell>
          <cell r="H146">
            <v>1200</v>
          </cell>
          <cell r="I146">
            <v>1200</v>
          </cell>
          <cell r="J146" t="str">
            <v>PC</v>
          </cell>
          <cell r="K146">
            <v>85</v>
          </cell>
          <cell r="L146">
            <v>-1115</v>
          </cell>
          <cell r="N146" t="str">
            <v>UNCOVER STOCK</v>
          </cell>
          <cell r="O146" t="str">
            <v>PHASE 1.3</v>
          </cell>
        </row>
        <row r="147">
          <cell r="A147">
            <v>30002601</v>
          </cell>
          <cell r="B147">
            <v>112</v>
          </cell>
          <cell r="C147">
            <v>100559</v>
          </cell>
          <cell r="D147" t="str">
            <v>บจก. พรีเมี่ยมสตีล โพรเซสซิ่ง</v>
          </cell>
          <cell r="E147">
            <v>1110</v>
          </cell>
          <cell r="F147" t="str">
            <v>*       30002601  BRKT 6 (5LN-F112L-00)</v>
          </cell>
          <cell r="G147">
            <v>1000</v>
          </cell>
          <cell r="H147">
            <v>0</v>
          </cell>
          <cell r="I147">
            <v>0</v>
          </cell>
          <cell r="J147" t="str">
            <v>PC</v>
          </cell>
          <cell r="K147">
            <v>896</v>
          </cell>
          <cell r="L147">
            <v>-104</v>
          </cell>
          <cell r="N147" t="str">
            <v>UNCOVER STOCK</v>
          </cell>
          <cell r="O147" t="str">
            <v>PHASE 1.3</v>
          </cell>
        </row>
        <row r="148">
          <cell r="A148">
            <v>30002667</v>
          </cell>
          <cell r="B148">
            <v>114</v>
          </cell>
          <cell r="C148">
            <v>100559</v>
          </cell>
          <cell r="D148" t="str">
            <v>บจก. พรีเมี่ยมสตีล โพรเซสซิ่ง</v>
          </cell>
          <cell r="E148">
            <v>1110</v>
          </cell>
          <cell r="F148" t="str">
            <v>*       30002667  BRKT 3 (5YP-F134N-00)</v>
          </cell>
          <cell r="G148">
            <v>400</v>
          </cell>
          <cell r="H148">
            <v>400</v>
          </cell>
          <cell r="I148">
            <v>400</v>
          </cell>
          <cell r="J148" t="str">
            <v>PC</v>
          </cell>
          <cell r="K148">
            <v>57</v>
          </cell>
          <cell r="L148">
            <v>-343</v>
          </cell>
          <cell r="N148" t="str">
            <v>UNCOVER STOCK</v>
          </cell>
          <cell r="O148" t="str">
            <v>PHASE 1.3</v>
          </cell>
        </row>
        <row r="149">
          <cell r="A149">
            <v>30002673</v>
          </cell>
          <cell r="B149">
            <v>117</v>
          </cell>
          <cell r="C149">
            <v>100559</v>
          </cell>
          <cell r="D149" t="str">
            <v>บจก. พรีเมี่ยมสตีล โพรเซสซิ่ง</v>
          </cell>
          <cell r="E149">
            <v>1110</v>
          </cell>
          <cell r="F149" t="str">
            <v>*       30002673  PLATE ENGINE MOUNT (5VV-F145B-00)</v>
          </cell>
          <cell r="G149">
            <v>30000</v>
          </cell>
          <cell r="H149">
            <v>28000</v>
          </cell>
          <cell r="I149">
            <v>28000</v>
          </cell>
          <cell r="J149" t="str">
            <v>PC</v>
          </cell>
          <cell r="K149">
            <v>15236</v>
          </cell>
          <cell r="L149">
            <v>-14764</v>
          </cell>
          <cell r="N149" t="str">
            <v>UNCOVER STOCK</v>
          </cell>
          <cell r="O149" t="str">
            <v>PHASE 1.3</v>
          </cell>
        </row>
        <row r="150">
          <cell r="A150">
            <v>30002675</v>
          </cell>
          <cell r="B150">
            <v>118</v>
          </cell>
          <cell r="C150">
            <v>100559</v>
          </cell>
          <cell r="D150" t="str">
            <v>บจก. พรีเมี่ยมสตีล โพรเซสซิ่ง</v>
          </cell>
          <cell r="E150">
            <v>1110</v>
          </cell>
          <cell r="F150" t="str">
            <v>*       30002675  PARTITION 1-1 (5TN-E471R-00)</v>
          </cell>
          <cell r="G150">
            <v>4000</v>
          </cell>
          <cell r="H150">
            <v>4000</v>
          </cell>
          <cell r="I150">
            <v>4000</v>
          </cell>
          <cell r="J150" t="str">
            <v>PC</v>
          </cell>
          <cell r="K150">
            <v>2097</v>
          </cell>
          <cell r="L150">
            <v>-1903</v>
          </cell>
          <cell r="N150" t="str">
            <v>UNCOVER STOCK</v>
          </cell>
          <cell r="O150" t="str">
            <v>PHASE 1.3</v>
          </cell>
        </row>
        <row r="151">
          <cell r="A151">
            <v>30002683</v>
          </cell>
          <cell r="B151">
            <v>120</v>
          </cell>
          <cell r="C151">
            <v>100559</v>
          </cell>
          <cell r="D151" t="str">
            <v>บจก. พรีเมี่ยมสตีล โพรเซสซิ่ง</v>
          </cell>
          <cell r="E151">
            <v>1110</v>
          </cell>
          <cell r="F151" t="str">
            <v>*       30002683  BRKT RADIATOR 4 (5YP-F142N-00)</v>
          </cell>
          <cell r="G151">
            <v>800</v>
          </cell>
          <cell r="H151">
            <v>1600</v>
          </cell>
          <cell r="I151">
            <v>1200</v>
          </cell>
          <cell r="J151" t="str">
            <v>PC</v>
          </cell>
          <cell r="K151">
            <v>598</v>
          </cell>
          <cell r="L151">
            <v>-202</v>
          </cell>
          <cell r="N151" t="str">
            <v>UNCOVER STOCK</v>
          </cell>
          <cell r="O151" t="str">
            <v>PHASE 1.3</v>
          </cell>
        </row>
        <row r="152">
          <cell r="A152">
            <v>30002688</v>
          </cell>
          <cell r="B152">
            <v>121</v>
          </cell>
          <cell r="C152">
            <v>100559</v>
          </cell>
          <cell r="D152" t="str">
            <v>บจก. พรีเมี่ยมสตีล โพรเซสซิ่ง</v>
          </cell>
          <cell r="E152">
            <v>1110</v>
          </cell>
          <cell r="F152" t="str">
            <v>*       30002688  PLATE (5YP-F1329-00)</v>
          </cell>
          <cell r="G152">
            <v>1200</v>
          </cell>
          <cell r="H152">
            <v>1200</v>
          </cell>
          <cell r="I152">
            <v>1200</v>
          </cell>
          <cell r="J152" t="str">
            <v>PC</v>
          </cell>
          <cell r="K152">
            <v>27</v>
          </cell>
          <cell r="L152">
            <v>-1173</v>
          </cell>
          <cell r="N152" t="str">
            <v>UNCOVER STOCK</v>
          </cell>
          <cell r="O152" t="str">
            <v>PHASE 1.3</v>
          </cell>
        </row>
        <row r="153">
          <cell r="A153">
            <v>30002689</v>
          </cell>
          <cell r="B153">
            <v>122</v>
          </cell>
          <cell r="C153">
            <v>100559</v>
          </cell>
          <cell r="D153" t="str">
            <v>บจก. พรีเมี่ยมสตีล โพรเซสซิ่ง</v>
          </cell>
          <cell r="E153">
            <v>1110</v>
          </cell>
          <cell r="F153" t="str">
            <v>*       30002689  REINF (5YP-F1216-00)</v>
          </cell>
          <cell r="G153">
            <v>1000</v>
          </cell>
          <cell r="H153">
            <v>1000</v>
          </cell>
          <cell r="I153">
            <v>1000</v>
          </cell>
          <cell r="J153" t="str">
            <v>PC</v>
          </cell>
          <cell r="K153">
            <v>769</v>
          </cell>
          <cell r="L153">
            <v>-231</v>
          </cell>
          <cell r="N153" t="str">
            <v>UNCOVER STOCK</v>
          </cell>
          <cell r="O153" t="str">
            <v>PHASE 1.3</v>
          </cell>
        </row>
        <row r="154">
          <cell r="A154">
            <v>30002690</v>
          </cell>
          <cell r="B154">
            <v>123</v>
          </cell>
          <cell r="C154">
            <v>100559</v>
          </cell>
          <cell r="D154" t="str">
            <v>บจก. พรีเมี่ยมสตีล โพรเซสซิ่ง</v>
          </cell>
          <cell r="E154">
            <v>1110</v>
          </cell>
          <cell r="F154" t="str">
            <v>*       30002690  STAY 2 (5YP-F116E-00)</v>
          </cell>
          <cell r="G154">
            <v>1200</v>
          </cell>
          <cell r="H154">
            <v>1200</v>
          </cell>
          <cell r="I154">
            <v>1200</v>
          </cell>
          <cell r="J154" t="str">
            <v>PC</v>
          </cell>
          <cell r="K154">
            <v>123</v>
          </cell>
          <cell r="L154">
            <v>-1077</v>
          </cell>
          <cell r="N154" t="str">
            <v>UNCOVER STOCK</v>
          </cell>
          <cell r="O154" t="str">
            <v>PHASE 1.3</v>
          </cell>
        </row>
        <row r="155">
          <cell r="A155">
            <v>30002691</v>
          </cell>
          <cell r="B155">
            <v>124</v>
          </cell>
          <cell r="C155">
            <v>100559</v>
          </cell>
          <cell r="D155" t="str">
            <v>บจก. พรีเมี่ยมสตีล โพรเซสซิ่ง</v>
          </cell>
          <cell r="E155">
            <v>1110</v>
          </cell>
          <cell r="F155" t="str">
            <v>*       30002691  GUSSET (5YP-F1134-00)</v>
          </cell>
          <cell r="G155">
            <v>2400</v>
          </cell>
          <cell r="H155">
            <v>2400</v>
          </cell>
          <cell r="I155">
            <v>2400</v>
          </cell>
          <cell r="J155" t="str">
            <v>PC</v>
          </cell>
          <cell r="K155">
            <v>778</v>
          </cell>
          <cell r="L155">
            <v>-1622</v>
          </cell>
          <cell r="N155" t="str">
            <v>UNCOVER STOCK</v>
          </cell>
          <cell r="O155" t="str">
            <v>PHASE 1.3</v>
          </cell>
        </row>
        <row r="156">
          <cell r="A156">
            <v>30002693</v>
          </cell>
          <cell r="B156">
            <v>126</v>
          </cell>
          <cell r="C156">
            <v>100559</v>
          </cell>
          <cell r="D156" t="str">
            <v>บจก. พรีเมี่ยมสตีล โพรเซสซิ่ง</v>
          </cell>
          <cell r="E156">
            <v>1110</v>
          </cell>
          <cell r="F156" t="str">
            <v>*       30002693  BRKT 3 (5MY-F134N-00)</v>
          </cell>
          <cell r="G156">
            <v>1000</v>
          </cell>
          <cell r="H156">
            <v>1000</v>
          </cell>
          <cell r="I156">
            <v>1000</v>
          </cell>
          <cell r="J156" t="str">
            <v>PC</v>
          </cell>
          <cell r="K156">
            <v>212</v>
          </cell>
          <cell r="L156">
            <v>-788</v>
          </cell>
          <cell r="N156" t="str">
            <v>UNCOVER STOCK</v>
          </cell>
          <cell r="O156" t="str">
            <v>PHASE 1.3</v>
          </cell>
        </row>
        <row r="157">
          <cell r="A157">
            <v>30002695</v>
          </cell>
          <cell r="B157">
            <v>128</v>
          </cell>
          <cell r="C157">
            <v>100559</v>
          </cell>
          <cell r="D157" t="str">
            <v>บจก. พรีเมี่ยมสตีล โพรเซสซิ่ง</v>
          </cell>
          <cell r="E157">
            <v>1110</v>
          </cell>
          <cell r="F157" t="str">
            <v>*       30002695  BRKT 12 (5YP-F131L-00)</v>
          </cell>
          <cell r="G157">
            <v>600</v>
          </cell>
          <cell r="H157">
            <v>1200</v>
          </cell>
          <cell r="I157">
            <v>1200</v>
          </cell>
          <cell r="J157" t="str">
            <v>PC</v>
          </cell>
          <cell r="K157">
            <v>508</v>
          </cell>
          <cell r="L157">
            <v>-92</v>
          </cell>
          <cell r="N157" t="str">
            <v>UNCOVER STOCK</v>
          </cell>
          <cell r="O157" t="str">
            <v>PHASE 1.3</v>
          </cell>
        </row>
        <row r="158">
          <cell r="A158">
            <v>30002706</v>
          </cell>
          <cell r="B158">
            <v>134</v>
          </cell>
          <cell r="C158">
            <v>100559</v>
          </cell>
          <cell r="D158" t="str">
            <v>บจก. พรีเมี่ยมสตีล โพรเซสซิ่ง</v>
          </cell>
          <cell r="E158">
            <v>1110</v>
          </cell>
          <cell r="F158" t="str">
            <v>*       30002706  BRKT FOOTREST (1P7-F1447-00)</v>
          </cell>
          <cell r="G158">
            <v>3000</v>
          </cell>
          <cell r="H158">
            <v>2000</v>
          </cell>
          <cell r="I158">
            <v>1000</v>
          </cell>
          <cell r="J158" t="str">
            <v>PC</v>
          </cell>
          <cell r="K158">
            <v>2290</v>
          </cell>
          <cell r="L158">
            <v>-710</v>
          </cell>
          <cell r="N158" t="str">
            <v>UNCOVER STOCK</v>
          </cell>
          <cell r="O158" t="str">
            <v>PHASE 1.3</v>
          </cell>
        </row>
        <row r="159">
          <cell r="A159">
            <v>30002732</v>
          </cell>
          <cell r="B159">
            <v>135</v>
          </cell>
          <cell r="C159">
            <v>100559</v>
          </cell>
          <cell r="D159" t="str">
            <v>บจก. พรีเมี่ยมสตีล โพรเซสซิ่ง</v>
          </cell>
          <cell r="E159">
            <v>1110</v>
          </cell>
          <cell r="F159" t="str">
            <v>*       30002732  BRKT 2 (5YP-F141E-00)</v>
          </cell>
          <cell r="G159">
            <v>1000</v>
          </cell>
          <cell r="H159">
            <v>2000</v>
          </cell>
          <cell r="I159">
            <v>1000</v>
          </cell>
          <cell r="J159" t="str">
            <v>PC</v>
          </cell>
          <cell r="K159">
            <v>345</v>
          </cell>
          <cell r="L159">
            <v>-655</v>
          </cell>
          <cell r="N159" t="str">
            <v>UNCOVER STOCK</v>
          </cell>
          <cell r="O159" t="str">
            <v>PHASE 1.3</v>
          </cell>
        </row>
        <row r="160">
          <cell r="A160">
            <v>30002733</v>
          </cell>
          <cell r="B160">
            <v>136</v>
          </cell>
          <cell r="C160">
            <v>100559</v>
          </cell>
          <cell r="D160" t="str">
            <v>บจก. พรีเมี่ยมสตีล โพรเซสซิ่ง</v>
          </cell>
          <cell r="E160">
            <v>1110</v>
          </cell>
          <cell r="F160" t="str">
            <v>*       30002733  PLATE (5YP-F1183-00)</v>
          </cell>
          <cell r="G160">
            <v>1200</v>
          </cell>
          <cell r="H160">
            <v>1200</v>
          </cell>
          <cell r="I160">
            <v>600</v>
          </cell>
          <cell r="J160" t="str">
            <v>PC</v>
          </cell>
          <cell r="K160">
            <v>657</v>
          </cell>
          <cell r="L160">
            <v>-543</v>
          </cell>
          <cell r="N160" t="str">
            <v>UNCOVER STOCK</v>
          </cell>
          <cell r="O160" t="str">
            <v>PHASE 1.3</v>
          </cell>
        </row>
        <row r="161">
          <cell r="A161">
            <v>30002736</v>
          </cell>
          <cell r="B161">
            <v>138</v>
          </cell>
          <cell r="C161">
            <v>100559</v>
          </cell>
          <cell r="D161" t="str">
            <v>บจก. พรีเมี่ยมสตีล โพรเซสซิ่ง</v>
          </cell>
          <cell r="E161">
            <v>1110</v>
          </cell>
          <cell r="F161" t="str">
            <v>*       30002736  BRKT 5 (5YP-F139G-00)</v>
          </cell>
          <cell r="G161">
            <v>1000</v>
          </cell>
          <cell r="H161">
            <v>1000</v>
          </cell>
          <cell r="I161">
            <v>1000</v>
          </cell>
          <cell r="J161" t="str">
            <v>PC</v>
          </cell>
          <cell r="K161">
            <v>714</v>
          </cell>
          <cell r="L161">
            <v>-286</v>
          </cell>
          <cell r="N161" t="str">
            <v>UNCOVER STOCK</v>
          </cell>
          <cell r="O161" t="str">
            <v>PHASE 1.3</v>
          </cell>
        </row>
        <row r="162">
          <cell r="A162">
            <v>30002745</v>
          </cell>
          <cell r="B162">
            <v>142</v>
          </cell>
          <cell r="C162">
            <v>100559</v>
          </cell>
          <cell r="D162" t="str">
            <v>บจก. พรีเมี่ยมสตีล โพรเซสซิ่ง</v>
          </cell>
          <cell r="E162">
            <v>1110</v>
          </cell>
          <cell r="F162" t="str">
            <v>*       30002745  BRKT CHAIN GUARD 2 (4YS-F2150-00)</v>
          </cell>
          <cell r="G162">
            <v>22000</v>
          </cell>
          <cell r="H162">
            <v>20000</v>
          </cell>
          <cell r="I162">
            <v>20000</v>
          </cell>
          <cell r="J162" t="str">
            <v>PC</v>
          </cell>
          <cell r="K162">
            <v>2284</v>
          </cell>
          <cell r="L162">
            <v>-19716</v>
          </cell>
          <cell r="N162" t="str">
            <v>UNCOVER STOCK</v>
          </cell>
          <cell r="O162" t="str">
            <v>PHASE 1.3</v>
          </cell>
        </row>
        <row r="163">
          <cell r="A163">
            <v>30002755</v>
          </cell>
          <cell r="B163">
            <v>143</v>
          </cell>
          <cell r="C163">
            <v>100559</v>
          </cell>
          <cell r="D163" t="str">
            <v>บจก. พรีเมี่ยมสตีล โพรเซสซิ่ง</v>
          </cell>
          <cell r="E163">
            <v>1110</v>
          </cell>
          <cell r="F163" t="str">
            <v>*       30002755  PANEL OUTER 1 (5VV-F111H-00)</v>
          </cell>
          <cell r="G163">
            <v>32000</v>
          </cell>
          <cell r="H163">
            <v>28000</v>
          </cell>
          <cell r="I163">
            <v>28000</v>
          </cell>
          <cell r="J163" t="str">
            <v>PC</v>
          </cell>
          <cell r="K163">
            <v>17258</v>
          </cell>
          <cell r="L163">
            <v>-14742</v>
          </cell>
          <cell r="N163" t="str">
            <v>UNCOVER STOCK</v>
          </cell>
          <cell r="O163" t="str">
            <v>PHASE 1.3</v>
          </cell>
        </row>
        <row r="164">
          <cell r="A164">
            <v>30002767</v>
          </cell>
          <cell r="B164">
            <v>144</v>
          </cell>
          <cell r="C164">
            <v>100559</v>
          </cell>
          <cell r="D164" t="str">
            <v>บจก. พรีเมี่ยมสตีล โพรเซสซิ่ง</v>
          </cell>
          <cell r="E164">
            <v>1110</v>
          </cell>
          <cell r="F164" t="str">
            <v>*       30002767  REINF 1 (5TN-E476A-00)</v>
          </cell>
          <cell r="G164">
            <v>4000</v>
          </cell>
          <cell r="H164">
            <v>3800</v>
          </cell>
          <cell r="I164">
            <v>3000</v>
          </cell>
          <cell r="J164" t="str">
            <v>PC</v>
          </cell>
          <cell r="K164">
            <v>2699</v>
          </cell>
          <cell r="L164">
            <v>-1301</v>
          </cell>
          <cell r="N164" t="str">
            <v>UNCOVER STOCK</v>
          </cell>
          <cell r="O164" t="str">
            <v>PHASE 1.3</v>
          </cell>
        </row>
        <row r="165">
          <cell r="A165">
            <v>30002776</v>
          </cell>
          <cell r="B165">
            <v>146</v>
          </cell>
          <cell r="C165">
            <v>100559</v>
          </cell>
          <cell r="D165" t="str">
            <v>บจก. พรีเมี่ยมสตีล โพรเซสซิ่ง</v>
          </cell>
          <cell r="E165">
            <v>1110</v>
          </cell>
          <cell r="F165" t="str">
            <v>*       30002776  REINF TAIL 4 (5YP-F2114-00)</v>
          </cell>
          <cell r="G165">
            <v>1200</v>
          </cell>
          <cell r="H165">
            <v>1200</v>
          </cell>
          <cell r="I165">
            <v>800</v>
          </cell>
          <cell r="J165" t="str">
            <v>PC</v>
          </cell>
          <cell r="K165">
            <v>928</v>
          </cell>
          <cell r="L165">
            <v>-272</v>
          </cell>
          <cell r="N165" t="str">
            <v>UNCOVER STOCK</v>
          </cell>
          <cell r="O165" t="str">
            <v>PHASE 1.3</v>
          </cell>
        </row>
        <row r="166">
          <cell r="A166">
            <v>30002777</v>
          </cell>
          <cell r="B166">
            <v>147</v>
          </cell>
          <cell r="C166">
            <v>100559</v>
          </cell>
          <cell r="D166" t="str">
            <v>บจก. พรีเมี่ยมสตีล โพรเซสซิ่ง</v>
          </cell>
          <cell r="E166">
            <v>1110</v>
          </cell>
          <cell r="F166" t="str">
            <v>*       30002777  REINF TAIL 3 (5YP-F2113-00)</v>
          </cell>
          <cell r="G166">
            <v>1200</v>
          </cell>
          <cell r="H166">
            <v>1200</v>
          </cell>
          <cell r="I166">
            <v>800</v>
          </cell>
          <cell r="J166" t="str">
            <v>PC</v>
          </cell>
          <cell r="K166">
            <v>933</v>
          </cell>
          <cell r="L166">
            <v>-267</v>
          </cell>
          <cell r="N166" t="str">
            <v>UNCOVER STOCK</v>
          </cell>
          <cell r="O166" t="str">
            <v>PHASE 1.3</v>
          </cell>
        </row>
        <row r="167">
          <cell r="A167">
            <v>30002873</v>
          </cell>
          <cell r="B167">
            <v>152</v>
          </cell>
          <cell r="C167">
            <v>100559</v>
          </cell>
          <cell r="D167" t="str">
            <v>บจก. พรีเมี่ยมสตีล โพรเซสซิ่ง</v>
          </cell>
          <cell r="E167">
            <v>1110</v>
          </cell>
          <cell r="F167" t="str">
            <v>*       30002873  BRKT 8 (5MY-F116K-00)</v>
          </cell>
          <cell r="G167">
            <v>1500</v>
          </cell>
          <cell r="H167">
            <v>1000</v>
          </cell>
          <cell r="I167">
            <v>0</v>
          </cell>
          <cell r="J167" t="str">
            <v>PC</v>
          </cell>
          <cell r="K167">
            <v>760</v>
          </cell>
          <cell r="L167">
            <v>-740</v>
          </cell>
          <cell r="N167" t="str">
            <v>UNCOVER STOCK</v>
          </cell>
          <cell r="O167" t="str">
            <v>PHASE 1.3</v>
          </cell>
        </row>
        <row r="168">
          <cell r="A168">
            <v>30002877</v>
          </cell>
          <cell r="B168">
            <v>153</v>
          </cell>
          <cell r="C168">
            <v>100559</v>
          </cell>
          <cell r="D168" t="str">
            <v>บจก. พรีเมี่ยมสตีล โพรเซสซิ่ง</v>
          </cell>
          <cell r="E168">
            <v>1110</v>
          </cell>
          <cell r="F168" t="str">
            <v>*       30002877  SLEEVE 1(5VV-F1117-00)</v>
          </cell>
          <cell r="G168">
            <v>32000</v>
          </cell>
          <cell r="H168">
            <v>28000</v>
          </cell>
          <cell r="I168">
            <v>28000</v>
          </cell>
          <cell r="J168" t="str">
            <v>PC</v>
          </cell>
          <cell r="K168">
            <v>4789</v>
          </cell>
          <cell r="L168">
            <v>-27211</v>
          </cell>
          <cell r="N168" t="str">
            <v>UNCOVER STOCK</v>
          </cell>
          <cell r="O168" t="str">
            <v>PHASE 1.3</v>
          </cell>
        </row>
        <row r="169">
          <cell r="A169">
            <v>30002914</v>
          </cell>
          <cell r="B169">
            <v>155</v>
          </cell>
          <cell r="C169">
            <v>100559</v>
          </cell>
          <cell r="D169" t="str">
            <v>บจก. พรีเมี่ยมสตีล โพรเซสซิ่ง</v>
          </cell>
          <cell r="E169">
            <v>1110</v>
          </cell>
          <cell r="F169" t="str">
            <v>*       30002914  BRKT 2 (5YW-E4718-00-3)</v>
          </cell>
          <cell r="G169">
            <v>400</v>
          </cell>
          <cell r="H169">
            <v>0</v>
          </cell>
          <cell r="I169">
            <v>0</v>
          </cell>
          <cell r="J169" t="str">
            <v>PC</v>
          </cell>
          <cell r="K169">
            <v>240</v>
          </cell>
          <cell r="L169">
            <v>-160</v>
          </cell>
          <cell r="N169" t="str">
            <v>UNCOVER STOCK</v>
          </cell>
          <cell r="O169" t="str">
            <v>PHASE 1.3</v>
          </cell>
        </row>
        <row r="170">
          <cell r="A170">
            <v>30002929</v>
          </cell>
          <cell r="B170">
            <v>158</v>
          </cell>
          <cell r="C170">
            <v>100559</v>
          </cell>
          <cell r="D170" t="str">
            <v>บจก. พรีเมี่ยมสตีล โพรเซสซิ่ง</v>
          </cell>
          <cell r="E170">
            <v>1110</v>
          </cell>
          <cell r="F170" t="str">
            <v>*       30002929  STAY (50149-KPHV-6510-01)</v>
          </cell>
          <cell r="G170">
            <v>2500</v>
          </cell>
          <cell r="H170">
            <v>2500</v>
          </cell>
          <cell r="I170">
            <v>2500</v>
          </cell>
          <cell r="J170" t="str">
            <v>PC</v>
          </cell>
          <cell r="K170">
            <v>2091</v>
          </cell>
          <cell r="L170">
            <v>-409</v>
          </cell>
          <cell r="N170" t="str">
            <v>UNCOVER STOCK</v>
          </cell>
          <cell r="O170" t="str">
            <v>PHASE 1.3</v>
          </cell>
        </row>
        <row r="171">
          <cell r="A171">
            <v>30002942</v>
          </cell>
          <cell r="B171">
            <v>159</v>
          </cell>
          <cell r="C171">
            <v>100559</v>
          </cell>
          <cell r="D171" t="str">
            <v>บจก. พรีเมี่ยมสตีล โพรเซสซิ่ง</v>
          </cell>
          <cell r="E171">
            <v>1110</v>
          </cell>
          <cell r="F171" t="str">
            <v>*       30002942  PLATE (50127-GEZ-6400) 3 Holes</v>
          </cell>
          <cell r="G171">
            <v>600</v>
          </cell>
          <cell r="H171">
            <v>300</v>
          </cell>
          <cell r="I171">
            <v>300</v>
          </cell>
          <cell r="J171" t="str">
            <v>PC</v>
          </cell>
          <cell r="K171">
            <v>50</v>
          </cell>
          <cell r="L171">
            <v>-550</v>
          </cell>
          <cell r="N171" t="str">
            <v>UNCOVER STOCK</v>
          </cell>
          <cell r="O171" t="str">
            <v>PHASE 1.3</v>
          </cell>
        </row>
        <row r="172">
          <cell r="A172">
            <v>30009640</v>
          </cell>
          <cell r="B172">
            <v>161</v>
          </cell>
          <cell r="C172">
            <v>100559</v>
          </cell>
          <cell r="D172" t="str">
            <v>บจก. พรีเมี่ยมสตีล โพรเซสซิ่ง</v>
          </cell>
          <cell r="E172">
            <v>1110</v>
          </cell>
          <cell r="F172" t="str">
            <v>*       30009640  REINF (4D0-F146R-00)</v>
          </cell>
          <cell r="G172">
            <v>32000</v>
          </cell>
          <cell r="H172">
            <v>25000</v>
          </cell>
          <cell r="I172">
            <v>25000</v>
          </cell>
          <cell r="J172" t="str">
            <v>PC</v>
          </cell>
          <cell r="K172">
            <v>28064</v>
          </cell>
          <cell r="L172">
            <v>-3936</v>
          </cell>
          <cell r="N172" t="str">
            <v>UNCOVER STOCK</v>
          </cell>
          <cell r="O172" t="str">
            <v>PHASE 1.3</v>
          </cell>
        </row>
        <row r="173">
          <cell r="A173">
            <v>73000450</v>
          </cell>
          <cell r="B173">
            <v>162</v>
          </cell>
          <cell r="C173">
            <v>100559</v>
          </cell>
          <cell r="D173" t="str">
            <v>บจก. พรีเมี่ยมสตีล โพรเซสซิ่ง</v>
          </cell>
          <cell r="E173">
            <v>1110</v>
          </cell>
          <cell r="F173" t="str">
            <v>*       73000450  BRKT STASTER SWITCH (5MY-F139A-00)</v>
          </cell>
          <cell r="G173">
            <v>2000</v>
          </cell>
          <cell r="H173">
            <v>1000</v>
          </cell>
          <cell r="I173">
            <v>1000</v>
          </cell>
          <cell r="J173" t="str">
            <v>PC</v>
          </cell>
          <cell r="K173">
            <v>737</v>
          </cell>
          <cell r="L173">
            <v>-1263</v>
          </cell>
          <cell r="N173" t="str">
            <v>UNCOVER STOCK</v>
          </cell>
          <cell r="O173" t="str">
            <v>PHASE 1.3</v>
          </cell>
        </row>
        <row r="174">
          <cell r="A174">
            <v>73000452</v>
          </cell>
          <cell r="B174">
            <v>163</v>
          </cell>
          <cell r="C174">
            <v>100559</v>
          </cell>
          <cell r="D174" t="str">
            <v>บจก. พรีเมี่ยมสตีล โพรเซสซิ่ง</v>
          </cell>
          <cell r="E174">
            <v>1110</v>
          </cell>
          <cell r="F174" t="str">
            <v>*       73000452  PATCH RH (5MY-F1256-00)</v>
          </cell>
          <cell r="G174">
            <v>1500</v>
          </cell>
          <cell r="H174">
            <v>1000</v>
          </cell>
          <cell r="I174">
            <v>1000</v>
          </cell>
          <cell r="J174" t="str">
            <v>PC</v>
          </cell>
          <cell r="K174">
            <v>339</v>
          </cell>
          <cell r="L174">
            <v>-1161</v>
          </cell>
          <cell r="N174" t="str">
            <v>UNCOVER STOCK</v>
          </cell>
          <cell r="O174" t="str">
            <v>PHASE 1.3</v>
          </cell>
        </row>
        <row r="175">
          <cell r="A175">
            <v>73000453</v>
          </cell>
          <cell r="B175">
            <v>164</v>
          </cell>
          <cell r="C175">
            <v>100559</v>
          </cell>
          <cell r="D175" t="str">
            <v>บจก. พรีเมี่ยมสตีล โพรเซสซิ่ง</v>
          </cell>
          <cell r="E175">
            <v>1110</v>
          </cell>
          <cell r="F175" t="str">
            <v>*       73000453  PATCH LH (5MY-F1257-00)</v>
          </cell>
          <cell r="G175">
            <v>1500</v>
          </cell>
          <cell r="H175">
            <v>1000</v>
          </cell>
          <cell r="I175">
            <v>1000</v>
          </cell>
          <cell r="J175" t="str">
            <v>PC</v>
          </cell>
          <cell r="K175">
            <v>138</v>
          </cell>
          <cell r="L175">
            <v>-1362</v>
          </cell>
          <cell r="N175" t="str">
            <v>UNCOVER STOCK</v>
          </cell>
          <cell r="O175" t="str">
            <v>PHASE 1.3</v>
          </cell>
        </row>
        <row r="176">
          <cell r="A176">
            <v>73000456</v>
          </cell>
          <cell r="B176">
            <v>165</v>
          </cell>
          <cell r="C176">
            <v>100559</v>
          </cell>
          <cell r="D176" t="str">
            <v>บจก. พรีเมี่ยมสตีล โพรเซสซิ่ง</v>
          </cell>
          <cell r="E176">
            <v>1110</v>
          </cell>
          <cell r="F176" t="str">
            <v>*       73000456  HOOK (5MY-F139V-00)</v>
          </cell>
          <cell r="G176">
            <v>2000</v>
          </cell>
          <cell r="H176">
            <v>2000</v>
          </cell>
          <cell r="I176">
            <v>2000</v>
          </cell>
          <cell r="J176" t="str">
            <v>PC</v>
          </cell>
          <cell r="K176">
            <v>230</v>
          </cell>
          <cell r="L176">
            <v>-1770</v>
          </cell>
          <cell r="N176" t="str">
            <v>UNCOVER STOCK</v>
          </cell>
          <cell r="O176" t="str">
            <v>PHASE 1.3</v>
          </cell>
        </row>
        <row r="177">
          <cell r="A177">
            <v>73000460</v>
          </cell>
          <cell r="B177">
            <v>166</v>
          </cell>
          <cell r="C177">
            <v>100559</v>
          </cell>
          <cell r="D177" t="str">
            <v>บจก. พรีเมี่ยมสตีล โพรเซสซิ่ง</v>
          </cell>
          <cell r="E177">
            <v>1110</v>
          </cell>
          <cell r="F177" t="str">
            <v>*       73000460  BRKT 1 (1P7-F115K-00-00-1I)</v>
          </cell>
          <cell r="G177">
            <v>2000</v>
          </cell>
          <cell r="H177">
            <v>1000</v>
          </cell>
          <cell r="I177">
            <v>1000</v>
          </cell>
          <cell r="J177" t="str">
            <v>PC</v>
          </cell>
          <cell r="K177">
            <v>1134</v>
          </cell>
          <cell r="L177">
            <v>-866</v>
          </cell>
          <cell r="N177" t="str">
            <v>UNCOVER STOCK</v>
          </cell>
          <cell r="O177" t="str">
            <v>PHASE 1.3</v>
          </cell>
        </row>
        <row r="178">
          <cell r="A178">
            <v>73000480</v>
          </cell>
          <cell r="B178">
            <v>167</v>
          </cell>
          <cell r="C178">
            <v>100559</v>
          </cell>
          <cell r="D178" t="str">
            <v>บจก. พรีเมี่ยมสตีล โพรเซสซิ่ง</v>
          </cell>
          <cell r="E178">
            <v>1110</v>
          </cell>
          <cell r="F178" t="str">
            <v>*       73000480  BRKT AIR CLEANER 1 (5YP-F1147-00)</v>
          </cell>
          <cell r="G178">
            <v>1500</v>
          </cell>
          <cell r="H178">
            <v>1000</v>
          </cell>
          <cell r="I178">
            <v>1000</v>
          </cell>
          <cell r="J178" t="str">
            <v>PC</v>
          </cell>
          <cell r="K178">
            <v>1034</v>
          </cell>
          <cell r="L178">
            <v>-466</v>
          </cell>
          <cell r="N178" t="str">
            <v>UNCOVER STOCK</v>
          </cell>
          <cell r="O178" t="str">
            <v>PHASE 1.3</v>
          </cell>
        </row>
        <row r="179">
          <cell r="A179">
            <v>73000484</v>
          </cell>
          <cell r="B179">
            <v>169</v>
          </cell>
          <cell r="C179">
            <v>100559</v>
          </cell>
          <cell r="D179" t="str">
            <v>บจก. พรีเมี่ยมสตีล โพรเซสซิ่ง</v>
          </cell>
          <cell r="E179">
            <v>1110</v>
          </cell>
          <cell r="F179" t="str">
            <v>*       73000484  BRKT AIR CLEANER 2 (5YP-F1148-00)</v>
          </cell>
          <cell r="G179">
            <v>1500</v>
          </cell>
          <cell r="H179">
            <v>1000</v>
          </cell>
          <cell r="I179">
            <v>1000</v>
          </cell>
          <cell r="J179" t="str">
            <v>PC</v>
          </cell>
          <cell r="K179">
            <v>630</v>
          </cell>
          <cell r="L179">
            <v>-870</v>
          </cell>
          <cell r="N179" t="str">
            <v>UNCOVER STOCK</v>
          </cell>
          <cell r="O179" t="str">
            <v>PHASE 1.3</v>
          </cell>
        </row>
        <row r="180">
          <cell r="A180">
            <v>73000498</v>
          </cell>
          <cell r="B180">
            <v>170</v>
          </cell>
          <cell r="C180">
            <v>100559</v>
          </cell>
          <cell r="D180" t="str">
            <v>บจก. พรีเมี่ยมสตีล โพรเซสซิ่ง</v>
          </cell>
          <cell r="E180">
            <v>1110</v>
          </cell>
          <cell r="F180" t="str">
            <v>*       73000498  BRKT STOP SWITCH (5YP-F1410-00-00-1I)</v>
          </cell>
          <cell r="G180">
            <v>1000</v>
          </cell>
          <cell r="H180">
            <v>1500</v>
          </cell>
          <cell r="I180">
            <v>1000</v>
          </cell>
          <cell r="J180" t="str">
            <v>PC</v>
          </cell>
          <cell r="K180">
            <v>13</v>
          </cell>
          <cell r="L180">
            <v>-987</v>
          </cell>
          <cell r="N180" t="str">
            <v>UNCOVER STOCK</v>
          </cell>
          <cell r="O180" t="str">
            <v>PHASE 1.3</v>
          </cell>
        </row>
        <row r="181">
          <cell r="A181">
            <v>73000501</v>
          </cell>
          <cell r="B181">
            <v>171</v>
          </cell>
          <cell r="C181">
            <v>100559</v>
          </cell>
          <cell r="D181" t="str">
            <v>บจก. พรีเมี่ยมสตีล โพรเซสซิ่ง</v>
          </cell>
          <cell r="E181">
            <v>1110</v>
          </cell>
          <cell r="F181" t="str">
            <v>*       73000501  STAY ENGINE 6 (5YP-F1319-00-00-1I)</v>
          </cell>
          <cell r="G181">
            <v>1200</v>
          </cell>
          <cell r="H181">
            <v>1600</v>
          </cell>
          <cell r="I181">
            <v>800</v>
          </cell>
          <cell r="J181" t="str">
            <v>PC</v>
          </cell>
          <cell r="K181">
            <v>275</v>
          </cell>
          <cell r="L181">
            <v>-925</v>
          </cell>
          <cell r="N181" t="str">
            <v>UNCOVER STOCK</v>
          </cell>
          <cell r="O181" t="str">
            <v>PHASE 1.3</v>
          </cell>
        </row>
        <row r="182">
          <cell r="A182">
            <v>73000504</v>
          </cell>
          <cell r="B182">
            <v>172</v>
          </cell>
          <cell r="C182">
            <v>100559</v>
          </cell>
          <cell r="D182" t="str">
            <v>บจก. พรีเมี่ยมสตีล โพรเซสซิ่ง</v>
          </cell>
          <cell r="E182">
            <v>1110</v>
          </cell>
          <cell r="F182" t="str">
            <v>*       73000504  PLATE R COVER (11333-KGH-9000)</v>
          </cell>
          <cell r="G182">
            <v>2400</v>
          </cell>
          <cell r="H182">
            <v>2400</v>
          </cell>
          <cell r="I182">
            <v>2400</v>
          </cell>
          <cell r="J182" t="str">
            <v>PC</v>
          </cell>
          <cell r="K182">
            <v>59</v>
          </cell>
          <cell r="L182">
            <v>-2341</v>
          </cell>
          <cell r="N182" t="str">
            <v>UNCOVER STOCK</v>
          </cell>
          <cell r="O182" t="str">
            <v>PHASE 1.3</v>
          </cell>
        </row>
        <row r="183">
          <cell r="A183">
            <v>73000509</v>
          </cell>
          <cell r="B183">
            <v>173</v>
          </cell>
          <cell r="C183">
            <v>100559</v>
          </cell>
          <cell r="D183" t="str">
            <v>บจก. พรีเมี่ยมสตีล โพรเซสซิ่ง</v>
          </cell>
          <cell r="E183">
            <v>1110</v>
          </cell>
          <cell r="F183" t="str">
            <v>*       73000509  PLATE SPRKT SIDE (41211-KPPA-9010)</v>
          </cell>
          <cell r="G183">
            <v>500</v>
          </cell>
          <cell r="H183">
            <v>1000</v>
          </cell>
          <cell r="I183">
            <v>1000</v>
          </cell>
          <cell r="J183" t="str">
            <v>PC</v>
          </cell>
          <cell r="K183">
            <v>76</v>
          </cell>
          <cell r="L183">
            <v>-424</v>
          </cell>
          <cell r="N183" t="str">
            <v>UNCOVER STOCK</v>
          </cell>
          <cell r="O183" t="str">
            <v>PHASE 1.3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 (2)"/>
      <sheetName val="NIPPON (2)"/>
      <sheetName val="เพชรไพศาล (2)"/>
      <sheetName val="TSA Move 6.11.2009"/>
      <sheetName val="TSA รายการย้าย PHASE 2"/>
      <sheetName val="เพชรไพศาล 25.11.09"/>
      <sheetName val="เพชรไพศาล 26.11.09"/>
      <sheetName val="TSA รายการย้าย PHASE 3 (2)"/>
      <sheetName val="Sheet1"/>
      <sheetName val="forecast 10-11-12"/>
      <sheetName val="DEATH STOCK"/>
      <sheetName val="COVER STOCK"/>
      <sheetName val="UNCOVERED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คา Q3 2008"/>
      <sheetName val="จากอุ๋ย"/>
      <sheetName val="จากอุ๋ย (2)"/>
      <sheetName val="MASTER"/>
      <sheetName val="สรุป"/>
      <sheetName val="all (ก่อนแยก)"/>
      <sheetName val="TSA"/>
      <sheetName val="LOUIS"/>
      <sheetName val="CH DIE"/>
      <sheetName val="NIPPON"/>
      <sheetName val="PRASANMIT"/>
    </sheetNames>
    <sheetDataSet>
      <sheetData sheetId="0" refreshError="1"/>
      <sheetData sheetId="1" refreshError="1"/>
      <sheetData sheetId="2" refreshError="1"/>
      <sheetData sheetId="3">
        <row r="1">
          <cell r="B1" t="str">
            <v>Material Code</v>
          </cell>
          <cell r="C1" t="str">
            <v>Item Number MFG. PRO.</v>
          </cell>
        </row>
        <row r="2">
          <cell r="B2">
            <v>30002403</v>
          </cell>
          <cell r="C2" t="str">
            <v>P5VV-F146R-00</v>
          </cell>
        </row>
        <row r="3">
          <cell r="B3">
            <v>30002404</v>
          </cell>
          <cell r="C3" t="str">
            <v>P5MY-F1215-00</v>
          </cell>
        </row>
        <row r="4">
          <cell r="B4">
            <v>30002405</v>
          </cell>
          <cell r="C4" t="str">
            <v>P5MY-F1216-00</v>
          </cell>
        </row>
        <row r="5">
          <cell r="B5">
            <v>30002425</v>
          </cell>
          <cell r="C5" t="str">
            <v>P50500-KGHG-900002</v>
          </cell>
        </row>
        <row r="6">
          <cell r="B6">
            <v>30002427</v>
          </cell>
          <cell r="C6" t="str">
            <v>P50500-KGHA-9000</v>
          </cell>
        </row>
        <row r="7">
          <cell r="B7">
            <v>30002481</v>
          </cell>
          <cell r="C7" t="str">
            <v>P50127-KEV-9000-H1</v>
          </cell>
        </row>
        <row r="8">
          <cell r="B8">
            <v>30002508</v>
          </cell>
          <cell r="C8" t="str">
            <v>P50100-KPH-9700</v>
          </cell>
        </row>
        <row r="9">
          <cell r="B9">
            <v>30002518</v>
          </cell>
          <cell r="C9" t="str">
            <v>P50125-KGHA-900003</v>
          </cell>
        </row>
        <row r="10">
          <cell r="B10">
            <v>30002551</v>
          </cell>
          <cell r="C10" t="str">
            <v>P50500-KGHA-900012</v>
          </cell>
        </row>
        <row r="11">
          <cell r="B11">
            <v>30002558</v>
          </cell>
          <cell r="C11" t="str">
            <v>P50162KPPF8600-03</v>
          </cell>
        </row>
        <row r="12">
          <cell r="B12">
            <v>30002559</v>
          </cell>
          <cell r="C12" t="str">
            <v>P50500-KGHA-9000H1</v>
          </cell>
        </row>
        <row r="13">
          <cell r="B13">
            <v>30002572</v>
          </cell>
          <cell r="C13" t="str">
            <v>P53116-KRS-6900-H1</v>
          </cell>
        </row>
        <row r="14">
          <cell r="B14">
            <v>30002601</v>
          </cell>
          <cell r="C14" t="str">
            <v>P5LN-F112L-00</v>
          </cell>
        </row>
        <row r="15">
          <cell r="B15">
            <v>30002680</v>
          </cell>
          <cell r="C15" t="str">
            <v>P5YP-F1312-00</v>
          </cell>
        </row>
        <row r="16">
          <cell r="B16">
            <v>30002688</v>
          </cell>
          <cell r="C16" t="str">
            <v>P5YP-F1329-00</v>
          </cell>
        </row>
        <row r="17">
          <cell r="B17">
            <v>30002689</v>
          </cell>
          <cell r="C17" t="str">
            <v>P5YP-F1216-00</v>
          </cell>
        </row>
        <row r="18">
          <cell r="B18">
            <v>30002173</v>
          </cell>
          <cell r="C18" t="str">
            <v>F2JH-F2134-00</v>
          </cell>
        </row>
        <row r="19">
          <cell r="B19">
            <v>30002197</v>
          </cell>
          <cell r="C19" t="str">
            <v>F5YP-F116B-00</v>
          </cell>
        </row>
        <row r="20">
          <cell r="B20">
            <v>30002199</v>
          </cell>
          <cell r="C20" t="str">
            <v>F5YP-F1317-00</v>
          </cell>
        </row>
        <row r="21">
          <cell r="B21">
            <v>30002422</v>
          </cell>
          <cell r="C21" t="str">
            <v>F5TN-F1113-00</v>
          </cell>
        </row>
        <row r="22">
          <cell r="B22">
            <v>30002486</v>
          </cell>
          <cell r="C22" t="str">
            <v>F5TN-F141E-00</v>
          </cell>
        </row>
        <row r="23">
          <cell r="B23">
            <v>30002502</v>
          </cell>
          <cell r="C23" t="str">
            <v>F83150-KPK-9000-04</v>
          </cell>
        </row>
        <row r="24">
          <cell r="B24">
            <v>30002503</v>
          </cell>
          <cell r="C24" t="str">
            <v>F50112-KPK-9000H1B</v>
          </cell>
        </row>
        <row r="25">
          <cell r="B25">
            <v>30002504</v>
          </cell>
          <cell r="C25" t="str">
            <v>F50112-KPK-9000H1A</v>
          </cell>
        </row>
        <row r="26">
          <cell r="B26">
            <v>30002505</v>
          </cell>
          <cell r="C26" t="str">
            <v>F50100-KPK-9000AHB</v>
          </cell>
        </row>
        <row r="27">
          <cell r="B27">
            <v>30002514</v>
          </cell>
          <cell r="C27" t="str">
            <v>F83510-KPKJ-940002</v>
          </cell>
        </row>
        <row r="28">
          <cell r="B28">
            <v>30002516</v>
          </cell>
          <cell r="C28" t="str">
            <v>F24701-KPP-900</v>
          </cell>
        </row>
        <row r="29">
          <cell r="B29">
            <v>30002521</v>
          </cell>
          <cell r="C29" t="str">
            <v>F50138-KPPA-900001</v>
          </cell>
        </row>
        <row r="30">
          <cell r="B30">
            <v>30002522</v>
          </cell>
          <cell r="C30" t="str">
            <v>F50162KPPF8600-H1</v>
          </cell>
        </row>
        <row r="31">
          <cell r="B31">
            <v>30002524</v>
          </cell>
          <cell r="C31" t="str">
            <v>F50206-GEZ-3002</v>
          </cell>
        </row>
        <row r="32">
          <cell r="B32">
            <v>30002525</v>
          </cell>
          <cell r="C32" t="str">
            <v>F50203-GEZ-3001</v>
          </cell>
        </row>
        <row r="33">
          <cell r="B33">
            <v>30002526</v>
          </cell>
          <cell r="C33" t="str">
            <v>F50202-GEZ-3001</v>
          </cell>
        </row>
        <row r="34">
          <cell r="B34">
            <v>30002527</v>
          </cell>
          <cell r="C34" t="str">
            <v>F80125-KFEA-700009</v>
          </cell>
        </row>
        <row r="35">
          <cell r="B35">
            <v>30002528</v>
          </cell>
          <cell r="C35" t="str">
            <v>F80125-KFEA-700000</v>
          </cell>
        </row>
        <row r="36">
          <cell r="B36">
            <v>30002530</v>
          </cell>
          <cell r="C36" t="str">
            <v>F80125KFEA-7000-06</v>
          </cell>
        </row>
        <row r="37">
          <cell r="B37">
            <v>30002532</v>
          </cell>
          <cell r="C37" t="str">
            <v>F80125KFEA-7000-05</v>
          </cell>
        </row>
        <row r="38">
          <cell r="B38">
            <v>30002533</v>
          </cell>
          <cell r="C38" t="str">
            <v>F80125-KFEA-700004</v>
          </cell>
        </row>
        <row r="39">
          <cell r="B39">
            <v>30002534</v>
          </cell>
          <cell r="C39" t="str">
            <v>F80125-KFEA-700003</v>
          </cell>
        </row>
        <row r="40">
          <cell r="B40">
            <v>30002535</v>
          </cell>
          <cell r="C40" t="str">
            <v>F50150-GEZG-670120</v>
          </cell>
        </row>
        <row r="41">
          <cell r="B41">
            <v>30002537</v>
          </cell>
          <cell r="C41" t="str">
            <v>F50146-GEZ-3001</v>
          </cell>
        </row>
        <row r="42">
          <cell r="B42">
            <v>30002538</v>
          </cell>
          <cell r="C42" t="str">
            <v>F50136-GEZ-3001</v>
          </cell>
        </row>
        <row r="43">
          <cell r="B43">
            <v>30002539</v>
          </cell>
          <cell r="C43" t="str">
            <v>F50132-GEZ-3000</v>
          </cell>
        </row>
        <row r="44">
          <cell r="B44">
            <v>30002542</v>
          </cell>
          <cell r="C44" t="str">
            <v>F50127-GEZ-3002</v>
          </cell>
        </row>
        <row r="45">
          <cell r="B45">
            <v>30002544</v>
          </cell>
          <cell r="C45" t="str">
            <v>F50124-GEZ-3100</v>
          </cell>
        </row>
        <row r="46">
          <cell r="B46">
            <v>30002545</v>
          </cell>
          <cell r="C46" t="str">
            <v>F50134-GEZ-3100</v>
          </cell>
        </row>
        <row r="47">
          <cell r="B47">
            <v>30002552</v>
          </cell>
          <cell r="C47" t="str">
            <v>F50500-KGHA-900007</v>
          </cell>
        </row>
        <row r="48">
          <cell r="B48">
            <v>30002553</v>
          </cell>
          <cell r="C48" t="str">
            <v>F50500-KGHA-900006</v>
          </cell>
        </row>
        <row r="49">
          <cell r="B49">
            <v>30002570</v>
          </cell>
          <cell r="C49" t="str">
            <v>F53108-KRS-6900-02</v>
          </cell>
        </row>
        <row r="50">
          <cell r="B50">
            <v>30002573</v>
          </cell>
          <cell r="C50" t="str">
            <v>F53100-KEVA-900004</v>
          </cell>
        </row>
        <row r="51">
          <cell r="B51">
            <v>30002574</v>
          </cell>
          <cell r="C51" t="str">
            <v>F53100-KEVA-900003</v>
          </cell>
        </row>
        <row r="52">
          <cell r="B52">
            <v>30002575</v>
          </cell>
          <cell r="C52" t="str">
            <v>F53103-KEVA-9000H1</v>
          </cell>
        </row>
        <row r="53">
          <cell r="B53">
            <v>30002576</v>
          </cell>
          <cell r="C53" t="str">
            <v>F53100-KRSH-690102</v>
          </cell>
        </row>
        <row r="54">
          <cell r="B54">
            <v>30002592</v>
          </cell>
          <cell r="C54" t="str">
            <v>F5YP-F1382-00</v>
          </cell>
        </row>
        <row r="55">
          <cell r="B55">
            <v>30002593</v>
          </cell>
          <cell r="C55" t="str">
            <v>F5YP-F213E-00</v>
          </cell>
        </row>
        <row r="56">
          <cell r="B56">
            <v>30002596</v>
          </cell>
          <cell r="C56" t="str">
            <v>F1P7-E4718-00-02</v>
          </cell>
        </row>
        <row r="57">
          <cell r="B57">
            <v>30002597</v>
          </cell>
          <cell r="C57" t="str">
            <v>F1P7-E4718-00-2</v>
          </cell>
        </row>
        <row r="58">
          <cell r="B58">
            <v>30002598</v>
          </cell>
          <cell r="C58" t="str">
            <v>F5MY-F113U-00</v>
          </cell>
        </row>
        <row r="59">
          <cell r="B59">
            <v>30002599</v>
          </cell>
          <cell r="C59" t="str">
            <v>F5MY-F113R-00</v>
          </cell>
        </row>
        <row r="60">
          <cell r="B60">
            <v>30002664</v>
          </cell>
          <cell r="C60" t="str">
            <v>F5YP-F138L-00</v>
          </cell>
        </row>
        <row r="61">
          <cell r="B61">
            <v>30002667</v>
          </cell>
          <cell r="C61" t="str">
            <v>F5YP-F134N-00</v>
          </cell>
        </row>
        <row r="62">
          <cell r="B62">
            <v>30002670</v>
          </cell>
          <cell r="C62" t="str">
            <v>F5YP-F118V-00</v>
          </cell>
        </row>
        <row r="63">
          <cell r="B63">
            <v>30002673</v>
          </cell>
          <cell r="C63" t="str">
            <v>F5VV-F1458-00</v>
          </cell>
        </row>
        <row r="64">
          <cell r="B64">
            <v>30002683</v>
          </cell>
          <cell r="C64" t="str">
            <v>F5YP-F142N-00</v>
          </cell>
        </row>
        <row r="65">
          <cell r="B65">
            <v>30002690</v>
          </cell>
          <cell r="C65" t="str">
            <v>F5YP-F116E-00</v>
          </cell>
        </row>
        <row r="66">
          <cell r="B66">
            <v>30002691</v>
          </cell>
          <cell r="C66" t="str">
            <v>F5YP-F1134-00</v>
          </cell>
        </row>
        <row r="67">
          <cell r="B67">
            <v>30002692</v>
          </cell>
          <cell r="C67" t="str">
            <v>F5YP-F142M-00</v>
          </cell>
        </row>
        <row r="68">
          <cell r="B68">
            <v>30002696</v>
          </cell>
          <cell r="C68" t="str">
            <v>F5YP-F1239-00</v>
          </cell>
        </row>
        <row r="69">
          <cell r="B69">
            <v>30002697</v>
          </cell>
          <cell r="C69" t="str">
            <v>F5YP-F1238-00</v>
          </cell>
        </row>
        <row r="70">
          <cell r="B70">
            <v>30002699</v>
          </cell>
          <cell r="C70" t="str">
            <v>F5VV-F148Y-00</v>
          </cell>
        </row>
        <row r="71">
          <cell r="B71">
            <v>30002733</v>
          </cell>
          <cell r="C71" t="str">
            <v>F5YP-F1183-00</v>
          </cell>
        </row>
        <row r="72">
          <cell r="B72">
            <v>30002742</v>
          </cell>
          <cell r="C72" t="str">
            <v>F5VV-F116E-00</v>
          </cell>
        </row>
        <row r="73">
          <cell r="B73">
            <v>30002745</v>
          </cell>
          <cell r="C73" t="str">
            <v>F4YS-F2150-00</v>
          </cell>
        </row>
        <row r="74">
          <cell r="B74">
            <v>30002776</v>
          </cell>
          <cell r="C74" t="str">
            <v>F5YP-F2114-00</v>
          </cell>
        </row>
        <row r="75">
          <cell r="B75">
            <v>30002777</v>
          </cell>
          <cell r="C75" t="str">
            <v>F5YP-F2113-00</v>
          </cell>
        </row>
        <row r="76">
          <cell r="B76">
            <v>30002778</v>
          </cell>
          <cell r="C76" t="str">
            <v>F5YP-F2112-00</v>
          </cell>
        </row>
        <row r="77">
          <cell r="B77">
            <v>30002779</v>
          </cell>
          <cell r="C77" t="str">
            <v>F5YP-F2111-00</v>
          </cell>
        </row>
        <row r="78">
          <cell r="B78">
            <v>30002789</v>
          </cell>
          <cell r="C78" t="str">
            <v>F1P7-F139F-00</v>
          </cell>
        </row>
        <row r="79">
          <cell r="B79">
            <v>30002853</v>
          </cell>
          <cell r="C79" t="str">
            <v>F24701-KPP-9000</v>
          </cell>
        </row>
        <row r="80">
          <cell r="B80">
            <v>30002915</v>
          </cell>
          <cell r="C80" t="str">
            <v>F5YP-F134V-00</v>
          </cell>
        </row>
        <row r="81">
          <cell r="B81">
            <v>30002155</v>
          </cell>
          <cell r="C81" t="str">
            <v>F5MY-F146R</v>
          </cell>
        </row>
        <row r="82">
          <cell r="B82">
            <v>30002160</v>
          </cell>
          <cell r="C82" t="str">
            <v>F5VV-F111A</v>
          </cell>
        </row>
        <row r="83">
          <cell r="B83">
            <v>30002163</v>
          </cell>
          <cell r="C83" t="str">
            <v>F5VV-F1369-00</v>
          </cell>
        </row>
        <row r="84">
          <cell r="B84">
            <v>30002169</v>
          </cell>
          <cell r="C84" t="str">
            <v>F5TN-F1359-00</v>
          </cell>
        </row>
        <row r="85">
          <cell r="B85">
            <v>30002175</v>
          </cell>
          <cell r="C85" t="str">
            <v>F4NR-F2353-00</v>
          </cell>
        </row>
        <row r="86">
          <cell r="B86">
            <v>30002176</v>
          </cell>
          <cell r="C86" t="str">
            <v>F5TN-E4771-00</v>
          </cell>
        </row>
        <row r="87">
          <cell r="B87">
            <v>30002177</v>
          </cell>
          <cell r="C87" t="str">
            <v>F5TN-E4772-00</v>
          </cell>
        </row>
        <row r="88">
          <cell r="B88">
            <v>30002506</v>
          </cell>
          <cell r="C88" t="str">
            <v>F50100-KPK-9000AHA</v>
          </cell>
        </row>
        <row r="89">
          <cell r="B89">
            <v>30002556</v>
          </cell>
          <cell r="C89" t="str">
            <v>F2470B-KPH-9700</v>
          </cell>
        </row>
        <row r="90">
          <cell r="B90">
            <v>30002566</v>
          </cell>
          <cell r="C90" t="str">
            <v>f50101-kphj-940002</v>
          </cell>
        </row>
        <row r="91">
          <cell r="B91">
            <v>30002569</v>
          </cell>
          <cell r="C91" t="str">
            <v>F53109-KRS-7800-01</v>
          </cell>
        </row>
        <row r="92">
          <cell r="B92">
            <v>30002668</v>
          </cell>
          <cell r="C92" t="str">
            <v>F5YP-F134M-00</v>
          </cell>
        </row>
        <row r="93">
          <cell r="B93">
            <v>30002929</v>
          </cell>
          <cell r="C93" t="str">
            <v>F50149-KPHV-651010</v>
          </cell>
        </row>
        <row r="94">
          <cell r="B94">
            <v>30002942</v>
          </cell>
          <cell r="C94" t="str">
            <v>F50127-GEZ-6400</v>
          </cell>
        </row>
        <row r="95">
          <cell r="B95">
            <v>30002958</v>
          </cell>
          <cell r="C95" t="str">
            <v>F50162KPPA9000-H1</v>
          </cell>
        </row>
        <row r="96">
          <cell r="B96">
            <v>30002150</v>
          </cell>
          <cell r="C96" t="str">
            <v>F5MY-F139K-00</v>
          </cell>
        </row>
        <row r="97">
          <cell r="B97">
            <v>30002151</v>
          </cell>
          <cell r="C97" t="str">
            <v>F5MY-F139J-00</v>
          </cell>
        </row>
        <row r="98">
          <cell r="B98">
            <v>30002170</v>
          </cell>
          <cell r="C98" t="str">
            <v>F5TN-E471K-00</v>
          </cell>
        </row>
        <row r="99">
          <cell r="B99">
            <v>30002182</v>
          </cell>
          <cell r="C99" t="str">
            <v>F1P7-F1158-00</v>
          </cell>
        </row>
        <row r="100">
          <cell r="B100">
            <v>30002185</v>
          </cell>
          <cell r="C100" t="str">
            <v>F1P7-F149T-00</v>
          </cell>
        </row>
        <row r="101">
          <cell r="B101">
            <v>30002590</v>
          </cell>
          <cell r="C101" t="str">
            <v>F5TN-F139H-00</v>
          </cell>
        </row>
        <row r="102">
          <cell r="B102">
            <v>30002693</v>
          </cell>
          <cell r="C102" t="str">
            <v>F5MY-F134N-00</v>
          </cell>
        </row>
        <row r="103">
          <cell r="B103">
            <v>30002694</v>
          </cell>
          <cell r="C103" t="str">
            <v>F1P7-F139N-00-01</v>
          </cell>
        </row>
        <row r="104">
          <cell r="B104">
            <v>30002695</v>
          </cell>
          <cell r="C104" t="str">
            <v>F5YP-F131L-00</v>
          </cell>
        </row>
        <row r="105">
          <cell r="B105">
            <v>30002700</v>
          </cell>
          <cell r="C105" t="str">
            <v>F5TN-F1136-00</v>
          </cell>
        </row>
        <row r="106">
          <cell r="B106">
            <v>30002701</v>
          </cell>
          <cell r="C106" t="str">
            <v>F5YW-F137G-00</v>
          </cell>
        </row>
        <row r="107">
          <cell r="B107">
            <v>30002702</v>
          </cell>
          <cell r="C107" t="str">
            <v>F5YW-F137F-00</v>
          </cell>
        </row>
        <row r="108">
          <cell r="B108">
            <v>30002704</v>
          </cell>
          <cell r="C108" t="str">
            <v>F5TN-F1429-00</v>
          </cell>
        </row>
        <row r="109">
          <cell r="B109">
            <v>30002705</v>
          </cell>
          <cell r="C109" t="str">
            <v>F5TN-F1465-00</v>
          </cell>
        </row>
        <row r="110">
          <cell r="B110">
            <v>30002706</v>
          </cell>
          <cell r="C110" t="str">
            <v>F1P7-F1447-00</v>
          </cell>
        </row>
        <row r="111">
          <cell r="B111">
            <v>30002560</v>
          </cell>
          <cell r="C111" t="str">
            <v>F50157-KPWA-9000</v>
          </cell>
        </row>
        <row r="112">
          <cell r="B112">
            <v>30002587</v>
          </cell>
          <cell r="C112" t="str">
            <v>F5YP-F5356-00</v>
          </cell>
        </row>
        <row r="113">
          <cell r="B113">
            <v>30002588</v>
          </cell>
          <cell r="C113" t="str">
            <v>F5TN-F538G-00</v>
          </cell>
        </row>
        <row r="114">
          <cell r="B114">
            <v>30002589</v>
          </cell>
          <cell r="C114" t="str">
            <v>F5TN-F1587-00</v>
          </cell>
        </row>
        <row r="115">
          <cell r="B115">
            <v>30002595</v>
          </cell>
          <cell r="C115" t="str">
            <v>F5YW-E4718-00-2</v>
          </cell>
        </row>
        <row r="116">
          <cell r="B116">
            <v>30002675</v>
          </cell>
          <cell r="C116" t="str">
            <v>F5TN-E471R-00</v>
          </cell>
        </row>
        <row r="117">
          <cell r="B117" t="e">
            <v>#N/A</v>
          </cell>
        </row>
        <row r="118">
          <cell r="B118">
            <v>30002738</v>
          </cell>
          <cell r="C118" t="str">
            <v>F5TN-F117K</v>
          </cell>
        </row>
        <row r="119">
          <cell r="B119">
            <v>30002741</v>
          </cell>
          <cell r="C119" t="str">
            <v>F5TN-E472K-00</v>
          </cell>
        </row>
        <row r="120">
          <cell r="B120">
            <v>30002767</v>
          </cell>
          <cell r="C120" t="str">
            <v>F5TN-E476A-00</v>
          </cell>
        </row>
        <row r="121">
          <cell r="B121">
            <v>30002768</v>
          </cell>
          <cell r="C121" t="str">
            <v>F5TN-F139N-00</v>
          </cell>
        </row>
        <row r="122">
          <cell r="B122">
            <v>30002914</v>
          </cell>
          <cell r="C122" t="str">
            <v>F5YW-E4718-00-3</v>
          </cell>
        </row>
        <row r="123">
          <cell r="B123">
            <v>73000452</v>
          </cell>
          <cell r="C123" t="str">
            <v>F5MY-F1256-00</v>
          </cell>
        </row>
        <row r="124">
          <cell r="B124">
            <v>73000453</v>
          </cell>
          <cell r="C124" t="str">
            <v>F5MY-F1257-00</v>
          </cell>
        </row>
        <row r="125">
          <cell r="B125">
            <v>73000460</v>
          </cell>
          <cell r="C125" t="str">
            <v>F1P7-F115K-00</v>
          </cell>
        </row>
        <row r="126">
          <cell r="B126">
            <v>73000480</v>
          </cell>
          <cell r="C126" t="str">
            <v>F5YP-F1147-00</v>
          </cell>
        </row>
        <row r="127">
          <cell r="B127">
            <v>73000483</v>
          </cell>
          <cell r="C127" t="str">
            <v>F5YP-F115K-00</v>
          </cell>
        </row>
        <row r="128">
          <cell r="B128">
            <v>73000484</v>
          </cell>
          <cell r="C128" t="str">
            <v>F5YP-F1148-00</v>
          </cell>
        </row>
        <row r="129">
          <cell r="B129">
            <v>73000498</v>
          </cell>
          <cell r="C129" t="str">
            <v>F5YP-F1441-00</v>
          </cell>
        </row>
        <row r="130">
          <cell r="B130">
            <v>73000501</v>
          </cell>
          <cell r="C130" t="str">
            <v>F5YP-F1319-00</v>
          </cell>
        </row>
        <row r="131">
          <cell r="B131">
            <v>73000504</v>
          </cell>
          <cell r="C131" t="str">
            <v>F11333-KGH-9000</v>
          </cell>
        </row>
        <row r="132">
          <cell r="B132">
            <v>73000509</v>
          </cell>
          <cell r="C132" t="str">
            <v>F41211-KPPA-9010</v>
          </cell>
        </row>
        <row r="133">
          <cell r="B133">
            <v>30002457</v>
          </cell>
          <cell r="C133" t="str">
            <v>F5TN-F2172-00</v>
          </cell>
        </row>
        <row r="134">
          <cell r="B134">
            <v>30002458</v>
          </cell>
          <cell r="C134" t="str">
            <v>F5TN-F2171-00</v>
          </cell>
        </row>
        <row r="135">
          <cell r="B135">
            <v>30009640</v>
          </cell>
          <cell r="C135" t="str">
            <v>P4D0-F146R-00</v>
          </cell>
        </row>
        <row r="136">
          <cell r="B136">
            <v>30002568</v>
          </cell>
          <cell r="C136" t="str">
            <v>F53100-KTLH-850002</v>
          </cell>
        </row>
        <row r="137">
          <cell r="B137">
            <v>30002703</v>
          </cell>
          <cell r="C137" t="str">
            <v>F5VV-F111G-00</v>
          </cell>
        </row>
        <row r="138">
          <cell r="B138">
            <v>30002164</v>
          </cell>
          <cell r="C138" t="str">
            <v>F5VV-F134N-00</v>
          </cell>
        </row>
        <row r="139">
          <cell r="B139">
            <v>30002166</v>
          </cell>
          <cell r="C139" t="str">
            <v>F5VV-F138L-00</v>
          </cell>
        </row>
        <row r="140">
          <cell r="B140">
            <v>30002707</v>
          </cell>
          <cell r="C140" t="str">
            <v>F5VV-F141A-00</v>
          </cell>
        </row>
        <row r="141">
          <cell r="B141">
            <v>30002162</v>
          </cell>
          <cell r="C141" t="str">
            <v>F5VV-F148W</v>
          </cell>
        </row>
        <row r="142">
          <cell r="B142">
            <v>30002564</v>
          </cell>
          <cell r="C142" t="str">
            <v>P24701-KRSH-690001</v>
          </cell>
        </row>
        <row r="143">
          <cell r="B143">
            <v>0</v>
          </cell>
          <cell r="C143" t="str">
            <v>P5YP-116B-00</v>
          </cell>
        </row>
        <row r="144">
          <cell r="B144">
            <v>30002872</v>
          </cell>
          <cell r="C144" t="str">
            <v>P5YP-F1168-00</v>
          </cell>
        </row>
        <row r="145">
          <cell r="B145">
            <v>30002485</v>
          </cell>
          <cell r="C145" t="str">
            <v>P5TN-F141A-00</v>
          </cell>
        </row>
        <row r="146">
          <cell r="B146">
            <v>30002790</v>
          </cell>
          <cell r="C146" t="str">
            <v>P5VV-F115K-00</v>
          </cell>
        </row>
        <row r="147">
          <cell r="B147">
            <v>30002751</v>
          </cell>
          <cell r="C147" t="str">
            <v>P5YP-F1437-00</v>
          </cell>
        </row>
        <row r="148">
          <cell r="B148">
            <v>30002507</v>
          </cell>
          <cell r="C148" t="str">
            <v>P50614-KPK-9000-02</v>
          </cell>
        </row>
        <row r="149">
          <cell r="B149">
            <v>30002937</v>
          </cell>
          <cell r="C149" t="str">
            <v>P50614-KPK-9000-02</v>
          </cell>
        </row>
        <row r="150">
          <cell r="B150">
            <v>30002749</v>
          </cell>
          <cell r="C150" t="str">
            <v>P5YP-F128A-00</v>
          </cell>
        </row>
        <row r="151">
          <cell r="B151">
            <v>30002922</v>
          </cell>
          <cell r="C151" t="str">
            <v>P2081015-01</v>
          </cell>
        </row>
        <row r="152">
          <cell r="B152">
            <v>30002805</v>
          </cell>
          <cell r="C152" t="str">
            <v>P5YP-F113A-00</v>
          </cell>
        </row>
        <row r="153">
          <cell r="B153">
            <v>30002968</v>
          </cell>
          <cell r="C153" t="str">
            <v>P1P7-F1162-01</v>
          </cell>
        </row>
        <row r="154">
          <cell r="B154">
            <v>30002754</v>
          </cell>
          <cell r="C154" t="str">
            <v>P5TN-F145B-00</v>
          </cell>
        </row>
        <row r="155">
          <cell r="B155">
            <v>73000505</v>
          </cell>
          <cell r="C155" t="str">
            <v>P41211-KPCA-6400</v>
          </cell>
        </row>
        <row r="156">
          <cell r="B156">
            <v>73000508</v>
          </cell>
          <cell r="C156" t="str">
            <v>P41211-KW69-610-H1</v>
          </cell>
        </row>
        <row r="157">
          <cell r="B157">
            <v>30002846</v>
          </cell>
          <cell r="C157" t="str">
            <v>P50105-KGHA-9000-1</v>
          </cell>
        </row>
        <row r="158">
          <cell r="B158">
            <v>73000459</v>
          </cell>
          <cell r="C158" t="str">
            <v>P1P7-F1168-00</v>
          </cell>
        </row>
        <row r="159">
          <cell r="B159">
            <v>30003451</v>
          </cell>
          <cell r="C159" t="str">
            <v>P31069 EB70A</v>
          </cell>
        </row>
        <row r="160">
          <cell r="B160">
            <v>30002423</v>
          </cell>
          <cell r="C160" t="str">
            <v>P5TN-F134M-00</v>
          </cell>
        </row>
        <row r="161">
          <cell r="B161">
            <v>30002735</v>
          </cell>
          <cell r="C161" t="str">
            <v>P5VV-E4728-00-2</v>
          </cell>
        </row>
        <row r="162">
          <cell r="B162">
            <v>30002875</v>
          </cell>
          <cell r="C162" t="str">
            <v>P5VV-F138K-00</v>
          </cell>
        </row>
        <row r="163">
          <cell r="B163">
            <v>30002861</v>
          </cell>
          <cell r="C163" t="str">
            <v>P5VV-E4728-00-3</v>
          </cell>
        </row>
        <row r="164">
          <cell r="B164">
            <v>30003582</v>
          </cell>
          <cell r="C164" t="str">
            <v>P763A1 CJ40A</v>
          </cell>
        </row>
        <row r="165">
          <cell r="B165">
            <v>30003515</v>
          </cell>
          <cell r="C165" t="str">
            <v>PF83150 A07 N0000</v>
          </cell>
        </row>
        <row r="166">
          <cell r="B166">
            <v>30002865</v>
          </cell>
          <cell r="C166" t="str">
            <v>P1SY277-01</v>
          </cell>
        </row>
        <row r="167">
          <cell r="B167">
            <v>30004337</v>
          </cell>
          <cell r="C167" t="str">
            <v>P61498 ED500</v>
          </cell>
        </row>
        <row r="168">
          <cell r="B168">
            <v>30002930</v>
          </cell>
          <cell r="C168" t="str">
            <v>P50183-KPW-9000-H1</v>
          </cell>
        </row>
        <row r="169">
          <cell r="B169">
            <v>30002806</v>
          </cell>
          <cell r="C169" t="str">
            <v>P1P7-F1111-00</v>
          </cell>
        </row>
        <row r="170">
          <cell r="B170">
            <v>30002913</v>
          </cell>
          <cell r="C170" t="str">
            <v>P50100-KPHA-9000</v>
          </cell>
        </row>
        <row r="171">
          <cell r="B171">
            <v>30002424</v>
          </cell>
          <cell r="C171" t="str">
            <v>P50127-KPH-7000-01</v>
          </cell>
        </row>
        <row r="172">
          <cell r="B172">
            <v>30002203</v>
          </cell>
          <cell r="C172" t="str">
            <v>P53109-KRSH-780002</v>
          </cell>
        </row>
        <row r="173">
          <cell r="B173">
            <v>30003578</v>
          </cell>
          <cell r="C173" t="str">
            <v>P76575 AX000</v>
          </cell>
        </row>
        <row r="174">
          <cell r="B174">
            <v>30003577</v>
          </cell>
          <cell r="C174" t="str">
            <v>P76574 AX000</v>
          </cell>
        </row>
        <row r="175">
          <cell r="B175">
            <v>30003564</v>
          </cell>
          <cell r="C175" t="str">
            <v>P76216 CJ400</v>
          </cell>
        </row>
        <row r="176">
          <cell r="B176">
            <v>30002202</v>
          </cell>
          <cell r="C176" t="str">
            <v>P50156-KPHX-7001</v>
          </cell>
        </row>
        <row r="177">
          <cell r="B177">
            <v>30002420</v>
          </cell>
          <cell r="C177" t="str">
            <v>P5TN-F137F-00</v>
          </cell>
        </row>
        <row r="178">
          <cell r="B178">
            <v>30002945</v>
          </cell>
          <cell r="C178" t="str">
            <v>P50111-KPHL-6900</v>
          </cell>
        </row>
        <row r="179">
          <cell r="B179">
            <v>30002510</v>
          </cell>
          <cell r="C179" t="str">
            <v>P50111-KPHX-7000</v>
          </cell>
        </row>
        <row r="180">
          <cell r="B180">
            <v>30002509</v>
          </cell>
          <cell r="C180" t="str">
            <v>P50136-KGH-9000-H1</v>
          </cell>
        </row>
        <row r="181">
          <cell r="B181">
            <v>30002421</v>
          </cell>
          <cell r="C181" t="str">
            <v>P5TN-F137G</v>
          </cell>
        </row>
        <row r="182">
          <cell r="B182">
            <v>30003382</v>
          </cell>
          <cell r="C182" t="str">
            <v>P641F3 EB70A</v>
          </cell>
        </row>
        <row r="183">
          <cell r="B183">
            <v>30003383</v>
          </cell>
          <cell r="C183" t="str">
            <v>P641F2 EB70A</v>
          </cell>
        </row>
        <row r="184">
          <cell r="B184">
            <v>30002511</v>
          </cell>
          <cell r="C184" t="str">
            <v>P24701-KPWA-9000</v>
          </cell>
        </row>
        <row r="185">
          <cell r="B185">
            <v>30002851</v>
          </cell>
          <cell r="C185" t="str">
            <v>P24700-KPPA-9000</v>
          </cell>
        </row>
        <row r="186">
          <cell r="B186">
            <v>30002400</v>
          </cell>
          <cell r="C186" t="str">
            <v>P5YP-F134E-00</v>
          </cell>
        </row>
        <row r="187">
          <cell r="B187">
            <v>30002947</v>
          </cell>
          <cell r="C187" t="str">
            <v>P5YP-F141A-10</v>
          </cell>
        </row>
        <row r="188">
          <cell r="B188">
            <v>30002884</v>
          </cell>
          <cell r="C188" t="str">
            <v>P5YP-F141E-10</v>
          </cell>
        </row>
        <row r="189">
          <cell r="B189">
            <v>30002803</v>
          </cell>
          <cell r="C189" t="str">
            <v>P1P7-F119M-00</v>
          </cell>
        </row>
        <row r="190">
          <cell r="B190">
            <v>30002732</v>
          </cell>
          <cell r="C190" t="str">
            <v>P5YP-F141E-00</v>
          </cell>
        </row>
        <row r="191">
          <cell r="B191">
            <v>30002736</v>
          </cell>
          <cell r="C191" t="str">
            <v>P5YP-F139G-00</v>
          </cell>
        </row>
        <row r="192">
          <cell r="B192">
            <v>30002873</v>
          </cell>
          <cell r="C192" t="str">
            <v>P5MY-F116K-00</v>
          </cell>
        </row>
        <row r="193">
          <cell r="B193">
            <v>30002393</v>
          </cell>
          <cell r="C193" t="str">
            <v>P5YP-F2150-00</v>
          </cell>
        </row>
        <row r="194">
          <cell r="B194">
            <v>30002748</v>
          </cell>
          <cell r="C194" t="str">
            <v>P5YP-1359-00</v>
          </cell>
        </row>
        <row r="195">
          <cell r="B195">
            <v>30002924</v>
          </cell>
          <cell r="C195" t="str">
            <v>P2005430-03</v>
          </cell>
        </row>
        <row r="196">
          <cell r="B196">
            <v>30002397</v>
          </cell>
          <cell r="C196" t="str">
            <v>P5YP-F2153-00</v>
          </cell>
        </row>
        <row r="197">
          <cell r="B197">
            <v>30002394</v>
          </cell>
          <cell r="C197" t="str">
            <v>P5YP-F2167-00</v>
          </cell>
        </row>
        <row r="198">
          <cell r="B198">
            <v>30002396</v>
          </cell>
          <cell r="C198" t="str">
            <v>P5YP-F2187-00</v>
          </cell>
        </row>
        <row r="199">
          <cell r="B199">
            <v>30002757</v>
          </cell>
          <cell r="C199" t="str">
            <v>P5VV-F1111-00</v>
          </cell>
        </row>
        <row r="200">
          <cell r="B200">
            <v>30002513</v>
          </cell>
          <cell r="C200" t="str">
            <v>P46500-KGHA-900001</v>
          </cell>
        </row>
        <row r="201">
          <cell r="B201">
            <v>30002756</v>
          </cell>
          <cell r="C201" t="str">
            <v>P56H-F2344-00</v>
          </cell>
        </row>
        <row r="202">
          <cell r="B202">
            <v>30002540</v>
          </cell>
          <cell r="C202" t="str">
            <v>P50157-GEZ-3000</v>
          </cell>
        </row>
        <row r="203">
          <cell r="B203">
            <v>30002399</v>
          </cell>
          <cell r="C203" t="str">
            <v>P5YP-F1455-00</v>
          </cell>
        </row>
        <row r="204">
          <cell r="B204">
            <v>30002541</v>
          </cell>
          <cell r="C204" t="str">
            <v>P50156-GEZ-3000</v>
          </cell>
        </row>
        <row r="205">
          <cell r="B205">
            <v>30002567</v>
          </cell>
          <cell r="C205" t="str">
            <v>P50133-KPH7000H101</v>
          </cell>
        </row>
        <row r="206">
          <cell r="B206">
            <v>30002808</v>
          </cell>
          <cell r="C206" t="str">
            <v>P5TN-F116E-00</v>
          </cell>
        </row>
        <row r="207">
          <cell r="B207">
            <v>30002395</v>
          </cell>
          <cell r="C207" t="str">
            <v>P5YP-F2132-00</v>
          </cell>
        </row>
        <row r="208">
          <cell r="B208">
            <v>30002402</v>
          </cell>
          <cell r="C208" t="str">
            <v>P5YP-F144F-00</v>
          </cell>
        </row>
        <row r="209">
          <cell r="B209">
            <v>30002740</v>
          </cell>
          <cell r="C209" t="str">
            <v>P1P7-F139N-00</v>
          </cell>
        </row>
        <row r="210">
          <cell r="B210">
            <v>30002501</v>
          </cell>
          <cell r="C210" t="str">
            <v>P2500188-02</v>
          </cell>
        </row>
        <row r="211">
          <cell r="B211">
            <v>30002183</v>
          </cell>
          <cell r="C211" t="str">
            <v>P1P7-F1249-00</v>
          </cell>
        </row>
        <row r="212">
          <cell r="B212">
            <v>30003202</v>
          </cell>
          <cell r="C212" t="str">
            <v>P4NR-F2163-00</v>
          </cell>
        </row>
        <row r="213">
          <cell r="B213">
            <v>30002453</v>
          </cell>
          <cell r="C213" t="str">
            <v>P5TN-F134V-00</v>
          </cell>
        </row>
        <row r="214">
          <cell r="B214">
            <v>30002413</v>
          </cell>
          <cell r="C214" t="str">
            <v>P5XV-F2163-00</v>
          </cell>
        </row>
        <row r="215">
          <cell r="B215">
            <v>30002187</v>
          </cell>
          <cell r="C215" t="str">
            <v>P1P7-F134M-00</v>
          </cell>
        </row>
        <row r="216">
          <cell r="B216">
            <v>30002415</v>
          </cell>
          <cell r="C216" t="str">
            <v>P5VV-E4718-00-2</v>
          </cell>
        </row>
        <row r="217">
          <cell r="B217">
            <v>30002158</v>
          </cell>
          <cell r="C217" t="str">
            <v>P5VV-F148U-00</v>
          </cell>
        </row>
        <row r="218">
          <cell r="B218">
            <v>30002753</v>
          </cell>
          <cell r="C218" t="str">
            <v>P5YP-F141A-00</v>
          </cell>
        </row>
        <row r="219">
          <cell r="B219">
            <v>30002758</v>
          </cell>
          <cell r="C219" t="str">
            <v>P1P7-F116M-00</v>
          </cell>
        </row>
        <row r="220">
          <cell r="B220">
            <v>30002916</v>
          </cell>
          <cell r="C220" t="str">
            <v>P5YW-F139N-00</v>
          </cell>
        </row>
        <row r="221">
          <cell r="B221">
            <v>30002188</v>
          </cell>
          <cell r="C221" t="str">
            <v>P1P7-E471K-00</v>
          </cell>
        </row>
        <row r="222">
          <cell r="B222">
            <v>73000490</v>
          </cell>
          <cell r="C222" t="str">
            <v>P5MY-F1239-00</v>
          </cell>
        </row>
        <row r="223">
          <cell r="B223">
            <v>30002416</v>
          </cell>
          <cell r="C223" t="str">
            <v>P5VV-E4718-00-3</v>
          </cell>
        </row>
        <row r="224">
          <cell r="B224">
            <v>30002157</v>
          </cell>
          <cell r="C224" t="str">
            <v>P5VV-F148V-00</v>
          </cell>
        </row>
        <row r="225">
          <cell r="B225">
            <v>30002414</v>
          </cell>
          <cell r="C225" t="str">
            <v>P55G-F2164-00</v>
          </cell>
        </row>
        <row r="226">
          <cell r="B226">
            <v>30002161</v>
          </cell>
          <cell r="C226" t="str">
            <v>P5VV-F148X-00</v>
          </cell>
        </row>
        <row r="227">
          <cell r="B227">
            <v>30002146</v>
          </cell>
          <cell r="C227" t="str">
            <v>P5MY-F139G-00</v>
          </cell>
        </row>
        <row r="228">
          <cell r="B228">
            <v>30002148</v>
          </cell>
          <cell r="C228" t="str">
            <v>P5MY-F139H-00</v>
          </cell>
        </row>
        <row r="229">
          <cell r="B229">
            <v>30002194</v>
          </cell>
          <cell r="C229" t="str">
            <v>P5YP-F139H-00</v>
          </cell>
        </row>
        <row r="230">
          <cell r="B230">
            <v>30002862</v>
          </cell>
          <cell r="C230" t="str">
            <v>P5YP-F149T-00</v>
          </cell>
        </row>
        <row r="231">
          <cell r="B231">
            <v>30002184</v>
          </cell>
          <cell r="C231" t="str">
            <v>P1P7-F116J-00</v>
          </cell>
        </row>
        <row r="232">
          <cell r="B232">
            <v>30002739</v>
          </cell>
          <cell r="C232" t="str">
            <v>P1P7-F116L-00</v>
          </cell>
        </row>
        <row r="233">
          <cell r="B233">
            <v>30002406</v>
          </cell>
          <cell r="C233" t="str">
            <v>P5MY-F139L-00</v>
          </cell>
        </row>
        <row r="234">
          <cell r="B234">
            <v>30002454</v>
          </cell>
          <cell r="C234" t="str">
            <v>P5TN-F1393-00</v>
          </cell>
        </row>
        <row r="235">
          <cell r="B235">
            <v>30002178</v>
          </cell>
          <cell r="C235" t="str">
            <v>P5TN-F1177-00</v>
          </cell>
        </row>
        <row r="236">
          <cell r="B236">
            <v>30002189</v>
          </cell>
          <cell r="C236" t="str">
            <v>P1P7-F1369-00</v>
          </cell>
        </row>
        <row r="237">
          <cell r="B237">
            <v>30002794</v>
          </cell>
          <cell r="C237" t="str">
            <v>P5TN-F1381-00</v>
          </cell>
        </row>
        <row r="238">
          <cell r="B238">
            <v>30002792</v>
          </cell>
          <cell r="C238" t="str">
            <v>P5TN-F1382-00</v>
          </cell>
        </row>
        <row r="239">
          <cell r="B239">
            <v>30002165</v>
          </cell>
          <cell r="C239" t="str">
            <v>P5VV-F287-00</v>
          </cell>
        </row>
        <row r="240">
          <cell r="B240">
            <v>30002143</v>
          </cell>
          <cell r="C240" t="str">
            <v>P5MY-F1382-00</v>
          </cell>
        </row>
        <row r="241">
          <cell r="B241">
            <v>30002144</v>
          </cell>
          <cell r="C241" t="str">
            <v>P5MY-F1381-00</v>
          </cell>
        </row>
        <row r="242">
          <cell r="B242">
            <v>73000450</v>
          </cell>
          <cell r="C242" t="str">
            <v>P5MY-F189A-00</v>
          </cell>
        </row>
        <row r="243">
          <cell r="B243">
            <v>30002463</v>
          </cell>
          <cell r="C243" t="str">
            <v>P2305600-07</v>
          </cell>
        </row>
        <row r="244">
          <cell r="B244">
            <v>30002455</v>
          </cell>
          <cell r="C244" t="str">
            <v>P4YS-F111A-00</v>
          </cell>
        </row>
        <row r="245">
          <cell r="B245">
            <v>30002389</v>
          </cell>
          <cell r="C245" t="str">
            <v>P5MY-F1336-00</v>
          </cell>
        </row>
        <row r="246">
          <cell r="B246">
            <v>30002921</v>
          </cell>
          <cell r="C246" t="str">
            <v>P2057364-02</v>
          </cell>
        </row>
        <row r="247">
          <cell r="B247">
            <v>30002804</v>
          </cell>
          <cell r="C247" t="str">
            <v>P5YP-F3596-00</v>
          </cell>
        </row>
        <row r="248">
          <cell r="B248">
            <v>30002407</v>
          </cell>
          <cell r="C248" t="str">
            <v>P5MY-F6393-00</v>
          </cell>
        </row>
        <row r="249">
          <cell r="B249">
            <v>73000456</v>
          </cell>
          <cell r="C249" t="str">
            <v>P5MY-F139V-00</v>
          </cell>
        </row>
        <row r="250">
          <cell r="B250">
            <v>30002411</v>
          </cell>
          <cell r="C250" t="str">
            <v>P2PO-F5355-0000-1B</v>
          </cell>
        </row>
        <row r="251">
          <cell r="B251">
            <v>30003027</v>
          </cell>
          <cell r="C251" t="str">
            <v>P23U-F5155</v>
          </cell>
        </row>
        <row r="252">
          <cell r="B252">
            <v>73000458</v>
          </cell>
          <cell r="C252" t="str">
            <v>P5MY-F121E-00</v>
          </cell>
        </row>
        <row r="253">
          <cell r="B253">
            <v>30002755</v>
          </cell>
          <cell r="C253" t="str">
            <v>P5VV-F111H-00</v>
          </cell>
        </row>
        <row r="254">
          <cell r="B254">
            <v>30002467</v>
          </cell>
          <cell r="C254" t="str">
            <v>P2081015-02</v>
          </cell>
        </row>
        <row r="255">
          <cell r="B255">
            <v>30002190</v>
          </cell>
          <cell r="C255" t="str">
            <v>P5TN-F539F-00-1</v>
          </cell>
        </row>
        <row r="256">
          <cell r="B256">
            <v>30002191</v>
          </cell>
          <cell r="C256" t="str">
            <v>P5TN-F539F-00-2</v>
          </cell>
        </row>
        <row r="257">
          <cell r="B257">
            <v>30002156</v>
          </cell>
          <cell r="C257" t="str">
            <v>P5MY-F145B-00</v>
          </cell>
        </row>
        <row r="258">
          <cell r="B258">
            <v>30002412</v>
          </cell>
          <cell r="C258" t="str">
            <v>P5XV-F3472-00</v>
          </cell>
        </row>
        <row r="259">
          <cell r="B259">
            <v>30002920</v>
          </cell>
          <cell r="C259" t="str">
            <v>P2057364-03</v>
          </cell>
        </row>
        <row r="260">
          <cell r="B260">
            <v>30002460</v>
          </cell>
          <cell r="C260" t="str">
            <v>P4NR-F2112-01</v>
          </cell>
        </row>
        <row r="261">
          <cell r="B261">
            <v>30002461</v>
          </cell>
          <cell r="C261" t="str">
            <v>P4NR-F2112-00</v>
          </cell>
        </row>
        <row r="262">
          <cell r="B262">
            <v>30002466</v>
          </cell>
          <cell r="C262" t="str">
            <v>P2305620-02</v>
          </cell>
        </row>
        <row r="263">
          <cell r="B263">
            <v>30002472</v>
          </cell>
          <cell r="C263" t="str">
            <v>P2305620-02</v>
          </cell>
        </row>
        <row r="264">
          <cell r="B264">
            <v>30002877</v>
          </cell>
          <cell r="C264" t="str">
            <v>P5VV-F1117-00</v>
          </cell>
        </row>
        <row r="265">
          <cell r="B265">
            <v>30002512</v>
          </cell>
          <cell r="C265" t="str">
            <v>P50155-KPHX-7000</v>
          </cell>
        </row>
        <row r="266">
          <cell r="B266">
            <v>30002171</v>
          </cell>
          <cell r="C266" t="str">
            <v>P5TN-F142G-00</v>
          </cell>
        </row>
        <row r="267">
          <cell r="B267">
            <v>30002409</v>
          </cell>
          <cell r="C267" t="str">
            <v>P5TN-F1318-00</v>
          </cell>
        </row>
        <row r="268">
          <cell r="B268">
            <v>30002198</v>
          </cell>
          <cell r="C268" t="str">
            <v>P5TN-F1446-00</v>
          </cell>
        </row>
        <row r="269">
          <cell r="B269">
            <v>30002172</v>
          </cell>
          <cell r="C269" t="str">
            <v>P5YP-F1446</v>
          </cell>
        </row>
        <row r="270">
          <cell r="B270">
            <v>30002791</v>
          </cell>
          <cell r="C270" t="str">
            <v>P5TN-F1445-00</v>
          </cell>
        </row>
        <row r="271">
          <cell r="B271">
            <v>30002482</v>
          </cell>
          <cell r="C271" t="str">
            <v>P50123KGHA9000-H1</v>
          </cell>
        </row>
        <row r="272">
          <cell r="B272">
            <v>30002483</v>
          </cell>
          <cell r="C272" t="str">
            <v>P50229-KGHA-9000H1</v>
          </cell>
        </row>
        <row r="273">
          <cell r="B273">
            <v>30002167</v>
          </cell>
          <cell r="C273" t="str">
            <v>P5VV-F149E-00</v>
          </cell>
        </row>
        <row r="274">
          <cell r="B274">
            <v>30002181</v>
          </cell>
          <cell r="C274" t="str">
            <v>P1P7-F7314-00-001B</v>
          </cell>
        </row>
        <row r="275">
          <cell r="B275">
            <v>30002456</v>
          </cell>
          <cell r="C275" t="str">
            <v>P5TN-F7314-00</v>
          </cell>
        </row>
        <row r="276">
          <cell r="B276">
            <v>30002465</v>
          </cell>
          <cell r="C276" t="str">
            <v>P2500188-03</v>
          </cell>
        </row>
        <row r="277">
          <cell r="B277">
            <v>30002200</v>
          </cell>
          <cell r="C277" t="str">
            <v>P53100 - HP2A - 670002</v>
          </cell>
        </row>
        <row r="278">
          <cell r="B278">
            <v>30002201</v>
          </cell>
          <cell r="C278" t="str">
            <v>P53100 - HP2A - 670121</v>
          </cell>
        </row>
        <row r="279">
          <cell r="B279">
            <v>30002850</v>
          </cell>
          <cell r="C279" t="str">
            <v>P24701-GN5-7300</v>
          </cell>
        </row>
        <row r="280">
          <cell r="B280">
            <v>30002475</v>
          </cell>
          <cell r="C280" t="str">
            <v>P50112-KPH-9002-H1</v>
          </cell>
        </row>
        <row r="281">
          <cell r="B281">
            <v>30002571</v>
          </cell>
          <cell r="C281" t="str">
            <v>P53108-KRS-6900-01</v>
          </cell>
        </row>
        <row r="282">
          <cell r="B282">
            <v>30002159</v>
          </cell>
          <cell r="C282" t="str">
            <v>P5VV-F139N-00</v>
          </cell>
        </row>
        <row r="283">
          <cell r="B283">
            <v>30002193</v>
          </cell>
          <cell r="C283" t="str">
            <v>P5YW-F138K-00</v>
          </cell>
        </row>
        <row r="284">
          <cell r="B284">
            <v>30002192</v>
          </cell>
          <cell r="C284" t="str">
            <v>P5YW-F164J-00</v>
          </cell>
        </row>
        <row r="285">
          <cell r="B285">
            <v>30002931</v>
          </cell>
          <cell r="C285" t="str">
            <v>P11045-1696</v>
          </cell>
        </row>
        <row r="286">
          <cell r="B286">
            <v>30002967</v>
          </cell>
          <cell r="C286" t="str">
            <v>P2S5-E4758-00-2</v>
          </cell>
        </row>
        <row r="287">
          <cell r="B287">
            <v>30002876</v>
          </cell>
          <cell r="C287" t="str">
            <v>P5HV-F7412-00</v>
          </cell>
        </row>
        <row r="288">
          <cell r="B288">
            <v>30002186</v>
          </cell>
          <cell r="C288" t="str">
            <v>P1P7-F131L-00</v>
          </cell>
        </row>
        <row r="289">
          <cell r="B289">
            <v>30002408</v>
          </cell>
          <cell r="C289" t="str">
            <v>P5TN-F1317-00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08"/>
      <sheetName val="data 01-08"/>
      <sheetName val="TOTAL FORECAST"/>
      <sheetName val="Sheet1"/>
      <sheetName val="02-08"/>
    </sheetNames>
    <sheetDataSet>
      <sheetData sheetId="0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 GOOD"/>
      <sheetName val="RM RECOIL"/>
      <sheetName val="RM NC"/>
      <sheetName val="FG ปกติ"/>
      <sheetName val="FG เกิน DUE"/>
      <sheetName val="SEMI SHEET"/>
      <sheetName val="SEMI SLIT"/>
      <sheetName val="SEMI WIP"/>
      <sheetName val="DEFECT"/>
      <sheetName val="DEFECT GR5"/>
      <sheetName val="DEFECT GRB"/>
      <sheetName val="NC"/>
      <sheetName val="SCARP"/>
      <sheetName val="Sheet1"/>
      <sheetName val="TSR ISS"/>
      <sheetName val="TRR จอง"/>
      <sheetName val="RM ALL"/>
      <sheetName val="3 TS R&amp;D UPDATE "/>
      <sheetName val=" 2 TS R&amp;D "/>
      <sheetName val="1  TS R&amp;D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Lot/Serial</v>
          </cell>
          <cell r="D1" t="str">
            <v>TYPE</v>
          </cell>
          <cell r="E1" t="str">
            <v>Spec</v>
          </cell>
          <cell r="F1" t="str">
            <v>T</v>
          </cell>
          <cell r="G1" t="str">
            <v>W</v>
          </cell>
          <cell r="H1" t="str">
            <v>L</v>
          </cell>
          <cell r="I1" t="str">
            <v>Location</v>
          </cell>
          <cell r="J1" t="str">
            <v>Lot/Serial</v>
          </cell>
          <cell r="K1" t="str">
            <v>On Hand</v>
          </cell>
          <cell r="L1" t="str">
            <v>Remarks</v>
          </cell>
        </row>
        <row r="2">
          <cell r="A2">
            <v>63456</v>
          </cell>
          <cell r="B2" t="str">
            <v>CR SPCC-SD 1.0x82xC</v>
          </cell>
          <cell r="C2" t="str">
            <v>CR SPCC-SD</v>
          </cell>
          <cell r="D2" t="str">
            <v>CR</v>
          </cell>
          <cell r="E2" t="str">
            <v>SPCC-SD</v>
          </cell>
          <cell r="F2">
            <v>1</v>
          </cell>
          <cell r="G2">
            <v>82</v>
          </cell>
          <cell r="H2" t="str">
            <v>C</v>
          </cell>
          <cell r="I2" t="str">
            <v>CS01/11</v>
          </cell>
          <cell r="J2">
            <v>63456</v>
          </cell>
          <cell r="K2">
            <v>160</v>
          </cell>
          <cell r="L2" t="str">
            <v>E1-ND-06-TSA-0362</v>
          </cell>
        </row>
        <row r="3">
          <cell r="A3">
            <v>110045</v>
          </cell>
          <cell r="D3" t="str">
            <v>CR</v>
          </cell>
          <cell r="E3" t="str">
            <v>SPCC-SD</v>
          </cell>
          <cell r="F3">
            <v>1.2</v>
          </cell>
          <cell r="G3">
            <v>95</v>
          </cell>
          <cell r="H3">
            <v>126</v>
          </cell>
          <cell r="I3" t="str">
            <v>DS01/1</v>
          </cell>
          <cell r="J3">
            <v>110045</v>
          </cell>
          <cell r="K3">
            <v>30</v>
          </cell>
        </row>
        <row r="4">
          <cell r="A4">
            <v>110046</v>
          </cell>
          <cell r="D4" t="str">
            <v>CR</v>
          </cell>
          <cell r="E4" t="str">
            <v>SPCC-SD</v>
          </cell>
          <cell r="F4">
            <v>1.2</v>
          </cell>
          <cell r="G4">
            <v>95</v>
          </cell>
          <cell r="H4">
            <v>126</v>
          </cell>
          <cell r="I4" t="str">
            <v>DS01/1</v>
          </cell>
          <cell r="J4">
            <v>110046</v>
          </cell>
          <cell r="K4">
            <v>45</v>
          </cell>
        </row>
        <row r="5">
          <cell r="A5">
            <v>110302</v>
          </cell>
          <cell r="B5" t="str">
            <v>CR SPCC-SD 2.0x60x1219</v>
          </cell>
          <cell r="C5" t="str">
            <v>CR SPCC-SD</v>
          </cell>
          <cell r="D5" t="str">
            <v>CR</v>
          </cell>
          <cell r="E5" t="str">
            <v>SPCC-SD</v>
          </cell>
          <cell r="F5">
            <v>2</v>
          </cell>
          <cell r="G5">
            <v>60</v>
          </cell>
          <cell r="H5">
            <v>1219</v>
          </cell>
          <cell r="I5" t="str">
            <v>DS01/1</v>
          </cell>
          <cell r="J5">
            <v>110302</v>
          </cell>
          <cell r="K5">
            <v>10</v>
          </cell>
          <cell r="L5" t="str">
            <v>E2-ND-06-TSA-0152</v>
          </cell>
        </row>
        <row r="6">
          <cell r="A6">
            <v>110399</v>
          </cell>
          <cell r="D6" t="str">
            <v>CR</v>
          </cell>
          <cell r="E6" t="str">
            <v>SPCC-SD</v>
          </cell>
          <cell r="F6">
            <v>0.6</v>
          </cell>
          <cell r="G6">
            <v>294</v>
          </cell>
          <cell r="H6">
            <v>660</v>
          </cell>
          <cell r="I6" t="str">
            <v>DS01/1</v>
          </cell>
          <cell r="J6">
            <v>110399</v>
          </cell>
          <cell r="K6">
            <v>76</v>
          </cell>
        </row>
        <row r="7">
          <cell r="A7">
            <v>110553</v>
          </cell>
          <cell r="D7" t="str">
            <v>CR</v>
          </cell>
          <cell r="E7" t="str">
            <v>SPCC-SD</v>
          </cell>
          <cell r="F7">
            <v>1.6</v>
          </cell>
          <cell r="G7">
            <v>140</v>
          </cell>
          <cell r="H7">
            <v>922</v>
          </cell>
          <cell r="I7" t="str">
            <v>DS01/1</v>
          </cell>
          <cell r="J7">
            <v>110553</v>
          </cell>
          <cell r="K7">
            <v>194</v>
          </cell>
        </row>
        <row r="8">
          <cell r="A8">
            <v>20031019</v>
          </cell>
          <cell r="D8" t="str">
            <v>PO</v>
          </cell>
          <cell r="E8" t="str">
            <v>SPHC P/O</v>
          </cell>
          <cell r="F8">
            <v>2</v>
          </cell>
          <cell r="G8">
            <v>72</v>
          </cell>
          <cell r="H8">
            <v>1219</v>
          </cell>
          <cell r="I8" t="str">
            <v>OW01/1</v>
          </cell>
          <cell r="J8">
            <v>20031019</v>
          </cell>
          <cell r="K8">
            <v>140</v>
          </cell>
        </row>
        <row r="9">
          <cell r="A9">
            <v>20041193</v>
          </cell>
          <cell r="D9" t="str">
            <v>CR</v>
          </cell>
          <cell r="E9" t="str">
            <v>SPCC-SD</v>
          </cell>
          <cell r="F9">
            <v>1.5</v>
          </cell>
          <cell r="G9">
            <v>1219</v>
          </cell>
          <cell r="H9">
            <v>2146</v>
          </cell>
          <cell r="I9" t="str">
            <v>CW00</v>
          </cell>
          <cell r="J9">
            <v>20041193</v>
          </cell>
          <cell r="K9">
            <v>640</v>
          </cell>
        </row>
        <row r="10">
          <cell r="A10">
            <v>20042644</v>
          </cell>
          <cell r="B10" t="str">
            <v>PO SPHC P/O 3.20x1219x2438</v>
          </cell>
          <cell r="C10" t="str">
            <v>PO SPHC P/O</v>
          </cell>
          <cell r="D10" t="str">
            <v>PO</v>
          </cell>
          <cell r="E10" t="str">
            <v>SPHC P/O</v>
          </cell>
          <cell r="F10">
            <v>3.2</v>
          </cell>
          <cell r="G10">
            <v>1219</v>
          </cell>
          <cell r="H10">
            <v>2438</v>
          </cell>
          <cell r="I10" t="str">
            <v>GRB</v>
          </cell>
          <cell r="J10">
            <v>20042644</v>
          </cell>
          <cell r="K10">
            <v>3063</v>
          </cell>
          <cell r="L10" t="str">
            <v>E1-ND-06-TSA-0369</v>
          </cell>
        </row>
        <row r="11">
          <cell r="A11">
            <v>20043459</v>
          </cell>
          <cell r="B11" t="str">
            <v>PO SPHC P/O 5.0x1219x2438</v>
          </cell>
          <cell r="C11" t="str">
            <v>PO SPHC P/O</v>
          </cell>
          <cell r="D11" t="str">
            <v>PO</v>
          </cell>
          <cell r="E11" t="str">
            <v>SPHC P/O</v>
          </cell>
          <cell r="F11">
            <v>5</v>
          </cell>
          <cell r="G11">
            <v>1219</v>
          </cell>
          <cell r="H11">
            <v>2438</v>
          </cell>
          <cell r="I11" t="str">
            <v>GRB</v>
          </cell>
          <cell r="J11">
            <v>20043459</v>
          </cell>
          <cell r="K11">
            <v>3504</v>
          </cell>
          <cell r="L11" t="str">
            <v>E1-ND-06-TSA-0370</v>
          </cell>
        </row>
        <row r="12">
          <cell r="A12">
            <v>20044619</v>
          </cell>
          <cell r="D12" t="str">
            <v>CR</v>
          </cell>
          <cell r="E12" t="str">
            <v>SPCC-SD</v>
          </cell>
          <cell r="F12">
            <v>3</v>
          </cell>
          <cell r="G12">
            <v>845</v>
          </cell>
          <cell r="H12">
            <v>1170</v>
          </cell>
          <cell r="I12" t="str">
            <v>CW00</v>
          </cell>
          <cell r="J12">
            <v>20044619</v>
          </cell>
          <cell r="K12">
            <v>233</v>
          </cell>
        </row>
        <row r="13">
          <cell r="A13">
            <v>20045961</v>
          </cell>
          <cell r="B13" t="str">
            <v>PO SPHC P/O 4.50x1219x2438</v>
          </cell>
          <cell r="C13" t="str">
            <v>PO SPHC P/O</v>
          </cell>
          <cell r="D13" t="str">
            <v>PO</v>
          </cell>
          <cell r="E13" t="str">
            <v>SPHC P/O</v>
          </cell>
          <cell r="F13">
            <v>4.5</v>
          </cell>
          <cell r="G13">
            <v>1219</v>
          </cell>
          <cell r="H13">
            <v>2438</v>
          </cell>
          <cell r="I13" t="str">
            <v>GRB</v>
          </cell>
          <cell r="J13">
            <v>20045961</v>
          </cell>
          <cell r="K13">
            <v>1994</v>
          </cell>
          <cell r="L13" t="str">
            <v>E1-ND-06-TSA-0370</v>
          </cell>
        </row>
        <row r="14">
          <cell r="A14">
            <v>20046968</v>
          </cell>
          <cell r="B14" t="str">
            <v>PO SPHC P/O 4.50x1219x2438</v>
          </cell>
          <cell r="C14" t="str">
            <v>PO SPHC P/O</v>
          </cell>
          <cell r="D14" t="str">
            <v>PO</v>
          </cell>
          <cell r="E14" t="str">
            <v>SPHC P/O</v>
          </cell>
          <cell r="F14">
            <v>4.5</v>
          </cell>
          <cell r="G14">
            <v>1219</v>
          </cell>
          <cell r="H14">
            <v>2438</v>
          </cell>
          <cell r="I14" t="str">
            <v>GRB</v>
          </cell>
          <cell r="J14">
            <v>20046968</v>
          </cell>
          <cell r="K14">
            <v>1790</v>
          </cell>
          <cell r="L14" t="str">
            <v>E1-ND-06-TSA-0371</v>
          </cell>
        </row>
        <row r="15">
          <cell r="A15">
            <v>20046978</v>
          </cell>
          <cell r="B15" t="str">
            <v>PO SPHC P/O 4.50x1219x2438</v>
          </cell>
          <cell r="C15" t="str">
            <v>PO SPHC P/O</v>
          </cell>
          <cell r="D15" t="str">
            <v>PO</v>
          </cell>
          <cell r="E15" t="str">
            <v>SPHC P/O</v>
          </cell>
          <cell r="F15">
            <v>4.5</v>
          </cell>
          <cell r="G15">
            <v>1219</v>
          </cell>
          <cell r="H15">
            <v>2438</v>
          </cell>
          <cell r="I15" t="str">
            <v>GRB</v>
          </cell>
          <cell r="J15">
            <v>20046978</v>
          </cell>
          <cell r="K15">
            <v>2640</v>
          </cell>
          <cell r="L15" t="str">
            <v>E1-ND-06-TSA-0371</v>
          </cell>
        </row>
        <row r="16">
          <cell r="A16">
            <v>20046979</v>
          </cell>
          <cell r="B16" t="str">
            <v>PO SPHC P/O 4.50x1219x2438</v>
          </cell>
          <cell r="C16" t="str">
            <v>PO SPHC P/O</v>
          </cell>
          <cell r="D16" t="str">
            <v>PO</v>
          </cell>
          <cell r="E16" t="str">
            <v>SPHC P/O</v>
          </cell>
          <cell r="F16">
            <v>4.5</v>
          </cell>
          <cell r="G16">
            <v>1219</v>
          </cell>
          <cell r="H16">
            <v>2438</v>
          </cell>
          <cell r="I16" t="str">
            <v>GRB</v>
          </cell>
          <cell r="J16">
            <v>20046979</v>
          </cell>
          <cell r="K16">
            <v>1754</v>
          </cell>
          <cell r="L16" t="str">
            <v>E1-ND-06-TSA-0372</v>
          </cell>
        </row>
        <row r="17">
          <cell r="A17">
            <v>20048405</v>
          </cell>
          <cell r="D17" t="str">
            <v>CR</v>
          </cell>
          <cell r="E17" t="str">
            <v>SPCC-SD</v>
          </cell>
          <cell r="F17">
            <v>1.4</v>
          </cell>
          <cell r="G17">
            <v>41</v>
          </cell>
          <cell r="H17">
            <v>1219</v>
          </cell>
          <cell r="I17" t="str">
            <v>OW01/1</v>
          </cell>
          <cell r="J17">
            <v>20048405</v>
          </cell>
          <cell r="K17">
            <v>107</v>
          </cell>
        </row>
        <row r="18">
          <cell r="A18">
            <v>20048909</v>
          </cell>
          <cell r="B18" t="str">
            <v>PO SPHC P/O 2.6x1219x2438</v>
          </cell>
          <cell r="C18" t="str">
            <v>PO SPHC P/O</v>
          </cell>
          <cell r="D18" t="str">
            <v>PO</v>
          </cell>
          <cell r="E18" t="str">
            <v>SPHC P/O</v>
          </cell>
          <cell r="F18">
            <v>2.6</v>
          </cell>
          <cell r="G18">
            <v>1219</v>
          </cell>
          <cell r="H18">
            <v>2438</v>
          </cell>
          <cell r="I18" t="str">
            <v>GRB</v>
          </cell>
          <cell r="J18">
            <v>20048909</v>
          </cell>
          <cell r="K18">
            <v>1417</v>
          </cell>
          <cell r="L18" t="str">
            <v>E1-ND-06-TSA-0372</v>
          </cell>
        </row>
        <row r="19">
          <cell r="A19">
            <v>20049092</v>
          </cell>
          <cell r="B19" t="str">
            <v>PO SPHC P/O 5.0x1219x2438</v>
          </cell>
          <cell r="C19" t="str">
            <v>PO SPHC P/O</v>
          </cell>
          <cell r="D19" t="str">
            <v>PO</v>
          </cell>
          <cell r="E19" t="str">
            <v>SPHC P/O</v>
          </cell>
          <cell r="F19">
            <v>5</v>
          </cell>
          <cell r="G19">
            <v>1219</v>
          </cell>
          <cell r="H19">
            <v>2438</v>
          </cell>
          <cell r="I19" t="str">
            <v>GRB</v>
          </cell>
          <cell r="J19">
            <v>20049092</v>
          </cell>
          <cell r="K19">
            <v>1531</v>
          </cell>
          <cell r="L19" t="str">
            <v>E1-ND-06-TSA-0373</v>
          </cell>
        </row>
        <row r="20">
          <cell r="A20">
            <v>20049446</v>
          </cell>
          <cell r="B20" t="str">
            <v>CR SPCC-SD 2.3x1219x2438</v>
          </cell>
          <cell r="C20" t="str">
            <v>CR SPCC-SD</v>
          </cell>
          <cell r="D20" t="str">
            <v>CR</v>
          </cell>
          <cell r="E20" t="str">
            <v>SPCC-SD</v>
          </cell>
          <cell r="F20">
            <v>2.2999999999999998</v>
          </cell>
          <cell r="G20">
            <v>1219</v>
          </cell>
          <cell r="H20">
            <v>2438</v>
          </cell>
          <cell r="I20" t="str">
            <v>GRB</v>
          </cell>
          <cell r="J20">
            <v>20049446</v>
          </cell>
          <cell r="K20">
            <v>2414</v>
          </cell>
          <cell r="L20" t="str">
            <v>E1-ND-06-TSA-0373</v>
          </cell>
        </row>
        <row r="21">
          <cell r="A21">
            <v>20049602</v>
          </cell>
          <cell r="B21" t="str">
            <v>CR SPCC-SD 2.6x1219x2438</v>
          </cell>
          <cell r="C21" t="str">
            <v>CR SPCC-SD</v>
          </cell>
          <cell r="D21" t="str">
            <v>CR</v>
          </cell>
          <cell r="E21" t="str">
            <v>SPCC-SD</v>
          </cell>
          <cell r="F21">
            <v>2.6</v>
          </cell>
          <cell r="G21">
            <v>1219</v>
          </cell>
          <cell r="H21">
            <v>2438</v>
          </cell>
          <cell r="I21" t="str">
            <v>GRB</v>
          </cell>
          <cell r="J21">
            <v>20049602</v>
          </cell>
          <cell r="K21">
            <v>425</v>
          </cell>
          <cell r="L21" t="str">
            <v>E2-NJ-06-TSA-0080</v>
          </cell>
        </row>
        <row r="22">
          <cell r="A22">
            <v>20051617</v>
          </cell>
          <cell r="B22" t="str">
            <v>CR SPCC-SD 2.3x1219x2438</v>
          </cell>
          <cell r="C22" t="str">
            <v>CR SPCC-SD</v>
          </cell>
          <cell r="D22" t="str">
            <v>CR</v>
          </cell>
          <cell r="E22" t="str">
            <v>SPCC-SD</v>
          </cell>
          <cell r="F22">
            <v>2.2999999999999998</v>
          </cell>
          <cell r="G22">
            <v>1219</v>
          </cell>
          <cell r="H22">
            <v>2438</v>
          </cell>
          <cell r="I22" t="str">
            <v>GRB</v>
          </cell>
          <cell r="J22">
            <v>20051617</v>
          </cell>
          <cell r="K22">
            <v>912</v>
          </cell>
          <cell r="L22" t="str">
            <v>E1-ND-06-TSA-0373</v>
          </cell>
        </row>
        <row r="23">
          <cell r="A23">
            <v>20051719</v>
          </cell>
          <cell r="B23" t="str">
            <v>PO SAPH440 P/O 4.0x1219x2438</v>
          </cell>
          <cell r="C23" t="str">
            <v>PO SAPH440 P/O</v>
          </cell>
          <cell r="D23" t="str">
            <v>PO</v>
          </cell>
          <cell r="E23" t="str">
            <v>SAPH440 P/O</v>
          </cell>
          <cell r="F23">
            <v>4</v>
          </cell>
          <cell r="G23">
            <v>1219</v>
          </cell>
          <cell r="H23">
            <v>2438</v>
          </cell>
          <cell r="I23" t="str">
            <v>GRB</v>
          </cell>
          <cell r="J23">
            <v>20051719</v>
          </cell>
          <cell r="K23">
            <v>651</v>
          </cell>
          <cell r="L23" t="str">
            <v>E1-ND-06-TSA-0373</v>
          </cell>
        </row>
        <row r="24">
          <cell r="A24">
            <v>20051873</v>
          </cell>
          <cell r="B24" t="str">
            <v>CR SPCC-SD 2.3x1219x2438</v>
          </cell>
          <cell r="C24" t="str">
            <v>CR SPCC-SD</v>
          </cell>
          <cell r="D24" t="str">
            <v>CR</v>
          </cell>
          <cell r="E24" t="str">
            <v>SPCC-SD</v>
          </cell>
          <cell r="F24">
            <v>2.2999999999999998</v>
          </cell>
          <cell r="G24">
            <v>1219</v>
          </cell>
          <cell r="H24">
            <v>2438</v>
          </cell>
          <cell r="I24" t="str">
            <v>GRB</v>
          </cell>
          <cell r="J24">
            <v>20051873</v>
          </cell>
          <cell r="K24">
            <v>592</v>
          </cell>
          <cell r="L24" t="str">
            <v>E1-ND-06-TSA-0373</v>
          </cell>
        </row>
        <row r="25">
          <cell r="A25">
            <v>20052069</v>
          </cell>
          <cell r="B25" t="str">
            <v>PO SPHC P/O 2.6x1219x2438</v>
          </cell>
          <cell r="C25" t="str">
            <v>PO SPHC P/O</v>
          </cell>
          <cell r="D25" t="str">
            <v>PO</v>
          </cell>
          <cell r="E25" t="str">
            <v>SPHC P/O</v>
          </cell>
          <cell r="F25">
            <v>2.6</v>
          </cell>
          <cell r="G25">
            <v>1219</v>
          </cell>
          <cell r="H25">
            <v>2438</v>
          </cell>
          <cell r="I25" t="str">
            <v>GRB</v>
          </cell>
          <cell r="J25">
            <v>20052069</v>
          </cell>
          <cell r="K25">
            <v>1460</v>
          </cell>
          <cell r="L25" t="str">
            <v>E1-ND-06-TSA-0374</v>
          </cell>
        </row>
        <row r="26">
          <cell r="A26">
            <v>20052418</v>
          </cell>
          <cell r="B26" t="str">
            <v>CR SPCC-SD 2.3x1219x2438</v>
          </cell>
          <cell r="C26" t="str">
            <v>CR SPCC-SD</v>
          </cell>
          <cell r="D26" t="str">
            <v>CR</v>
          </cell>
          <cell r="E26" t="str">
            <v>SPCC-SD</v>
          </cell>
          <cell r="F26">
            <v>2.2999999999999998</v>
          </cell>
          <cell r="G26">
            <v>1219</v>
          </cell>
          <cell r="H26">
            <v>2438</v>
          </cell>
          <cell r="I26" t="str">
            <v>GRB</v>
          </cell>
          <cell r="J26">
            <v>20052418</v>
          </cell>
          <cell r="K26">
            <v>2037</v>
          </cell>
          <cell r="L26" t="str">
            <v>E1-ND-06-TSA-0374</v>
          </cell>
        </row>
        <row r="27">
          <cell r="A27">
            <v>20052419</v>
          </cell>
          <cell r="B27" t="str">
            <v>CR SPCC-SD 2.3x1219x2438</v>
          </cell>
          <cell r="C27" t="str">
            <v>CR SPCC-SD</v>
          </cell>
          <cell r="D27" t="str">
            <v>CR</v>
          </cell>
          <cell r="E27" t="str">
            <v>SPCC-SD</v>
          </cell>
          <cell r="F27">
            <v>2.2999999999999998</v>
          </cell>
          <cell r="G27">
            <v>1219</v>
          </cell>
          <cell r="H27">
            <v>2438</v>
          </cell>
          <cell r="I27" t="str">
            <v>GRB</v>
          </cell>
          <cell r="J27">
            <v>20052419</v>
          </cell>
          <cell r="K27">
            <v>752</v>
          </cell>
          <cell r="L27" t="str">
            <v>E1-ND-06-TSA-0374</v>
          </cell>
        </row>
        <row r="28">
          <cell r="A28">
            <v>20052478</v>
          </cell>
          <cell r="B28" t="str">
            <v>PO SPHC P/O 6.0x1219x2438</v>
          </cell>
          <cell r="C28" t="str">
            <v>PO SPHC P/O</v>
          </cell>
          <cell r="D28" t="str">
            <v>PO</v>
          </cell>
          <cell r="E28" t="str">
            <v>SPHC P/O</v>
          </cell>
          <cell r="F28">
            <v>6</v>
          </cell>
          <cell r="G28">
            <v>1219</v>
          </cell>
          <cell r="H28">
            <v>2438</v>
          </cell>
          <cell r="I28" t="str">
            <v>GRB</v>
          </cell>
          <cell r="J28">
            <v>20052478</v>
          </cell>
          <cell r="K28">
            <v>980</v>
          </cell>
          <cell r="L28" t="str">
            <v>E1-ND-06-TSA-0374</v>
          </cell>
        </row>
        <row r="29">
          <cell r="A29">
            <v>20052510</v>
          </cell>
          <cell r="B29" t="str">
            <v>CR SPCC-SD 2.3x1219x2438</v>
          </cell>
          <cell r="C29" t="str">
            <v>CR SPCC-SD</v>
          </cell>
          <cell r="D29" t="str">
            <v>CR</v>
          </cell>
          <cell r="E29" t="str">
            <v>SPCC-SD</v>
          </cell>
          <cell r="F29">
            <v>2.2999999999999998</v>
          </cell>
          <cell r="G29">
            <v>1219</v>
          </cell>
          <cell r="H29">
            <v>2438</v>
          </cell>
          <cell r="I29" t="str">
            <v>GRB</v>
          </cell>
          <cell r="J29">
            <v>20052510</v>
          </cell>
          <cell r="K29">
            <v>1127</v>
          </cell>
          <cell r="L29" t="str">
            <v>E1-ND-06-TSA-0378</v>
          </cell>
        </row>
        <row r="30">
          <cell r="A30">
            <v>20052675</v>
          </cell>
          <cell r="B30" t="str">
            <v>PO SPHC P/O 2.6x1219x2438</v>
          </cell>
          <cell r="C30" t="str">
            <v>PO SPHC P/O</v>
          </cell>
          <cell r="D30" t="str">
            <v>PO</v>
          </cell>
          <cell r="E30" t="str">
            <v>SPHC P/O</v>
          </cell>
          <cell r="F30">
            <v>2.6</v>
          </cell>
          <cell r="G30">
            <v>1219</v>
          </cell>
          <cell r="H30">
            <v>2438</v>
          </cell>
          <cell r="I30" t="str">
            <v>GRB</v>
          </cell>
          <cell r="J30">
            <v>20052675</v>
          </cell>
          <cell r="K30">
            <v>2305</v>
          </cell>
          <cell r="L30" t="str">
            <v>E1-ND-06-TSA-0369</v>
          </cell>
        </row>
        <row r="31">
          <cell r="A31">
            <v>20052676</v>
          </cell>
          <cell r="B31" t="str">
            <v>CR SPCC-SD 2.3x1219x2438</v>
          </cell>
          <cell r="C31" t="str">
            <v>CR SPCC-SD</v>
          </cell>
          <cell r="D31" t="str">
            <v>CR</v>
          </cell>
          <cell r="E31" t="str">
            <v>SPCC-SD</v>
          </cell>
          <cell r="F31">
            <v>2.2999999999999998</v>
          </cell>
          <cell r="G31">
            <v>1219</v>
          </cell>
          <cell r="H31">
            <v>2438</v>
          </cell>
          <cell r="I31" t="str">
            <v>GRB</v>
          </cell>
          <cell r="J31">
            <v>20052676</v>
          </cell>
          <cell r="K31">
            <v>1985</v>
          </cell>
          <cell r="L31" t="str">
            <v>E1-ND-06-TSA-0379</v>
          </cell>
        </row>
        <row r="32">
          <cell r="A32">
            <v>20052796</v>
          </cell>
          <cell r="B32" t="str">
            <v>CR SPCC-SD 3.2x1219x2438</v>
          </cell>
          <cell r="C32" t="str">
            <v>CR SPCC-SD</v>
          </cell>
          <cell r="D32" t="str">
            <v>CR</v>
          </cell>
          <cell r="E32" t="str">
            <v>SPCC-SD</v>
          </cell>
          <cell r="F32">
            <v>3.2</v>
          </cell>
          <cell r="G32">
            <v>1219</v>
          </cell>
          <cell r="H32">
            <v>2438</v>
          </cell>
          <cell r="I32" t="str">
            <v>NG</v>
          </cell>
          <cell r="J32">
            <v>20052796</v>
          </cell>
          <cell r="K32">
            <v>374</v>
          </cell>
          <cell r="L32" t="str">
            <v>E1-ND-06-TSA-0371</v>
          </cell>
        </row>
        <row r="33">
          <cell r="A33">
            <v>20052797</v>
          </cell>
          <cell r="B33" t="str">
            <v>CR SPCC-SD 3.2x1219x2438</v>
          </cell>
          <cell r="C33" t="str">
            <v>CR SPCC-SD</v>
          </cell>
          <cell r="D33" t="str">
            <v>CR</v>
          </cell>
          <cell r="E33" t="str">
            <v>SPCC-SD</v>
          </cell>
          <cell r="F33">
            <v>3.2</v>
          </cell>
          <cell r="G33">
            <v>1219</v>
          </cell>
          <cell r="H33">
            <v>2438</v>
          </cell>
          <cell r="I33" t="str">
            <v>NG</v>
          </cell>
          <cell r="J33">
            <v>20052797</v>
          </cell>
          <cell r="K33">
            <v>300</v>
          </cell>
          <cell r="L33" t="str">
            <v>E1-ND-06-TSA-0372</v>
          </cell>
        </row>
        <row r="34">
          <cell r="A34">
            <v>20052798</v>
          </cell>
          <cell r="B34" t="str">
            <v>PO SPHC P/O 2.0x1219x2438</v>
          </cell>
          <cell r="C34" t="str">
            <v>PO SPHC P/O</v>
          </cell>
          <cell r="D34" t="str">
            <v>PO</v>
          </cell>
          <cell r="E34" t="str">
            <v>SPHC P/O</v>
          </cell>
          <cell r="F34">
            <v>2</v>
          </cell>
          <cell r="G34">
            <v>1219</v>
          </cell>
          <cell r="H34">
            <v>2438</v>
          </cell>
          <cell r="I34" t="str">
            <v>NG</v>
          </cell>
          <cell r="J34">
            <v>20052798</v>
          </cell>
          <cell r="K34">
            <v>140</v>
          </cell>
          <cell r="L34" t="str">
            <v>E2-NJ-06-TSA-0084</v>
          </cell>
        </row>
        <row r="35">
          <cell r="A35">
            <v>20052814</v>
          </cell>
          <cell r="B35" t="str">
            <v>CR SPCC-SD 2.3x1219x2438</v>
          </cell>
          <cell r="C35" t="str">
            <v>CR SPCC-SD</v>
          </cell>
          <cell r="D35" t="str">
            <v>CR</v>
          </cell>
          <cell r="E35" t="str">
            <v>SPCC-SD</v>
          </cell>
          <cell r="F35">
            <v>2.2999999999999998</v>
          </cell>
          <cell r="G35">
            <v>1219</v>
          </cell>
          <cell r="H35">
            <v>2438</v>
          </cell>
          <cell r="I35" t="str">
            <v>NG</v>
          </cell>
          <cell r="J35">
            <v>20052814</v>
          </cell>
          <cell r="K35">
            <v>54</v>
          </cell>
          <cell r="L35" t="str">
            <v>E1-ND-06-TSA-0380</v>
          </cell>
        </row>
        <row r="36">
          <cell r="A36">
            <v>20052822</v>
          </cell>
          <cell r="B36" t="str">
            <v>CR SPCC-SD 1.4x1219x2438</v>
          </cell>
          <cell r="C36" t="str">
            <v>CR SPCC-SD</v>
          </cell>
          <cell r="D36" t="str">
            <v>CR</v>
          </cell>
          <cell r="E36" t="str">
            <v>SPCC-SD</v>
          </cell>
          <cell r="F36">
            <v>1.4</v>
          </cell>
          <cell r="G36">
            <v>1219</v>
          </cell>
          <cell r="H36">
            <v>2438</v>
          </cell>
          <cell r="I36" t="str">
            <v>NG</v>
          </cell>
          <cell r="J36">
            <v>20052822</v>
          </cell>
          <cell r="K36">
            <v>457</v>
          </cell>
          <cell r="L36" t="str">
            <v>E1-ND-06-TSA-0376</v>
          </cell>
        </row>
        <row r="37">
          <cell r="A37">
            <v>20052827</v>
          </cell>
          <cell r="B37" t="str">
            <v>PO SPHC P/O 2.3x1219x2438</v>
          </cell>
          <cell r="C37" t="str">
            <v>PO SPHC P/O</v>
          </cell>
          <cell r="D37" t="str">
            <v>PO</v>
          </cell>
          <cell r="E37" t="str">
            <v>SPHC P/O</v>
          </cell>
          <cell r="F37">
            <v>2.2999999999999998</v>
          </cell>
          <cell r="G37">
            <v>1219</v>
          </cell>
          <cell r="H37">
            <v>2438</v>
          </cell>
          <cell r="I37" t="str">
            <v>NG</v>
          </cell>
          <cell r="J37">
            <v>20052827</v>
          </cell>
          <cell r="K37">
            <v>756</v>
          </cell>
          <cell r="L37" t="str">
            <v>E2-NJ-06-TSA-0082</v>
          </cell>
        </row>
        <row r="38">
          <cell r="A38">
            <v>20052834</v>
          </cell>
          <cell r="B38" t="str">
            <v>PO SPHC P/O 2.6x1219x2438</v>
          </cell>
          <cell r="C38" t="str">
            <v>PO SPHC P/O</v>
          </cell>
          <cell r="D38" t="str">
            <v>PO</v>
          </cell>
          <cell r="E38" t="str">
            <v>SPHC P/O</v>
          </cell>
          <cell r="F38">
            <v>2.6</v>
          </cell>
          <cell r="G38">
            <v>1219</v>
          </cell>
          <cell r="H38">
            <v>2438</v>
          </cell>
          <cell r="I38" t="str">
            <v>GRB</v>
          </cell>
          <cell r="J38">
            <v>20052834</v>
          </cell>
          <cell r="K38">
            <v>1092</v>
          </cell>
          <cell r="L38" t="str">
            <v>E1-ND-06-TSA-0379</v>
          </cell>
        </row>
        <row r="39">
          <cell r="A39">
            <v>20052842</v>
          </cell>
          <cell r="B39" t="str">
            <v>PO SPHC P/O 3.2x1219x2438</v>
          </cell>
          <cell r="C39" t="str">
            <v>PO SPHC P/O</v>
          </cell>
          <cell r="D39" t="str">
            <v>PO</v>
          </cell>
          <cell r="E39" t="str">
            <v>SPHC P/O</v>
          </cell>
          <cell r="F39">
            <v>3.2</v>
          </cell>
          <cell r="G39">
            <v>1219</v>
          </cell>
          <cell r="H39">
            <v>2438</v>
          </cell>
          <cell r="I39" t="str">
            <v>GRB</v>
          </cell>
          <cell r="J39">
            <v>20052842</v>
          </cell>
          <cell r="K39">
            <v>970</v>
          </cell>
          <cell r="L39" t="str">
            <v>E1-ND-06-TSA-0379</v>
          </cell>
        </row>
        <row r="40">
          <cell r="A40">
            <v>20052846</v>
          </cell>
          <cell r="B40" t="str">
            <v>CR SPCC-SD 2.6x1219x2438</v>
          </cell>
          <cell r="C40" t="str">
            <v>CR SPCC-SD</v>
          </cell>
          <cell r="D40" t="str">
            <v>CR</v>
          </cell>
          <cell r="E40" t="str">
            <v>SPCC-SD</v>
          </cell>
          <cell r="F40">
            <v>2.6</v>
          </cell>
          <cell r="G40">
            <v>1219</v>
          </cell>
          <cell r="H40">
            <v>2438</v>
          </cell>
          <cell r="I40" t="str">
            <v>NG</v>
          </cell>
          <cell r="J40">
            <v>20052846</v>
          </cell>
          <cell r="K40">
            <v>2154</v>
          </cell>
          <cell r="L40" t="str">
            <v>E1-ND-06-TSA-0375</v>
          </cell>
        </row>
        <row r="41">
          <cell r="A41">
            <v>20052854</v>
          </cell>
          <cell r="B41" t="str">
            <v>CR SPCC-SD 2.3x1219x2438</v>
          </cell>
          <cell r="C41" t="str">
            <v>CR SPCC-SD</v>
          </cell>
          <cell r="D41" t="str">
            <v>CR</v>
          </cell>
          <cell r="E41" t="str">
            <v>SPCC-SD</v>
          </cell>
          <cell r="F41">
            <v>2.2999999999999998</v>
          </cell>
          <cell r="G41">
            <v>1219</v>
          </cell>
          <cell r="H41">
            <v>2438</v>
          </cell>
          <cell r="I41" t="str">
            <v>NG</v>
          </cell>
          <cell r="J41">
            <v>20052854</v>
          </cell>
          <cell r="K41">
            <v>1717</v>
          </cell>
          <cell r="L41" t="str">
            <v>E1-NJ-06-TSA-0384</v>
          </cell>
        </row>
        <row r="42">
          <cell r="A42">
            <v>20052855</v>
          </cell>
          <cell r="B42" t="str">
            <v>CR SPCC-SD 2.3x1219x2438</v>
          </cell>
          <cell r="C42" t="str">
            <v>CR SPCC-SD</v>
          </cell>
          <cell r="D42" t="str">
            <v>CR</v>
          </cell>
          <cell r="E42" t="str">
            <v>SPCC-SD</v>
          </cell>
          <cell r="F42">
            <v>2.2999999999999998</v>
          </cell>
          <cell r="G42">
            <v>1219</v>
          </cell>
          <cell r="H42">
            <v>2438</v>
          </cell>
          <cell r="I42" t="str">
            <v>NG</v>
          </cell>
          <cell r="J42">
            <v>20052855</v>
          </cell>
          <cell r="K42">
            <v>537</v>
          </cell>
          <cell r="L42" t="str">
            <v>E1-ND-06-TSA-0370</v>
          </cell>
        </row>
        <row r="43">
          <cell r="A43">
            <v>20052883</v>
          </cell>
          <cell r="B43" t="str">
            <v>CR SPCC-SD 4.0x1219x2438</v>
          </cell>
          <cell r="C43" t="str">
            <v>PO SPHC P/O</v>
          </cell>
          <cell r="D43" t="str">
            <v>CR</v>
          </cell>
          <cell r="E43" t="str">
            <v>SPCC-SD</v>
          </cell>
          <cell r="F43">
            <v>4</v>
          </cell>
          <cell r="G43">
            <v>1219</v>
          </cell>
          <cell r="H43">
            <v>2438</v>
          </cell>
          <cell r="I43" t="str">
            <v>NG</v>
          </cell>
          <cell r="J43">
            <v>20052883</v>
          </cell>
          <cell r="K43">
            <v>2330</v>
          </cell>
          <cell r="L43" t="str">
            <v>E1-ND-06-TSA-0375</v>
          </cell>
        </row>
        <row r="44">
          <cell r="A44">
            <v>20052884</v>
          </cell>
          <cell r="B44" t="str">
            <v>CR SPCC-SD 4.0x1219x2438</v>
          </cell>
          <cell r="C44" t="str">
            <v>PO SPHC P/O</v>
          </cell>
          <cell r="D44" t="str">
            <v>CR</v>
          </cell>
          <cell r="E44" t="str">
            <v>SPCC-SD</v>
          </cell>
          <cell r="F44">
            <v>4</v>
          </cell>
          <cell r="G44">
            <v>1219</v>
          </cell>
          <cell r="H44">
            <v>2438</v>
          </cell>
          <cell r="I44" t="str">
            <v>NG</v>
          </cell>
          <cell r="J44">
            <v>20052884</v>
          </cell>
          <cell r="K44">
            <v>932</v>
          </cell>
          <cell r="L44" t="str">
            <v>E1-ND-06-TSA-0376</v>
          </cell>
        </row>
        <row r="45">
          <cell r="A45">
            <v>20052944</v>
          </cell>
          <cell r="B45" t="str">
            <v>PO SPHC P/O 2.3x1219x2438</v>
          </cell>
          <cell r="C45" t="str">
            <v>PO SPHC P/O</v>
          </cell>
          <cell r="D45" t="str">
            <v>PO</v>
          </cell>
          <cell r="E45" t="str">
            <v>SPHC P/O</v>
          </cell>
          <cell r="F45">
            <v>2.2999999999999998</v>
          </cell>
          <cell r="G45">
            <v>1219</v>
          </cell>
          <cell r="H45">
            <v>2438</v>
          </cell>
          <cell r="I45" t="str">
            <v>NG</v>
          </cell>
          <cell r="J45">
            <v>20052944</v>
          </cell>
          <cell r="K45">
            <v>214</v>
          </cell>
          <cell r="L45" t="str">
            <v>E1-ND-06-TSA-0377</v>
          </cell>
        </row>
        <row r="46">
          <cell r="A46">
            <v>20052958</v>
          </cell>
          <cell r="B46" t="str">
            <v>CR SPCC-SD 2.6x1219x2438</v>
          </cell>
          <cell r="C46" t="str">
            <v>CR SPCC-SD</v>
          </cell>
          <cell r="D46" t="str">
            <v>CR</v>
          </cell>
          <cell r="E46" t="str">
            <v>SPCC-SD</v>
          </cell>
          <cell r="F46">
            <v>2.6</v>
          </cell>
          <cell r="G46">
            <v>1219</v>
          </cell>
          <cell r="H46">
            <v>2438</v>
          </cell>
          <cell r="I46" t="str">
            <v>NG</v>
          </cell>
          <cell r="J46">
            <v>20052958</v>
          </cell>
          <cell r="K46">
            <v>243</v>
          </cell>
          <cell r="L46" t="str">
            <v>E1-ND-06-TSA-0377</v>
          </cell>
        </row>
        <row r="47">
          <cell r="A47">
            <v>20052959</v>
          </cell>
          <cell r="B47" t="str">
            <v>CR SPCC-SD 2.6x1219x2438</v>
          </cell>
          <cell r="C47" t="str">
            <v>CR SPCC-SD</v>
          </cell>
          <cell r="D47" t="str">
            <v>CR</v>
          </cell>
          <cell r="E47" t="str">
            <v>SPCC-SD</v>
          </cell>
          <cell r="F47">
            <v>2.6</v>
          </cell>
          <cell r="G47">
            <v>1219</v>
          </cell>
          <cell r="H47">
            <v>2438</v>
          </cell>
          <cell r="I47" t="str">
            <v>NG</v>
          </cell>
          <cell r="J47">
            <v>20052959</v>
          </cell>
          <cell r="K47">
            <v>485</v>
          </cell>
          <cell r="L47" t="str">
            <v>E1-ND-06-TSA-0379</v>
          </cell>
        </row>
        <row r="48">
          <cell r="A48">
            <v>20052966</v>
          </cell>
          <cell r="B48" t="str">
            <v>PO SPHC P/O 4.5x1219x2438</v>
          </cell>
          <cell r="C48" t="str">
            <v>PO SPHC P/O</v>
          </cell>
          <cell r="D48" t="str">
            <v>PO</v>
          </cell>
          <cell r="E48" t="str">
            <v>SPHC P/O</v>
          </cell>
          <cell r="F48">
            <v>4.5</v>
          </cell>
          <cell r="G48">
            <v>1219</v>
          </cell>
          <cell r="H48">
            <v>2438</v>
          </cell>
          <cell r="I48" t="str">
            <v>NG</v>
          </cell>
          <cell r="J48">
            <v>20052966</v>
          </cell>
          <cell r="K48">
            <v>2090</v>
          </cell>
          <cell r="L48" t="str">
            <v>E1-ND-06-TSA-0377</v>
          </cell>
        </row>
        <row r="49">
          <cell r="A49">
            <v>20052967</v>
          </cell>
          <cell r="B49" t="str">
            <v>PO SPHC P/O 4.5x1219x2438</v>
          </cell>
          <cell r="C49" t="str">
            <v>PO SPHC P/O</v>
          </cell>
          <cell r="D49" t="str">
            <v>PO</v>
          </cell>
          <cell r="E49" t="str">
            <v>SPHC P/O</v>
          </cell>
          <cell r="F49">
            <v>4.5</v>
          </cell>
          <cell r="G49">
            <v>1219</v>
          </cell>
          <cell r="H49">
            <v>2438</v>
          </cell>
          <cell r="I49" t="str">
            <v>NG</v>
          </cell>
          <cell r="J49">
            <v>20052967</v>
          </cell>
          <cell r="K49">
            <v>2090</v>
          </cell>
          <cell r="L49" t="str">
            <v>E1-ND-06-TSA-0376</v>
          </cell>
        </row>
        <row r="50">
          <cell r="A50">
            <v>20052968</v>
          </cell>
          <cell r="B50" t="str">
            <v>PO SPHC P/O 4.5x1219x2438</v>
          </cell>
          <cell r="C50" t="str">
            <v>PO SPHC P/O</v>
          </cell>
          <cell r="D50" t="str">
            <v>PO</v>
          </cell>
          <cell r="E50" t="str">
            <v>SPHC P/O</v>
          </cell>
          <cell r="F50">
            <v>4.5</v>
          </cell>
          <cell r="G50">
            <v>1219</v>
          </cell>
          <cell r="H50">
            <v>2438</v>
          </cell>
          <cell r="I50" t="str">
            <v>NG</v>
          </cell>
          <cell r="J50">
            <v>20052968</v>
          </cell>
          <cell r="K50">
            <v>2090</v>
          </cell>
          <cell r="L50" t="str">
            <v>E1-ND-06-TSA-0376</v>
          </cell>
        </row>
        <row r="51">
          <cell r="A51">
            <v>20052969</v>
          </cell>
          <cell r="B51" t="str">
            <v>PO SPHC P/O 4.5x1219x2438</v>
          </cell>
          <cell r="C51" t="str">
            <v>PO SPHC P/O</v>
          </cell>
          <cell r="D51" t="str">
            <v>PO</v>
          </cell>
          <cell r="E51" t="str">
            <v>SPHC P/O</v>
          </cell>
          <cell r="F51">
            <v>4.5</v>
          </cell>
          <cell r="G51">
            <v>1219</v>
          </cell>
          <cell r="H51">
            <v>2438</v>
          </cell>
          <cell r="I51" t="str">
            <v>NG</v>
          </cell>
          <cell r="J51">
            <v>20052969</v>
          </cell>
          <cell r="K51">
            <v>2089</v>
          </cell>
          <cell r="L51" t="str">
            <v>E1-ND-06-TSA-0377</v>
          </cell>
        </row>
        <row r="52">
          <cell r="A52">
            <v>20052970</v>
          </cell>
          <cell r="B52" t="str">
            <v>PO SPHC P/O 4.5x1219x2438</v>
          </cell>
          <cell r="C52" t="str">
            <v>PO SPHC P/O</v>
          </cell>
          <cell r="D52" t="str">
            <v>PO</v>
          </cell>
          <cell r="E52" t="str">
            <v>SPHC P/O</v>
          </cell>
          <cell r="F52">
            <v>4.5</v>
          </cell>
          <cell r="G52">
            <v>1219</v>
          </cell>
          <cell r="H52">
            <v>2438</v>
          </cell>
          <cell r="I52" t="str">
            <v>NG</v>
          </cell>
          <cell r="J52">
            <v>20052970</v>
          </cell>
          <cell r="K52">
            <v>2089</v>
          </cell>
          <cell r="L52" t="str">
            <v>E1-ND-06-TSA-0377</v>
          </cell>
        </row>
        <row r="53">
          <cell r="A53">
            <v>20052971</v>
          </cell>
          <cell r="B53" t="str">
            <v>PO SPHC P/O 4.5x1219x2438</v>
          </cell>
          <cell r="C53" t="str">
            <v>PO SPHC P/O</v>
          </cell>
          <cell r="D53" t="str">
            <v>PO</v>
          </cell>
          <cell r="E53" t="str">
            <v>SPHC P/O</v>
          </cell>
          <cell r="F53">
            <v>4.5</v>
          </cell>
          <cell r="G53">
            <v>1219</v>
          </cell>
          <cell r="H53">
            <v>2438</v>
          </cell>
          <cell r="I53" t="str">
            <v>NG</v>
          </cell>
          <cell r="J53">
            <v>20052971</v>
          </cell>
          <cell r="K53">
            <v>2089</v>
          </cell>
          <cell r="L53" t="str">
            <v>E1-ND-06-TSA-0378</v>
          </cell>
        </row>
        <row r="54">
          <cell r="A54">
            <v>20052973</v>
          </cell>
          <cell r="B54" t="str">
            <v>PO SPHC P/O 4.5x1219x2438</v>
          </cell>
          <cell r="C54" t="str">
            <v>PO SPHC P/O</v>
          </cell>
          <cell r="D54" t="str">
            <v>PO</v>
          </cell>
          <cell r="E54" t="str">
            <v>SPHC P/O</v>
          </cell>
          <cell r="F54">
            <v>4.5</v>
          </cell>
          <cell r="G54">
            <v>1219</v>
          </cell>
          <cell r="H54">
            <v>2438</v>
          </cell>
          <cell r="I54" t="str">
            <v>NG</v>
          </cell>
          <cell r="J54">
            <v>20052973</v>
          </cell>
          <cell r="K54">
            <v>1785</v>
          </cell>
          <cell r="L54" t="str">
            <v>E1-NJ-06-TSA-0385</v>
          </cell>
        </row>
        <row r="55">
          <cell r="A55">
            <v>20052977</v>
          </cell>
          <cell r="B55" t="str">
            <v>PO SPHC P/O 4.5x1219x2438</v>
          </cell>
          <cell r="C55" t="str">
            <v>PO SPHC P/O</v>
          </cell>
          <cell r="D55" t="str">
            <v>PO</v>
          </cell>
          <cell r="E55" t="str">
            <v>SPHC P/O</v>
          </cell>
          <cell r="F55">
            <v>4.5</v>
          </cell>
          <cell r="G55">
            <v>1219</v>
          </cell>
          <cell r="H55">
            <v>2438</v>
          </cell>
          <cell r="I55" t="str">
            <v>NG</v>
          </cell>
          <cell r="J55">
            <v>20052977</v>
          </cell>
          <cell r="K55">
            <v>2095</v>
          </cell>
          <cell r="L55" t="str">
            <v>E1-ND-06-TSA-0378</v>
          </cell>
        </row>
        <row r="56">
          <cell r="A56">
            <v>20052978</v>
          </cell>
          <cell r="B56" t="str">
            <v>PO SPHC P/O 4.5x1219x2438</v>
          </cell>
          <cell r="C56" t="str">
            <v>PO SPHC P/O</v>
          </cell>
          <cell r="D56" t="str">
            <v>PO</v>
          </cell>
          <cell r="E56" t="str">
            <v>SPHC P/O</v>
          </cell>
          <cell r="F56">
            <v>4.5</v>
          </cell>
          <cell r="G56">
            <v>1219</v>
          </cell>
          <cell r="H56">
            <v>2438</v>
          </cell>
          <cell r="I56" t="str">
            <v>NG</v>
          </cell>
          <cell r="J56">
            <v>20052978</v>
          </cell>
          <cell r="K56">
            <v>1570</v>
          </cell>
          <cell r="L56" t="str">
            <v>E1-ND-06-TSA-0380</v>
          </cell>
        </row>
        <row r="57">
          <cell r="A57">
            <v>20052979</v>
          </cell>
          <cell r="B57" t="str">
            <v>PO SPHC P/O 4.5x1219x2438</v>
          </cell>
          <cell r="C57" t="str">
            <v>PO SPHC P/O</v>
          </cell>
          <cell r="D57" t="str">
            <v>PO</v>
          </cell>
          <cell r="E57" t="str">
            <v>SPHC P/O</v>
          </cell>
          <cell r="F57">
            <v>4.5</v>
          </cell>
          <cell r="G57">
            <v>1219</v>
          </cell>
          <cell r="H57">
            <v>2438</v>
          </cell>
          <cell r="I57" t="str">
            <v>NG</v>
          </cell>
          <cell r="J57">
            <v>20052979</v>
          </cell>
          <cell r="K57">
            <v>1494</v>
          </cell>
          <cell r="L57" t="str">
            <v>E1-ND-06-TSA-0380</v>
          </cell>
        </row>
        <row r="58">
          <cell r="A58">
            <v>20052980</v>
          </cell>
          <cell r="B58" t="str">
            <v>PO SPHC P/O 4.5x1219x2438</v>
          </cell>
          <cell r="C58" t="str">
            <v>PO SPHC P/O</v>
          </cell>
          <cell r="D58" t="str">
            <v>PO</v>
          </cell>
          <cell r="E58" t="str">
            <v>SPHC P/O</v>
          </cell>
          <cell r="F58">
            <v>4.5</v>
          </cell>
          <cell r="G58">
            <v>1219</v>
          </cell>
          <cell r="H58">
            <v>2438</v>
          </cell>
          <cell r="I58" t="str">
            <v>NG</v>
          </cell>
          <cell r="J58">
            <v>20052980</v>
          </cell>
          <cell r="K58">
            <v>1990</v>
          </cell>
          <cell r="L58" t="str">
            <v>E1-ND-06-TSA-0380</v>
          </cell>
        </row>
        <row r="59">
          <cell r="A59">
            <v>50000514</v>
          </cell>
          <cell r="D59" t="str">
            <v>CR</v>
          </cell>
          <cell r="E59" t="str">
            <v>SPCD-SD</v>
          </cell>
          <cell r="F59">
            <v>1.4</v>
          </cell>
          <cell r="G59">
            <v>260</v>
          </cell>
          <cell r="H59">
            <v>1130</v>
          </cell>
          <cell r="I59" t="str">
            <v>DS01/1</v>
          </cell>
          <cell r="J59">
            <v>50000514</v>
          </cell>
          <cell r="K59">
            <v>77</v>
          </cell>
        </row>
        <row r="60">
          <cell r="A60">
            <v>50003450</v>
          </cell>
          <cell r="D60" t="str">
            <v>PO</v>
          </cell>
          <cell r="E60" t="str">
            <v>SAPH440 P/O</v>
          </cell>
          <cell r="F60">
            <v>3.2</v>
          </cell>
          <cell r="G60">
            <v>82</v>
          </cell>
          <cell r="H60">
            <v>1219</v>
          </cell>
          <cell r="I60" t="str">
            <v>DS01/1</v>
          </cell>
          <cell r="J60">
            <v>50003450</v>
          </cell>
          <cell r="K60">
            <v>1005</v>
          </cell>
        </row>
        <row r="61">
          <cell r="A61">
            <v>50003870</v>
          </cell>
          <cell r="D61" t="str">
            <v>PO</v>
          </cell>
          <cell r="E61" t="str">
            <v>SPHC P/O</v>
          </cell>
          <cell r="F61">
            <v>1.4</v>
          </cell>
          <cell r="G61">
            <v>193</v>
          </cell>
          <cell r="H61">
            <v>1210</v>
          </cell>
          <cell r="I61" t="str">
            <v>DS01/1</v>
          </cell>
          <cell r="J61">
            <v>50003870</v>
          </cell>
          <cell r="K61">
            <v>525</v>
          </cell>
        </row>
        <row r="62">
          <cell r="A62">
            <v>50004145</v>
          </cell>
          <cell r="B62" t="str">
            <v>PO SPHC P/O 2.6x80x1219</v>
          </cell>
          <cell r="C62" t="str">
            <v>PO SPHC P/O</v>
          </cell>
          <cell r="D62" t="str">
            <v>PO</v>
          </cell>
          <cell r="E62" t="str">
            <v>SPHC P/O</v>
          </cell>
          <cell r="F62">
            <v>2.6</v>
          </cell>
          <cell r="G62">
            <v>80</v>
          </cell>
          <cell r="H62">
            <v>1219</v>
          </cell>
          <cell r="I62" t="str">
            <v>DS01/1</v>
          </cell>
          <cell r="J62">
            <v>50004145</v>
          </cell>
          <cell r="K62">
            <v>180</v>
          </cell>
          <cell r="L62" t="str">
            <v>E2-ND-06-TSA-0154</v>
          </cell>
        </row>
        <row r="63">
          <cell r="A63">
            <v>50004376</v>
          </cell>
          <cell r="B63" t="str">
            <v>PO SPHC P/O 2.6x80x1219</v>
          </cell>
          <cell r="C63" t="str">
            <v>PO SPHC P/O</v>
          </cell>
          <cell r="D63" t="str">
            <v>PO</v>
          </cell>
          <cell r="E63" t="str">
            <v>SPHC P/O</v>
          </cell>
          <cell r="F63">
            <v>2.6</v>
          </cell>
          <cell r="G63">
            <v>80</v>
          </cell>
          <cell r="H63">
            <v>1219</v>
          </cell>
          <cell r="I63" t="str">
            <v>DS01/1</v>
          </cell>
          <cell r="J63">
            <v>50004376</v>
          </cell>
          <cell r="K63">
            <v>40</v>
          </cell>
          <cell r="L63" t="str">
            <v>E2-ND-06-TSA-0154</v>
          </cell>
        </row>
        <row r="64">
          <cell r="A64">
            <v>50005365</v>
          </cell>
          <cell r="D64" t="str">
            <v>CR</v>
          </cell>
          <cell r="E64" t="str">
            <v>SPCEN-SD</v>
          </cell>
          <cell r="F64">
            <v>1.2</v>
          </cell>
          <cell r="G64">
            <v>560</v>
          </cell>
          <cell r="H64">
            <v>1170</v>
          </cell>
          <cell r="I64" t="str">
            <v>DS01/1</v>
          </cell>
          <cell r="J64">
            <v>50005365</v>
          </cell>
          <cell r="K64">
            <v>165</v>
          </cell>
        </row>
        <row r="65">
          <cell r="A65">
            <v>50006121</v>
          </cell>
          <cell r="D65" t="str">
            <v>CR</v>
          </cell>
          <cell r="E65" t="str">
            <v>SPCEN-SD</v>
          </cell>
          <cell r="F65">
            <v>0.8</v>
          </cell>
          <cell r="G65">
            <v>296</v>
          </cell>
          <cell r="H65">
            <v>1219</v>
          </cell>
          <cell r="I65" t="str">
            <v>DS01/1</v>
          </cell>
          <cell r="J65">
            <v>50006121</v>
          </cell>
          <cell r="K65">
            <v>10</v>
          </cell>
        </row>
        <row r="66">
          <cell r="A66">
            <v>50006430</v>
          </cell>
          <cell r="D66" t="str">
            <v>CR</v>
          </cell>
          <cell r="E66" t="str">
            <v>SPCC-SD</v>
          </cell>
          <cell r="F66">
            <v>0.8</v>
          </cell>
          <cell r="G66">
            <v>220</v>
          </cell>
          <cell r="H66">
            <v>840</v>
          </cell>
          <cell r="I66" t="str">
            <v>DS01/1</v>
          </cell>
          <cell r="J66">
            <v>50006430</v>
          </cell>
          <cell r="K66">
            <v>75</v>
          </cell>
        </row>
        <row r="67">
          <cell r="A67">
            <v>50006754</v>
          </cell>
          <cell r="D67" t="str">
            <v>PO</v>
          </cell>
          <cell r="E67" t="str">
            <v>SPHC P/O</v>
          </cell>
          <cell r="F67">
            <v>3.2</v>
          </cell>
          <cell r="G67">
            <v>115</v>
          </cell>
          <cell r="H67">
            <v>1219</v>
          </cell>
          <cell r="I67" t="str">
            <v>DS01/1</v>
          </cell>
          <cell r="J67">
            <v>50006754</v>
          </cell>
          <cell r="K67">
            <v>140</v>
          </cell>
        </row>
        <row r="68">
          <cell r="A68">
            <v>50008453</v>
          </cell>
          <cell r="B68" t="str">
            <v>PO SPHC P/O 3.2x92x1380</v>
          </cell>
          <cell r="C68" t="str">
            <v>PO SPHC P/O</v>
          </cell>
          <cell r="D68" t="str">
            <v>PO</v>
          </cell>
          <cell r="E68" t="str">
            <v>SPHC P/O</v>
          </cell>
          <cell r="F68">
            <v>3.2</v>
          </cell>
          <cell r="G68">
            <v>92</v>
          </cell>
          <cell r="H68">
            <v>1380</v>
          </cell>
          <cell r="I68" t="str">
            <v>DS01/1</v>
          </cell>
          <cell r="J68">
            <v>50008453</v>
          </cell>
          <cell r="K68">
            <v>585</v>
          </cell>
          <cell r="L68" t="str">
            <v>E2-ND-06-TSA-0155</v>
          </cell>
        </row>
        <row r="69">
          <cell r="A69">
            <v>50008950</v>
          </cell>
          <cell r="D69" t="str">
            <v>CR</v>
          </cell>
          <cell r="E69" t="str">
            <v>SPCC-SD</v>
          </cell>
          <cell r="F69">
            <v>3.2</v>
          </cell>
          <cell r="G69">
            <v>33</v>
          </cell>
          <cell r="H69">
            <v>1219</v>
          </cell>
          <cell r="I69" t="str">
            <v>DS01/1</v>
          </cell>
          <cell r="J69">
            <v>50008950</v>
          </cell>
          <cell r="K69">
            <v>40</v>
          </cell>
        </row>
        <row r="70">
          <cell r="A70">
            <v>50008951</v>
          </cell>
          <cell r="B70" t="str">
            <v>CR SPCC-SD 3.2x45x1219</v>
          </cell>
          <cell r="C70" t="str">
            <v>CR SPCC-SD</v>
          </cell>
          <cell r="D70" t="str">
            <v>CR</v>
          </cell>
          <cell r="E70" t="str">
            <v>SPCC-SD</v>
          </cell>
          <cell r="F70">
            <v>3.2</v>
          </cell>
          <cell r="G70">
            <v>45</v>
          </cell>
          <cell r="H70">
            <v>1219</v>
          </cell>
          <cell r="I70" t="str">
            <v>DS01/1</v>
          </cell>
          <cell r="J70">
            <v>50008951</v>
          </cell>
          <cell r="K70">
            <v>55</v>
          </cell>
          <cell r="L70" t="str">
            <v>E2-ND-06-TSA-0153</v>
          </cell>
        </row>
        <row r="71">
          <cell r="A71">
            <v>50009982</v>
          </cell>
          <cell r="B71" t="str">
            <v>PO SPHC P/O 2.0x69x1219</v>
          </cell>
          <cell r="C71" t="str">
            <v>PO SPHC P/O</v>
          </cell>
          <cell r="D71" t="str">
            <v>PO</v>
          </cell>
          <cell r="E71" t="str">
            <v>SPHC P/O</v>
          </cell>
          <cell r="F71">
            <v>2</v>
          </cell>
          <cell r="G71">
            <v>69</v>
          </cell>
          <cell r="H71">
            <v>1219</v>
          </cell>
          <cell r="I71" t="str">
            <v>DS01/1</v>
          </cell>
          <cell r="J71">
            <v>50009982</v>
          </cell>
          <cell r="K71">
            <v>180</v>
          </cell>
          <cell r="L71" t="str">
            <v>E2-ND-06-TSA-0154</v>
          </cell>
        </row>
        <row r="72">
          <cell r="A72">
            <v>50010033</v>
          </cell>
          <cell r="B72" t="str">
            <v>PO SPHC P/O 3.2x90x1219</v>
          </cell>
          <cell r="C72" t="str">
            <v>PO SPHC P/O</v>
          </cell>
          <cell r="D72" t="str">
            <v>PO</v>
          </cell>
          <cell r="E72" t="str">
            <v>SPHC P/O</v>
          </cell>
          <cell r="F72">
            <v>3.2</v>
          </cell>
          <cell r="G72">
            <v>90</v>
          </cell>
          <cell r="H72">
            <v>1219</v>
          </cell>
          <cell r="I72" t="str">
            <v>DS01/1</v>
          </cell>
          <cell r="J72">
            <v>50010033</v>
          </cell>
          <cell r="K72">
            <v>205</v>
          </cell>
          <cell r="L72" t="str">
            <v>E2-NJ-06-TSA-0065</v>
          </cell>
        </row>
        <row r="73">
          <cell r="A73">
            <v>50010310</v>
          </cell>
          <cell r="D73" t="str">
            <v>CR</v>
          </cell>
          <cell r="E73" t="str">
            <v>SPCD-SD</v>
          </cell>
          <cell r="F73">
            <v>1.4</v>
          </cell>
          <cell r="G73">
            <v>260</v>
          </cell>
          <cell r="H73">
            <v>1130</v>
          </cell>
          <cell r="I73" t="str">
            <v>DS01/1</v>
          </cell>
          <cell r="J73">
            <v>50010310</v>
          </cell>
          <cell r="K73">
            <v>320</v>
          </cell>
        </row>
        <row r="74">
          <cell r="A74">
            <v>50010659</v>
          </cell>
          <cell r="D74" t="str">
            <v>CR</v>
          </cell>
          <cell r="E74" t="str">
            <v>SPCC-SD</v>
          </cell>
          <cell r="F74">
            <v>2.2999999999999998</v>
          </cell>
          <cell r="G74">
            <v>70</v>
          </cell>
          <cell r="H74">
            <v>1219</v>
          </cell>
          <cell r="I74" t="str">
            <v>DS01/1</v>
          </cell>
          <cell r="J74">
            <v>50010659</v>
          </cell>
          <cell r="K74">
            <v>280</v>
          </cell>
        </row>
        <row r="75">
          <cell r="A75">
            <v>50010897</v>
          </cell>
          <cell r="B75" t="str">
            <v>PO SPHC P/O 3.2x93x1380</v>
          </cell>
          <cell r="C75" t="str">
            <v>PO SPHC P/O</v>
          </cell>
          <cell r="D75" t="str">
            <v>PO</v>
          </cell>
          <cell r="E75" t="str">
            <v>SPHC P/O</v>
          </cell>
          <cell r="F75">
            <v>3.2</v>
          </cell>
          <cell r="G75">
            <v>93</v>
          </cell>
          <cell r="H75">
            <v>1380</v>
          </cell>
          <cell r="I75" t="str">
            <v>DS01/1</v>
          </cell>
          <cell r="J75">
            <v>50010897</v>
          </cell>
          <cell r="K75">
            <v>130</v>
          </cell>
          <cell r="L75" t="str">
            <v>E2-ND-06-TSA-0155</v>
          </cell>
        </row>
        <row r="76">
          <cell r="A76">
            <v>50011105</v>
          </cell>
          <cell r="D76" t="str">
            <v>CR</v>
          </cell>
          <cell r="E76" t="str">
            <v>SPCC-SD</v>
          </cell>
          <cell r="F76">
            <v>1</v>
          </cell>
          <cell r="G76">
            <v>139</v>
          </cell>
          <cell r="H76">
            <v>1219</v>
          </cell>
          <cell r="I76" t="str">
            <v>DS01/1</v>
          </cell>
          <cell r="J76">
            <v>50011105</v>
          </cell>
          <cell r="K76">
            <v>270</v>
          </cell>
        </row>
        <row r="77">
          <cell r="A77">
            <v>50011234</v>
          </cell>
          <cell r="D77" t="str">
            <v>CR</v>
          </cell>
          <cell r="E77" t="str">
            <v>SPCC-SD</v>
          </cell>
          <cell r="F77">
            <v>1.4</v>
          </cell>
          <cell r="G77">
            <v>178</v>
          </cell>
          <cell r="H77">
            <v>389</v>
          </cell>
          <cell r="I77" t="str">
            <v>DS01/1</v>
          </cell>
          <cell r="J77">
            <v>50011234</v>
          </cell>
          <cell r="K77">
            <v>40</v>
          </cell>
        </row>
        <row r="78">
          <cell r="A78">
            <v>50011449</v>
          </cell>
          <cell r="D78" t="str">
            <v>CR</v>
          </cell>
          <cell r="E78" t="str">
            <v>SPCEN-SD</v>
          </cell>
          <cell r="F78">
            <v>1.2</v>
          </cell>
          <cell r="G78">
            <v>1225</v>
          </cell>
          <cell r="H78">
            <v>174</v>
          </cell>
          <cell r="I78" t="str">
            <v>DS01/1</v>
          </cell>
          <cell r="J78">
            <v>50011449</v>
          </cell>
          <cell r="K78">
            <v>35</v>
          </cell>
        </row>
        <row r="79">
          <cell r="A79">
            <v>50011531</v>
          </cell>
          <cell r="D79" t="str">
            <v>PO</v>
          </cell>
          <cell r="E79" t="str">
            <v>SAPH440 P/O</v>
          </cell>
          <cell r="F79">
            <v>3.2</v>
          </cell>
          <cell r="G79">
            <v>226</v>
          </cell>
          <cell r="H79">
            <v>1219</v>
          </cell>
          <cell r="I79" t="str">
            <v>DS01/1</v>
          </cell>
          <cell r="J79">
            <v>50011531</v>
          </cell>
          <cell r="K79">
            <v>125</v>
          </cell>
        </row>
        <row r="80">
          <cell r="A80">
            <v>50012090</v>
          </cell>
          <cell r="D80" t="str">
            <v>CR</v>
          </cell>
          <cell r="E80" t="str">
            <v>SPCC-SD</v>
          </cell>
          <cell r="F80">
            <v>1.4</v>
          </cell>
          <cell r="G80">
            <v>363</v>
          </cell>
          <cell r="H80">
            <v>708</v>
          </cell>
          <cell r="I80" t="str">
            <v>DS01/1</v>
          </cell>
          <cell r="J80">
            <v>50012090</v>
          </cell>
          <cell r="K80">
            <v>660</v>
          </cell>
        </row>
        <row r="81">
          <cell r="A81">
            <v>50013235</v>
          </cell>
          <cell r="D81" t="str">
            <v>CR</v>
          </cell>
          <cell r="E81" t="str">
            <v>SPCC-SD</v>
          </cell>
          <cell r="F81">
            <v>0.8</v>
          </cell>
          <cell r="G81">
            <v>125</v>
          </cell>
          <cell r="H81">
            <v>638</v>
          </cell>
          <cell r="I81" t="str">
            <v>DS01/1</v>
          </cell>
          <cell r="J81">
            <v>50013235</v>
          </cell>
          <cell r="K81">
            <v>165</v>
          </cell>
        </row>
        <row r="82">
          <cell r="A82">
            <v>50013249</v>
          </cell>
          <cell r="D82" t="str">
            <v>CR</v>
          </cell>
          <cell r="E82" t="str">
            <v>SPCC-SD</v>
          </cell>
          <cell r="F82">
            <v>0.8</v>
          </cell>
          <cell r="G82">
            <v>115</v>
          </cell>
          <cell r="H82">
            <v>770</v>
          </cell>
          <cell r="I82" t="str">
            <v>DS01/1</v>
          </cell>
          <cell r="J82">
            <v>50013249</v>
          </cell>
          <cell r="K82">
            <v>280</v>
          </cell>
        </row>
        <row r="83">
          <cell r="A83">
            <v>50013981</v>
          </cell>
          <cell r="D83" t="str">
            <v>CR</v>
          </cell>
          <cell r="E83" t="str">
            <v>SPCEN-SD</v>
          </cell>
          <cell r="F83">
            <v>1.2</v>
          </cell>
          <cell r="G83">
            <v>220</v>
          </cell>
          <cell r="H83">
            <v>620</v>
          </cell>
          <cell r="I83" t="str">
            <v>DS01/1</v>
          </cell>
          <cell r="J83">
            <v>50013981</v>
          </cell>
          <cell r="K83">
            <v>385</v>
          </cell>
        </row>
        <row r="84">
          <cell r="A84">
            <v>50014222</v>
          </cell>
          <cell r="D84" t="str">
            <v>CR</v>
          </cell>
          <cell r="E84" t="str">
            <v>SPCEN-SD</v>
          </cell>
          <cell r="F84">
            <v>1.2</v>
          </cell>
          <cell r="G84">
            <v>250</v>
          </cell>
          <cell r="H84">
            <v>620</v>
          </cell>
          <cell r="I84" t="str">
            <v>DS01/1</v>
          </cell>
          <cell r="J84">
            <v>50014222</v>
          </cell>
          <cell r="K84">
            <v>435</v>
          </cell>
        </row>
        <row r="85">
          <cell r="A85">
            <v>50014268</v>
          </cell>
          <cell r="D85" t="str">
            <v>CR</v>
          </cell>
          <cell r="E85" t="str">
            <v>SPCC-SD</v>
          </cell>
          <cell r="F85">
            <v>0.8</v>
          </cell>
          <cell r="G85">
            <v>275</v>
          </cell>
          <cell r="H85">
            <v>900</v>
          </cell>
          <cell r="I85" t="str">
            <v>DS01/1</v>
          </cell>
          <cell r="J85">
            <v>50014268</v>
          </cell>
          <cell r="K85">
            <v>45</v>
          </cell>
        </row>
        <row r="86">
          <cell r="A86">
            <v>50014284</v>
          </cell>
          <cell r="D86" t="str">
            <v>CR</v>
          </cell>
          <cell r="E86" t="str">
            <v>SPCEN-SD</v>
          </cell>
          <cell r="F86">
            <v>1</v>
          </cell>
          <cell r="G86">
            <v>230</v>
          </cell>
          <cell r="H86">
            <v>1500</v>
          </cell>
          <cell r="I86" t="str">
            <v>DS01/1</v>
          </cell>
          <cell r="J86">
            <v>50014284</v>
          </cell>
          <cell r="K86">
            <v>25</v>
          </cell>
        </row>
        <row r="87">
          <cell r="A87">
            <v>50014821</v>
          </cell>
          <cell r="D87" t="str">
            <v>CR</v>
          </cell>
          <cell r="E87" t="str">
            <v>SPCEN-SD</v>
          </cell>
          <cell r="F87">
            <v>1</v>
          </cell>
          <cell r="G87">
            <v>260</v>
          </cell>
          <cell r="H87">
            <v>420</v>
          </cell>
          <cell r="I87" t="str">
            <v>DS01/1</v>
          </cell>
          <cell r="J87">
            <v>50014821</v>
          </cell>
          <cell r="K87">
            <v>140</v>
          </cell>
        </row>
        <row r="88">
          <cell r="A88">
            <v>50015560</v>
          </cell>
          <cell r="D88" t="str">
            <v>CR</v>
          </cell>
          <cell r="E88" t="str">
            <v>SPCEN-SD</v>
          </cell>
          <cell r="F88">
            <v>1</v>
          </cell>
          <cell r="G88">
            <v>225</v>
          </cell>
          <cell r="H88">
            <v>280</v>
          </cell>
          <cell r="I88" t="str">
            <v>DS01/1</v>
          </cell>
          <cell r="J88">
            <v>50015560</v>
          </cell>
          <cell r="K88">
            <v>175</v>
          </cell>
        </row>
        <row r="89">
          <cell r="A89">
            <v>50017241</v>
          </cell>
          <cell r="D89" t="str">
            <v>CR</v>
          </cell>
          <cell r="E89" t="str">
            <v>SPCEN-SD</v>
          </cell>
          <cell r="F89">
            <v>1.2</v>
          </cell>
          <cell r="G89">
            <v>250</v>
          </cell>
          <cell r="H89">
            <v>620</v>
          </cell>
          <cell r="I89" t="str">
            <v>DS01/1</v>
          </cell>
          <cell r="J89">
            <v>50017241</v>
          </cell>
          <cell r="K89">
            <v>875</v>
          </cell>
        </row>
        <row r="90">
          <cell r="A90">
            <v>50017243</v>
          </cell>
          <cell r="D90" t="str">
            <v>CR</v>
          </cell>
          <cell r="E90" t="str">
            <v>SPCEN-SD</v>
          </cell>
          <cell r="F90">
            <v>1.2</v>
          </cell>
          <cell r="G90">
            <v>250</v>
          </cell>
          <cell r="H90">
            <v>620</v>
          </cell>
          <cell r="I90" t="str">
            <v>DS01/1</v>
          </cell>
          <cell r="J90">
            <v>50017243</v>
          </cell>
          <cell r="K90">
            <v>220</v>
          </cell>
        </row>
        <row r="91">
          <cell r="A91">
            <v>50017258</v>
          </cell>
          <cell r="D91" t="str">
            <v>CR</v>
          </cell>
          <cell r="E91" t="str">
            <v>SPCEN-SD</v>
          </cell>
          <cell r="F91">
            <v>1.2</v>
          </cell>
          <cell r="G91">
            <v>220</v>
          </cell>
          <cell r="H91">
            <v>620</v>
          </cell>
          <cell r="I91" t="str">
            <v>DS01/1</v>
          </cell>
          <cell r="J91">
            <v>50017258</v>
          </cell>
          <cell r="K91">
            <v>155</v>
          </cell>
        </row>
        <row r="92">
          <cell r="A92">
            <v>50019381</v>
          </cell>
          <cell r="D92" t="str">
            <v>CR</v>
          </cell>
          <cell r="E92" t="str">
            <v>SPCEN-SD</v>
          </cell>
          <cell r="F92">
            <v>0.7</v>
          </cell>
          <cell r="G92">
            <v>430</v>
          </cell>
          <cell r="H92">
            <v>500</v>
          </cell>
          <cell r="I92" t="str">
            <v>DS01/1</v>
          </cell>
          <cell r="J92">
            <v>50019381</v>
          </cell>
          <cell r="K92">
            <v>590</v>
          </cell>
        </row>
        <row r="93">
          <cell r="A93">
            <v>50019382</v>
          </cell>
          <cell r="D93" t="str">
            <v>CR</v>
          </cell>
          <cell r="E93" t="str">
            <v>SPCEN-SD</v>
          </cell>
          <cell r="F93">
            <v>0.7</v>
          </cell>
          <cell r="G93">
            <v>430</v>
          </cell>
          <cell r="H93">
            <v>500</v>
          </cell>
          <cell r="I93" t="str">
            <v>DS01/1</v>
          </cell>
          <cell r="J93">
            <v>50019382</v>
          </cell>
          <cell r="K93">
            <v>590</v>
          </cell>
        </row>
        <row r="94">
          <cell r="A94">
            <v>50020276</v>
          </cell>
          <cell r="D94" t="str">
            <v>CR</v>
          </cell>
          <cell r="E94" t="str">
            <v>SPCEN-SD</v>
          </cell>
          <cell r="F94">
            <v>1.4</v>
          </cell>
          <cell r="G94">
            <v>215</v>
          </cell>
          <cell r="H94">
            <v>235</v>
          </cell>
          <cell r="I94" t="str">
            <v>DS01/1</v>
          </cell>
          <cell r="J94">
            <v>50020276</v>
          </cell>
          <cell r="K94">
            <v>30</v>
          </cell>
        </row>
        <row r="95">
          <cell r="A95">
            <v>50021122</v>
          </cell>
          <cell r="D95" t="str">
            <v>CR</v>
          </cell>
          <cell r="E95" t="str">
            <v>SPCEN-SD</v>
          </cell>
          <cell r="F95">
            <v>1.2</v>
          </cell>
          <cell r="G95">
            <v>240</v>
          </cell>
          <cell r="H95">
            <v>1219</v>
          </cell>
          <cell r="I95" t="str">
            <v>DS01/1</v>
          </cell>
          <cell r="J95">
            <v>50021122</v>
          </cell>
          <cell r="K95">
            <v>80</v>
          </cell>
        </row>
        <row r="96">
          <cell r="A96">
            <v>50023095</v>
          </cell>
          <cell r="D96" t="str">
            <v>CR</v>
          </cell>
          <cell r="E96" t="str">
            <v>SPCEN-SD</v>
          </cell>
          <cell r="F96">
            <v>1</v>
          </cell>
          <cell r="G96">
            <v>355</v>
          </cell>
          <cell r="H96">
            <v>1122</v>
          </cell>
          <cell r="I96" t="str">
            <v>DS01/1</v>
          </cell>
          <cell r="J96">
            <v>50023095</v>
          </cell>
          <cell r="K96">
            <v>95</v>
          </cell>
        </row>
        <row r="97">
          <cell r="A97">
            <v>50025293</v>
          </cell>
          <cell r="D97" t="str">
            <v>CR</v>
          </cell>
          <cell r="E97" t="str">
            <v>SPCEN-SD</v>
          </cell>
          <cell r="F97">
            <v>1</v>
          </cell>
          <cell r="G97">
            <v>240</v>
          </cell>
          <cell r="H97">
            <v>540</v>
          </cell>
          <cell r="I97" t="str">
            <v>DS01/1</v>
          </cell>
          <cell r="J97">
            <v>50025293</v>
          </cell>
          <cell r="K97">
            <v>305</v>
          </cell>
        </row>
        <row r="98">
          <cell r="A98">
            <v>50025919</v>
          </cell>
          <cell r="D98" t="str">
            <v>CR</v>
          </cell>
          <cell r="E98" t="str">
            <v>SPCC-SD</v>
          </cell>
          <cell r="F98">
            <v>1.6</v>
          </cell>
          <cell r="G98">
            <v>420</v>
          </cell>
          <cell r="H98">
            <v>870</v>
          </cell>
          <cell r="I98" t="str">
            <v>DS01/1</v>
          </cell>
          <cell r="J98">
            <v>50025919</v>
          </cell>
          <cell r="K98">
            <v>75</v>
          </cell>
        </row>
        <row r="99">
          <cell r="A99">
            <v>50026949</v>
          </cell>
          <cell r="D99" t="str">
            <v>CR</v>
          </cell>
          <cell r="E99" t="str">
            <v>SPCEN-SD</v>
          </cell>
          <cell r="F99">
            <v>0.8</v>
          </cell>
          <cell r="G99">
            <v>250</v>
          </cell>
          <cell r="H99">
            <v>300</v>
          </cell>
          <cell r="I99" t="str">
            <v>DS01/1</v>
          </cell>
          <cell r="J99">
            <v>50026949</v>
          </cell>
          <cell r="K99">
            <v>45</v>
          </cell>
        </row>
        <row r="100">
          <cell r="A100">
            <v>50027896</v>
          </cell>
          <cell r="D100" t="str">
            <v>CR</v>
          </cell>
          <cell r="E100" t="str">
            <v>SPCEN-SD</v>
          </cell>
          <cell r="F100">
            <v>0.8</v>
          </cell>
          <cell r="G100">
            <v>600</v>
          </cell>
          <cell r="H100">
            <v>700</v>
          </cell>
          <cell r="I100" t="str">
            <v>DS01/1</v>
          </cell>
          <cell r="J100">
            <v>50027896</v>
          </cell>
          <cell r="K100">
            <v>140</v>
          </cell>
        </row>
        <row r="101">
          <cell r="A101">
            <v>50028447</v>
          </cell>
          <cell r="D101" t="str">
            <v>CR</v>
          </cell>
          <cell r="E101" t="str">
            <v>SPCEN-SD</v>
          </cell>
          <cell r="F101">
            <v>1</v>
          </cell>
          <cell r="G101">
            <v>240</v>
          </cell>
          <cell r="H101">
            <v>540</v>
          </cell>
          <cell r="I101" t="str">
            <v>DS01/1</v>
          </cell>
          <cell r="J101">
            <v>50028447</v>
          </cell>
          <cell r="K101">
            <v>115</v>
          </cell>
        </row>
        <row r="102">
          <cell r="A102">
            <v>50032034</v>
          </cell>
          <cell r="B102" t="str">
            <v>PO SPHC P/O 3.2x53x1230</v>
          </cell>
          <cell r="C102" t="str">
            <v>PO SPHC P/O</v>
          </cell>
          <cell r="D102" t="str">
            <v>PO</v>
          </cell>
          <cell r="E102" t="str">
            <v>SPHC P/O</v>
          </cell>
          <cell r="F102">
            <v>3.2</v>
          </cell>
          <cell r="G102">
            <v>53</v>
          </cell>
          <cell r="H102">
            <v>1230</v>
          </cell>
          <cell r="I102" t="str">
            <v>DS01/1</v>
          </cell>
          <cell r="J102">
            <v>50032034</v>
          </cell>
          <cell r="K102">
            <v>450</v>
          </cell>
          <cell r="L102" t="str">
            <v>E2-ND-06-TSA-0155</v>
          </cell>
        </row>
        <row r="103">
          <cell r="A103">
            <v>50032062</v>
          </cell>
          <cell r="D103" t="str">
            <v>CR</v>
          </cell>
          <cell r="E103" t="str">
            <v>SPCC-SD</v>
          </cell>
          <cell r="F103">
            <v>0.8</v>
          </cell>
          <cell r="G103">
            <v>186</v>
          </cell>
          <cell r="H103">
            <v>1219</v>
          </cell>
          <cell r="I103" t="str">
            <v>DS01/1</v>
          </cell>
          <cell r="J103">
            <v>50032062</v>
          </cell>
          <cell r="K103">
            <v>70</v>
          </cell>
        </row>
        <row r="104">
          <cell r="A104">
            <v>50032063</v>
          </cell>
          <cell r="D104" t="str">
            <v>CR</v>
          </cell>
          <cell r="E104" t="str">
            <v>SPCC-SD</v>
          </cell>
          <cell r="F104">
            <v>0.8</v>
          </cell>
          <cell r="G104">
            <v>135</v>
          </cell>
          <cell r="H104">
            <v>1219</v>
          </cell>
          <cell r="I104" t="str">
            <v>DS01/1</v>
          </cell>
          <cell r="J104">
            <v>50032063</v>
          </cell>
          <cell r="K104">
            <v>50</v>
          </cell>
        </row>
        <row r="105">
          <cell r="A105">
            <v>50032064</v>
          </cell>
          <cell r="D105" t="str">
            <v>CR</v>
          </cell>
          <cell r="E105" t="str">
            <v>SPCC-SD</v>
          </cell>
          <cell r="F105">
            <v>0.8</v>
          </cell>
          <cell r="G105">
            <v>128</v>
          </cell>
          <cell r="H105">
            <v>1219</v>
          </cell>
          <cell r="I105" t="str">
            <v>DS01/1</v>
          </cell>
          <cell r="J105">
            <v>50032064</v>
          </cell>
          <cell r="K105">
            <v>50</v>
          </cell>
        </row>
        <row r="106">
          <cell r="A106">
            <v>50032528</v>
          </cell>
          <cell r="D106" t="str">
            <v>CR</v>
          </cell>
          <cell r="E106" t="str">
            <v>SPCC-SD</v>
          </cell>
          <cell r="F106">
            <v>0.6</v>
          </cell>
          <cell r="G106">
            <v>300</v>
          </cell>
          <cell r="H106">
            <v>600</v>
          </cell>
          <cell r="I106" t="str">
            <v>DS01/1</v>
          </cell>
          <cell r="J106">
            <v>50032528</v>
          </cell>
          <cell r="K106">
            <v>20</v>
          </cell>
        </row>
        <row r="107">
          <cell r="A107">
            <v>50034584</v>
          </cell>
          <cell r="D107" t="str">
            <v>CR</v>
          </cell>
          <cell r="E107" t="str">
            <v>SPCEN-SD</v>
          </cell>
          <cell r="F107">
            <v>1</v>
          </cell>
          <cell r="G107">
            <v>205</v>
          </cell>
          <cell r="H107">
            <v>485</v>
          </cell>
          <cell r="I107" t="str">
            <v>DS01/1</v>
          </cell>
          <cell r="J107">
            <v>50034584</v>
          </cell>
          <cell r="K107">
            <v>130</v>
          </cell>
        </row>
        <row r="108">
          <cell r="A108">
            <v>50034893</v>
          </cell>
          <cell r="B108" t="str">
            <v>CR SPCC-SD 2.0x90x1219</v>
          </cell>
          <cell r="C108" t="str">
            <v>CR SPCC-SD</v>
          </cell>
          <cell r="D108" t="str">
            <v>CR</v>
          </cell>
          <cell r="E108" t="str">
            <v>SPCC-SD</v>
          </cell>
          <cell r="F108">
            <v>2</v>
          </cell>
          <cell r="G108">
            <v>90</v>
          </cell>
          <cell r="H108">
            <v>1219</v>
          </cell>
          <cell r="I108" t="str">
            <v>DS01/1</v>
          </cell>
          <cell r="J108">
            <v>50034893</v>
          </cell>
          <cell r="K108">
            <v>75</v>
          </cell>
          <cell r="L108" t="str">
            <v>E2-ND-06-TSA-0152</v>
          </cell>
        </row>
        <row r="109">
          <cell r="A109">
            <v>50035776</v>
          </cell>
          <cell r="D109" t="str">
            <v>CR</v>
          </cell>
          <cell r="E109" t="str">
            <v>SPCC-SD</v>
          </cell>
          <cell r="F109">
            <v>2.2999999999999998</v>
          </cell>
          <cell r="G109">
            <v>83</v>
          </cell>
          <cell r="H109">
            <v>1219</v>
          </cell>
          <cell r="I109" t="str">
            <v>DS01/1</v>
          </cell>
          <cell r="J109">
            <v>50035776</v>
          </cell>
          <cell r="K109">
            <v>915</v>
          </cell>
        </row>
        <row r="110">
          <cell r="A110">
            <v>50035777</v>
          </cell>
          <cell r="D110" t="str">
            <v>CR</v>
          </cell>
          <cell r="E110" t="str">
            <v>SPCC-SD</v>
          </cell>
          <cell r="F110">
            <v>2.2999999999999998</v>
          </cell>
          <cell r="G110">
            <v>83</v>
          </cell>
          <cell r="H110">
            <v>1219</v>
          </cell>
          <cell r="I110" t="str">
            <v>DS01/1</v>
          </cell>
          <cell r="J110">
            <v>50035777</v>
          </cell>
          <cell r="K110">
            <v>915</v>
          </cell>
        </row>
        <row r="111">
          <cell r="A111">
            <v>50035778</v>
          </cell>
          <cell r="D111" t="str">
            <v>CR</v>
          </cell>
          <cell r="E111" t="str">
            <v>SPCC-SD</v>
          </cell>
          <cell r="F111">
            <v>2.2999999999999998</v>
          </cell>
          <cell r="G111">
            <v>83</v>
          </cell>
          <cell r="H111">
            <v>1219</v>
          </cell>
          <cell r="I111" t="str">
            <v>DS01/1</v>
          </cell>
          <cell r="J111">
            <v>50035778</v>
          </cell>
          <cell r="K111">
            <v>485</v>
          </cell>
        </row>
        <row r="112">
          <cell r="A112">
            <v>50035938</v>
          </cell>
          <cell r="D112" t="str">
            <v>CR</v>
          </cell>
          <cell r="E112" t="str">
            <v>SPCC-SD</v>
          </cell>
          <cell r="F112">
            <v>2.2999999999999998</v>
          </cell>
          <cell r="G112">
            <v>83</v>
          </cell>
          <cell r="H112">
            <v>1219</v>
          </cell>
          <cell r="I112" t="str">
            <v>DS01/1</v>
          </cell>
          <cell r="J112">
            <v>50035938</v>
          </cell>
          <cell r="K112">
            <v>675</v>
          </cell>
        </row>
        <row r="113">
          <cell r="A113">
            <v>50035939</v>
          </cell>
          <cell r="D113" t="str">
            <v>CR</v>
          </cell>
          <cell r="E113" t="str">
            <v>SPCC-SD</v>
          </cell>
          <cell r="F113">
            <v>2.2999999999999998</v>
          </cell>
          <cell r="G113">
            <v>83</v>
          </cell>
          <cell r="H113">
            <v>1219</v>
          </cell>
          <cell r="I113" t="str">
            <v>DS01/1</v>
          </cell>
          <cell r="J113">
            <v>50035939</v>
          </cell>
          <cell r="K113">
            <v>675</v>
          </cell>
        </row>
        <row r="114">
          <cell r="A114">
            <v>50037863</v>
          </cell>
          <cell r="B114" t="str">
            <v>PO SPHC P/O 3.2x53x1230</v>
          </cell>
          <cell r="C114" t="str">
            <v>PO SPHC P/O</v>
          </cell>
          <cell r="D114" t="str">
            <v>PO</v>
          </cell>
          <cell r="E114" t="str">
            <v>SPHC P/O</v>
          </cell>
          <cell r="F114">
            <v>3.2</v>
          </cell>
          <cell r="G114">
            <v>53</v>
          </cell>
          <cell r="H114">
            <v>1230</v>
          </cell>
          <cell r="I114" t="str">
            <v>DS01/1</v>
          </cell>
          <cell r="J114">
            <v>50037863</v>
          </cell>
          <cell r="K114">
            <v>550</v>
          </cell>
          <cell r="L114" t="str">
            <v>E2-ND-06-TSA-0155</v>
          </cell>
        </row>
        <row r="115">
          <cell r="A115">
            <v>50037998</v>
          </cell>
          <cell r="D115" t="str">
            <v>CR</v>
          </cell>
          <cell r="E115" t="str">
            <v>SPCEN-SD</v>
          </cell>
          <cell r="F115">
            <v>1</v>
          </cell>
          <cell r="G115">
            <v>420</v>
          </cell>
          <cell r="H115">
            <v>480</v>
          </cell>
          <cell r="I115" t="str">
            <v>DS01/1</v>
          </cell>
          <cell r="J115">
            <v>50037998</v>
          </cell>
          <cell r="K115">
            <v>70</v>
          </cell>
        </row>
        <row r="116">
          <cell r="A116">
            <v>50038183</v>
          </cell>
          <cell r="D116" t="str">
            <v>CR</v>
          </cell>
          <cell r="E116" t="str">
            <v>SPCC-SD</v>
          </cell>
          <cell r="F116">
            <v>0.6</v>
          </cell>
          <cell r="G116">
            <v>46</v>
          </cell>
          <cell r="H116">
            <v>895</v>
          </cell>
          <cell r="I116" t="str">
            <v>DS01/1</v>
          </cell>
          <cell r="J116">
            <v>50038183</v>
          </cell>
          <cell r="K116">
            <v>75</v>
          </cell>
        </row>
        <row r="117">
          <cell r="A117">
            <v>50038466</v>
          </cell>
          <cell r="D117" t="str">
            <v>CR</v>
          </cell>
          <cell r="E117" t="str">
            <v>SPCC-SD</v>
          </cell>
          <cell r="F117">
            <v>0.6</v>
          </cell>
          <cell r="G117">
            <v>46</v>
          </cell>
          <cell r="H117">
            <v>895</v>
          </cell>
          <cell r="I117" t="str">
            <v>DS01/1</v>
          </cell>
          <cell r="J117">
            <v>50038466</v>
          </cell>
          <cell r="K117">
            <v>160</v>
          </cell>
        </row>
        <row r="118">
          <cell r="A118">
            <v>50038470</v>
          </cell>
          <cell r="D118" t="str">
            <v>CR</v>
          </cell>
          <cell r="E118" t="str">
            <v>SPCC-SD</v>
          </cell>
          <cell r="F118">
            <v>0.6</v>
          </cell>
          <cell r="G118">
            <v>46</v>
          </cell>
          <cell r="H118">
            <v>895</v>
          </cell>
          <cell r="I118" t="str">
            <v>DS01/1</v>
          </cell>
          <cell r="J118">
            <v>50038470</v>
          </cell>
          <cell r="K118">
            <v>145</v>
          </cell>
        </row>
        <row r="119">
          <cell r="A119">
            <v>50039562</v>
          </cell>
          <cell r="B119" t="str">
            <v>PO SPHC P/O 4.5x83x1219</v>
          </cell>
          <cell r="C119" t="str">
            <v>PO SPHC P/O</v>
          </cell>
          <cell r="D119" t="str">
            <v>PO</v>
          </cell>
          <cell r="E119" t="str">
            <v>SPHC P/O</v>
          </cell>
          <cell r="F119">
            <v>4.5</v>
          </cell>
          <cell r="G119">
            <v>83</v>
          </cell>
          <cell r="H119">
            <v>1219</v>
          </cell>
          <cell r="I119" t="str">
            <v>DS01/1</v>
          </cell>
          <cell r="J119">
            <v>50039562</v>
          </cell>
          <cell r="K119">
            <v>893</v>
          </cell>
          <cell r="L119" t="str">
            <v>E2-ND-06-TSA-0155</v>
          </cell>
        </row>
        <row r="120">
          <cell r="A120">
            <v>50040182</v>
          </cell>
          <cell r="D120" t="str">
            <v>CR</v>
          </cell>
          <cell r="E120" t="str">
            <v>SPCC-SD</v>
          </cell>
          <cell r="F120">
            <v>0.8</v>
          </cell>
          <cell r="G120">
            <v>88</v>
          </cell>
          <cell r="H120">
            <v>1090</v>
          </cell>
          <cell r="I120" t="str">
            <v>DS01/1</v>
          </cell>
          <cell r="J120">
            <v>50040182</v>
          </cell>
          <cell r="K120">
            <v>102</v>
          </cell>
        </row>
        <row r="121">
          <cell r="A121">
            <v>50040183</v>
          </cell>
          <cell r="D121" t="str">
            <v>CR</v>
          </cell>
          <cell r="E121" t="str">
            <v>SPCC-SD</v>
          </cell>
          <cell r="F121">
            <v>0.8</v>
          </cell>
          <cell r="G121">
            <v>88</v>
          </cell>
          <cell r="H121">
            <v>1090</v>
          </cell>
          <cell r="I121" t="str">
            <v>DS01/1</v>
          </cell>
          <cell r="J121">
            <v>50040183</v>
          </cell>
          <cell r="K121">
            <v>35</v>
          </cell>
        </row>
        <row r="122">
          <cell r="A122">
            <v>50041791</v>
          </cell>
          <cell r="D122" t="str">
            <v>CR</v>
          </cell>
          <cell r="E122" t="str">
            <v>SPCC-SD</v>
          </cell>
          <cell r="F122">
            <v>0.8</v>
          </cell>
          <cell r="G122">
            <v>105</v>
          </cell>
          <cell r="H122">
            <v>360</v>
          </cell>
          <cell r="I122" t="str">
            <v>DS01/1</v>
          </cell>
          <cell r="J122">
            <v>50041791</v>
          </cell>
          <cell r="K122">
            <v>648</v>
          </cell>
        </row>
        <row r="123">
          <cell r="A123">
            <v>50042587</v>
          </cell>
          <cell r="D123" t="str">
            <v>CR</v>
          </cell>
          <cell r="E123" t="str">
            <v>SPCC-SD</v>
          </cell>
          <cell r="F123">
            <v>1.2</v>
          </cell>
          <cell r="G123">
            <v>345</v>
          </cell>
          <cell r="H123">
            <v>385</v>
          </cell>
          <cell r="I123" t="str">
            <v>DS01/1</v>
          </cell>
          <cell r="J123">
            <v>50042587</v>
          </cell>
          <cell r="K123">
            <v>48</v>
          </cell>
        </row>
        <row r="124">
          <cell r="A124">
            <v>50042992</v>
          </cell>
          <cell r="D124" t="str">
            <v>CR</v>
          </cell>
          <cell r="E124" t="str">
            <v>SPCC-SD</v>
          </cell>
          <cell r="F124">
            <v>1.2</v>
          </cell>
          <cell r="G124">
            <v>440</v>
          </cell>
          <cell r="H124">
            <v>1219</v>
          </cell>
          <cell r="I124" t="str">
            <v>DS01/1</v>
          </cell>
          <cell r="J124">
            <v>50042992</v>
          </cell>
          <cell r="K124">
            <v>20</v>
          </cell>
        </row>
        <row r="125">
          <cell r="A125">
            <v>50043791</v>
          </cell>
          <cell r="D125" t="str">
            <v>CR</v>
          </cell>
          <cell r="E125" t="str">
            <v>SPCC-SD</v>
          </cell>
          <cell r="F125">
            <v>2.2999999999999998</v>
          </cell>
          <cell r="G125">
            <v>280</v>
          </cell>
          <cell r="H125">
            <v>280</v>
          </cell>
          <cell r="I125" t="str">
            <v>DS01/1</v>
          </cell>
          <cell r="J125">
            <v>50043791</v>
          </cell>
          <cell r="K125">
            <v>425</v>
          </cell>
        </row>
        <row r="126">
          <cell r="A126">
            <v>50043853</v>
          </cell>
          <cell r="D126" t="str">
            <v>CR</v>
          </cell>
          <cell r="E126" t="str">
            <v>SPCC-SD</v>
          </cell>
          <cell r="F126">
            <v>2.2999999999999998</v>
          </cell>
          <cell r="G126">
            <v>280</v>
          </cell>
          <cell r="H126">
            <v>280</v>
          </cell>
          <cell r="I126" t="str">
            <v>DS01/1</v>
          </cell>
          <cell r="J126">
            <v>50043853</v>
          </cell>
          <cell r="K126">
            <v>245</v>
          </cell>
        </row>
        <row r="127">
          <cell r="A127">
            <v>50044133</v>
          </cell>
          <cell r="D127" t="str">
            <v>CR</v>
          </cell>
          <cell r="E127" t="str">
            <v>SPCC-SD</v>
          </cell>
          <cell r="F127">
            <v>3.2</v>
          </cell>
          <cell r="G127">
            <v>170</v>
          </cell>
          <cell r="H127">
            <v>1133</v>
          </cell>
          <cell r="I127" t="str">
            <v>DS01/1</v>
          </cell>
          <cell r="J127">
            <v>50044133</v>
          </cell>
          <cell r="K127">
            <v>20</v>
          </cell>
        </row>
        <row r="128">
          <cell r="A128">
            <v>50044194</v>
          </cell>
          <cell r="D128" t="str">
            <v>PO</v>
          </cell>
          <cell r="E128" t="str">
            <v>SPHC P/O</v>
          </cell>
          <cell r="F128">
            <v>6</v>
          </cell>
          <cell r="G128">
            <v>160</v>
          </cell>
          <cell r="H128">
            <v>1219</v>
          </cell>
          <cell r="I128" t="str">
            <v>DS01/1</v>
          </cell>
          <cell r="J128">
            <v>50044194</v>
          </cell>
          <cell r="K128">
            <v>184</v>
          </cell>
        </row>
        <row r="129">
          <cell r="A129">
            <v>50044905</v>
          </cell>
          <cell r="D129" t="str">
            <v>CR</v>
          </cell>
          <cell r="E129" t="str">
            <v>SPCC-SD</v>
          </cell>
          <cell r="F129">
            <v>0.6</v>
          </cell>
          <cell r="G129">
            <v>300</v>
          </cell>
          <cell r="H129">
            <v>600</v>
          </cell>
          <cell r="I129" t="str">
            <v>DS01/1</v>
          </cell>
          <cell r="J129">
            <v>50044905</v>
          </cell>
          <cell r="K129">
            <v>42</v>
          </cell>
        </row>
        <row r="130">
          <cell r="A130">
            <v>50045489</v>
          </cell>
          <cell r="D130" t="str">
            <v>CR</v>
          </cell>
          <cell r="E130" t="str">
            <v>SPCC-SD</v>
          </cell>
          <cell r="F130">
            <v>0.7</v>
          </cell>
          <cell r="G130">
            <v>650</v>
          </cell>
          <cell r="H130">
            <v>1540</v>
          </cell>
          <cell r="I130" t="str">
            <v>DS01/1</v>
          </cell>
          <cell r="J130">
            <v>50045489</v>
          </cell>
          <cell r="K130">
            <v>340</v>
          </cell>
        </row>
        <row r="131">
          <cell r="A131">
            <v>50045495</v>
          </cell>
          <cell r="D131" t="str">
            <v>CR</v>
          </cell>
          <cell r="E131" t="str">
            <v>SPCC-SD</v>
          </cell>
          <cell r="F131">
            <v>0.7</v>
          </cell>
          <cell r="G131">
            <v>570</v>
          </cell>
          <cell r="H131">
            <v>1510</v>
          </cell>
          <cell r="I131" t="str">
            <v>DS01/1</v>
          </cell>
          <cell r="J131">
            <v>50045495</v>
          </cell>
          <cell r="K131">
            <v>395</v>
          </cell>
        </row>
        <row r="132">
          <cell r="A132">
            <v>50045501</v>
          </cell>
          <cell r="D132" t="str">
            <v>CR</v>
          </cell>
          <cell r="E132" t="str">
            <v>SPCC-SD</v>
          </cell>
          <cell r="F132">
            <v>0.7</v>
          </cell>
          <cell r="G132">
            <v>645</v>
          </cell>
          <cell r="H132">
            <v>1525</v>
          </cell>
          <cell r="I132" t="str">
            <v>DS01/1</v>
          </cell>
          <cell r="J132">
            <v>50045501</v>
          </cell>
          <cell r="K132">
            <v>445</v>
          </cell>
        </row>
        <row r="133">
          <cell r="A133">
            <v>50045722</v>
          </cell>
          <cell r="B133" t="str">
            <v>PO SPHC P/O 4.5x83x1219</v>
          </cell>
          <cell r="C133" t="str">
            <v>PO SPHC P/O</v>
          </cell>
          <cell r="D133" t="str">
            <v>PO</v>
          </cell>
          <cell r="E133" t="str">
            <v>SPHC P/O</v>
          </cell>
          <cell r="F133">
            <v>4.5</v>
          </cell>
          <cell r="G133">
            <v>83</v>
          </cell>
          <cell r="H133">
            <v>1219</v>
          </cell>
          <cell r="I133" t="str">
            <v>DS01/1</v>
          </cell>
          <cell r="J133">
            <v>50045722</v>
          </cell>
          <cell r="K133">
            <v>645</v>
          </cell>
          <cell r="L133" t="str">
            <v>E2-ND-06-TSA-0155</v>
          </cell>
        </row>
        <row r="134">
          <cell r="A134">
            <v>50046383</v>
          </cell>
          <cell r="D134" t="str">
            <v>CR</v>
          </cell>
          <cell r="E134" t="str">
            <v>SPCEN-SD</v>
          </cell>
          <cell r="F134">
            <v>1.4</v>
          </cell>
          <cell r="G134">
            <v>215</v>
          </cell>
          <cell r="H134">
            <v>235</v>
          </cell>
          <cell r="I134" t="str">
            <v>DS01/1</v>
          </cell>
          <cell r="J134">
            <v>50046383</v>
          </cell>
          <cell r="K134">
            <v>100</v>
          </cell>
        </row>
        <row r="135">
          <cell r="A135">
            <v>50047114</v>
          </cell>
          <cell r="D135" t="str">
            <v>PO</v>
          </cell>
          <cell r="E135" t="str">
            <v>SPHC P/O</v>
          </cell>
          <cell r="F135">
            <v>6</v>
          </cell>
          <cell r="G135">
            <v>125</v>
          </cell>
          <cell r="H135">
            <v>1219</v>
          </cell>
          <cell r="I135" t="str">
            <v>DS01/1</v>
          </cell>
          <cell r="J135">
            <v>50047114</v>
          </cell>
          <cell r="K135">
            <v>107</v>
          </cell>
        </row>
        <row r="136">
          <cell r="A136">
            <v>50047267</v>
          </cell>
          <cell r="D136" t="str">
            <v>CR</v>
          </cell>
          <cell r="E136" t="str">
            <v>SPCC-SD</v>
          </cell>
          <cell r="F136">
            <v>0.8</v>
          </cell>
          <cell r="G136">
            <v>88</v>
          </cell>
          <cell r="H136">
            <v>1090</v>
          </cell>
          <cell r="I136" t="str">
            <v>DS01/1</v>
          </cell>
          <cell r="J136">
            <v>50047267</v>
          </cell>
          <cell r="K136">
            <v>229</v>
          </cell>
        </row>
        <row r="137">
          <cell r="A137">
            <v>50047268</v>
          </cell>
          <cell r="D137" t="str">
            <v>CR</v>
          </cell>
          <cell r="E137" t="str">
            <v>SPCC-SD</v>
          </cell>
          <cell r="F137">
            <v>0.8</v>
          </cell>
          <cell r="G137">
            <v>88</v>
          </cell>
          <cell r="H137">
            <v>1090</v>
          </cell>
          <cell r="I137" t="str">
            <v>DS01/1</v>
          </cell>
          <cell r="J137">
            <v>50047268</v>
          </cell>
          <cell r="K137">
            <v>269</v>
          </cell>
        </row>
        <row r="138">
          <cell r="A138">
            <v>50048253</v>
          </cell>
          <cell r="D138" t="str">
            <v>CR</v>
          </cell>
          <cell r="E138" t="str">
            <v>SPCC-SD</v>
          </cell>
          <cell r="F138">
            <v>0.9</v>
          </cell>
          <cell r="G138">
            <v>300</v>
          </cell>
          <cell r="H138">
            <v>540</v>
          </cell>
          <cell r="I138" t="str">
            <v>DS01/1</v>
          </cell>
          <cell r="J138">
            <v>50048253</v>
          </cell>
          <cell r="K138">
            <v>202</v>
          </cell>
        </row>
        <row r="139">
          <cell r="A139">
            <v>50048544</v>
          </cell>
          <cell r="B139" t="str">
            <v>CR SPCC-SD 1.2x90x1219</v>
          </cell>
          <cell r="C139" t="str">
            <v>CR SPCC-SD</v>
          </cell>
          <cell r="D139" t="str">
            <v>CR</v>
          </cell>
          <cell r="E139" t="str">
            <v>SPCC-SD</v>
          </cell>
          <cell r="F139">
            <v>1.2</v>
          </cell>
          <cell r="G139">
            <v>90</v>
          </cell>
          <cell r="H139">
            <v>1219</v>
          </cell>
          <cell r="I139" t="str">
            <v>DS01/1</v>
          </cell>
          <cell r="J139">
            <v>50048544</v>
          </cell>
          <cell r="K139">
            <v>44</v>
          </cell>
          <cell r="L139" t="str">
            <v>E1-NJ-06-TSA-0377</v>
          </cell>
        </row>
        <row r="140">
          <cell r="A140">
            <v>50048564</v>
          </cell>
          <cell r="D140" t="str">
            <v>CR</v>
          </cell>
          <cell r="E140" t="str">
            <v>SPCC-SD</v>
          </cell>
          <cell r="F140">
            <v>0.6</v>
          </cell>
          <cell r="G140">
            <v>285</v>
          </cell>
          <cell r="H140">
            <v>565</v>
          </cell>
          <cell r="I140" t="str">
            <v>DS01/1</v>
          </cell>
          <cell r="J140">
            <v>50048564</v>
          </cell>
          <cell r="K140">
            <v>124</v>
          </cell>
        </row>
        <row r="141">
          <cell r="A141">
            <v>50048671</v>
          </cell>
          <cell r="D141" t="str">
            <v>CR</v>
          </cell>
          <cell r="E141" t="str">
            <v>SPCC-SD</v>
          </cell>
          <cell r="F141">
            <v>0.6</v>
          </cell>
          <cell r="G141">
            <v>285</v>
          </cell>
          <cell r="H141">
            <v>565</v>
          </cell>
          <cell r="I141" t="str">
            <v>DS01/1</v>
          </cell>
          <cell r="J141">
            <v>50048671</v>
          </cell>
          <cell r="K141">
            <v>760</v>
          </cell>
        </row>
        <row r="142">
          <cell r="A142">
            <v>50048672</v>
          </cell>
          <cell r="D142" t="str">
            <v>CR</v>
          </cell>
          <cell r="E142" t="str">
            <v>SPCC-SD</v>
          </cell>
          <cell r="F142">
            <v>0.6</v>
          </cell>
          <cell r="G142">
            <v>285</v>
          </cell>
          <cell r="H142">
            <v>565</v>
          </cell>
          <cell r="I142" t="str">
            <v>DS01/1</v>
          </cell>
          <cell r="J142">
            <v>50048672</v>
          </cell>
          <cell r="K142">
            <v>760</v>
          </cell>
        </row>
        <row r="143">
          <cell r="A143">
            <v>50048947</v>
          </cell>
          <cell r="D143" t="str">
            <v>CR</v>
          </cell>
          <cell r="E143" t="str">
            <v>SPCC-SD</v>
          </cell>
          <cell r="F143">
            <v>2.2999999999999998</v>
          </cell>
          <cell r="G143">
            <v>280</v>
          </cell>
          <cell r="H143">
            <v>280</v>
          </cell>
          <cell r="I143" t="str">
            <v>DS01/1</v>
          </cell>
          <cell r="J143">
            <v>50048947</v>
          </cell>
          <cell r="K143">
            <v>320</v>
          </cell>
        </row>
        <row r="144">
          <cell r="A144">
            <v>50048966</v>
          </cell>
          <cell r="B144" t="str">
            <v>PO SPHC P/O 3.2x66x1219</v>
          </cell>
          <cell r="C144" t="str">
            <v>PO SPHC P/O</v>
          </cell>
          <cell r="D144" t="str">
            <v>PO</v>
          </cell>
          <cell r="E144" t="str">
            <v>SPHC P/O</v>
          </cell>
          <cell r="F144">
            <v>3.2</v>
          </cell>
          <cell r="G144">
            <v>66</v>
          </cell>
          <cell r="H144">
            <v>1219</v>
          </cell>
          <cell r="I144" t="str">
            <v>DS01/1</v>
          </cell>
          <cell r="J144">
            <v>50048966</v>
          </cell>
          <cell r="K144">
            <v>101</v>
          </cell>
          <cell r="L144" t="str">
            <v>E2-ND-06-TSA-0154</v>
          </cell>
        </row>
        <row r="145">
          <cell r="A145">
            <v>50049000</v>
          </cell>
          <cell r="D145" t="str">
            <v>CR</v>
          </cell>
          <cell r="E145" t="str">
            <v>SPCEN-SD</v>
          </cell>
          <cell r="F145">
            <v>1</v>
          </cell>
          <cell r="G145">
            <v>430</v>
          </cell>
          <cell r="H145">
            <v>460</v>
          </cell>
          <cell r="I145" t="str">
            <v>DS01/1</v>
          </cell>
          <cell r="J145">
            <v>50049000</v>
          </cell>
          <cell r="K145">
            <v>124</v>
          </cell>
        </row>
        <row r="146">
          <cell r="A146">
            <v>50049112</v>
          </cell>
          <cell r="B146" t="str">
            <v>PO SPHC P/O 4.5x83x1219</v>
          </cell>
          <cell r="C146" t="str">
            <v>PO SPHC P/O</v>
          </cell>
          <cell r="D146" t="str">
            <v>PO</v>
          </cell>
          <cell r="E146" t="str">
            <v>SPHC P/O</v>
          </cell>
          <cell r="F146">
            <v>4.5</v>
          </cell>
          <cell r="G146">
            <v>83</v>
          </cell>
          <cell r="H146">
            <v>1219</v>
          </cell>
          <cell r="I146" t="str">
            <v>DS01/1</v>
          </cell>
          <cell r="J146">
            <v>50049112</v>
          </cell>
          <cell r="K146">
            <v>295</v>
          </cell>
          <cell r="L146" t="str">
            <v>E2-ND-06-TSA-0155</v>
          </cell>
        </row>
        <row r="147">
          <cell r="A147">
            <v>50049879</v>
          </cell>
          <cell r="D147" t="str">
            <v>CR</v>
          </cell>
          <cell r="E147" t="str">
            <v>SPCEN-SD</v>
          </cell>
          <cell r="F147">
            <v>1.4</v>
          </cell>
          <cell r="G147">
            <v>215</v>
          </cell>
          <cell r="H147">
            <v>235</v>
          </cell>
          <cell r="I147" t="str">
            <v>DS01/1</v>
          </cell>
          <cell r="J147">
            <v>50049879</v>
          </cell>
          <cell r="K147">
            <v>110</v>
          </cell>
        </row>
        <row r="148">
          <cell r="A148">
            <v>50050340</v>
          </cell>
          <cell r="D148" t="str">
            <v>CR</v>
          </cell>
          <cell r="E148" t="str">
            <v>SPCEN-SD</v>
          </cell>
          <cell r="F148">
            <v>0.9</v>
          </cell>
          <cell r="G148">
            <v>360</v>
          </cell>
          <cell r="H148">
            <v>550</v>
          </cell>
          <cell r="I148" t="str">
            <v>DS01/1</v>
          </cell>
          <cell r="J148">
            <v>50050340</v>
          </cell>
          <cell r="K148">
            <v>56</v>
          </cell>
        </row>
        <row r="149">
          <cell r="A149">
            <v>50050799</v>
          </cell>
          <cell r="B149" t="str">
            <v>PO SPHC P/O 6.0x96x1219</v>
          </cell>
          <cell r="C149" t="str">
            <v>PO SPHC P/O</v>
          </cell>
          <cell r="D149" t="str">
            <v>PO</v>
          </cell>
          <cell r="E149" t="str">
            <v>SPHC P/O</v>
          </cell>
          <cell r="F149">
            <v>6</v>
          </cell>
          <cell r="G149">
            <v>96</v>
          </cell>
          <cell r="H149">
            <v>1219</v>
          </cell>
          <cell r="I149" t="str">
            <v>DS01/1</v>
          </cell>
          <cell r="J149">
            <v>50050799</v>
          </cell>
          <cell r="K149">
            <v>320</v>
          </cell>
          <cell r="L149" t="str">
            <v>E2-ND-06-TSA-0155</v>
          </cell>
        </row>
        <row r="150">
          <cell r="A150">
            <v>50052327</v>
          </cell>
          <cell r="D150" t="str">
            <v>CR</v>
          </cell>
          <cell r="E150" t="str">
            <v>SPCC-SD</v>
          </cell>
          <cell r="F150">
            <v>2.6</v>
          </cell>
          <cell r="G150">
            <v>210</v>
          </cell>
          <cell r="H150">
            <v>1219</v>
          </cell>
          <cell r="I150" t="str">
            <v>DS01/1</v>
          </cell>
          <cell r="J150">
            <v>50052327</v>
          </cell>
          <cell r="K150">
            <v>5</v>
          </cell>
        </row>
        <row r="151">
          <cell r="A151">
            <v>50052789</v>
          </cell>
          <cell r="D151" t="str">
            <v>PO</v>
          </cell>
          <cell r="E151" t="str">
            <v>SPHC P/O</v>
          </cell>
          <cell r="F151">
            <v>2</v>
          </cell>
          <cell r="G151">
            <v>174</v>
          </cell>
          <cell r="H151">
            <v>1219</v>
          </cell>
          <cell r="I151" t="str">
            <v>DS01/1</v>
          </cell>
          <cell r="J151">
            <v>50052789</v>
          </cell>
          <cell r="K151">
            <v>310</v>
          </cell>
        </row>
        <row r="152">
          <cell r="A152">
            <v>50053113</v>
          </cell>
          <cell r="D152" t="str">
            <v>CR</v>
          </cell>
          <cell r="E152" t="str">
            <v>SPCEN-SD</v>
          </cell>
          <cell r="F152">
            <v>1</v>
          </cell>
          <cell r="G152">
            <v>420</v>
          </cell>
          <cell r="H152">
            <v>460</v>
          </cell>
          <cell r="I152" t="str">
            <v>DS01/1</v>
          </cell>
          <cell r="J152">
            <v>50053113</v>
          </cell>
          <cell r="K152">
            <v>167</v>
          </cell>
        </row>
        <row r="153">
          <cell r="A153">
            <v>50053271</v>
          </cell>
          <cell r="D153" t="str">
            <v>CR</v>
          </cell>
          <cell r="E153" t="str">
            <v>SPCC-SD</v>
          </cell>
          <cell r="F153">
            <v>1</v>
          </cell>
          <cell r="G153">
            <v>155</v>
          </cell>
          <cell r="H153">
            <v>165</v>
          </cell>
          <cell r="I153" t="str">
            <v>DS01/1</v>
          </cell>
          <cell r="J153">
            <v>50053271</v>
          </cell>
          <cell r="K153">
            <v>109</v>
          </cell>
        </row>
        <row r="154">
          <cell r="A154">
            <v>50053857</v>
          </cell>
          <cell r="D154" t="str">
            <v>CR</v>
          </cell>
          <cell r="E154" t="str">
            <v>SPCC-SD</v>
          </cell>
          <cell r="F154">
            <v>2</v>
          </cell>
          <cell r="G154">
            <v>120</v>
          </cell>
          <cell r="H154">
            <v>150</v>
          </cell>
          <cell r="I154" t="str">
            <v>DS01/1</v>
          </cell>
          <cell r="J154">
            <v>50053857</v>
          </cell>
          <cell r="K154">
            <v>28</v>
          </cell>
        </row>
        <row r="155">
          <cell r="A155">
            <v>50053872</v>
          </cell>
          <cell r="D155" t="str">
            <v>CR</v>
          </cell>
          <cell r="E155" t="str">
            <v>SPCC-SD</v>
          </cell>
          <cell r="F155">
            <v>1</v>
          </cell>
          <cell r="G155">
            <v>180</v>
          </cell>
          <cell r="H155">
            <v>410</v>
          </cell>
          <cell r="I155" t="str">
            <v>DS01/1</v>
          </cell>
          <cell r="J155">
            <v>50053872</v>
          </cell>
          <cell r="K155">
            <v>66</v>
          </cell>
        </row>
        <row r="156">
          <cell r="A156">
            <v>50053922</v>
          </cell>
          <cell r="D156" t="str">
            <v>CR</v>
          </cell>
          <cell r="E156" t="str">
            <v>SPCC-SD</v>
          </cell>
          <cell r="F156">
            <v>1</v>
          </cell>
          <cell r="G156">
            <v>530</v>
          </cell>
          <cell r="H156">
            <v>1219</v>
          </cell>
          <cell r="I156" t="str">
            <v>DS01/1</v>
          </cell>
          <cell r="J156">
            <v>50053922</v>
          </cell>
          <cell r="K156">
            <v>78</v>
          </cell>
        </row>
        <row r="157">
          <cell r="A157">
            <v>50054074</v>
          </cell>
          <cell r="B157" t="str">
            <v>PO SPHC P/O 3.2x86x1219</v>
          </cell>
          <cell r="C157" t="str">
            <v>PO SPHC P/O</v>
          </cell>
          <cell r="D157" t="str">
            <v>PO</v>
          </cell>
          <cell r="E157" t="str">
            <v>SPHC P/O</v>
          </cell>
          <cell r="F157">
            <v>3.2</v>
          </cell>
          <cell r="G157">
            <v>86</v>
          </cell>
          <cell r="H157">
            <v>1219</v>
          </cell>
          <cell r="I157" t="str">
            <v>DS01/1</v>
          </cell>
          <cell r="J157">
            <v>50054074</v>
          </cell>
          <cell r="K157">
            <v>132</v>
          </cell>
          <cell r="L157" t="str">
            <v>E2-ND-06-TSA-0154</v>
          </cell>
        </row>
        <row r="158">
          <cell r="A158">
            <v>50054116</v>
          </cell>
          <cell r="B158" t="str">
            <v>PO SPHC P/O 3.2x63x1219</v>
          </cell>
          <cell r="C158" t="str">
            <v>PO SPHC P/O</v>
          </cell>
          <cell r="D158" t="str">
            <v>PO</v>
          </cell>
          <cell r="E158" t="str">
            <v>SPHC P/O</v>
          </cell>
          <cell r="F158">
            <v>3.2</v>
          </cell>
          <cell r="G158">
            <v>63</v>
          </cell>
          <cell r="H158">
            <v>1219</v>
          </cell>
          <cell r="I158" t="str">
            <v>DS01/1</v>
          </cell>
          <cell r="J158">
            <v>50054116</v>
          </cell>
          <cell r="K158">
            <v>57</v>
          </cell>
          <cell r="L158" t="str">
            <v>E2-ND-06-TSA-0155</v>
          </cell>
        </row>
        <row r="159">
          <cell r="A159">
            <v>50054238</v>
          </cell>
          <cell r="D159" t="str">
            <v>CR</v>
          </cell>
          <cell r="E159" t="str">
            <v>SPCC-SD</v>
          </cell>
          <cell r="F159">
            <v>0.6</v>
          </cell>
          <cell r="G159">
            <v>260</v>
          </cell>
          <cell r="H159">
            <v>280</v>
          </cell>
          <cell r="I159" t="str">
            <v>DS01/1</v>
          </cell>
          <cell r="J159">
            <v>50054238</v>
          </cell>
          <cell r="K159">
            <v>42</v>
          </cell>
        </row>
        <row r="160">
          <cell r="A160">
            <v>50054276</v>
          </cell>
          <cell r="D160" t="str">
            <v>CR</v>
          </cell>
          <cell r="E160" t="str">
            <v>SPCEN-SD</v>
          </cell>
          <cell r="F160">
            <v>1</v>
          </cell>
          <cell r="G160">
            <v>400</v>
          </cell>
          <cell r="H160">
            <v>480</v>
          </cell>
          <cell r="I160" t="str">
            <v>DS01/1</v>
          </cell>
          <cell r="J160">
            <v>50054276</v>
          </cell>
          <cell r="K160">
            <v>453</v>
          </cell>
        </row>
        <row r="161">
          <cell r="A161">
            <v>50054336</v>
          </cell>
          <cell r="D161" t="str">
            <v>CR</v>
          </cell>
          <cell r="E161" t="str">
            <v>SPCC-SD</v>
          </cell>
          <cell r="F161">
            <v>2.2999999999999998</v>
          </cell>
          <cell r="G161">
            <v>94</v>
          </cell>
          <cell r="H161">
            <v>1219</v>
          </cell>
          <cell r="I161" t="str">
            <v>DS01/1</v>
          </cell>
          <cell r="J161">
            <v>50054336</v>
          </cell>
          <cell r="K161">
            <v>458</v>
          </cell>
        </row>
        <row r="162">
          <cell r="A162">
            <v>50054719</v>
          </cell>
          <cell r="D162" t="str">
            <v>CR</v>
          </cell>
          <cell r="E162" t="str">
            <v>SPCC-SD</v>
          </cell>
          <cell r="F162">
            <v>1.5</v>
          </cell>
          <cell r="G162">
            <v>275</v>
          </cell>
          <cell r="H162">
            <v>718.5</v>
          </cell>
          <cell r="I162" t="str">
            <v>DS01/1</v>
          </cell>
          <cell r="J162">
            <v>50054719</v>
          </cell>
          <cell r="K162">
            <v>248</v>
          </cell>
        </row>
        <row r="163">
          <cell r="A163">
            <v>50054721</v>
          </cell>
          <cell r="D163" t="str">
            <v>CR</v>
          </cell>
          <cell r="E163" t="str">
            <v>SPCC-SD</v>
          </cell>
          <cell r="F163">
            <v>1.5</v>
          </cell>
          <cell r="G163">
            <v>464.5</v>
          </cell>
          <cell r="H163">
            <v>1070</v>
          </cell>
          <cell r="I163" t="str">
            <v>DS01/1</v>
          </cell>
          <cell r="J163">
            <v>50054721</v>
          </cell>
          <cell r="K163">
            <v>586</v>
          </cell>
        </row>
        <row r="164">
          <cell r="A164">
            <v>50054722</v>
          </cell>
          <cell r="D164" t="str">
            <v>CR</v>
          </cell>
          <cell r="E164" t="str">
            <v>SPCC-SD</v>
          </cell>
          <cell r="F164">
            <v>1.5</v>
          </cell>
          <cell r="G164">
            <v>464.5</v>
          </cell>
          <cell r="H164">
            <v>1070</v>
          </cell>
          <cell r="I164" t="str">
            <v>DS01/1</v>
          </cell>
          <cell r="J164">
            <v>50054722</v>
          </cell>
          <cell r="K164">
            <v>585</v>
          </cell>
        </row>
        <row r="165">
          <cell r="A165">
            <v>50054737</v>
          </cell>
          <cell r="D165" t="str">
            <v>CR</v>
          </cell>
          <cell r="E165" t="str">
            <v>SPCC-SD</v>
          </cell>
          <cell r="F165">
            <v>1.5</v>
          </cell>
          <cell r="G165">
            <v>472</v>
          </cell>
          <cell r="H165">
            <v>1118.5</v>
          </cell>
          <cell r="I165" t="str">
            <v>DS01/1</v>
          </cell>
          <cell r="J165">
            <v>50054737</v>
          </cell>
          <cell r="K165">
            <v>622</v>
          </cell>
        </row>
        <row r="166">
          <cell r="A166">
            <v>50054738</v>
          </cell>
          <cell r="D166" t="str">
            <v>CR</v>
          </cell>
          <cell r="E166" t="str">
            <v>SPCC-SD</v>
          </cell>
          <cell r="F166">
            <v>1.5</v>
          </cell>
          <cell r="G166">
            <v>472</v>
          </cell>
          <cell r="H166">
            <v>1118.5</v>
          </cell>
          <cell r="I166" t="str">
            <v>DS01/1</v>
          </cell>
          <cell r="J166">
            <v>50054738</v>
          </cell>
          <cell r="K166">
            <v>622</v>
          </cell>
        </row>
        <row r="167">
          <cell r="A167">
            <v>50054739</v>
          </cell>
          <cell r="D167" t="str">
            <v>CR</v>
          </cell>
          <cell r="E167" t="str">
            <v>SPCC-SD</v>
          </cell>
          <cell r="F167">
            <v>1.5</v>
          </cell>
          <cell r="G167">
            <v>1025</v>
          </cell>
          <cell r="H167">
            <v>472</v>
          </cell>
          <cell r="I167" t="str">
            <v>DS01/1</v>
          </cell>
          <cell r="J167">
            <v>50054739</v>
          </cell>
          <cell r="K167">
            <v>114</v>
          </cell>
        </row>
        <row r="168">
          <cell r="A168">
            <v>50054752</v>
          </cell>
          <cell r="D168" t="str">
            <v>CR</v>
          </cell>
          <cell r="E168" t="str">
            <v>SPCC-SD</v>
          </cell>
          <cell r="F168">
            <v>1</v>
          </cell>
          <cell r="G168">
            <v>139</v>
          </cell>
          <cell r="H168">
            <v>822</v>
          </cell>
          <cell r="I168" t="str">
            <v>DS01/1</v>
          </cell>
          <cell r="J168">
            <v>50054752</v>
          </cell>
          <cell r="K168">
            <v>258</v>
          </cell>
        </row>
        <row r="169">
          <cell r="A169">
            <v>50054794</v>
          </cell>
          <cell r="D169" t="str">
            <v>CR</v>
          </cell>
          <cell r="E169" t="str">
            <v>SPCC-SD</v>
          </cell>
          <cell r="F169">
            <v>1</v>
          </cell>
          <cell r="G169">
            <v>295</v>
          </cell>
          <cell r="H169">
            <v>1666.5</v>
          </cell>
          <cell r="I169" t="str">
            <v>DS01/1</v>
          </cell>
          <cell r="J169">
            <v>50054794</v>
          </cell>
          <cell r="K169">
            <v>75</v>
          </cell>
        </row>
        <row r="170">
          <cell r="A170">
            <v>50055054</v>
          </cell>
          <cell r="D170" t="str">
            <v>CR</v>
          </cell>
          <cell r="E170" t="str">
            <v>SPCEN-SD</v>
          </cell>
          <cell r="F170">
            <v>0.9</v>
          </cell>
          <cell r="G170">
            <v>360</v>
          </cell>
          <cell r="H170">
            <v>550</v>
          </cell>
          <cell r="I170" t="str">
            <v>DS01/1</v>
          </cell>
          <cell r="J170">
            <v>50055054</v>
          </cell>
          <cell r="K170">
            <v>105</v>
          </cell>
        </row>
        <row r="171">
          <cell r="A171">
            <v>50055056</v>
          </cell>
          <cell r="B171" t="str">
            <v>PO SPHC P/O 1.6x41x1219</v>
          </cell>
          <cell r="C171" t="str">
            <v>PO SPHC P/O</v>
          </cell>
          <cell r="D171" t="str">
            <v>PO</v>
          </cell>
          <cell r="E171" t="str">
            <v>SPHC P/O</v>
          </cell>
          <cell r="F171">
            <v>1.6</v>
          </cell>
          <cell r="G171">
            <v>41</v>
          </cell>
          <cell r="H171">
            <v>1219</v>
          </cell>
          <cell r="I171" t="str">
            <v>DS01/1</v>
          </cell>
          <cell r="J171">
            <v>50055056</v>
          </cell>
          <cell r="K171">
            <v>126</v>
          </cell>
          <cell r="L171" t="str">
            <v>E2-ND-06-TSA-0153</v>
          </cell>
        </row>
        <row r="172">
          <cell r="A172">
            <v>50055063</v>
          </cell>
          <cell r="D172" t="str">
            <v>CR</v>
          </cell>
          <cell r="E172" t="str">
            <v>SPCEN-SD</v>
          </cell>
          <cell r="F172">
            <v>0.8</v>
          </cell>
          <cell r="G172">
            <v>330</v>
          </cell>
          <cell r="H172">
            <v>375</v>
          </cell>
          <cell r="I172" t="str">
            <v>DS01/1</v>
          </cell>
          <cell r="J172">
            <v>50055063</v>
          </cell>
          <cell r="K172">
            <v>16</v>
          </cell>
        </row>
        <row r="173">
          <cell r="A173">
            <v>50055265</v>
          </cell>
          <cell r="B173" t="str">
            <v>CR SPCC-SD 1.2x66x1219</v>
          </cell>
          <cell r="C173" t="str">
            <v>CR SPCC-SD</v>
          </cell>
          <cell r="D173" t="str">
            <v>CR</v>
          </cell>
          <cell r="E173" t="str">
            <v>SPCC-SD</v>
          </cell>
          <cell r="F173">
            <v>1.2</v>
          </cell>
          <cell r="G173">
            <v>66</v>
          </cell>
          <cell r="H173">
            <v>1219</v>
          </cell>
          <cell r="I173" t="str">
            <v>DS01/1</v>
          </cell>
          <cell r="J173">
            <v>50055265</v>
          </cell>
          <cell r="K173">
            <v>15</v>
          </cell>
          <cell r="L173" t="str">
            <v>E1-ND-06-TSA-0362</v>
          </cell>
        </row>
        <row r="174">
          <cell r="A174">
            <v>50055352</v>
          </cell>
          <cell r="D174" t="str">
            <v>CR</v>
          </cell>
          <cell r="E174" t="str">
            <v>SPCC-SD</v>
          </cell>
          <cell r="F174">
            <v>1.4</v>
          </cell>
          <cell r="G174">
            <v>317</v>
          </cell>
          <cell r="H174">
            <v>1150</v>
          </cell>
          <cell r="I174" t="str">
            <v>DS01/1</v>
          </cell>
          <cell r="J174">
            <v>50055352</v>
          </cell>
          <cell r="K174">
            <v>365</v>
          </cell>
        </row>
        <row r="175">
          <cell r="A175">
            <v>50055376</v>
          </cell>
          <cell r="D175" t="str">
            <v>CR</v>
          </cell>
          <cell r="E175" t="str">
            <v>SPCC-SD</v>
          </cell>
          <cell r="F175">
            <v>1.5</v>
          </cell>
          <cell r="G175">
            <v>464.5</v>
          </cell>
          <cell r="H175">
            <v>1070</v>
          </cell>
          <cell r="I175" t="str">
            <v>DS01/1</v>
          </cell>
          <cell r="J175">
            <v>50055376</v>
          </cell>
          <cell r="K175">
            <v>415</v>
          </cell>
        </row>
        <row r="176">
          <cell r="A176">
            <v>50055939</v>
          </cell>
          <cell r="D176" t="str">
            <v>CR</v>
          </cell>
          <cell r="E176" t="str">
            <v>SPCC-SD</v>
          </cell>
          <cell r="F176">
            <v>2</v>
          </cell>
          <cell r="G176">
            <v>80</v>
          </cell>
          <cell r="H176">
            <v>1219</v>
          </cell>
          <cell r="I176" t="str">
            <v>DS01/1</v>
          </cell>
          <cell r="J176">
            <v>50055939</v>
          </cell>
          <cell r="K176">
            <v>72</v>
          </cell>
        </row>
        <row r="177">
          <cell r="A177">
            <v>50056038</v>
          </cell>
          <cell r="D177" t="str">
            <v>CR</v>
          </cell>
          <cell r="E177" t="str">
            <v>SPCC-SD</v>
          </cell>
          <cell r="F177">
            <v>0.7</v>
          </cell>
          <cell r="G177">
            <v>420</v>
          </cell>
          <cell r="H177">
            <v>524.5</v>
          </cell>
          <cell r="I177" t="str">
            <v>DS01/1</v>
          </cell>
          <cell r="J177">
            <v>50056038</v>
          </cell>
          <cell r="K177">
            <v>451</v>
          </cell>
        </row>
        <row r="178">
          <cell r="A178">
            <v>50056252</v>
          </cell>
          <cell r="D178" t="str">
            <v>CR</v>
          </cell>
          <cell r="E178" t="str">
            <v>SPCC-SD</v>
          </cell>
          <cell r="F178">
            <v>0.7</v>
          </cell>
          <cell r="G178">
            <v>650</v>
          </cell>
          <cell r="H178">
            <v>1540</v>
          </cell>
          <cell r="I178" t="str">
            <v>DS01/1</v>
          </cell>
          <cell r="J178">
            <v>50056252</v>
          </cell>
          <cell r="K178">
            <v>198</v>
          </cell>
        </row>
        <row r="179">
          <cell r="A179">
            <v>50056309</v>
          </cell>
          <cell r="D179" t="str">
            <v>CR</v>
          </cell>
          <cell r="E179" t="str">
            <v>SPCC-SD</v>
          </cell>
          <cell r="F179">
            <v>0.7</v>
          </cell>
          <cell r="G179">
            <v>620</v>
          </cell>
          <cell r="H179">
            <v>1530</v>
          </cell>
          <cell r="I179" t="str">
            <v>DS01/1</v>
          </cell>
          <cell r="J179">
            <v>50056309</v>
          </cell>
          <cell r="K179">
            <v>121</v>
          </cell>
        </row>
        <row r="180">
          <cell r="A180">
            <v>50056428</v>
          </cell>
          <cell r="D180" t="str">
            <v>PO</v>
          </cell>
          <cell r="E180" t="str">
            <v>SPHC P/O</v>
          </cell>
          <cell r="F180">
            <v>3.2</v>
          </cell>
          <cell r="G180">
            <v>190</v>
          </cell>
          <cell r="H180">
            <v>1219</v>
          </cell>
          <cell r="I180" t="str">
            <v>DS01/1</v>
          </cell>
          <cell r="J180">
            <v>50056428</v>
          </cell>
          <cell r="K180">
            <v>146</v>
          </cell>
        </row>
        <row r="181">
          <cell r="A181">
            <v>50056892</v>
          </cell>
          <cell r="D181" t="str">
            <v>CR</v>
          </cell>
          <cell r="E181" t="str">
            <v>SPCC-SD</v>
          </cell>
          <cell r="F181">
            <v>1</v>
          </cell>
          <cell r="G181">
            <v>640</v>
          </cell>
          <cell r="H181">
            <v>692.5</v>
          </cell>
          <cell r="I181" t="str">
            <v>DS01/1</v>
          </cell>
          <cell r="J181">
            <v>50056892</v>
          </cell>
          <cell r="K181">
            <v>59</v>
          </cell>
        </row>
        <row r="182">
          <cell r="A182">
            <v>50057071</v>
          </cell>
          <cell r="D182" t="str">
            <v>CR</v>
          </cell>
          <cell r="E182" t="str">
            <v>SPCEN-SD</v>
          </cell>
          <cell r="F182">
            <v>0.8</v>
          </cell>
          <cell r="G182">
            <v>375</v>
          </cell>
          <cell r="H182">
            <v>400</v>
          </cell>
          <cell r="I182" t="str">
            <v>DS01/1</v>
          </cell>
          <cell r="J182">
            <v>50057071</v>
          </cell>
          <cell r="K182">
            <v>81</v>
          </cell>
        </row>
        <row r="183">
          <cell r="A183">
            <v>50057168</v>
          </cell>
          <cell r="D183" t="str">
            <v>CR</v>
          </cell>
          <cell r="E183" t="str">
            <v>SPCC-SD</v>
          </cell>
          <cell r="F183">
            <v>0.8</v>
          </cell>
          <cell r="G183">
            <v>98</v>
          </cell>
          <cell r="H183">
            <v>897</v>
          </cell>
          <cell r="I183" t="str">
            <v>DS01/1</v>
          </cell>
          <cell r="J183">
            <v>50057168</v>
          </cell>
          <cell r="K183">
            <v>429</v>
          </cell>
        </row>
        <row r="184">
          <cell r="A184">
            <v>50057449</v>
          </cell>
          <cell r="D184" t="str">
            <v>CR</v>
          </cell>
          <cell r="E184" t="str">
            <v>SPCEN-SD</v>
          </cell>
          <cell r="F184">
            <v>0.9</v>
          </cell>
          <cell r="G184">
            <v>110</v>
          </cell>
          <cell r="H184">
            <v>220</v>
          </cell>
          <cell r="I184" t="str">
            <v>DS01/1</v>
          </cell>
          <cell r="J184">
            <v>50057449</v>
          </cell>
          <cell r="K184">
            <v>65</v>
          </cell>
        </row>
        <row r="185">
          <cell r="A185">
            <v>50057459</v>
          </cell>
          <cell r="B185" t="str">
            <v>PO SS400 P/O 4.5x50x1219</v>
          </cell>
          <cell r="C185" t="str">
            <v>PO SPHC P/O</v>
          </cell>
          <cell r="D185" t="str">
            <v>PO</v>
          </cell>
          <cell r="E185" t="str">
            <v>SS400 P/O</v>
          </cell>
          <cell r="F185">
            <v>4.5</v>
          </cell>
          <cell r="G185">
            <v>50</v>
          </cell>
          <cell r="H185">
            <v>1219</v>
          </cell>
          <cell r="I185" t="str">
            <v>DS01/1</v>
          </cell>
          <cell r="J185">
            <v>50057459</v>
          </cell>
          <cell r="K185">
            <v>43</v>
          </cell>
          <cell r="L185" t="str">
            <v>E2-ND-06-TSA-0155</v>
          </cell>
        </row>
        <row r="186">
          <cell r="A186">
            <v>50057915</v>
          </cell>
          <cell r="B186" t="str">
            <v>CR SPCC-SD 1.6x87x1219</v>
          </cell>
          <cell r="C186" t="str">
            <v>CR SPCC-SD</v>
          </cell>
          <cell r="D186" t="str">
            <v>CR</v>
          </cell>
          <cell r="E186" t="str">
            <v>SPCC-SD</v>
          </cell>
          <cell r="F186">
            <v>1.6</v>
          </cell>
          <cell r="G186">
            <v>87</v>
          </cell>
          <cell r="H186">
            <v>1219</v>
          </cell>
          <cell r="I186" t="str">
            <v>DS01/1</v>
          </cell>
          <cell r="J186">
            <v>50057915</v>
          </cell>
          <cell r="K186">
            <v>30</v>
          </cell>
          <cell r="L186" t="str">
            <v>E2-ND-06-TSA-0151</v>
          </cell>
        </row>
        <row r="187">
          <cell r="A187">
            <v>50058079</v>
          </cell>
          <cell r="D187" t="str">
            <v>CR</v>
          </cell>
          <cell r="E187" t="str">
            <v>SPCC-SD</v>
          </cell>
          <cell r="F187">
            <v>0.7</v>
          </cell>
          <cell r="G187">
            <v>629</v>
          </cell>
          <cell r="H187">
            <v>976</v>
          </cell>
          <cell r="I187" t="str">
            <v>DS01/1</v>
          </cell>
          <cell r="J187">
            <v>50058079</v>
          </cell>
          <cell r="K187">
            <v>455</v>
          </cell>
        </row>
        <row r="188">
          <cell r="A188">
            <v>50058324</v>
          </cell>
          <cell r="D188" t="str">
            <v>CR</v>
          </cell>
          <cell r="E188" t="str">
            <v>SPCC-SD</v>
          </cell>
          <cell r="F188">
            <v>0.7</v>
          </cell>
          <cell r="G188">
            <v>155</v>
          </cell>
          <cell r="H188">
            <v>899</v>
          </cell>
          <cell r="I188" t="str">
            <v>DS01/1</v>
          </cell>
          <cell r="J188">
            <v>50058324</v>
          </cell>
          <cell r="K188">
            <v>117</v>
          </cell>
        </row>
        <row r="189">
          <cell r="A189">
            <v>50058384</v>
          </cell>
          <cell r="D189" t="str">
            <v>CR</v>
          </cell>
          <cell r="E189" t="str">
            <v>SPCC-SD</v>
          </cell>
          <cell r="F189">
            <v>2.2999999999999998</v>
          </cell>
          <cell r="G189">
            <v>280</v>
          </cell>
          <cell r="H189">
            <v>280</v>
          </cell>
          <cell r="I189" t="str">
            <v>DS01/1</v>
          </cell>
          <cell r="J189">
            <v>50058384</v>
          </cell>
          <cell r="K189">
            <v>226</v>
          </cell>
        </row>
        <row r="190">
          <cell r="A190">
            <v>50058530</v>
          </cell>
          <cell r="D190" t="str">
            <v>CR</v>
          </cell>
          <cell r="E190" t="str">
            <v>SPCC-SD</v>
          </cell>
          <cell r="F190">
            <v>0.7</v>
          </cell>
          <cell r="G190">
            <v>413</v>
          </cell>
          <cell r="H190">
            <v>676</v>
          </cell>
          <cell r="I190" t="str">
            <v>DS01/1</v>
          </cell>
          <cell r="J190">
            <v>50058530</v>
          </cell>
          <cell r="K190">
            <v>196</v>
          </cell>
        </row>
        <row r="191">
          <cell r="A191">
            <v>50058547</v>
          </cell>
          <cell r="D191" t="str">
            <v>CR</v>
          </cell>
          <cell r="E191" t="str">
            <v>SPCC-SD</v>
          </cell>
          <cell r="F191">
            <v>1</v>
          </cell>
          <cell r="G191">
            <v>308</v>
          </cell>
          <cell r="H191">
            <v>1366.5</v>
          </cell>
          <cell r="I191" t="str">
            <v>DS01/1</v>
          </cell>
          <cell r="J191">
            <v>50058547</v>
          </cell>
          <cell r="K191">
            <v>62</v>
          </cell>
        </row>
        <row r="192">
          <cell r="A192">
            <v>50058656</v>
          </cell>
          <cell r="D192" t="str">
            <v>CR</v>
          </cell>
          <cell r="E192" t="str">
            <v>SPCEN-SD</v>
          </cell>
          <cell r="F192">
            <v>0.8</v>
          </cell>
          <cell r="G192">
            <v>770</v>
          </cell>
          <cell r="H192">
            <v>1260</v>
          </cell>
          <cell r="I192" t="str">
            <v>DS01/1</v>
          </cell>
          <cell r="J192">
            <v>50058656</v>
          </cell>
          <cell r="K192">
            <v>250</v>
          </cell>
        </row>
        <row r="193">
          <cell r="A193">
            <v>50058784</v>
          </cell>
          <cell r="B193" t="str">
            <v>PO SS400 P/O 4.5x50x1219</v>
          </cell>
          <cell r="C193" t="str">
            <v>PO SPHC P/O</v>
          </cell>
          <cell r="D193" t="str">
            <v>PO</v>
          </cell>
          <cell r="E193" t="str">
            <v>SS400 P/O</v>
          </cell>
          <cell r="F193">
            <v>4.5</v>
          </cell>
          <cell r="G193">
            <v>50</v>
          </cell>
          <cell r="H193">
            <v>1219</v>
          </cell>
          <cell r="I193" t="str">
            <v>DS01/1</v>
          </cell>
          <cell r="J193">
            <v>50058784</v>
          </cell>
          <cell r="K193">
            <v>43</v>
          </cell>
          <cell r="L193" t="str">
            <v>E2-ND-06-TSA-0155</v>
          </cell>
        </row>
        <row r="194">
          <cell r="A194">
            <v>50058785</v>
          </cell>
          <cell r="B194" t="str">
            <v>PO SS400 P/O 4.5x50x1219</v>
          </cell>
          <cell r="C194" t="str">
            <v>PO SPHC P/O</v>
          </cell>
          <cell r="D194" t="str">
            <v>PO</v>
          </cell>
          <cell r="E194" t="str">
            <v>SS400 P/O</v>
          </cell>
          <cell r="F194">
            <v>4.5</v>
          </cell>
          <cell r="G194">
            <v>50</v>
          </cell>
          <cell r="H194">
            <v>1219</v>
          </cell>
          <cell r="I194" t="str">
            <v>DS01/1</v>
          </cell>
          <cell r="J194">
            <v>50058785</v>
          </cell>
          <cell r="K194">
            <v>215</v>
          </cell>
          <cell r="L194" t="str">
            <v>E2-ND-06-TSA-0155</v>
          </cell>
        </row>
        <row r="195">
          <cell r="A195">
            <v>50058941</v>
          </cell>
          <cell r="D195" t="str">
            <v>CR</v>
          </cell>
          <cell r="E195" t="str">
            <v>SPCC-SD</v>
          </cell>
          <cell r="F195">
            <v>2.6</v>
          </cell>
          <cell r="G195">
            <v>220</v>
          </cell>
          <cell r="H195">
            <v>1219</v>
          </cell>
          <cell r="I195" t="str">
            <v>DS01/1</v>
          </cell>
          <cell r="J195">
            <v>50058941</v>
          </cell>
          <cell r="K195">
            <v>11</v>
          </cell>
        </row>
        <row r="196">
          <cell r="A196">
            <v>50059226</v>
          </cell>
          <cell r="D196" t="str">
            <v>CR</v>
          </cell>
          <cell r="E196" t="str">
            <v>SPCC-SD</v>
          </cell>
          <cell r="F196">
            <v>0.8</v>
          </cell>
          <cell r="G196">
            <v>350</v>
          </cell>
          <cell r="H196">
            <v>620</v>
          </cell>
          <cell r="I196" t="str">
            <v>DS01/1</v>
          </cell>
          <cell r="J196">
            <v>50059226</v>
          </cell>
          <cell r="K196">
            <v>67</v>
          </cell>
        </row>
        <row r="197">
          <cell r="A197">
            <v>50059757</v>
          </cell>
          <cell r="B197" t="str">
            <v>PO SPHC P/O 2.6x70x1219</v>
          </cell>
          <cell r="C197" t="str">
            <v>PO SPHC P/O</v>
          </cell>
          <cell r="D197" t="str">
            <v>PO</v>
          </cell>
          <cell r="E197" t="str">
            <v>SPHC P/O</v>
          </cell>
          <cell r="F197">
            <v>2.6</v>
          </cell>
          <cell r="G197">
            <v>70</v>
          </cell>
          <cell r="H197">
            <v>1219</v>
          </cell>
          <cell r="I197" t="str">
            <v>DS01/1</v>
          </cell>
          <cell r="J197">
            <v>50059757</v>
          </cell>
          <cell r="K197">
            <v>35</v>
          </cell>
          <cell r="L197" t="str">
            <v>E2-ND-06-TSA-0155</v>
          </cell>
        </row>
        <row r="198">
          <cell r="A198">
            <v>50060040</v>
          </cell>
          <cell r="D198" t="str">
            <v>CR</v>
          </cell>
          <cell r="E198" t="str">
            <v>SPCC-SD</v>
          </cell>
          <cell r="F198">
            <v>2</v>
          </cell>
          <cell r="G198">
            <v>813</v>
          </cell>
          <cell r="H198">
            <v>1070</v>
          </cell>
          <cell r="I198" t="str">
            <v>DS01/1</v>
          </cell>
          <cell r="J198">
            <v>50060040</v>
          </cell>
          <cell r="K198">
            <v>110</v>
          </cell>
        </row>
        <row r="199">
          <cell r="A199">
            <v>50060643</v>
          </cell>
          <cell r="D199" t="str">
            <v>CR</v>
          </cell>
          <cell r="E199" t="str">
            <v>SPCC-SD</v>
          </cell>
          <cell r="F199">
            <v>3.2</v>
          </cell>
          <cell r="G199">
            <v>155</v>
          </cell>
          <cell r="H199">
            <v>1219</v>
          </cell>
          <cell r="I199" t="str">
            <v>DS01/1</v>
          </cell>
          <cell r="J199">
            <v>50060643</v>
          </cell>
          <cell r="K199">
            <v>10</v>
          </cell>
        </row>
        <row r="200">
          <cell r="A200">
            <v>50060845</v>
          </cell>
          <cell r="B200" t="str">
            <v>PO SPHC P/O 1.6x160x1159</v>
          </cell>
          <cell r="C200" t="str">
            <v>PO SPHC P/O</v>
          </cell>
          <cell r="D200" t="str">
            <v>PO</v>
          </cell>
          <cell r="E200" t="str">
            <v>SPHC P/O</v>
          </cell>
          <cell r="F200">
            <v>1.6</v>
          </cell>
          <cell r="G200">
            <v>160</v>
          </cell>
          <cell r="H200">
            <v>1159</v>
          </cell>
          <cell r="I200" t="str">
            <v>CF01/2</v>
          </cell>
          <cell r="J200">
            <v>50060845</v>
          </cell>
          <cell r="K200">
            <v>90</v>
          </cell>
          <cell r="L200" t="str">
            <v>E2-ND-06-TSA-0154</v>
          </cell>
        </row>
        <row r="201">
          <cell r="A201">
            <v>50062012</v>
          </cell>
          <cell r="D201" t="str">
            <v>PO</v>
          </cell>
          <cell r="E201" t="str">
            <v>SPHC P/O</v>
          </cell>
          <cell r="F201">
            <v>4.5</v>
          </cell>
          <cell r="G201">
            <v>140</v>
          </cell>
          <cell r="H201">
            <v>1219</v>
          </cell>
          <cell r="I201" t="str">
            <v>DS01/1</v>
          </cell>
          <cell r="J201">
            <v>50062012</v>
          </cell>
          <cell r="K201">
            <v>30</v>
          </cell>
        </row>
        <row r="202">
          <cell r="A202">
            <v>50062072</v>
          </cell>
          <cell r="D202" t="str">
            <v>CR</v>
          </cell>
          <cell r="E202" t="str">
            <v>SPCC-SD</v>
          </cell>
          <cell r="F202">
            <v>0.8</v>
          </cell>
          <cell r="G202">
            <v>210</v>
          </cell>
          <cell r="H202">
            <v>1750</v>
          </cell>
          <cell r="I202" t="str">
            <v>DS01/1</v>
          </cell>
          <cell r="J202">
            <v>50062072</v>
          </cell>
          <cell r="K202">
            <v>66</v>
          </cell>
        </row>
        <row r="203">
          <cell r="A203">
            <v>50062287</v>
          </cell>
          <cell r="D203" t="str">
            <v>CR</v>
          </cell>
          <cell r="E203" t="str">
            <v>SPCC-SD</v>
          </cell>
          <cell r="F203">
            <v>0.8</v>
          </cell>
          <cell r="G203">
            <v>210</v>
          </cell>
          <cell r="H203">
            <v>1750</v>
          </cell>
          <cell r="I203" t="str">
            <v>DS01/1</v>
          </cell>
          <cell r="J203">
            <v>50062287</v>
          </cell>
          <cell r="K203">
            <v>254</v>
          </cell>
        </row>
        <row r="204">
          <cell r="A204">
            <v>50062290</v>
          </cell>
          <cell r="B204" t="str">
            <v>PO SPHC P/O 3.2x57x1219</v>
          </cell>
          <cell r="C204" t="str">
            <v>PO SPHC P/O</v>
          </cell>
          <cell r="D204" t="str">
            <v>PO</v>
          </cell>
          <cell r="E204" t="str">
            <v>SPHC P/O</v>
          </cell>
          <cell r="F204">
            <v>3.2</v>
          </cell>
          <cell r="G204">
            <v>57</v>
          </cell>
          <cell r="H204">
            <v>1219</v>
          </cell>
          <cell r="I204" t="str">
            <v>CF01/2</v>
          </cell>
          <cell r="J204">
            <v>50062290</v>
          </cell>
          <cell r="K204">
            <v>18</v>
          </cell>
          <cell r="L204" t="str">
            <v>E2-ND-06-TSA-0155</v>
          </cell>
        </row>
        <row r="205">
          <cell r="A205">
            <v>50062976</v>
          </cell>
          <cell r="D205" t="str">
            <v>CR</v>
          </cell>
          <cell r="E205" t="str">
            <v>SPCC-SD</v>
          </cell>
          <cell r="F205">
            <v>1</v>
          </cell>
          <cell r="G205">
            <v>155</v>
          </cell>
          <cell r="H205">
            <v>1219</v>
          </cell>
          <cell r="I205" t="str">
            <v>DS01/1</v>
          </cell>
          <cell r="J205">
            <v>50062976</v>
          </cell>
          <cell r="K205">
            <v>6</v>
          </cell>
        </row>
        <row r="206">
          <cell r="A206">
            <v>50063507</v>
          </cell>
          <cell r="B206" t="str">
            <v>PO SPHC P/O 2.0x80x1219</v>
          </cell>
          <cell r="C206" t="str">
            <v>PO SPHC P/O</v>
          </cell>
          <cell r="D206" t="str">
            <v>PO</v>
          </cell>
          <cell r="E206" t="str">
            <v>SPHC P/O</v>
          </cell>
          <cell r="F206">
            <v>2</v>
          </cell>
          <cell r="G206">
            <v>80</v>
          </cell>
          <cell r="H206">
            <v>1219</v>
          </cell>
          <cell r="I206" t="str">
            <v>CF01/2</v>
          </cell>
          <cell r="J206">
            <v>50063507</v>
          </cell>
          <cell r="K206">
            <v>474</v>
          </cell>
          <cell r="L206" t="str">
            <v>E2-ND-06-TSA-0154</v>
          </cell>
        </row>
        <row r="207">
          <cell r="A207">
            <v>50063771</v>
          </cell>
          <cell r="D207" t="str">
            <v>CR</v>
          </cell>
          <cell r="E207" t="str">
            <v>SPCEN-SD</v>
          </cell>
          <cell r="F207">
            <v>1</v>
          </cell>
          <cell r="G207">
            <v>521</v>
          </cell>
          <cell r="H207">
            <v>533</v>
          </cell>
          <cell r="I207" t="str">
            <v>DS01/1</v>
          </cell>
          <cell r="J207">
            <v>50063771</v>
          </cell>
          <cell r="K207">
            <v>479</v>
          </cell>
        </row>
        <row r="208">
          <cell r="A208">
            <v>50064510</v>
          </cell>
          <cell r="D208" t="str">
            <v>PO</v>
          </cell>
          <cell r="E208" t="str">
            <v>SPHC P/O</v>
          </cell>
          <cell r="F208">
            <v>4.5</v>
          </cell>
          <cell r="G208">
            <v>83</v>
          </cell>
          <cell r="H208">
            <v>1219</v>
          </cell>
          <cell r="I208" t="str">
            <v>CF01/2</v>
          </cell>
          <cell r="J208">
            <v>50064510</v>
          </cell>
          <cell r="K208">
            <v>96</v>
          </cell>
        </row>
        <row r="209">
          <cell r="A209">
            <v>50064628</v>
          </cell>
          <cell r="D209" t="str">
            <v>CR</v>
          </cell>
          <cell r="E209" t="str">
            <v>SPCC-SD</v>
          </cell>
          <cell r="F209">
            <v>2.6</v>
          </cell>
          <cell r="G209">
            <v>134</v>
          </cell>
          <cell r="H209">
            <v>1219</v>
          </cell>
          <cell r="I209" t="str">
            <v>DS01/1</v>
          </cell>
          <cell r="J209">
            <v>50064628</v>
          </cell>
          <cell r="K209">
            <v>36</v>
          </cell>
        </row>
        <row r="210">
          <cell r="A210">
            <v>50065646</v>
          </cell>
          <cell r="D210" t="str">
            <v>CR</v>
          </cell>
          <cell r="E210" t="str">
            <v>SPCC-SD</v>
          </cell>
          <cell r="F210">
            <v>1.2</v>
          </cell>
          <cell r="G210">
            <v>86</v>
          </cell>
          <cell r="H210">
            <v>1219</v>
          </cell>
          <cell r="I210" t="str">
            <v>DS01/1</v>
          </cell>
          <cell r="J210">
            <v>50065646</v>
          </cell>
          <cell r="K210">
            <v>99</v>
          </cell>
        </row>
        <row r="211">
          <cell r="A211">
            <v>50065697</v>
          </cell>
          <cell r="D211" t="str">
            <v>PO</v>
          </cell>
          <cell r="E211" t="str">
            <v>SPHC P/O</v>
          </cell>
          <cell r="F211">
            <v>3.2</v>
          </cell>
          <cell r="G211">
            <v>106</v>
          </cell>
          <cell r="H211">
            <v>1219</v>
          </cell>
          <cell r="I211" t="str">
            <v>DS01/1</v>
          </cell>
          <cell r="J211">
            <v>50065697</v>
          </cell>
          <cell r="K211">
            <v>970</v>
          </cell>
        </row>
        <row r="212">
          <cell r="A212">
            <v>50065698</v>
          </cell>
          <cell r="D212" t="str">
            <v>PO</v>
          </cell>
          <cell r="E212" t="str">
            <v>SPHC P/O</v>
          </cell>
          <cell r="F212">
            <v>3.2</v>
          </cell>
          <cell r="G212">
            <v>106</v>
          </cell>
          <cell r="H212">
            <v>1219</v>
          </cell>
          <cell r="I212" t="str">
            <v>DS01/1</v>
          </cell>
          <cell r="J212">
            <v>50065698</v>
          </cell>
          <cell r="K212">
            <v>970</v>
          </cell>
        </row>
        <row r="213">
          <cell r="A213">
            <v>50066050</v>
          </cell>
          <cell r="D213" t="str">
            <v>CR</v>
          </cell>
          <cell r="E213" t="str">
            <v>SPCC-SD</v>
          </cell>
          <cell r="F213">
            <v>2.2999999999999998</v>
          </cell>
          <cell r="G213">
            <v>509</v>
          </cell>
          <cell r="H213">
            <v>710</v>
          </cell>
          <cell r="I213" t="str">
            <v>DS01/1</v>
          </cell>
          <cell r="J213">
            <v>50066050</v>
          </cell>
          <cell r="K213">
            <v>78</v>
          </cell>
        </row>
        <row r="214">
          <cell r="A214">
            <v>50066192</v>
          </cell>
          <cell r="D214" t="str">
            <v>CR</v>
          </cell>
          <cell r="E214" t="str">
            <v>SPCC-SD</v>
          </cell>
          <cell r="F214">
            <v>2.2999999999999998</v>
          </cell>
          <cell r="G214">
            <v>94</v>
          </cell>
          <cell r="H214">
            <v>1219</v>
          </cell>
          <cell r="I214" t="str">
            <v>CF01/1</v>
          </cell>
          <cell r="J214">
            <v>50066192</v>
          </cell>
          <cell r="K214">
            <v>221</v>
          </cell>
        </row>
        <row r="215">
          <cell r="A215">
            <v>50066356</v>
          </cell>
          <cell r="D215" t="str">
            <v>CR</v>
          </cell>
          <cell r="E215" t="str">
            <v>SPCC-SD</v>
          </cell>
          <cell r="F215">
            <v>0.8</v>
          </cell>
          <cell r="G215">
            <v>400</v>
          </cell>
          <cell r="H215">
            <v>610</v>
          </cell>
          <cell r="I215" t="str">
            <v>DS01/1</v>
          </cell>
          <cell r="J215">
            <v>50066356</v>
          </cell>
          <cell r="K215">
            <v>165</v>
          </cell>
        </row>
        <row r="216">
          <cell r="A216">
            <v>50067000</v>
          </cell>
          <cell r="B216" t="str">
            <v>PO SPHC P/O 2.0x48x1219</v>
          </cell>
          <cell r="C216" t="str">
            <v>PO SPHC P/O</v>
          </cell>
          <cell r="D216" t="str">
            <v>PO</v>
          </cell>
          <cell r="E216" t="str">
            <v>SPHC P/O</v>
          </cell>
          <cell r="F216">
            <v>2</v>
          </cell>
          <cell r="G216">
            <v>48</v>
          </cell>
          <cell r="H216">
            <v>1219</v>
          </cell>
          <cell r="I216" t="str">
            <v>CF01/1</v>
          </cell>
          <cell r="J216">
            <v>50067000</v>
          </cell>
          <cell r="K216">
            <v>28</v>
          </cell>
          <cell r="L216" t="str">
            <v>E2-ND-06-TSA-0154</v>
          </cell>
        </row>
        <row r="217">
          <cell r="A217">
            <v>50067127</v>
          </cell>
          <cell r="D217" t="str">
            <v>HR</v>
          </cell>
          <cell r="E217" t="str">
            <v>HR SS400</v>
          </cell>
          <cell r="F217">
            <v>3.2</v>
          </cell>
          <cell r="G217">
            <v>195</v>
          </cell>
          <cell r="H217">
            <v>1190</v>
          </cell>
          <cell r="I217" t="str">
            <v>DS01/1</v>
          </cell>
          <cell r="J217">
            <v>50067127</v>
          </cell>
          <cell r="K217">
            <v>368</v>
          </cell>
        </row>
        <row r="218">
          <cell r="A218">
            <v>50067233</v>
          </cell>
          <cell r="B218" t="str">
            <v>PO SPHC P/O 4.5x83x1219</v>
          </cell>
          <cell r="C218" t="str">
            <v>PO SPHC P/O</v>
          </cell>
          <cell r="D218" t="str">
            <v>PO</v>
          </cell>
          <cell r="E218" t="str">
            <v>SPHC P/O</v>
          </cell>
          <cell r="F218">
            <v>4.5</v>
          </cell>
          <cell r="G218">
            <v>83</v>
          </cell>
          <cell r="H218">
            <v>1219</v>
          </cell>
          <cell r="I218" t="str">
            <v>CF01/2</v>
          </cell>
          <cell r="J218">
            <v>50067233</v>
          </cell>
          <cell r="K218">
            <v>72</v>
          </cell>
          <cell r="L218" t="str">
            <v>E2-ND-06-TSA-0155</v>
          </cell>
        </row>
        <row r="219">
          <cell r="A219">
            <v>50067389</v>
          </cell>
          <cell r="D219" t="str">
            <v>CR</v>
          </cell>
          <cell r="E219" t="str">
            <v>SPCC-SD</v>
          </cell>
          <cell r="F219">
            <v>0.7</v>
          </cell>
          <cell r="G219">
            <v>620</v>
          </cell>
          <cell r="H219">
            <v>1530</v>
          </cell>
          <cell r="I219" t="str">
            <v>DS01/1</v>
          </cell>
          <cell r="J219">
            <v>50067389</v>
          </cell>
          <cell r="K219">
            <v>125</v>
          </cell>
        </row>
        <row r="220">
          <cell r="A220">
            <v>50067427</v>
          </cell>
          <cell r="D220" t="str">
            <v>CR</v>
          </cell>
          <cell r="E220" t="str">
            <v>SPCC-SD</v>
          </cell>
          <cell r="F220">
            <v>2.6</v>
          </cell>
          <cell r="G220">
            <v>85</v>
          </cell>
          <cell r="H220">
            <v>1219</v>
          </cell>
          <cell r="I220" t="str">
            <v>OW01/1</v>
          </cell>
          <cell r="J220">
            <v>50067427</v>
          </cell>
          <cell r="K220">
            <v>117</v>
          </cell>
        </row>
        <row r="221">
          <cell r="A221">
            <v>50068632</v>
          </cell>
          <cell r="D221" t="str">
            <v>CR</v>
          </cell>
          <cell r="E221" t="str">
            <v>SPCC-SD</v>
          </cell>
          <cell r="F221">
            <v>0.7</v>
          </cell>
          <cell r="G221">
            <v>155</v>
          </cell>
          <cell r="H221">
            <v>1199</v>
          </cell>
          <cell r="I221" t="str">
            <v>DS01/1</v>
          </cell>
          <cell r="J221">
            <v>50068632</v>
          </cell>
          <cell r="K221">
            <v>307</v>
          </cell>
        </row>
        <row r="222">
          <cell r="A222">
            <v>50069491</v>
          </cell>
          <cell r="D222" t="str">
            <v>CR</v>
          </cell>
          <cell r="E222" t="str">
            <v>SPCC-SD</v>
          </cell>
          <cell r="F222">
            <v>2.2999999999999998</v>
          </cell>
          <cell r="G222">
            <v>94</v>
          </cell>
          <cell r="H222">
            <v>1219</v>
          </cell>
          <cell r="I222" t="str">
            <v>LW02/2</v>
          </cell>
          <cell r="J222">
            <v>50069491</v>
          </cell>
          <cell r="K222">
            <v>542</v>
          </cell>
        </row>
        <row r="223">
          <cell r="A223">
            <v>50069920</v>
          </cell>
          <cell r="D223" t="str">
            <v>CR</v>
          </cell>
          <cell r="E223" t="str">
            <v>SPCC-SD</v>
          </cell>
          <cell r="F223">
            <v>1.5</v>
          </cell>
          <cell r="G223">
            <v>284</v>
          </cell>
          <cell r="H223">
            <v>2440</v>
          </cell>
          <cell r="I223" t="str">
            <v>DS01/1</v>
          </cell>
          <cell r="J223">
            <v>50069920</v>
          </cell>
          <cell r="K223">
            <v>82</v>
          </cell>
        </row>
        <row r="224">
          <cell r="A224">
            <v>50070072</v>
          </cell>
          <cell r="D224" t="str">
            <v>CR</v>
          </cell>
          <cell r="E224" t="str">
            <v>SPCC-SD</v>
          </cell>
          <cell r="F224">
            <v>1.5</v>
          </cell>
          <cell r="G224">
            <v>929</v>
          </cell>
          <cell r="H224">
            <v>2142</v>
          </cell>
          <cell r="I224" t="str">
            <v>DS01/1</v>
          </cell>
          <cell r="J224">
            <v>50070072</v>
          </cell>
          <cell r="K224">
            <v>404</v>
          </cell>
        </row>
        <row r="225">
          <cell r="A225">
            <v>50070097</v>
          </cell>
          <cell r="D225" t="str">
            <v>CR</v>
          </cell>
          <cell r="E225" t="str">
            <v>SPCC-SD</v>
          </cell>
          <cell r="F225">
            <v>1.5</v>
          </cell>
          <cell r="G225">
            <v>484</v>
          </cell>
          <cell r="H225">
            <v>2440</v>
          </cell>
          <cell r="I225" t="str">
            <v>DS01/1</v>
          </cell>
          <cell r="J225">
            <v>50070097</v>
          </cell>
          <cell r="K225">
            <v>350</v>
          </cell>
        </row>
        <row r="226">
          <cell r="A226">
            <v>50070098</v>
          </cell>
          <cell r="D226" t="str">
            <v>CR</v>
          </cell>
          <cell r="E226" t="str">
            <v>SPCC-SD</v>
          </cell>
          <cell r="F226">
            <v>1.5</v>
          </cell>
          <cell r="G226">
            <v>484</v>
          </cell>
          <cell r="H226">
            <v>2440</v>
          </cell>
          <cell r="I226" t="str">
            <v>DS01/1</v>
          </cell>
          <cell r="J226">
            <v>50070098</v>
          </cell>
          <cell r="K226">
            <v>350</v>
          </cell>
        </row>
        <row r="227">
          <cell r="A227">
            <v>50070099</v>
          </cell>
          <cell r="D227" t="str">
            <v>CR</v>
          </cell>
          <cell r="E227" t="str">
            <v>SPCC-SD</v>
          </cell>
          <cell r="F227">
            <v>1.5</v>
          </cell>
          <cell r="G227">
            <v>484</v>
          </cell>
          <cell r="H227">
            <v>2440</v>
          </cell>
          <cell r="I227" t="str">
            <v>DS01/1</v>
          </cell>
          <cell r="J227">
            <v>50070099</v>
          </cell>
          <cell r="K227">
            <v>350</v>
          </cell>
        </row>
        <row r="228">
          <cell r="A228">
            <v>50070108</v>
          </cell>
          <cell r="D228" t="str">
            <v>CR</v>
          </cell>
          <cell r="E228" t="str">
            <v>SPCC-SD</v>
          </cell>
          <cell r="F228">
            <v>1.5</v>
          </cell>
          <cell r="G228">
            <v>384</v>
          </cell>
          <cell r="H228">
            <v>2440</v>
          </cell>
          <cell r="I228" t="str">
            <v>DS01/1</v>
          </cell>
          <cell r="J228">
            <v>50070108</v>
          </cell>
          <cell r="K228">
            <v>391</v>
          </cell>
        </row>
        <row r="229">
          <cell r="A229">
            <v>50070580</v>
          </cell>
          <cell r="D229" t="str">
            <v>CR</v>
          </cell>
          <cell r="E229" t="str">
            <v>SPCC-SD</v>
          </cell>
          <cell r="F229">
            <v>1.5</v>
          </cell>
          <cell r="G229">
            <v>471</v>
          </cell>
          <cell r="H229">
            <v>1350</v>
          </cell>
          <cell r="I229" t="str">
            <v>DS01/1</v>
          </cell>
          <cell r="J229">
            <v>50070580</v>
          </cell>
          <cell r="K229">
            <v>149</v>
          </cell>
        </row>
        <row r="230">
          <cell r="A230">
            <v>50070582</v>
          </cell>
          <cell r="D230" t="str">
            <v>CR</v>
          </cell>
          <cell r="E230" t="str">
            <v>SPCC-SD</v>
          </cell>
          <cell r="F230">
            <v>1.5</v>
          </cell>
          <cell r="G230">
            <v>570</v>
          </cell>
          <cell r="H230">
            <v>1219</v>
          </cell>
          <cell r="I230" t="str">
            <v>DS01/1</v>
          </cell>
          <cell r="J230">
            <v>50070582</v>
          </cell>
          <cell r="K230">
            <v>164</v>
          </cell>
        </row>
        <row r="231">
          <cell r="A231">
            <v>50070746</v>
          </cell>
          <cell r="D231" t="str">
            <v>CR</v>
          </cell>
          <cell r="E231" t="str">
            <v>SPCC-SD</v>
          </cell>
          <cell r="F231">
            <v>1.5</v>
          </cell>
          <cell r="G231">
            <v>846</v>
          </cell>
          <cell r="H231">
            <v>2146</v>
          </cell>
          <cell r="I231" t="str">
            <v>DS01/1</v>
          </cell>
          <cell r="J231">
            <v>50070746</v>
          </cell>
          <cell r="K231">
            <v>1069</v>
          </cell>
        </row>
        <row r="232">
          <cell r="A232">
            <v>50070968</v>
          </cell>
          <cell r="B232" t="str">
            <v>CR SPCC-SD 2.3x50x1219</v>
          </cell>
          <cell r="C232" t="str">
            <v>CR SPCC-SD</v>
          </cell>
          <cell r="D232" t="str">
            <v>CR</v>
          </cell>
          <cell r="E232" t="str">
            <v>SPCC-SD</v>
          </cell>
          <cell r="F232">
            <v>2.2999999999999998</v>
          </cell>
          <cell r="G232">
            <v>50</v>
          </cell>
          <cell r="H232">
            <v>1219</v>
          </cell>
          <cell r="I232" t="str">
            <v>CF01/1</v>
          </cell>
          <cell r="J232">
            <v>50070968</v>
          </cell>
          <cell r="K232">
            <v>22</v>
          </cell>
          <cell r="L232" t="str">
            <v>E2-ND-06-TSA-0152</v>
          </cell>
        </row>
        <row r="233">
          <cell r="A233">
            <v>50071068</v>
          </cell>
          <cell r="D233" t="str">
            <v>PO</v>
          </cell>
          <cell r="E233" t="str">
            <v>SPHC P/O</v>
          </cell>
          <cell r="F233">
            <v>3</v>
          </cell>
          <cell r="G233">
            <v>100</v>
          </cell>
          <cell r="H233">
            <v>1219</v>
          </cell>
          <cell r="I233" t="str">
            <v>DS01/1</v>
          </cell>
          <cell r="J233">
            <v>50071068</v>
          </cell>
          <cell r="K233">
            <v>516</v>
          </cell>
        </row>
        <row r="234">
          <cell r="A234">
            <v>50071791</v>
          </cell>
          <cell r="D234" t="str">
            <v>PO</v>
          </cell>
          <cell r="E234" t="str">
            <v>SPHC P/O</v>
          </cell>
          <cell r="F234">
            <v>4.5</v>
          </cell>
          <cell r="G234">
            <v>130</v>
          </cell>
          <cell r="H234">
            <v>1219</v>
          </cell>
          <cell r="I234" t="str">
            <v>DS01/1</v>
          </cell>
          <cell r="J234">
            <v>50071791</v>
          </cell>
          <cell r="K234">
            <v>465</v>
          </cell>
        </row>
        <row r="235">
          <cell r="A235">
            <v>50071980</v>
          </cell>
          <cell r="D235" t="str">
            <v>CR</v>
          </cell>
          <cell r="E235" t="str">
            <v>SPCC-SD</v>
          </cell>
          <cell r="F235">
            <v>0.8</v>
          </cell>
          <cell r="G235">
            <v>88</v>
          </cell>
          <cell r="H235">
            <v>1090</v>
          </cell>
          <cell r="I235" t="str">
            <v>CF01/2</v>
          </cell>
          <cell r="J235">
            <v>50071980</v>
          </cell>
          <cell r="K235">
            <v>410</v>
          </cell>
        </row>
        <row r="236">
          <cell r="A236">
            <v>50072781</v>
          </cell>
          <cell r="B236" t="str">
            <v>PO SPHC P/O 2.0x46x1219</v>
          </cell>
          <cell r="C236" t="str">
            <v>PO SPHC P/O</v>
          </cell>
          <cell r="D236" t="str">
            <v>PO</v>
          </cell>
          <cell r="E236" t="str">
            <v>SPHC P/O</v>
          </cell>
          <cell r="F236">
            <v>2</v>
          </cell>
          <cell r="G236">
            <v>46</v>
          </cell>
          <cell r="H236">
            <v>1219</v>
          </cell>
          <cell r="I236" t="str">
            <v>CF01/2</v>
          </cell>
          <cell r="J236">
            <v>50072781</v>
          </cell>
          <cell r="K236">
            <v>25</v>
          </cell>
          <cell r="L236" t="str">
            <v>E2-ND-06-TSA-0153</v>
          </cell>
        </row>
        <row r="237">
          <cell r="A237">
            <v>50073062</v>
          </cell>
          <cell r="D237" t="str">
            <v>CR</v>
          </cell>
          <cell r="E237" t="str">
            <v>SPCC-SD</v>
          </cell>
          <cell r="F237">
            <v>1.5</v>
          </cell>
          <cell r="G237">
            <v>750</v>
          </cell>
          <cell r="H237">
            <v>1350</v>
          </cell>
          <cell r="I237" t="str">
            <v>DS01/1</v>
          </cell>
          <cell r="J237">
            <v>50073062</v>
          </cell>
          <cell r="K237">
            <v>286</v>
          </cell>
        </row>
        <row r="238">
          <cell r="A238">
            <v>50073689</v>
          </cell>
          <cell r="D238" t="str">
            <v>EG</v>
          </cell>
          <cell r="E238" t="str">
            <v>SECC</v>
          </cell>
          <cell r="F238">
            <v>1.6</v>
          </cell>
          <cell r="G238">
            <v>750</v>
          </cell>
          <cell r="H238">
            <v>1219</v>
          </cell>
          <cell r="I238" t="str">
            <v>DS01/1</v>
          </cell>
          <cell r="J238">
            <v>50073689</v>
          </cell>
          <cell r="K238">
            <v>1150</v>
          </cell>
        </row>
        <row r="239">
          <cell r="A239">
            <v>50073697</v>
          </cell>
          <cell r="D239" t="str">
            <v>CR</v>
          </cell>
          <cell r="E239" t="str">
            <v>SPCC-SD</v>
          </cell>
          <cell r="F239">
            <v>0.8</v>
          </cell>
          <cell r="G239">
            <v>168</v>
          </cell>
          <cell r="H239">
            <v>1219</v>
          </cell>
          <cell r="I239" t="str">
            <v>DS01/1</v>
          </cell>
          <cell r="J239">
            <v>50073697</v>
          </cell>
          <cell r="K239">
            <v>38</v>
          </cell>
        </row>
        <row r="240">
          <cell r="A240">
            <v>50074350</v>
          </cell>
          <cell r="D240" t="str">
            <v>CR</v>
          </cell>
          <cell r="E240" t="str">
            <v>SPCC-SD</v>
          </cell>
          <cell r="F240">
            <v>2</v>
          </cell>
          <cell r="G240">
            <v>88</v>
          </cell>
          <cell r="H240">
            <v>1219</v>
          </cell>
          <cell r="I240" t="str">
            <v>LW02/2</v>
          </cell>
          <cell r="J240">
            <v>50074350</v>
          </cell>
          <cell r="K240">
            <v>845</v>
          </cell>
        </row>
        <row r="241">
          <cell r="A241">
            <v>50074351</v>
          </cell>
          <cell r="B241" t="str">
            <v>CR SPCC-SD 2.0x88x1219</v>
          </cell>
          <cell r="C241" t="str">
            <v>CR SPCC-SD</v>
          </cell>
          <cell r="D241" t="str">
            <v>CR</v>
          </cell>
          <cell r="E241" t="str">
            <v>SPCC-SD</v>
          </cell>
          <cell r="F241">
            <v>2</v>
          </cell>
          <cell r="G241">
            <v>88</v>
          </cell>
          <cell r="H241">
            <v>1219</v>
          </cell>
          <cell r="I241" t="str">
            <v>LW02/3</v>
          </cell>
          <cell r="J241">
            <v>50074351</v>
          </cell>
          <cell r="K241">
            <v>845</v>
          </cell>
          <cell r="L241" t="str">
            <v>E2-ND-06-TSA-0154</v>
          </cell>
        </row>
        <row r="242">
          <cell r="A242">
            <v>50074702</v>
          </cell>
          <cell r="B242" t="str">
            <v>PO SPHC P/O 1.6x45x1219</v>
          </cell>
          <cell r="C242" t="str">
            <v>PO SPHC P/O</v>
          </cell>
          <cell r="D242" t="str">
            <v>PO</v>
          </cell>
          <cell r="E242" t="str">
            <v>SPHC P/O</v>
          </cell>
          <cell r="F242">
            <v>1.6</v>
          </cell>
          <cell r="G242">
            <v>45</v>
          </cell>
          <cell r="H242">
            <v>1219</v>
          </cell>
          <cell r="I242" t="str">
            <v>CF01/1</v>
          </cell>
          <cell r="J242">
            <v>50074702</v>
          </cell>
          <cell r="K242">
            <v>18</v>
          </cell>
          <cell r="L242" t="str">
            <v>E2-ND-06-TSA-0153</v>
          </cell>
        </row>
        <row r="243">
          <cell r="A243">
            <v>50074704</v>
          </cell>
          <cell r="D243" t="str">
            <v>CR</v>
          </cell>
          <cell r="E243" t="str">
            <v>SPCEN-SD</v>
          </cell>
          <cell r="F243">
            <v>1.2</v>
          </cell>
          <cell r="G243">
            <v>510</v>
          </cell>
          <cell r="H243">
            <v>1404</v>
          </cell>
          <cell r="I243" t="str">
            <v>DS01/1</v>
          </cell>
          <cell r="J243">
            <v>50074704</v>
          </cell>
          <cell r="K243">
            <v>47</v>
          </cell>
        </row>
        <row r="244">
          <cell r="A244">
            <v>50074766</v>
          </cell>
          <cell r="B244" t="str">
            <v>PO SPHC P/O 2.3x95x1219</v>
          </cell>
          <cell r="C244" t="str">
            <v>PO SPHC P/O</v>
          </cell>
          <cell r="D244" t="str">
            <v>PO</v>
          </cell>
          <cell r="E244" t="str">
            <v>SPHC P/O</v>
          </cell>
          <cell r="F244">
            <v>2.2999999999999998</v>
          </cell>
          <cell r="G244">
            <v>95</v>
          </cell>
          <cell r="H244">
            <v>1219</v>
          </cell>
          <cell r="I244" t="str">
            <v>LW02/3</v>
          </cell>
          <cell r="J244">
            <v>50074766</v>
          </cell>
          <cell r="K244">
            <v>627</v>
          </cell>
          <cell r="L244" t="str">
            <v>E2-ND-06-TSA-0154</v>
          </cell>
        </row>
        <row r="245">
          <cell r="A245">
            <v>50074993</v>
          </cell>
          <cell r="D245" t="str">
            <v>CR</v>
          </cell>
          <cell r="E245" t="str">
            <v>SPCEN-SD</v>
          </cell>
          <cell r="F245">
            <v>1.2</v>
          </cell>
          <cell r="G245">
            <v>510</v>
          </cell>
          <cell r="H245">
            <v>1404</v>
          </cell>
          <cell r="I245" t="str">
            <v>DS01/1</v>
          </cell>
          <cell r="J245">
            <v>50074993</v>
          </cell>
          <cell r="K245">
            <v>13</v>
          </cell>
        </row>
        <row r="246">
          <cell r="A246">
            <v>50075014</v>
          </cell>
          <cell r="D246" t="str">
            <v>CR</v>
          </cell>
          <cell r="E246" t="str">
            <v>SPCC-SD</v>
          </cell>
          <cell r="F246">
            <v>0.8</v>
          </cell>
          <cell r="G246">
            <v>820</v>
          </cell>
          <cell r="H246">
            <v>1550</v>
          </cell>
          <cell r="I246" t="str">
            <v>DS01/1</v>
          </cell>
          <cell r="J246">
            <v>50075014</v>
          </cell>
          <cell r="K246">
            <v>602</v>
          </cell>
        </row>
        <row r="247">
          <cell r="A247">
            <v>50075138</v>
          </cell>
          <cell r="B247" t="str">
            <v>PO SPHC P/O 3.2x92x1219</v>
          </cell>
          <cell r="C247" t="str">
            <v>PO SPHC P/O</v>
          </cell>
          <cell r="D247" t="str">
            <v>PO</v>
          </cell>
          <cell r="E247" t="str">
            <v>SPHC P/O</v>
          </cell>
          <cell r="F247">
            <v>3.2</v>
          </cell>
          <cell r="G247">
            <v>92</v>
          </cell>
          <cell r="H247">
            <v>1219</v>
          </cell>
          <cell r="I247" t="str">
            <v>DS01/1</v>
          </cell>
          <cell r="J247">
            <v>50075138</v>
          </cell>
          <cell r="K247">
            <v>564</v>
          </cell>
          <cell r="L247" t="str">
            <v>E2-ND-06-TSA-0155</v>
          </cell>
        </row>
        <row r="248">
          <cell r="A248">
            <v>50075139</v>
          </cell>
          <cell r="B248" t="str">
            <v>PO SPHC P/O 3.2x53x1219</v>
          </cell>
          <cell r="C248" t="str">
            <v>PO SPHC P/O</v>
          </cell>
          <cell r="D248" t="str">
            <v>PO</v>
          </cell>
          <cell r="E248" t="str">
            <v>SPHC P/O</v>
          </cell>
          <cell r="F248">
            <v>3.2</v>
          </cell>
          <cell r="G248">
            <v>53</v>
          </cell>
          <cell r="H248">
            <v>1219</v>
          </cell>
          <cell r="I248" t="str">
            <v>DS01/1</v>
          </cell>
          <cell r="J248">
            <v>50075139</v>
          </cell>
          <cell r="K248">
            <v>360</v>
          </cell>
          <cell r="L248" t="str">
            <v>E2-ND-06-TSA-0155</v>
          </cell>
        </row>
        <row r="249">
          <cell r="A249">
            <v>50075140</v>
          </cell>
          <cell r="B249" t="str">
            <v>PO SPHC P/O 3.2x40x1219</v>
          </cell>
          <cell r="C249" t="str">
            <v>PO SPHC P/O</v>
          </cell>
          <cell r="D249" t="str">
            <v>PO</v>
          </cell>
          <cell r="E249" t="str">
            <v>SPHC P/O</v>
          </cell>
          <cell r="F249">
            <v>3.2</v>
          </cell>
          <cell r="G249">
            <v>40</v>
          </cell>
          <cell r="H249">
            <v>1219</v>
          </cell>
          <cell r="I249" t="str">
            <v>DS01/1</v>
          </cell>
          <cell r="J249">
            <v>50075140</v>
          </cell>
          <cell r="K249">
            <v>98</v>
          </cell>
          <cell r="L249" t="str">
            <v>E2-ND-06-TSA-0155</v>
          </cell>
        </row>
        <row r="250">
          <cell r="A250">
            <v>50075348</v>
          </cell>
          <cell r="D250" t="str">
            <v>CR</v>
          </cell>
          <cell r="E250" t="str">
            <v>SPCC-SD</v>
          </cell>
          <cell r="F250">
            <v>1.6</v>
          </cell>
          <cell r="G250">
            <v>829</v>
          </cell>
          <cell r="H250">
            <v>2142</v>
          </cell>
          <cell r="I250" t="str">
            <v>DS01/1</v>
          </cell>
          <cell r="J250">
            <v>50075348</v>
          </cell>
          <cell r="K250">
            <v>205</v>
          </cell>
        </row>
        <row r="251">
          <cell r="A251">
            <v>50075350</v>
          </cell>
          <cell r="D251" t="str">
            <v>CR</v>
          </cell>
          <cell r="E251" t="str">
            <v>SPCC-SD</v>
          </cell>
          <cell r="F251">
            <v>1.6</v>
          </cell>
          <cell r="G251">
            <v>384</v>
          </cell>
          <cell r="H251">
            <v>2440</v>
          </cell>
          <cell r="I251" t="str">
            <v>DS01/1</v>
          </cell>
          <cell r="J251">
            <v>50075350</v>
          </cell>
          <cell r="K251">
            <v>96</v>
          </cell>
        </row>
        <row r="252">
          <cell r="A252">
            <v>50075556</v>
          </cell>
          <cell r="D252" t="str">
            <v>PO</v>
          </cell>
          <cell r="E252" t="str">
            <v>SPHC P/O</v>
          </cell>
          <cell r="F252">
            <v>5</v>
          </cell>
          <cell r="G252">
            <v>168</v>
          </cell>
          <cell r="H252">
            <v>1219</v>
          </cell>
          <cell r="I252" t="str">
            <v>Semi/S</v>
          </cell>
          <cell r="J252">
            <v>50075556</v>
          </cell>
          <cell r="K252">
            <v>563</v>
          </cell>
        </row>
        <row r="253">
          <cell r="A253">
            <v>50075557</v>
          </cell>
          <cell r="D253" t="str">
            <v>PO</v>
          </cell>
          <cell r="E253" t="str">
            <v>SPHC P/O</v>
          </cell>
          <cell r="F253">
            <v>5</v>
          </cell>
          <cell r="G253">
            <v>168</v>
          </cell>
          <cell r="H253">
            <v>1219</v>
          </cell>
          <cell r="I253" t="str">
            <v>Semi/S</v>
          </cell>
          <cell r="J253">
            <v>50075557</v>
          </cell>
          <cell r="K253">
            <v>482</v>
          </cell>
        </row>
        <row r="254">
          <cell r="A254">
            <v>50076951</v>
          </cell>
          <cell r="D254" t="str">
            <v>CR</v>
          </cell>
          <cell r="E254" t="str">
            <v>SPCC-SD</v>
          </cell>
          <cell r="F254">
            <v>0.8</v>
          </cell>
          <cell r="G254">
            <v>220</v>
          </cell>
          <cell r="H254">
            <v>1840</v>
          </cell>
          <cell r="I254" t="str">
            <v>DS01/1</v>
          </cell>
          <cell r="J254">
            <v>50076951</v>
          </cell>
          <cell r="K254">
            <v>394</v>
          </cell>
        </row>
        <row r="255">
          <cell r="A255">
            <v>50077145</v>
          </cell>
          <cell r="D255" t="str">
            <v>CR</v>
          </cell>
          <cell r="E255" t="str">
            <v>SPCEN-SD</v>
          </cell>
          <cell r="F255">
            <v>1</v>
          </cell>
          <cell r="G255">
            <v>390</v>
          </cell>
          <cell r="H255">
            <v>1490</v>
          </cell>
          <cell r="I255" t="str">
            <v>DS01/1</v>
          </cell>
          <cell r="J255">
            <v>50077145</v>
          </cell>
          <cell r="K255">
            <v>114</v>
          </cell>
        </row>
        <row r="256">
          <cell r="A256">
            <v>50077961</v>
          </cell>
          <cell r="D256" t="str">
            <v>CR</v>
          </cell>
          <cell r="E256" t="str">
            <v>SPCEN-SD</v>
          </cell>
          <cell r="F256">
            <v>1</v>
          </cell>
          <cell r="G256">
            <v>420</v>
          </cell>
          <cell r="H256">
            <v>480</v>
          </cell>
          <cell r="I256" t="str">
            <v>DS01/1</v>
          </cell>
          <cell r="J256">
            <v>50077961</v>
          </cell>
          <cell r="K256">
            <v>126</v>
          </cell>
        </row>
        <row r="257">
          <cell r="A257">
            <v>50078259</v>
          </cell>
          <cell r="D257" t="str">
            <v>CR</v>
          </cell>
          <cell r="E257" t="str">
            <v>SPCC-SD</v>
          </cell>
          <cell r="F257">
            <v>1.5</v>
          </cell>
          <cell r="G257">
            <v>750</v>
          </cell>
          <cell r="H257">
            <v>1350</v>
          </cell>
          <cell r="I257" t="str">
            <v>DS01/1</v>
          </cell>
          <cell r="J257">
            <v>50078259</v>
          </cell>
          <cell r="K257">
            <v>167</v>
          </cell>
        </row>
        <row r="258">
          <cell r="A258">
            <v>50078573</v>
          </cell>
          <cell r="D258" t="str">
            <v>PO</v>
          </cell>
          <cell r="E258" t="str">
            <v>SPHC P/O</v>
          </cell>
          <cell r="F258">
            <v>2</v>
          </cell>
          <cell r="G258">
            <v>94</v>
          </cell>
          <cell r="H258">
            <v>1219</v>
          </cell>
          <cell r="I258" t="str">
            <v>DS01/1</v>
          </cell>
          <cell r="J258">
            <v>50078573</v>
          </cell>
          <cell r="K258">
            <v>144</v>
          </cell>
        </row>
        <row r="259">
          <cell r="A259">
            <v>50079932</v>
          </cell>
          <cell r="D259" t="str">
            <v>PO</v>
          </cell>
          <cell r="E259" t="str">
            <v>SPHC P/O</v>
          </cell>
          <cell r="F259">
            <v>3.2</v>
          </cell>
          <cell r="G259">
            <v>125</v>
          </cell>
          <cell r="H259">
            <v>1219</v>
          </cell>
          <cell r="I259" t="str">
            <v>DS01/1</v>
          </cell>
          <cell r="J259">
            <v>50079932</v>
          </cell>
          <cell r="K259">
            <v>1227</v>
          </cell>
        </row>
        <row r="260">
          <cell r="A260">
            <v>50082349</v>
          </cell>
          <cell r="D260" t="str">
            <v>PO</v>
          </cell>
          <cell r="E260" t="str">
            <v>SPHC P/O</v>
          </cell>
          <cell r="F260">
            <v>4.5</v>
          </cell>
          <cell r="G260">
            <v>130</v>
          </cell>
          <cell r="H260">
            <v>1219</v>
          </cell>
          <cell r="I260" t="str">
            <v>DS01/1</v>
          </cell>
          <cell r="J260">
            <v>50082349</v>
          </cell>
          <cell r="K260">
            <v>370</v>
          </cell>
        </row>
        <row r="261">
          <cell r="A261">
            <v>50082802</v>
          </cell>
          <cell r="D261" t="str">
            <v>PO</v>
          </cell>
          <cell r="E261" t="str">
            <v>SPHC P/O</v>
          </cell>
          <cell r="F261">
            <v>2.6</v>
          </cell>
          <cell r="G261">
            <v>190</v>
          </cell>
          <cell r="H261">
            <v>1219</v>
          </cell>
          <cell r="I261" t="str">
            <v>Semi/S</v>
          </cell>
          <cell r="J261">
            <v>50082802</v>
          </cell>
          <cell r="K261">
            <v>47</v>
          </cell>
        </row>
        <row r="262">
          <cell r="A262">
            <v>50082957</v>
          </cell>
          <cell r="D262" t="str">
            <v>PO</v>
          </cell>
          <cell r="E262" t="str">
            <v>SPHC P/O</v>
          </cell>
          <cell r="F262">
            <v>2.6</v>
          </cell>
          <cell r="G262">
            <v>134</v>
          </cell>
          <cell r="H262">
            <v>1219</v>
          </cell>
          <cell r="I262" t="str">
            <v>DS01/1</v>
          </cell>
          <cell r="J262">
            <v>50082957</v>
          </cell>
          <cell r="K262">
            <v>167</v>
          </cell>
        </row>
        <row r="263">
          <cell r="A263">
            <v>50084191</v>
          </cell>
          <cell r="B263" t="str">
            <v>PO SAPH440 P/O 3.0X310x360</v>
          </cell>
          <cell r="C263" t="str">
            <v>PO SAPH440 P/O</v>
          </cell>
          <cell r="D263" t="str">
            <v>PO</v>
          </cell>
          <cell r="E263" t="str">
            <v>SAPH440 P/O</v>
          </cell>
          <cell r="F263">
            <v>3</v>
          </cell>
          <cell r="G263">
            <v>310</v>
          </cell>
          <cell r="H263">
            <v>360</v>
          </cell>
          <cell r="I263" t="str">
            <v>MW01/1</v>
          </cell>
          <cell r="J263">
            <v>50084191</v>
          </cell>
          <cell r="K263">
            <v>526</v>
          </cell>
          <cell r="L263" t="str">
            <v>E2-ND-06-TSA-0155</v>
          </cell>
        </row>
        <row r="264">
          <cell r="A264">
            <v>50084194</v>
          </cell>
          <cell r="B264" t="str">
            <v>PO SAPH440 P/O 3.0X310x360</v>
          </cell>
          <cell r="C264" t="str">
            <v>PO SAPH440 P/O</v>
          </cell>
          <cell r="D264" t="str">
            <v>PO</v>
          </cell>
          <cell r="E264" t="str">
            <v>SAPH440 P/O</v>
          </cell>
          <cell r="F264">
            <v>3</v>
          </cell>
          <cell r="G264">
            <v>310</v>
          </cell>
          <cell r="H264">
            <v>360</v>
          </cell>
          <cell r="I264" t="str">
            <v>MW01/1</v>
          </cell>
          <cell r="J264">
            <v>50084194</v>
          </cell>
          <cell r="K264">
            <v>132</v>
          </cell>
          <cell r="L264" t="str">
            <v>E2-ND-06-TSA-0155</v>
          </cell>
        </row>
        <row r="265">
          <cell r="A265">
            <v>50084867</v>
          </cell>
          <cell r="D265" t="str">
            <v>CR</v>
          </cell>
          <cell r="E265" t="str">
            <v>SPCC-SD</v>
          </cell>
          <cell r="F265">
            <v>1.6</v>
          </cell>
          <cell r="G265">
            <v>214</v>
          </cell>
          <cell r="H265">
            <v>1219</v>
          </cell>
          <cell r="I265" t="str">
            <v>DS01/1</v>
          </cell>
          <cell r="J265">
            <v>50084867</v>
          </cell>
          <cell r="K265">
            <v>993</v>
          </cell>
        </row>
        <row r="266">
          <cell r="A266">
            <v>50085847</v>
          </cell>
          <cell r="D266" t="str">
            <v>PO</v>
          </cell>
          <cell r="E266" t="str">
            <v>SPHC P/O</v>
          </cell>
          <cell r="F266">
            <v>3.2</v>
          </cell>
          <cell r="G266">
            <v>64</v>
          </cell>
          <cell r="H266">
            <v>1219</v>
          </cell>
          <cell r="I266" t="str">
            <v>CF01/2</v>
          </cell>
          <cell r="J266">
            <v>50085847</v>
          </cell>
          <cell r="K266">
            <v>82</v>
          </cell>
        </row>
        <row r="267">
          <cell r="A267">
            <v>50087068</v>
          </cell>
          <cell r="D267" t="str">
            <v>CR</v>
          </cell>
          <cell r="E267" t="str">
            <v>SPCC-SD</v>
          </cell>
          <cell r="F267">
            <v>1.5</v>
          </cell>
          <cell r="G267">
            <v>470</v>
          </cell>
          <cell r="H267">
            <v>1350</v>
          </cell>
          <cell r="I267" t="str">
            <v>DS01/1</v>
          </cell>
          <cell r="J267">
            <v>50087068</v>
          </cell>
          <cell r="K267">
            <v>735</v>
          </cell>
        </row>
        <row r="268">
          <cell r="A268">
            <v>50087070</v>
          </cell>
          <cell r="D268" t="str">
            <v>CR</v>
          </cell>
          <cell r="E268" t="str">
            <v>SPCC-SD</v>
          </cell>
          <cell r="F268">
            <v>1.5</v>
          </cell>
          <cell r="G268">
            <v>470</v>
          </cell>
          <cell r="H268">
            <v>1350</v>
          </cell>
          <cell r="I268" t="str">
            <v>DS01/1</v>
          </cell>
          <cell r="J268">
            <v>50087070</v>
          </cell>
          <cell r="K268">
            <v>737</v>
          </cell>
        </row>
        <row r="269">
          <cell r="A269">
            <v>50087072</v>
          </cell>
          <cell r="D269" t="str">
            <v>CR</v>
          </cell>
          <cell r="E269" t="str">
            <v>SPCC-SD</v>
          </cell>
          <cell r="F269">
            <v>1.5</v>
          </cell>
          <cell r="G269">
            <v>470</v>
          </cell>
          <cell r="H269">
            <v>1350</v>
          </cell>
          <cell r="I269" t="str">
            <v>DS01/1</v>
          </cell>
          <cell r="J269">
            <v>50087072</v>
          </cell>
          <cell r="K269">
            <v>737</v>
          </cell>
        </row>
        <row r="270">
          <cell r="A270">
            <v>50087108</v>
          </cell>
          <cell r="D270" t="str">
            <v>CR</v>
          </cell>
          <cell r="E270" t="str">
            <v>SPCC-SD</v>
          </cell>
          <cell r="F270">
            <v>1.5</v>
          </cell>
          <cell r="G270">
            <v>470</v>
          </cell>
          <cell r="H270">
            <v>1350</v>
          </cell>
          <cell r="I270" t="str">
            <v>DS01/1</v>
          </cell>
          <cell r="J270">
            <v>50087108</v>
          </cell>
          <cell r="K270">
            <v>735</v>
          </cell>
        </row>
        <row r="271">
          <cell r="A271">
            <v>50087110</v>
          </cell>
          <cell r="D271" t="str">
            <v>CR</v>
          </cell>
          <cell r="E271" t="str">
            <v>SPCC-SD</v>
          </cell>
          <cell r="F271">
            <v>1.5</v>
          </cell>
          <cell r="G271">
            <v>470</v>
          </cell>
          <cell r="H271">
            <v>1350</v>
          </cell>
          <cell r="I271" t="str">
            <v>DS01/1</v>
          </cell>
          <cell r="J271">
            <v>50087110</v>
          </cell>
          <cell r="K271">
            <v>737</v>
          </cell>
        </row>
        <row r="272">
          <cell r="A272">
            <v>50087112</v>
          </cell>
          <cell r="D272" t="str">
            <v>CR</v>
          </cell>
          <cell r="E272" t="str">
            <v>SPCC-SD</v>
          </cell>
          <cell r="F272">
            <v>1.5</v>
          </cell>
          <cell r="G272">
            <v>470</v>
          </cell>
          <cell r="H272">
            <v>1350</v>
          </cell>
          <cell r="I272" t="str">
            <v>DS01/1</v>
          </cell>
          <cell r="J272">
            <v>50087112</v>
          </cell>
          <cell r="K272">
            <v>444</v>
          </cell>
        </row>
        <row r="273">
          <cell r="A273">
            <v>50088123</v>
          </cell>
          <cell r="B273" t="str">
            <v>CR SPCC-SD 2.6x75x1219</v>
          </cell>
          <cell r="C273" t="str">
            <v>CR SPCC-SD</v>
          </cell>
          <cell r="D273" t="str">
            <v>CR</v>
          </cell>
          <cell r="E273" t="str">
            <v>SPCC-SD</v>
          </cell>
          <cell r="F273">
            <v>2.6</v>
          </cell>
          <cell r="G273">
            <v>75</v>
          </cell>
          <cell r="H273">
            <v>1219</v>
          </cell>
          <cell r="I273" t="str">
            <v>CF01/2</v>
          </cell>
          <cell r="J273">
            <v>50088123</v>
          </cell>
          <cell r="K273">
            <v>5</v>
          </cell>
          <cell r="L273" t="str">
            <v>E2-ND-06-TSA-0152</v>
          </cell>
        </row>
        <row r="274">
          <cell r="A274">
            <v>50089148</v>
          </cell>
          <cell r="B274" t="str">
            <v>PO SAPH440 P/O 3.0x416x1219</v>
          </cell>
          <cell r="C274" t="str">
            <v>PO SAPH440 P/O</v>
          </cell>
          <cell r="D274" t="str">
            <v>PO</v>
          </cell>
          <cell r="E274" t="str">
            <v>SAPH440 P/O</v>
          </cell>
          <cell r="F274">
            <v>3</v>
          </cell>
          <cell r="G274">
            <v>416</v>
          </cell>
          <cell r="H274">
            <v>1219</v>
          </cell>
          <cell r="I274" t="str">
            <v>CF01/1</v>
          </cell>
          <cell r="J274">
            <v>50089148</v>
          </cell>
          <cell r="K274">
            <v>96</v>
          </cell>
          <cell r="L274" t="str">
            <v>E2-ND-06-TSA-0155</v>
          </cell>
        </row>
        <row r="275">
          <cell r="A275">
            <v>50089306</v>
          </cell>
          <cell r="D275" t="str">
            <v>PO</v>
          </cell>
          <cell r="E275" t="str">
            <v>SPHC P/O</v>
          </cell>
          <cell r="F275">
            <v>3.2</v>
          </cell>
          <cell r="G275">
            <v>230</v>
          </cell>
          <cell r="H275">
            <v>1219</v>
          </cell>
          <cell r="I275" t="str">
            <v>DS01/1</v>
          </cell>
          <cell r="J275">
            <v>50089306</v>
          </cell>
          <cell r="K275">
            <v>113</v>
          </cell>
        </row>
        <row r="276">
          <cell r="A276">
            <v>50090339</v>
          </cell>
          <cell r="D276" t="str">
            <v>PO</v>
          </cell>
          <cell r="E276" t="str">
            <v>SPHC P/O</v>
          </cell>
          <cell r="F276">
            <v>2.2999999999999998</v>
          </cell>
          <cell r="G276">
            <v>86</v>
          </cell>
          <cell r="H276">
            <v>1219</v>
          </cell>
          <cell r="I276" t="str">
            <v>OW01/1</v>
          </cell>
          <cell r="J276">
            <v>50090339</v>
          </cell>
          <cell r="K276">
            <v>105</v>
          </cell>
        </row>
        <row r="277">
          <cell r="A277">
            <v>50093147</v>
          </cell>
          <cell r="D277" t="str">
            <v>CR</v>
          </cell>
          <cell r="E277" t="str">
            <v>SPCC-SD</v>
          </cell>
          <cell r="F277">
            <v>1.6</v>
          </cell>
          <cell r="G277">
            <v>75</v>
          </cell>
          <cell r="H277">
            <v>1219</v>
          </cell>
          <cell r="I277" t="str">
            <v>DS01/1</v>
          </cell>
          <cell r="J277">
            <v>50093147</v>
          </cell>
          <cell r="K277">
            <v>76</v>
          </cell>
        </row>
        <row r="278">
          <cell r="A278">
            <v>50093621</v>
          </cell>
          <cell r="B278" t="str">
            <v>PO SAPH440 P/O 3.0X310x360</v>
          </cell>
          <cell r="C278" t="str">
            <v>PO SAPH440 P/O</v>
          </cell>
          <cell r="D278" t="str">
            <v>PO</v>
          </cell>
          <cell r="E278" t="str">
            <v>SAPH440 P/O</v>
          </cell>
          <cell r="F278">
            <v>3</v>
          </cell>
          <cell r="G278">
            <v>310</v>
          </cell>
          <cell r="H278">
            <v>360</v>
          </cell>
          <cell r="I278" t="str">
            <v>CF01/2</v>
          </cell>
          <cell r="J278">
            <v>50093621</v>
          </cell>
          <cell r="K278">
            <v>235</v>
          </cell>
          <cell r="L278" t="str">
            <v>E2-ND-06-TSA-0155</v>
          </cell>
        </row>
        <row r="279">
          <cell r="A279">
            <v>50094422</v>
          </cell>
          <cell r="B279" t="str">
            <v>CR SPCC-SD 2.3x58x1219</v>
          </cell>
          <cell r="C279" t="str">
            <v>CR SPCC-SD</v>
          </cell>
          <cell r="D279" t="str">
            <v>CR</v>
          </cell>
          <cell r="E279" t="str">
            <v>SPCC-SD</v>
          </cell>
          <cell r="F279">
            <v>2.2999999999999998</v>
          </cell>
          <cell r="G279">
            <v>58</v>
          </cell>
          <cell r="H279">
            <v>1219</v>
          </cell>
          <cell r="I279" t="str">
            <v>MW01/1</v>
          </cell>
          <cell r="J279">
            <v>50094422</v>
          </cell>
          <cell r="K279">
            <v>42</v>
          </cell>
          <cell r="L279" t="str">
            <v>E2-ND-06-TSA-0152</v>
          </cell>
        </row>
        <row r="280">
          <cell r="A280">
            <v>50095361</v>
          </cell>
          <cell r="B280" t="str">
            <v>PO SPHC P/O 2.3x77x1219</v>
          </cell>
          <cell r="C280" t="str">
            <v>PO SPHC P/O</v>
          </cell>
          <cell r="D280" t="str">
            <v>PO</v>
          </cell>
          <cell r="E280" t="str">
            <v>SPHC P/O</v>
          </cell>
          <cell r="F280">
            <v>2.2999999999999998</v>
          </cell>
          <cell r="G280">
            <v>77</v>
          </cell>
          <cell r="H280">
            <v>1219</v>
          </cell>
          <cell r="I280" t="str">
            <v>CF01/2</v>
          </cell>
          <cell r="J280">
            <v>50095361</v>
          </cell>
          <cell r="K280">
            <v>34</v>
          </cell>
          <cell r="L280" t="str">
            <v>E2-ND-06-TSA-0154</v>
          </cell>
        </row>
        <row r="281">
          <cell r="A281">
            <v>50095607</v>
          </cell>
          <cell r="D281" t="str">
            <v>CR</v>
          </cell>
          <cell r="E281" t="str">
            <v>SPCC-SD</v>
          </cell>
          <cell r="F281">
            <v>1.6</v>
          </cell>
          <cell r="G281">
            <v>214</v>
          </cell>
          <cell r="H281">
            <v>1219</v>
          </cell>
          <cell r="I281" t="str">
            <v>DS01/1</v>
          </cell>
          <cell r="J281">
            <v>50095607</v>
          </cell>
          <cell r="K281">
            <v>490</v>
          </cell>
        </row>
        <row r="282">
          <cell r="A282">
            <v>50095615</v>
          </cell>
          <cell r="D282" t="str">
            <v>CR</v>
          </cell>
          <cell r="E282" t="str">
            <v>SPCC-SD</v>
          </cell>
          <cell r="F282">
            <v>1.6</v>
          </cell>
          <cell r="G282">
            <v>214</v>
          </cell>
          <cell r="H282">
            <v>1219</v>
          </cell>
          <cell r="I282" t="str">
            <v>DS01/1</v>
          </cell>
          <cell r="J282">
            <v>50095615</v>
          </cell>
          <cell r="K282">
            <v>329</v>
          </cell>
        </row>
        <row r="283">
          <cell r="A283">
            <v>50096493</v>
          </cell>
          <cell r="B283" t="str">
            <v>PO SPHC P/O 3.2x57x1219</v>
          </cell>
          <cell r="C283" t="str">
            <v>PO SPHC P/O</v>
          </cell>
          <cell r="D283" t="str">
            <v>PO</v>
          </cell>
          <cell r="E283" t="str">
            <v>SPHC P/O</v>
          </cell>
          <cell r="F283">
            <v>3.2</v>
          </cell>
          <cell r="G283">
            <v>57</v>
          </cell>
          <cell r="H283">
            <v>1219</v>
          </cell>
          <cell r="I283" t="str">
            <v>LW01/1</v>
          </cell>
          <cell r="J283">
            <v>50096493</v>
          </cell>
          <cell r="K283">
            <v>71</v>
          </cell>
          <cell r="L283" t="str">
            <v>E2-ND-06-TSA-0155</v>
          </cell>
        </row>
        <row r="284">
          <cell r="A284">
            <v>50097078</v>
          </cell>
          <cell r="D284" t="str">
            <v>PO</v>
          </cell>
          <cell r="E284" t="str">
            <v>SPHC P/O</v>
          </cell>
          <cell r="F284">
            <v>5</v>
          </cell>
          <cell r="G284">
            <v>70</v>
          </cell>
          <cell r="H284">
            <v>1219</v>
          </cell>
          <cell r="I284" t="str">
            <v>OW01/1</v>
          </cell>
          <cell r="J284">
            <v>50097078</v>
          </cell>
          <cell r="K284">
            <v>266</v>
          </cell>
        </row>
        <row r="285">
          <cell r="A285">
            <v>50097998</v>
          </cell>
          <cell r="D285" t="str">
            <v>PO</v>
          </cell>
          <cell r="E285" t="str">
            <v>SPHC P/O</v>
          </cell>
          <cell r="F285">
            <v>4</v>
          </cell>
          <cell r="G285">
            <v>68</v>
          </cell>
          <cell r="H285">
            <v>1219</v>
          </cell>
          <cell r="I285" t="str">
            <v>OW01/1</v>
          </cell>
          <cell r="J285">
            <v>50097998</v>
          </cell>
          <cell r="K285">
            <v>640</v>
          </cell>
        </row>
        <row r="286">
          <cell r="A286">
            <v>50097999</v>
          </cell>
          <cell r="D286" t="str">
            <v>PO</v>
          </cell>
          <cell r="E286" t="str">
            <v>SPHC P/O</v>
          </cell>
          <cell r="F286">
            <v>4</v>
          </cell>
          <cell r="G286">
            <v>62</v>
          </cell>
          <cell r="H286">
            <v>1219</v>
          </cell>
          <cell r="I286" t="str">
            <v>OW01/1</v>
          </cell>
          <cell r="J286">
            <v>50097999</v>
          </cell>
          <cell r="K286">
            <v>350</v>
          </cell>
        </row>
        <row r="287">
          <cell r="A287">
            <v>50098000</v>
          </cell>
          <cell r="D287" t="str">
            <v>PO</v>
          </cell>
          <cell r="E287" t="str">
            <v>SPHC P/O</v>
          </cell>
          <cell r="F287">
            <v>4</v>
          </cell>
          <cell r="G287">
            <v>62</v>
          </cell>
          <cell r="H287">
            <v>1219</v>
          </cell>
          <cell r="I287" t="str">
            <v>OW01/1</v>
          </cell>
          <cell r="J287">
            <v>50098000</v>
          </cell>
          <cell r="K287">
            <v>350</v>
          </cell>
        </row>
        <row r="288">
          <cell r="A288">
            <v>50098313</v>
          </cell>
          <cell r="D288" t="str">
            <v>CR</v>
          </cell>
          <cell r="E288" t="str">
            <v>SPCC-SD</v>
          </cell>
          <cell r="F288">
            <v>0.6</v>
          </cell>
          <cell r="G288">
            <v>115</v>
          </cell>
          <cell r="H288">
            <v>1219</v>
          </cell>
          <cell r="I288" t="str">
            <v>Semi/S</v>
          </cell>
          <cell r="J288">
            <v>50098313</v>
          </cell>
          <cell r="K288">
            <v>111</v>
          </cell>
        </row>
        <row r="289">
          <cell r="A289">
            <v>50098636</v>
          </cell>
          <cell r="D289" t="str">
            <v>PO</v>
          </cell>
          <cell r="E289" t="str">
            <v>SAPH440 P/O</v>
          </cell>
          <cell r="F289">
            <v>4.5</v>
          </cell>
          <cell r="G289">
            <v>245</v>
          </cell>
          <cell r="H289">
            <v>1219</v>
          </cell>
          <cell r="I289" t="str">
            <v>Semi/S</v>
          </cell>
          <cell r="J289">
            <v>50098636</v>
          </cell>
          <cell r="K289">
            <v>84</v>
          </cell>
        </row>
        <row r="290">
          <cell r="A290">
            <v>50098649</v>
          </cell>
          <cell r="D290" t="str">
            <v>CR</v>
          </cell>
          <cell r="E290" t="str">
            <v>SPCEN-SD</v>
          </cell>
          <cell r="F290">
            <v>1</v>
          </cell>
          <cell r="G290">
            <v>400</v>
          </cell>
          <cell r="H290">
            <v>480</v>
          </cell>
          <cell r="I290" t="str">
            <v>DS01/1</v>
          </cell>
          <cell r="J290">
            <v>50098649</v>
          </cell>
          <cell r="K290">
            <v>148</v>
          </cell>
        </row>
        <row r="291">
          <cell r="A291">
            <v>50099919</v>
          </cell>
          <cell r="B291" t="str">
            <v>PO SS400 P/O 4.5x65x1219</v>
          </cell>
          <cell r="C291" t="str">
            <v>PO SPHC P/O</v>
          </cell>
          <cell r="D291" t="str">
            <v>PO</v>
          </cell>
          <cell r="E291" t="str">
            <v>SS400 P/O</v>
          </cell>
          <cell r="F291">
            <v>4.5</v>
          </cell>
          <cell r="G291">
            <v>65</v>
          </cell>
          <cell r="H291">
            <v>1219</v>
          </cell>
          <cell r="I291" t="str">
            <v>CF01/1</v>
          </cell>
          <cell r="J291">
            <v>50099919</v>
          </cell>
          <cell r="K291">
            <v>168</v>
          </cell>
          <cell r="L291" t="str">
            <v>E2-ND-06-TSA-0155</v>
          </cell>
        </row>
        <row r="292">
          <cell r="A292">
            <v>50100143</v>
          </cell>
          <cell r="D292" t="str">
            <v>CR</v>
          </cell>
          <cell r="E292" t="str">
            <v>SPCC-SD</v>
          </cell>
          <cell r="F292">
            <v>0.5</v>
          </cell>
          <cell r="G292">
            <v>70</v>
          </cell>
          <cell r="H292">
            <v>1690</v>
          </cell>
          <cell r="I292" t="str">
            <v>CF01/2</v>
          </cell>
          <cell r="J292">
            <v>50100143</v>
          </cell>
          <cell r="K292">
            <v>79</v>
          </cell>
        </row>
        <row r="293">
          <cell r="A293">
            <v>50100271</v>
          </cell>
          <cell r="D293" t="str">
            <v>CR</v>
          </cell>
          <cell r="E293" t="str">
            <v>SPCC-SD</v>
          </cell>
          <cell r="F293">
            <v>2</v>
          </cell>
          <cell r="G293">
            <v>98</v>
          </cell>
          <cell r="H293">
            <v>180</v>
          </cell>
          <cell r="I293" t="str">
            <v>CF01/1</v>
          </cell>
          <cell r="J293">
            <v>50100271</v>
          </cell>
          <cell r="K293">
            <v>17</v>
          </cell>
        </row>
        <row r="294">
          <cell r="A294">
            <v>50100272</v>
          </cell>
          <cell r="D294" t="str">
            <v>CR</v>
          </cell>
          <cell r="E294" t="str">
            <v>SPCC-SD</v>
          </cell>
          <cell r="F294">
            <v>2</v>
          </cell>
          <cell r="G294">
            <v>98</v>
          </cell>
          <cell r="H294">
            <v>180</v>
          </cell>
          <cell r="I294" t="str">
            <v>CF01/1</v>
          </cell>
          <cell r="J294">
            <v>50100272</v>
          </cell>
          <cell r="K294">
            <v>277</v>
          </cell>
        </row>
        <row r="295">
          <cell r="A295">
            <v>50100427</v>
          </cell>
          <cell r="D295" t="str">
            <v>PO</v>
          </cell>
          <cell r="E295" t="str">
            <v>SPHC P/O</v>
          </cell>
          <cell r="F295">
            <v>3.2</v>
          </cell>
          <cell r="G295">
            <v>65</v>
          </cell>
          <cell r="H295">
            <v>1219</v>
          </cell>
          <cell r="I295" t="str">
            <v>OW01/1</v>
          </cell>
          <cell r="J295">
            <v>50100427</v>
          </cell>
          <cell r="K295">
            <v>219</v>
          </cell>
        </row>
        <row r="296">
          <cell r="A296">
            <v>50100464</v>
          </cell>
          <cell r="D296" t="str">
            <v>CR</v>
          </cell>
          <cell r="E296" t="str">
            <v>SPCC-SD</v>
          </cell>
          <cell r="F296">
            <v>0.6</v>
          </cell>
          <cell r="G296">
            <v>489</v>
          </cell>
          <cell r="H296">
            <v>1904.5</v>
          </cell>
          <cell r="I296" t="str">
            <v>CW00</v>
          </cell>
          <cell r="J296">
            <v>50100464</v>
          </cell>
          <cell r="K296">
            <v>79</v>
          </cell>
        </row>
        <row r="297">
          <cell r="A297">
            <v>50101101</v>
          </cell>
          <cell r="B297" t="str">
            <v>PO SPHC P/O 4.5x64x1219</v>
          </cell>
          <cell r="C297" t="str">
            <v>PO SPHC P/O</v>
          </cell>
          <cell r="D297" t="str">
            <v>PO</v>
          </cell>
          <cell r="E297" t="str">
            <v>SPHC P/O</v>
          </cell>
          <cell r="F297">
            <v>4.5</v>
          </cell>
          <cell r="G297">
            <v>64</v>
          </cell>
          <cell r="H297">
            <v>1219</v>
          </cell>
          <cell r="I297" t="str">
            <v>CF01/1</v>
          </cell>
          <cell r="J297">
            <v>50101101</v>
          </cell>
          <cell r="K297">
            <v>616</v>
          </cell>
          <cell r="L297" t="str">
            <v>E2-ND-06-TSA-0154</v>
          </cell>
        </row>
        <row r="298">
          <cell r="A298">
            <v>50101506</v>
          </cell>
          <cell r="D298" t="str">
            <v>CR</v>
          </cell>
          <cell r="E298" t="str">
            <v>SPCC-SD</v>
          </cell>
          <cell r="F298">
            <v>3</v>
          </cell>
          <cell r="G298">
            <v>1170</v>
          </cell>
          <cell r="H298">
            <v>1240</v>
          </cell>
          <cell r="I298" t="str">
            <v>CW00</v>
          </cell>
          <cell r="J298">
            <v>50101506</v>
          </cell>
          <cell r="K298">
            <v>171</v>
          </cell>
        </row>
        <row r="299">
          <cell r="A299">
            <v>50101591</v>
          </cell>
          <cell r="D299" t="str">
            <v>CR</v>
          </cell>
          <cell r="E299" t="str">
            <v>SPCC-SD</v>
          </cell>
          <cell r="F299">
            <v>3</v>
          </cell>
          <cell r="G299">
            <v>462</v>
          </cell>
          <cell r="H299">
            <v>1170</v>
          </cell>
          <cell r="I299" t="str">
            <v>SEMI/S</v>
          </cell>
          <cell r="J299">
            <v>50101591</v>
          </cell>
          <cell r="K299">
            <v>204</v>
          </cell>
        </row>
        <row r="300">
          <cell r="A300">
            <v>50101617</v>
          </cell>
          <cell r="D300" t="str">
            <v>PO</v>
          </cell>
          <cell r="E300" t="str">
            <v>SPHC P/O</v>
          </cell>
          <cell r="F300">
            <v>2</v>
          </cell>
          <cell r="G300">
            <v>87</v>
          </cell>
          <cell r="H300">
            <v>1219</v>
          </cell>
          <cell r="I300" t="str">
            <v>DS01/1</v>
          </cell>
          <cell r="J300">
            <v>50101617</v>
          </cell>
          <cell r="K300">
            <v>84</v>
          </cell>
        </row>
        <row r="301">
          <cell r="A301">
            <v>50102385</v>
          </cell>
          <cell r="D301" t="str">
            <v>CR</v>
          </cell>
          <cell r="E301" t="str">
            <v>SPCC-SD</v>
          </cell>
          <cell r="F301">
            <v>3</v>
          </cell>
          <cell r="G301">
            <v>290</v>
          </cell>
          <cell r="H301">
            <v>1219</v>
          </cell>
          <cell r="I301" t="str">
            <v>Semi/S</v>
          </cell>
          <cell r="J301">
            <v>50102385</v>
          </cell>
          <cell r="K301">
            <v>185</v>
          </cell>
        </row>
        <row r="302">
          <cell r="A302">
            <v>50102903</v>
          </cell>
          <cell r="B302" t="str">
            <v>PO SPHC P/O 4.5x99x1219</v>
          </cell>
          <cell r="C302" t="str">
            <v>PO SPHC P/O</v>
          </cell>
          <cell r="D302" t="str">
            <v>PO</v>
          </cell>
          <cell r="E302" t="str">
            <v>SPHC P/O</v>
          </cell>
          <cell r="F302">
            <v>4.5</v>
          </cell>
          <cell r="G302">
            <v>99</v>
          </cell>
          <cell r="H302">
            <v>1219</v>
          </cell>
          <cell r="I302" t="str">
            <v>CF01/2</v>
          </cell>
          <cell r="J302">
            <v>50102903</v>
          </cell>
          <cell r="K302">
            <v>115</v>
          </cell>
          <cell r="L302" t="str">
            <v>E2-ND-06-TSA-0154</v>
          </cell>
        </row>
        <row r="303">
          <cell r="A303">
            <v>50102937</v>
          </cell>
          <cell r="D303" t="str">
            <v>CR</v>
          </cell>
          <cell r="E303" t="str">
            <v>SPCC-SD</v>
          </cell>
          <cell r="F303">
            <v>3</v>
          </cell>
          <cell r="G303">
            <v>4624</v>
          </cell>
          <cell r="H303">
            <v>1170</v>
          </cell>
          <cell r="I303" t="str">
            <v>Semi/S</v>
          </cell>
          <cell r="J303">
            <v>50102937</v>
          </cell>
          <cell r="K303">
            <v>848</v>
          </cell>
        </row>
        <row r="304">
          <cell r="A304">
            <v>50103244</v>
          </cell>
          <cell r="B304" t="str">
            <v>CR SPCC-SD 1.2x60x1219</v>
          </cell>
          <cell r="C304" t="str">
            <v>CR SPCC-SD</v>
          </cell>
          <cell r="D304" t="str">
            <v>CR</v>
          </cell>
          <cell r="E304" t="str">
            <v>SPCC-SD</v>
          </cell>
          <cell r="F304">
            <v>1.2</v>
          </cell>
          <cell r="G304">
            <v>60</v>
          </cell>
          <cell r="H304">
            <v>1219</v>
          </cell>
          <cell r="I304" t="str">
            <v>CF01/2</v>
          </cell>
          <cell r="J304">
            <v>50103244</v>
          </cell>
          <cell r="K304">
            <v>250</v>
          </cell>
          <cell r="L304" t="str">
            <v>E1-ND-06-TSA-0362</v>
          </cell>
        </row>
        <row r="305">
          <cell r="A305">
            <v>50104008</v>
          </cell>
          <cell r="D305" t="str">
            <v>CR</v>
          </cell>
          <cell r="E305" t="str">
            <v>SPCC-SD</v>
          </cell>
          <cell r="F305">
            <v>1.6</v>
          </cell>
          <cell r="G305">
            <v>160</v>
          </cell>
          <cell r="H305">
            <v>1149</v>
          </cell>
          <cell r="I305" t="str">
            <v>Semi/S</v>
          </cell>
          <cell r="J305">
            <v>50104008</v>
          </cell>
          <cell r="K305">
            <v>104</v>
          </cell>
        </row>
        <row r="306">
          <cell r="A306">
            <v>50104553</v>
          </cell>
          <cell r="B306" t="str">
            <v>CR SPCC-SD 3.0x268.7x1240</v>
          </cell>
          <cell r="C306" t="str">
            <v>CR SPCC-SD</v>
          </cell>
          <cell r="D306" t="str">
            <v>CR</v>
          </cell>
          <cell r="E306" t="str">
            <v>SPCC-SD</v>
          </cell>
          <cell r="F306">
            <v>3</v>
          </cell>
          <cell r="G306">
            <v>268.7</v>
          </cell>
          <cell r="H306">
            <v>1240</v>
          </cell>
          <cell r="I306" t="str">
            <v>CF01/1</v>
          </cell>
          <cell r="J306">
            <v>50104553</v>
          </cell>
          <cell r="K306">
            <v>789</v>
          </cell>
          <cell r="L306" t="str">
            <v>E2-ND-06-TSA-0153</v>
          </cell>
        </row>
        <row r="307">
          <cell r="A307">
            <v>50104554</v>
          </cell>
          <cell r="B307" t="str">
            <v>CR SPCC-SD 3.0x268.7x1240</v>
          </cell>
          <cell r="C307" t="str">
            <v>CR SPCC-SD</v>
          </cell>
          <cell r="D307" t="str">
            <v>CR</v>
          </cell>
          <cell r="E307" t="str">
            <v>SPCC-SD</v>
          </cell>
          <cell r="F307">
            <v>3</v>
          </cell>
          <cell r="G307">
            <v>268.7</v>
          </cell>
          <cell r="H307">
            <v>1240</v>
          </cell>
          <cell r="I307" t="str">
            <v>MW01/1</v>
          </cell>
          <cell r="J307">
            <v>50104554</v>
          </cell>
          <cell r="K307">
            <v>789</v>
          </cell>
          <cell r="L307" t="str">
            <v>E2-ND-06-TSA-0153</v>
          </cell>
        </row>
        <row r="308">
          <cell r="A308">
            <v>50104734</v>
          </cell>
          <cell r="B308" t="str">
            <v>CR SPCC-SD 3.0x90.1x845</v>
          </cell>
          <cell r="C308" t="str">
            <v>CR SPCC-SD</v>
          </cell>
          <cell r="D308" t="str">
            <v>CR</v>
          </cell>
          <cell r="E308" t="str">
            <v>SPCC-SD</v>
          </cell>
          <cell r="F308">
            <v>3</v>
          </cell>
          <cell r="G308">
            <v>90.1</v>
          </cell>
          <cell r="H308">
            <v>845</v>
          </cell>
          <cell r="I308" t="str">
            <v>CF01/1</v>
          </cell>
          <cell r="J308">
            <v>50104734</v>
          </cell>
          <cell r="K308">
            <v>168</v>
          </cell>
          <cell r="L308" t="str">
            <v>E2-ND-06-TSA-0153</v>
          </cell>
        </row>
        <row r="309">
          <cell r="A309">
            <v>50105015</v>
          </cell>
          <cell r="D309" t="str">
            <v>CR</v>
          </cell>
          <cell r="E309" t="str">
            <v>SPCC-SD</v>
          </cell>
          <cell r="F309">
            <v>1.4</v>
          </cell>
          <cell r="G309">
            <v>203</v>
          </cell>
          <cell r="H309">
            <v>1219</v>
          </cell>
          <cell r="I309" t="str">
            <v>Semi/S</v>
          </cell>
          <cell r="J309">
            <v>50105015</v>
          </cell>
          <cell r="K309">
            <v>256</v>
          </cell>
        </row>
        <row r="310">
          <cell r="A310">
            <v>50105477</v>
          </cell>
          <cell r="D310" t="str">
            <v>PO</v>
          </cell>
          <cell r="E310" t="str">
            <v>SPHC P/O</v>
          </cell>
          <cell r="F310">
            <v>2.2999999999999998</v>
          </cell>
          <cell r="G310">
            <v>433</v>
          </cell>
          <cell r="H310">
            <v>1990</v>
          </cell>
          <cell r="I310" t="str">
            <v>CW00</v>
          </cell>
          <cell r="J310">
            <v>50105477</v>
          </cell>
          <cell r="K310">
            <v>342</v>
          </cell>
        </row>
        <row r="311">
          <cell r="A311">
            <v>50105618</v>
          </cell>
          <cell r="B311" t="str">
            <v>CR SPCC-SD 1.6x90x250</v>
          </cell>
          <cell r="C311" t="str">
            <v>CR SPCC-SD</v>
          </cell>
          <cell r="D311" t="str">
            <v>CR</v>
          </cell>
          <cell r="E311" t="str">
            <v>SPCC-SD</v>
          </cell>
          <cell r="F311">
            <v>1.6</v>
          </cell>
          <cell r="G311">
            <v>90</v>
          </cell>
          <cell r="H311">
            <v>250</v>
          </cell>
          <cell r="I311" t="str">
            <v>CF01/1</v>
          </cell>
          <cell r="J311">
            <v>50105618</v>
          </cell>
          <cell r="K311">
            <v>77</v>
          </cell>
          <cell r="L311" t="str">
            <v>E2-ND-06-TSA-0152</v>
          </cell>
        </row>
        <row r="312">
          <cell r="A312">
            <v>50105862</v>
          </cell>
          <cell r="D312" t="str">
            <v>CR</v>
          </cell>
          <cell r="E312" t="str">
            <v>SPCC-SD</v>
          </cell>
          <cell r="F312">
            <v>0.7</v>
          </cell>
          <cell r="G312">
            <v>620</v>
          </cell>
          <cell r="H312">
            <v>1530</v>
          </cell>
          <cell r="I312" t="str">
            <v>DS01/1</v>
          </cell>
          <cell r="J312">
            <v>50105862</v>
          </cell>
          <cell r="K312">
            <v>52</v>
          </cell>
        </row>
        <row r="313">
          <cell r="A313">
            <v>50106725</v>
          </cell>
          <cell r="B313" t="str">
            <v>PO SPHC P/O 6.0x95x1219</v>
          </cell>
          <cell r="C313" t="str">
            <v>PO SPHC P/O</v>
          </cell>
          <cell r="D313" t="str">
            <v>PO</v>
          </cell>
          <cell r="E313" t="str">
            <v>SPHC P/O</v>
          </cell>
          <cell r="F313">
            <v>6</v>
          </cell>
          <cell r="G313">
            <v>95</v>
          </cell>
          <cell r="H313">
            <v>1219</v>
          </cell>
          <cell r="I313" t="str">
            <v>CF01/2</v>
          </cell>
          <cell r="J313">
            <v>50106725</v>
          </cell>
          <cell r="K313">
            <v>59</v>
          </cell>
          <cell r="L313" t="str">
            <v>E2-NJ-06-TSA-0073</v>
          </cell>
        </row>
        <row r="314">
          <cell r="A314">
            <v>50106726</v>
          </cell>
          <cell r="D314" t="str">
            <v>PO</v>
          </cell>
          <cell r="E314" t="str">
            <v>SPHC P/O</v>
          </cell>
          <cell r="F314">
            <v>6</v>
          </cell>
          <cell r="G314">
            <v>95</v>
          </cell>
          <cell r="H314">
            <v>380</v>
          </cell>
          <cell r="I314" t="str">
            <v>OW01/1</v>
          </cell>
          <cell r="J314">
            <v>50106726</v>
          </cell>
          <cell r="K314">
            <v>74</v>
          </cell>
        </row>
        <row r="315">
          <cell r="A315">
            <v>50106727</v>
          </cell>
          <cell r="D315" t="str">
            <v>PO</v>
          </cell>
          <cell r="E315" t="str">
            <v>SPHC P/O</v>
          </cell>
          <cell r="F315">
            <v>6</v>
          </cell>
          <cell r="G315">
            <v>95</v>
          </cell>
          <cell r="H315">
            <v>1219</v>
          </cell>
          <cell r="I315" t="str">
            <v>OW01/1</v>
          </cell>
          <cell r="J315">
            <v>50106727</v>
          </cell>
          <cell r="K315">
            <v>166</v>
          </cell>
        </row>
        <row r="316">
          <cell r="A316">
            <v>50106735</v>
          </cell>
          <cell r="D316" t="str">
            <v>CR</v>
          </cell>
          <cell r="E316" t="str">
            <v>SPCC-SD</v>
          </cell>
          <cell r="F316">
            <v>1.4</v>
          </cell>
          <cell r="G316">
            <v>203</v>
          </cell>
          <cell r="H316">
            <v>1219</v>
          </cell>
          <cell r="I316" t="str">
            <v>Semi/S</v>
          </cell>
          <cell r="J316">
            <v>50106735</v>
          </cell>
          <cell r="K316">
            <v>378</v>
          </cell>
        </row>
        <row r="317">
          <cell r="A317">
            <v>50107640</v>
          </cell>
          <cell r="D317" t="str">
            <v>PO</v>
          </cell>
          <cell r="E317" t="str">
            <v>SPHC P/O</v>
          </cell>
          <cell r="F317">
            <v>2</v>
          </cell>
          <cell r="G317">
            <v>70</v>
          </cell>
          <cell r="H317">
            <v>1219</v>
          </cell>
          <cell r="I317" t="str">
            <v>OW01/1</v>
          </cell>
          <cell r="J317">
            <v>50107640</v>
          </cell>
          <cell r="K317">
            <v>125</v>
          </cell>
        </row>
        <row r="318">
          <cell r="A318">
            <v>50107709</v>
          </cell>
          <cell r="D318" t="str">
            <v>PO</v>
          </cell>
          <cell r="E318" t="str">
            <v>SAPH440 P/O</v>
          </cell>
          <cell r="F318">
            <v>2.6</v>
          </cell>
          <cell r="G318">
            <v>56</v>
          </cell>
          <cell r="H318">
            <v>1219</v>
          </cell>
          <cell r="I318" t="str">
            <v>CF01/2</v>
          </cell>
          <cell r="J318">
            <v>50107709</v>
          </cell>
          <cell r="K318">
            <v>207</v>
          </cell>
        </row>
        <row r="319">
          <cell r="A319">
            <v>50109241</v>
          </cell>
          <cell r="D319" t="str">
            <v>CR</v>
          </cell>
          <cell r="E319" t="str">
            <v>SPCC-SD</v>
          </cell>
          <cell r="F319">
            <v>3</v>
          </cell>
          <cell r="G319">
            <v>462</v>
          </cell>
          <cell r="H319">
            <v>1170</v>
          </cell>
          <cell r="I319" t="str">
            <v>SEMI/S</v>
          </cell>
          <cell r="J319">
            <v>50109241</v>
          </cell>
          <cell r="K319">
            <v>153</v>
          </cell>
        </row>
        <row r="320">
          <cell r="A320">
            <v>50110099</v>
          </cell>
          <cell r="D320" t="str">
            <v>CR</v>
          </cell>
          <cell r="E320" t="str">
            <v>SPCC-SD</v>
          </cell>
          <cell r="F320">
            <v>1</v>
          </cell>
          <cell r="G320">
            <v>211</v>
          </cell>
          <cell r="H320">
            <v>1219</v>
          </cell>
          <cell r="I320" t="str">
            <v>Semi/S</v>
          </cell>
          <cell r="J320">
            <v>50110099</v>
          </cell>
          <cell r="K320">
            <v>91</v>
          </cell>
        </row>
        <row r="321">
          <cell r="A321">
            <v>50110162</v>
          </cell>
          <cell r="B321" t="str">
            <v>PO SPHC P/O 4.5x72x1219</v>
          </cell>
          <cell r="C321" t="str">
            <v>PO SPHC P/O</v>
          </cell>
          <cell r="D321" t="str">
            <v>PO</v>
          </cell>
          <cell r="E321" t="str">
            <v>SPHC P/O</v>
          </cell>
          <cell r="F321">
            <v>4.5</v>
          </cell>
          <cell r="G321">
            <v>72</v>
          </cell>
          <cell r="H321">
            <v>1219</v>
          </cell>
          <cell r="I321" t="str">
            <v>MW01/1</v>
          </cell>
          <cell r="J321">
            <v>50110162</v>
          </cell>
          <cell r="K321">
            <v>310</v>
          </cell>
          <cell r="L321" t="str">
            <v>E2-ND-06-TSA-0154</v>
          </cell>
        </row>
        <row r="322">
          <cell r="A322">
            <v>50110164</v>
          </cell>
          <cell r="B322" t="str">
            <v>PO SPHC P/O 4.5x72x1219</v>
          </cell>
          <cell r="C322" t="str">
            <v>PO SPHC P/O</v>
          </cell>
          <cell r="D322" t="str">
            <v>PO</v>
          </cell>
          <cell r="E322" t="str">
            <v>SPHC P/O</v>
          </cell>
          <cell r="F322">
            <v>4.5</v>
          </cell>
          <cell r="G322">
            <v>72</v>
          </cell>
          <cell r="H322">
            <v>1219</v>
          </cell>
          <cell r="I322" t="str">
            <v>CF01/2</v>
          </cell>
          <cell r="J322">
            <v>50110164</v>
          </cell>
          <cell r="K322">
            <v>43</v>
          </cell>
          <cell r="L322" t="str">
            <v>E2-NJ-06-TSA-0063</v>
          </cell>
        </row>
        <row r="323">
          <cell r="A323">
            <v>50110463</v>
          </cell>
          <cell r="D323" t="str">
            <v>CR</v>
          </cell>
          <cell r="E323" t="str">
            <v>SPCC-SD</v>
          </cell>
          <cell r="F323">
            <v>3</v>
          </cell>
          <cell r="G323">
            <v>60</v>
          </cell>
          <cell r="H323">
            <v>1219</v>
          </cell>
          <cell r="I323" t="str">
            <v>DS01/1</v>
          </cell>
          <cell r="J323">
            <v>50110463</v>
          </cell>
          <cell r="K323">
            <v>394</v>
          </cell>
        </row>
        <row r="324">
          <cell r="A324">
            <v>50110688</v>
          </cell>
          <cell r="B324" t="str">
            <v>CR SPCC-SD 1.2x84x1219</v>
          </cell>
          <cell r="C324" t="str">
            <v>CR SPCC-SD</v>
          </cell>
          <cell r="D324" t="str">
            <v>CR</v>
          </cell>
          <cell r="E324" t="str">
            <v>SPCC-SD</v>
          </cell>
          <cell r="F324">
            <v>1.2</v>
          </cell>
          <cell r="G324">
            <v>84</v>
          </cell>
          <cell r="H324">
            <v>1219</v>
          </cell>
          <cell r="I324" t="str">
            <v>LW02/2</v>
          </cell>
          <cell r="J324">
            <v>50110688</v>
          </cell>
          <cell r="K324">
            <v>18</v>
          </cell>
          <cell r="L324" t="str">
            <v>E1-NJ-06-TSA-0376</v>
          </cell>
        </row>
        <row r="325">
          <cell r="A325">
            <v>50112283</v>
          </cell>
          <cell r="B325" t="str">
            <v>PO SPHC P/O 4.5x99x1219</v>
          </cell>
          <cell r="C325" t="str">
            <v>PO SPHC P/O</v>
          </cell>
          <cell r="D325" t="str">
            <v>PO</v>
          </cell>
          <cell r="E325" t="str">
            <v>SPHC P/O</v>
          </cell>
          <cell r="F325">
            <v>4.5</v>
          </cell>
          <cell r="G325">
            <v>99</v>
          </cell>
          <cell r="H325">
            <v>1219</v>
          </cell>
          <cell r="I325" t="str">
            <v>CF01/2</v>
          </cell>
          <cell r="J325">
            <v>50112283</v>
          </cell>
          <cell r="K325">
            <v>30</v>
          </cell>
          <cell r="L325" t="str">
            <v>E2-ND-06-TSA-0154</v>
          </cell>
        </row>
        <row r="326">
          <cell r="A326">
            <v>50112714</v>
          </cell>
          <cell r="B326" t="str">
            <v>CR SPCC-SD 3.0x78x1219</v>
          </cell>
          <cell r="C326" t="str">
            <v>CR SPCC-SD</v>
          </cell>
          <cell r="D326" t="str">
            <v>CR</v>
          </cell>
          <cell r="E326" t="str">
            <v>SPCC-SD</v>
          </cell>
          <cell r="F326">
            <v>3</v>
          </cell>
          <cell r="G326">
            <v>78</v>
          </cell>
          <cell r="H326">
            <v>1219</v>
          </cell>
          <cell r="I326" t="str">
            <v>CF01/2</v>
          </cell>
          <cell r="J326">
            <v>50112714</v>
          </cell>
          <cell r="K326">
            <v>45</v>
          </cell>
          <cell r="L326" t="str">
            <v>E2-ND-06-TSA-0152</v>
          </cell>
        </row>
        <row r="327">
          <cell r="A327">
            <v>50112928</v>
          </cell>
          <cell r="B327" t="str">
            <v>CR SPCC-SD 3.0x233.2x462.4</v>
          </cell>
          <cell r="C327" t="str">
            <v>CR SPCC-SD</v>
          </cell>
          <cell r="D327" t="str">
            <v>CR</v>
          </cell>
          <cell r="E327" t="str">
            <v>SPCC-SD</v>
          </cell>
          <cell r="F327">
            <v>3</v>
          </cell>
          <cell r="G327">
            <v>233.2</v>
          </cell>
          <cell r="H327">
            <v>4624</v>
          </cell>
          <cell r="I327" t="str">
            <v>CF01/2</v>
          </cell>
          <cell r="J327">
            <v>50112928</v>
          </cell>
          <cell r="K327">
            <v>284</v>
          </cell>
          <cell r="L327" t="str">
            <v>E2-ND-06-TSA-0153</v>
          </cell>
        </row>
        <row r="328">
          <cell r="A328">
            <v>50113019</v>
          </cell>
          <cell r="B328" t="str">
            <v>CR SPCC-SD 3.0x90.1x845</v>
          </cell>
          <cell r="C328" t="str">
            <v>CR SPCC-SD</v>
          </cell>
          <cell r="D328" t="str">
            <v>CR</v>
          </cell>
          <cell r="E328" t="str">
            <v>SPCC-SD</v>
          </cell>
          <cell r="F328">
            <v>3</v>
          </cell>
          <cell r="G328">
            <v>90.1</v>
          </cell>
          <cell r="H328">
            <v>845</v>
          </cell>
          <cell r="I328" t="str">
            <v>MW01/1</v>
          </cell>
          <cell r="J328">
            <v>50113019</v>
          </cell>
          <cell r="K328">
            <v>182</v>
          </cell>
          <cell r="L328" t="str">
            <v>E2-ND-06-TSA-0153</v>
          </cell>
        </row>
        <row r="329">
          <cell r="A329">
            <v>50113020</v>
          </cell>
          <cell r="B329" t="str">
            <v>CR SPCC-SD 3.0x90.1x845</v>
          </cell>
          <cell r="C329" t="str">
            <v>CR SPCC-SD</v>
          </cell>
          <cell r="D329" t="str">
            <v>CR</v>
          </cell>
          <cell r="E329" t="str">
            <v>SPCC-SD</v>
          </cell>
          <cell r="F329">
            <v>3</v>
          </cell>
          <cell r="G329">
            <v>90.1</v>
          </cell>
          <cell r="H329">
            <v>845</v>
          </cell>
          <cell r="I329" t="str">
            <v>CF01/1</v>
          </cell>
          <cell r="J329">
            <v>50113020</v>
          </cell>
          <cell r="K329">
            <v>102</v>
          </cell>
          <cell r="L329" t="str">
            <v>E2-ND-06-TSA-0152</v>
          </cell>
        </row>
        <row r="330">
          <cell r="A330">
            <v>50113163</v>
          </cell>
          <cell r="B330" t="str">
            <v>CR SPCC-SD 3.0x268.7x1240</v>
          </cell>
          <cell r="C330" t="str">
            <v>CR SPCC-SD</v>
          </cell>
          <cell r="D330" t="str">
            <v>CR</v>
          </cell>
          <cell r="E330" t="str">
            <v>SPCC-SD</v>
          </cell>
          <cell r="F330">
            <v>3</v>
          </cell>
          <cell r="G330">
            <v>268.7</v>
          </cell>
          <cell r="H330">
            <v>1240</v>
          </cell>
          <cell r="I330" t="str">
            <v>CF01/1</v>
          </cell>
          <cell r="J330">
            <v>50113163</v>
          </cell>
          <cell r="K330">
            <v>832</v>
          </cell>
          <cell r="L330" t="str">
            <v>E2-ND-06-TSA-0153</v>
          </cell>
        </row>
        <row r="331">
          <cell r="A331">
            <v>50113514</v>
          </cell>
          <cell r="B331" t="str">
            <v>CR SPCC-SD 3.0x233.2x462.4</v>
          </cell>
          <cell r="C331" t="str">
            <v>CR SPCC-SD</v>
          </cell>
          <cell r="D331" t="str">
            <v>CR</v>
          </cell>
          <cell r="E331" t="str">
            <v>SPCC-SD</v>
          </cell>
          <cell r="F331">
            <v>3</v>
          </cell>
          <cell r="G331">
            <v>233.2</v>
          </cell>
          <cell r="H331">
            <v>4624</v>
          </cell>
          <cell r="I331" t="str">
            <v>CF01/2</v>
          </cell>
          <cell r="J331">
            <v>50113514</v>
          </cell>
          <cell r="K331">
            <v>340</v>
          </cell>
          <cell r="L331" t="str">
            <v>E2-ND-06-TSA-0153</v>
          </cell>
        </row>
        <row r="332">
          <cell r="A332">
            <v>50113624</v>
          </cell>
          <cell r="B332" t="str">
            <v>CR SPCC-SD 3.0x150.5x845</v>
          </cell>
          <cell r="C332" t="str">
            <v>CR SPCC-SD</v>
          </cell>
          <cell r="D332" t="str">
            <v>CR</v>
          </cell>
          <cell r="E332" t="str">
            <v>SPCC-SD</v>
          </cell>
          <cell r="F332">
            <v>3</v>
          </cell>
          <cell r="G332">
            <v>150.5</v>
          </cell>
          <cell r="H332">
            <v>845</v>
          </cell>
          <cell r="I332" t="str">
            <v>CF01/1</v>
          </cell>
          <cell r="J332">
            <v>50113624</v>
          </cell>
          <cell r="K332">
            <v>208</v>
          </cell>
          <cell r="L332" t="str">
            <v>E2-ND-06-TSA-0153</v>
          </cell>
        </row>
        <row r="333">
          <cell r="A333">
            <v>50113729</v>
          </cell>
          <cell r="B333" t="str">
            <v>CR SPCC-SD 3.0x80.1x970</v>
          </cell>
          <cell r="C333" t="str">
            <v>CR SPCC-SD</v>
          </cell>
          <cell r="D333" t="str">
            <v>CR</v>
          </cell>
          <cell r="E333" t="str">
            <v>SPCC-SD</v>
          </cell>
          <cell r="F333">
            <v>3</v>
          </cell>
          <cell r="G333">
            <v>80.099999999999994</v>
          </cell>
          <cell r="H333">
            <v>970</v>
          </cell>
          <cell r="I333" t="str">
            <v>CF01/1</v>
          </cell>
          <cell r="J333">
            <v>50113729</v>
          </cell>
          <cell r="K333">
            <v>52</v>
          </cell>
          <cell r="L333" t="str">
            <v>E2-ND-06-TSA-0153</v>
          </cell>
        </row>
        <row r="334">
          <cell r="A334">
            <v>50114524</v>
          </cell>
          <cell r="B334" t="str">
            <v>CR SPCC-SD 3.0x233.2x462.4</v>
          </cell>
          <cell r="C334" t="str">
            <v>CR SPCC-SD</v>
          </cell>
          <cell r="D334" t="str">
            <v>CR</v>
          </cell>
          <cell r="E334" t="str">
            <v>SPCC-SD</v>
          </cell>
          <cell r="F334">
            <v>3</v>
          </cell>
          <cell r="G334">
            <v>233.2</v>
          </cell>
          <cell r="H334">
            <v>4624</v>
          </cell>
          <cell r="I334" t="str">
            <v>CF01/1</v>
          </cell>
          <cell r="J334">
            <v>50114524</v>
          </cell>
          <cell r="K334">
            <v>311</v>
          </cell>
          <cell r="L334" t="str">
            <v>E2-ND-06-TSA-0153</v>
          </cell>
        </row>
        <row r="335">
          <cell r="A335">
            <v>50114526</v>
          </cell>
          <cell r="B335" t="str">
            <v>CR SPCC-SD 3.0x220.2x462.4</v>
          </cell>
          <cell r="C335" t="str">
            <v>CR SPCC-SD</v>
          </cell>
          <cell r="D335" t="str">
            <v>CR</v>
          </cell>
          <cell r="E335" t="str">
            <v>SPCC-SD</v>
          </cell>
          <cell r="F335">
            <v>3</v>
          </cell>
          <cell r="G335">
            <v>220.2</v>
          </cell>
          <cell r="H335">
            <v>4624</v>
          </cell>
          <cell r="I335" t="str">
            <v>CF01/1</v>
          </cell>
          <cell r="J335">
            <v>50114526</v>
          </cell>
          <cell r="K335">
            <v>101</v>
          </cell>
          <cell r="L335" t="str">
            <v>E2-ND-06-TSA-0153</v>
          </cell>
        </row>
        <row r="336">
          <cell r="A336">
            <v>50114528</v>
          </cell>
          <cell r="B336" t="str">
            <v>CR SPCC-SD 3.0x75.1x960</v>
          </cell>
          <cell r="C336" t="str">
            <v>CR SPCC-SD</v>
          </cell>
          <cell r="D336" t="str">
            <v>CR</v>
          </cell>
          <cell r="E336" t="str">
            <v>SPCC-SD</v>
          </cell>
          <cell r="F336">
            <v>3</v>
          </cell>
          <cell r="G336">
            <v>75.099999999999994</v>
          </cell>
          <cell r="H336">
            <v>960</v>
          </cell>
          <cell r="I336" t="str">
            <v>CF01/1</v>
          </cell>
          <cell r="J336">
            <v>50114528</v>
          </cell>
          <cell r="K336">
            <v>292</v>
          </cell>
          <cell r="L336" t="str">
            <v>E2-ND-06-TSA-0153</v>
          </cell>
        </row>
        <row r="337">
          <cell r="A337">
            <v>50115341</v>
          </cell>
          <cell r="B337" t="str">
            <v>CR SPCEN-SD 0.6x150x150</v>
          </cell>
          <cell r="C337" t="str">
            <v>CR SPCEN-SD</v>
          </cell>
          <cell r="D337" t="str">
            <v>CR</v>
          </cell>
          <cell r="E337" t="str">
            <v>SPCEN-SD</v>
          </cell>
          <cell r="F337">
            <v>0.6</v>
          </cell>
          <cell r="G337">
            <v>150</v>
          </cell>
          <cell r="H337">
            <v>150</v>
          </cell>
          <cell r="I337" t="str">
            <v>CF01/1</v>
          </cell>
          <cell r="J337">
            <v>50115341</v>
          </cell>
          <cell r="K337">
            <v>105</v>
          </cell>
          <cell r="L337" t="str">
            <v>E2-ND-06-TSA-0153</v>
          </cell>
        </row>
        <row r="338">
          <cell r="A338">
            <v>50115395</v>
          </cell>
          <cell r="B338" t="str">
            <v>PO SPHC P/O 4.5x72x1219</v>
          </cell>
          <cell r="C338" t="str">
            <v>PO SPHC P/O</v>
          </cell>
          <cell r="D338" t="str">
            <v>PO</v>
          </cell>
          <cell r="E338" t="str">
            <v>SPHC P/O</v>
          </cell>
          <cell r="F338">
            <v>4.5</v>
          </cell>
          <cell r="G338">
            <v>72</v>
          </cell>
          <cell r="H338">
            <v>1219</v>
          </cell>
          <cell r="I338" t="str">
            <v>LW02/2</v>
          </cell>
          <cell r="J338">
            <v>50115395</v>
          </cell>
          <cell r="K338">
            <v>310</v>
          </cell>
          <cell r="L338" t="str">
            <v>E2-ND-06-TSA-0154</v>
          </cell>
        </row>
        <row r="339">
          <cell r="A339">
            <v>50115396</v>
          </cell>
          <cell r="B339" t="str">
            <v>PO SPHC P/O 4.5x72x1219</v>
          </cell>
          <cell r="C339" t="str">
            <v>PO SPHC P/O</v>
          </cell>
          <cell r="D339" t="str">
            <v>PO</v>
          </cell>
          <cell r="E339" t="str">
            <v>SPHC P/O</v>
          </cell>
          <cell r="F339">
            <v>4.5</v>
          </cell>
          <cell r="G339">
            <v>72</v>
          </cell>
          <cell r="H339">
            <v>1219</v>
          </cell>
          <cell r="I339" t="str">
            <v>LW02/2</v>
          </cell>
          <cell r="J339">
            <v>50115396</v>
          </cell>
          <cell r="K339">
            <v>102</v>
          </cell>
          <cell r="L339" t="str">
            <v>E2-ND-06-TSA-0154</v>
          </cell>
        </row>
        <row r="340">
          <cell r="A340">
            <v>50115912</v>
          </cell>
          <cell r="B340" t="str">
            <v>CR SPCC-SD 3.2x40x1219</v>
          </cell>
          <cell r="C340" t="str">
            <v>CR SPCC-SD</v>
          </cell>
          <cell r="D340" t="str">
            <v>CR</v>
          </cell>
          <cell r="E340" t="str">
            <v>SPCC-SD</v>
          </cell>
          <cell r="F340">
            <v>3.2</v>
          </cell>
          <cell r="G340">
            <v>40</v>
          </cell>
          <cell r="H340">
            <v>1219</v>
          </cell>
          <cell r="I340" t="str">
            <v>LW02/3</v>
          </cell>
          <cell r="J340">
            <v>50115912</v>
          </cell>
          <cell r="K340">
            <v>123</v>
          </cell>
          <cell r="L340" t="str">
            <v>E2-ND-06-TSA-0153</v>
          </cell>
        </row>
        <row r="341">
          <cell r="A341">
            <v>50116266</v>
          </cell>
          <cell r="B341" t="str">
            <v>PO SPHC P/O 4.5x87x1219</v>
          </cell>
          <cell r="C341" t="str">
            <v>PO SPHC P/O</v>
          </cell>
          <cell r="D341" t="str">
            <v>PO</v>
          </cell>
          <cell r="E341" t="str">
            <v>SPHC P/O</v>
          </cell>
          <cell r="F341">
            <v>4.5</v>
          </cell>
          <cell r="G341">
            <v>87</v>
          </cell>
          <cell r="H341">
            <v>1219</v>
          </cell>
          <cell r="I341" t="str">
            <v>CF01/2</v>
          </cell>
          <cell r="J341">
            <v>50116266</v>
          </cell>
          <cell r="K341">
            <v>45</v>
          </cell>
          <cell r="L341" t="str">
            <v>E2-ND-06-TSA-0154</v>
          </cell>
        </row>
        <row r="342">
          <cell r="A342">
            <v>50116798</v>
          </cell>
          <cell r="B342" t="str">
            <v>CR SPCC-SD 2.3x58x1219</v>
          </cell>
          <cell r="C342" t="str">
            <v>CR SPCC-SD</v>
          </cell>
          <cell r="D342" t="str">
            <v>CR</v>
          </cell>
          <cell r="E342" t="str">
            <v>SPCC-SD</v>
          </cell>
          <cell r="F342">
            <v>2.2999999999999998</v>
          </cell>
          <cell r="G342">
            <v>58</v>
          </cell>
          <cell r="H342">
            <v>1219</v>
          </cell>
          <cell r="I342" t="str">
            <v>LW02/2</v>
          </cell>
          <cell r="J342">
            <v>50116798</v>
          </cell>
          <cell r="K342">
            <v>42</v>
          </cell>
          <cell r="L342" t="str">
            <v>E2-ND-06-TSA-0152</v>
          </cell>
        </row>
        <row r="343">
          <cell r="A343">
            <v>50116838</v>
          </cell>
          <cell r="B343" t="str">
            <v>CR SPCC-SD 0.6x83x1219</v>
          </cell>
          <cell r="C343" t="str">
            <v>CR SPCC-SD</v>
          </cell>
          <cell r="D343" t="str">
            <v>CR</v>
          </cell>
          <cell r="E343" t="str">
            <v>SPCC-SD</v>
          </cell>
          <cell r="F343">
            <v>0.6</v>
          </cell>
          <cell r="G343">
            <v>83</v>
          </cell>
          <cell r="H343">
            <v>1219</v>
          </cell>
          <cell r="I343" t="str">
            <v>CF01/2</v>
          </cell>
          <cell r="J343">
            <v>50116838</v>
          </cell>
          <cell r="K343">
            <v>21</v>
          </cell>
          <cell r="L343" t="str">
            <v>E1-ND-06-TSA-0362</v>
          </cell>
        </row>
        <row r="344">
          <cell r="A344">
            <v>50117170</v>
          </cell>
          <cell r="B344" t="str">
            <v>PO SPHC P/O 3.20x1219x2407</v>
          </cell>
          <cell r="C344" t="str">
            <v>PO SPHC P/O</v>
          </cell>
          <cell r="D344" t="str">
            <v>PO</v>
          </cell>
          <cell r="E344" t="str">
            <v>SPHC P/O</v>
          </cell>
          <cell r="F344">
            <v>3.2</v>
          </cell>
          <cell r="G344">
            <v>1219</v>
          </cell>
          <cell r="H344">
            <v>2407</v>
          </cell>
          <cell r="I344" t="str">
            <v>GRB</v>
          </cell>
          <cell r="J344">
            <v>50117170</v>
          </cell>
          <cell r="K344">
            <v>590</v>
          </cell>
          <cell r="L344" t="str">
            <v>E1-ND-06-TSA-0372</v>
          </cell>
        </row>
        <row r="345">
          <cell r="A345">
            <v>50117236</v>
          </cell>
          <cell r="B345" t="str">
            <v>PO SPHC-DS 2.0x73x1219</v>
          </cell>
          <cell r="C345" t="str">
            <v>PO SPHC P/O</v>
          </cell>
          <cell r="D345" t="str">
            <v>PO</v>
          </cell>
          <cell r="E345" t="str">
            <v>SPHC-SD</v>
          </cell>
          <cell r="F345">
            <v>2</v>
          </cell>
          <cell r="G345">
            <v>73</v>
          </cell>
          <cell r="H345">
            <v>1219</v>
          </cell>
          <cell r="I345" t="str">
            <v>CF01/2</v>
          </cell>
          <cell r="J345">
            <v>50117236</v>
          </cell>
          <cell r="K345">
            <v>36</v>
          </cell>
          <cell r="L345" t="str">
            <v>E2-ND-06-TSA-0153</v>
          </cell>
        </row>
        <row r="346">
          <cell r="A346">
            <v>50118154</v>
          </cell>
          <cell r="B346" t="str">
            <v>CR SPCC-SD 3.2x45x1219</v>
          </cell>
          <cell r="C346" t="str">
            <v>CR SPCC-SD</v>
          </cell>
          <cell r="D346" t="str">
            <v>CR</v>
          </cell>
          <cell r="E346" t="str">
            <v>SPCC-SD</v>
          </cell>
          <cell r="F346">
            <v>3.2</v>
          </cell>
          <cell r="G346">
            <v>45</v>
          </cell>
          <cell r="H346">
            <v>1219</v>
          </cell>
          <cell r="I346" t="str">
            <v>LW02/3</v>
          </cell>
          <cell r="J346">
            <v>50118154</v>
          </cell>
          <cell r="K346">
            <v>413</v>
          </cell>
          <cell r="L346" t="str">
            <v>E2-ND-06-TSA-0153</v>
          </cell>
        </row>
        <row r="347">
          <cell r="A347">
            <v>50120735</v>
          </cell>
          <cell r="B347" t="str">
            <v>PO SPHC P/O 2.0x95x1219</v>
          </cell>
          <cell r="C347" t="str">
            <v>PO SPHC P/O</v>
          </cell>
          <cell r="D347" t="str">
            <v>PO</v>
          </cell>
          <cell r="E347" t="str">
            <v>SPHC P/O</v>
          </cell>
          <cell r="F347">
            <v>2</v>
          </cell>
          <cell r="G347">
            <v>95</v>
          </cell>
          <cell r="H347">
            <v>1219</v>
          </cell>
          <cell r="I347" t="str">
            <v>LW02/2</v>
          </cell>
          <cell r="J347">
            <v>50120735</v>
          </cell>
          <cell r="K347">
            <v>943</v>
          </cell>
          <cell r="L347" t="str">
            <v>E2-ND-06-TSA-0154</v>
          </cell>
        </row>
        <row r="348">
          <cell r="A348">
            <v>50121570</v>
          </cell>
          <cell r="B348" t="str">
            <v>CR SPCC-SD 1.2x75x1219</v>
          </cell>
          <cell r="C348" t="str">
            <v>CR SPCC-SD</v>
          </cell>
          <cell r="D348" t="str">
            <v>CR</v>
          </cell>
          <cell r="E348" t="str">
            <v>SPCC-SD</v>
          </cell>
          <cell r="F348">
            <v>1.2</v>
          </cell>
          <cell r="G348">
            <v>75</v>
          </cell>
          <cell r="H348">
            <v>1219</v>
          </cell>
          <cell r="I348" t="str">
            <v>CF01/2</v>
          </cell>
          <cell r="J348">
            <v>50121570</v>
          </cell>
          <cell r="K348">
            <v>13</v>
          </cell>
          <cell r="L348" t="str">
            <v>E1-NJ-06-TSA-0376</v>
          </cell>
        </row>
        <row r="349">
          <cell r="A349">
            <v>50122517</v>
          </cell>
          <cell r="D349" t="str">
            <v>PO</v>
          </cell>
          <cell r="E349" t="str">
            <v>SPHC P/O</v>
          </cell>
          <cell r="F349">
            <v>1.6</v>
          </cell>
          <cell r="G349">
            <v>49</v>
          </cell>
          <cell r="H349">
            <v>1219</v>
          </cell>
          <cell r="I349" t="str">
            <v>LW02/2</v>
          </cell>
          <cell r="J349">
            <v>50122517</v>
          </cell>
          <cell r="K349">
            <v>38</v>
          </cell>
        </row>
        <row r="350">
          <cell r="A350">
            <v>50124817</v>
          </cell>
          <cell r="B350" t="str">
            <v>PO SPHC P/O 1.2x60x1219</v>
          </cell>
          <cell r="C350" t="str">
            <v>PO SPHC P/O</v>
          </cell>
          <cell r="D350" t="str">
            <v>PO</v>
          </cell>
          <cell r="E350" t="str">
            <v>SPHC P/O</v>
          </cell>
          <cell r="F350">
            <v>1.2</v>
          </cell>
          <cell r="G350">
            <v>60</v>
          </cell>
          <cell r="H350">
            <v>1219</v>
          </cell>
          <cell r="I350" t="str">
            <v>CF01/2</v>
          </cell>
          <cell r="J350">
            <v>50124817</v>
          </cell>
          <cell r="K350">
            <v>14</v>
          </cell>
          <cell r="L350" t="str">
            <v>E2-ND-06-TSA-0153</v>
          </cell>
        </row>
        <row r="351">
          <cell r="A351">
            <v>50126424</v>
          </cell>
          <cell r="B351" t="str">
            <v>PO SPHC P/O 2.0x95x1219</v>
          </cell>
          <cell r="C351" t="str">
            <v>PO SPHC P/O</v>
          </cell>
          <cell r="D351" t="str">
            <v>PO</v>
          </cell>
          <cell r="E351" t="str">
            <v>SPHC P/O</v>
          </cell>
          <cell r="F351">
            <v>2</v>
          </cell>
          <cell r="G351">
            <v>95</v>
          </cell>
          <cell r="H351">
            <v>1219</v>
          </cell>
          <cell r="I351" t="str">
            <v>CF01/1</v>
          </cell>
          <cell r="J351">
            <v>50126424</v>
          </cell>
          <cell r="K351">
            <v>455</v>
          </cell>
          <cell r="L351" t="str">
            <v>E2-ND-06-TSA-0154</v>
          </cell>
        </row>
        <row r="352">
          <cell r="A352">
            <v>50126425</v>
          </cell>
          <cell r="D352" t="str">
            <v>PO</v>
          </cell>
          <cell r="E352" t="str">
            <v>SAPH440 P/O</v>
          </cell>
          <cell r="F352">
            <v>2.6</v>
          </cell>
          <cell r="G352">
            <v>56</v>
          </cell>
          <cell r="H352">
            <v>1219</v>
          </cell>
          <cell r="I352" t="str">
            <v>CF01/1</v>
          </cell>
          <cell r="J352">
            <v>50126425</v>
          </cell>
          <cell r="K352">
            <v>277</v>
          </cell>
        </row>
        <row r="353">
          <cell r="A353">
            <v>50128013</v>
          </cell>
          <cell r="B353" t="str">
            <v>PO SPHC P/O 4.5x87x1219</v>
          </cell>
          <cell r="C353" t="str">
            <v>PO SPHC P/O</v>
          </cell>
          <cell r="D353" t="str">
            <v>PO</v>
          </cell>
          <cell r="E353" t="str">
            <v>SPHC P/O</v>
          </cell>
          <cell r="F353">
            <v>4.5</v>
          </cell>
          <cell r="G353">
            <v>87</v>
          </cell>
          <cell r="H353">
            <v>1219</v>
          </cell>
          <cell r="I353" t="str">
            <v>CF01/2</v>
          </cell>
          <cell r="J353">
            <v>50128013</v>
          </cell>
          <cell r="K353">
            <v>173</v>
          </cell>
          <cell r="L353" t="str">
            <v>E2-ND-06-TSA-0154</v>
          </cell>
        </row>
        <row r="354">
          <cell r="A354">
            <v>50128548</v>
          </cell>
          <cell r="B354" t="str">
            <v>PO SPHC P/O 3.2x65x1230</v>
          </cell>
          <cell r="C354" t="str">
            <v>PO SPHC P/O</v>
          </cell>
          <cell r="D354" t="str">
            <v>PO</v>
          </cell>
          <cell r="E354" t="str">
            <v>SPHC P/O</v>
          </cell>
          <cell r="F354">
            <v>3.2</v>
          </cell>
          <cell r="G354">
            <v>65</v>
          </cell>
          <cell r="H354">
            <v>1230</v>
          </cell>
          <cell r="I354" t="str">
            <v>CF01/2</v>
          </cell>
          <cell r="J354">
            <v>50128548</v>
          </cell>
          <cell r="K354">
            <v>141</v>
          </cell>
          <cell r="L354" t="str">
            <v>E2-NJ-06-TSA-0063</v>
          </cell>
        </row>
        <row r="355">
          <cell r="A355">
            <v>50128654</v>
          </cell>
          <cell r="B355" t="str">
            <v>PO SPHC P/O 4.5x99x1219</v>
          </cell>
          <cell r="C355" t="str">
            <v>PO SPHC P/O</v>
          </cell>
          <cell r="D355" t="str">
            <v>PO</v>
          </cell>
          <cell r="E355" t="str">
            <v>SPHC P/O</v>
          </cell>
          <cell r="F355">
            <v>4.5</v>
          </cell>
          <cell r="G355">
            <v>99</v>
          </cell>
          <cell r="H355">
            <v>1219</v>
          </cell>
          <cell r="I355" t="str">
            <v>CF01/2</v>
          </cell>
          <cell r="J355">
            <v>50128654</v>
          </cell>
          <cell r="K355">
            <v>64</v>
          </cell>
          <cell r="L355" t="str">
            <v>E2-ND-06-TSA-0154</v>
          </cell>
        </row>
        <row r="356">
          <cell r="A356">
            <v>50131220</v>
          </cell>
          <cell r="D356" t="str">
            <v>PO</v>
          </cell>
          <cell r="E356" t="str">
            <v>SPHC P/O</v>
          </cell>
          <cell r="F356">
            <v>2</v>
          </cell>
          <cell r="G356">
            <v>53</v>
          </cell>
          <cell r="H356">
            <v>1219</v>
          </cell>
          <cell r="I356" t="str">
            <v>OW01/1</v>
          </cell>
          <cell r="J356">
            <v>50131220</v>
          </cell>
          <cell r="K356">
            <v>164</v>
          </cell>
        </row>
        <row r="357">
          <cell r="A357">
            <v>50131906</v>
          </cell>
          <cell r="B357" t="str">
            <v>CR SPCC-SD 0.6x83x1219</v>
          </cell>
          <cell r="C357" t="str">
            <v>CR SPCC-SD</v>
          </cell>
          <cell r="D357" t="str">
            <v>CR</v>
          </cell>
          <cell r="E357" t="str">
            <v>SPCC-SD</v>
          </cell>
          <cell r="F357">
            <v>0.6</v>
          </cell>
          <cell r="G357">
            <v>83</v>
          </cell>
          <cell r="H357">
            <v>1219</v>
          </cell>
          <cell r="I357" t="str">
            <v>CF01/2</v>
          </cell>
          <cell r="J357">
            <v>50131906</v>
          </cell>
          <cell r="K357">
            <v>42</v>
          </cell>
          <cell r="L357" t="str">
            <v>E1-ND-06-TSA-0362</v>
          </cell>
        </row>
        <row r="358">
          <cell r="A358">
            <v>50132657</v>
          </cell>
          <cell r="B358" t="str">
            <v>PO SPHC P/O 2.6x63x320</v>
          </cell>
          <cell r="C358" t="str">
            <v>PO SPHC P/O</v>
          </cell>
          <cell r="D358" t="str">
            <v>PO</v>
          </cell>
          <cell r="E358" t="str">
            <v>SPHC P/O</v>
          </cell>
          <cell r="F358">
            <v>2.2999999999999998</v>
          </cell>
          <cell r="G358">
            <v>63</v>
          </cell>
          <cell r="H358">
            <v>320</v>
          </cell>
          <cell r="I358" t="str">
            <v>CF01/1</v>
          </cell>
          <cell r="J358">
            <v>50132657</v>
          </cell>
          <cell r="K358">
            <v>41</v>
          </cell>
          <cell r="L358" t="str">
            <v>E2-ND-06-TSA-0154</v>
          </cell>
        </row>
        <row r="359">
          <cell r="A359">
            <v>50132699</v>
          </cell>
          <cell r="D359" t="str">
            <v>CR</v>
          </cell>
          <cell r="E359" t="str">
            <v>SPCC-SD</v>
          </cell>
          <cell r="F359">
            <v>0.6</v>
          </cell>
          <cell r="G359">
            <v>116</v>
          </cell>
          <cell r="H359">
            <v>1219</v>
          </cell>
          <cell r="I359" t="str">
            <v>NG</v>
          </cell>
          <cell r="J359">
            <v>50132699</v>
          </cell>
          <cell r="K359">
            <v>71</v>
          </cell>
        </row>
        <row r="360">
          <cell r="A360">
            <v>50132955</v>
          </cell>
          <cell r="B360" t="str">
            <v>CR SPCC-SD 1.6x70x1219</v>
          </cell>
          <cell r="C360" t="str">
            <v>CR SPCC-SD</v>
          </cell>
          <cell r="D360" t="str">
            <v>CR</v>
          </cell>
          <cell r="E360" t="str">
            <v>SPCC-SD</v>
          </cell>
          <cell r="F360">
            <v>1.6</v>
          </cell>
          <cell r="G360">
            <v>70</v>
          </cell>
          <cell r="H360">
            <v>1219</v>
          </cell>
          <cell r="I360" t="str">
            <v>LW01/1</v>
          </cell>
          <cell r="J360">
            <v>50132955</v>
          </cell>
          <cell r="K360">
            <v>44</v>
          </cell>
          <cell r="L360" t="str">
            <v>E2-ND-06-TSA-0151</v>
          </cell>
        </row>
        <row r="361">
          <cell r="A361">
            <v>50133825</v>
          </cell>
          <cell r="B361" t="str">
            <v>CR SPCC-SD 3.0x90.1x845</v>
          </cell>
          <cell r="C361" t="str">
            <v>CR SPCC-SD</v>
          </cell>
          <cell r="D361" t="str">
            <v>CR</v>
          </cell>
          <cell r="E361" t="str">
            <v>SPCC-SD</v>
          </cell>
          <cell r="F361">
            <v>3</v>
          </cell>
          <cell r="G361">
            <v>90.1</v>
          </cell>
          <cell r="H361">
            <v>845</v>
          </cell>
          <cell r="I361" t="str">
            <v>CF01/1</v>
          </cell>
          <cell r="J361">
            <v>50133825</v>
          </cell>
          <cell r="K361">
            <v>538</v>
          </cell>
          <cell r="L361" t="str">
            <v>E2-ND-06-TSA-0153</v>
          </cell>
        </row>
        <row r="362">
          <cell r="A362">
            <v>50133934</v>
          </cell>
          <cell r="B362" t="str">
            <v>PO SPHC P/O 4.5x81x1219</v>
          </cell>
          <cell r="C362" t="str">
            <v>PO SPHC P/O</v>
          </cell>
          <cell r="D362" t="str">
            <v>PO</v>
          </cell>
          <cell r="E362" t="str">
            <v>SPHC P/O</v>
          </cell>
          <cell r="F362">
            <v>4.5</v>
          </cell>
          <cell r="G362">
            <v>81</v>
          </cell>
          <cell r="H362">
            <v>1219</v>
          </cell>
          <cell r="I362" t="str">
            <v>CF01/2</v>
          </cell>
          <cell r="J362">
            <v>50133934</v>
          </cell>
          <cell r="K362">
            <v>84</v>
          </cell>
          <cell r="L362" t="str">
            <v>E2-ND-06-TSA-0154</v>
          </cell>
        </row>
        <row r="363">
          <cell r="A363">
            <v>50134184</v>
          </cell>
          <cell r="B363" t="str">
            <v>PO SPHC P/O 4.5x81x1219</v>
          </cell>
          <cell r="C363" t="str">
            <v>PO SPHC P/O</v>
          </cell>
          <cell r="D363" t="str">
            <v>PO</v>
          </cell>
          <cell r="E363" t="str">
            <v>SPHC P/O</v>
          </cell>
          <cell r="F363">
            <v>4.5</v>
          </cell>
          <cell r="G363">
            <v>81</v>
          </cell>
          <cell r="H363">
            <v>1219</v>
          </cell>
          <cell r="I363" t="str">
            <v>MW01/1</v>
          </cell>
          <cell r="J363">
            <v>50134184</v>
          </cell>
          <cell r="K363">
            <v>175</v>
          </cell>
          <cell r="L363" t="str">
            <v>E2-ND-06-TSA-0154</v>
          </cell>
        </row>
        <row r="364">
          <cell r="A364">
            <v>50134187</v>
          </cell>
          <cell r="B364" t="str">
            <v>PO SPHC P/O 4.5x81x1219</v>
          </cell>
          <cell r="C364" t="str">
            <v>PO SPHC P/O</v>
          </cell>
          <cell r="D364" t="str">
            <v>PO</v>
          </cell>
          <cell r="E364" t="str">
            <v>SPHC P/O</v>
          </cell>
          <cell r="F364">
            <v>4.5</v>
          </cell>
          <cell r="G364">
            <v>81</v>
          </cell>
          <cell r="H364">
            <v>1219</v>
          </cell>
          <cell r="I364" t="str">
            <v>MW01/1</v>
          </cell>
          <cell r="J364">
            <v>50134187</v>
          </cell>
          <cell r="K364">
            <v>112</v>
          </cell>
          <cell r="L364" t="str">
            <v>E2-ND-06-TSA-0154</v>
          </cell>
        </row>
        <row r="365">
          <cell r="A365">
            <v>50134642</v>
          </cell>
          <cell r="B365" t="str">
            <v>CR SPCC-SD 0.5x80x900</v>
          </cell>
          <cell r="C365" t="str">
            <v>CR SPCC-SD</v>
          </cell>
          <cell r="D365" t="str">
            <v>CR</v>
          </cell>
          <cell r="E365" t="str">
            <v>SPCC-SD</v>
          </cell>
          <cell r="F365">
            <v>0.5</v>
          </cell>
          <cell r="G365">
            <v>80</v>
          </cell>
          <cell r="H365">
            <v>900</v>
          </cell>
          <cell r="I365" t="str">
            <v>MW01/1</v>
          </cell>
          <cell r="J365">
            <v>50134642</v>
          </cell>
          <cell r="K365">
            <v>174</v>
          </cell>
          <cell r="L365" t="str">
            <v>E1-ND-06-TSA-0359</v>
          </cell>
        </row>
        <row r="366">
          <cell r="A366">
            <v>50135077</v>
          </cell>
          <cell r="B366" t="str">
            <v>CR SPCC-SD 2.3x58x1219</v>
          </cell>
          <cell r="C366" t="str">
            <v>CR SPCC-SD</v>
          </cell>
          <cell r="D366" t="str">
            <v>CR</v>
          </cell>
          <cell r="E366" t="str">
            <v>SPCC-SD</v>
          </cell>
          <cell r="F366">
            <v>2.2999999999999998</v>
          </cell>
          <cell r="G366">
            <v>58</v>
          </cell>
          <cell r="H366">
            <v>1219</v>
          </cell>
          <cell r="I366" t="str">
            <v>LW01/1</v>
          </cell>
          <cell r="J366">
            <v>50135077</v>
          </cell>
          <cell r="K366">
            <v>15</v>
          </cell>
          <cell r="L366" t="str">
            <v>E2-ND-06-TSA-0152</v>
          </cell>
        </row>
        <row r="367">
          <cell r="A367">
            <v>50135221</v>
          </cell>
          <cell r="B367" t="str">
            <v>CR SPCC-SD 2.0x92x1219</v>
          </cell>
          <cell r="C367" t="str">
            <v>CR SPCC-SD</v>
          </cell>
          <cell r="D367" t="str">
            <v>CR</v>
          </cell>
          <cell r="E367" t="str">
            <v>SPCC-SD</v>
          </cell>
          <cell r="F367">
            <v>2</v>
          </cell>
          <cell r="G367">
            <v>92</v>
          </cell>
          <cell r="H367">
            <v>1219</v>
          </cell>
          <cell r="I367" t="str">
            <v>CF01/2</v>
          </cell>
          <cell r="J367">
            <v>50135221</v>
          </cell>
          <cell r="K367">
            <v>48</v>
          </cell>
          <cell r="L367" t="str">
            <v>E2-ND-06-TSA-0152</v>
          </cell>
        </row>
        <row r="368">
          <cell r="A368">
            <v>50136342</v>
          </cell>
          <cell r="B368" t="str">
            <v>CR SPCC-SD 1.2x70x1219</v>
          </cell>
          <cell r="C368" t="str">
            <v>CR SPCC-SD</v>
          </cell>
          <cell r="D368" t="str">
            <v>CR</v>
          </cell>
          <cell r="E368" t="str">
            <v>SPCC-SD</v>
          </cell>
          <cell r="F368">
            <v>1.2</v>
          </cell>
          <cell r="G368">
            <v>70</v>
          </cell>
          <cell r="H368">
            <v>1219</v>
          </cell>
          <cell r="I368" t="str">
            <v>LW02/2</v>
          </cell>
          <cell r="J368">
            <v>50136342</v>
          </cell>
          <cell r="K368">
            <v>80</v>
          </cell>
          <cell r="L368" t="str">
            <v>E1-ND-06-TSA-0362</v>
          </cell>
        </row>
        <row r="369">
          <cell r="A369">
            <v>50136344</v>
          </cell>
          <cell r="B369" t="str">
            <v>CR SPCC-SD 1.2x78x1219</v>
          </cell>
          <cell r="C369" t="str">
            <v>CR SPCC-SD</v>
          </cell>
          <cell r="D369" t="str">
            <v>CR</v>
          </cell>
          <cell r="E369" t="str">
            <v>SPCC-SD</v>
          </cell>
          <cell r="F369">
            <v>1.2</v>
          </cell>
          <cell r="G369">
            <v>78</v>
          </cell>
          <cell r="H369">
            <v>1219</v>
          </cell>
          <cell r="I369" t="str">
            <v>LW02/2</v>
          </cell>
          <cell r="J369">
            <v>50136344</v>
          </cell>
          <cell r="K369">
            <v>60</v>
          </cell>
          <cell r="L369" t="str">
            <v>E1-NJ-06-TSA-0376</v>
          </cell>
        </row>
        <row r="370">
          <cell r="A370">
            <v>50136345</v>
          </cell>
          <cell r="B370" t="str">
            <v>CR SPCC-SD 1.2x78x1219</v>
          </cell>
          <cell r="C370" t="str">
            <v>CR SPCC-SD</v>
          </cell>
          <cell r="D370" t="str">
            <v>CR</v>
          </cell>
          <cell r="E370" t="str">
            <v>SPCC-SD</v>
          </cell>
          <cell r="F370">
            <v>1.2</v>
          </cell>
          <cell r="G370">
            <v>78</v>
          </cell>
          <cell r="H370">
            <v>1219</v>
          </cell>
          <cell r="I370" t="str">
            <v>LW02/2</v>
          </cell>
          <cell r="J370">
            <v>50136345</v>
          </cell>
          <cell r="K370">
            <v>60</v>
          </cell>
          <cell r="L370" t="str">
            <v>E1-NJ-06-TSA-0376</v>
          </cell>
        </row>
        <row r="371">
          <cell r="A371">
            <v>50136347</v>
          </cell>
          <cell r="B371" t="str">
            <v>CR SPCC-SD 1.2x70x1219</v>
          </cell>
          <cell r="C371" t="str">
            <v>CR SPCC-SD</v>
          </cell>
          <cell r="D371" t="str">
            <v>CR</v>
          </cell>
          <cell r="E371" t="str">
            <v>SPCC-SD</v>
          </cell>
          <cell r="F371">
            <v>1.2</v>
          </cell>
          <cell r="G371">
            <v>70</v>
          </cell>
          <cell r="H371">
            <v>1219</v>
          </cell>
          <cell r="I371" t="str">
            <v>LW02/2</v>
          </cell>
          <cell r="J371">
            <v>50136347</v>
          </cell>
          <cell r="K371">
            <v>80</v>
          </cell>
          <cell r="L371" t="str">
            <v>E1-ND-06-TSA-0362</v>
          </cell>
        </row>
        <row r="372">
          <cell r="A372">
            <v>50138033</v>
          </cell>
          <cell r="B372" t="str">
            <v>CR SPCEN-SD 0.6x225x225</v>
          </cell>
          <cell r="C372" t="str">
            <v>CR SPCEN-SD</v>
          </cell>
          <cell r="D372" t="str">
            <v>CR</v>
          </cell>
          <cell r="E372" t="str">
            <v>SPCEN-SD</v>
          </cell>
          <cell r="F372">
            <v>0.6</v>
          </cell>
          <cell r="G372">
            <v>225</v>
          </cell>
          <cell r="H372">
            <v>225</v>
          </cell>
          <cell r="I372" t="str">
            <v>CF01/1</v>
          </cell>
          <cell r="J372">
            <v>50138033</v>
          </cell>
          <cell r="K372">
            <v>36</v>
          </cell>
          <cell r="L372" t="str">
            <v>E2-ND-06-TSA-0153</v>
          </cell>
        </row>
        <row r="373">
          <cell r="A373">
            <v>50138198</v>
          </cell>
          <cell r="B373" t="str">
            <v>CR SPCEN-SD 0.6x130x150</v>
          </cell>
          <cell r="C373" t="str">
            <v>CR SPCEN-SD</v>
          </cell>
          <cell r="D373" t="str">
            <v>CR</v>
          </cell>
          <cell r="E373" t="str">
            <v>SPCEN-SD</v>
          </cell>
          <cell r="F373">
            <v>0.6</v>
          </cell>
          <cell r="G373">
            <v>130</v>
          </cell>
          <cell r="H373">
            <v>150</v>
          </cell>
          <cell r="I373" t="str">
            <v>CF01/1</v>
          </cell>
          <cell r="J373">
            <v>50138198</v>
          </cell>
          <cell r="K373">
            <v>30</v>
          </cell>
          <cell r="L373" t="str">
            <v>E2-ND-06-TSA-0153</v>
          </cell>
        </row>
        <row r="374">
          <cell r="A374">
            <v>50140912</v>
          </cell>
          <cell r="B374" t="str">
            <v>CR SPCC-SD 1.2x79x378</v>
          </cell>
          <cell r="C374" t="str">
            <v>CR SPCC-SD</v>
          </cell>
          <cell r="D374" t="str">
            <v>CR</v>
          </cell>
          <cell r="E374" t="str">
            <v>SPCC-SD</v>
          </cell>
          <cell r="F374">
            <v>1.2</v>
          </cell>
          <cell r="G374">
            <v>79</v>
          </cell>
          <cell r="H374">
            <v>378</v>
          </cell>
          <cell r="I374" t="str">
            <v>MW01/1</v>
          </cell>
          <cell r="J374">
            <v>50140912</v>
          </cell>
          <cell r="K374">
            <v>304</v>
          </cell>
          <cell r="L374" t="str">
            <v>E1-NJ-06-TSA-0376</v>
          </cell>
        </row>
        <row r="375">
          <cell r="A375">
            <v>50140913</v>
          </cell>
          <cell r="B375" t="str">
            <v>CR SPCC-SD 1.2x87x378</v>
          </cell>
          <cell r="C375" t="str">
            <v>CR SPCC-SD</v>
          </cell>
          <cell r="D375" t="str">
            <v>CR</v>
          </cell>
          <cell r="E375" t="str">
            <v>SPCC-SD</v>
          </cell>
          <cell r="F375">
            <v>1.2</v>
          </cell>
          <cell r="G375">
            <v>87</v>
          </cell>
          <cell r="H375">
            <v>378</v>
          </cell>
          <cell r="I375" t="str">
            <v>MW01/1</v>
          </cell>
          <cell r="J375">
            <v>50140913</v>
          </cell>
          <cell r="K375">
            <v>305</v>
          </cell>
          <cell r="L375" t="str">
            <v>E1-NJ-06-TSA-0377</v>
          </cell>
        </row>
        <row r="376">
          <cell r="A376">
            <v>50141874</v>
          </cell>
          <cell r="B376" t="str">
            <v>PO SPHC P/O 6.0x83x380</v>
          </cell>
          <cell r="C376" t="str">
            <v>PO SPHC P/O</v>
          </cell>
          <cell r="D376" t="str">
            <v>PO</v>
          </cell>
          <cell r="E376" t="str">
            <v>SPHC P/O</v>
          </cell>
          <cell r="F376">
            <v>6</v>
          </cell>
          <cell r="G376">
            <v>83</v>
          </cell>
          <cell r="H376">
            <v>380</v>
          </cell>
          <cell r="I376" t="str">
            <v>CF01/1</v>
          </cell>
          <cell r="J376">
            <v>50141874</v>
          </cell>
          <cell r="K376">
            <v>85</v>
          </cell>
          <cell r="L376" t="str">
            <v>E2-ND-06-TSA-0154</v>
          </cell>
        </row>
        <row r="377">
          <cell r="A377">
            <v>50142094</v>
          </cell>
          <cell r="D377" t="str">
            <v>CR</v>
          </cell>
          <cell r="E377" t="str">
            <v>SPCC-SD</v>
          </cell>
          <cell r="F377">
            <v>1.6</v>
          </cell>
          <cell r="G377">
            <v>75</v>
          </cell>
          <cell r="H377">
            <v>1219</v>
          </cell>
          <cell r="I377" t="str">
            <v>CF01/2</v>
          </cell>
          <cell r="J377">
            <v>50142094</v>
          </cell>
          <cell r="K377">
            <v>79</v>
          </cell>
        </row>
        <row r="378">
          <cell r="A378">
            <v>50142648</v>
          </cell>
          <cell r="B378" t="str">
            <v>CR SPCC-SD 1.6x82x1219</v>
          </cell>
          <cell r="C378" t="str">
            <v>CR SPCC-SD</v>
          </cell>
          <cell r="D378" t="str">
            <v>CR</v>
          </cell>
          <cell r="E378" t="str">
            <v>SPCC-SD</v>
          </cell>
          <cell r="F378">
            <v>1.6</v>
          </cell>
          <cell r="G378">
            <v>82</v>
          </cell>
          <cell r="H378">
            <v>1219</v>
          </cell>
          <cell r="I378" t="str">
            <v>CF01/2</v>
          </cell>
          <cell r="J378">
            <v>50142648</v>
          </cell>
          <cell r="K378">
            <v>28</v>
          </cell>
          <cell r="L378" t="str">
            <v>E2-ND-06-TSA-0151</v>
          </cell>
        </row>
        <row r="379">
          <cell r="A379">
            <v>50142778</v>
          </cell>
          <cell r="B379" t="str">
            <v>PO SPHC P/O 2.6x58x1219</v>
          </cell>
          <cell r="C379" t="str">
            <v>PO SPHC P/O</v>
          </cell>
          <cell r="D379" t="str">
            <v>PO</v>
          </cell>
          <cell r="E379" t="str">
            <v>SPHC P/O</v>
          </cell>
          <cell r="F379">
            <v>2.2999999999999998</v>
          </cell>
          <cell r="G379">
            <v>58</v>
          </cell>
          <cell r="H379">
            <v>1219</v>
          </cell>
          <cell r="I379" t="str">
            <v>LW02/2</v>
          </cell>
          <cell r="J379">
            <v>50142778</v>
          </cell>
          <cell r="K379">
            <v>33</v>
          </cell>
          <cell r="L379" t="str">
            <v>E2-ND-06-TSA-0154</v>
          </cell>
        </row>
        <row r="380">
          <cell r="A380">
            <v>50143335</v>
          </cell>
          <cell r="B380" t="str">
            <v>PO SPHC P/O 6.0x95x380</v>
          </cell>
          <cell r="C380" t="str">
            <v>PO SPHC P/O</v>
          </cell>
          <cell r="D380" t="str">
            <v>PO</v>
          </cell>
          <cell r="E380" t="str">
            <v>SPHC P/O</v>
          </cell>
          <cell r="F380">
            <v>6</v>
          </cell>
          <cell r="G380">
            <v>95</v>
          </cell>
          <cell r="H380">
            <v>380</v>
          </cell>
          <cell r="I380" t="str">
            <v>MW01/1</v>
          </cell>
          <cell r="J380">
            <v>50143335</v>
          </cell>
          <cell r="K380">
            <v>68</v>
          </cell>
          <cell r="L380" t="str">
            <v>E2-ND-06-TSA-0154</v>
          </cell>
        </row>
        <row r="381">
          <cell r="A381">
            <v>50143337</v>
          </cell>
          <cell r="B381" t="str">
            <v>CR SPCC-SD 2.0x76x1219</v>
          </cell>
          <cell r="C381" t="str">
            <v>CR SPCC-SD</v>
          </cell>
          <cell r="D381" t="str">
            <v>CR</v>
          </cell>
          <cell r="E381" t="str">
            <v>SPCC-SD</v>
          </cell>
          <cell r="F381">
            <v>2</v>
          </cell>
          <cell r="G381">
            <v>76</v>
          </cell>
          <cell r="H381">
            <v>1219</v>
          </cell>
          <cell r="I381" t="str">
            <v>LW02/2</v>
          </cell>
          <cell r="J381">
            <v>50143337</v>
          </cell>
          <cell r="K381">
            <v>23</v>
          </cell>
          <cell r="L381" t="str">
            <v>E2-ND-06-TSA-0152</v>
          </cell>
        </row>
        <row r="382">
          <cell r="A382">
            <v>50143413</v>
          </cell>
          <cell r="B382" t="str">
            <v>CR SPCC-SD 1.6x90x250</v>
          </cell>
          <cell r="C382" t="str">
            <v>CR SPCC-SD</v>
          </cell>
          <cell r="D382" t="str">
            <v>CR</v>
          </cell>
          <cell r="E382" t="str">
            <v>SPCC-SD</v>
          </cell>
          <cell r="F382">
            <v>1.6</v>
          </cell>
          <cell r="G382">
            <v>90</v>
          </cell>
          <cell r="H382">
            <v>250</v>
          </cell>
          <cell r="I382" t="str">
            <v>LW02/2</v>
          </cell>
          <cell r="J382">
            <v>50143413</v>
          </cell>
          <cell r="K382">
            <v>20</v>
          </cell>
          <cell r="L382" t="str">
            <v>E2-ND-06-TSA-0152</v>
          </cell>
        </row>
        <row r="383">
          <cell r="A383">
            <v>50143462</v>
          </cell>
          <cell r="B383" t="str">
            <v>PO SPHC P/O 2.0x67x1219</v>
          </cell>
          <cell r="C383" t="str">
            <v>PO SPHC P/O</v>
          </cell>
          <cell r="D383" t="str">
            <v>PO</v>
          </cell>
          <cell r="E383" t="str">
            <v>SPHC P/O</v>
          </cell>
          <cell r="F383">
            <v>2</v>
          </cell>
          <cell r="G383">
            <v>67</v>
          </cell>
          <cell r="H383">
            <v>1219</v>
          </cell>
          <cell r="I383" t="str">
            <v>LW02/2</v>
          </cell>
          <cell r="J383">
            <v>50143462</v>
          </cell>
          <cell r="K383">
            <v>26</v>
          </cell>
          <cell r="L383" t="str">
            <v>E2-ND-06-TSA-0153</v>
          </cell>
        </row>
        <row r="384">
          <cell r="A384">
            <v>50143710</v>
          </cell>
          <cell r="B384" t="str">
            <v>PO SPHC-DS 3.2x38x1219</v>
          </cell>
          <cell r="C384" t="str">
            <v>PO SPHC P/O</v>
          </cell>
          <cell r="D384" t="str">
            <v>PO</v>
          </cell>
          <cell r="E384" t="str">
            <v>SPHC-SD</v>
          </cell>
          <cell r="F384">
            <v>3.2</v>
          </cell>
          <cell r="G384">
            <v>38</v>
          </cell>
          <cell r="H384">
            <v>1219</v>
          </cell>
          <cell r="I384" t="str">
            <v>LW02/3</v>
          </cell>
          <cell r="J384">
            <v>50143710</v>
          </cell>
          <cell r="K384">
            <v>53</v>
          </cell>
          <cell r="L384" t="str">
            <v>E2-ND-06-TSA-0154</v>
          </cell>
        </row>
        <row r="385">
          <cell r="A385">
            <v>50143792</v>
          </cell>
          <cell r="B385" t="str">
            <v>CR SPCC-SD 3.0x85x255</v>
          </cell>
          <cell r="C385" t="str">
            <v>CR SPCC-SD</v>
          </cell>
          <cell r="D385" t="str">
            <v>CR</v>
          </cell>
          <cell r="E385" t="str">
            <v>SPCC-SD</v>
          </cell>
          <cell r="F385">
            <v>3</v>
          </cell>
          <cell r="G385">
            <v>85</v>
          </cell>
          <cell r="H385">
            <v>255</v>
          </cell>
          <cell r="I385" t="str">
            <v>LW02/3</v>
          </cell>
          <cell r="J385">
            <v>50143792</v>
          </cell>
          <cell r="K385">
            <v>16</v>
          </cell>
          <cell r="L385" t="str">
            <v>E2-ND-06-TSA-0153</v>
          </cell>
        </row>
        <row r="386">
          <cell r="A386">
            <v>50143814</v>
          </cell>
          <cell r="B386" t="str">
            <v>CR SPCC-SD 2.3x50x1219</v>
          </cell>
          <cell r="C386" t="str">
            <v>CR SPCC-SD</v>
          </cell>
          <cell r="D386" t="str">
            <v>CR</v>
          </cell>
          <cell r="E386" t="str">
            <v>SPCC-SD</v>
          </cell>
          <cell r="F386">
            <v>2.2999999999999998</v>
          </cell>
          <cell r="G386">
            <v>50</v>
          </cell>
          <cell r="H386">
            <v>1219</v>
          </cell>
          <cell r="I386" t="str">
            <v>LW01/1</v>
          </cell>
          <cell r="J386">
            <v>50143814</v>
          </cell>
          <cell r="K386">
            <v>18</v>
          </cell>
          <cell r="L386" t="str">
            <v>E2-ND-06-TSA-0152</v>
          </cell>
        </row>
        <row r="387">
          <cell r="A387">
            <v>50144044</v>
          </cell>
          <cell r="B387" t="str">
            <v>PO SPHC P/O 4.0x90x1219</v>
          </cell>
          <cell r="C387" t="str">
            <v>PO SPHC P/O</v>
          </cell>
          <cell r="D387" t="str">
            <v>PO</v>
          </cell>
          <cell r="E387" t="str">
            <v>SPHC P/O</v>
          </cell>
          <cell r="F387">
            <v>4</v>
          </cell>
          <cell r="G387">
            <v>90</v>
          </cell>
          <cell r="H387">
            <v>1219</v>
          </cell>
          <cell r="I387" t="str">
            <v>SEMI/S</v>
          </cell>
          <cell r="J387">
            <v>50144044</v>
          </cell>
          <cell r="K387">
            <v>21</v>
          </cell>
          <cell r="L387" t="str">
            <v>E2-ND-06-TSA-0154</v>
          </cell>
        </row>
        <row r="388">
          <cell r="A388">
            <v>50144083</v>
          </cell>
          <cell r="D388" t="str">
            <v>CR</v>
          </cell>
          <cell r="E388" t="str">
            <v>SPCEN-SD</v>
          </cell>
          <cell r="F388">
            <v>1</v>
          </cell>
          <cell r="G388">
            <v>97</v>
          </cell>
          <cell r="H388">
            <v>1219</v>
          </cell>
          <cell r="I388" t="str">
            <v>Semi/S</v>
          </cell>
          <cell r="J388">
            <v>50144083</v>
          </cell>
          <cell r="K388">
            <v>38</v>
          </cell>
        </row>
        <row r="389">
          <cell r="A389">
            <v>50144084</v>
          </cell>
          <cell r="B389" t="str">
            <v>CR SPCEN-SD 1.0x97x1219</v>
          </cell>
          <cell r="C389" t="str">
            <v>CR SPCEN-SD</v>
          </cell>
          <cell r="D389" t="str">
            <v>CR</v>
          </cell>
          <cell r="E389" t="str">
            <v>SPCEN-SD</v>
          </cell>
          <cell r="F389">
            <v>1</v>
          </cell>
          <cell r="G389">
            <v>97</v>
          </cell>
          <cell r="H389">
            <v>1219</v>
          </cell>
          <cell r="I389" t="str">
            <v>SEMI/S</v>
          </cell>
          <cell r="J389">
            <v>50144084</v>
          </cell>
          <cell r="K389">
            <v>38</v>
          </cell>
          <cell r="L389" t="str">
            <v>E2-ND-06-TSA-0161</v>
          </cell>
        </row>
        <row r="390">
          <cell r="A390">
            <v>50144085</v>
          </cell>
          <cell r="B390" t="str">
            <v>CR SPCEN-SD 1.0x97x1219</v>
          </cell>
          <cell r="C390" t="str">
            <v>CR SPCEN-SD</v>
          </cell>
          <cell r="D390" t="str">
            <v>CR</v>
          </cell>
          <cell r="E390" t="str">
            <v>SPCEN-SD</v>
          </cell>
          <cell r="F390">
            <v>1</v>
          </cell>
          <cell r="G390">
            <v>97</v>
          </cell>
          <cell r="H390">
            <v>1219</v>
          </cell>
          <cell r="I390" t="str">
            <v>SEMI/S</v>
          </cell>
          <cell r="J390">
            <v>50144085</v>
          </cell>
          <cell r="K390">
            <v>38</v>
          </cell>
          <cell r="L390" t="str">
            <v>E2-ND-06-TSA-0161</v>
          </cell>
        </row>
        <row r="391">
          <cell r="A391">
            <v>50144086</v>
          </cell>
          <cell r="B391" t="str">
            <v>CR SPCEN-SD 1.0x97x1219</v>
          </cell>
          <cell r="C391" t="str">
            <v>CR SPCEN-SD</v>
          </cell>
          <cell r="D391" t="str">
            <v>CR</v>
          </cell>
          <cell r="E391" t="str">
            <v>SPCEN-SD</v>
          </cell>
          <cell r="F391">
            <v>1</v>
          </cell>
          <cell r="G391">
            <v>97</v>
          </cell>
          <cell r="H391">
            <v>1219</v>
          </cell>
          <cell r="I391" t="str">
            <v>SEMI/S</v>
          </cell>
          <cell r="J391">
            <v>50144086</v>
          </cell>
          <cell r="K391">
            <v>38</v>
          </cell>
          <cell r="L391" t="str">
            <v>E2-ND-06-TSA-0161</v>
          </cell>
        </row>
        <row r="392">
          <cell r="A392">
            <v>50144547</v>
          </cell>
          <cell r="D392" t="str">
            <v>PO</v>
          </cell>
          <cell r="E392" t="str">
            <v>SPHC P/O</v>
          </cell>
          <cell r="F392">
            <v>2</v>
          </cell>
          <cell r="G392">
            <v>135</v>
          </cell>
          <cell r="H392">
            <v>1219</v>
          </cell>
          <cell r="I392" t="str">
            <v>NG</v>
          </cell>
          <cell r="J392">
            <v>50144547</v>
          </cell>
          <cell r="K392">
            <v>109</v>
          </cell>
        </row>
        <row r="393">
          <cell r="A393">
            <v>50145054</v>
          </cell>
          <cell r="D393" t="str">
            <v>PO</v>
          </cell>
          <cell r="E393" t="str">
            <v>SPHC P/O</v>
          </cell>
          <cell r="F393">
            <v>3.2</v>
          </cell>
          <cell r="G393">
            <v>50</v>
          </cell>
          <cell r="H393">
            <v>1219</v>
          </cell>
          <cell r="I393" t="str">
            <v>CF01/2</v>
          </cell>
          <cell r="J393">
            <v>50145054</v>
          </cell>
          <cell r="K393">
            <v>67</v>
          </cell>
        </row>
        <row r="394">
          <cell r="A394">
            <v>50145088</v>
          </cell>
          <cell r="D394" t="str">
            <v>CR</v>
          </cell>
          <cell r="E394" t="str">
            <v>SPCC-SD</v>
          </cell>
          <cell r="F394">
            <v>1.2</v>
          </cell>
          <cell r="G394">
            <v>46</v>
          </cell>
          <cell r="H394">
            <v>655</v>
          </cell>
          <cell r="I394" t="str">
            <v>CF01/1</v>
          </cell>
          <cell r="J394">
            <v>50145088</v>
          </cell>
          <cell r="K394">
            <v>346</v>
          </cell>
        </row>
        <row r="395">
          <cell r="A395">
            <v>50145143</v>
          </cell>
          <cell r="D395" t="str">
            <v>PO</v>
          </cell>
          <cell r="E395" t="str">
            <v>SPHC P/O</v>
          </cell>
          <cell r="F395">
            <v>2</v>
          </cell>
          <cell r="G395">
            <v>75</v>
          </cell>
          <cell r="H395">
            <v>1219</v>
          </cell>
          <cell r="I395" t="str">
            <v>CF01/2</v>
          </cell>
          <cell r="J395">
            <v>50145143</v>
          </cell>
          <cell r="K395">
            <v>215</v>
          </cell>
        </row>
        <row r="396">
          <cell r="A396">
            <v>50145264</v>
          </cell>
          <cell r="D396" t="str">
            <v>PO</v>
          </cell>
          <cell r="E396" t="str">
            <v>SPHC P/O</v>
          </cell>
          <cell r="F396">
            <v>1.6</v>
          </cell>
          <cell r="G396">
            <v>144</v>
          </cell>
          <cell r="H396">
            <v>1219</v>
          </cell>
          <cell r="I396" t="str">
            <v>NG</v>
          </cell>
          <cell r="J396">
            <v>50145264</v>
          </cell>
          <cell r="K396">
            <v>296</v>
          </cell>
        </row>
        <row r="397">
          <cell r="A397">
            <v>50145265</v>
          </cell>
          <cell r="D397" t="str">
            <v>PO</v>
          </cell>
          <cell r="E397" t="str">
            <v>SPHC P/O</v>
          </cell>
          <cell r="F397">
            <v>1.6</v>
          </cell>
          <cell r="G397">
            <v>144</v>
          </cell>
          <cell r="H397">
            <v>1219</v>
          </cell>
          <cell r="I397" t="str">
            <v>NG</v>
          </cell>
          <cell r="J397">
            <v>50145265</v>
          </cell>
          <cell r="K397">
            <v>204</v>
          </cell>
        </row>
        <row r="398">
          <cell r="A398">
            <v>50146089</v>
          </cell>
          <cell r="D398" t="str">
            <v>PO</v>
          </cell>
          <cell r="E398" t="str">
            <v>SPHC P/O</v>
          </cell>
          <cell r="F398">
            <v>2.6</v>
          </cell>
          <cell r="G398">
            <v>77</v>
          </cell>
          <cell r="H398">
            <v>1219</v>
          </cell>
          <cell r="I398" t="str">
            <v>CF01/2</v>
          </cell>
          <cell r="J398">
            <v>50146089</v>
          </cell>
          <cell r="K398">
            <v>27</v>
          </cell>
        </row>
        <row r="399">
          <cell r="A399">
            <v>50146333</v>
          </cell>
          <cell r="D399" t="str">
            <v>PO</v>
          </cell>
          <cell r="E399" t="str">
            <v>SPHC P/O</v>
          </cell>
          <cell r="F399">
            <v>2.2999999999999998</v>
          </cell>
          <cell r="G399">
            <v>608</v>
          </cell>
          <cell r="H399">
            <v>1219</v>
          </cell>
          <cell r="I399" t="str">
            <v>DS01/1</v>
          </cell>
          <cell r="J399">
            <v>50146333</v>
          </cell>
          <cell r="K399">
            <v>254</v>
          </cell>
        </row>
        <row r="400">
          <cell r="A400">
            <v>50146390</v>
          </cell>
          <cell r="D400" t="str">
            <v>PO</v>
          </cell>
          <cell r="E400" t="str">
            <v>SPHC P/O</v>
          </cell>
          <cell r="F400">
            <v>3.2</v>
          </cell>
          <cell r="G400">
            <v>90</v>
          </cell>
          <cell r="H400">
            <v>1219</v>
          </cell>
          <cell r="I400" t="str">
            <v>DS01/1</v>
          </cell>
          <cell r="J400">
            <v>50146390</v>
          </cell>
          <cell r="K400">
            <v>300</v>
          </cell>
        </row>
        <row r="401">
          <cell r="A401">
            <v>50146438</v>
          </cell>
          <cell r="D401" t="str">
            <v>PO</v>
          </cell>
          <cell r="E401" t="str">
            <v>SPHC P/O</v>
          </cell>
          <cell r="F401">
            <v>1.6</v>
          </cell>
          <cell r="G401">
            <v>64</v>
          </cell>
          <cell r="H401">
            <v>1219</v>
          </cell>
          <cell r="I401" t="str">
            <v>CF01/2</v>
          </cell>
          <cell r="J401">
            <v>50146438</v>
          </cell>
          <cell r="K401">
            <v>118</v>
          </cell>
        </row>
        <row r="402">
          <cell r="A402">
            <v>50147014</v>
          </cell>
          <cell r="D402" t="str">
            <v>PO</v>
          </cell>
          <cell r="E402" t="str">
            <v>SPHC P/O</v>
          </cell>
          <cell r="F402">
            <v>4.5</v>
          </cell>
          <cell r="G402">
            <v>126</v>
          </cell>
          <cell r="H402">
            <v>1219</v>
          </cell>
          <cell r="I402" t="str">
            <v>NG</v>
          </cell>
          <cell r="J402">
            <v>50147014</v>
          </cell>
          <cell r="K402">
            <v>49</v>
          </cell>
        </row>
        <row r="403">
          <cell r="A403">
            <v>50147196</v>
          </cell>
          <cell r="D403" t="str">
            <v>PO</v>
          </cell>
          <cell r="E403" t="str">
            <v>SPHC P/O</v>
          </cell>
          <cell r="F403">
            <v>3.2</v>
          </cell>
          <cell r="G403">
            <v>96</v>
          </cell>
          <cell r="H403">
            <v>1219</v>
          </cell>
          <cell r="I403" t="str">
            <v>OW01/1</v>
          </cell>
          <cell r="J403">
            <v>50147196</v>
          </cell>
          <cell r="K403">
            <v>247</v>
          </cell>
        </row>
        <row r="404">
          <cell r="A404">
            <v>50147814</v>
          </cell>
          <cell r="D404" t="str">
            <v>CR</v>
          </cell>
          <cell r="E404" t="str">
            <v>SPCC-SD</v>
          </cell>
          <cell r="F404">
            <v>0.8</v>
          </cell>
          <cell r="G404">
            <v>180</v>
          </cell>
          <cell r="H404">
            <v>1840</v>
          </cell>
          <cell r="I404" t="str">
            <v>DS01/1</v>
          </cell>
          <cell r="J404">
            <v>50147814</v>
          </cell>
          <cell r="K404">
            <v>315</v>
          </cell>
        </row>
        <row r="405">
          <cell r="A405">
            <v>50147868</v>
          </cell>
          <cell r="D405" t="str">
            <v>PO</v>
          </cell>
          <cell r="E405" t="str">
            <v>SPHC P/O</v>
          </cell>
          <cell r="F405">
            <v>2.2999999999999998</v>
          </cell>
          <cell r="G405">
            <v>65</v>
          </cell>
          <cell r="H405">
            <v>1219</v>
          </cell>
          <cell r="I405" t="str">
            <v>OW01/1</v>
          </cell>
          <cell r="J405">
            <v>50147868</v>
          </cell>
          <cell r="K405">
            <v>72</v>
          </cell>
        </row>
        <row r="406">
          <cell r="A406">
            <v>50147887</v>
          </cell>
          <cell r="D406" t="str">
            <v>CR</v>
          </cell>
          <cell r="E406" t="str">
            <v>SPCC-SD</v>
          </cell>
          <cell r="F406">
            <v>3</v>
          </cell>
          <cell r="G406">
            <v>152</v>
          </cell>
          <cell r="H406">
            <v>310</v>
          </cell>
          <cell r="I406" t="str">
            <v>NG</v>
          </cell>
          <cell r="J406">
            <v>50147887</v>
          </cell>
          <cell r="K406">
            <v>242</v>
          </cell>
        </row>
        <row r="407">
          <cell r="A407">
            <v>50147927</v>
          </cell>
          <cell r="B407" t="str">
            <v>CR SPCC-SD 1.2x315x1041</v>
          </cell>
          <cell r="C407" t="str">
            <v>CR SPCC-SD</v>
          </cell>
          <cell r="D407" t="str">
            <v>CR</v>
          </cell>
          <cell r="E407" t="str">
            <v>SPCC-SD</v>
          </cell>
          <cell r="F407">
            <v>1.2</v>
          </cell>
          <cell r="G407">
            <v>315</v>
          </cell>
          <cell r="H407">
            <v>1041</v>
          </cell>
          <cell r="I407" t="str">
            <v>NG</v>
          </cell>
          <cell r="J407">
            <v>50147927</v>
          </cell>
          <cell r="K407">
            <v>417</v>
          </cell>
          <cell r="L407" t="str">
            <v>E2-NJ-06-TSA-0079</v>
          </cell>
        </row>
        <row r="408">
          <cell r="A408">
            <v>50148051</v>
          </cell>
          <cell r="B408" t="str">
            <v>PO SPHC P/O 2.0x100x1219</v>
          </cell>
          <cell r="C408" t="str">
            <v>PO SPHC P/O</v>
          </cell>
          <cell r="D408" t="str">
            <v>PO</v>
          </cell>
          <cell r="E408" t="str">
            <v>SPHC P/O</v>
          </cell>
          <cell r="F408">
            <v>2</v>
          </cell>
          <cell r="G408">
            <v>100</v>
          </cell>
          <cell r="H408">
            <v>1219</v>
          </cell>
          <cell r="I408" t="str">
            <v>NG</v>
          </cell>
          <cell r="J408">
            <v>50148051</v>
          </cell>
          <cell r="K408">
            <v>67</v>
          </cell>
          <cell r="L408" t="str">
            <v>E1-ND-06-TSA-0372</v>
          </cell>
        </row>
        <row r="409">
          <cell r="A409">
            <v>50148332</v>
          </cell>
          <cell r="D409" t="str">
            <v>PO</v>
          </cell>
          <cell r="E409" t="str">
            <v>SPHC P/O</v>
          </cell>
          <cell r="F409">
            <v>4.5</v>
          </cell>
          <cell r="G409">
            <v>64</v>
          </cell>
          <cell r="H409">
            <v>1219</v>
          </cell>
          <cell r="I409" t="str">
            <v>CF01/1</v>
          </cell>
          <cell r="J409">
            <v>50148332</v>
          </cell>
          <cell r="K409">
            <v>800</v>
          </cell>
        </row>
        <row r="410">
          <cell r="A410">
            <v>50148405</v>
          </cell>
          <cell r="D410" t="str">
            <v>CR</v>
          </cell>
          <cell r="E410" t="str">
            <v>SPCC-SD</v>
          </cell>
          <cell r="F410">
            <v>2.2999999999999998</v>
          </cell>
          <cell r="G410">
            <v>88</v>
          </cell>
          <cell r="H410">
            <v>1219</v>
          </cell>
          <cell r="I410" t="str">
            <v>CF01/2</v>
          </cell>
          <cell r="J410">
            <v>50148405</v>
          </cell>
          <cell r="K410">
            <v>114</v>
          </cell>
        </row>
        <row r="411">
          <cell r="A411">
            <v>50148446</v>
          </cell>
          <cell r="D411" t="str">
            <v>CR</v>
          </cell>
          <cell r="E411" t="str">
            <v>SPCC-SD</v>
          </cell>
          <cell r="F411">
            <v>3.2</v>
          </cell>
          <cell r="G411">
            <v>108</v>
          </cell>
          <cell r="H411">
            <v>1219</v>
          </cell>
          <cell r="I411" t="str">
            <v>DS01/1</v>
          </cell>
          <cell r="J411">
            <v>50148446</v>
          </cell>
          <cell r="K411">
            <v>453</v>
          </cell>
        </row>
        <row r="412">
          <cell r="A412">
            <v>50148494</v>
          </cell>
          <cell r="D412" t="str">
            <v>CR</v>
          </cell>
          <cell r="E412" t="str">
            <v>SPCC-SD</v>
          </cell>
          <cell r="F412">
            <v>3</v>
          </cell>
          <cell r="G412">
            <v>78</v>
          </cell>
          <cell r="H412">
            <v>1219</v>
          </cell>
          <cell r="I412" t="str">
            <v>CF01/1</v>
          </cell>
          <cell r="J412">
            <v>50148494</v>
          </cell>
          <cell r="K412">
            <v>76</v>
          </cell>
        </row>
        <row r="413">
          <cell r="A413">
            <v>50148496</v>
          </cell>
          <cell r="D413" t="str">
            <v>CR</v>
          </cell>
          <cell r="E413" t="str">
            <v>SPCC-SD</v>
          </cell>
          <cell r="F413">
            <v>1.6</v>
          </cell>
          <cell r="G413">
            <v>34</v>
          </cell>
          <cell r="H413">
            <v>1219</v>
          </cell>
          <cell r="I413" t="str">
            <v>CF01/1</v>
          </cell>
          <cell r="J413">
            <v>50148496</v>
          </cell>
          <cell r="K413">
            <v>4</v>
          </cell>
        </row>
        <row r="414">
          <cell r="A414">
            <v>50148531</v>
          </cell>
          <cell r="D414" t="str">
            <v>CR</v>
          </cell>
          <cell r="E414" t="str">
            <v>SPCC-SD</v>
          </cell>
          <cell r="F414">
            <v>0.5</v>
          </cell>
          <cell r="G414">
            <v>35</v>
          </cell>
          <cell r="H414">
            <v>1219</v>
          </cell>
          <cell r="I414" t="str">
            <v>CF01/1</v>
          </cell>
          <cell r="J414">
            <v>50148531</v>
          </cell>
          <cell r="K414">
            <v>12</v>
          </cell>
        </row>
        <row r="415">
          <cell r="A415">
            <v>50148643</v>
          </cell>
          <cell r="D415" t="str">
            <v>PO</v>
          </cell>
          <cell r="E415" t="str">
            <v>SPHC P/O</v>
          </cell>
          <cell r="F415">
            <v>2.6</v>
          </cell>
          <cell r="G415">
            <v>64.8</v>
          </cell>
          <cell r="H415">
            <v>468</v>
          </cell>
          <cell r="I415" t="str">
            <v>CF01/1</v>
          </cell>
          <cell r="J415">
            <v>50148643</v>
          </cell>
          <cell r="K415">
            <v>87</v>
          </cell>
        </row>
        <row r="416">
          <cell r="A416">
            <v>50148676</v>
          </cell>
          <cell r="B416" t="str">
            <v>CR SPCC-SD 2.3x170x1219</v>
          </cell>
          <cell r="C416" t="str">
            <v>CR SPCC-SD</v>
          </cell>
          <cell r="D416" t="str">
            <v>CR</v>
          </cell>
          <cell r="E416" t="str">
            <v>SPCC-SD</v>
          </cell>
          <cell r="F416">
            <v>2.2999999999999998</v>
          </cell>
          <cell r="G416">
            <v>170</v>
          </cell>
          <cell r="H416">
            <v>1219</v>
          </cell>
          <cell r="I416" t="str">
            <v>NG</v>
          </cell>
          <cell r="J416">
            <v>50148676</v>
          </cell>
          <cell r="K416">
            <v>935</v>
          </cell>
          <cell r="L416" t="str">
            <v>E1-ND-06-TSA-0380</v>
          </cell>
        </row>
        <row r="417">
          <cell r="A417">
            <v>50148677</v>
          </cell>
          <cell r="B417" t="str">
            <v>CR SPCC-SD 2.3x170x1219</v>
          </cell>
          <cell r="C417" t="str">
            <v>CR SPCC-SD</v>
          </cell>
          <cell r="D417" t="str">
            <v>CR</v>
          </cell>
          <cell r="E417" t="str">
            <v>SPCC-SD</v>
          </cell>
          <cell r="F417">
            <v>2.2999999999999998</v>
          </cell>
          <cell r="G417">
            <v>170</v>
          </cell>
          <cell r="H417">
            <v>1219</v>
          </cell>
          <cell r="I417" t="str">
            <v>NG</v>
          </cell>
          <cell r="J417">
            <v>50148677</v>
          </cell>
          <cell r="K417">
            <v>183</v>
          </cell>
          <cell r="L417" t="str">
            <v>E1-ND-06-TSA-0374</v>
          </cell>
        </row>
        <row r="418">
          <cell r="A418">
            <v>50148793</v>
          </cell>
          <cell r="B418" t="str">
            <v>CR SPCC-SD 0.8x1219x2447</v>
          </cell>
          <cell r="C418" t="str">
            <v>CR SPCC-SD</v>
          </cell>
          <cell r="D418" t="str">
            <v>CR</v>
          </cell>
          <cell r="E418" t="str">
            <v>SPCC-SD</v>
          </cell>
          <cell r="F418">
            <v>0.8</v>
          </cell>
          <cell r="G418">
            <v>1219</v>
          </cell>
          <cell r="H418">
            <v>2447</v>
          </cell>
          <cell r="I418" t="str">
            <v>NG</v>
          </cell>
          <cell r="J418">
            <v>50148793</v>
          </cell>
          <cell r="K418">
            <v>131</v>
          </cell>
          <cell r="L418" t="str">
            <v>E1-ND-06-TSA-0374</v>
          </cell>
        </row>
        <row r="419">
          <cell r="A419">
            <v>50148799</v>
          </cell>
          <cell r="B419" t="str">
            <v>CR SPCC-SD 1.0x133x1219</v>
          </cell>
          <cell r="C419" t="str">
            <v>CR SPCC-SD</v>
          </cell>
          <cell r="D419" t="str">
            <v>CR</v>
          </cell>
          <cell r="E419" t="str">
            <v>SPCC-SD</v>
          </cell>
          <cell r="F419">
            <v>1</v>
          </cell>
          <cell r="G419">
            <v>133</v>
          </cell>
          <cell r="H419">
            <v>1219</v>
          </cell>
          <cell r="I419" t="str">
            <v>NG</v>
          </cell>
          <cell r="J419">
            <v>50148799</v>
          </cell>
          <cell r="K419">
            <v>117</v>
          </cell>
          <cell r="L419" t="str">
            <v>E2-NJ-06-TSA-0078</v>
          </cell>
        </row>
        <row r="420">
          <cell r="A420">
            <v>50149154</v>
          </cell>
          <cell r="B420" t="str">
            <v>CR SPCC-SD 0.8x260x1219</v>
          </cell>
          <cell r="C420" t="str">
            <v>CR SPCC-SD</v>
          </cell>
          <cell r="D420" t="str">
            <v>CR</v>
          </cell>
          <cell r="E420" t="str">
            <v>SPCC-SD</v>
          </cell>
          <cell r="F420">
            <v>0.8</v>
          </cell>
          <cell r="G420">
            <v>260</v>
          </cell>
          <cell r="H420">
            <v>1219</v>
          </cell>
          <cell r="I420" t="str">
            <v>NG</v>
          </cell>
          <cell r="J420">
            <v>50149154</v>
          </cell>
          <cell r="K420">
            <v>103</v>
          </cell>
          <cell r="L420" t="str">
            <v>E2-NJ-06-TSA-0083</v>
          </cell>
        </row>
        <row r="421">
          <cell r="A421">
            <v>50149248</v>
          </cell>
          <cell r="B421" t="str">
            <v>CR SPCC-SD 0.8x770x1219</v>
          </cell>
          <cell r="C421" t="str">
            <v>CR SPCC-SD</v>
          </cell>
          <cell r="D421" t="str">
            <v>CR</v>
          </cell>
          <cell r="E421" t="str">
            <v>SPCC-SD</v>
          </cell>
          <cell r="F421">
            <v>0.8</v>
          </cell>
          <cell r="G421">
            <v>770</v>
          </cell>
          <cell r="H421">
            <v>1219</v>
          </cell>
          <cell r="I421" t="str">
            <v>NG</v>
          </cell>
          <cell r="J421">
            <v>50149248</v>
          </cell>
          <cell r="K421">
            <v>35</v>
          </cell>
          <cell r="L421" t="str">
            <v>E2-NJ-06-TSA-0083</v>
          </cell>
        </row>
        <row r="422">
          <cell r="A422">
            <v>50149249</v>
          </cell>
          <cell r="B422" t="str">
            <v>CR SPCC-SD 0.8x770x1219</v>
          </cell>
          <cell r="C422" t="str">
            <v>CR SPCC-SD</v>
          </cell>
          <cell r="D422" t="str">
            <v>CR</v>
          </cell>
          <cell r="E422" t="str">
            <v>SPCC-SD</v>
          </cell>
          <cell r="F422">
            <v>0.8</v>
          </cell>
          <cell r="G422">
            <v>770</v>
          </cell>
          <cell r="H422">
            <v>1219</v>
          </cell>
          <cell r="I422" t="str">
            <v>NG</v>
          </cell>
          <cell r="J422">
            <v>50149249</v>
          </cell>
          <cell r="K422">
            <v>153</v>
          </cell>
          <cell r="L422" t="str">
            <v>E1-ND-06-TSA-0378</v>
          </cell>
        </row>
        <row r="423">
          <cell r="A423">
            <v>50149443</v>
          </cell>
          <cell r="D423" t="str">
            <v>CR</v>
          </cell>
          <cell r="E423" t="str">
            <v>SPCC-SD</v>
          </cell>
          <cell r="F423">
            <v>2</v>
          </cell>
          <cell r="G423">
            <v>92</v>
          </cell>
          <cell r="H423">
            <v>1219</v>
          </cell>
          <cell r="I423" t="str">
            <v>Semi/S</v>
          </cell>
          <cell r="J423">
            <v>50149443</v>
          </cell>
          <cell r="K423">
            <v>9</v>
          </cell>
        </row>
        <row r="424">
          <cell r="A424">
            <v>50149473</v>
          </cell>
          <cell r="B424" t="str">
            <v>PO SPHC P/O 1.2x83x1219</v>
          </cell>
          <cell r="C424" t="str">
            <v>PO SPHC P/O</v>
          </cell>
          <cell r="D424" t="str">
            <v>PO</v>
          </cell>
          <cell r="E424" t="str">
            <v>SPHC P/O</v>
          </cell>
          <cell r="F424">
            <v>1.2</v>
          </cell>
          <cell r="G424">
            <v>83</v>
          </cell>
          <cell r="H424">
            <v>1219</v>
          </cell>
          <cell r="I424" t="str">
            <v>NG</v>
          </cell>
          <cell r="J424">
            <v>50149473</v>
          </cell>
          <cell r="K424">
            <v>58</v>
          </cell>
          <cell r="L424" t="str">
            <v>E1-ND-06-TSA-0378</v>
          </cell>
        </row>
        <row r="425">
          <cell r="A425">
            <v>50149489</v>
          </cell>
          <cell r="D425" t="str">
            <v>PO</v>
          </cell>
          <cell r="E425" t="str">
            <v>SPHC P/O</v>
          </cell>
          <cell r="F425">
            <v>1.6</v>
          </cell>
          <cell r="G425">
            <v>56</v>
          </cell>
          <cell r="H425">
            <v>1219</v>
          </cell>
          <cell r="I425" t="str">
            <v>Semi/S</v>
          </cell>
          <cell r="J425">
            <v>50149489</v>
          </cell>
          <cell r="K425">
            <v>15</v>
          </cell>
        </row>
        <row r="426">
          <cell r="A426">
            <v>50149510</v>
          </cell>
          <cell r="D426" t="str">
            <v>CR</v>
          </cell>
          <cell r="E426" t="str">
            <v>SPCC-SD</v>
          </cell>
          <cell r="F426">
            <v>1.2</v>
          </cell>
          <cell r="G426">
            <v>58</v>
          </cell>
          <cell r="H426">
            <v>1219</v>
          </cell>
          <cell r="I426" t="str">
            <v>Semi/S</v>
          </cell>
          <cell r="J426">
            <v>50149510</v>
          </cell>
          <cell r="K426">
            <v>51</v>
          </cell>
        </row>
        <row r="427">
          <cell r="A427">
            <v>50149588</v>
          </cell>
          <cell r="B427" t="str">
            <v>CR SPCC-SD 1.6x1219x1900</v>
          </cell>
          <cell r="C427" t="str">
            <v>CR SPCC-SD</v>
          </cell>
          <cell r="D427" t="str">
            <v>CR</v>
          </cell>
          <cell r="E427" t="str">
            <v>SPCC-SD</v>
          </cell>
          <cell r="F427">
            <v>1.6</v>
          </cell>
          <cell r="G427">
            <v>1219</v>
          </cell>
          <cell r="H427">
            <v>1900</v>
          </cell>
          <cell r="I427" t="str">
            <v>NG</v>
          </cell>
          <cell r="J427">
            <v>50149588</v>
          </cell>
          <cell r="K427">
            <v>268</v>
          </cell>
          <cell r="L427" t="str">
            <v>E2-NJ-06-TSA-0081</v>
          </cell>
        </row>
        <row r="428">
          <cell r="A428">
            <v>60008587</v>
          </cell>
          <cell r="D428" t="str">
            <v>CR</v>
          </cell>
          <cell r="E428" t="str">
            <v>SPCEN-SD</v>
          </cell>
          <cell r="F428">
            <v>0.7</v>
          </cell>
          <cell r="G428">
            <v>90</v>
          </cell>
          <cell r="H428" t="str">
            <v>C</v>
          </cell>
          <cell r="I428" t="str">
            <v>CS01/12</v>
          </cell>
          <cell r="J428">
            <v>60008587</v>
          </cell>
          <cell r="K428">
            <v>330</v>
          </cell>
        </row>
        <row r="429">
          <cell r="A429">
            <v>60009372</v>
          </cell>
          <cell r="D429" t="str">
            <v>PO</v>
          </cell>
          <cell r="E429" t="str">
            <v>SPHC P/O</v>
          </cell>
          <cell r="F429">
            <v>3.2</v>
          </cell>
          <cell r="G429">
            <v>66</v>
          </cell>
          <cell r="H429" t="str">
            <v>C</v>
          </cell>
          <cell r="I429" t="str">
            <v>CS01/2</v>
          </cell>
          <cell r="J429">
            <v>60009372</v>
          </cell>
          <cell r="K429">
            <v>95</v>
          </cell>
        </row>
        <row r="430">
          <cell r="A430">
            <v>60009373</v>
          </cell>
          <cell r="D430" t="str">
            <v>PO</v>
          </cell>
          <cell r="E430" t="str">
            <v>SPHC P/O</v>
          </cell>
          <cell r="F430">
            <v>3.2</v>
          </cell>
          <cell r="G430">
            <v>66</v>
          </cell>
          <cell r="H430" t="str">
            <v>C</v>
          </cell>
          <cell r="I430" t="str">
            <v>CS01/2</v>
          </cell>
          <cell r="J430">
            <v>60009373</v>
          </cell>
          <cell r="K430">
            <v>95</v>
          </cell>
        </row>
        <row r="431">
          <cell r="A431">
            <v>60009374</v>
          </cell>
          <cell r="D431" t="str">
            <v>PO</v>
          </cell>
          <cell r="E431" t="str">
            <v>SPHC P/O</v>
          </cell>
          <cell r="F431">
            <v>3.2</v>
          </cell>
          <cell r="G431">
            <v>66</v>
          </cell>
          <cell r="H431" t="str">
            <v>C</v>
          </cell>
          <cell r="I431" t="str">
            <v>CS01/2</v>
          </cell>
          <cell r="J431">
            <v>60009374</v>
          </cell>
          <cell r="K431">
            <v>95</v>
          </cell>
        </row>
        <row r="432">
          <cell r="A432">
            <v>60009909</v>
          </cell>
          <cell r="D432" t="str">
            <v>PO</v>
          </cell>
          <cell r="E432" t="str">
            <v>SPHC P/O</v>
          </cell>
          <cell r="F432">
            <v>4.5</v>
          </cell>
          <cell r="G432">
            <v>70</v>
          </cell>
          <cell r="H432" t="str">
            <v>C</v>
          </cell>
          <cell r="I432" t="str">
            <v>CS01/1</v>
          </cell>
          <cell r="J432">
            <v>60009909</v>
          </cell>
          <cell r="K432">
            <v>260</v>
          </cell>
        </row>
        <row r="433">
          <cell r="A433">
            <v>60009910</v>
          </cell>
          <cell r="D433" t="str">
            <v>PO</v>
          </cell>
          <cell r="E433" t="str">
            <v>SPHC P/O</v>
          </cell>
          <cell r="F433">
            <v>4.5</v>
          </cell>
          <cell r="G433">
            <v>70</v>
          </cell>
          <cell r="H433" t="str">
            <v>C</v>
          </cell>
          <cell r="I433" t="str">
            <v>CS01/1</v>
          </cell>
          <cell r="J433">
            <v>60009910</v>
          </cell>
          <cell r="K433">
            <v>246</v>
          </cell>
        </row>
        <row r="434">
          <cell r="A434">
            <v>60010696</v>
          </cell>
          <cell r="D434" t="str">
            <v>CR</v>
          </cell>
          <cell r="E434" t="str">
            <v>SPCEN-SD</v>
          </cell>
          <cell r="F434">
            <v>1.6</v>
          </cell>
          <cell r="G434">
            <v>82</v>
          </cell>
          <cell r="H434" t="str">
            <v>C</v>
          </cell>
          <cell r="I434" t="str">
            <v>CS01/2</v>
          </cell>
          <cell r="J434">
            <v>60010696</v>
          </cell>
          <cell r="K434">
            <v>305</v>
          </cell>
        </row>
        <row r="435">
          <cell r="A435">
            <v>60010697</v>
          </cell>
          <cell r="D435" t="str">
            <v>CR</v>
          </cell>
          <cell r="E435" t="str">
            <v>SPCEN-SD</v>
          </cell>
          <cell r="F435">
            <v>1.6</v>
          </cell>
          <cell r="G435">
            <v>82</v>
          </cell>
          <cell r="H435" t="str">
            <v>C</v>
          </cell>
          <cell r="I435" t="str">
            <v>CS01/2</v>
          </cell>
          <cell r="J435">
            <v>60010697</v>
          </cell>
          <cell r="K435">
            <v>305</v>
          </cell>
        </row>
        <row r="436">
          <cell r="A436">
            <v>60010701</v>
          </cell>
          <cell r="D436" t="str">
            <v>CR</v>
          </cell>
          <cell r="E436" t="str">
            <v>SPCEN-SD</v>
          </cell>
          <cell r="F436">
            <v>1.6</v>
          </cell>
          <cell r="G436">
            <v>82</v>
          </cell>
          <cell r="H436" t="str">
            <v>C</v>
          </cell>
          <cell r="I436" t="str">
            <v>CS01/2</v>
          </cell>
          <cell r="J436">
            <v>60010701</v>
          </cell>
          <cell r="K436">
            <v>335</v>
          </cell>
        </row>
        <row r="437">
          <cell r="A437">
            <v>60010702</v>
          </cell>
          <cell r="D437" t="str">
            <v>CR</v>
          </cell>
          <cell r="E437" t="str">
            <v>SPCEN-SD</v>
          </cell>
          <cell r="F437">
            <v>1.6</v>
          </cell>
          <cell r="G437">
            <v>82</v>
          </cell>
          <cell r="H437" t="str">
            <v>C</v>
          </cell>
          <cell r="I437" t="str">
            <v>CS01/2</v>
          </cell>
          <cell r="J437">
            <v>60010702</v>
          </cell>
          <cell r="K437">
            <v>335</v>
          </cell>
        </row>
        <row r="438">
          <cell r="A438">
            <v>60010706</v>
          </cell>
          <cell r="D438" t="str">
            <v>CR</v>
          </cell>
          <cell r="E438" t="str">
            <v>SPCEN-SD</v>
          </cell>
          <cell r="F438">
            <v>1.6</v>
          </cell>
          <cell r="G438">
            <v>82</v>
          </cell>
          <cell r="H438" t="str">
            <v>C</v>
          </cell>
          <cell r="I438" t="str">
            <v>CS01/2</v>
          </cell>
          <cell r="J438">
            <v>60010706</v>
          </cell>
          <cell r="K438">
            <v>290</v>
          </cell>
        </row>
        <row r="439">
          <cell r="A439">
            <v>60010707</v>
          </cell>
          <cell r="D439" t="str">
            <v>CR</v>
          </cell>
          <cell r="E439" t="str">
            <v>SPCEN-SD</v>
          </cell>
          <cell r="F439">
            <v>1.6</v>
          </cell>
          <cell r="G439">
            <v>82</v>
          </cell>
          <cell r="H439" t="str">
            <v>C</v>
          </cell>
          <cell r="I439" t="str">
            <v>CS01/2</v>
          </cell>
          <cell r="J439">
            <v>60010707</v>
          </cell>
          <cell r="K439">
            <v>290</v>
          </cell>
        </row>
        <row r="440">
          <cell r="A440">
            <v>60010711</v>
          </cell>
          <cell r="D440" t="str">
            <v>CR</v>
          </cell>
          <cell r="E440" t="str">
            <v>SPCEN-SD</v>
          </cell>
          <cell r="F440">
            <v>1.6</v>
          </cell>
          <cell r="G440">
            <v>82</v>
          </cell>
          <cell r="H440" t="str">
            <v>C</v>
          </cell>
          <cell r="I440" t="str">
            <v>CS01/2</v>
          </cell>
          <cell r="J440">
            <v>60010711</v>
          </cell>
          <cell r="K440">
            <v>295</v>
          </cell>
        </row>
        <row r="441">
          <cell r="A441">
            <v>60010712</v>
          </cell>
          <cell r="D441" t="str">
            <v>CR</v>
          </cell>
          <cell r="E441" t="str">
            <v>SPCEN-SD</v>
          </cell>
          <cell r="F441">
            <v>1.6</v>
          </cell>
          <cell r="G441">
            <v>82</v>
          </cell>
          <cell r="H441" t="str">
            <v>C</v>
          </cell>
          <cell r="I441" t="str">
            <v>CS01/2</v>
          </cell>
          <cell r="J441">
            <v>60010712</v>
          </cell>
          <cell r="K441">
            <v>295</v>
          </cell>
        </row>
        <row r="442">
          <cell r="A442">
            <v>60010876</v>
          </cell>
          <cell r="D442" t="str">
            <v>CR</v>
          </cell>
          <cell r="E442" t="str">
            <v>SPCEN-SD</v>
          </cell>
          <cell r="F442">
            <v>0.7</v>
          </cell>
          <cell r="G442">
            <v>90</v>
          </cell>
          <cell r="H442" t="str">
            <v>C</v>
          </cell>
          <cell r="I442" t="str">
            <v>CS01/2</v>
          </cell>
          <cell r="J442">
            <v>60010876</v>
          </cell>
          <cell r="K442">
            <v>720</v>
          </cell>
        </row>
        <row r="443">
          <cell r="A443">
            <v>60010879</v>
          </cell>
          <cell r="D443" t="str">
            <v>CR</v>
          </cell>
          <cell r="E443" t="str">
            <v>SPCEN-SD</v>
          </cell>
          <cell r="F443">
            <v>0.7</v>
          </cell>
          <cell r="G443">
            <v>90</v>
          </cell>
          <cell r="H443" t="str">
            <v>C</v>
          </cell>
          <cell r="I443" t="str">
            <v>CS01/2</v>
          </cell>
          <cell r="J443">
            <v>60010879</v>
          </cell>
          <cell r="K443">
            <v>750</v>
          </cell>
        </row>
        <row r="444">
          <cell r="A444">
            <v>60011302</v>
          </cell>
          <cell r="D444" t="str">
            <v>CR</v>
          </cell>
          <cell r="E444" t="str">
            <v>SPCEN-SD</v>
          </cell>
          <cell r="F444">
            <v>0.8</v>
          </cell>
          <cell r="G444">
            <v>70</v>
          </cell>
          <cell r="H444" t="str">
            <v>C</v>
          </cell>
          <cell r="I444" t="str">
            <v>CS01/2</v>
          </cell>
          <cell r="J444">
            <v>60011302</v>
          </cell>
          <cell r="K444">
            <v>280</v>
          </cell>
        </row>
        <row r="445">
          <cell r="A445">
            <v>60011311</v>
          </cell>
          <cell r="D445" t="str">
            <v>CR</v>
          </cell>
          <cell r="E445" t="str">
            <v>SPCEN-SD</v>
          </cell>
          <cell r="F445">
            <v>0.7</v>
          </cell>
          <cell r="G445">
            <v>90</v>
          </cell>
          <cell r="H445" t="str">
            <v>C</v>
          </cell>
          <cell r="I445" t="str">
            <v>CS01/2</v>
          </cell>
          <cell r="J445">
            <v>60011311</v>
          </cell>
          <cell r="K445">
            <v>740</v>
          </cell>
        </row>
        <row r="446">
          <cell r="A446">
            <v>60011312</v>
          </cell>
          <cell r="D446" t="str">
            <v>CR</v>
          </cell>
          <cell r="E446" t="str">
            <v>SPCEN-SD</v>
          </cell>
          <cell r="F446">
            <v>0.7</v>
          </cell>
          <cell r="G446">
            <v>90</v>
          </cell>
          <cell r="H446" t="str">
            <v>C</v>
          </cell>
          <cell r="I446" t="str">
            <v>CS01/2</v>
          </cell>
          <cell r="J446">
            <v>60011312</v>
          </cell>
          <cell r="K446">
            <v>740</v>
          </cell>
        </row>
        <row r="447">
          <cell r="A447">
            <v>60011321</v>
          </cell>
          <cell r="D447" t="str">
            <v>CR</v>
          </cell>
          <cell r="E447" t="str">
            <v>SPCEN-SD</v>
          </cell>
          <cell r="F447">
            <v>2</v>
          </cell>
          <cell r="G447">
            <v>70</v>
          </cell>
          <cell r="H447" t="str">
            <v>C</v>
          </cell>
          <cell r="I447" t="str">
            <v>CS01/10</v>
          </cell>
          <cell r="J447">
            <v>60011321</v>
          </cell>
          <cell r="K447">
            <v>125</v>
          </cell>
        </row>
        <row r="448">
          <cell r="A448">
            <v>60011462</v>
          </cell>
          <cell r="D448" t="str">
            <v>CR</v>
          </cell>
          <cell r="E448" t="str">
            <v>SPCEN-SD</v>
          </cell>
          <cell r="F448">
            <v>0.7</v>
          </cell>
          <cell r="G448">
            <v>90</v>
          </cell>
          <cell r="H448" t="str">
            <v>C</v>
          </cell>
          <cell r="I448" t="str">
            <v>CS01/1</v>
          </cell>
          <cell r="J448">
            <v>60011462</v>
          </cell>
          <cell r="K448">
            <v>390</v>
          </cell>
        </row>
        <row r="449">
          <cell r="A449">
            <v>60011655</v>
          </cell>
          <cell r="D449" t="str">
            <v>CR</v>
          </cell>
          <cell r="E449" t="str">
            <v>SPCC-SD</v>
          </cell>
          <cell r="F449">
            <v>0.6</v>
          </cell>
          <cell r="G449">
            <v>95</v>
          </cell>
          <cell r="H449" t="str">
            <v>C</v>
          </cell>
          <cell r="I449" t="str">
            <v>CS01/2</v>
          </cell>
          <cell r="J449">
            <v>60011655</v>
          </cell>
          <cell r="K449">
            <v>685</v>
          </cell>
        </row>
        <row r="450">
          <cell r="A450">
            <v>60011660</v>
          </cell>
          <cell r="D450" t="str">
            <v>CR</v>
          </cell>
          <cell r="E450" t="str">
            <v>SPCC-SD</v>
          </cell>
          <cell r="F450">
            <v>0.6</v>
          </cell>
          <cell r="G450">
            <v>95</v>
          </cell>
          <cell r="H450" t="str">
            <v>C</v>
          </cell>
          <cell r="I450" t="str">
            <v>CS01/2</v>
          </cell>
          <cell r="J450">
            <v>60011660</v>
          </cell>
          <cell r="K450">
            <v>535</v>
          </cell>
        </row>
        <row r="451">
          <cell r="A451">
            <v>60011820</v>
          </cell>
          <cell r="D451" t="str">
            <v>CR</v>
          </cell>
          <cell r="E451" t="str">
            <v>SPCC-SD</v>
          </cell>
          <cell r="F451">
            <v>2.2999999999999998</v>
          </cell>
          <cell r="G451">
            <v>42</v>
          </cell>
          <cell r="H451" t="str">
            <v>C</v>
          </cell>
          <cell r="I451" t="str">
            <v>CS01/2</v>
          </cell>
          <cell r="J451">
            <v>60011820</v>
          </cell>
          <cell r="K451">
            <v>145</v>
          </cell>
        </row>
        <row r="452">
          <cell r="A452">
            <v>60011976</v>
          </cell>
          <cell r="D452" t="str">
            <v>CR</v>
          </cell>
          <cell r="E452" t="str">
            <v>SPCC-SD</v>
          </cell>
          <cell r="F452">
            <v>2.2999999999999998</v>
          </cell>
          <cell r="G452">
            <v>42</v>
          </cell>
          <cell r="H452" t="str">
            <v>C</v>
          </cell>
          <cell r="I452" t="str">
            <v>CS01/2</v>
          </cell>
          <cell r="J452">
            <v>60011976</v>
          </cell>
          <cell r="K452">
            <v>235</v>
          </cell>
        </row>
        <row r="453">
          <cell r="A453">
            <v>60011992</v>
          </cell>
          <cell r="D453" t="str">
            <v>CR</v>
          </cell>
          <cell r="E453" t="str">
            <v>SPCC-SD</v>
          </cell>
          <cell r="F453">
            <v>2.2999999999999998</v>
          </cell>
          <cell r="G453">
            <v>42</v>
          </cell>
          <cell r="H453" t="str">
            <v>C</v>
          </cell>
          <cell r="I453" t="str">
            <v>CS01/2</v>
          </cell>
          <cell r="J453">
            <v>60011992</v>
          </cell>
          <cell r="K453">
            <v>220</v>
          </cell>
        </row>
        <row r="454">
          <cell r="A454">
            <v>60012052</v>
          </cell>
          <cell r="B454" t="str">
            <v>CR SPCC-SD 1.0x45xC</v>
          </cell>
          <cell r="C454" t="str">
            <v>CR SPCC-SD</v>
          </cell>
          <cell r="D454" t="str">
            <v>CR</v>
          </cell>
          <cell r="E454" t="str">
            <v>SPCC-SD</v>
          </cell>
          <cell r="F454">
            <v>1</v>
          </cell>
          <cell r="G454">
            <v>45</v>
          </cell>
          <cell r="H454" t="str">
            <v>C</v>
          </cell>
          <cell r="I454" t="str">
            <v>CS01/2</v>
          </cell>
          <cell r="J454">
            <v>60012052</v>
          </cell>
          <cell r="K454">
            <v>270</v>
          </cell>
          <cell r="L454" t="str">
            <v>E1-ND-06-TSA-0362</v>
          </cell>
        </row>
        <row r="455">
          <cell r="A455">
            <v>60012241</v>
          </cell>
          <cell r="D455" t="str">
            <v>CR</v>
          </cell>
          <cell r="E455" t="str">
            <v>SPCEN-SD</v>
          </cell>
          <cell r="F455">
            <v>2</v>
          </cell>
          <cell r="G455">
            <v>70</v>
          </cell>
          <cell r="H455" t="str">
            <v>C</v>
          </cell>
          <cell r="I455" t="str">
            <v>CS01/2</v>
          </cell>
          <cell r="J455">
            <v>60012241</v>
          </cell>
          <cell r="K455">
            <v>385</v>
          </cell>
        </row>
        <row r="456">
          <cell r="A456">
            <v>60012268</v>
          </cell>
          <cell r="B456" t="str">
            <v>CR SPCC-SD 1.0x45xC</v>
          </cell>
          <cell r="C456" t="str">
            <v>CR SPCC-SD</v>
          </cell>
          <cell r="D456" t="str">
            <v>CR</v>
          </cell>
          <cell r="E456" t="str">
            <v>SPCC-SD</v>
          </cell>
          <cell r="F456">
            <v>1</v>
          </cell>
          <cell r="G456">
            <v>45</v>
          </cell>
          <cell r="H456" t="str">
            <v>C</v>
          </cell>
          <cell r="I456" t="str">
            <v>CS01/1</v>
          </cell>
          <cell r="J456">
            <v>60012268</v>
          </cell>
          <cell r="K456">
            <v>340</v>
          </cell>
          <cell r="L456" t="str">
            <v>E1-ND-06-TSA-0362</v>
          </cell>
        </row>
        <row r="457">
          <cell r="A457">
            <v>60012330</v>
          </cell>
          <cell r="B457" t="str">
            <v>CR SPCC-SD 1.0x45xC</v>
          </cell>
          <cell r="C457" t="str">
            <v>CR SPCC-SD</v>
          </cell>
          <cell r="D457" t="str">
            <v>CR</v>
          </cell>
          <cell r="E457" t="str">
            <v>SPCC-SD</v>
          </cell>
          <cell r="F457">
            <v>1</v>
          </cell>
          <cell r="G457">
            <v>45</v>
          </cell>
          <cell r="H457" t="str">
            <v>C</v>
          </cell>
          <cell r="I457" t="str">
            <v>CS01/2</v>
          </cell>
          <cell r="J457">
            <v>60012330</v>
          </cell>
          <cell r="K457">
            <v>165</v>
          </cell>
          <cell r="L457" t="str">
            <v>E1-ND-06-TSA-0362</v>
          </cell>
        </row>
        <row r="458">
          <cell r="A458">
            <v>60012331</v>
          </cell>
          <cell r="B458" t="str">
            <v>CR SPCC-SD 1.0x45xC</v>
          </cell>
          <cell r="C458" t="str">
            <v>CR SPCC-SD</v>
          </cell>
          <cell r="D458" t="str">
            <v>CR</v>
          </cell>
          <cell r="E458" t="str">
            <v>SPCC-SD</v>
          </cell>
          <cell r="F458">
            <v>1</v>
          </cell>
          <cell r="G458">
            <v>45</v>
          </cell>
          <cell r="H458" t="str">
            <v>C</v>
          </cell>
          <cell r="I458" t="str">
            <v>CS01/2</v>
          </cell>
          <cell r="J458">
            <v>60012331</v>
          </cell>
          <cell r="K458">
            <v>165</v>
          </cell>
          <cell r="L458" t="str">
            <v>E1-ND-06-TSA-0362</v>
          </cell>
        </row>
        <row r="459">
          <cell r="A459">
            <v>60012375</v>
          </cell>
          <cell r="D459" t="str">
            <v>CR</v>
          </cell>
          <cell r="E459" t="str">
            <v>SPCEN-SD</v>
          </cell>
          <cell r="F459">
            <v>0.7</v>
          </cell>
          <cell r="G459">
            <v>90</v>
          </cell>
          <cell r="H459" t="str">
            <v>C</v>
          </cell>
          <cell r="I459" t="str">
            <v>CS01/2</v>
          </cell>
          <cell r="J459">
            <v>60012375</v>
          </cell>
          <cell r="K459">
            <v>745</v>
          </cell>
        </row>
        <row r="460">
          <cell r="A460">
            <v>60012478</v>
          </cell>
          <cell r="D460" t="str">
            <v>CR</v>
          </cell>
          <cell r="E460" t="str">
            <v>SPCC-SD</v>
          </cell>
          <cell r="F460">
            <v>2.2999999999999998</v>
          </cell>
          <cell r="G460">
            <v>42</v>
          </cell>
          <cell r="H460" t="str">
            <v>C</v>
          </cell>
          <cell r="I460" t="str">
            <v>CS01/2</v>
          </cell>
          <cell r="J460">
            <v>60012478</v>
          </cell>
          <cell r="K460">
            <v>170</v>
          </cell>
        </row>
        <row r="461">
          <cell r="A461">
            <v>60012479</v>
          </cell>
          <cell r="D461" t="str">
            <v>CR</v>
          </cell>
          <cell r="E461" t="str">
            <v>SPCC-SD</v>
          </cell>
          <cell r="F461">
            <v>2.2999999999999998</v>
          </cell>
          <cell r="G461">
            <v>42</v>
          </cell>
          <cell r="H461" t="str">
            <v>C</v>
          </cell>
          <cell r="I461" t="str">
            <v>CS01/2</v>
          </cell>
          <cell r="J461">
            <v>60012479</v>
          </cell>
          <cell r="K461">
            <v>170</v>
          </cell>
        </row>
        <row r="462">
          <cell r="A462">
            <v>60012480</v>
          </cell>
          <cell r="D462" t="str">
            <v>CR</v>
          </cell>
          <cell r="E462" t="str">
            <v>SPCC-SD</v>
          </cell>
          <cell r="F462">
            <v>2.2999999999999998</v>
          </cell>
          <cell r="G462">
            <v>42</v>
          </cell>
          <cell r="H462" t="str">
            <v>C</v>
          </cell>
          <cell r="I462" t="str">
            <v>CS01/2</v>
          </cell>
          <cell r="J462">
            <v>60012480</v>
          </cell>
          <cell r="K462">
            <v>170</v>
          </cell>
        </row>
        <row r="463">
          <cell r="A463">
            <v>60012487</v>
          </cell>
          <cell r="D463" t="str">
            <v>CR</v>
          </cell>
          <cell r="E463" t="str">
            <v>SPCC-SD</v>
          </cell>
          <cell r="F463">
            <v>2.2999999999999998</v>
          </cell>
          <cell r="G463">
            <v>42</v>
          </cell>
          <cell r="H463" t="str">
            <v>C</v>
          </cell>
          <cell r="I463" t="str">
            <v>CS01/2</v>
          </cell>
          <cell r="J463">
            <v>60012487</v>
          </cell>
          <cell r="K463">
            <v>185</v>
          </cell>
        </row>
        <row r="464">
          <cell r="A464">
            <v>60012599</v>
          </cell>
          <cell r="D464" t="str">
            <v>CR</v>
          </cell>
          <cell r="E464" t="str">
            <v>SPCEN-SD</v>
          </cell>
          <cell r="F464">
            <v>1.6</v>
          </cell>
          <cell r="G464">
            <v>82</v>
          </cell>
          <cell r="H464" t="str">
            <v>C</v>
          </cell>
          <cell r="I464" t="str">
            <v>CS01/2</v>
          </cell>
          <cell r="J464">
            <v>60012599</v>
          </cell>
          <cell r="K464">
            <v>640</v>
          </cell>
        </row>
        <row r="465">
          <cell r="A465">
            <v>60012734</v>
          </cell>
          <cell r="D465" t="str">
            <v>CR</v>
          </cell>
          <cell r="E465" t="str">
            <v>SPCEN-SD</v>
          </cell>
          <cell r="F465">
            <v>1</v>
          </cell>
          <cell r="G465">
            <v>41</v>
          </cell>
          <cell r="H465" t="str">
            <v>C</v>
          </cell>
          <cell r="I465" t="str">
            <v>CS01/2</v>
          </cell>
          <cell r="J465">
            <v>60012734</v>
          </cell>
          <cell r="K465">
            <v>300</v>
          </cell>
        </row>
        <row r="466">
          <cell r="A466">
            <v>60012736</v>
          </cell>
          <cell r="D466" t="str">
            <v>CR</v>
          </cell>
          <cell r="E466" t="str">
            <v>SPCEN-SD</v>
          </cell>
          <cell r="F466">
            <v>1</v>
          </cell>
          <cell r="G466">
            <v>41</v>
          </cell>
          <cell r="H466" t="str">
            <v>C</v>
          </cell>
          <cell r="I466" t="str">
            <v>CS01/2</v>
          </cell>
          <cell r="J466">
            <v>60012736</v>
          </cell>
          <cell r="K466">
            <v>315</v>
          </cell>
        </row>
        <row r="467">
          <cell r="A467">
            <v>60012759</v>
          </cell>
          <cell r="D467" t="str">
            <v>CR</v>
          </cell>
          <cell r="E467" t="str">
            <v>SPCEN-SD</v>
          </cell>
          <cell r="F467">
            <v>1.6</v>
          </cell>
          <cell r="G467">
            <v>82</v>
          </cell>
          <cell r="H467" t="str">
            <v>C</v>
          </cell>
          <cell r="I467" t="str">
            <v>CS01/2</v>
          </cell>
          <cell r="J467">
            <v>60012759</v>
          </cell>
          <cell r="K467">
            <v>525</v>
          </cell>
        </row>
        <row r="468">
          <cell r="A468">
            <v>60012770</v>
          </cell>
          <cell r="D468" t="str">
            <v>CR</v>
          </cell>
          <cell r="E468" t="str">
            <v>SPCEN-SD</v>
          </cell>
          <cell r="F468">
            <v>1.6</v>
          </cell>
          <cell r="G468">
            <v>82</v>
          </cell>
          <cell r="H468" t="str">
            <v>C</v>
          </cell>
          <cell r="I468" t="str">
            <v>CS01/2</v>
          </cell>
          <cell r="J468">
            <v>60012770</v>
          </cell>
          <cell r="K468">
            <v>265</v>
          </cell>
        </row>
        <row r="469">
          <cell r="A469">
            <v>60012771</v>
          </cell>
          <cell r="D469" t="str">
            <v>CR</v>
          </cell>
          <cell r="E469" t="str">
            <v>SPCEN-SD</v>
          </cell>
          <cell r="F469">
            <v>1.6</v>
          </cell>
          <cell r="G469">
            <v>82</v>
          </cell>
          <cell r="H469" t="str">
            <v>C</v>
          </cell>
          <cell r="I469" t="str">
            <v>CS01/2</v>
          </cell>
          <cell r="J469">
            <v>60012771</v>
          </cell>
          <cell r="K469">
            <v>265</v>
          </cell>
        </row>
        <row r="470">
          <cell r="A470">
            <v>60013101</v>
          </cell>
          <cell r="D470" t="str">
            <v>CR</v>
          </cell>
          <cell r="E470" t="str">
            <v>SPCC-SD</v>
          </cell>
          <cell r="F470">
            <v>2.2999999999999998</v>
          </cell>
          <cell r="G470">
            <v>42</v>
          </cell>
          <cell r="H470" t="str">
            <v>C</v>
          </cell>
          <cell r="I470" t="str">
            <v>CS01/2</v>
          </cell>
          <cell r="J470">
            <v>60013101</v>
          </cell>
          <cell r="K470">
            <v>230</v>
          </cell>
        </row>
        <row r="471">
          <cell r="A471">
            <v>60013263</v>
          </cell>
          <cell r="D471" t="str">
            <v>CR</v>
          </cell>
          <cell r="E471" t="str">
            <v>SPCEN-SD</v>
          </cell>
          <cell r="F471">
            <v>1</v>
          </cell>
          <cell r="G471">
            <v>41</v>
          </cell>
          <cell r="H471" t="str">
            <v>C</v>
          </cell>
          <cell r="I471" t="str">
            <v>CS01/2</v>
          </cell>
          <cell r="J471">
            <v>60013263</v>
          </cell>
          <cell r="K471">
            <v>140</v>
          </cell>
        </row>
        <row r="472">
          <cell r="A472">
            <v>60013264</v>
          </cell>
          <cell r="D472" t="str">
            <v>CR</v>
          </cell>
          <cell r="E472" t="str">
            <v>SPCEN-SD</v>
          </cell>
          <cell r="F472">
            <v>1</v>
          </cell>
          <cell r="G472">
            <v>41</v>
          </cell>
          <cell r="H472" t="str">
            <v>C</v>
          </cell>
          <cell r="I472" t="str">
            <v>CS01/2</v>
          </cell>
          <cell r="J472">
            <v>60013264</v>
          </cell>
          <cell r="K472">
            <v>140</v>
          </cell>
        </row>
        <row r="473">
          <cell r="A473">
            <v>60013380</v>
          </cell>
          <cell r="D473" t="str">
            <v>CR</v>
          </cell>
          <cell r="E473" t="str">
            <v>SPCC-SD</v>
          </cell>
          <cell r="F473">
            <v>0.6</v>
          </cell>
          <cell r="G473">
            <v>95</v>
          </cell>
          <cell r="H473" t="str">
            <v>C</v>
          </cell>
          <cell r="I473" t="str">
            <v>CS01/2</v>
          </cell>
          <cell r="J473">
            <v>60013380</v>
          </cell>
          <cell r="K473">
            <v>515</v>
          </cell>
        </row>
        <row r="474">
          <cell r="A474">
            <v>60013436</v>
          </cell>
          <cell r="B474" t="str">
            <v>CR SPCC-SD 1.0x45xC</v>
          </cell>
          <cell r="C474" t="str">
            <v>CR SPCC-SD</v>
          </cell>
          <cell r="D474" t="str">
            <v>CR</v>
          </cell>
          <cell r="E474" t="str">
            <v>SPCC-SD</v>
          </cell>
          <cell r="F474">
            <v>1</v>
          </cell>
          <cell r="G474">
            <v>45</v>
          </cell>
          <cell r="H474" t="str">
            <v>C</v>
          </cell>
          <cell r="I474" t="str">
            <v>CS01/1</v>
          </cell>
          <cell r="J474">
            <v>60013436</v>
          </cell>
          <cell r="K474">
            <v>300</v>
          </cell>
          <cell r="L474" t="str">
            <v>E1-ND-06-TSA-0362</v>
          </cell>
        </row>
        <row r="475">
          <cell r="A475">
            <v>60013935</v>
          </cell>
          <cell r="D475" t="str">
            <v>PO</v>
          </cell>
          <cell r="E475" t="str">
            <v>SPHC P/O</v>
          </cell>
          <cell r="F475">
            <v>3.2</v>
          </cell>
          <cell r="G475">
            <v>66</v>
          </cell>
          <cell r="H475" t="str">
            <v>C</v>
          </cell>
          <cell r="I475" t="str">
            <v>CS01/2</v>
          </cell>
          <cell r="J475">
            <v>60013935</v>
          </cell>
          <cell r="K475">
            <v>355</v>
          </cell>
        </row>
        <row r="476">
          <cell r="A476">
            <v>60013943</v>
          </cell>
          <cell r="D476" t="str">
            <v>PO</v>
          </cell>
          <cell r="E476" t="str">
            <v>SPHC P/O</v>
          </cell>
          <cell r="F476">
            <v>3.2</v>
          </cell>
          <cell r="G476">
            <v>66</v>
          </cell>
          <cell r="H476" t="str">
            <v>C</v>
          </cell>
          <cell r="I476" t="str">
            <v>CS01/2</v>
          </cell>
          <cell r="J476">
            <v>60013943</v>
          </cell>
          <cell r="K476">
            <v>360</v>
          </cell>
        </row>
        <row r="477">
          <cell r="A477">
            <v>60014601</v>
          </cell>
          <cell r="D477" t="str">
            <v>CR</v>
          </cell>
          <cell r="E477" t="str">
            <v>SPCC-SD</v>
          </cell>
          <cell r="F477">
            <v>0.8</v>
          </cell>
          <cell r="G477">
            <v>128</v>
          </cell>
          <cell r="H477" t="str">
            <v>C</v>
          </cell>
          <cell r="I477" t="str">
            <v>WIP</v>
          </cell>
          <cell r="J477">
            <v>60014601</v>
          </cell>
          <cell r="K477">
            <v>338</v>
          </cell>
        </row>
        <row r="478">
          <cell r="A478">
            <v>60015907</v>
          </cell>
          <cell r="D478" t="str">
            <v>CR</v>
          </cell>
          <cell r="E478" t="str">
            <v>SPCEN-SD</v>
          </cell>
          <cell r="F478">
            <v>0.7</v>
          </cell>
          <cell r="G478">
            <v>90</v>
          </cell>
          <cell r="H478" t="str">
            <v>C</v>
          </cell>
          <cell r="I478" t="str">
            <v>CS01/2</v>
          </cell>
          <cell r="J478">
            <v>60015907</v>
          </cell>
          <cell r="K478">
            <v>275</v>
          </cell>
        </row>
        <row r="479">
          <cell r="A479">
            <v>60015975</v>
          </cell>
          <cell r="D479" t="str">
            <v>CR</v>
          </cell>
          <cell r="E479" t="str">
            <v>SPCEN-SD</v>
          </cell>
          <cell r="F479">
            <v>0.7</v>
          </cell>
          <cell r="G479">
            <v>90</v>
          </cell>
          <cell r="H479" t="str">
            <v>C</v>
          </cell>
          <cell r="I479" t="str">
            <v>CS01/11</v>
          </cell>
          <cell r="J479">
            <v>60015975</v>
          </cell>
          <cell r="K479">
            <v>480</v>
          </cell>
        </row>
        <row r="480">
          <cell r="A480">
            <v>60017254</v>
          </cell>
          <cell r="D480" t="str">
            <v>CR</v>
          </cell>
          <cell r="E480" t="str">
            <v>SPCEN-SD</v>
          </cell>
          <cell r="F480">
            <v>0.7</v>
          </cell>
          <cell r="G480">
            <v>90</v>
          </cell>
          <cell r="H480" t="str">
            <v>C</v>
          </cell>
          <cell r="I480" t="str">
            <v>CS01/1</v>
          </cell>
          <cell r="J480">
            <v>60017254</v>
          </cell>
          <cell r="K480">
            <v>730</v>
          </cell>
        </row>
        <row r="481">
          <cell r="A481">
            <v>60017505</v>
          </cell>
          <cell r="D481" t="str">
            <v>CR</v>
          </cell>
          <cell r="E481" t="str">
            <v>SPCEN-SD</v>
          </cell>
          <cell r="F481">
            <v>0.7</v>
          </cell>
          <cell r="G481">
            <v>90</v>
          </cell>
          <cell r="H481" t="str">
            <v>C</v>
          </cell>
          <cell r="I481" t="str">
            <v>CS01/1</v>
          </cell>
          <cell r="J481">
            <v>60017505</v>
          </cell>
          <cell r="K481">
            <v>610</v>
          </cell>
        </row>
        <row r="482">
          <cell r="A482">
            <v>60017822</v>
          </cell>
          <cell r="D482" t="str">
            <v>PO</v>
          </cell>
          <cell r="E482" t="str">
            <v>SAPH440 P/O</v>
          </cell>
          <cell r="F482">
            <v>4.5</v>
          </cell>
          <cell r="G482">
            <v>50</v>
          </cell>
          <cell r="H482" t="str">
            <v>C</v>
          </cell>
          <cell r="I482" t="str">
            <v>CS01/2</v>
          </cell>
          <cell r="J482">
            <v>60017822</v>
          </cell>
          <cell r="K482">
            <v>289</v>
          </cell>
        </row>
        <row r="483">
          <cell r="A483">
            <v>60017823</v>
          </cell>
          <cell r="D483" t="str">
            <v>PO</v>
          </cell>
          <cell r="E483" t="str">
            <v>SAPH440 P/O</v>
          </cell>
          <cell r="F483">
            <v>4.5</v>
          </cell>
          <cell r="G483">
            <v>50</v>
          </cell>
          <cell r="H483" t="str">
            <v>C</v>
          </cell>
          <cell r="I483" t="str">
            <v>CS01/2</v>
          </cell>
          <cell r="J483">
            <v>60017823</v>
          </cell>
          <cell r="K483">
            <v>296</v>
          </cell>
        </row>
        <row r="484">
          <cell r="A484">
            <v>60017824</v>
          </cell>
          <cell r="D484" t="str">
            <v>PO</v>
          </cell>
          <cell r="E484" t="str">
            <v>SAPH440 P/O</v>
          </cell>
          <cell r="F484">
            <v>4.5</v>
          </cell>
          <cell r="G484">
            <v>50</v>
          </cell>
          <cell r="H484" t="str">
            <v>C</v>
          </cell>
          <cell r="I484" t="str">
            <v>CS01/2</v>
          </cell>
          <cell r="J484">
            <v>60017824</v>
          </cell>
          <cell r="K484">
            <v>296</v>
          </cell>
        </row>
        <row r="485">
          <cell r="A485">
            <v>60017825</v>
          </cell>
          <cell r="D485" t="str">
            <v>PO</v>
          </cell>
          <cell r="E485" t="str">
            <v>SAPH440 P/O</v>
          </cell>
          <cell r="F485">
            <v>4.5</v>
          </cell>
          <cell r="G485">
            <v>50</v>
          </cell>
          <cell r="H485" t="str">
            <v>C</v>
          </cell>
          <cell r="I485" t="str">
            <v>CS01/2</v>
          </cell>
          <cell r="J485">
            <v>60017825</v>
          </cell>
          <cell r="K485">
            <v>395</v>
          </cell>
        </row>
        <row r="486">
          <cell r="A486">
            <v>60017838</v>
          </cell>
          <cell r="D486" t="str">
            <v>PO</v>
          </cell>
          <cell r="E486" t="str">
            <v>SAPH440 P/O</v>
          </cell>
          <cell r="F486">
            <v>4.5</v>
          </cell>
          <cell r="G486">
            <v>70</v>
          </cell>
          <cell r="H486" t="str">
            <v>C</v>
          </cell>
          <cell r="I486" t="str">
            <v>CS01/3</v>
          </cell>
          <cell r="J486">
            <v>60017838</v>
          </cell>
          <cell r="K486">
            <v>1106</v>
          </cell>
        </row>
        <row r="487">
          <cell r="A487">
            <v>60018063</v>
          </cell>
          <cell r="D487" t="str">
            <v>CR</v>
          </cell>
          <cell r="E487" t="str">
            <v>SPCEN-SD</v>
          </cell>
          <cell r="F487">
            <v>1.6</v>
          </cell>
          <cell r="G487">
            <v>82</v>
          </cell>
          <cell r="H487" t="str">
            <v>C</v>
          </cell>
          <cell r="I487" t="str">
            <v>CS01/2</v>
          </cell>
          <cell r="J487">
            <v>60018063</v>
          </cell>
          <cell r="K487">
            <v>345</v>
          </cell>
        </row>
        <row r="488">
          <cell r="A488">
            <v>60018067</v>
          </cell>
          <cell r="D488" t="str">
            <v>CR</v>
          </cell>
          <cell r="E488" t="str">
            <v>SPCEN-SD</v>
          </cell>
          <cell r="F488">
            <v>1.6</v>
          </cell>
          <cell r="G488">
            <v>82</v>
          </cell>
          <cell r="H488" t="str">
            <v>C</v>
          </cell>
          <cell r="I488" t="str">
            <v>CS01/2</v>
          </cell>
          <cell r="J488">
            <v>60018067</v>
          </cell>
          <cell r="K488">
            <v>345</v>
          </cell>
        </row>
        <row r="489">
          <cell r="A489">
            <v>60018276</v>
          </cell>
          <cell r="D489" t="str">
            <v>PO</v>
          </cell>
          <cell r="E489" t="str">
            <v>SPHC P/O</v>
          </cell>
          <cell r="F489">
            <v>1.8</v>
          </cell>
          <cell r="G489">
            <v>185</v>
          </cell>
          <cell r="H489" t="str">
            <v>C</v>
          </cell>
          <cell r="I489" t="str">
            <v>WIP</v>
          </cell>
          <cell r="J489">
            <v>60018276</v>
          </cell>
          <cell r="K489">
            <v>1730</v>
          </cell>
        </row>
        <row r="490">
          <cell r="A490">
            <v>60018363</v>
          </cell>
          <cell r="D490" t="str">
            <v>CR</v>
          </cell>
          <cell r="E490" t="str">
            <v>SPCEN-SD</v>
          </cell>
          <cell r="F490">
            <v>0.7</v>
          </cell>
          <cell r="G490">
            <v>90</v>
          </cell>
          <cell r="H490" t="str">
            <v>C</v>
          </cell>
          <cell r="I490" t="str">
            <v>CS01/1</v>
          </cell>
          <cell r="J490">
            <v>60018363</v>
          </cell>
          <cell r="K490">
            <v>750</v>
          </cell>
        </row>
        <row r="491">
          <cell r="A491">
            <v>60018641</v>
          </cell>
          <cell r="D491" t="str">
            <v>CR</v>
          </cell>
          <cell r="E491" t="str">
            <v>SPCEN-SD</v>
          </cell>
          <cell r="F491">
            <v>1.6</v>
          </cell>
          <cell r="G491">
            <v>82</v>
          </cell>
          <cell r="H491" t="str">
            <v>C</v>
          </cell>
          <cell r="I491" t="str">
            <v>CS01/1</v>
          </cell>
          <cell r="J491">
            <v>60018641</v>
          </cell>
          <cell r="K491">
            <v>450</v>
          </cell>
        </row>
        <row r="492">
          <cell r="A492">
            <v>60019174</v>
          </cell>
          <cell r="D492" t="str">
            <v>CR</v>
          </cell>
          <cell r="E492" t="str">
            <v>SPCEN-SD</v>
          </cell>
          <cell r="F492">
            <v>0.8</v>
          </cell>
          <cell r="G492">
            <v>64</v>
          </cell>
          <cell r="H492" t="str">
            <v>C</v>
          </cell>
          <cell r="I492" t="str">
            <v>CS01/2</v>
          </cell>
          <cell r="J492">
            <v>60019174</v>
          </cell>
          <cell r="K492">
            <v>160</v>
          </cell>
        </row>
        <row r="493">
          <cell r="A493">
            <v>60019175</v>
          </cell>
          <cell r="D493" t="str">
            <v>CR</v>
          </cell>
          <cell r="E493" t="str">
            <v>SPCEN-SD</v>
          </cell>
          <cell r="F493">
            <v>0.8</v>
          </cell>
          <cell r="G493">
            <v>64</v>
          </cell>
          <cell r="H493" t="str">
            <v>C</v>
          </cell>
          <cell r="I493" t="str">
            <v>CS01/2</v>
          </cell>
          <cell r="J493">
            <v>60019175</v>
          </cell>
          <cell r="K493">
            <v>160</v>
          </cell>
        </row>
        <row r="494">
          <cell r="A494">
            <v>60019176</v>
          </cell>
          <cell r="D494" t="str">
            <v>CR</v>
          </cell>
          <cell r="E494" t="str">
            <v>SPCEN-SD</v>
          </cell>
          <cell r="F494">
            <v>0.8</v>
          </cell>
          <cell r="G494">
            <v>64</v>
          </cell>
          <cell r="H494" t="str">
            <v>C</v>
          </cell>
          <cell r="I494" t="str">
            <v>CS01/2</v>
          </cell>
          <cell r="J494">
            <v>60019176</v>
          </cell>
          <cell r="K494">
            <v>160</v>
          </cell>
        </row>
        <row r="495">
          <cell r="A495">
            <v>60019197</v>
          </cell>
          <cell r="D495" t="str">
            <v>CR</v>
          </cell>
          <cell r="E495" t="str">
            <v>SPCEN-SD</v>
          </cell>
          <cell r="F495">
            <v>0.7</v>
          </cell>
          <cell r="G495">
            <v>90</v>
          </cell>
          <cell r="H495" t="str">
            <v>C</v>
          </cell>
          <cell r="I495" t="str">
            <v>CS01/1</v>
          </cell>
          <cell r="J495">
            <v>60019197</v>
          </cell>
          <cell r="K495">
            <v>670</v>
          </cell>
        </row>
        <row r="496">
          <cell r="A496">
            <v>60019757</v>
          </cell>
          <cell r="D496" t="str">
            <v>PO</v>
          </cell>
          <cell r="E496" t="str">
            <v>SPHC P/O</v>
          </cell>
          <cell r="F496">
            <v>2.2999999999999998</v>
          </cell>
          <cell r="G496">
            <v>53</v>
          </cell>
          <cell r="H496" t="str">
            <v>C</v>
          </cell>
          <cell r="I496" t="str">
            <v>CS01/2</v>
          </cell>
          <cell r="J496">
            <v>60019757</v>
          </cell>
          <cell r="K496">
            <v>205</v>
          </cell>
        </row>
        <row r="497">
          <cell r="A497">
            <v>60020235</v>
          </cell>
          <cell r="D497" t="str">
            <v>PO</v>
          </cell>
          <cell r="E497" t="str">
            <v>SPHC P/O</v>
          </cell>
          <cell r="F497">
            <v>2.2999999999999998</v>
          </cell>
          <cell r="G497">
            <v>72</v>
          </cell>
          <cell r="H497" t="str">
            <v>C</v>
          </cell>
          <cell r="I497" t="str">
            <v>CS01/2</v>
          </cell>
          <cell r="J497">
            <v>60020235</v>
          </cell>
          <cell r="K497">
            <v>175</v>
          </cell>
        </row>
        <row r="498">
          <cell r="A498">
            <v>60020238</v>
          </cell>
          <cell r="D498" t="str">
            <v>PO</v>
          </cell>
          <cell r="E498" t="str">
            <v>SPHC P/O</v>
          </cell>
          <cell r="F498">
            <v>2.2999999999999998</v>
          </cell>
          <cell r="G498">
            <v>72</v>
          </cell>
          <cell r="H498" t="str">
            <v>C</v>
          </cell>
          <cell r="I498" t="str">
            <v>CS01/1</v>
          </cell>
          <cell r="J498">
            <v>60020238</v>
          </cell>
          <cell r="K498">
            <v>330</v>
          </cell>
        </row>
        <row r="499">
          <cell r="A499">
            <v>60020799</v>
          </cell>
          <cell r="D499" t="str">
            <v>PO</v>
          </cell>
          <cell r="E499" t="str">
            <v>SPHC P/O</v>
          </cell>
          <cell r="F499">
            <v>2.2999999999999998</v>
          </cell>
          <cell r="G499">
            <v>72</v>
          </cell>
          <cell r="H499" t="str">
            <v>C</v>
          </cell>
          <cell r="I499" t="str">
            <v>CS01/1</v>
          </cell>
          <cell r="J499">
            <v>60020799</v>
          </cell>
          <cell r="K499">
            <v>120</v>
          </cell>
        </row>
        <row r="500">
          <cell r="A500">
            <v>60020973</v>
          </cell>
          <cell r="D500" t="str">
            <v>PO</v>
          </cell>
          <cell r="E500" t="str">
            <v>SPHC P/O</v>
          </cell>
          <cell r="F500">
            <v>1.4</v>
          </cell>
          <cell r="G500">
            <v>69</v>
          </cell>
          <cell r="H500" t="str">
            <v>C</v>
          </cell>
          <cell r="I500" t="str">
            <v>CS01/1</v>
          </cell>
          <cell r="J500">
            <v>60020973</v>
          </cell>
          <cell r="K500">
            <v>285</v>
          </cell>
        </row>
        <row r="501">
          <cell r="A501">
            <v>60021033</v>
          </cell>
          <cell r="D501" t="str">
            <v>CR</v>
          </cell>
          <cell r="E501" t="str">
            <v>SPCEN-SD</v>
          </cell>
          <cell r="F501">
            <v>0.7</v>
          </cell>
          <cell r="G501">
            <v>90</v>
          </cell>
          <cell r="H501" t="str">
            <v>C</v>
          </cell>
          <cell r="I501" t="str">
            <v>CS01/1</v>
          </cell>
          <cell r="J501">
            <v>60021033</v>
          </cell>
          <cell r="K501">
            <v>665</v>
          </cell>
        </row>
        <row r="502">
          <cell r="A502">
            <v>60021036</v>
          </cell>
          <cell r="D502" t="str">
            <v>CR</v>
          </cell>
          <cell r="E502" t="str">
            <v>SPCEN-SD</v>
          </cell>
          <cell r="F502">
            <v>0.7</v>
          </cell>
          <cell r="G502">
            <v>90</v>
          </cell>
          <cell r="H502" t="str">
            <v>C</v>
          </cell>
          <cell r="I502" t="str">
            <v>CS01/1</v>
          </cell>
          <cell r="J502">
            <v>60021036</v>
          </cell>
          <cell r="K502">
            <v>710</v>
          </cell>
        </row>
        <row r="503">
          <cell r="A503">
            <v>60021396</v>
          </cell>
          <cell r="B503" t="str">
            <v>CR SPCC-SD 2.0x52xC</v>
          </cell>
          <cell r="C503" t="str">
            <v>CR SPCC-SD</v>
          </cell>
          <cell r="D503" t="str">
            <v>CR</v>
          </cell>
          <cell r="E503" t="str">
            <v>SPCC-SD</v>
          </cell>
          <cell r="F503">
            <v>2</v>
          </cell>
          <cell r="G503">
            <v>52</v>
          </cell>
          <cell r="H503" t="str">
            <v>C</v>
          </cell>
          <cell r="I503" t="str">
            <v>CS01/2</v>
          </cell>
          <cell r="J503">
            <v>60021396</v>
          </cell>
          <cell r="K503">
            <v>330</v>
          </cell>
          <cell r="L503" t="str">
            <v>E2-ND-06-TSA-0152</v>
          </cell>
        </row>
        <row r="504">
          <cell r="A504">
            <v>60021397</v>
          </cell>
          <cell r="B504" t="str">
            <v>CR SPCC-SD 2.0x52xC</v>
          </cell>
          <cell r="C504" t="str">
            <v>CR SPCC-SD</v>
          </cell>
          <cell r="D504" t="str">
            <v>CR</v>
          </cell>
          <cell r="E504" t="str">
            <v>SPCC-SD</v>
          </cell>
          <cell r="F504">
            <v>2</v>
          </cell>
          <cell r="G504">
            <v>52</v>
          </cell>
          <cell r="H504" t="str">
            <v>C</v>
          </cell>
          <cell r="I504" t="str">
            <v>CS01/2</v>
          </cell>
          <cell r="J504">
            <v>60021397</v>
          </cell>
          <cell r="K504">
            <v>330</v>
          </cell>
          <cell r="L504" t="str">
            <v>E2-ND-06-TSA-0152</v>
          </cell>
        </row>
        <row r="505">
          <cell r="A505">
            <v>60021398</v>
          </cell>
          <cell r="B505" t="str">
            <v>CR SPCC-SD 2.0x52xC</v>
          </cell>
          <cell r="C505" t="str">
            <v>CR SPCC-SD</v>
          </cell>
          <cell r="D505" t="str">
            <v>CR</v>
          </cell>
          <cell r="E505" t="str">
            <v>SPCC-SD</v>
          </cell>
          <cell r="F505">
            <v>2</v>
          </cell>
          <cell r="G505">
            <v>52</v>
          </cell>
          <cell r="H505" t="str">
            <v>C</v>
          </cell>
          <cell r="I505" t="str">
            <v>CS01/2</v>
          </cell>
          <cell r="J505">
            <v>60021398</v>
          </cell>
          <cell r="K505">
            <v>330</v>
          </cell>
          <cell r="L505" t="str">
            <v>E2-ND-06-TSA-0152</v>
          </cell>
        </row>
        <row r="506">
          <cell r="A506">
            <v>60021429</v>
          </cell>
          <cell r="B506" t="str">
            <v>CR SPCC-SD 2.0x98xC</v>
          </cell>
          <cell r="C506" t="str">
            <v>CR SPCC-SD</v>
          </cell>
          <cell r="D506" t="str">
            <v>CR</v>
          </cell>
          <cell r="E506" t="str">
            <v>SPCC-SD</v>
          </cell>
          <cell r="F506">
            <v>2</v>
          </cell>
          <cell r="G506">
            <v>98</v>
          </cell>
          <cell r="H506" t="str">
            <v>C</v>
          </cell>
          <cell r="I506" t="str">
            <v>CS01/2</v>
          </cell>
          <cell r="J506">
            <v>60021429</v>
          </cell>
          <cell r="K506">
            <v>435</v>
          </cell>
          <cell r="L506" t="str">
            <v>E2-ND-06-TSA-0152</v>
          </cell>
        </row>
        <row r="507">
          <cell r="A507">
            <v>60021430</v>
          </cell>
          <cell r="B507" t="str">
            <v>CR SPCC-SD 2.0x98xC</v>
          </cell>
          <cell r="C507" t="str">
            <v>CR SPCC-SD</v>
          </cell>
          <cell r="D507" t="str">
            <v>CR</v>
          </cell>
          <cell r="E507" t="str">
            <v>SPCC-SD</v>
          </cell>
          <cell r="F507">
            <v>2</v>
          </cell>
          <cell r="G507">
            <v>98</v>
          </cell>
          <cell r="H507" t="str">
            <v>C</v>
          </cell>
          <cell r="I507" t="str">
            <v>CS01/2</v>
          </cell>
          <cell r="J507">
            <v>60021430</v>
          </cell>
          <cell r="K507">
            <v>435</v>
          </cell>
          <cell r="L507" t="str">
            <v>E2-ND-06-TSA-0152</v>
          </cell>
        </row>
        <row r="508">
          <cell r="A508">
            <v>60021443</v>
          </cell>
          <cell r="B508" t="str">
            <v>CR SPCC-SD 2.0x98xC</v>
          </cell>
          <cell r="C508" t="str">
            <v>CR SPCC-SD</v>
          </cell>
          <cell r="D508" t="str">
            <v>CR</v>
          </cell>
          <cell r="E508" t="str">
            <v>SPCC-SD</v>
          </cell>
          <cell r="F508">
            <v>2</v>
          </cell>
          <cell r="G508">
            <v>98</v>
          </cell>
          <cell r="H508" t="str">
            <v>C</v>
          </cell>
          <cell r="I508" t="str">
            <v>CS01/2</v>
          </cell>
          <cell r="J508">
            <v>60021443</v>
          </cell>
          <cell r="K508">
            <v>435</v>
          </cell>
          <cell r="L508" t="str">
            <v>E2-ND-06-TSA-0152</v>
          </cell>
        </row>
        <row r="509">
          <cell r="A509">
            <v>60021444</v>
          </cell>
          <cell r="B509" t="str">
            <v>CR SPCC-SD 2.0x98xC</v>
          </cell>
          <cell r="C509" t="str">
            <v>CR SPCC-SD</v>
          </cell>
          <cell r="D509" t="str">
            <v>CR</v>
          </cell>
          <cell r="E509" t="str">
            <v>SPCC-SD</v>
          </cell>
          <cell r="F509">
            <v>2</v>
          </cell>
          <cell r="G509">
            <v>98</v>
          </cell>
          <cell r="H509" t="str">
            <v>C</v>
          </cell>
          <cell r="I509" t="str">
            <v>CS01/2</v>
          </cell>
          <cell r="J509">
            <v>60021444</v>
          </cell>
          <cell r="K509">
            <v>435</v>
          </cell>
          <cell r="L509" t="str">
            <v>E2-ND-06-TSA-0152</v>
          </cell>
        </row>
        <row r="510">
          <cell r="A510">
            <v>60021450</v>
          </cell>
          <cell r="B510" t="str">
            <v>CR SPCC-SD 2.0x98xC</v>
          </cell>
          <cell r="C510" t="str">
            <v>CR SPCC-SD</v>
          </cell>
          <cell r="D510" t="str">
            <v>CR</v>
          </cell>
          <cell r="E510" t="str">
            <v>SPCC-SD</v>
          </cell>
          <cell r="F510">
            <v>2</v>
          </cell>
          <cell r="G510">
            <v>98</v>
          </cell>
          <cell r="H510" t="str">
            <v>C</v>
          </cell>
          <cell r="I510" t="str">
            <v>CS01/2</v>
          </cell>
          <cell r="J510">
            <v>60021450</v>
          </cell>
          <cell r="K510">
            <v>425</v>
          </cell>
          <cell r="L510" t="str">
            <v>E2-ND-06-TSA-0152</v>
          </cell>
        </row>
        <row r="511">
          <cell r="A511">
            <v>60021451</v>
          </cell>
          <cell r="B511" t="str">
            <v>CR SPCC-SD 2.0x98xC</v>
          </cell>
          <cell r="C511" t="str">
            <v>CR SPCC-SD</v>
          </cell>
          <cell r="D511" t="str">
            <v>CR</v>
          </cell>
          <cell r="E511" t="str">
            <v>SPCC-SD</v>
          </cell>
          <cell r="F511">
            <v>2</v>
          </cell>
          <cell r="G511">
            <v>98</v>
          </cell>
          <cell r="H511" t="str">
            <v>C</v>
          </cell>
          <cell r="I511" t="str">
            <v>CS01/2</v>
          </cell>
          <cell r="J511">
            <v>60021451</v>
          </cell>
          <cell r="K511">
            <v>425</v>
          </cell>
          <cell r="L511" t="str">
            <v>E2-ND-06-TSA-0152</v>
          </cell>
        </row>
        <row r="512">
          <cell r="A512">
            <v>60021869</v>
          </cell>
          <cell r="D512" t="str">
            <v>PO</v>
          </cell>
          <cell r="E512" t="str">
            <v>SPHC P/O</v>
          </cell>
          <cell r="F512">
            <v>1.8</v>
          </cell>
          <cell r="G512">
            <v>185</v>
          </cell>
          <cell r="H512" t="str">
            <v>C</v>
          </cell>
          <cell r="I512" t="str">
            <v>WIP</v>
          </cell>
          <cell r="J512">
            <v>60021869</v>
          </cell>
          <cell r="K512">
            <v>210</v>
          </cell>
        </row>
        <row r="513">
          <cell r="A513">
            <v>60022166</v>
          </cell>
          <cell r="B513" t="str">
            <v>CR SPCC-SD 1.2x63xC</v>
          </cell>
          <cell r="C513" t="str">
            <v>CR SPCC-SD</v>
          </cell>
          <cell r="D513" t="str">
            <v>CR</v>
          </cell>
          <cell r="E513" t="str">
            <v>SPCC-SD</v>
          </cell>
          <cell r="F513">
            <v>1.2</v>
          </cell>
          <cell r="G513">
            <v>63</v>
          </cell>
          <cell r="H513" t="str">
            <v>C</v>
          </cell>
          <cell r="I513" t="str">
            <v>CS01/12</v>
          </cell>
          <cell r="J513">
            <v>60022166</v>
          </cell>
          <cell r="K513">
            <v>120</v>
          </cell>
          <cell r="L513" t="str">
            <v>E1-ND-06-TSA-0362</v>
          </cell>
        </row>
        <row r="514">
          <cell r="A514">
            <v>60022167</v>
          </cell>
          <cell r="B514" t="str">
            <v>CR SPCC-SD 1.2x63xC</v>
          </cell>
          <cell r="C514" t="str">
            <v>CR SPCC-SD</v>
          </cell>
          <cell r="D514" t="str">
            <v>CR</v>
          </cell>
          <cell r="E514" t="str">
            <v>SPCC-SD</v>
          </cell>
          <cell r="F514">
            <v>1.2</v>
          </cell>
          <cell r="G514">
            <v>63</v>
          </cell>
          <cell r="H514" t="str">
            <v>C</v>
          </cell>
          <cell r="I514" t="str">
            <v>CS01/12</v>
          </cell>
          <cell r="J514">
            <v>60022167</v>
          </cell>
          <cell r="K514">
            <v>120</v>
          </cell>
          <cell r="L514" t="str">
            <v>E1-ND-06-TSA-0362</v>
          </cell>
        </row>
        <row r="515">
          <cell r="A515">
            <v>60022168</v>
          </cell>
          <cell r="B515" t="str">
            <v>CR SPCC-SD 1.2x63xC</v>
          </cell>
          <cell r="C515" t="str">
            <v>CR SPCC-SD</v>
          </cell>
          <cell r="D515" t="str">
            <v>CR</v>
          </cell>
          <cell r="E515" t="str">
            <v>SPCC-SD</v>
          </cell>
          <cell r="F515">
            <v>1.2</v>
          </cell>
          <cell r="G515">
            <v>63</v>
          </cell>
          <cell r="H515" t="str">
            <v>C</v>
          </cell>
          <cell r="I515" t="str">
            <v>CS01/12</v>
          </cell>
          <cell r="J515">
            <v>60022168</v>
          </cell>
          <cell r="K515">
            <v>120</v>
          </cell>
          <cell r="L515" t="str">
            <v>E1-ND-06-TSA-0362</v>
          </cell>
        </row>
        <row r="516">
          <cell r="A516">
            <v>60022169</v>
          </cell>
          <cell r="B516" t="str">
            <v>CR SPCC-SD 1.2x63xC</v>
          </cell>
          <cell r="C516" t="str">
            <v>CR SPCC-SD</v>
          </cell>
          <cell r="D516" t="str">
            <v>CR</v>
          </cell>
          <cell r="E516" t="str">
            <v>SPCC-SD</v>
          </cell>
          <cell r="F516">
            <v>1.2</v>
          </cell>
          <cell r="G516">
            <v>63</v>
          </cell>
          <cell r="H516" t="str">
            <v>C</v>
          </cell>
          <cell r="I516" t="str">
            <v>CS01/12</v>
          </cell>
          <cell r="J516">
            <v>60022169</v>
          </cell>
          <cell r="K516">
            <v>120</v>
          </cell>
          <cell r="L516" t="str">
            <v>E1-ND-06-TSA-0362</v>
          </cell>
        </row>
        <row r="517">
          <cell r="A517">
            <v>60022183</v>
          </cell>
          <cell r="B517" t="str">
            <v>CR SPCC-SD 1.2x40xC</v>
          </cell>
          <cell r="C517" t="str">
            <v>CR SPCC-SD</v>
          </cell>
          <cell r="D517" t="str">
            <v>CR</v>
          </cell>
          <cell r="E517" t="str">
            <v>SPCC-SD</v>
          </cell>
          <cell r="F517">
            <v>1.2</v>
          </cell>
          <cell r="G517">
            <v>40</v>
          </cell>
          <cell r="H517" t="str">
            <v>C</v>
          </cell>
          <cell r="I517" t="str">
            <v>CS01/3</v>
          </cell>
          <cell r="J517">
            <v>60022183</v>
          </cell>
          <cell r="K517">
            <v>75</v>
          </cell>
          <cell r="L517" t="str">
            <v>E1-ND-06-TSA-0362</v>
          </cell>
        </row>
        <row r="518">
          <cell r="A518">
            <v>60022261</v>
          </cell>
          <cell r="D518" t="str">
            <v>CR</v>
          </cell>
          <cell r="E518" t="str">
            <v>SPCEN-SD</v>
          </cell>
          <cell r="F518">
            <v>0.8</v>
          </cell>
          <cell r="G518">
            <v>64</v>
          </cell>
          <cell r="H518" t="str">
            <v>C</v>
          </cell>
          <cell r="I518" t="str">
            <v>CS01/6</v>
          </cell>
          <cell r="J518">
            <v>60022261</v>
          </cell>
          <cell r="K518">
            <v>140</v>
          </cell>
        </row>
        <row r="519">
          <cell r="A519">
            <v>60022262</v>
          </cell>
          <cell r="D519" t="str">
            <v>CR</v>
          </cell>
          <cell r="E519" t="str">
            <v>SPCEN-SD</v>
          </cell>
          <cell r="F519">
            <v>0.8</v>
          </cell>
          <cell r="G519">
            <v>64</v>
          </cell>
          <cell r="H519" t="str">
            <v>C</v>
          </cell>
          <cell r="I519" t="str">
            <v>CS01/6</v>
          </cell>
          <cell r="J519">
            <v>60022262</v>
          </cell>
          <cell r="K519">
            <v>140</v>
          </cell>
        </row>
        <row r="520">
          <cell r="A520">
            <v>60022823</v>
          </cell>
          <cell r="D520" t="str">
            <v>CR</v>
          </cell>
          <cell r="E520" t="str">
            <v>SPCC-SD</v>
          </cell>
          <cell r="F520">
            <v>1.2</v>
          </cell>
          <cell r="G520">
            <v>71</v>
          </cell>
          <cell r="H520" t="str">
            <v>C</v>
          </cell>
          <cell r="I520" t="str">
            <v>CS01/2</v>
          </cell>
          <cell r="J520">
            <v>60022823</v>
          </cell>
          <cell r="K520">
            <v>215</v>
          </cell>
        </row>
        <row r="521">
          <cell r="A521">
            <v>60022824</v>
          </cell>
          <cell r="D521" t="str">
            <v>CR</v>
          </cell>
          <cell r="E521" t="str">
            <v>SPCC-SD</v>
          </cell>
          <cell r="F521">
            <v>1.2</v>
          </cell>
          <cell r="G521">
            <v>71</v>
          </cell>
          <cell r="H521" t="str">
            <v>C</v>
          </cell>
          <cell r="I521" t="str">
            <v>CS01/2</v>
          </cell>
          <cell r="J521">
            <v>60022824</v>
          </cell>
          <cell r="K521">
            <v>215</v>
          </cell>
        </row>
        <row r="522">
          <cell r="A522">
            <v>60022833</v>
          </cell>
          <cell r="B522" t="str">
            <v>CR SPCC-SD 1.2x82xC</v>
          </cell>
          <cell r="C522" t="str">
            <v>CR SPCC-SD</v>
          </cell>
          <cell r="D522" t="str">
            <v>CR</v>
          </cell>
          <cell r="E522" t="str">
            <v>SPCC-SD</v>
          </cell>
          <cell r="F522">
            <v>1.2</v>
          </cell>
          <cell r="G522">
            <v>82</v>
          </cell>
          <cell r="H522" t="str">
            <v>C</v>
          </cell>
          <cell r="I522" t="str">
            <v>CS01/1</v>
          </cell>
          <cell r="J522">
            <v>60022833</v>
          </cell>
          <cell r="K522">
            <v>250</v>
          </cell>
          <cell r="L522" t="str">
            <v>E1-NJ-06-TSA-0376</v>
          </cell>
        </row>
        <row r="523">
          <cell r="A523">
            <v>60022838</v>
          </cell>
          <cell r="D523" t="str">
            <v>CR</v>
          </cell>
          <cell r="E523" t="str">
            <v>SPCC-SD</v>
          </cell>
          <cell r="F523">
            <v>1.2</v>
          </cell>
          <cell r="G523">
            <v>71</v>
          </cell>
          <cell r="H523" t="str">
            <v>C</v>
          </cell>
          <cell r="I523" t="str">
            <v>CS01/2</v>
          </cell>
          <cell r="J523">
            <v>60022838</v>
          </cell>
          <cell r="K523">
            <v>215</v>
          </cell>
        </row>
        <row r="524">
          <cell r="A524">
            <v>60023211</v>
          </cell>
          <cell r="D524" t="str">
            <v>CR</v>
          </cell>
          <cell r="E524" t="str">
            <v>SPCEN-SD</v>
          </cell>
          <cell r="F524">
            <v>0.8</v>
          </cell>
          <cell r="G524">
            <v>85</v>
          </cell>
          <cell r="H524" t="str">
            <v>C</v>
          </cell>
          <cell r="I524" t="str">
            <v>OW01/2</v>
          </cell>
          <cell r="J524">
            <v>60023211</v>
          </cell>
          <cell r="K524">
            <v>635</v>
          </cell>
        </row>
        <row r="525">
          <cell r="A525">
            <v>60024105</v>
          </cell>
          <cell r="D525" t="str">
            <v>PO</v>
          </cell>
          <cell r="E525" t="str">
            <v>SPHC P/O</v>
          </cell>
          <cell r="F525">
            <v>4.5</v>
          </cell>
          <cell r="G525">
            <v>70</v>
          </cell>
          <cell r="H525" t="str">
            <v>C</v>
          </cell>
          <cell r="I525" t="str">
            <v>CS01/1</v>
          </cell>
          <cell r="J525">
            <v>60024105</v>
          </cell>
          <cell r="K525">
            <v>410</v>
          </cell>
        </row>
        <row r="526">
          <cell r="A526">
            <v>60024106</v>
          </cell>
          <cell r="D526" t="str">
            <v>PO</v>
          </cell>
          <cell r="E526" t="str">
            <v>SPHC P/O</v>
          </cell>
          <cell r="F526">
            <v>4.5</v>
          </cell>
          <cell r="G526">
            <v>70</v>
          </cell>
          <cell r="H526" t="str">
            <v>C</v>
          </cell>
          <cell r="I526" t="str">
            <v>CS01/1</v>
          </cell>
          <cell r="J526">
            <v>60024106</v>
          </cell>
          <cell r="K526">
            <v>410</v>
          </cell>
        </row>
        <row r="527">
          <cell r="A527">
            <v>60024288</v>
          </cell>
          <cell r="D527" t="str">
            <v>PO</v>
          </cell>
          <cell r="E527" t="str">
            <v>SPHC P/O</v>
          </cell>
          <cell r="F527">
            <v>2.2999999999999998</v>
          </cell>
          <cell r="G527">
            <v>98</v>
          </cell>
          <cell r="H527" t="str">
            <v>C</v>
          </cell>
          <cell r="I527" t="str">
            <v>CS01/12</v>
          </cell>
          <cell r="J527">
            <v>60024288</v>
          </cell>
          <cell r="K527">
            <v>360</v>
          </cell>
        </row>
        <row r="528">
          <cell r="A528">
            <v>60026054</v>
          </cell>
          <cell r="D528" t="str">
            <v>PO</v>
          </cell>
          <cell r="E528" t="str">
            <v>SPHC P/O</v>
          </cell>
          <cell r="F528">
            <v>1.4</v>
          </cell>
          <cell r="G528">
            <v>69</v>
          </cell>
          <cell r="H528" t="str">
            <v>C</v>
          </cell>
          <cell r="I528" t="str">
            <v>CS01/1</v>
          </cell>
          <cell r="J528">
            <v>60026054</v>
          </cell>
          <cell r="K528">
            <v>115</v>
          </cell>
        </row>
        <row r="529">
          <cell r="A529">
            <v>60026562</v>
          </cell>
          <cell r="D529" t="str">
            <v>PO</v>
          </cell>
          <cell r="E529" t="str">
            <v>SAPH440 P/O</v>
          </cell>
          <cell r="F529">
            <v>4.5</v>
          </cell>
          <cell r="G529">
            <v>50</v>
          </cell>
          <cell r="H529" t="str">
            <v>C</v>
          </cell>
          <cell r="I529" t="str">
            <v>CS01/2</v>
          </cell>
          <cell r="J529">
            <v>60026562</v>
          </cell>
          <cell r="K529">
            <v>131</v>
          </cell>
        </row>
        <row r="530">
          <cell r="A530">
            <v>60027758</v>
          </cell>
          <cell r="D530" t="str">
            <v>CR</v>
          </cell>
          <cell r="E530" t="str">
            <v>SPCC-SD</v>
          </cell>
          <cell r="F530">
            <v>1.4</v>
          </cell>
          <cell r="G530">
            <v>215</v>
          </cell>
          <cell r="H530" t="str">
            <v>C</v>
          </cell>
          <cell r="I530" t="str">
            <v>WIP</v>
          </cell>
          <cell r="J530">
            <v>60027758</v>
          </cell>
          <cell r="K530">
            <v>315</v>
          </cell>
        </row>
        <row r="531">
          <cell r="A531">
            <v>60027760</v>
          </cell>
          <cell r="D531" t="str">
            <v>CR</v>
          </cell>
          <cell r="E531" t="str">
            <v>SPCC-SD</v>
          </cell>
          <cell r="F531">
            <v>1.4</v>
          </cell>
          <cell r="G531">
            <v>215</v>
          </cell>
          <cell r="H531" t="str">
            <v>C</v>
          </cell>
          <cell r="I531" t="str">
            <v>WIP</v>
          </cell>
          <cell r="J531">
            <v>60027760</v>
          </cell>
          <cell r="K531">
            <v>950</v>
          </cell>
        </row>
        <row r="532">
          <cell r="A532">
            <v>60028809</v>
          </cell>
          <cell r="D532" t="str">
            <v>CR</v>
          </cell>
          <cell r="E532" t="str">
            <v>SPCC-SD</v>
          </cell>
          <cell r="F532">
            <v>0.7</v>
          </cell>
          <cell r="G532">
            <v>150</v>
          </cell>
          <cell r="H532" t="str">
            <v>C</v>
          </cell>
          <cell r="I532" t="str">
            <v>WIP</v>
          </cell>
          <cell r="J532">
            <v>60028809</v>
          </cell>
          <cell r="K532">
            <v>290</v>
          </cell>
        </row>
        <row r="533">
          <cell r="A533">
            <v>60028832</v>
          </cell>
          <cell r="D533" t="str">
            <v>CR</v>
          </cell>
          <cell r="E533" t="str">
            <v>SPCEN-SD</v>
          </cell>
          <cell r="F533">
            <v>1</v>
          </cell>
          <cell r="G533">
            <v>90</v>
          </cell>
          <cell r="H533" t="str">
            <v>C</v>
          </cell>
          <cell r="I533" t="str">
            <v>WIP</v>
          </cell>
          <cell r="J533">
            <v>60028832</v>
          </cell>
          <cell r="K533">
            <v>330</v>
          </cell>
        </row>
        <row r="534">
          <cell r="A534">
            <v>60029340</v>
          </cell>
          <cell r="D534" t="str">
            <v>CR</v>
          </cell>
          <cell r="E534" t="str">
            <v>SPCEN-SD</v>
          </cell>
          <cell r="F534">
            <v>1</v>
          </cell>
          <cell r="G534">
            <v>90</v>
          </cell>
          <cell r="H534" t="str">
            <v>C</v>
          </cell>
          <cell r="I534" t="str">
            <v>WIP</v>
          </cell>
          <cell r="J534">
            <v>60029340</v>
          </cell>
          <cell r="K534">
            <v>194</v>
          </cell>
        </row>
        <row r="535">
          <cell r="A535">
            <v>60029422</v>
          </cell>
          <cell r="B535" t="str">
            <v>CR SPCC-SD 1.2x63xC</v>
          </cell>
          <cell r="C535" t="str">
            <v>CR SPCC-SD</v>
          </cell>
          <cell r="D535" t="str">
            <v>CR</v>
          </cell>
          <cell r="E535" t="str">
            <v>SPCC-SD</v>
          </cell>
          <cell r="F535">
            <v>1.2</v>
          </cell>
          <cell r="G535">
            <v>63</v>
          </cell>
          <cell r="H535" t="str">
            <v>C</v>
          </cell>
          <cell r="I535" t="str">
            <v>CS01/2</v>
          </cell>
          <cell r="J535">
            <v>60029422</v>
          </cell>
          <cell r="K535">
            <v>90</v>
          </cell>
          <cell r="L535" t="str">
            <v>E1-ND-06-TSA-0362</v>
          </cell>
        </row>
        <row r="536">
          <cell r="A536">
            <v>60029423</v>
          </cell>
          <cell r="B536" t="str">
            <v>CR SPCC-SD 1.2x63xC</v>
          </cell>
          <cell r="C536" t="str">
            <v>CR SPCC-SD</v>
          </cell>
          <cell r="D536" t="str">
            <v>CR</v>
          </cell>
          <cell r="E536" t="str">
            <v>SPCC-SD</v>
          </cell>
          <cell r="F536">
            <v>1.2</v>
          </cell>
          <cell r="G536">
            <v>63</v>
          </cell>
          <cell r="H536" t="str">
            <v>C</v>
          </cell>
          <cell r="I536" t="str">
            <v>CS01/2</v>
          </cell>
          <cell r="J536">
            <v>60029423</v>
          </cell>
          <cell r="K536">
            <v>90</v>
          </cell>
          <cell r="L536" t="str">
            <v>E1-ND-06-TSA-0362</v>
          </cell>
        </row>
        <row r="537">
          <cell r="A537">
            <v>60029424</v>
          </cell>
          <cell r="B537" t="str">
            <v>CR SPCC-SD 1.2x63xC</v>
          </cell>
          <cell r="C537" t="str">
            <v>CR SPCC-SD</v>
          </cell>
          <cell r="D537" t="str">
            <v>CR</v>
          </cell>
          <cell r="E537" t="str">
            <v>SPCC-SD</v>
          </cell>
          <cell r="F537">
            <v>1.2</v>
          </cell>
          <cell r="G537">
            <v>63</v>
          </cell>
          <cell r="H537" t="str">
            <v>C</v>
          </cell>
          <cell r="I537" t="str">
            <v>CS01/2</v>
          </cell>
          <cell r="J537">
            <v>60029424</v>
          </cell>
          <cell r="K537">
            <v>90</v>
          </cell>
          <cell r="L537" t="str">
            <v>E1-ND-06-TSA-0362</v>
          </cell>
        </row>
        <row r="538">
          <cell r="A538">
            <v>60029425</v>
          </cell>
          <cell r="B538" t="str">
            <v>CR SPCC-SD 1.2x63xC</v>
          </cell>
          <cell r="C538" t="str">
            <v>CR SPCC-SD</v>
          </cell>
          <cell r="D538" t="str">
            <v>CR</v>
          </cell>
          <cell r="E538" t="str">
            <v>SPCC-SD</v>
          </cell>
          <cell r="F538">
            <v>1.2</v>
          </cell>
          <cell r="G538">
            <v>63</v>
          </cell>
          <cell r="H538" t="str">
            <v>C</v>
          </cell>
          <cell r="I538" t="str">
            <v>CS01/2</v>
          </cell>
          <cell r="J538">
            <v>60029425</v>
          </cell>
          <cell r="K538">
            <v>90</v>
          </cell>
          <cell r="L538" t="str">
            <v>E1-ND-06-TSA-0362</v>
          </cell>
        </row>
        <row r="539">
          <cell r="A539">
            <v>60030051</v>
          </cell>
          <cell r="B539" t="str">
            <v>CR SPCC-SD 1.4x45xC</v>
          </cell>
          <cell r="C539" t="str">
            <v>CR SPCC-SD</v>
          </cell>
          <cell r="D539" t="str">
            <v>CR</v>
          </cell>
          <cell r="E539" t="str">
            <v>SPCC-SD</v>
          </cell>
          <cell r="F539">
            <v>1.4</v>
          </cell>
          <cell r="G539">
            <v>45</v>
          </cell>
          <cell r="H539" t="str">
            <v>C</v>
          </cell>
          <cell r="I539" t="str">
            <v>CS01/6</v>
          </cell>
          <cell r="J539">
            <v>60030051</v>
          </cell>
          <cell r="K539">
            <v>96</v>
          </cell>
          <cell r="L539" t="str">
            <v>E2-ND-06-TSA-0153</v>
          </cell>
        </row>
        <row r="540">
          <cell r="A540">
            <v>60030052</v>
          </cell>
          <cell r="B540" t="str">
            <v>CR SPCC-SD 1.4x45xC</v>
          </cell>
          <cell r="C540" t="str">
            <v>CR SPCC-SD</v>
          </cell>
          <cell r="D540" t="str">
            <v>CR</v>
          </cell>
          <cell r="E540" t="str">
            <v>SPCC-SD</v>
          </cell>
          <cell r="F540">
            <v>1.4</v>
          </cell>
          <cell r="G540">
            <v>45</v>
          </cell>
          <cell r="H540" t="str">
            <v>C</v>
          </cell>
          <cell r="I540" t="str">
            <v>CS01/6</v>
          </cell>
          <cell r="J540">
            <v>60030052</v>
          </cell>
          <cell r="K540">
            <v>96</v>
          </cell>
          <cell r="L540" t="str">
            <v>E2-ND-06-TSA-0153</v>
          </cell>
        </row>
        <row r="541">
          <cell r="A541">
            <v>60030621</v>
          </cell>
          <cell r="D541" t="str">
            <v>PO</v>
          </cell>
          <cell r="E541" t="str">
            <v>SPHC P/O</v>
          </cell>
          <cell r="F541">
            <v>2.6</v>
          </cell>
          <cell r="G541">
            <v>63</v>
          </cell>
          <cell r="H541" t="str">
            <v>C</v>
          </cell>
          <cell r="I541" t="str">
            <v>CS01/6</v>
          </cell>
          <cell r="J541">
            <v>60030621</v>
          </cell>
          <cell r="K541">
            <v>321</v>
          </cell>
        </row>
        <row r="542">
          <cell r="A542">
            <v>60030767</v>
          </cell>
          <cell r="D542" t="str">
            <v>CR</v>
          </cell>
          <cell r="E542" t="str">
            <v>SPCEN-SD</v>
          </cell>
          <cell r="F542">
            <v>0.8</v>
          </cell>
          <cell r="G542">
            <v>40</v>
          </cell>
          <cell r="H542" t="str">
            <v>C</v>
          </cell>
          <cell r="I542" t="str">
            <v>CS01/2</v>
          </cell>
          <cell r="J542">
            <v>60030767</v>
          </cell>
          <cell r="K542">
            <v>73</v>
          </cell>
        </row>
        <row r="543">
          <cell r="A543">
            <v>60031148</v>
          </cell>
          <cell r="B543" t="str">
            <v>CR SPCC-SD 1.6x75xC</v>
          </cell>
          <cell r="C543" t="str">
            <v>CR SPCC-SD</v>
          </cell>
          <cell r="D543" t="str">
            <v>CR</v>
          </cell>
          <cell r="E543" t="str">
            <v>SPCC-SD</v>
          </cell>
          <cell r="F543">
            <v>1.6</v>
          </cell>
          <cell r="G543">
            <v>75</v>
          </cell>
          <cell r="H543" t="str">
            <v>C</v>
          </cell>
          <cell r="I543" t="str">
            <v>CS01/1</v>
          </cell>
          <cell r="J543">
            <v>60031148</v>
          </cell>
          <cell r="K543">
            <v>115</v>
          </cell>
          <cell r="L543" t="str">
            <v>E2-ND-06-TSA-0151</v>
          </cell>
        </row>
        <row r="544">
          <cell r="A544">
            <v>60031155</v>
          </cell>
          <cell r="B544" t="str">
            <v>CR SPCC-SD 1.6x75xC</v>
          </cell>
          <cell r="C544" t="str">
            <v>CR SPCC-SD</v>
          </cell>
          <cell r="D544" t="str">
            <v>CR</v>
          </cell>
          <cell r="E544" t="str">
            <v>SPCC-SD</v>
          </cell>
          <cell r="F544">
            <v>1.6</v>
          </cell>
          <cell r="G544">
            <v>75</v>
          </cell>
          <cell r="H544" t="str">
            <v>C</v>
          </cell>
          <cell r="I544" t="str">
            <v>CS01/1</v>
          </cell>
          <cell r="J544">
            <v>60031155</v>
          </cell>
          <cell r="K544">
            <v>115</v>
          </cell>
          <cell r="L544" t="str">
            <v>E2-ND-06-TSA-0151</v>
          </cell>
        </row>
        <row r="545">
          <cell r="A545">
            <v>60031162</v>
          </cell>
          <cell r="B545" t="str">
            <v>CR SPCC-SD 1.6x75xC</v>
          </cell>
          <cell r="C545" t="str">
            <v>CR SPCC-SD</v>
          </cell>
          <cell r="D545" t="str">
            <v>CR</v>
          </cell>
          <cell r="E545" t="str">
            <v>SPCC-SD</v>
          </cell>
          <cell r="F545">
            <v>1.6</v>
          </cell>
          <cell r="G545">
            <v>75</v>
          </cell>
          <cell r="H545" t="str">
            <v>C</v>
          </cell>
          <cell r="I545" t="str">
            <v>CS01/1</v>
          </cell>
          <cell r="J545">
            <v>60031162</v>
          </cell>
          <cell r="K545">
            <v>100</v>
          </cell>
          <cell r="L545" t="str">
            <v>E2-ND-06-TSA-0151</v>
          </cell>
        </row>
        <row r="546">
          <cell r="A546">
            <v>60031310</v>
          </cell>
          <cell r="D546" t="str">
            <v>CR</v>
          </cell>
          <cell r="E546" t="str">
            <v>SPCC-SD</v>
          </cell>
          <cell r="F546">
            <v>0.8</v>
          </cell>
          <cell r="G546">
            <v>125</v>
          </cell>
          <cell r="H546" t="str">
            <v>C</v>
          </cell>
          <cell r="I546" t="str">
            <v>WIP</v>
          </cell>
          <cell r="J546">
            <v>60031310</v>
          </cell>
          <cell r="K546">
            <v>554</v>
          </cell>
        </row>
        <row r="547">
          <cell r="A547">
            <v>60031634</v>
          </cell>
          <cell r="D547" t="str">
            <v>CR</v>
          </cell>
          <cell r="E547" t="str">
            <v>SPCC-SD</v>
          </cell>
          <cell r="F547">
            <v>1.2</v>
          </cell>
          <cell r="G547">
            <v>71</v>
          </cell>
          <cell r="H547" t="str">
            <v>C</v>
          </cell>
          <cell r="I547" t="str">
            <v>CS01/12</v>
          </cell>
          <cell r="J547">
            <v>60031634</v>
          </cell>
          <cell r="K547">
            <v>250</v>
          </cell>
        </row>
        <row r="548">
          <cell r="A548">
            <v>60032585</v>
          </cell>
          <cell r="B548" t="str">
            <v>CR SPCC-SD 1.6x75xC</v>
          </cell>
          <cell r="C548" t="str">
            <v>CR SPCC-SD</v>
          </cell>
          <cell r="D548" t="str">
            <v>CR</v>
          </cell>
          <cell r="E548" t="str">
            <v>SPCC-SD</v>
          </cell>
          <cell r="F548">
            <v>1.6</v>
          </cell>
          <cell r="G548">
            <v>75</v>
          </cell>
          <cell r="H548" t="str">
            <v>C</v>
          </cell>
          <cell r="I548" t="str">
            <v>CS01/12</v>
          </cell>
          <cell r="J548">
            <v>60032585</v>
          </cell>
          <cell r="K548">
            <v>116</v>
          </cell>
          <cell r="L548" t="str">
            <v>E2-ND-06-TSA-0151</v>
          </cell>
        </row>
        <row r="549">
          <cell r="A549">
            <v>60032592</v>
          </cell>
          <cell r="B549" t="str">
            <v>CR SPCC-SD 1.6x75xC</v>
          </cell>
          <cell r="C549" t="str">
            <v>CR SPCC-SD</v>
          </cell>
          <cell r="D549" t="str">
            <v>CR</v>
          </cell>
          <cell r="E549" t="str">
            <v>SPCC-SD</v>
          </cell>
          <cell r="F549">
            <v>1.6</v>
          </cell>
          <cell r="G549">
            <v>75</v>
          </cell>
          <cell r="H549" t="str">
            <v>C</v>
          </cell>
          <cell r="I549" t="str">
            <v>CS01/12</v>
          </cell>
          <cell r="J549">
            <v>60032592</v>
          </cell>
          <cell r="K549">
            <v>113</v>
          </cell>
          <cell r="L549" t="str">
            <v>E2-ND-06-TSA-0151</v>
          </cell>
        </row>
        <row r="550">
          <cell r="A550">
            <v>60032935</v>
          </cell>
          <cell r="D550" t="str">
            <v>CR</v>
          </cell>
          <cell r="E550" t="str">
            <v>SPCEN-SD</v>
          </cell>
          <cell r="F550">
            <v>0.8</v>
          </cell>
          <cell r="G550">
            <v>75</v>
          </cell>
          <cell r="H550" t="str">
            <v>C</v>
          </cell>
          <cell r="I550" t="str">
            <v>CS01/1</v>
          </cell>
          <cell r="J550">
            <v>60032935</v>
          </cell>
          <cell r="K550">
            <v>542</v>
          </cell>
        </row>
        <row r="551">
          <cell r="A551">
            <v>60032937</v>
          </cell>
          <cell r="D551" t="str">
            <v>CR</v>
          </cell>
          <cell r="E551" t="str">
            <v>SPCEN-SD</v>
          </cell>
          <cell r="F551">
            <v>0.8</v>
          </cell>
          <cell r="G551">
            <v>75</v>
          </cell>
          <cell r="H551" t="str">
            <v>C</v>
          </cell>
          <cell r="I551" t="str">
            <v>CS01/1</v>
          </cell>
          <cell r="J551">
            <v>60032937</v>
          </cell>
          <cell r="K551">
            <v>545</v>
          </cell>
        </row>
        <row r="552">
          <cell r="A552">
            <v>60033042</v>
          </cell>
          <cell r="D552" t="str">
            <v>PO</v>
          </cell>
          <cell r="E552" t="str">
            <v>SPHC P/O</v>
          </cell>
          <cell r="F552">
            <v>1.4</v>
          </cell>
          <cell r="G552">
            <v>69</v>
          </cell>
          <cell r="H552" t="str">
            <v>C</v>
          </cell>
          <cell r="I552" t="str">
            <v>CS01/1</v>
          </cell>
          <cell r="J552">
            <v>60033042</v>
          </cell>
          <cell r="K552">
            <v>301</v>
          </cell>
        </row>
        <row r="553">
          <cell r="A553">
            <v>60033136</v>
          </cell>
          <cell r="D553" t="str">
            <v>PO</v>
          </cell>
          <cell r="E553" t="str">
            <v>SPHC P/O</v>
          </cell>
          <cell r="F553">
            <v>2.2999999999999998</v>
          </cell>
          <cell r="G553">
            <v>72</v>
          </cell>
          <cell r="H553" t="str">
            <v>C</v>
          </cell>
          <cell r="I553" t="str">
            <v>CS01/1</v>
          </cell>
          <cell r="J553">
            <v>60033136</v>
          </cell>
          <cell r="K553">
            <v>196</v>
          </cell>
        </row>
        <row r="554">
          <cell r="A554">
            <v>60033327</v>
          </cell>
          <cell r="D554" t="str">
            <v>CR</v>
          </cell>
          <cell r="E554" t="str">
            <v>SPCEN-SD</v>
          </cell>
          <cell r="F554">
            <v>2</v>
          </cell>
          <cell r="G554">
            <v>70</v>
          </cell>
          <cell r="H554" t="str">
            <v>C</v>
          </cell>
          <cell r="I554" t="str">
            <v>CS01/12</v>
          </cell>
          <cell r="J554">
            <v>60033327</v>
          </cell>
          <cell r="K554">
            <v>134</v>
          </cell>
        </row>
        <row r="555">
          <cell r="A555">
            <v>60033767</v>
          </cell>
          <cell r="B555" t="str">
            <v>CR SPCC-SD 1.2x63xC</v>
          </cell>
          <cell r="C555" t="str">
            <v>CR SPCC-SD</v>
          </cell>
          <cell r="D555" t="str">
            <v>CR</v>
          </cell>
          <cell r="E555" t="str">
            <v>SPCC-SD</v>
          </cell>
          <cell r="F555">
            <v>1.2</v>
          </cell>
          <cell r="G555">
            <v>63</v>
          </cell>
          <cell r="H555" t="str">
            <v>C</v>
          </cell>
          <cell r="I555" t="str">
            <v>CS01/12</v>
          </cell>
          <cell r="J555">
            <v>60033767</v>
          </cell>
          <cell r="K555">
            <v>164</v>
          </cell>
          <cell r="L555" t="str">
            <v>E1-ND-06-TSA-0362</v>
          </cell>
        </row>
        <row r="556">
          <cell r="A556">
            <v>60033796</v>
          </cell>
          <cell r="B556" t="str">
            <v>CR SPCC-SD 0.6x44xC</v>
          </cell>
          <cell r="C556" t="str">
            <v>CR SPCC-SD</v>
          </cell>
          <cell r="D556" t="str">
            <v>CR</v>
          </cell>
          <cell r="E556" t="str">
            <v>SPCC-SD</v>
          </cell>
          <cell r="F556">
            <v>0.6</v>
          </cell>
          <cell r="G556">
            <v>44</v>
          </cell>
          <cell r="H556" t="str">
            <v>C</v>
          </cell>
          <cell r="I556" t="str">
            <v>CS01/12</v>
          </cell>
          <cell r="J556">
            <v>60033796</v>
          </cell>
          <cell r="K556">
            <v>392</v>
          </cell>
          <cell r="L556" t="str">
            <v>E1-ND-06-TSA-0363</v>
          </cell>
        </row>
        <row r="557">
          <cell r="A557">
            <v>60033834</v>
          </cell>
          <cell r="D557" t="str">
            <v>CR</v>
          </cell>
          <cell r="E557" t="str">
            <v>SPCEN-SD</v>
          </cell>
          <cell r="F557">
            <v>0.8</v>
          </cell>
          <cell r="G557">
            <v>75</v>
          </cell>
          <cell r="H557" t="str">
            <v>C</v>
          </cell>
          <cell r="I557" t="str">
            <v>CS01/11</v>
          </cell>
          <cell r="J557">
            <v>60033834</v>
          </cell>
          <cell r="K557">
            <v>544</v>
          </cell>
        </row>
        <row r="558">
          <cell r="A558">
            <v>60034390</v>
          </cell>
          <cell r="D558" t="str">
            <v>PO</v>
          </cell>
          <cell r="E558" t="str">
            <v>SPHC P/O</v>
          </cell>
          <cell r="F558">
            <v>1.6</v>
          </cell>
          <cell r="G558">
            <v>70</v>
          </cell>
          <cell r="H558" t="str">
            <v>C</v>
          </cell>
          <cell r="I558" t="str">
            <v>WIP</v>
          </cell>
          <cell r="J558">
            <v>60034390</v>
          </cell>
          <cell r="K558">
            <v>100</v>
          </cell>
        </row>
        <row r="559">
          <cell r="A559">
            <v>60034392</v>
          </cell>
          <cell r="D559" t="str">
            <v>PO</v>
          </cell>
          <cell r="E559" t="str">
            <v>SPHC P/O</v>
          </cell>
          <cell r="F559">
            <v>1.6</v>
          </cell>
          <cell r="G559">
            <v>70</v>
          </cell>
          <cell r="H559" t="str">
            <v>C</v>
          </cell>
          <cell r="I559" t="str">
            <v>WIP</v>
          </cell>
          <cell r="J559">
            <v>60034392</v>
          </cell>
          <cell r="K559">
            <v>131</v>
          </cell>
        </row>
        <row r="560">
          <cell r="A560">
            <v>60034701</v>
          </cell>
          <cell r="D560" t="str">
            <v>CR</v>
          </cell>
          <cell r="E560" t="str">
            <v>SPCEN-SD</v>
          </cell>
          <cell r="F560">
            <v>0.8</v>
          </cell>
          <cell r="G560">
            <v>125</v>
          </cell>
          <cell r="H560" t="str">
            <v>C</v>
          </cell>
          <cell r="I560" t="str">
            <v>WIP</v>
          </cell>
          <cell r="J560">
            <v>60034701</v>
          </cell>
          <cell r="K560">
            <v>165</v>
          </cell>
        </row>
        <row r="561">
          <cell r="A561">
            <v>60034716</v>
          </cell>
          <cell r="D561" t="str">
            <v>PO</v>
          </cell>
          <cell r="E561" t="str">
            <v>SPHC P/O</v>
          </cell>
          <cell r="F561">
            <v>4.5</v>
          </cell>
          <cell r="G561">
            <v>83</v>
          </cell>
          <cell r="H561" t="str">
            <v>C</v>
          </cell>
          <cell r="I561" t="str">
            <v>WIP</v>
          </cell>
          <cell r="J561">
            <v>60034716</v>
          </cell>
          <cell r="K561">
            <v>614</v>
          </cell>
        </row>
        <row r="562">
          <cell r="A562">
            <v>60034717</v>
          </cell>
          <cell r="D562" t="str">
            <v>PO</v>
          </cell>
          <cell r="E562" t="str">
            <v>SPHC P/O</v>
          </cell>
          <cell r="F562">
            <v>4.5</v>
          </cell>
          <cell r="G562">
            <v>83</v>
          </cell>
          <cell r="H562" t="str">
            <v>C</v>
          </cell>
          <cell r="I562" t="str">
            <v>WIP</v>
          </cell>
          <cell r="J562">
            <v>60034717</v>
          </cell>
          <cell r="K562">
            <v>614</v>
          </cell>
        </row>
        <row r="563">
          <cell r="A563">
            <v>60034731</v>
          </cell>
          <cell r="D563" t="str">
            <v>PO</v>
          </cell>
          <cell r="E563" t="str">
            <v>SPHC P/O</v>
          </cell>
          <cell r="F563">
            <v>4.5</v>
          </cell>
          <cell r="G563">
            <v>83</v>
          </cell>
          <cell r="H563" t="str">
            <v>C</v>
          </cell>
          <cell r="I563" t="str">
            <v>WIP</v>
          </cell>
          <cell r="J563">
            <v>60034731</v>
          </cell>
          <cell r="K563">
            <v>605</v>
          </cell>
        </row>
        <row r="564">
          <cell r="A564">
            <v>60034732</v>
          </cell>
          <cell r="D564" t="str">
            <v>PO</v>
          </cell>
          <cell r="E564" t="str">
            <v>SPHC P/O</v>
          </cell>
          <cell r="F564">
            <v>4.5</v>
          </cell>
          <cell r="G564">
            <v>83</v>
          </cell>
          <cell r="H564" t="str">
            <v>C</v>
          </cell>
          <cell r="I564" t="str">
            <v>WIP</v>
          </cell>
          <cell r="J564">
            <v>60034732</v>
          </cell>
          <cell r="K564">
            <v>605</v>
          </cell>
        </row>
        <row r="565">
          <cell r="A565">
            <v>60037881</v>
          </cell>
          <cell r="D565" t="str">
            <v>CR</v>
          </cell>
          <cell r="E565" t="str">
            <v>SPCC-SD</v>
          </cell>
          <cell r="F565">
            <v>0.8</v>
          </cell>
          <cell r="G565">
            <v>83</v>
          </cell>
          <cell r="H565" t="str">
            <v>C</v>
          </cell>
          <cell r="I565" t="str">
            <v>CS01/5</v>
          </cell>
          <cell r="J565">
            <v>60037881</v>
          </cell>
          <cell r="K565">
            <v>238</v>
          </cell>
        </row>
        <row r="566">
          <cell r="A566">
            <v>60037882</v>
          </cell>
          <cell r="D566" t="str">
            <v>CR</v>
          </cell>
          <cell r="E566" t="str">
            <v>SPCC-SD</v>
          </cell>
          <cell r="F566">
            <v>0.8</v>
          </cell>
          <cell r="G566">
            <v>83</v>
          </cell>
          <cell r="H566" t="str">
            <v>C</v>
          </cell>
          <cell r="I566" t="str">
            <v>CS01/5</v>
          </cell>
          <cell r="J566">
            <v>60037882</v>
          </cell>
          <cell r="K566">
            <v>238</v>
          </cell>
        </row>
        <row r="567">
          <cell r="A567">
            <v>60037883</v>
          </cell>
          <cell r="D567" t="str">
            <v>CR</v>
          </cell>
          <cell r="E567" t="str">
            <v>SPCC-SD</v>
          </cell>
          <cell r="F567">
            <v>0.8</v>
          </cell>
          <cell r="G567">
            <v>83</v>
          </cell>
          <cell r="H567" t="str">
            <v>C</v>
          </cell>
          <cell r="I567" t="str">
            <v>CS01/5</v>
          </cell>
          <cell r="J567">
            <v>60037883</v>
          </cell>
          <cell r="K567">
            <v>238</v>
          </cell>
        </row>
        <row r="568">
          <cell r="A568">
            <v>60037885</v>
          </cell>
          <cell r="D568" t="str">
            <v>CR</v>
          </cell>
          <cell r="E568" t="str">
            <v>SPCC-SD</v>
          </cell>
          <cell r="F568">
            <v>0.8</v>
          </cell>
          <cell r="G568">
            <v>83</v>
          </cell>
          <cell r="H568" t="str">
            <v>C</v>
          </cell>
          <cell r="I568" t="str">
            <v>CS01/5</v>
          </cell>
          <cell r="J568">
            <v>60037885</v>
          </cell>
          <cell r="K568">
            <v>238</v>
          </cell>
        </row>
        <row r="569">
          <cell r="A569">
            <v>60037886</v>
          </cell>
          <cell r="D569" t="str">
            <v>CR</v>
          </cell>
          <cell r="E569" t="str">
            <v>SPCC-SD</v>
          </cell>
          <cell r="F569">
            <v>0.8</v>
          </cell>
          <cell r="G569">
            <v>83</v>
          </cell>
          <cell r="H569" t="str">
            <v>C</v>
          </cell>
          <cell r="I569" t="str">
            <v>CS01/5</v>
          </cell>
          <cell r="J569">
            <v>60037886</v>
          </cell>
          <cell r="K569">
            <v>238</v>
          </cell>
        </row>
        <row r="570">
          <cell r="A570">
            <v>60038309</v>
          </cell>
          <cell r="D570" t="str">
            <v>CR</v>
          </cell>
          <cell r="E570" t="str">
            <v>SPCEN-SD</v>
          </cell>
          <cell r="F570">
            <v>0.8</v>
          </cell>
          <cell r="G570">
            <v>125</v>
          </cell>
          <cell r="H570" t="str">
            <v>C</v>
          </cell>
          <cell r="I570" t="str">
            <v>WIP</v>
          </cell>
          <cell r="J570">
            <v>60038309</v>
          </cell>
          <cell r="K570">
            <v>165</v>
          </cell>
        </row>
        <row r="571">
          <cell r="A571">
            <v>60039470</v>
          </cell>
          <cell r="B571" t="str">
            <v>CR SPCC-SD 0.7x44xC</v>
          </cell>
          <cell r="C571" t="str">
            <v>CR SPCC-SD</v>
          </cell>
          <cell r="D571" t="str">
            <v>CR</v>
          </cell>
          <cell r="E571" t="str">
            <v>SPCC-SD</v>
          </cell>
          <cell r="F571">
            <v>0.7</v>
          </cell>
          <cell r="G571">
            <v>44</v>
          </cell>
          <cell r="H571" t="str">
            <v>C</v>
          </cell>
          <cell r="I571" t="str">
            <v>CS01/12</v>
          </cell>
          <cell r="J571">
            <v>60039470</v>
          </cell>
          <cell r="K571">
            <v>313</v>
          </cell>
          <cell r="L571" t="str">
            <v>E1-ND-06-TSA-0362</v>
          </cell>
        </row>
        <row r="572">
          <cell r="A572">
            <v>60039653</v>
          </cell>
          <cell r="B572" t="str">
            <v>CR SPCC-SD 0.7x44xC</v>
          </cell>
          <cell r="C572" t="str">
            <v>CR SPCC-SD</v>
          </cell>
          <cell r="D572" t="str">
            <v>CR</v>
          </cell>
          <cell r="E572" t="str">
            <v>SPCC-SD</v>
          </cell>
          <cell r="F572">
            <v>0.7</v>
          </cell>
          <cell r="G572">
            <v>44</v>
          </cell>
          <cell r="H572" t="str">
            <v>C</v>
          </cell>
          <cell r="I572" t="str">
            <v>CS01/12</v>
          </cell>
          <cell r="J572">
            <v>60039653</v>
          </cell>
          <cell r="K572">
            <v>53</v>
          </cell>
          <cell r="L572" t="str">
            <v>E1-ND-06-TSA-0362</v>
          </cell>
        </row>
        <row r="573">
          <cell r="A573">
            <v>60039834</v>
          </cell>
          <cell r="D573" t="str">
            <v>CR</v>
          </cell>
          <cell r="E573" t="str">
            <v>SPCEN-SD</v>
          </cell>
          <cell r="F573">
            <v>1.2</v>
          </cell>
          <cell r="G573">
            <v>60</v>
          </cell>
          <cell r="H573" t="str">
            <v>C</v>
          </cell>
          <cell r="I573" t="str">
            <v>WIP</v>
          </cell>
          <cell r="J573">
            <v>60039834</v>
          </cell>
          <cell r="K573">
            <v>98</v>
          </cell>
        </row>
        <row r="574">
          <cell r="A574">
            <v>60039836</v>
          </cell>
          <cell r="D574" t="str">
            <v>CR</v>
          </cell>
          <cell r="E574" t="str">
            <v>SPCEN-SD</v>
          </cell>
          <cell r="F574">
            <v>1.2</v>
          </cell>
          <cell r="G574">
            <v>60</v>
          </cell>
          <cell r="H574" t="str">
            <v>C</v>
          </cell>
          <cell r="I574" t="str">
            <v>CS01/12</v>
          </cell>
          <cell r="J574">
            <v>60039836</v>
          </cell>
          <cell r="K574">
            <v>453</v>
          </cell>
        </row>
        <row r="575">
          <cell r="A575">
            <v>60040166</v>
          </cell>
          <cell r="D575" t="str">
            <v>CR</v>
          </cell>
          <cell r="E575" t="str">
            <v>SPCC-SD</v>
          </cell>
          <cell r="F575">
            <v>0.5</v>
          </cell>
          <cell r="G575">
            <v>80</v>
          </cell>
          <cell r="H575" t="str">
            <v>C</v>
          </cell>
          <cell r="I575" t="str">
            <v>CS01/12</v>
          </cell>
          <cell r="J575">
            <v>60040166</v>
          </cell>
          <cell r="K575">
            <v>150</v>
          </cell>
        </row>
        <row r="576">
          <cell r="A576">
            <v>60040186</v>
          </cell>
          <cell r="B576" t="str">
            <v>CR SPCC-SD 0.6x52xC</v>
          </cell>
          <cell r="C576" t="str">
            <v>CR SPCC-SD</v>
          </cell>
          <cell r="D576" t="str">
            <v>CR</v>
          </cell>
          <cell r="E576" t="str">
            <v>SPCC-SD</v>
          </cell>
          <cell r="F576">
            <v>0.6</v>
          </cell>
          <cell r="G576">
            <v>52</v>
          </cell>
          <cell r="H576" t="str">
            <v>C</v>
          </cell>
          <cell r="I576" t="str">
            <v>CS01/7</v>
          </cell>
          <cell r="J576">
            <v>60040186</v>
          </cell>
          <cell r="K576">
            <v>70</v>
          </cell>
          <cell r="L576" t="str">
            <v>E1-ND-06-TSA-0359</v>
          </cell>
        </row>
        <row r="577">
          <cell r="A577">
            <v>60040592</v>
          </cell>
          <cell r="D577" t="str">
            <v>CR</v>
          </cell>
          <cell r="E577" t="str">
            <v>SPCC-SD</v>
          </cell>
          <cell r="F577">
            <v>0.7</v>
          </cell>
          <cell r="G577">
            <v>260</v>
          </cell>
          <cell r="H577" t="str">
            <v>C</v>
          </cell>
          <cell r="I577" t="str">
            <v>WIP</v>
          </cell>
          <cell r="J577">
            <v>60040592</v>
          </cell>
          <cell r="K577">
            <v>266</v>
          </cell>
        </row>
        <row r="578">
          <cell r="A578">
            <v>60041069</v>
          </cell>
          <cell r="D578" t="str">
            <v>CR</v>
          </cell>
          <cell r="E578" t="str">
            <v>SPCC-SD</v>
          </cell>
          <cell r="F578">
            <v>3</v>
          </cell>
          <cell r="G578">
            <v>78</v>
          </cell>
          <cell r="H578" t="str">
            <v>C</v>
          </cell>
          <cell r="I578" t="str">
            <v>CS01/12</v>
          </cell>
          <cell r="J578">
            <v>60041069</v>
          </cell>
          <cell r="K578">
            <v>208</v>
          </cell>
        </row>
        <row r="579">
          <cell r="A579">
            <v>60041098</v>
          </cell>
          <cell r="D579" t="str">
            <v>CR</v>
          </cell>
          <cell r="E579" t="str">
            <v>SPCC-SD</v>
          </cell>
          <cell r="F579">
            <v>0.5</v>
          </cell>
          <cell r="G579">
            <v>103</v>
          </cell>
          <cell r="H579" t="str">
            <v>C</v>
          </cell>
          <cell r="I579" t="str">
            <v>WIP</v>
          </cell>
          <cell r="J579">
            <v>60041098</v>
          </cell>
          <cell r="K579">
            <v>385</v>
          </cell>
        </row>
        <row r="580">
          <cell r="A580">
            <v>60041099</v>
          </cell>
          <cell r="D580" t="str">
            <v>CR</v>
          </cell>
          <cell r="E580" t="str">
            <v>SPCC-SD</v>
          </cell>
          <cell r="F580">
            <v>0.5</v>
          </cell>
          <cell r="G580">
            <v>103</v>
          </cell>
          <cell r="H580" t="str">
            <v>C</v>
          </cell>
          <cell r="I580" t="str">
            <v>WIP</v>
          </cell>
          <cell r="J580">
            <v>60041099</v>
          </cell>
          <cell r="K580">
            <v>385</v>
          </cell>
        </row>
        <row r="581">
          <cell r="A581">
            <v>60041123</v>
          </cell>
          <cell r="D581" t="str">
            <v>CR</v>
          </cell>
          <cell r="E581" t="str">
            <v>SPCC-SD</v>
          </cell>
          <cell r="F581">
            <v>0.5</v>
          </cell>
          <cell r="G581">
            <v>70</v>
          </cell>
          <cell r="H581" t="str">
            <v>C</v>
          </cell>
          <cell r="I581" t="str">
            <v>WIP</v>
          </cell>
          <cell r="J581">
            <v>60041123</v>
          </cell>
          <cell r="K581">
            <v>206</v>
          </cell>
        </row>
        <row r="582">
          <cell r="A582">
            <v>60041304</v>
          </cell>
          <cell r="D582" t="str">
            <v>CR</v>
          </cell>
          <cell r="E582" t="str">
            <v>SPCC-SD</v>
          </cell>
          <cell r="F582">
            <v>0.5</v>
          </cell>
          <cell r="G582">
            <v>128</v>
          </cell>
          <cell r="H582" t="str">
            <v>C</v>
          </cell>
          <cell r="I582" t="str">
            <v>WIP</v>
          </cell>
          <cell r="J582">
            <v>60041304</v>
          </cell>
          <cell r="K582">
            <v>1027</v>
          </cell>
        </row>
        <row r="583">
          <cell r="A583">
            <v>60041312</v>
          </cell>
          <cell r="D583" t="str">
            <v>CR</v>
          </cell>
          <cell r="E583" t="str">
            <v>SPCC-SD</v>
          </cell>
          <cell r="F583">
            <v>0.5</v>
          </cell>
          <cell r="G583">
            <v>372</v>
          </cell>
          <cell r="H583" t="str">
            <v>C</v>
          </cell>
          <cell r="I583" t="str">
            <v>WIP</v>
          </cell>
          <cell r="J583">
            <v>60041312</v>
          </cell>
          <cell r="K583">
            <v>619</v>
          </cell>
        </row>
        <row r="584">
          <cell r="A584">
            <v>60041378</v>
          </cell>
          <cell r="D584" t="str">
            <v>CR</v>
          </cell>
          <cell r="E584" t="str">
            <v>SPCC-SD</v>
          </cell>
          <cell r="F584">
            <v>0.6</v>
          </cell>
          <cell r="G584">
            <v>128</v>
          </cell>
          <cell r="H584" t="str">
            <v>C</v>
          </cell>
          <cell r="I584" t="str">
            <v>WIP</v>
          </cell>
          <cell r="J584">
            <v>60041378</v>
          </cell>
          <cell r="K584">
            <v>300</v>
          </cell>
        </row>
        <row r="585">
          <cell r="A585">
            <v>60041510</v>
          </cell>
          <cell r="D585" t="str">
            <v>CR</v>
          </cell>
          <cell r="E585" t="str">
            <v>SPCC-SD</v>
          </cell>
          <cell r="F585">
            <v>2.2999999999999998</v>
          </cell>
          <cell r="G585">
            <v>68</v>
          </cell>
          <cell r="H585" t="str">
            <v>C</v>
          </cell>
          <cell r="I585" t="str">
            <v>WIP</v>
          </cell>
          <cell r="J585">
            <v>60041510</v>
          </cell>
          <cell r="K585">
            <v>200</v>
          </cell>
        </row>
        <row r="586">
          <cell r="A586">
            <v>60041511</v>
          </cell>
          <cell r="D586" t="str">
            <v>CR</v>
          </cell>
          <cell r="E586" t="str">
            <v>SPCC-SD</v>
          </cell>
          <cell r="F586">
            <v>2.2999999999999998</v>
          </cell>
          <cell r="G586">
            <v>68</v>
          </cell>
          <cell r="H586" t="str">
            <v>C</v>
          </cell>
          <cell r="I586" t="str">
            <v>WIP</v>
          </cell>
          <cell r="J586">
            <v>60041511</v>
          </cell>
          <cell r="K586">
            <v>198</v>
          </cell>
        </row>
        <row r="587">
          <cell r="A587">
            <v>60041520</v>
          </cell>
          <cell r="D587" t="str">
            <v>CR</v>
          </cell>
          <cell r="E587" t="str">
            <v>SPCC-SD</v>
          </cell>
          <cell r="F587">
            <v>3</v>
          </cell>
          <cell r="G587">
            <v>78</v>
          </cell>
          <cell r="H587" t="str">
            <v>C</v>
          </cell>
          <cell r="I587" t="str">
            <v>CS01/12</v>
          </cell>
          <cell r="J587">
            <v>60041520</v>
          </cell>
          <cell r="K587">
            <v>314</v>
          </cell>
        </row>
        <row r="588">
          <cell r="A588">
            <v>60041569</v>
          </cell>
          <cell r="B588" t="str">
            <v>CR SPCC-SD 0.6x52xC</v>
          </cell>
          <cell r="C588" t="str">
            <v>CR SPCC-SD</v>
          </cell>
          <cell r="D588" t="str">
            <v>CR</v>
          </cell>
          <cell r="E588" t="str">
            <v>SPCC-SD</v>
          </cell>
          <cell r="F588">
            <v>0.6</v>
          </cell>
          <cell r="G588">
            <v>52</v>
          </cell>
          <cell r="H588" t="str">
            <v>C</v>
          </cell>
          <cell r="I588" t="str">
            <v>CS01/6</v>
          </cell>
          <cell r="J588">
            <v>60041569</v>
          </cell>
          <cell r="K588">
            <v>157</v>
          </cell>
          <cell r="L588" t="str">
            <v>E1-ND-06-TSA-0359</v>
          </cell>
        </row>
        <row r="589">
          <cell r="A589">
            <v>60041570</v>
          </cell>
          <cell r="B589" t="str">
            <v>CR SPCC-SD 0.6x52xC</v>
          </cell>
          <cell r="C589" t="str">
            <v>CR SPCC-SD</v>
          </cell>
          <cell r="D589" t="str">
            <v>CR</v>
          </cell>
          <cell r="E589" t="str">
            <v>SPCC-SD</v>
          </cell>
          <cell r="F589">
            <v>0.6</v>
          </cell>
          <cell r="G589">
            <v>52</v>
          </cell>
          <cell r="H589" t="str">
            <v>C</v>
          </cell>
          <cell r="I589" t="str">
            <v>CS01/6</v>
          </cell>
          <cell r="J589">
            <v>60041570</v>
          </cell>
          <cell r="K589">
            <v>159</v>
          </cell>
          <cell r="L589" t="str">
            <v>E1-ND-06-TSA-0359</v>
          </cell>
        </row>
        <row r="590">
          <cell r="A590">
            <v>60041571</v>
          </cell>
          <cell r="D590" t="str">
            <v>CR</v>
          </cell>
          <cell r="E590" t="str">
            <v>SPCC-SD</v>
          </cell>
          <cell r="F590">
            <v>0.6</v>
          </cell>
          <cell r="G590">
            <v>128</v>
          </cell>
          <cell r="H590" t="str">
            <v>C</v>
          </cell>
          <cell r="I590" t="str">
            <v>WIP</v>
          </cell>
          <cell r="J590">
            <v>60041571</v>
          </cell>
          <cell r="K590">
            <v>549</v>
          </cell>
        </row>
        <row r="591">
          <cell r="A591">
            <v>60042294</v>
          </cell>
          <cell r="B591" t="str">
            <v>CR SPCC-SD 1.2x90xC</v>
          </cell>
          <cell r="C591" t="str">
            <v>CR SPCC-SD</v>
          </cell>
          <cell r="D591" t="str">
            <v>CR</v>
          </cell>
          <cell r="E591" t="str">
            <v>SPCC-SD</v>
          </cell>
          <cell r="F591">
            <v>1.2</v>
          </cell>
          <cell r="G591">
            <v>90</v>
          </cell>
          <cell r="H591" t="str">
            <v>C</v>
          </cell>
          <cell r="I591" t="str">
            <v>CS01/12</v>
          </cell>
          <cell r="J591">
            <v>60042294</v>
          </cell>
          <cell r="K591">
            <v>168</v>
          </cell>
          <cell r="L591" t="str">
            <v>E1-NJ-06-TSA-0377</v>
          </cell>
        </row>
        <row r="592">
          <cell r="A592">
            <v>60042300</v>
          </cell>
          <cell r="B592" t="str">
            <v>CR SPCC-SD 0.6x83xC</v>
          </cell>
          <cell r="C592" t="str">
            <v>CR SPCC-SD</v>
          </cell>
          <cell r="D592" t="str">
            <v>CR</v>
          </cell>
          <cell r="E592" t="str">
            <v>SPCC-SD</v>
          </cell>
          <cell r="F592">
            <v>0.6</v>
          </cell>
          <cell r="G592">
            <v>83</v>
          </cell>
          <cell r="H592" t="str">
            <v>C</v>
          </cell>
          <cell r="I592" t="str">
            <v>CS01/12</v>
          </cell>
          <cell r="J592">
            <v>60042300</v>
          </cell>
          <cell r="K592">
            <v>650</v>
          </cell>
          <cell r="L592" t="str">
            <v>E1-ND-06-TSA-0359</v>
          </cell>
        </row>
        <row r="593">
          <cell r="A593">
            <v>60042453</v>
          </cell>
          <cell r="B593" t="str">
            <v>CR SPCC-SD 0.6x52xC</v>
          </cell>
          <cell r="C593" t="str">
            <v>CR SPCC-SD</v>
          </cell>
          <cell r="D593" t="str">
            <v>CR</v>
          </cell>
          <cell r="E593" t="str">
            <v>SPCC-SD</v>
          </cell>
          <cell r="F593">
            <v>0.6</v>
          </cell>
          <cell r="G593">
            <v>52</v>
          </cell>
          <cell r="H593" t="str">
            <v>C</v>
          </cell>
          <cell r="I593" t="str">
            <v>CS01/5</v>
          </cell>
          <cell r="J593">
            <v>60042453</v>
          </cell>
          <cell r="K593">
            <v>98</v>
          </cell>
          <cell r="L593" t="str">
            <v>E1-ND-06-TSA-0359</v>
          </cell>
        </row>
        <row r="594">
          <cell r="A594">
            <v>60042454</v>
          </cell>
          <cell r="B594" t="str">
            <v>CR SPCC-SD 0.6x52xC</v>
          </cell>
          <cell r="C594" t="str">
            <v>CR SPCC-SD</v>
          </cell>
          <cell r="D594" t="str">
            <v>CR</v>
          </cell>
          <cell r="E594" t="str">
            <v>SPCC-SD</v>
          </cell>
          <cell r="F594">
            <v>0.6</v>
          </cell>
          <cell r="G594">
            <v>52</v>
          </cell>
          <cell r="H594" t="str">
            <v>C</v>
          </cell>
          <cell r="I594" t="str">
            <v>CS01/5</v>
          </cell>
          <cell r="J594">
            <v>60042454</v>
          </cell>
          <cell r="K594">
            <v>97</v>
          </cell>
          <cell r="L594" t="str">
            <v>E1-ND-06-TSA-0359</v>
          </cell>
        </row>
        <row r="595">
          <cell r="A595">
            <v>60042584</v>
          </cell>
          <cell r="B595" t="str">
            <v>CR SPCC-SD 0.6x52xC</v>
          </cell>
          <cell r="C595" t="str">
            <v>CR SPCC-SD</v>
          </cell>
          <cell r="D595" t="str">
            <v>CR</v>
          </cell>
          <cell r="E595" t="str">
            <v>SPCC-SD</v>
          </cell>
          <cell r="F595">
            <v>0.6</v>
          </cell>
          <cell r="G595">
            <v>52</v>
          </cell>
          <cell r="H595" t="str">
            <v>C</v>
          </cell>
          <cell r="I595" t="str">
            <v>CS01/12</v>
          </cell>
          <cell r="J595">
            <v>60042584</v>
          </cell>
          <cell r="K595">
            <v>382</v>
          </cell>
          <cell r="L595" t="str">
            <v>E1-ND-06-TSA-0359</v>
          </cell>
        </row>
        <row r="596">
          <cell r="A596">
            <v>60042585</v>
          </cell>
          <cell r="B596" t="str">
            <v>CR SPCC-SD 0.6x52xC</v>
          </cell>
          <cell r="C596" t="str">
            <v>CR SPCC-SD</v>
          </cell>
          <cell r="D596" t="str">
            <v>CR</v>
          </cell>
          <cell r="E596" t="str">
            <v>SPCC-SD</v>
          </cell>
          <cell r="F596">
            <v>0.6</v>
          </cell>
          <cell r="G596">
            <v>52</v>
          </cell>
          <cell r="H596" t="str">
            <v>C</v>
          </cell>
          <cell r="I596" t="str">
            <v>CS01/12</v>
          </cell>
          <cell r="J596">
            <v>60042585</v>
          </cell>
          <cell r="K596">
            <v>382</v>
          </cell>
          <cell r="L596" t="str">
            <v>E1-ND-06-TSA-0359</v>
          </cell>
        </row>
        <row r="597">
          <cell r="A597">
            <v>60042586</v>
          </cell>
          <cell r="B597" t="str">
            <v>CR SPCC-SD 0.6x52xC</v>
          </cell>
          <cell r="C597" t="str">
            <v>CR SPCC-SD</v>
          </cell>
          <cell r="D597" t="str">
            <v>CR</v>
          </cell>
          <cell r="E597" t="str">
            <v>SPCC-SD</v>
          </cell>
          <cell r="F597">
            <v>0.6</v>
          </cell>
          <cell r="G597">
            <v>52</v>
          </cell>
          <cell r="H597" t="str">
            <v>C</v>
          </cell>
          <cell r="I597" t="str">
            <v>CS01/12</v>
          </cell>
          <cell r="J597">
            <v>60042586</v>
          </cell>
          <cell r="K597">
            <v>382</v>
          </cell>
          <cell r="L597" t="str">
            <v>E1-ND-06-TSA-0359</v>
          </cell>
        </row>
        <row r="598">
          <cell r="A598">
            <v>60042587</v>
          </cell>
          <cell r="B598" t="str">
            <v>CR SPCC-SD 0.6x52xC</v>
          </cell>
          <cell r="C598" t="str">
            <v>CR SPCC-SD</v>
          </cell>
          <cell r="D598" t="str">
            <v>CR</v>
          </cell>
          <cell r="E598" t="str">
            <v>SPCC-SD</v>
          </cell>
          <cell r="F598">
            <v>0.6</v>
          </cell>
          <cell r="G598">
            <v>52</v>
          </cell>
          <cell r="H598" t="str">
            <v>C</v>
          </cell>
          <cell r="I598" t="str">
            <v>CS01/12</v>
          </cell>
          <cell r="J598">
            <v>60042587</v>
          </cell>
          <cell r="K598">
            <v>382</v>
          </cell>
          <cell r="L598" t="str">
            <v>E1-ND-06-TSA-0359</v>
          </cell>
        </row>
        <row r="599">
          <cell r="A599">
            <v>60042596</v>
          </cell>
          <cell r="B599" t="str">
            <v>CR SPCC-SD 0.6x52xC</v>
          </cell>
          <cell r="C599" t="str">
            <v>CR SPCC-SD</v>
          </cell>
          <cell r="D599" t="str">
            <v>CR</v>
          </cell>
          <cell r="E599" t="str">
            <v>SPCC-SD</v>
          </cell>
          <cell r="F599">
            <v>0.6</v>
          </cell>
          <cell r="G599">
            <v>52</v>
          </cell>
          <cell r="H599" t="str">
            <v>C</v>
          </cell>
          <cell r="I599" t="str">
            <v>CS01/12</v>
          </cell>
          <cell r="J599">
            <v>60042596</v>
          </cell>
          <cell r="K599">
            <v>373</v>
          </cell>
          <cell r="L599" t="str">
            <v>E1-ND-06-TSA-0359</v>
          </cell>
        </row>
        <row r="600">
          <cell r="A600">
            <v>60042597</v>
          </cell>
          <cell r="B600" t="str">
            <v>CR SPCC-SD 0.6x52xC</v>
          </cell>
          <cell r="C600" t="str">
            <v>CR SPCC-SD</v>
          </cell>
          <cell r="D600" t="str">
            <v>CR</v>
          </cell>
          <cell r="E600" t="str">
            <v>SPCC-SD</v>
          </cell>
          <cell r="F600">
            <v>0.6</v>
          </cell>
          <cell r="G600">
            <v>52</v>
          </cell>
          <cell r="H600" t="str">
            <v>C</v>
          </cell>
          <cell r="I600" t="str">
            <v>CS01/12</v>
          </cell>
          <cell r="J600">
            <v>60042597</v>
          </cell>
          <cell r="K600">
            <v>372</v>
          </cell>
          <cell r="L600" t="str">
            <v>E1-ND-06-TSA-0359</v>
          </cell>
        </row>
        <row r="601">
          <cell r="A601">
            <v>60042598</v>
          </cell>
          <cell r="B601" t="str">
            <v>CR SPCC-SD 0.6x52xC</v>
          </cell>
          <cell r="C601" t="str">
            <v>CR SPCC-SD</v>
          </cell>
          <cell r="D601" t="str">
            <v>CR</v>
          </cell>
          <cell r="E601" t="str">
            <v>SPCC-SD</v>
          </cell>
          <cell r="F601">
            <v>0.6</v>
          </cell>
          <cell r="G601">
            <v>52</v>
          </cell>
          <cell r="H601" t="str">
            <v>C</v>
          </cell>
          <cell r="I601" t="str">
            <v>CS01/12</v>
          </cell>
          <cell r="J601">
            <v>60042598</v>
          </cell>
          <cell r="K601">
            <v>372</v>
          </cell>
          <cell r="L601" t="str">
            <v>E1-ND-06-TSA-0359</v>
          </cell>
        </row>
        <row r="602">
          <cell r="A602">
            <v>60042599</v>
          </cell>
          <cell r="B602" t="str">
            <v>CR SPCC-SD 0.6x52xC</v>
          </cell>
          <cell r="C602" t="str">
            <v>CR SPCC-SD</v>
          </cell>
          <cell r="D602" t="str">
            <v>CR</v>
          </cell>
          <cell r="E602" t="str">
            <v>SPCC-SD</v>
          </cell>
          <cell r="F602">
            <v>0.6</v>
          </cell>
          <cell r="G602">
            <v>52</v>
          </cell>
          <cell r="H602" t="str">
            <v>C</v>
          </cell>
          <cell r="I602" t="str">
            <v>CS01/12</v>
          </cell>
          <cell r="J602">
            <v>60042599</v>
          </cell>
          <cell r="K602">
            <v>372</v>
          </cell>
          <cell r="L602" t="str">
            <v>E1-ND-06-TSA-0359</v>
          </cell>
        </row>
        <row r="603">
          <cell r="A603">
            <v>60042638</v>
          </cell>
          <cell r="B603" t="str">
            <v>CR SPCC-SD 0.6x48xC</v>
          </cell>
          <cell r="C603" t="str">
            <v>CR SPCC-SD</v>
          </cell>
          <cell r="D603" t="str">
            <v>CR</v>
          </cell>
          <cell r="E603" t="str">
            <v>SPCC-SD</v>
          </cell>
          <cell r="F603">
            <v>0.6</v>
          </cell>
          <cell r="G603">
            <v>48</v>
          </cell>
          <cell r="H603" t="str">
            <v>C</v>
          </cell>
          <cell r="I603" t="str">
            <v>CS01/5</v>
          </cell>
          <cell r="J603">
            <v>60042638</v>
          </cell>
          <cell r="K603">
            <v>124</v>
          </cell>
          <cell r="L603" t="str">
            <v>E1-ND-06-TSA-0359</v>
          </cell>
        </row>
        <row r="604">
          <cell r="A604">
            <v>60042639</v>
          </cell>
          <cell r="B604" t="str">
            <v>CR SPCC-SD 0.6x48xC</v>
          </cell>
          <cell r="C604" t="str">
            <v>CR SPCC-SD</v>
          </cell>
          <cell r="D604" t="str">
            <v>CR</v>
          </cell>
          <cell r="E604" t="str">
            <v>SPCC-SD</v>
          </cell>
          <cell r="F604">
            <v>0.6</v>
          </cell>
          <cell r="G604">
            <v>48</v>
          </cell>
          <cell r="H604" t="str">
            <v>C</v>
          </cell>
          <cell r="I604" t="str">
            <v>CS01/5</v>
          </cell>
          <cell r="J604">
            <v>60042639</v>
          </cell>
          <cell r="K604">
            <v>124</v>
          </cell>
          <cell r="L604" t="str">
            <v>E1-ND-06-TSA-0359</v>
          </cell>
        </row>
        <row r="605">
          <cell r="A605">
            <v>60042640</v>
          </cell>
          <cell r="B605" t="str">
            <v>CR SPCC-SD 0.6x48xC</v>
          </cell>
          <cell r="C605" t="str">
            <v>CR SPCC-SD</v>
          </cell>
          <cell r="D605" t="str">
            <v>CR</v>
          </cell>
          <cell r="E605" t="str">
            <v>SPCC-SD</v>
          </cell>
          <cell r="F605">
            <v>0.6</v>
          </cell>
          <cell r="G605">
            <v>48</v>
          </cell>
          <cell r="H605" t="str">
            <v>C</v>
          </cell>
          <cell r="I605" t="str">
            <v>CS01/5</v>
          </cell>
          <cell r="J605">
            <v>60042640</v>
          </cell>
          <cell r="K605">
            <v>124</v>
          </cell>
          <cell r="L605" t="str">
            <v>E1-ND-06-TSA-0359</v>
          </cell>
        </row>
        <row r="606">
          <cell r="A606">
            <v>60042642</v>
          </cell>
          <cell r="D606" t="str">
            <v>CR</v>
          </cell>
          <cell r="E606" t="str">
            <v>SPCC-SD</v>
          </cell>
          <cell r="F606">
            <v>0.8</v>
          </cell>
          <cell r="G606">
            <v>83</v>
          </cell>
          <cell r="H606" t="str">
            <v>C</v>
          </cell>
          <cell r="I606" t="str">
            <v>CS01/12</v>
          </cell>
          <cell r="J606">
            <v>60042642</v>
          </cell>
          <cell r="K606">
            <v>706</v>
          </cell>
        </row>
        <row r="607">
          <cell r="A607">
            <v>60042680</v>
          </cell>
          <cell r="D607" t="str">
            <v>CR</v>
          </cell>
          <cell r="E607" t="str">
            <v>SPCC-SD</v>
          </cell>
          <cell r="F607">
            <v>0.8</v>
          </cell>
          <cell r="G607">
            <v>83</v>
          </cell>
          <cell r="H607" t="str">
            <v>C</v>
          </cell>
          <cell r="I607" t="str">
            <v>CS01/10</v>
          </cell>
          <cell r="J607">
            <v>60042680</v>
          </cell>
          <cell r="K607">
            <v>202</v>
          </cell>
        </row>
        <row r="608">
          <cell r="A608">
            <v>60042684</v>
          </cell>
          <cell r="D608" t="str">
            <v>CR</v>
          </cell>
          <cell r="E608" t="str">
            <v>SPCC-SD</v>
          </cell>
          <cell r="F608">
            <v>0.8</v>
          </cell>
          <cell r="G608">
            <v>83</v>
          </cell>
          <cell r="H608" t="str">
            <v>C</v>
          </cell>
          <cell r="I608" t="str">
            <v>CS01/12</v>
          </cell>
          <cell r="J608">
            <v>60042684</v>
          </cell>
          <cell r="K608">
            <v>350</v>
          </cell>
        </row>
        <row r="609">
          <cell r="A609">
            <v>60042929</v>
          </cell>
          <cell r="D609" t="str">
            <v>CR</v>
          </cell>
          <cell r="E609" t="str">
            <v>SPCC-SD</v>
          </cell>
          <cell r="F609">
            <v>3</v>
          </cell>
          <cell r="G609">
            <v>751</v>
          </cell>
          <cell r="H609" t="str">
            <v>C</v>
          </cell>
          <cell r="I609" t="str">
            <v>WIP</v>
          </cell>
          <cell r="J609">
            <v>60042929</v>
          </cell>
          <cell r="K609">
            <v>242</v>
          </cell>
        </row>
        <row r="610">
          <cell r="A610">
            <v>60043095</v>
          </cell>
          <cell r="D610" t="str">
            <v>CR</v>
          </cell>
          <cell r="E610" t="str">
            <v>SPCC-SD</v>
          </cell>
          <cell r="F610">
            <v>3</v>
          </cell>
          <cell r="G610">
            <v>901</v>
          </cell>
          <cell r="H610" t="str">
            <v>C</v>
          </cell>
          <cell r="I610" t="str">
            <v>WIP</v>
          </cell>
          <cell r="J610">
            <v>60043095</v>
          </cell>
          <cell r="K610">
            <v>392</v>
          </cell>
        </row>
        <row r="611">
          <cell r="A611">
            <v>60043165</v>
          </cell>
          <cell r="B611" t="str">
            <v>CR SPCC-SD 1.0x60xC</v>
          </cell>
          <cell r="C611" t="str">
            <v>CR SPCC-SD</v>
          </cell>
          <cell r="D611" t="str">
            <v>CR</v>
          </cell>
          <cell r="E611" t="str">
            <v>SPCC-SD</v>
          </cell>
          <cell r="F611">
            <v>1</v>
          </cell>
          <cell r="G611">
            <v>60</v>
          </cell>
          <cell r="H611" t="str">
            <v>C</v>
          </cell>
          <cell r="I611" t="str">
            <v>CS01/7</v>
          </cell>
          <cell r="J611">
            <v>60043165</v>
          </cell>
          <cell r="K611">
            <v>110</v>
          </cell>
          <cell r="L611" t="str">
            <v>E2-ND-06-TSA-0154</v>
          </cell>
        </row>
        <row r="612">
          <cell r="A612">
            <v>60043191</v>
          </cell>
          <cell r="D612" t="str">
            <v>CR</v>
          </cell>
          <cell r="E612" t="str">
            <v>SPCC-SD</v>
          </cell>
          <cell r="F612">
            <v>3</v>
          </cell>
          <cell r="G612">
            <v>2687</v>
          </cell>
          <cell r="H612" t="str">
            <v>C</v>
          </cell>
          <cell r="I612" t="str">
            <v>WIP</v>
          </cell>
          <cell r="J612">
            <v>60043191</v>
          </cell>
          <cell r="K612">
            <v>1034</v>
          </cell>
        </row>
        <row r="613">
          <cell r="A613">
            <v>60043358</v>
          </cell>
          <cell r="B613" t="str">
            <v>CR SPCC-SD 0.6x83xC</v>
          </cell>
          <cell r="C613" t="str">
            <v>CR SPCC-SD</v>
          </cell>
          <cell r="D613" t="str">
            <v>CR</v>
          </cell>
          <cell r="E613" t="str">
            <v>SPCC-SD</v>
          </cell>
          <cell r="F613">
            <v>0.6</v>
          </cell>
          <cell r="G613">
            <v>83</v>
          </cell>
          <cell r="H613" t="str">
            <v>C</v>
          </cell>
          <cell r="I613" t="str">
            <v>CS01/8</v>
          </cell>
          <cell r="J613">
            <v>60043358</v>
          </cell>
          <cell r="K613">
            <v>462</v>
          </cell>
          <cell r="L613" t="str">
            <v>E1-ND-06-TSA-0359</v>
          </cell>
        </row>
        <row r="614">
          <cell r="A614">
            <v>60043614</v>
          </cell>
          <cell r="D614" t="str">
            <v>CR</v>
          </cell>
          <cell r="E614" t="str">
            <v>SPCEN-SD</v>
          </cell>
          <cell r="F614">
            <v>1.2</v>
          </cell>
          <cell r="G614">
            <v>60</v>
          </cell>
          <cell r="H614" t="str">
            <v>C</v>
          </cell>
          <cell r="I614" t="str">
            <v>CS01/12</v>
          </cell>
          <cell r="J614">
            <v>60043614</v>
          </cell>
          <cell r="K614">
            <v>436</v>
          </cell>
        </row>
        <row r="615">
          <cell r="A615">
            <v>60043616</v>
          </cell>
          <cell r="D615" t="str">
            <v>CR</v>
          </cell>
          <cell r="E615" t="str">
            <v>SPCEN-SD</v>
          </cell>
          <cell r="F615">
            <v>1.2</v>
          </cell>
          <cell r="G615">
            <v>60</v>
          </cell>
          <cell r="H615" t="str">
            <v>C</v>
          </cell>
          <cell r="I615" t="str">
            <v>CS01/12</v>
          </cell>
          <cell r="J615">
            <v>60043616</v>
          </cell>
          <cell r="K615">
            <v>280</v>
          </cell>
        </row>
        <row r="616">
          <cell r="A616">
            <v>60043745</v>
          </cell>
          <cell r="B616" t="str">
            <v>CR SPCC-SD 0.6x83xC</v>
          </cell>
          <cell r="C616" t="str">
            <v>CR SPCC-SD</v>
          </cell>
          <cell r="D616" t="str">
            <v>CR</v>
          </cell>
          <cell r="E616" t="str">
            <v>SPCC-SD</v>
          </cell>
          <cell r="F616">
            <v>0.6</v>
          </cell>
          <cell r="G616">
            <v>83</v>
          </cell>
          <cell r="H616" t="str">
            <v>C</v>
          </cell>
          <cell r="I616" t="str">
            <v>CS01/12</v>
          </cell>
          <cell r="J616">
            <v>60043745</v>
          </cell>
          <cell r="K616">
            <v>235</v>
          </cell>
          <cell r="L616" t="str">
            <v>E1-ND-06-TSA-0359</v>
          </cell>
        </row>
        <row r="617">
          <cell r="A617">
            <v>60043746</v>
          </cell>
          <cell r="B617" t="str">
            <v>CR SPCC-SD 0.6x83xC</v>
          </cell>
          <cell r="C617" t="str">
            <v>CR SPCC-SD</v>
          </cell>
          <cell r="D617" t="str">
            <v>CR</v>
          </cell>
          <cell r="E617" t="str">
            <v>SPCC-SD</v>
          </cell>
          <cell r="F617">
            <v>0.6</v>
          </cell>
          <cell r="G617">
            <v>83</v>
          </cell>
          <cell r="H617" t="str">
            <v>C</v>
          </cell>
          <cell r="I617" t="str">
            <v>CS01/12</v>
          </cell>
          <cell r="J617">
            <v>60043746</v>
          </cell>
          <cell r="K617">
            <v>235</v>
          </cell>
          <cell r="L617" t="str">
            <v>E1-ND-06-TSA-0359</v>
          </cell>
        </row>
        <row r="618">
          <cell r="A618">
            <v>60043749</v>
          </cell>
          <cell r="B618" t="str">
            <v>CR SPCC-SD 0.6x83xC</v>
          </cell>
          <cell r="C618" t="str">
            <v>CR SPCC-SD</v>
          </cell>
          <cell r="D618" t="str">
            <v>CR</v>
          </cell>
          <cell r="E618" t="str">
            <v>SPCC-SD</v>
          </cell>
          <cell r="F618">
            <v>0.6</v>
          </cell>
          <cell r="G618">
            <v>83</v>
          </cell>
          <cell r="H618" t="str">
            <v>C</v>
          </cell>
          <cell r="I618" t="str">
            <v>CS01/11</v>
          </cell>
          <cell r="J618">
            <v>60043749</v>
          </cell>
          <cell r="K618">
            <v>235</v>
          </cell>
          <cell r="L618" t="str">
            <v>E1-ND-06-TSA-0359</v>
          </cell>
        </row>
        <row r="619">
          <cell r="A619">
            <v>60043750</v>
          </cell>
          <cell r="B619" t="str">
            <v>CR SPCC-SD 0.6x52xC</v>
          </cell>
          <cell r="C619" t="str">
            <v>CR SPCC-SD</v>
          </cell>
          <cell r="D619" t="str">
            <v>CR</v>
          </cell>
          <cell r="E619" t="str">
            <v>SPCC-SD</v>
          </cell>
          <cell r="F619">
            <v>0.6</v>
          </cell>
          <cell r="G619">
            <v>52</v>
          </cell>
          <cell r="H619" t="str">
            <v>C</v>
          </cell>
          <cell r="I619" t="str">
            <v>CS01/11</v>
          </cell>
          <cell r="J619">
            <v>60043750</v>
          </cell>
          <cell r="K619">
            <v>152</v>
          </cell>
          <cell r="L619" t="str">
            <v>E1-ND-06-TSA-0359</v>
          </cell>
        </row>
        <row r="620">
          <cell r="A620">
            <v>60043751</v>
          </cell>
          <cell r="B620" t="str">
            <v>CR SPCC-SD 0.6x52xC</v>
          </cell>
          <cell r="C620" t="str">
            <v>CR SPCC-SD</v>
          </cell>
          <cell r="D620" t="str">
            <v>CR</v>
          </cell>
          <cell r="E620" t="str">
            <v>SPCC-SD</v>
          </cell>
          <cell r="F620">
            <v>0.6</v>
          </cell>
          <cell r="G620">
            <v>52</v>
          </cell>
          <cell r="H620" t="str">
            <v>C</v>
          </cell>
          <cell r="I620" t="str">
            <v>CS01/11</v>
          </cell>
          <cell r="J620">
            <v>60043751</v>
          </cell>
          <cell r="K620">
            <v>152</v>
          </cell>
          <cell r="L620" t="str">
            <v>E1-ND-06-TSA-0359</v>
          </cell>
        </row>
        <row r="621">
          <cell r="A621">
            <v>60043900</v>
          </cell>
          <cell r="D621" t="str">
            <v>CR</v>
          </cell>
          <cell r="E621" t="str">
            <v>SPCC-SD</v>
          </cell>
          <cell r="F621">
            <v>2</v>
          </cell>
          <cell r="G621">
            <v>70</v>
          </cell>
          <cell r="H621" t="str">
            <v>C</v>
          </cell>
          <cell r="I621" t="str">
            <v>CS01/5</v>
          </cell>
          <cell r="J621">
            <v>60043900</v>
          </cell>
          <cell r="K621">
            <v>158</v>
          </cell>
        </row>
        <row r="622">
          <cell r="A622">
            <v>60044008</v>
          </cell>
          <cell r="B622" t="str">
            <v>CR SPCC-SD 0.6x83xC</v>
          </cell>
          <cell r="C622" t="str">
            <v>CR SPCC-SD</v>
          </cell>
          <cell r="D622" t="str">
            <v>CR</v>
          </cell>
          <cell r="E622" t="str">
            <v>SPCC-SD</v>
          </cell>
          <cell r="F622">
            <v>0.6</v>
          </cell>
          <cell r="G622">
            <v>83</v>
          </cell>
          <cell r="H622" t="str">
            <v>C</v>
          </cell>
          <cell r="I622" t="str">
            <v>CS01/11</v>
          </cell>
          <cell r="J622">
            <v>60044008</v>
          </cell>
          <cell r="K622">
            <v>198</v>
          </cell>
          <cell r="L622" t="str">
            <v>E1-ND-06-TSA-0359</v>
          </cell>
        </row>
        <row r="623">
          <cell r="A623">
            <v>60044039</v>
          </cell>
          <cell r="B623" t="str">
            <v>CR SPCC-SD 0.6x79xC</v>
          </cell>
          <cell r="C623" t="str">
            <v>CR SPCC-SD</v>
          </cell>
          <cell r="D623" t="str">
            <v>CR</v>
          </cell>
          <cell r="E623" t="str">
            <v>SPCC-SD</v>
          </cell>
          <cell r="F623">
            <v>0.6</v>
          </cell>
          <cell r="G623">
            <v>79</v>
          </cell>
          <cell r="H623" t="str">
            <v>C</v>
          </cell>
          <cell r="I623" t="str">
            <v>CS01/9</v>
          </cell>
          <cell r="J623">
            <v>60044039</v>
          </cell>
          <cell r="K623">
            <v>220</v>
          </cell>
          <cell r="L623" t="str">
            <v>E1-ND-06-TSA-0359</v>
          </cell>
        </row>
        <row r="624">
          <cell r="A624">
            <v>60044040</v>
          </cell>
          <cell r="B624" t="str">
            <v>CR SPCC-SD 0.6x79xC</v>
          </cell>
          <cell r="C624" t="str">
            <v>CR SPCC-SD</v>
          </cell>
          <cell r="D624" t="str">
            <v>CR</v>
          </cell>
          <cell r="E624" t="str">
            <v>SPCC-SD</v>
          </cell>
          <cell r="F624">
            <v>0.6</v>
          </cell>
          <cell r="G624">
            <v>79</v>
          </cell>
          <cell r="H624" t="str">
            <v>C</v>
          </cell>
          <cell r="I624" t="str">
            <v>CS01/9</v>
          </cell>
          <cell r="J624">
            <v>60044040</v>
          </cell>
          <cell r="K624">
            <v>220</v>
          </cell>
          <cell r="L624" t="str">
            <v>E1-ND-06-TSA-0359</v>
          </cell>
        </row>
        <row r="625">
          <cell r="A625">
            <v>60044043</v>
          </cell>
          <cell r="B625" t="str">
            <v>CR SPCC-SD 0.6x79xC</v>
          </cell>
          <cell r="C625" t="str">
            <v>CR SPCC-SD</v>
          </cell>
          <cell r="D625" t="str">
            <v>CR</v>
          </cell>
          <cell r="E625" t="str">
            <v>SPCC-SD</v>
          </cell>
          <cell r="F625">
            <v>0.6</v>
          </cell>
          <cell r="G625">
            <v>79</v>
          </cell>
          <cell r="H625" t="str">
            <v>C</v>
          </cell>
          <cell r="I625" t="str">
            <v>CS01/9</v>
          </cell>
          <cell r="J625">
            <v>60044043</v>
          </cell>
          <cell r="K625">
            <v>220</v>
          </cell>
          <cell r="L625" t="str">
            <v>E1-ND-06-TSA-0359</v>
          </cell>
        </row>
        <row r="626">
          <cell r="A626">
            <v>60044044</v>
          </cell>
          <cell r="B626" t="str">
            <v>CR SPCC-SD 0.6x79xC</v>
          </cell>
          <cell r="C626" t="str">
            <v>CR SPCC-SD</v>
          </cell>
          <cell r="D626" t="str">
            <v>CR</v>
          </cell>
          <cell r="E626" t="str">
            <v>SPCC-SD</v>
          </cell>
          <cell r="F626">
            <v>0.6</v>
          </cell>
          <cell r="G626">
            <v>79</v>
          </cell>
          <cell r="H626" t="str">
            <v>C</v>
          </cell>
          <cell r="I626" t="str">
            <v>CS01/9</v>
          </cell>
          <cell r="J626">
            <v>60044044</v>
          </cell>
          <cell r="K626">
            <v>220</v>
          </cell>
          <cell r="L626" t="str">
            <v>E1-ND-06-TSA-0359</v>
          </cell>
        </row>
        <row r="627">
          <cell r="A627">
            <v>60044152</v>
          </cell>
          <cell r="D627" t="str">
            <v>CR</v>
          </cell>
          <cell r="E627" t="str">
            <v>SPCC-SD</v>
          </cell>
          <cell r="F627">
            <v>0.8</v>
          </cell>
          <cell r="G627">
            <v>83</v>
          </cell>
          <cell r="H627" t="str">
            <v>C</v>
          </cell>
          <cell r="I627" t="str">
            <v>CS01/10</v>
          </cell>
          <cell r="J627">
            <v>60044152</v>
          </cell>
          <cell r="K627">
            <v>138</v>
          </cell>
        </row>
        <row r="628">
          <cell r="A628">
            <v>60044206</v>
          </cell>
          <cell r="B628" t="str">
            <v>CR SPCC-SD 0.6x79xC</v>
          </cell>
          <cell r="C628" t="str">
            <v>CR SPCC-SD</v>
          </cell>
          <cell r="D628" t="str">
            <v>CR</v>
          </cell>
          <cell r="E628" t="str">
            <v>SPCC-SD</v>
          </cell>
          <cell r="F628">
            <v>0.6</v>
          </cell>
          <cell r="G628">
            <v>79</v>
          </cell>
          <cell r="H628" t="str">
            <v>C</v>
          </cell>
          <cell r="I628" t="str">
            <v>CS01/4</v>
          </cell>
          <cell r="J628">
            <v>60044206</v>
          </cell>
          <cell r="K628">
            <v>214</v>
          </cell>
          <cell r="L628" t="str">
            <v>E1-ND-06-TSA-0359</v>
          </cell>
        </row>
        <row r="629">
          <cell r="A629">
            <v>60044208</v>
          </cell>
          <cell r="B629" t="str">
            <v>CR SPCC-SD 0.6x79xC</v>
          </cell>
          <cell r="C629" t="str">
            <v>CR SPCC-SD</v>
          </cell>
          <cell r="D629" t="str">
            <v>CR</v>
          </cell>
          <cell r="E629" t="str">
            <v>SPCC-SD</v>
          </cell>
          <cell r="F629">
            <v>0.6</v>
          </cell>
          <cell r="G629">
            <v>79</v>
          </cell>
          <cell r="H629" t="str">
            <v>C</v>
          </cell>
          <cell r="I629" t="str">
            <v>CS01/4</v>
          </cell>
          <cell r="J629">
            <v>60044208</v>
          </cell>
          <cell r="K629">
            <v>216</v>
          </cell>
          <cell r="L629" t="str">
            <v>E1-ND-06-TSA-0359</v>
          </cell>
        </row>
        <row r="630">
          <cell r="A630">
            <v>60045194</v>
          </cell>
          <cell r="D630" t="str">
            <v>CR</v>
          </cell>
          <cell r="E630" t="str">
            <v>SPCC-SD</v>
          </cell>
          <cell r="F630">
            <v>3</v>
          </cell>
          <cell r="G630">
            <v>78</v>
          </cell>
          <cell r="H630" t="str">
            <v>C</v>
          </cell>
          <cell r="I630" t="str">
            <v>CS01/11</v>
          </cell>
          <cell r="J630">
            <v>60045194</v>
          </cell>
          <cell r="K630">
            <v>404</v>
          </cell>
        </row>
        <row r="631">
          <cell r="A631">
            <v>60045196</v>
          </cell>
          <cell r="D631" t="str">
            <v>CR</v>
          </cell>
          <cell r="E631" t="str">
            <v>SPCC-SD</v>
          </cell>
          <cell r="F631">
            <v>3</v>
          </cell>
          <cell r="G631">
            <v>78</v>
          </cell>
          <cell r="H631" t="str">
            <v>C</v>
          </cell>
          <cell r="I631" t="str">
            <v>CS01/11</v>
          </cell>
          <cell r="J631">
            <v>60045196</v>
          </cell>
          <cell r="K631">
            <v>274</v>
          </cell>
        </row>
        <row r="632">
          <cell r="A632">
            <v>60045198</v>
          </cell>
          <cell r="D632" t="str">
            <v>CR</v>
          </cell>
          <cell r="E632" t="str">
            <v>SPCC-SD</v>
          </cell>
          <cell r="F632">
            <v>3</v>
          </cell>
          <cell r="G632">
            <v>78</v>
          </cell>
          <cell r="H632" t="str">
            <v>C</v>
          </cell>
          <cell r="I632" t="str">
            <v>CS01/11</v>
          </cell>
          <cell r="J632">
            <v>60045198</v>
          </cell>
          <cell r="K632">
            <v>360</v>
          </cell>
        </row>
        <row r="633">
          <cell r="A633">
            <v>60045213</v>
          </cell>
          <cell r="D633" t="str">
            <v>PO</v>
          </cell>
          <cell r="E633" t="str">
            <v>SPHC P/O</v>
          </cell>
          <cell r="F633">
            <v>4.5</v>
          </cell>
          <cell r="G633">
            <v>83</v>
          </cell>
          <cell r="H633" t="str">
            <v>C</v>
          </cell>
          <cell r="I633" t="str">
            <v>CS01/12</v>
          </cell>
          <cell r="J633">
            <v>60045213</v>
          </cell>
          <cell r="K633">
            <v>610</v>
          </cell>
        </row>
        <row r="634">
          <cell r="A634">
            <v>60045214</v>
          </cell>
          <cell r="D634" t="str">
            <v>PO</v>
          </cell>
          <cell r="E634" t="str">
            <v>SPHC P/O</v>
          </cell>
          <cell r="F634">
            <v>4.5</v>
          </cell>
          <cell r="G634">
            <v>83</v>
          </cell>
          <cell r="H634" t="str">
            <v>C</v>
          </cell>
          <cell r="I634" t="str">
            <v>CS01/12</v>
          </cell>
          <cell r="J634">
            <v>60045214</v>
          </cell>
          <cell r="K634">
            <v>610</v>
          </cell>
        </row>
        <row r="635">
          <cell r="A635">
            <v>60045363</v>
          </cell>
          <cell r="D635" t="str">
            <v>PO</v>
          </cell>
          <cell r="E635" t="str">
            <v>SPHC P/O</v>
          </cell>
          <cell r="F635">
            <v>6</v>
          </cell>
          <cell r="G635">
            <v>95</v>
          </cell>
          <cell r="H635" t="str">
            <v>C</v>
          </cell>
          <cell r="I635" t="str">
            <v>WIP</v>
          </cell>
          <cell r="J635">
            <v>60045363</v>
          </cell>
          <cell r="K635">
            <v>860</v>
          </cell>
        </row>
        <row r="636">
          <cell r="A636">
            <v>60045430</v>
          </cell>
          <cell r="D636" t="str">
            <v>PO</v>
          </cell>
          <cell r="E636" t="str">
            <v>SAPH440 P/O</v>
          </cell>
          <cell r="F636">
            <v>2</v>
          </cell>
          <cell r="G636">
            <v>60</v>
          </cell>
          <cell r="H636" t="str">
            <v>C</v>
          </cell>
          <cell r="I636" t="str">
            <v>CS01/11</v>
          </cell>
          <cell r="J636">
            <v>60045430</v>
          </cell>
          <cell r="K636">
            <v>432</v>
          </cell>
        </row>
        <row r="637">
          <cell r="A637">
            <v>60045950</v>
          </cell>
          <cell r="D637" t="str">
            <v>CR</v>
          </cell>
          <cell r="E637" t="str">
            <v>SPCC-SD</v>
          </cell>
          <cell r="F637">
            <v>0.6</v>
          </cell>
          <cell r="G637">
            <v>52</v>
          </cell>
          <cell r="H637" t="str">
            <v>C</v>
          </cell>
          <cell r="I637" t="str">
            <v>OW01/2</v>
          </cell>
          <cell r="J637">
            <v>60045950</v>
          </cell>
          <cell r="K637">
            <v>110</v>
          </cell>
        </row>
        <row r="638">
          <cell r="A638">
            <v>60046514</v>
          </cell>
          <cell r="D638" t="str">
            <v>CR</v>
          </cell>
          <cell r="E638" t="str">
            <v>SPCC-SD</v>
          </cell>
          <cell r="F638">
            <v>3</v>
          </cell>
          <cell r="G638">
            <v>78</v>
          </cell>
          <cell r="H638" t="str">
            <v>C</v>
          </cell>
          <cell r="I638" t="str">
            <v>CS01/10</v>
          </cell>
          <cell r="J638">
            <v>60046514</v>
          </cell>
          <cell r="K638">
            <v>392</v>
          </cell>
        </row>
        <row r="639">
          <cell r="A639">
            <v>60046519</v>
          </cell>
          <cell r="D639" t="str">
            <v>CR</v>
          </cell>
          <cell r="E639" t="str">
            <v>SPCC-SD</v>
          </cell>
          <cell r="F639">
            <v>3</v>
          </cell>
          <cell r="G639">
            <v>78</v>
          </cell>
          <cell r="H639" t="str">
            <v>C</v>
          </cell>
          <cell r="I639" t="str">
            <v>CS01/10</v>
          </cell>
          <cell r="J639">
            <v>60046519</v>
          </cell>
          <cell r="K639">
            <v>392</v>
          </cell>
        </row>
        <row r="640">
          <cell r="A640">
            <v>60046520</v>
          </cell>
          <cell r="D640" t="str">
            <v>CR</v>
          </cell>
          <cell r="E640" t="str">
            <v>SPCC-SD</v>
          </cell>
          <cell r="F640">
            <v>3</v>
          </cell>
          <cell r="G640">
            <v>78</v>
          </cell>
          <cell r="H640" t="str">
            <v>C</v>
          </cell>
          <cell r="I640" t="str">
            <v>CS01/10</v>
          </cell>
          <cell r="J640">
            <v>60046520</v>
          </cell>
          <cell r="K640">
            <v>326</v>
          </cell>
        </row>
        <row r="641">
          <cell r="A641">
            <v>60046525</v>
          </cell>
          <cell r="D641" t="str">
            <v>CR</v>
          </cell>
          <cell r="E641" t="str">
            <v>SPCC-SD</v>
          </cell>
          <cell r="F641">
            <v>3</v>
          </cell>
          <cell r="G641">
            <v>78</v>
          </cell>
          <cell r="H641" t="str">
            <v>C</v>
          </cell>
          <cell r="I641" t="str">
            <v>CS01/10</v>
          </cell>
          <cell r="J641">
            <v>60046525</v>
          </cell>
          <cell r="K641">
            <v>326</v>
          </cell>
        </row>
        <row r="642">
          <cell r="A642">
            <v>60046527</v>
          </cell>
          <cell r="D642" t="str">
            <v>CR</v>
          </cell>
          <cell r="E642" t="str">
            <v>SPCC-SD</v>
          </cell>
          <cell r="F642">
            <v>3</v>
          </cell>
          <cell r="G642">
            <v>78</v>
          </cell>
          <cell r="H642" t="str">
            <v>C</v>
          </cell>
          <cell r="I642" t="str">
            <v>CS01/10</v>
          </cell>
          <cell r="J642">
            <v>60046527</v>
          </cell>
          <cell r="K642">
            <v>230</v>
          </cell>
        </row>
        <row r="643">
          <cell r="A643">
            <v>60046532</v>
          </cell>
          <cell r="D643" t="str">
            <v>CR</v>
          </cell>
          <cell r="E643" t="str">
            <v>SPCC-SD</v>
          </cell>
          <cell r="F643">
            <v>3</v>
          </cell>
          <cell r="G643">
            <v>78</v>
          </cell>
          <cell r="H643" t="str">
            <v>C</v>
          </cell>
          <cell r="I643" t="str">
            <v>CS01/10</v>
          </cell>
          <cell r="J643">
            <v>60046532</v>
          </cell>
          <cell r="K643">
            <v>232</v>
          </cell>
        </row>
        <row r="644">
          <cell r="A644">
            <v>60046556</v>
          </cell>
          <cell r="B644" t="str">
            <v>CR SPCC-SD 1.6x77xC</v>
          </cell>
          <cell r="C644" t="str">
            <v>CR SPCC-SD</v>
          </cell>
          <cell r="D644" t="str">
            <v>CR</v>
          </cell>
          <cell r="E644" t="str">
            <v>SPCC-SD</v>
          </cell>
          <cell r="F644">
            <v>1.6</v>
          </cell>
          <cell r="G644">
            <v>77</v>
          </cell>
          <cell r="H644" t="str">
            <v>C</v>
          </cell>
          <cell r="I644" t="str">
            <v>CS01/9</v>
          </cell>
          <cell r="J644">
            <v>60046556</v>
          </cell>
          <cell r="K644">
            <v>254</v>
          </cell>
          <cell r="L644" t="str">
            <v>E2-ND-06-TSA-0151</v>
          </cell>
        </row>
        <row r="645">
          <cell r="A645">
            <v>60046564</v>
          </cell>
          <cell r="D645" t="str">
            <v>CR</v>
          </cell>
          <cell r="E645" t="str">
            <v>SPCC-SD</v>
          </cell>
          <cell r="F645">
            <v>3</v>
          </cell>
          <cell r="G645">
            <v>78</v>
          </cell>
          <cell r="H645" t="str">
            <v>C</v>
          </cell>
          <cell r="I645" t="str">
            <v>CS01/10</v>
          </cell>
          <cell r="J645">
            <v>60046564</v>
          </cell>
          <cell r="K645">
            <v>224</v>
          </cell>
        </row>
        <row r="646">
          <cell r="A646">
            <v>60046569</v>
          </cell>
          <cell r="D646" t="str">
            <v>CR</v>
          </cell>
          <cell r="E646" t="str">
            <v>SPCC-SD</v>
          </cell>
          <cell r="F646">
            <v>3</v>
          </cell>
          <cell r="G646">
            <v>78</v>
          </cell>
          <cell r="H646" t="str">
            <v>C</v>
          </cell>
          <cell r="I646" t="str">
            <v>CS01/10</v>
          </cell>
          <cell r="J646">
            <v>60046569</v>
          </cell>
          <cell r="K646">
            <v>224</v>
          </cell>
        </row>
        <row r="647">
          <cell r="A647">
            <v>60046744</v>
          </cell>
          <cell r="D647" t="str">
            <v>CR</v>
          </cell>
          <cell r="E647" t="str">
            <v>SPCC-SD</v>
          </cell>
          <cell r="F647">
            <v>3</v>
          </cell>
          <cell r="G647">
            <v>78</v>
          </cell>
          <cell r="H647" t="str">
            <v>C</v>
          </cell>
          <cell r="I647" t="str">
            <v>CS01/12</v>
          </cell>
          <cell r="J647">
            <v>60046744</v>
          </cell>
          <cell r="K647">
            <v>340</v>
          </cell>
        </row>
        <row r="648">
          <cell r="A648">
            <v>60047195</v>
          </cell>
          <cell r="B648" t="str">
            <v>CR SPCC-SD 0.6x48xC</v>
          </cell>
          <cell r="C648" t="str">
            <v>CR SPCC-SD</v>
          </cell>
          <cell r="D648" t="str">
            <v>CR</v>
          </cell>
          <cell r="E648" t="str">
            <v>SPCC-SD</v>
          </cell>
          <cell r="F648">
            <v>0.6</v>
          </cell>
          <cell r="G648">
            <v>48</v>
          </cell>
          <cell r="H648" t="str">
            <v>C</v>
          </cell>
          <cell r="I648" t="str">
            <v>CS01/5</v>
          </cell>
          <cell r="J648">
            <v>60047195</v>
          </cell>
          <cell r="K648">
            <v>156</v>
          </cell>
          <cell r="L648" t="str">
            <v>E1-ND-06-TSA-0359</v>
          </cell>
        </row>
        <row r="649">
          <cell r="A649">
            <v>60047196</v>
          </cell>
          <cell r="B649" t="str">
            <v>CR SPCC-SD 0.6x48xC</v>
          </cell>
          <cell r="C649" t="str">
            <v>CR SPCC-SD</v>
          </cell>
          <cell r="D649" t="str">
            <v>CR</v>
          </cell>
          <cell r="E649" t="str">
            <v>SPCC-SD</v>
          </cell>
          <cell r="F649">
            <v>0.6</v>
          </cell>
          <cell r="G649">
            <v>48</v>
          </cell>
          <cell r="H649" t="str">
            <v>C</v>
          </cell>
          <cell r="I649" t="str">
            <v>CS01/5</v>
          </cell>
          <cell r="J649">
            <v>60047196</v>
          </cell>
          <cell r="K649">
            <v>156</v>
          </cell>
          <cell r="L649" t="str">
            <v>E1-ND-06-TSA-0359</v>
          </cell>
        </row>
        <row r="650">
          <cell r="A650">
            <v>60047197</v>
          </cell>
          <cell r="B650" t="str">
            <v>CR SPCC-SD 0.6x48xC</v>
          </cell>
          <cell r="C650" t="str">
            <v>CR SPCC-SD</v>
          </cell>
          <cell r="D650" t="str">
            <v>CR</v>
          </cell>
          <cell r="E650" t="str">
            <v>SPCC-SD</v>
          </cell>
          <cell r="F650">
            <v>0.6</v>
          </cell>
          <cell r="G650">
            <v>48</v>
          </cell>
          <cell r="H650" t="str">
            <v>C</v>
          </cell>
          <cell r="I650" t="str">
            <v>CS01/5</v>
          </cell>
          <cell r="J650">
            <v>60047197</v>
          </cell>
          <cell r="K650">
            <v>156</v>
          </cell>
          <cell r="L650" t="str">
            <v>E1-ND-06-TSA-0359</v>
          </cell>
        </row>
        <row r="651">
          <cell r="A651">
            <v>60047255</v>
          </cell>
          <cell r="B651" t="str">
            <v>CR SPCC-SD 0.6x83xC</v>
          </cell>
          <cell r="C651" t="str">
            <v>CR SPCC-SD</v>
          </cell>
          <cell r="D651" t="str">
            <v>CR</v>
          </cell>
          <cell r="E651" t="str">
            <v>SPCC-SD</v>
          </cell>
          <cell r="F651">
            <v>0.6</v>
          </cell>
          <cell r="G651">
            <v>83</v>
          </cell>
          <cell r="H651" t="str">
            <v>C</v>
          </cell>
          <cell r="I651" t="str">
            <v>CS01/11</v>
          </cell>
          <cell r="J651">
            <v>60047255</v>
          </cell>
          <cell r="K651">
            <v>216</v>
          </cell>
          <cell r="L651" t="str">
            <v>E1-ND-06-TSA-0359</v>
          </cell>
        </row>
        <row r="652">
          <cell r="A652">
            <v>60047256</v>
          </cell>
          <cell r="B652" t="str">
            <v>CR SPCC-SD 0.6x83xC</v>
          </cell>
          <cell r="C652" t="str">
            <v>CR SPCC-SD</v>
          </cell>
          <cell r="D652" t="str">
            <v>CR</v>
          </cell>
          <cell r="E652" t="str">
            <v>SPCC-SD</v>
          </cell>
          <cell r="F652">
            <v>0.6</v>
          </cell>
          <cell r="G652">
            <v>83</v>
          </cell>
          <cell r="H652" t="str">
            <v>C</v>
          </cell>
          <cell r="I652" t="str">
            <v>CS01/11</v>
          </cell>
          <cell r="J652">
            <v>60047256</v>
          </cell>
          <cell r="K652">
            <v>216</v>
          </cell>
          <cell r="L652" t="str">
            <v>E1-ND-06-TSA-0359</v>
          </cell>
        </row>
        <row r="653">
          <cell r="A653">
            <v>60047257</v>
          </cell>
          <cell r="B653" t="str">
            <v>CR SPCC-SD 0.6x52xC</v>
          </cell>
          <cell r="C653" t="str">
            <v>CR SPCC-SD</v>
          </cell>
          <cell r="D653" t="str">
            <v>CR</v>
          </cell>
          <cell r="E653" t="str">
            <v>SPCC-SD</v>
          </cell>
          <cell r="F653">
            <v>0.6</v>
          </cell>
          <cell r="G653">
            <v>52</v>
          </cell>
          <cell r="H653" t="str">
            <v>C</v>
          </cell>
          <cell r="I653" t="str">
            <v>CS01/11</v>
          </cell>
          <cell r="J653">
            <v>60047257</v>
          </cell>
          <cell r="K653">
            <v>138</v>
          </cell>
          <cell r="L653" t="str">
            <v>E1-ND-06-TSA-0359</v>
          </cell>
        </row>
        <row r="654">
          <cell r="A654">
            <v>60047345</v>
          </cell>
          <cell r="B654" t="str">
            <v>CR SPCC-SD 0.6x83xC</v>
          </cell>
          <cell r="C654" t="str">
            <v>CR SPCC-SD</v>
          </cell>
          <cell r="D654" t="str">
            <v>CR</v>
          </cell>
          <cell r="E654" t="str">
            <v>SPCC-SD</v>
          </cell>
          <cell r="F654">
            <v>0.6</v>
          </cell>
          <cell r="G654">
            <v>83</v>
          </cell>
          <cell r="H654" t="str">
            <v>C</v>
          </cell>
          <cell r="I654" t="str">
            <v>CS01/11</v>
          </cell>
          <cell r="J654">
            <v>60047345</v>
          </cell>
          <cell r="K654">
            <v>536</v>
          </cell>
          <cell r="L654" t="str">
            <v>E1-ND-06-TSA-0359</v>
          </cell>
        </row>
        <row r="655">
          <cell r="A655">
            <v>60047346</v>
          </cell>
          <cell r="B655" t="str">
            <v>CR SPCC-SD 0.6x83xC</v>
          </cell>
          <cell r="C655" t="str">
            <v>CR SPCC-SD</v>
          </cell>
          <cell r="D655" t="str">
            <v>CR</v>
          </cell>
          <cell r="E655" t="str">
            <v>SPCC-SD</v>
          </cell>
          <cell r="F655">
            <v>0.6</v>
          </cell>
          <cell r="G655">
            <v>83</v>
          </cell>
          <cell r="H655" t="str">
            <v>C</v>
          </cell>
          <cell r="I655" t="str">
            <v>CS01/11</v>
          </cell>
          <cell r="J655">
            <v>60047346</v>
          </cell>
          <cell r="K655">
            <v>542</v>
          </cell>
          <cell r="L655" t="str">
            <v>E1-ND-06-TSA-0360</v>
          </cell>
        </row>
        <row r="656">
          <cell r="A656">
            <v>60047347</v>
          </cell>
          <cell r="B656" t="str">
            <v>CR SPCC-SD 0.6x83xC</v>
          </cell>
          <cell r="C656" t="str">
            <v>CR SPCC-SD</v>
          </cell>
          <cell r="D656" t="str">
            <v>CR</v>
          </cell>
          <cell r="E656" t="str">
            <v>SPCC-SD</v>
          </cell>
          <cell r="F656">
            <v>0.6</v>
          </cell>
          <cell r="G656">
            <v>83</v>
          </cell>
          <cell r="H656" t="str">
            <v>C</v>
          </cell>
          <cell r="I656" t="str">
            <v>CS01/11</v>
          </cell>
          <cell r="J656">
            <v>60047347</v>
          </cell>
          <cell r="K656">
            <v>536</v>
          </cell>
          <cell r="L656" t="str">
            <v>E1-ND-06-TSA-0360</v>
          </cell>
        </row>
        <row r="657">
          <cell r="A657">
            <v>60047401</v>
          </cell>
          <cell r="B657" t="str">
            <v>CR SPCC-SD 0.6x83xC</v>
          </cell>
          <cell r="C657" t="str">
            <v>CR SPCC-SD</v>
          </cell>
          <cell r="D657" t="str">
            <v>CR</v>
          </cell>
          <cell r="E657" t="str">
            <v>SPCC-SD</v>
          </cell>
          <cell r="F657">
            <v>0.6</v>
          </cell>
          <cell r="G657">
            <v>83</v>
          </cell>
          <cell r="H657" t="str">
            <v>C</v>
          </cell>
          <cell r="I657" t="str">
            <v>CS01/11</v>
          </cell>
          <cell r="J657">
            <v>60047401</v>
          </cell>
          <cell r="K657">
            <v>484</v>
          </cell>
          <cell r="L657" t="str">
            <v>E1-ND-06-TSA-0360</v>
          </cell>
        </row>
        <row r="658">
          <cell r="A658">
            <v>60047402</v>
          </cell>
          <cell r="B658" t="str">
            <v>CR SPCC-SD 0.6x83xC</v>
          </cell>
          <cell r="C658" t="str">
            <v>CR SPCC-SD</v>
          </cell>
          <cell r="D658" t="str">
            <v>CR</v>
          </cell>
          <cell r="E658" t="str">
            <v>SPCC-SD</v>
          </cell>
          <cell r="F658">
            <v>0.6</v>
          </cell>
          <cell r="G658">
            <v>83</v>
          </cell>
          <cell r="H658" t="str">
            <v>C</v>
          </cell>
          <cell r="I658" t="str">
            <v>CS01/11</v>
          </cell>
          <cell r="J658">
            <v>60047402</v>
          </cell>
          <cell r="K658">
            <v>490</v>
          </cell>
          <cell r="L658" t="str">
            <v>E1-ND-06-TSA-0360</v>
          </cell>
        </row>
        <row r="659">
          <cell r="A659">
            <v>60047403</v>
          </cell>
          <cell r="B659" t="str">
            <v>CR SPCC-SD 0.6x83xC</v>
          </cell>
          <cell r="C659" t="str">
            <v>CR SPCC-SD</v>
          </cell>
          <cell r="D659" t="str">
            <v>CR</v>
          </cell>
          <cell r="E659" t="str">
            <v>SPCC-SD</v>
          </cell>
          <cell r="F659">
            <v>0.6</v>
          </cell>
          <cell r="G659">
            <v>83</v>
          </cell>
          <cell r="H659" t="str">
            <v>C</v>
          </cell>
          <cell r="I659" t="str">
            <v>CS01/11</v>
          </cell>
          <cell r="J659">
            <v>60047403</v>
          </cell>
          <cell r="K659">
            <v>484</v>
          </cell>
          <cell r="L659" t="str">
            <v>E1-ND-06-TSA-0360</v>
          </cell>
        </row>
        <row r="660">
          <cell r="A660">
            <v>60047412</v>
          </cell>
          <cell r="B660" t="str">
            <v>CR SPCC-SD 0.6x83xC</v>
          </cell>
          <cell r="C660" t="str">
            <v>CR SPCC-SD</v>
          </cell>
          <cell r="D660" t="str">
            <v>CR</v>
          </cell>
          <cell r="E660" t="str">
            <v>SPCC-SD</v>
          </cell>
          <cell r="F660">
            <v>0.6</v>
          </cell>
          <cell r="G660">
            <v>83</v>
          </cell>
          <cell r="H660" t="str">
            <v>C</v>
          </cell>
          <cell r="I660" t="str">
            <v>CS01/11</v>
          </cell>
          <cell r="J660">
            <v>60047412</v>
          </cell>
          <cell r="K660">
            <v>414</v>
          </cell>
          <cell r="L660" t="str">
            <v>E1-ND-06-TSA-0360</v>
          </cell>
        </row>
        <row r="661">
          <cell r="A661">
            <v>60047413</v>
          </cell>
          <cell r="B661" t="str">
            <v>CR SPCC-SD 0.6x83xC</v>
          </cell>
          <cell r="C661" t="str">
            <v>CR SPCC-SD</v>
          </cell>
          <cell r="D661" t="str">
            <v>CR</v>
          </cell>
          <cell r="E661" t="str">
            <v>SPCC-SD</v>
          </cell>
          <cell r="F661">
            <v>0.6</v>
          </cell>
          <cell r="G661">
            <v>83</v>
          </cell>
          <cell r="H661" t="str">
            <v>C</v>
          </cell>
          <cell r="I661" t="str">
            <v>CS01/11</v>
          </cell>
          <cell r="J661">
            <v>60047413</v>
          </cell>
          <cell r="K661">
            <v>420</v>
          </cell>
          <cell r="L661" t="str">
            <v>E1-ND-06-TSA-0360</v>
          </cell>
        </row>
        <row r="662">
          <cell r="A662">
            <v>60047414</v>
          </cell>
          <cell r="B662" t="str">
            <v>CR SPCC-SD 0.6x83xC</v>
          </cell>
          <cell r="C662" t="str">
            <v>CR SPCC-SD</v>
          </cell>
          <cell r="D662" t="str">
            <v>CR</v>
          </cell>
          <cell r="E662" t="str">
            <v>SPCC-SD</v>
          </cell>
          <cell r="F662">
            <v>0.6</v>
          </cell>
          <cell r="G662">
            <v>83</v>
          </cell>
          <cell r="H662" t="str">
            <v>C</v>
          </cell>
          <cell r="I662" t="str">
            <v>CS01/11</v>
          </cell>
          <cell r="J662">
            <v>60047414</v>
          </cell>
          <cell r="K662">
            <v>414</v>
          </cell>
          <cell r="L662" t="str">
            <v>E1-ND-06-TSA-0360</v>
          </cell>
        </row>
        <row r="663">
          <cell r="A663">
            <v>60047426</v>
          </cell>
          <cell r="B663" t="str">
            <v>CR SPCC-SD 0.6x83xC</v>
          </cell>
          <cell r="C663" t="str">
            <v>CR SPCC-SD</v>
          </cell>
          <cell r="D663" t="str">
            <v>CR</v>
          </cell>
          <cell r="E663" t="str">
            <v>SPCC-SD</v>
          </cell>
          <cell r="F663">
            <v>0.6</v>
          </cell>
          <cell r="G663">
            <v>83</v>
          </cell>
          <cell r="H663" t="str">
            <v>C</v>
          </cell>
          <cell r="I663" t="str">
            <v>CS01/12</v>
          </cell>
          <cell r="J663">
            <v>60047426</v>
          </cell>
          <cell r="K663">
            <v>113</v>
          </cell>
          <cell r="L663" t="str">
            <v>E1-ND-06-TSA-0360</v>
          </cell>
        </row>
        <row r="664">
          <cell r="A664">
            <v>60047427</v>
          </cell>
          <cell r="B664" t="str">
            <v>CR SPCC-SD 0.6x52xC</v>
          </cell>
          <cell r="C664" t="str">
            <v>CR SPCC-SD</v>
          </cell>
          <cell r="D664" t="str">
            <v>CR</v>
          </cell>
          <cell r="E664" t="str">
            <v>SPCC-SD</v>
          </cell>
          <cell r="F664">
            <v>0.6</v>
          </cell>
          <cell r="G664">
            <v>52</v>
          </cell>
          <cell r="H664" t="str">
            <v>C</v>
          </cell>
          <cell r="I664" t="str">
            <v>CS01/12</v>
          </cell>
          <cell r="J664">
            <v>60047427</v>
          </cell>
          <cell r="K664">
            <v>71</v>
          </cell>
          <cell r="L664" t="str">
            <v>E1-ND-06-TSA-0360</v>
          </cell>
        </row>
        <row r="665">
          <cell r="A665">
            <v>60047531</v>
          </cell>
          <cell r="B665" t="str">
            <v>CR SPCC-SD 0.6x83xC</v>
          </cell>
          <cell r="C665" t="str">
            <v>CR SPCC-SD</v>
          </cell>
          <cell r="D665" t="str">
            <v>CR</v>
          </cell>
          <cell r="E665" t="str">
            <v>SPCC-SD</v>
          </cell>
          <cell r="F665">
            <v>0.6</v>
          </cell>
          <cell r="G665">
            <v>83</v>
          </cell>
          <cell r="H665" t="str">
            <v>C</v>
          </cell>
          <cell r="I665" t="str">
            <v>CS01/12</v>
          </cell>
          <cell r="J665">
            <v>60047531</v>
          </cell>
          <cell r="K665">
            <v>512</v>
          </cell>
          <cell r="L665" t="str">
            <v>E1-ND-06-TSA-0360</v>
          </cell>
        </row>
        <row r="666">
          <cell r="A666">
            <v>60047532</v>
          </cell>
          <cell r="B666" t="str">
            <v>CR SPCC-SD 0.6x83xC</v>
          </cell>
          <cell r="C666" t="str">
            <v>CR SPCC-SD</v>
          </cell>
          <cell r="D666" t="str">
            <v>CR</v>
          </cell>
          <cell r="E666" t="str">
            <v>SPCC-SD</v>
          </cell>
          <cell r="F666">
            <v>0.6</v>
          </cell>
          <cell r="G666">
            <v>83</v>
          </cell>
          <cell r="H666" t="str">
            <v>C</v>
          </cell>
          <cell r="I666" t="str">
            <v>CS01/12</v>
          </cell>
          <cell r="J666">
            <v>60047532</v>
          </cell>
          <cell r="K666">
            <v>512</v>
          </cell>
          <cell r="L666" t="str">
            <v>E1-ND-06-TSA-0360</v>
          </cell>
        </row>
        <row r="667">
          <cell r="A667">
            <v>60047533</v>
          </cell>
          <cell r="B667" t="str">
            <v>CR SPCC-SD 0.6x52xC</v>
          </cell>
          <cell r="C667" t="str">
            <v>CR SPCC-SD</v>
          </cell>
          <cell r="D667" t="str">
            <v>CR</v>
          </cell>
          <cell r="E667" t="str">
            <v>SPCC-SD</v>
          </cell>
          <cell r="F667">
            <v>0.6</v>
          </cell>
          <cell r="G667">
            <v>52</v>
          </cell>
          <cell r="H667" t="str">
            <v>C</v>
          </cell>
          <cell r="I667" t="str">
            <v>CS01/12</v>
          </cell>
          <cell r="J667">
            <v>60047533</v>
          </cell>
          <cell r="K667">
            <v>326</v>
          </cell>
          <cell r="L667" t="str">
            <v>E1-ND-06-TSA-0360</v>
          </cell>
        </row>
        <row r="668">
          <cell r="A668">
            <v>60047536</v>
          </cell>
          <cell r="B668" t="str">
            <v>CR SPCC-SD 0.6x83xC</v>
          </cell>
          <cell r="C668" t="str">
            <v>CR SPCC-SD</v>
          </cell>
          <cell r="D668" t="str">
            <v>CR</v>
          </cell>
          <cell r="E668" t="str">
            <v>SPCC-SD</v>
          </cell>
          <cell r="F668">
            <v>0.6</v>
          </cell>
          <cell r="G668">
            <v>83</v>
          </cell>
          <cell r="H668" t="str">
            <v>C</v>
          </cell>
          <cell r="I668" t="str">
            <v>CS01/12</v>
          </cell>
          <cell r="J668">
            <v>60047536</v>
          </cell>
          <cell r="K668">
            <v>516</v>
          </cell>
          <cell r="L668" t="str">
            <v>E1-ND-06-TSA-0360</v>
          </cell>
        </row>
        <row r="669">
          <cell r="A669">
            <v>60047537</v>
          </cell>
          <cell r="B669" t="str">
            <v>CR SPCC-SD 0.6x83xC</v>
          </cell>
          <cell r="C669" t="str">
            <v>CR SPCC-SD</v>
          </cell>
          <cell r="D669" t="str">
            <v>CR</v>
          </cell>
          <cell r="E669" t="str">
            <v>SPCC-SD</v>
          </cell>
          <cell r="F669">
            <v>0.6</v>
          </cell>
          <cell r="G669">
            <v>83</v>
          </cell>
          <cell r="H669" t="str">
            <v>C</v>
          </cell>
          <cell r="I669" t="str">
            <v>CS01/12</v>
          </cell>
          <cell r="J669">
            <v>60047537</v>
          </cell>
          <cell r="K669">
            <v>516</v>
          </cell>
          <cell r="L669" t="str">
            <v>E1-ND-06-TSA-0360</v>
          </cell>
        </row>
        <row r="670">
          <cell r="A670">
            <v>60047538</v>
          </cell>
          <cell r="B670" t="str">
            <v>CR SPCC-SD 0.6x52xC</v>
          </cell>
          <cell r="C670" t="str">
            <v>CR SPCC-SD</v>
          </cell>
          <cell r="D670" t="str">
            <v>CR</v>
          </cell>
          <cell r="E670" t="str">
            <v>SPCC-SD</v>
          </cell>
          <cell r="F670">
            <v>0.6</v>
          </cell>
          <cell r="G670">
            <v>52</v>
          </cell>
          <cell r="H670" t="str">
            <v>C</v>
          </cell>
          <cell r="I670" t="str">
            <v>CS01/12</v>
          </cell>
          <cell r="J670">
            <v>60047538</v>
          </cell>
          <cell r="K670">
            <v>326</v>
          </cell>
          <cell r="L670" t="str">
            <v>E1-ND-06-TSA-0360</v>
          </cell>
        </row>
        <row r="671">
          <cell r="A671">
            <v>60047543</v>
          </cell>
          <cell r="B671" t="str">
            <v>CR SPCC-SD 0.6x52xC</v>
          </cell>
          <cell r="C671" t="str">
            <v>CR SPCC-SD</v>
          </cell>
          <cell r="D671" t="str">
            <v>CR</v>
          </cell>
          <cell r="E671" t="str">
            <v>SPCC-SD</v>
          </cell>
          <cell r="F671">
            <v>0.6</v>
          </cell>
          <cell r="G671">
            <v>52</v>
          </cell>
          <cell r="H671" t="str">
            <v>C</v>
          </cell>
          <cell r="I671" t="str">
            <v>CS01/12</v>
          </cell>
          <cell r="J671">
            <v>60047543</v>
          </cell>
          <cell r="K671">
            <v>320</v>
          </cell>
          <cell r="L671" t="str">
            <v>E1-ND-06-TSA-0360</v>
          </cell>
        </row>
        <row r="672">
          <cell r="A672">
            <v>60047550</v>
          </cell>
          <cell r="B672" t="str">
            <v>CR SPCC-SD 0.6x83xC</v>
          </cell>
          <cell r="C672" t="str">
            <v>CR SPCC-SD</v>
          </cell>
          <cell r="D672" t="str">
            <v>CR</v>
          </cell>
          <cell r="E672" t="str">
            <v>SPCC-SD</v>
          </cell>
          <cell r="F672">
            <v>0.6</v>
          </cell>
          <cell r="G672">
            <v>83</v>
          </cell>
          <cell r="H672" t="str">
            <v>C</v>
          </cell>
          <cell r="I672" t="str">
            <v>CS01/11</v>
          </cell>
          <cell r="J672">
            <v>60047550</v>
          </cell>
          <cell r="K672">
            <v>264</v>
          </cell>
          <cell r="L672" t="str">
            <v>E1-ND-06-TSA-0361</v>
          </cell>
        </row>
        <row r="673">
          <cell r="A673">
            <v>60047551</v>
          </cell>
          <cell r="B673" t="str">
            <v>CR SPCC-SD 0.6x83xC</v>
          </cell>
          <cell r="C673" t="str">
            <v>CR SPCC-SD</v>
          </cell>
          <cell r="D673" t="str">
            <v>CR</v>
          </cell>
          <cell r="E673" t="str">
            <v>SPCC-SD</v>
          </cell>
          <cell r="F673">
            <v>0.6</v>
          </cell>
          <cell r="G673">
            <v>83</v>
          </cell>
          <cell r="H673" t="str">
            <v>C</v>
          </cell>
          <cell r="I673" t="str">
            <v>CS01/11</v>
          </cell>
          <cell r="J673">
            <v>60047551</v>
          </cell>
          <cell r="K673">
            <v>264</v>
          </cell>
          <cell r="L673" t="str">
            <v>E1-ND-06-TSA-0361</v>
          </cell>
        </row>
        <row r="674">
          <cell r="A674">
            <v>60047554</v>
          </cell>
          <cell r="B674" t="str">
            <v>CR SPCC-SD 0.6x83xC</v>
          </cell>
          <cell r="C674" t="str">
            <v>CR SPCC-SD</v>
          </cell>
          <cell r="D674" t="str">
            <v>CR</v>
          </cell>
          <cell r="E674" t="str">
            <v>SPCC-SD</v>
          </cell>
          <cell r="F674">
            <v>0.6</v>
          </cell>
          <cell r="G674">
            <v>83</v>
          </cell>
          <cell r="H674" t="str">
            <v>C</v>
          </cell>
          <cell r="I674" t="str">
            <v>CS01/11</v>
          </cell>
          <cell r="J674">
            <v>60047554</v>
          </cell>
          <cell r="K674">
            <v>268</v>
          </cell>
          <cell r="L674" t="str">
            <v>E1-ND-06-TSA-0361</v>
          </cell>
        </row>
        <row r="675">
          <cell r="A675">
            <v>60047555</v>
          </cell>
          <cell r="B675" t="str">
            <v>CR SPCC-SD 0.6x83xC</v>
          </cell>
          <cell r="C675" t="str">
            <v>CR SPCC-SD</v>
          </cell>
          <cell r="D675" t="str">
            <v>CR</v>
          </cell>
          <cell r="E675" t="str">
            <v>SPCC-SD</v>
          </cell>
          <cell r="F675">
            <v>0.6</v>
          </cell>
          <cell r="G675">
            <v>83</v>
          </cell>
          <cell r="H675" t="str">
            <v>C</v>
          </cell>
          <cell r="I675" t="str">
            <v>CS01/11</v>
          </cell>
          <cell r="J675">
            <v>60047555</v>
          </cell>
          <cell r="K675">
            <v>268</v>
          </cell>
          <cell r="L675" t="str">
            <v>E1-ND-06-TSA-0361</v>
          </cell>
        </row>
        <row r="676">
          <cell r="A676">
            <v>60047556</v>
          </cell>
          <cell r="B676" t="str">
            <v>CR SPCC-SD 0.6x52xC</v>
          </cell>
          <cell r="C676" t="str">
            <v>CR SPCC-SD</v>
          </cell>
          <cell r="D676" t="str">
            <v>CR</v>
          </cell>
          <cell r="E676" t="str">
            <v>SPCC-SD</v>
          </cell>
          <cell r="F676">
            <v>0.6</v>
          </cell>
          <cell r="G676">
            <v>52</v>
          </cell>
          <cell r="H676" t="str">
            <v>C</v>
          </cell>
          <cell r="I676" t="str">
            <v>CS01/11</v>
          </cell>
          <cell r="J676">
            <v>60047556</v>
          </cell>
          <cell r="K676">
            <v>170</v>
          </cell>
          <cell r="L676" t="str">
            <v>E1-ND-06-TSA-0361</v>
          </cell>
        </row>
        <row r="677">
          <cell r="A677">
            <v>60047687</v>
          </cell>
          <cell r="B677" t="str">
            <v>CR SPCC-SD 1.6x77xC</v>
          </cell>
          <cell r="C677" t="str">
            <v>CR SPCC-SD</v>
          </cell>
          <cell r="D677" t="str">
            <v>CR</v>
          </cell>
          <cell r="E677" t="str">
            <v>SPCC-SD</v>
          </cell>
          <cell r="F677">
            <v>1.6</v>
          </cell>
          <cell r="G677">
            <v>77</v>
          </cell>
          <cell r="H677" t="str">
            <v>C</v>
          </cell>
          <cell r="I677" t="str">
            <v>CS01/6</v>
          </cell>
          <cell r="J677">
            <v>60047687</v>
          </cell>
          <cell r="K677">
            <v>592</v>
          </cell>
          <cell r="L677" t="str">
            <v>E2-ND-06-TSA-0151</v>
          </cell>
        </row>
        <row r="678">
          <cell r="A678">
            <v>60047697</v>
          </cell>
          <cell r="D678" t="str">
            <v>CR</v>
          </cell>
          <cell r="E678" t="str">
            <v>SPCC-SD</v>
          </cell>
          <cell r="F678">
            <v>1</v>
          </cell>
          <cell r="G678">
            <v>290</v>
          </cell>
          <cell r="H678" t="str">
            <v>C</v>
          </cell>
          <cell r="I678" t="str">
            <v>WIP</v>
          </cell>
          <cell r="J678">
            <v>60047697</v>
          </cell>
          <cell r="K678">
            <v>133</v>
          </cell>
        </row>
        <row r="679">
          <cell r="A679">
            <v>60047882</v>
          </cell>
          <cell r="B679" t="str">
            <v>CR SPCC-SD 0.6x52xC</v>
          </cell>
          <cell r="C679" t="str">
            <v>CR SPCC-SD</v>
          </cell>
          <cell r="D679" t="str">
            <v>CR</v>
          </cell>
          <cell r="E679" t="str">
            <v>SPCC-SD</v>
          </cell>
          <cell r="F679">
            <v>0.6</v>
          </cell>
          <cell r="G679">
            <v>52</v>
          </cell>
          <cell r="H679" t="str">
            <v>C</v>
          </cell>
          <cell r="I679" t="str">
            <v>CS01/12</v>
          </cell>
          <cell r="J679">
            <v>60047882</v>
          </cell>
          <cell r="K679">
            <v>330</v>
          </cell>
          <cell r="L679" t="str">
            <v>E1-ND-06-TSA-0361</v>
          </cell>
        </row>
        <row r="680">
          <cell r="A680">
            <v>60047883</v>
          </cell>
          <cell r="B680" t="str">
            <v>CR SPCC-SD 0.6x52xC</v>
          </cell>
          <cell r="C680" t="str">
            <v>CR SPCC-SD</v>
          </cell>
          <cell r="D680" t="str">
            <v>CR</v>
          </cell>
          <cell r="E680" t="str">
            <v>SPCC-SD</v>
          </cell>
          <cell r="F680">
            <v>0.6</v>
          </cell>
          <cell r="G680">
            <v>52</v>
          </cell>
          <cell r="H680" t="str">
            <v>C</v>
          </cell>
          <cell r="I680" t="str">
            <v>CS01/12</v>
          </cell>
          <cell r="J680">
            <v>60047883</v>
          </cell>
          <cell r="K680">
            <v>330</v>
          </cell>
          <cell r="L680" t="str">
            <v>E1-ND-06-TSA-0361</v>
          </cell>
        </row>
        <row r="681">
          <cell r="A681">
            <v>60047886</v>
          </cell>
          <cell r="B681" t="str">
            <v>CR SPCC-SD 0.6x52xC</v>
          </cell>
          <cell r="C681" t="str">
            <v>CR SPCC-SD</v>
          </cell>
          <cell r="D681" t="str">
            <v>CR</v>
          </cell>
          <cell r="E681" t="str">
            <v>SPCC-SD</v>
          </cell>
          <cell r="F681">
            <v>0.6</v>
          </cell>
          <cell r="G681">
            <v>52</v>
          </cell>
          <cell r="H681" t="str">
            <v>C</v>
          </cell>
          <cell r="I681" t="str">
            <v>CS01/12</v>
          </cell>
          <cell r="J681">
            <v>60047886</v>
          </cell>
          <cell r="K681">
            <v>44</v>
          </cell>
          <cell r="L681" t="str">
            <v>E1-ND-06-TSA-0361</v>
          </cell>
        </row>
        <row r="682">
          <cell r="A682">
            <v>60047887</v>
          </cell>
          <cell r="B682" t="str">
            <v>CR SPCC-SD 0.6x52xC</v>
          </cell>
          <cell r="C682" t="str">
            <v>CR SPCC-SD</v>
          </cell>
          <cell r="D682" t="str">
            <v>CR</v>
          </cell>
          <cell r="E682" t="str">
            <v>SPCC-SD</v>
          </cell>
          <cell r="F682">
            <v>0.6</v>
          </cell>
          <cell r="G682">
            <v>52</v>
          </cell>
          <cell r="H682" t="str">
            <v>C</v>
          </cell>
          <cell r="I682" t="str">
            <v>CS01/12</v>
          </cell>
          <cell r="J682">
            <v>60047887</v>
          </cell>
          <cell r="K682">
            <v>44</v>
          </cell>
          <cell r="L682" t="str">
            <v>E1-ND-06-TSA-0361</v>
          </cell>
        </row>
        <row r="683">
          <cell r="A683">
            <v>60047890</v>
          </cell>
          <cell r="B683" t="str">
            <v>CR SPCC-SD 0.6x52xC</v>
          </cell>
          <cell r="C683" t="str">
            <v>CR SPCC-SD</v>
          </cell>
          <cell r="D683" t="str">
            <v>CR</v>
          </cell>
          <cell r="E683" t="str">
            <v>SPCC-SD</v>
          </cell>
          <cell r="F683">
            <v>0.6</v>
          </cell>
          <cell r="G683">
            <v>52</v>
          </cell>
          <cell r="H683" t="str">
            <v>C</v>
          </cell>
          <cell r="I683" t="str">
            <v>CS01/12</v>
          </cell>
          <cell r="J683">
            <v>60047890</v>
          </cell>
          <cell r="K683">
            <v>296</v>
          </cell>
          <cell r="L683" t="str">
            <v>E1-ND-06-TSA-0361</v>
          </cell>
        </row>
        <row r="684">
          <cell r="A684">
            <v>60047891</v>
          </cell>
          <cell r="B684" t="str">
            <v>CR SPCC-SD 0.6x52xC</v>
          </cell>
          <cell r="C684" t="str">
            <v>CR SPCC-SD</v>
          </cell>
          <cell r="D684" t="str">
            <v>CR</v>
          </cell>
          <cell r="E684" t="str">
            <v>SPCC-SD</v>
          </cell>
          <cell r="F684">
            <v>0.6</v>
          </cell>
          <cell r="G684">
            <v>52</v>
          </cell>
          <cell r="H684" t="str">
            <v>C</v>
          </cell>
          <cell r="I684" t="str">
            <v>CS01/12</v>
          </cell>
          <cell r="J684">
            <v>60047891</v>
          </cell>
          <cell r="K684">
            <v>298</v>
          </cell>
          <cell r="L684" t="str">
            <v>E1-ND-06-TSA-0361</v>
          </cell>
        </row>
        <row r="685">
          <cell r="A685">
            <v>60048184</v>
          </cell>
          <cell r="B685" t="str">
            <v>CR SPCC-SD 1.6x77xC</v>
          </cell>
          <cell r="C685" t="str">
            <v>CR SPCC-SD</v>
          </cell>
          <cell r="D685" t="str">
            <v>CR</v>
          </cell>
          <cell r="E685" t="str">
            <v>SPCC-SD</v>
          </cell>
          <cell r="F685">
            <v>1.6</v>
          </cell>
          <cell r="G685">
            <v>77</v>
          </cell>
          <cell r="H685" t="str">
            <v>C</v>
          </cell>
          <cell r="I685" t="str">
            <v>CS01/6</v>
          </cell>
          <cell r="J685">
            <v>60048184</v>
          </cell>
          <cell r="K685">
            <v>578</v>
          </cell>
          <cell r="L685" t="str">
            <v>E2-ND-06-TSA-0151</v>
          </cell>
        </row>
        <row r="686">
          <cell r="A686">
            <v>60048185</v>
          </cell>
          <cell r="B686" t="str">
            <v>CR SPCC-SD 1.6x77xC</v>
          </cell>
          <cell r="C686" t="str">
            <v>CR SPCC-SD</v>
          </cell>
          <cell r="D686" t="str">
            <v>CR</v>
          </cell>
          <cell r="E686" t="str">
            <v>SPCC-SD</v>
          </cell>
          <cell r="F686">
            <v>1.6</v>
          </cell>
          <cell r="G686">
            <v>77</v>
          </cell>
          <cell r="H686" t="str">
            <v>C</v>
          </cell>
          <cell r="I686" t="str">
            <v>CS01/6</v>
          </cell>
          <cell r="J686">
            <v>60048185</v>
          </cell>
          <cell r="K686">
            <v>578</v>
          </cell>
          <cell r="L686" t="str">
            <v>E2-ND-06-TSA-0151</v>
          </cell>
        </row>
        <row r="687">
          <cell r="A687">
            <v>60048186</v>
          </cell>
          <cell r="B687" t="str">
            <v>CR SPCC-SD 1.6x67xC</v>
          </cell>
          <cell r="C687" t="str">
            <v>CR SPCC-SD</v>
          </cell>
          <cell r="D687" t="str">
            <v>CR</v>
          </cell>
          <cell r="E687" t="str">
            <v>SPCC-SD</v>
          </cell>
          <cell r="F687">
            <v>1.6</v>
          </cell>
          <cell r="G687">
            <v>67</v>
          </cell>
          <cell r="H687" t="str">
            <v>C</v>
          </cell>
          <cell r="I687" t="str">
            <v>CS01/2</v>
          </cell>
          <cell r="J687">
            <v>60048186</v>
          </cell>
          <cell r="K687">
            <v>504</v>
          </cell>
          <cell r="L687" t="str">
            <v>E2-ND-06-TSA-0151</v>
          </cell>
        </row>
        <row r="688">
          <cell r="A688">
            <v>60048188</v>
          </cell>
          <cell r="B688" t="str">
            <v>CR SPCC-SD 1.6x77xC</v>
          </cell>
          <cell r="C688" t="str">
            <v>CR SPCC-SD</v>
          </cell>
          <cell r="D688" t="str">
            <v>CR</v>
          </cell>
          <cell r="E688" t="str">
            <v>SPCC-SD</v>
          </cell>
          <cell r="F688">
            <v>1.6</v>
          </cell>
          <cell r="G688">
            <v>77</v>
          </cell>
          <cell r="H688" t="str">
            <v>C</v>
          </cell>
          <cell r="I688" t="str">
            <v>CS01/6</v>
          </cell>
          <cell r="J688">
            <v>60048188</v>
          </cell>
          <cell r="K688">
            <v>556</v>
          </cell>
          <cell r="L688" t="str">
            <v>E2-ND-06-TSA-0151</v>
          </cell>
        </row>
        <row r="689">
          <cell r="A689">
            <v>60048389</v>
          </cell>
          <cell r="D689" t="str">
            <v>PO</v>
          </cell>
          <cell r="E689" t="str">
            <v>SPHC P/O</v>
          </cell>
          <cell r="F689">
            <v>2.2999999999999998</v>
          </cell>
          <cell r="G689">
            <v>72</v>
          </cell>
          <cell r="H689" t="str">
            <v>C</v>
          </cell>
          <cell r="I689" t="str">
            <v>CS01/11</v>
          </cell>
          <cell r="J689">
            <v>60048389</v>
          </cell>
          <cell r="K689">
            <v>130</v>
          </cell>
        </row>
        <row r="690">
          <cell r="A690">
            <v>60048639</v>
          </cell>
          <cell r="B690" t="str">
            <v>CR SPCC-SD 2.0x68xC</v>
          </cell>
          <cell r="C690" t="str">
            <v>CR SPCC-SD</v>
          </cell>
          <cell r="D690" t="str">
            <v>CR</v>
          </cell>
          <cell r="E690" t="str">
            <v>SPCC-SD</v>
          </cell>
          <cell r="F690">
            <v>2</v>
          </cell>
          <cell r="G690">
            <v>68</v>
          </cell>
          <cell r="H690" t="str">
            <v>C</v>
          </cell>
          <cell r="I690" t="str">
            <v>CS01/7</v>
          </cell>
          <cell r="J690">
            <v>60048639</v>
          </cell>
          <cell r="K690">
            <v>349</v>
          </cell>
          <cell r="L690" t="str">
            <v>E2-ND-06-TSA-0152</v>
          </cell>
        </row>
        <row r="691">
          <cell r="A691">
            <v>60048686</v>
          </cell>
          <cell r="B691" t="str">
            <v>CR SPCEN-SD 1.2x70xC</v>
          </cell>
          <cell r="C691" t="str">
            <v>CR SPCEN-SD</v>
          </cell>
          <cell r="D691" t="str">
            <v>CR</v>
          </cell>
          <cell r="E691" t="str">
            <v>SPCEN-SD</v>
          </cell>
          <cell r="F691">
            <v>1.2</v>
          </cell>
          <cell r="G691">
            <v>70</v>
          </cell>
          <cell r="H691" t="str">
            <v>C</v>
          </cell>
          <cell r="I691" t="str">
            <v>CS01/4</v>
          </cell>
          <cell r="J691">
            <v>60048686</v>
          </cell>
          <cell r="K691">
            <v>440</v>
          </cell>
          <cell r="L691" t="str">
            <v>E2-ND-06-TSA-0153</v>
          </cell>
        </row>
        <row r="692">
          <cell r="A692">
            <v>60048994</v>
          </cell>
          <cell r="D692" t="str">
            <v>PO</v>
          </cell>
          <cell r="E692" t="str">
            <v>SPHC P/O</v>
          </cell>
          <cell r="F692">
            <v>2.2999999999999998</v>
          </cell>
          <cell r="G692">
            <v>72</v>
          </cell>
          <cell r="H692" t="str">
            <v>C</v>
          </cell>
          <cell r="I692" t="str">
            <v>CS01/11</v>
          </cell>
          <cell r="J692">
            <v>60048994</v>
          </cell>
          <cell r="K692">
            <v>126</v>
          </cell>
        </row>
        <row r="693">
          <cell r="A693">
            <v>60049259</v>
          </cell>
          <cell r="D693" t="str">
            <v>CR</v>
          </cell>
          <cell r="E693" t="str">
            <v>SPCC-SD</v>
          </cell>
          <cell r="F693">
            <v>0.8</v>
          </cell>
          <cell r="G693">
            <v>80</v>
          </cell>
          <cell r="H693" t="str">
            <v>C</v>
          </cell>
          <cell r="I693" t="str">
            <v>CS01/10</v>
          </cell>
          <cell r="J693">
            <v>60049259</v>
          </cell>
          <cell r="K693">
            <v>80</v>
          </cell>
        </row>
        <row r="694">
          <cell r="A694">
            <v>60049479</v>
          </cell>
          <cell r="B694" t="str">
            <v>CR SPCC-SD 0.6x83xC</v>
          </cell>
          <cell r="C694" t="str">
            <v>CR SPCC-SD</v>
          </cell>
          <cell r="D694" t="str">
            <v>CR</v>
          </cell>
          <cell r="E694" t="str">
            <v>SPCC-SD</v>
          </cell>
          <cell r="F694">
            <v>0.6</v>
          </cell>
          <cell r="G694">
            <v>83</v>
          </cell>
          <cell r="H694" t="str">
            <v>C</v>
          </cell>
          <cell r="I694" t="str">
            <v>CS01/10</v>
          </cell>
          <cell r="J694">
            <v>60049479</v>
          </cell>
          <cell r="K694">
            <v>370</v>
          </cell>
          <cell r="L694" t="str">
            <v>E1-ND-06-TSA-0361</v>
          </cell>
        </row>
        <row r="695">
          <cell r="A695">
            <v>60049480</v>
          </cell>
          <cell r="B695" t="str">
            <v>CR SPCC-SD 0.6x52xC</v>
          </cell>
          <cell r="C695" t="str">
            <v>CR SPCC-SD</v>
          </cell>
          <cell r="D695" t="str">
            <v>CR</v>
          </cell>
          <cell r="E695" t="str">
            <v>SPCC-SD</v>
          </cell>
          <cell r="F695">
            <v>0.6</v>
          </cell>
          <cell r="G695">
            <v>52</v>
          </cell>
          <cell r="H695" t="str">
            <v>C</v>
          </cell>
          <cell r="I695" t="str">
            <v>CS01/10</v>
          </cell>
          <cell r="J695">
            <v>60049480</v>
          </cell>
          <cell r="K695">
            <v>230</v>
          </cell>
          <cell r="L695" t="str">
            <v>E1-ND-06-TSA-0361</v>
          </cell>
        </row>
        <row r="696">
          <cell r="A696">
            <v>60049481</v>
          </cell>
          <cell r="B696" t="str">
            <v>CR SPCC-SD 0.6x52xC</v>
          </cell>
          <cell r="C696" t="str">
            <v>CR SPCC-SD</v>
          </cell>
          <cell r="D696" t="str">
            <v>CR</v>
          </cell>
          <cell r="E696" t="str">
            <v>SPCC-SD</v>
          </cell>
          <cell r="F696">
            <v>0.6</v>
          </cell>
          <cell r="G696">
            <v>52</v>
          </cell>
          <cell r="H696" t="str">
            <v>C</v>
          </cell>
          <cell r="I696" t="str">
            <v>CS01/10</v>
          </cell>
          <cell r="J696">
            <v>60049481</v>
          </cell>
          <cell r="K696">
            <v>230</v>
          </cell>
          <cell r="L696" t="str">
            <v>E1-ND-06-TSA-0361</v>
          </cell>
        </row>
        <row r="697">
          <cell r="A697">
            <v>60049482</v>
          </cell>
          <cell r="B697" t="str">
            <v>CR SPCC-SD 0.6x52xC</v>
          </cell>
          <cell r="C697" t="str">
            <v>CR SPCC-SD</v>
          </cell>
          <cell r="D697" t="str">
            <v>CR</v>
          </cell>
          <cell r="E697" t="str">
            <v>SPCC-SD</v>
          </cell>
          <cell r="F697">
            <v>0.6</v>
          </cell>
          <cell r="G697">
            <v>52</v>
          </cell>
          <cell r="H697" t="str">
            <v>C</v>
          </cell>
          <cell r="I697" t="str">
            <v>CS01/10</v>
          </cell>
          <cell r="J697">
            <v>60049482</v>
          </cell>
          <cell r="K697">
            <v>230</v>
          </cell>
          <cell r="L697" t="str">
            <v>E1-ND-06-TSA-0361</v>
          </cell>
        </row>
        <row r="698">
          <cell r="A698">
            <v>60049485</v>
          </cell>
          <cell r="B698" t="str">
            <v>CR SPCC-SD 0.6x52xC</v>
          </cell>
          <cell r="C698" t="str">
            <v>CR SPCC-SD</v>
          </cell>
          <cell r="D698" t="str">
            <v>CR</v>
          </cell>
          <cell r="E698" t="str">
            <v>SPCC-SD</v>
          </cell>
          <cell r="F698">
            <v>0.6</v>
          </cell>
          <cell r="G698">
            <v>52</v>
          </cell>
          <cell r="H698" t="str">
            <v>C</v>
          </cell>
          <cell r="I698" t="str">
            <v>CS01/10</v>
          </cell>
          <cell r="J698">
            <v>60049485</v>
          </cell>
          <cell r="K698">
            <v>214</v>
          </cell>
          <cell r="L698" t="str">
            <v>E1-ND-06-TSA-0361</v>
          </cell>
        </row>
        <row r="699">
          <cell r="A699">
            <v>60049486</v>
          </cell>
          <cell r="B699" t="str">
            <v>CR SPCC-SD 0.6x52xC</v>
          </cell>
          <cell r="C699" t="str">
            <v>CR SPCC-SD</v>
          </cell>
          <cell r="D699" t="str">
            <v>CR</v>
          </cell>
          <cell r="E699" t="str">
            <v>SPCC-SD</v>
          </cell>
          <cell r="F699">
            <v>0.6</v>
          </cell>
          <cell r="G699">
            <v>52</v>
          </cell>
          <cell r="H699" t="str">
            <v>C</v>
          </cell>
          <cell r="I699" t="str">
            <v>CS01/10</v>
          </cell>
          <cell r="J699">
            <v>60049486</v>
          </cell>
          <cell r="K699">
            <v>214</v>
          </cell>
          <cell r="L699" t="str">
            <v>E1-ND-06-TSA-0361</v>
          </cell>
        </row>
        <row r="700">
          <cell r="A700">
            <v>60049537</v>
          </cell>
          <cell r="B700" t="str">
            <v>CR SPCC-SD 0.6x83xC</v>
          </cell>
          <cell r="C700" t="str">
            <v>CR SPCC-SD</v>
          </cell>
          <cell r="D700" t="str">
            <v>CR</v>
          </cell>
          <cell r="E700" t="str">
            <v>SPCC-SD</v>
          </cell>
          <cell r="F700">
            <v>0.6</v>
          </cell>
          <cell r="G700">
            <v>83</v>
          </cell>
          <cell r="H700" t="str">
            <v>C</v>
          </cell>
          <cell r="I700" t="str">
            <v>CS01/11</v>
          </cell>
          <cell r="J700">
            <v>60049537</v>
          </cell>
          <cell r="K700">
            <v>448</v>
          </cell>
          <cell r="L700" t="str">
            <v>E1-ND-06-TSA-0361</v>
          </cell>
        </row>
        <row r="701">
          <cell r="A701">
            <v>60049538</v>
          </cell>
          <cell r="B701" t="str">
            <v>CR SPCC-SD 0.6x52xC</v>
          </cell>
          <cell r="C701" t="str">
            <v>CR SPCC-SD</v>
          </cell>
          <cell r="D701" t="str">
            <v>CR</v>
          </cell>
          <cell r="E701" t="str">
            <v>SPCC-SD</v>
          </cell>
          <cell r="F701">
            <v>0.6</v>
          </cell>
          <cell r="G701">
            <v>52</v>
          </cell>
          <cell r="H701" t="str">
            <v>C</v>
          </cell>
          <cell r="I701" t="str">
            <v>CS01/11</v>
          </cell>
          <cell r="J701">
            <v>60049538</v>
          </cell>
          <cell r="K701">
            <v>282</v>
          </cell>
          <cell r="L701" t="str">
            <v>E1-ND-06-TSA-0361</v>
          </cell>
        </row>
        <row r="702">
          <cell r="A702">
            <v>60049547</v>
          </cell>
          <cell r="B702" t="str">
            <v>CR SPCC-SD 0.6x83xC</v>
          </cell>
          <cell r="C702" t="str">
            <v>CR SPCC-SD</v>
          </cell>
          <cell r="D702" t="str">
            <v>CR</v>
          </cell>
          <cell r="E702" t="str">
            <v>SPCC-SD</v>
          </cell>
          <cell r="F702">
            <v>0.6</v>
          </cell>
          <cell r="G702">
            <v>83</v>
          </cell>
          <cell r="H702" t="str">
            <v>C</v>
          </cell>
          <cell r="I702" t="str">
            <v>CS01/10</v>
          </cell>
          <cell r="J702">
            <v>60049547</v>
          </cell>
          <cell r="K702">
            <v>272</v>
          </cell>
          <cell r="L702" t="str">
            <v>E1-ND-06-TSA-0361</v>
          </cell>
        </row>
        <row r="703">
          <cell r="A703">
            <v>60049550</v>
          </cell>
          <cell r="B703" t="str">
            <v>CR SPCC-SD 0.6x52xC</v>
          </cell>
          <cell r="C703" t="str">
            <v>CR SPCC-SD</v>
          </cell>
          <cell r="D703" t="str">
            <v>CR</v>
          </cell>
          <cell r="E703" t="str">
            <v>SPCC-SD</v>
          </cell>
          <cell r="F703">
            <v>0.6</v>
          </cell>
          <cell r="G703">
            <v>52</v>
          </cell>
          <cell r="H703" t="str">
            <v>C</v>
          </cell>
          <cell r="I703" t="str">
            <v>CS01/10</v>
          </cell>
          <cell r="J703">
            <v>60049550</v>
          </cell>
          <cell r="K703">
            <v>130</v>
          </cell>
          <cell r="L703" t="str">
            <v>E1-ND-06-TSA-0361</v>
          </cell>
        </row>
        <row r="704">
          <cell r="A704">
            <v>60049551</v>
          </cell>
          <cell r="B704" t="str">
            <v>CR SPCC-SD 0.6x52xC</v>
          </cell>
          <cell r="C704" t="str">
            <v>CR SPCC-SD</v>
          </cell>
          <cell r="D704" t="str">
            <v>CR</v>
          </cell>
          <cell r="E704" t="str">
            <v>SPCC-SD</v>
          </cell>
          <cell r="F704">
            <v>0.6</v>
          </cell>
          <cell r="G704">
            <v>52</v>
          </cell>
          <cell r="H704" t="str">
            <v>C</v>
          </cell>
          <cell r="I704" t="str">
            <v>CS01/10</v>
          </cell>
          <cell r="J704">
            <v>60049551</v>
          </cell>
          <cell r="K704">
            <v>134</v>
          </cell>
          <cell r="L704" t="str">
            <v>E1-ND-06-TSA-0361</v>
          </cell>
        </row>
        <row r="705">
          <cell r="A705">
            <v>60049554</v>
          </cell>
          <cell r="B705" t="str">
            <v>CR SPCC-SD 0.6x52xC</v>
          </cell>
          <cell r="C705" t="str">
            <v>CR SPCC-SD</v>
          </cell>
          <cell r="D705" t="str">
            <v>CR</v>
          </cell>
          <cell r="E705" t="str">
            <v>SPCC-SD</v>
          </cell>
          <cell r="F705">
            <v>0.6</v>
          </cell>
          <cell r="G705">
            <v>52</v>
          </cell>
          <cell r="H705" t="str">
            <v>C</v>
          </cell>
          <cell r="I705" t="str">
            <v>CS01/10</v>
          </cell>
          <cell r="J705">
            <v>60049554</v>
          </cell>
          <cell r="K705">
            <v>106</v>
          </cell>
          <cell r="L705" t="str">
            <v>E1-ND-06-TSA-0361</v>
          </cell>
        </row>
        <row r="706">
          <cell r="A706">
            <v>60049555</v>
          </cell>
          <cell r="B706" t="str">
            <v>CR SPCC-SD 0.6x52xC</v>
          </cell>
          <cell r="C706" t="str">
            <v>CR SPCC-SD</v>
          </cell>
          <cell r="D706" t="str">
            <v>CR</v>
          </cell>
          <cell r="E706" t="str">
            <v>SPCC-SD</v>
          </cell>
          <cell r="F706">
            <v>0.6</v>
          </cell>
          <cell r="G706">
            <v>52</v>
          </cell>
          <cell r="H706" t="str">
            <v>C</v>
          </cell>
          <cell r="I706" t="str">
            <v>CS01/10</v>
          </cell>
          <cell r="J706">
            <v>60049555</v>
          </cell>
          <cell r="K706">
            <v>104</v>
          </cell>
          <cell r="L706" t="str">
            <v>E1-ND-06-TSA-0361</v>
          </cell>
        </row>
        <row r="707">
          <cell r="A707">
            <v>60049558</v>
          </cell>
          <cell r="B707" t="str">
            <v>CR SPCC-SD 0.6x83xC</v>
          </cell>
          <cell r="C707" t="str">
            <v>CR SPCC-SD</v>
          </cell>
          <cell r="D707" t="str">
            <v>CR</v>
          </cell>
          <cell r="E707" t="str">
            <v>SPCC-SD</v>
          </cell>
          <cell r="F707">
            <v>0.6</v>
          </cell>
          <cell r="G707">
            <v>83</v>
          </cell>
          <cell r="H707" t="str">
            <v>C</v>
          </cell>
          <cell r="I707" t="str">
            <v>CS01/2</v>
          </cell>
          <cell r="J707">
            <v>60049558</v>
          </cell>
          <cell r="K707">
            <v>338</v>
          </cell>
          <cell r="L707" t="str">
            <v>E1-ND-06-TSA-0361</v>
          </cell>
        </row>
        <row r="708">
          <cell r="A708">
            <v>60049559</v>
          </cell>
          <cell r="B708" t="str">
            <v>CR SPCC-SD 0.6x52xC</v>
          </cell>
          <cell r="C708" t="str">
            <v>CR SPCC-SD</v>
          </cell>
          <cell r="D708" t="str">
            <v>CR</v>
          </cell>
          <cell r="E708" t="str">
            <v>SPCC-SD</v>
          </cell>
          <cell r="F708">
            <v>0.6</v>
          </cell>
          <cell r="G708">
            <v>52</v>
          </cell>
          <cell r="H708" t="str">
            <v>C</v>
          </cell>
          <cell r="I708" t="str">
            <v>CS01/2</v>
          </cell>
          <cell r="J708">
            <v>60049559</v>
          </cell>
          <cell r="K708">
            <v>212</v>
          </cell>
          <cell r="L708" t="str">
            <v>E1-ND-06-TSA-0361</v>
          </cell>
        </row>
        <row r="709">
          <cell r="A709">
            <v>60049560</v>
          </cell>
          <cell r="B709" t="str">
            <v>CR SPCC-SD 0.6x52xC</v>
          </cell>
          <cell r="C709" t="str">
            <v>CR SPCC-SD</v>
          </cell>
          <cell r="D709" t="str">
            <v>CR</v>
          </cell>
          <cell r="E709" t="str">
            <v>SPCC-SD</v>
          </cell>
          <cell r="F709">
            <v>0.6</v>
          </cell>
          <cell r="G709">
            <v>52</v>
          </cell>
          <cell r="H709" t="str">
            <v>C</v>
          </cell>
          <cell r="I709" t="str">
            <v>CS01/2</v>
          </cell>
          <cell r="J709">
            <v>60049560</v>
          </cell>
          <cell r="K709">
            <v>212</v>
          </cell>
          <cell r="L709" t="str">
            <v>E1-ND-06-TSA-0361</v>
          </cell>
        </row>
        <row r="710">
          <cell r="A710">
            <v>60049561</v>
          </cell>
          <cell r="B710" t="str">
            <v>CR SPCC-SD 0.6x52xC</v>
          </cell>
          <cell r="C710" t="str">
            <v>CR SPCC-SD</v>
          </cell>
          <cell r="D710" t="str">
            <v>CR</v>
          </cell>
          <cell r="E710" t="str">
            <v>SPCC-SD</v>
          </cell>
          <cell r="F710">
            <v>0.6</v>
          </cell>
          <cell r="G710">
            <v>52</v>
          </cell>
          <cell r="H710" t="str">
            <v>C</v>
          </cell>
          <cell r="I710" t="str">
            <v>CS01/2</v>
          </cell>
          <cell r="J710">
            <v>60049561</v>
          </cell>
          <cell r="K710">
            <v>212</v>
          </cell>
          <cell r="L710" t="str">
            <v>E1-ND-06-TSA-0361</v>
          </cell>
        </row>
        <row r="711">
          <cell r="A711">
            <v>60049564</v>
          </cell>
          <cell r="B711" t="str">
            <v>CR SPCC-SD 0.6x52xC</v>
          </cell>
          <cell r="C711" t="str">
            <v>CR SPCC-SD</v>
          </cell>
          <cell r="D711" t="str">
            <v>CR</v>
          </cell>
          <cell r="E711" t="str">
            <v>SPCC-SD</v>
          </cell>
          <cell r="F711">
            <v>0.6</v>
          </cell>
          <cell r="G711">
            <v>52</v>
          </cell>
          <cell r="H711" t="str">
            <v>C</v>
          </cell>
          <cell r="I711" t="str">
            <v>CS01/2</v>
          </cell>
          <cell r="J711">
            <v>60049564</v>
          </cell>
          <cell r="K711">
            <v>202</v>
          </cell>
          <cell r="L711" t="str">
            <v>E1-ND-06-TSA-0361</v>
          </cell>
        </row>
        <row r="712">
          <cell r="A712">
            <v>60049565</v>
          </cell>
          <cell r="B712" t="str">
            <v>CR SPCC-SD 0.6x52xC</v>
          </cell>
          <cell r="C712" t="str">
            <v>CR SPCC-SD</v>
          </cell>
          <cell r="D712" t="str">
            <v>CR</v>
          </cell>
          <cell r="E712" t="str">
            <v>SPCC-SD</v>
          </cell>
          <cell r="F712">
            <v>0.6</v>
          </cell>
          <cell r="G712">
            <v>52</v>
          </cell>
          <cell r="H712" t="str">
            <v>C</v>
          </cell>
          <cell r="I712" t="str">
            <v>CS01/2</v>
          </cell>
          <cell r="J712">
            <v>60049565</v>
          </cell>
          <cell r="K712">
            <v>202</v>
          </cell>
          <cell r="L712" t="str">
            <v>E1-ND-06-TSA-0361</v>
          </cell>
        </row>
        <row r="713">
          <cell r="A713">
            <v>60049612</v>
          </cell>
          <cell r="B713" t="str">
            <v>CR SPCC-SD 0.6x52xC</v>
          </cell>
          <cell r="C713" t="str">
            <v>CR SPCC-SD</v>
          </cell>
          <cell r="D713" t="str">
            <v>CR</v>
          </cell>
          <cell r="E713" t="str">
            <v>SPCC-SD</v>
          </cell>
          <cell r="F713">
            <v>0.6</v>
          </cell>
          <cell r="G713">
            <v>52</v>
          </cell>
          <cell r="H713" t="str">
            <v>C</v>
          </cell>
          <cell r="I713" t="str">
            <v>CS01/12</v>
          </cell>
          <cell r="J713">
            <v>60049612</v>
          </cell>
          <cell r="K713">
            <v>284</v>
          </cell>
          <cell r="L713" t="str">
            <v>E1-ND-06-TSA-0361</v>
          </cell>
        </row>
        <row r="714">
          <cell r="A714">
            <v>60049615</v>
          </cell>
          <cell r="B714" t="str">
            <v>CR SPCC-SD 0.6x52xC</v>
          </cell>
          <cell r="C714" t="str">
            <v>CR SPCC-SD</v>
          </cell>
          <cell r="D714" t="str">
            <v>CR</v>
          </cell>
          <cell r="E714" t="str">
            <v>SPCC-SD</v>
          </cell>
          <cell r="F714">
            <v>0.6</v>
          </cell>
          <cell r="G714">
            <v>52</v>
          </cell>
          <cell r="H714" t="str">
            <v>C</v>
          </cell>
          <cell r="I714" t="str">
            <v>CS01/12</v>
          </cell>
          <cell r="J714">
            <v>60049615</v>
          </cell>
          <cell r="K714">
            <v>128</v>
          </cell>
          <cell r="L714" t="str">
            <v>E1-ND-06-TSA-0361</v>
          </cell>
        </row>
        <row r="715">
          <cell r="A715">
            <v>60049618</v>
          </cell>
          <cell r="B715" t="str">
            <v>CR SPCC-SD 0.6x83xC</v>
          </cell>
          <cell r="C715" t="str">
            <v>CR SPCC-SD</v>
          </cell>
          <cell r="D715" t="str">
            <v>CR</v>
          </cell>
          <cell r="E715" t="str">
            <v>SPCC-SD</v>
          </cell>
          <cell r="F715">
            <v>0.6</v>
          </cell>
          <cell r="G715">
            <v>83</v>
          </cell>
          <cell r="H715" t="str">
            <v>C</v>
          </cell>
          <cell r="I715" t="str">
            <v>CS01/12</v>
          </cell>
          <cell r="J715">
            <v>60049618</v>
          </cell>
          <cell r="K715">
            <v>252</v>
          </cell>
          <cell r="L715" t="str">
            <v>E1-ND-06-TSA-0361</v>
          </cell>
        </row>
        <row r="716">
          <cell r="A716">
            <v>60050044</v>
          </cell>
          <cell r="D716" t="str">
            <v>CR</v>
          </cell>
          <cell r="E716" t="str">
            <v>SPCC-SD</v>
          </cell>
          <cell r="F716">
            <v>0.6</v>
          </cell>
          <cell r="G716">
            <v>53</v>
          </cell>
          <cell r="H716" t="str">
            <v>C</v>
          </cell>
          <cell r="I716" t="str">
            <v>CS01/12</v>
          </cell>
          <cell r="J716">
            <v>60050044</v>
          </cell>
          <cell r="K716">
            <v>114</v>
          </cell>
        </row>
        <row r="717">
          <cell r="A717">
            <v>60050078</v>
          </cell>
          <cell r="B717" t="str">
            <v>CR SPCC-SD 0.6x83xC</v>
          </cell>
          <cell r="C717" t="str">
            <v>CR SPCC-SD</v>
          </cell>
          <cell r="D717" t="str">
            <v>CR</v>
          </cell>
          <cell r="E717" t="str">
            <v>SPCC-SD</v>
          </cell>
          <cell r="F717">
            <v>0.6</v>
          </cell>
          <cell r="G717">
            <v>83</v>
          </cell>
          <cell r="H717" t="str">
            <v>C</v>
          </cell>
          <cell r="I717" t="str">
            <v>CS01/12</v>
          </cell>
          <cell r="J717">
            <v>60050078</v>
          </cell>
          <cell r="K717">
            <v>107</v>
          </cell>
          <cell r="L717" t="str">
            <v>E1-ND-06-TSA-0361</v>
          </cell>
        </row>
        <row r="718">
          <cell r="A718">
            <v>60050079</v>
          </cell>
          <cell r="B718" t="str">
            <v>CR SPCC-SD 0.6x83xC</v>
          </cell>
          <cell r="C718" t="str">
            <v>CR SPCC-SD</v>
          </cell>
          <cell r="D718" t="str">
            <v>CR</v>
          </cell>
          <cell r="E718" t="str">
            <v>SPCC-SD</v>
          </cell>
          <cell r="F718">
            <v>0.6</v>
          </cell>
          <cell r="G718">
            <v>83</v>
          </cell>
          <cell r="H718" t="str">
            <v>C</v>
          </cell>
          <cell r="I718" t="str">
            <v>CS01/12</v>
          </cell>
          <cell r="J718">
            <v>60050079</v>
          </cell>
          <cell r="K718">
            <v>105</v>
          </cell>
          <cell r="L718" t="str">
            <v>E1-ND-06-TSA-0361</v>
          </cell>
        </row>
        <row r="719">
          <cell r="A719">
            <v>60050690</v>
          </cell>
          <cell r="D719" t="str">
            <v>CR</v>
          </cell>
          <cell r="E719" t="str">
            <v>SPCEN-SD</v>
          </cell>
          <cell r="F719">
            <v>0.8</v>
          </cell>
          <cell r="G719">
            <v>73</v>
          </cell>
          <cell r="H719" t="str">
            <v>C</v>
          </cell>
          <cell r="I719" t="str">
            <v>CS01/10</v>
          </cell>
          <cell r="J719">
            <v>60050690</v>
          </cell>
          <cell r="K719">
            <v>231</v>
          </cell>
        </row>
        <row r="720">
          <cell r="A720">
            <v>60050727</v>
          </cell>
          <cell r="B720" t="str">
            <v>CR SPCC-SD 1.2x90xC</v>
          </cell>
          <cell r="C720" t="str">
            <v>CR SPCC-SD</v>
          </cell>
          <cell r="D720" t="str">
            <v>CR</v>
          </cell>
          <cell r="E720" t="str">
            <v>SPCC-SD</v>
          </cell>
          <cell r="F720">
            <v>1.2</v>
          </cell>
          <cell r="G720">
            <v>90</v>
          </cell>
          <cell r="H720" t="str">
            <v>C</v>
          </cell>
          <cell r="I720" t="str">
            <v>CS01/11</v>
          </cell>
          <cell r="J720">
            <v>60050727</v>
          </cell>
          <cell r="K720">
            <v>192</v>
          </cell>
          <cell r="L720" t="str">
            <v>E1-NJ-06-TSA-0377</v>
          </cell>
        </row>
        <row r="721">
          <cell r="A721">
            <v>60050728</v>
          </cell>
          <cell r="B721" t="str">
            <v>CR SPCC-SD 1.2x90xC</v>
          </cell>
          <cell r="C721" t="str">
            <v>CR SPCC-SD</v>
          </cell>
          <cell r="D721" t="str">
            <v>CR</v>
          </cell>
          <cell r="E721" t="str">
            <v>SPCC-SD</v>
          </cell>
          <cell r="F721">
            <v>1.2</v>
          </cell>
          <cell r="G721">
            <v>90</v>
          </cell>
          <cell r="H721" t="str">
            <v>C</v>
          </cell>
          <cell r="I721" t="str">
            <v>CS01/11</v>
          </cell>
          <cell r="J721">
            <v>60050728</v>
          </cell>
          <cell r="K721">
            <v>192</v>
          </cell>
          <cell r="L721" t="str">
            <v>E1-NJ-06-TSA-0377</v>
          </cell>
        </row>
        <row r="722">
          <cell r="A722">
            <v>60050758</v>
          </cell>
          <cell r="D722" t="str">
            <v>CR</v>
          </cell>
          <cell r="E722" t="str">
            <v>SPCC-SD</v>
          </cell>
          <cell r="F722">
            <v>0.6</v>
          </cell>
          <cell r="G722">
            <v>52</v>
          </cell>
          <cell r="H722" t="str">
            <v>C</v>
          </cell>
          <cell r="I722" t="str">
            <v>CS01/11</v>
          </cell>
          <cell r="J722">
            <v>60050758</v>
          </cell>
          <cell r="K722">
            <v>126</v>
          </cell>
        </row>
        <row r="723">
          <cell r="A723">
            <v>60050759</v>
          </cell>
          <cell r="D723" t="str">
            <v>CR</v>
          </cell>
          <cell r="E723" t="str">
            <v>SPCC-SD</v>
          </cell>
          <cell r="F723">
            <v>0.6</v>
          </cell>
          <cell r="G723">
            <v>52</v>
          </cell>
          <cell r="H723" t="str">
            <v>C</v>
          </cell>
          <cell r="I723" t="str">
            <v>CS01/11</v>
          </cell>
          <cell r="J723">
            <v>60050759</v>
          </cell>
          <cell r="K723">
            <v>126</v>
          </cell>
        </row>
        <row r="724">
          <cell r="A724">
            <v>60050761</v>
          </cell>
          <cell r="D724" t="str">
            <v>CR</v>
          </cell>
          <cell r="E724" t="str">
            <v>SPCC-SD</v>
          </cell>
          <cell r="F724">
            <v>0.6</v>
          </cell>
          <cell r="G724">
            <v>83</v>
          </cell>
          <cell r="H724" t="str">
            <v>C</v>
          </cell>
          <cell r="I724" t="str">
            <v>CS01/10</v>
          </cell>
          <cell r="J724">
            <v>60050761</v>
          </cell>
          <cell r="K724">
            <v>202</v>
          </cell>
        </row>
        <row r="725">
          <cell r="A725">
            <v>60050908</v>
          </cell>
          <cell r="B725" t="str">
            <v>CR SPCC-SD 0.6x52xC</v>
          </cell>
          <cell r="C725" t="str">
            <v>CR SPCC-SD</v>
          </cell>
          <cell r="D725" t="str">
            <v>CR</v>
          </cell>
          <cell r="E725" t="str">
            <v>SPCC-SD</v>
          </cell>
          <cell r="F725">
            <v>0.6</v>
          </cell>
          <cell r="G725">
            <v>52</v>
          </cell>
          <cell r="H725" t="str">
            <v>C</v>
          </cell>
          <cell r="I725" t="str">
            <v>CS01/12</v>
          </cell>
          <cell r="J725">
            <v>60050908</v>
          </cell>
          <cell r="K725">
            <v>45</v>
          </cell>
          <cell r="L725" t="str">
            <v>E1-ND-06-TSA-0361</v>
          </cell>
        </row>
        <row r="726">
          <cell r="A726">
            <v>60051359</v>
          </cell>
          <cell r="B726" t="str">
            <v>CR SPCC-SD 0.6x48xC</v>
          </cell>
          <cell r="C726" t="str">
            <v>CR SPCC-SD</v>
          </cell>
          <cell r="D726" t="str">
            <v>CR</v>
          </cell>
          <cell r="E726" t="str">
            <v>SPCC-SD</v>
          </cell>
          <cell r="F726">
            <v>0.6</v>
          </cell>
          <cell r="G726">
            <v>48</v>
          </cell>
          <cell r="H726" t="str">
            <v>C</v>
          </cell>
          <cell r="I726" t="str">
            <v>CS01/5</v>
          </cell>
          <cell r="J726">
            <v>60051359</v>
          </cell>
          <cell r="K726">
            <v>104</v>
          </cell>
          <cell r="L726" t="str">
            <v>E1-ND-06-TSA-0361</v>
          </cell>
        </row>
        <row r="727">
          <cell r="A727">
            <v>60051361</v>
          </cell>
          <cell r="B727" t="str">
            <v>CR SPCC-SD 0.6x48xC</v>
          </cell>
          <cell r="C727" t="str">
            <v>CR SPCC-SD</v>
          </cell>
          <cell r="D727" t="str">
            <v>CR</v>
          </cell>
          <cell r="E727" t="str">
            <v>SPCC-SD</v>
          </cell>
          <cell r="F727">
            <v>0.6</v>
          </cell>
          <cell r="G727">
            <v>48</v>
          </cell>
          <cell r="H727" t="str">
            <v>C</v>
          </cell>
          <cell r="I727" t="str">
            <v>CS01/5</v>
          </cell>
          <cell r="J727">
            <v>60051361</v>
          </cell>
          <cell r="K727">
            <v>100</v>
          </cell>
          <cell r="L727" t="str">
            <v>E1-ND-06-TSA-0361</v>
          </cell>
        </row>
        <row r="728">
          <cell r="A728">
            <v>60051595</v>
          </cell>
          <cell r="B728" t="str">
            <v>PO SPHC P/O 4.0x92xC</v>
          </cell>
          <cell r="C728" t="str">
            <v>PO SPHC P/O</v>
          </cell>
          <cell r="D728" t="str">
            <v>PO</v>
          </cell>
          <cell r="E728" t="str">
            <v>SPHC P/O</v>
          </cell>
          <cell r="F728">
            <v>4</v>
          </cell>
          <cell r="G728">
            <v>92</v>
          </cell>
          <cell r="H728" t="str">
            <v>C</v>
          </cell>
          <cell r="I728" t="str">
            <v>CS01/5</v>
          </cell>
          <cell r="J728">
            <v>60051595</v>
          </cell>
          <cell r="K728">
            <v>316</v>
          </cell>
          <cell r="L728" t="str">
            <v>E2-ND-06-TSA-0154</v>
          </cell>
        </row>
        <row r="729">
          <cell r="A729">
            <v>60051596</v>
          </cell>
          <cell r="B729" t="str">
            <v>PO SPHC P/O 4.0x92xC</v>
          </cell>
          <cell r="C729" t="str">
            <v>PO SPHC P/O</v>
          </cell>
          <cell r="D729" t="str">
            <v>PO</v>
          </cell>
          <cell r="E729" t="str">
            <v>SPHC P/O</v>
          </cell>
          <cell r="F729">
            <v>4</v>
          </cell>
          <cell r="G729">
            <v>92</v>
          </cell>
          <cell r="H729" t="str">
            <v>C</v>
          </cell>
          <cell r="I729" t="str">
            <v>CS01/5</v>
          </cell>
          <cell r="J729">
            <v>60051596</v>
          </cell>
          <cell r="K729">
            <v>316</v>
          </cell>
          <cell r="L729" t="str">
            <v>E2-ND-06-TSA-0154</v>
          </cell>
        </row>
        <row r="730">
          <cell r="A730">
            <v>60051597</v>
          </cell>
          <cell r="B730" t="str">
            <v>PO SPHC P/O 4.0x92xC</v>
          </cell>
          <cell r="C730" t="str">
            <v>PO SPHC P/O</v>
          </cell>
          <cell r="D730" t="str">
            <v>PO</v>
          </cell>
          <cell r="E730" t="str">
            <v>SPHC P/O</v>
          </cell>
          <cell r="F730">
            <v>4</v>
          </cell>
          <cell r="G730">
            <v>92</v>
          </cell>
          <cell r="H730" t="str">
            <v>C</v>
          </cell>
          <cell r="I730" t="str">
            <v>CS01/5</v>
          </cell>
          <cell r="J730">
            <v>60051597</v>
          </cell>
          <cell r="K730">
            <v>316</v>
          </cell>
          <cell r="L730" t="str">
            <v>E2-ND-06-TSA-0154</v>
          </cell>
        </row>
        <row r="731">
          <cell r="A731">
            <v>60052073</v>
          </cell>
          <cell r="B731" t="str">
            <v>CR SPCC-SD 1.4x45xC</v>
          </cell>
          <cell r="C731" t="str">
            <v>CR SPCC-SD</v>
          </cell>
          <cell r="D731" t="str">
            <v>CR</v>
          </cell>
          <cell r="E731" t="str">
            <v>SPCC-SD</v>
          </cell>
          <cell r="F731">
            <v>1.4</v>
          </cell>
          <cell r="G731">
            <v>45</v>
          </cell>
          <cell r="H731" t="str">
            <v>C</v>
          </cell>
          <cell r="I731" t="str">
            <v>CS01/12</v>
          </cell>
          <cell r="J731">
            <v>60052073</v>
          </cell>
          <cell r="K731">
            <v>100</v>
          </cell>
          <cell r="L731" t="str">
            <v>E2-ND-06-TSA-0153</v>
          </cell>
        </row>
        <row r="732">
          <cell r="A732">
            <v>60052094</v>
          </cell>
          <cell r="B732" t="str">
            <v>CR SPCC-SD 1.4x45xC</v>
          </cell>
          <cell r="C732" t="str">
            <v>CR SPCC-SD</v>
          </cell>
          <cell r="D732" t="str">
            <v>CR</v>
          </cell>
          <cell r="E732" t="str">
            <v>SPCC-SD</v>
          </cell>
          <cell r="F732">
            <v>1.4</v>
          </cell>
          <cell r="G732">
            <v>45</v>
          </cell>
          <cell r="H732" t="str">
            <v>C</v>
          </cell>
          <cell r="I732" t="str">
            <v>CS01/12</v>
          </cell>
          <cell r="J732">
            <v>60052094</v>
          </cell>
          <cell r="K732">
            <v>126</v>
          </cell>
          <cell r="L732" t="str">
            <v>E2-ND-06-TSA-0153</v>
          </cell>
        </row>
        <row r="733">
          <cell r="A733">
            <v>60052230</v>
          </cell>
          <cell r="B733" t="str">
            <v>CR SPCC-SD 1.6x88xC</v>
          </cell>
          <cell r="C733" t="str">
            <v>CR SPCC-SD</v>
          </cell>
          <cell r="D733" t="str">
            <v>CR</v>
          </cell>
          <cell r="E733" t="str">
            <v>SPCC-SD</v>
          </cell>
          <cell r="F733">
            <v>1.6</v>
          </cell>
          <cell r="G733">
            <v>88</v>
          </cell>
          <cell r="H733" t="str">
            <v>C</v>
          </cell>
          <cell r="I733" t="str">
            <v>CS01/7</v>
          </cell>
          <cell r="J733">
            <v>60052230</v>
          </cell>
          <cell r="K733">
            <v>308</v>
          </cell>
          <cell r="L733" t="str">
            <v>E2-ND-06-TSA-0152</v>
          </cell>
        </row>
        <row r="734">
          <cell r="A734">
            <v>60052415</v>
          </cell>
          <cell r="B734" t="str">
            <v>CR SPCC-SD 2.0x80xC</v>
          </cell>
          <cell r="C734" t="str">
            <v>CR SPCC-SD</v>
          </cell>
          <cell r="D734" t="str">
            <v>CR</v>
          </cell>
          <cell r="E734" t="str">
            <v>SPCC-SD</v>
          </cell>
          <cell r="F734">
            <v>2</v>
          </cell>
          <cell r="G734">
            <v>80</v>
          </cell>
          <cell r="H734" t="str">
            <v>C</v>
          </cell>
          <cell r="I734" t="str">
            <v>CS01/7</v>
          </cell>
          <cell r="J734">
            <v>60052415</v>
          </cell>
          <cell r="K734">
            <v>284</v>
          </cell>
          <cell r="L734" t="str">
            <v>E2-ND-06-TSA-0152</v>
          </cell>
        </row>
        <row r="735">
          <cell r="A735">
            <v>60052558</v>
          </cell>
          <cell r="D735" t="str">
            <v>PO</v>
          </cell>
          <cell r="E735" t="str">
            <v>SPHC P/O</v>
          </cell>
          <cell r="F735">
            <v>2.2999999999999998</v>
          </cell>
          <cell r="G735">
            <v>53</v>
          </cell>
          <cell r="H735" t="str">
            <v>C</v>
          </cell>
          <cell r="I735" t="str">
            <v>CS01/5</v>
          </cell>
          <cell r="J735">
            <v>60052558</v>
          </cell>
          <cell r="K735">
            <v>241</v>
          </cell>
        </row>
        <row r="736">
          <cell r="A736">
            <v>60052618</v>
          </cell>
          <cell r="B736" t="str">
            <v>PO SPHC P/O 1.6x64xC</v>
          </cell>
          <cell r="C736" t="str">
            <v>PO SPHC P/O</v>
          </cell>
          <cell r="D736" t="str">
            <v>PO</v>
          </cell>
          <cell r="E736" t="str">
            <v>SPHC P/O</v>
          </cell>
          <cell r="F736">
            <v>1.6</v>
          </cell>
          <cell r="G736">
            <v>64</v>
          </cell>
          <cell r="H736" t="str">
            <v>C</v>
          </cell>
          <cell r="I736" t="str">
            <v>CS01/9</v>
          </cell>
          <cell r="J736">
            <v>60052618</v>
          </cell>
          <cell r="K736">
            <v>132</v>
          </cell>
          <cell r="L736" t="str">
            <v>E2-ND-06-TSA-0153</v>
          </cell>
        </row>
        <row r="737">
          <cell r="A737">
            <v>60052619</v>
          </cell>
          <cell r="B737" t="str">
            <v>PO SPHC P/O 1.6x64xC</v>
          </cell>
          <cell r="C737" t="str">
            <v>PO SPHC P/O</v>
          </cell>
          <cell r="D737" t="str">
            <v>PO</v>
          </cell>
          <cell r="E737" t="str">
            <v>SPHC P/O</v>
          </cell>
          <cell r="F737">
            <v>1.6</v>
          </cell>
          <cell r="G737">
            <v>64</v>
          </cell>
          <cell r="H737" t="str">
            <v>C</v>
          </cell>
          <cell r="I737" t="str">
            <v>CS01/9</v>
          </cell>
          <cell r="J737">
            <v>60052619</v>
          </cell>
          <cell r="K737">
            <v>132</v>
          </cell>
          <cell r="L737" t="str">
            <v>E2-ND-06-TSA-0153</v>
          </cell>
        </row>
        <row r="738">
          <cell r="A738">
            <v>60052853</v>
          </cell>
          <cell r="D738" t="str">
            <v>PO</v>
          </cell>
          <cell r="E738" t="str">
            <v>SPHC P/O</v>
          </cell>
          <cell r="F738">
            <v>2</v>
          </cell>
          <cell r="G738">
            <v>65</v>
          </cell>
          <cell r="H738" t="str">
            <v>C</v>
          </cell>
          <cell r="I738" t="str">
            <v>CS01/5</v>
          </cell>
          <cell r="J738">
            <v>60052853</v>
          </cell>
          <cell r="K738">
            <v>127</v>
          </cell>
        </row>
        <row r="739">
          <cell r="A739">
            <v>60052955</v>
          </cell>
          <cell r="D739" t="str">
            <v>CR</v>
          </cell>
          <cell r="E739" t="str">
            <v>SPCEN-SD</v>
          </cell>
          <cell r="F739">
            <v>0.9</v>
          </cell>
          <cell r="G739">
            <v>40</v>
          </cell>
          <cell r="H739" t="str">
            <v>C</v>
          </cell>
          <cell r="I739" t="str">
            <v>CS01/10</v>
          </cell>
          <cell r="J739">
            <v>60052955</v>
          </cell>
          <cell r="K739">
            <v>41</v>
          </cell>
        </row>
        <row r="740">
          <cell r="A740">
            <v>60053163</v>
          </cell>
          <cell r="D740" t="str">
            <v>CR</v>
          </cell>
          <cell r="E740" t="str">
            <v>SPCC-SD</v>
          </cell>
          <cell r="F740">
            <v>3</v>
          </cell>
          <cell r="G740">
            <v>78</v>
          </cell>
          <cell r="H740" t="str">
            <v>C</v>
          </cell>
          <cell r="I740" t="str">
            <v>CS01/10</v>
          </cell>
          <cell r="J740">
            <v>60053163</v>
          </cell>
          <cell r="K740">
            <v>274</v>
          </cell>
        </row>
        <row r="741">
          <cell r="A741">
            <v>60053168</v>
          </cell>
          <cell r="D741" t="str">
            <v>CR</v>
          </cell>
          <cell r="E741" t="str">
            <v>SPCC-SD</v>
          </cell>
          <cell r="F741">
            <v>3</v>
          </cell>
          <cell r="G741">
            <v>78</v>
          </cell>
          <cell r="H741" t="str">
            <v>C</v>
          </cell>
          <cell r="I741" t="str">
            <v>CS01/11</v>
          </cell>
          <cell r="J741">
            <v>60053168</v>
          </cell>
          <cell r="K741">
            <v>276</v>
          </cell>
        </row>
        <row r="742">
          <cell r="A742">
            <v>60053173</v>
          </cell>
          <cell r="D742" t="str">
            <v>CR</v>
          </cell>
          <cell r="E742" t="str">
            <v>SPCC-SD</v>
          </cell>
          <cell r="F742">
            <v>3</v>
          </cell>
          <cell r="G742">
            <v>78</v>
          </cell>
          <cell r="H742" t="str">
            <v>C</v>
          </cell>
          <cell r="I742" t="str">
            <v>CS01/11</v>
          </cell>
          <cell r="J742">
            <v>60053173</v>
          </cell>
          <cell r="K742">
            <v>326</v>
          </cell>
        </row>
        <row r="743">
          <cell r="A743">
            <v>60053178</v>
          </cell>
          <cell r="D743" t="str">
            <v>CR</v>
          </cell>
          <cell r="E743" t="str">
            <v>SPCC-SD</v>
          </cell>
          <cell r="F743">
            <v>3</v>
          </cell>
          <cell r="G743">
            <v>78</v>
          </cell>
          <cell r="H743" t="str">
            <v>C</v>
          </cell>
          <cell r="I743" t="str">
            <v>CS01/11</v>
          </cell>
          <cell r="J743">
            <v>60053178</v>
          </cell>
          <cell r="K743">
            <v>320</v>
          </cell>
        </row>
        <row r="744">
          <cell r="A744">
            <v>60053439</v>
          </cell>
          <cell r="B744" t="str">
            <v>CR SPCC-SD 0.6x83xC</v>
          </cell>
          <cell r="C744" t="str">
            <v>CR SPCC-SD</v>
          </cell>
          <cell r="D744" t="str">
            <v>CR</v>
          </cell>
          <cell r="E744" t="str">
            <v>SPCC-SD</v>
          </cell>
          <cell r="F744">
            <v>0.6</v>
          </cell>
          <cell r="G744">
            <v>83</v>
          </cell>
          <cell r="H744" t="str">
            <v>C</v>
          </cell>
          <cell r="I744" t="str">
            <v>CS01/6</v>
          </cell>
          <cell r="J744">
            <v>60053439</v>
          </cell>
          <cell r="K744">
            <v>168</v>
          </cell>
          <cell r="L744" t="str">
            <v>E1-ND-06-TSA-0361</v>
          </cell>
        </row>
        <row r="745">
          <cell r="A745">
            <v>60053446</v>
          </cell>
          <cell r="B745" t="str">
            <v>CR SPCC-SD 0.6x83xC</v>
          </cell>
          <cell r="C745" t="str">
            <v>CR SPCC-SD</v>
          </cell>
          <cell r="D745" t="str">
            <v>CR</v>
          </cell>
          <cell r="E745" t="str">
            <v>SPCC-SD</v>
          </cell>
          <cell r="F745">
            <v>0.6</v>
          </cell>
          <cell r="G745">
            <v>83</v>
          </cell>
          <cell r="H745" t="str">
            <v>C</v>
          </cell>
          <cell r="I745" t="str">
            <v>CS01/6</v>
          </cell>
          <cell r="J745">
            <v>60053446</v>
          </cell>
          <cell r="K745">
            <v>168</v>
          </cell>
          <cell r="L745" t="str">
            <v>E1-ND-06-TSA-0361</v>
          </cell>
        </row>
        <row r="746">
          <cell r="A746">
            <v>60053453</v>
          </cell>
          <cell r="B746" t="str">
            <v>CR SPCC-SD 0.6x83xC</v>
          </cell>
          <cell r="C746" t="str">
            <v>CR SPCC-SD</v>
          </cell>
          <cell r="D746" t="str">
            <v>CR</v>
          </cell>
          <cell r="E746" t="str">
            <v>SPCC-SD</v>
          </cell>
          <cell r="F746">
            <v>0.6</v>
          </cell>
          <cell r="G746">
            <v>83</v>
          </cell>
          <cell r="H746" t="str">
            <v>C</v>
          </cell>
          <cell r="I746" t="str">
            <v>CS01/6</v>
          </cell>
          <cell r="J746">
            <v>60053453</v>
          </cell>
          <cell r="K746">
            <v>168</v>
          </cell>
          <cell r="L746" t="str">
            <v>E1-ND-06-TSA-0361</v>
          </cell>
        </row>
        <row r="747">
          <cell r="A747">
            <v>60053528</v>
          </cell>
          <cell r="D747" t="str">
            <v>PO</v>
          </cell>
          <cell r="E747" t="str">
            <v>SPHC P/O</v>
          </cell>
          <cell r="F747">
            <v>2.2999999999999998</v>
          </cell>
          <cell r="G747">
            <v>72</v>
          </cell>
          <cell r="H747" t="str">
            <v>C</v>
          </cell>
          <cell r="I747" t="str">
            <v>CS01/10</v>
          </cell>
          <cell r="J747">
            <v>60053528</v>
          </cell>
          <cell r="K747">
            <v>122</v>
          </cell>
        </row>
        <row r="748">
          <cell r="A748">
            <v>60053799</v>
          </cell>
          <cell r="B748" t="str">
            <v>CR SPCC-SD 1.6x74xC</v>
          </cell>
          <cell r="C748" t="str">
            <v>CR SPCC-SD</v>
          </cell>
          <cell r="D748" t="str">
            <v>CR</v>
          </cell>
          <cell r="E748" t="str">
            <v>SPCC-SD</v>
          </cell>
          <cell r="F748">
            <v>1.6</v>
          </cell>
          <cell r="G748">
            <v>74</v>
          </cell>
          <cell r="H748" t="str">
            <v>C</v>
          </cell>
          <cell r="I748" t="str">
            <v>CS01/5</v>
          </cell>
          <cell r="J748">
            <v>60053799</v>
          </cell>
          <cell r="K748">
            <v>119</v>
          </cell>
          <cell r="L748" t="str">
            <v>E2-ND-06-TSA-0151</v>
          </cell>
        </row>
        <row r="749">
          <cell r="A749">
            <v>60053801</v>
          </cell>
          <cell r="B749" t="str">
            <v>CR SPCC-SD 1.6x74xC</v>
          </cell>
          <cell r="C749" t="str">
            <v>CR SPCC-SD</v>
          </cell>
          <cell r="D749" t="str">
            <v>CR</v>
          </cell>
          <cell r="E749" t="str">
            <v>SPCC-SD</v>
          </cell>
          <cell r="F749">
            <v>1.6</v>
          </cell>
          <cell r="G749">
            <v>74</v>
          </cell>
          <cell r="H749" t="str">
            <v>C</v>
          </cell>
          <cell r="I749" t="str">
            <v>CS01/5</v>
          </cell>
          <cell r="J749">
            <v>60053801</v>
          </cell>
          <cell r="K749">
            <v>119</v>
          </cell>
          <cell r="L749" t="str">
            <v>E2-ND-06-TSA-0151</v>
          </cell>
        </row>
        <row r="750">
          <cell r="A750">
            <v>60054517</v>
          </cell>
          <cell r="B750" t="str">
            <v>CR SPCC-SD 2.0x80xC</v>
          </cell>
          <cell r="C750" t="str">
            <v>CR SPCC-SD</v>
          </cell>
          <cell r="D750" t="str">
            <v>CR</v>
          </cell>
          <cell r="E750" t="str">
            <v>SPCC-SD</v>
          </cell>
          <cell r="F750">
            <v>2</v>
          </cell>
          <cell r="G750">
            <v>80</v>
          </cell>
          <cell r="H750" t="str">
            <v>C</v>
          </cell>
          <cell r="I750" t="str">
            <v>CS01/8</v>
          </cell>
          <cell r="J750">
            <v>60054517</v>
          </cell>
          <cell r="K750">
            <v>222</v>
          </cell>
          <cell r="L750" t="str">
            <v>E2-ND-06-TSA-0152</v>
          </cell>
        </row>
        <row r="751">
          <cell r="A751">
            <v>60054518</v>
          </cell>
          <cell r="B751" t="str">
            <v>CR SPCC-SD 2.0x80xC</v>
          </cell>
          <cell r="C751" t="str">
            <v>CR SPCC-SD</v>
          </cell>
          <cell r="D751" t="str">
            <v>CR</v>
          </cell>
          <cell r="E751" t="str">
            <v>SPCC-SD</v>
          </cell>
          <cell r="F751">
            <v>2</v>
          </cell>
          <cell r="G751">
            <v>80</v>
          </cell>
          <cell r="H751" t="str">
            <v>C</v>
          </cell>
          <cell r="I751" t="str">
            <v>CS01/8</v>
          </cell>
          <cell r="J751">
            <v>60054518</v>
          </cell>
          <cell r="K751">
            <v>222</v>
          </cell>
          <cell r="L751" t="str">
            <v>E2-ND-06-TSA-0152</v>
          </cell>
        </row>
        <row r="752">
          <cell r="A752">
            <v>60054519</v>
          </cell>
          <cell r="B752" t="str">
            <v>CR SPCC-SD 2.0x80xC</v>
          </cell>
          <cell r="C752" t="str">
            <v>CR SPCC-SD</v>
          </cell>
          <cell r="D752" t="str">
            <v>CR</v>
          </cell>
          <cell r="E752" t="str">
            <v>SPCC-SD</v>
          </cell>
          <cell r="F752">
            <v>2</v>
          </cell>
          <cell r="G752">
            <v>80</v>
          </cell>
          <cell r="H752" t="str">
            <v>C</v>
          </cell>
          <cell r="I752" t="str">
            <v>CS01/8</v>
          </cell>
          <cell r="J752">
            <v>60054519</v>
          </cell>
          <cell r="K752">
            <v>222</v>
          </cell>
          <cell r="L752" t="str">
            <v>E2-ND-06-TSA-0152</v>
          </cell>
        </row>
        <row r="753">
          <cell r="A753">
            <v>60054586</v>
          </cell>
          <cell r="B753" t="str">
            <v>CR SPCC-SD 1.4x55xC</v>
          </cell>
          <cell r="C753" t="str">
            <v>CR SPCC-SD</v>
          </cell>
          <cell r="D753" t="str">
            <v>CR</v>
          </cell>
          <cell r="E753" t="str">
            <v>SPCC-SD</v>
          </cell>
          <cell r="F753">
            <v>1.4</v>
          </cell>
          <cell r="G753">
            <v>55</v>
          </cell>
          <cell r="H753" t="str">
            <v>C</v>
          </cell>
          <cell r="I753" t="str">
            <v>CS01/7</v>
          </cell>
          <cell r="J753">
            <v>60054586</v>
          </cell>
          <cell r="K753">
            <v>76</v>
          </cell>
          <cell r="L753" t="str">
            <v>E2-ND-06-TSA-0153</v>
          </cell>
        </row>
        <row r="754">
          <cell r="A754">
            <v>60054587</v>
          </cell>
          <cell r="B754" t="str">
            <v>CR SPCC-SD 1.4x55xC</v>
          </cell>
          <cell r="C754" t="str">
            <v>CR SPCC-SD</v>
          </cell>
          <cell r="D754" t="str">
            <v>CR</v>
          </cell>
          <cell r="E754" t="str">
            <v>SPCC-SD</v>
          </cell>
          <cell r="F754">
            <v>1.4</v>
          </cell>
          <cell r="G754">
            <v>55</v>
          </cell>
          <cell r="H754" t="str">
            <v>C</v>
          </cell>
          <cell r="I754" t="str">
            <v>CS01/7</v>
          </cell>
          <cell r="J754">
            <v>60054587</v>
          </cell>
          <cell r="K754">
            <v>76</v>
          </cell>
          <cell r="L754" t="str">
            <v>E2-ND-06-TSA-0153</v>
          </cell>
        </row>
        <row r="755">
          <cell r="A755">
            <v>60054666</v>
          </cell>
          <cell r="B755" t="str">
            <v>CR SPCC-SD 1.6x22xC</v>
          </cell>
          <cell r="C755" t="str">
            <v>CR SPCC-SD</v>
          </cell>
          <cell r="D755" t="str">
            <v>CR</v>
          </cell>
          <cell r="E755" t="str">
            <v>SPCC-SD</v>
          </cell>
          <cell r="F755">
            <v>1.6</v>
          </cell>
          <cell r="G755">
            <v>22</v>
          </cell>
          <cell r="H755" t="str">
            <v>C</v>
          </cell>
          <cell r="I755" t="str">
            <v>CS01/1</v>
          </cell>
          <cell r="J755">
            <v>60054666</v>
          </cell>
          <cell r="K755">
            <v>196</v>
          </cell>
          <cell r="L755" t="str">
            <v>E2-ND-06-TSA-0151</v>
          </cell>
        </row>
        <row r="756">
          <cell r="A756">
            <v>60054723</v>
          </cell>
          <cell r="B756" t="str">
            <v>PO SPHC P/O 2.3x42xC</v>
          </cell>
          <cell r="C756" t="str">
            <v>PO SPHC P/O</v>
          </cell>
          <cell r="D756" t="str">
            <v>PO</v>
          </cell>
          <cell r="E756" t="str">
            <v>SPHC P/O</v>
          </cell>
          <cell r="F756">
            <v>2.2999999999999998</v>
          </cell>
          <cell r="G756">
            <v>42</v>
          </cell>
          <cell r="H756" t="str">
            <v>C</v>
          </cell>
          <cell r="I756" t="str">
            <v>CS01/5</v>
          </cell>
          <cell r="J756">
            <v>60054723</v>
          </cell>
          <cell r="K756">
            <v>114</v>
          </cell>
          <cell r="L756" t="str">
            <v>E2-NJ-06-TSA-0064</v>
          </cell>
        </row>
        <row r="757">
          <cell r="A757">
            <v>60055257</v>
          </cell>
          <cell r="B757" t="str">
            <v>CR SPCC-SD 1.6x82xC</v>
          </cell>
          <cell r="C757" t="str">
            <v>CR SPCC-SD</v>
          </cell>
          <cell r="D757" t="str">
            <v>CR</v>
          </cell>
          <cell r="E757" t="str">
            <v>SPCC-SD</v>
          </cell>
          <cell r="F757">
            <v>1.6</v>
          </cell>
          <cell r="G757">
            <v>82</v>
          </cell>
          <cell r="H757" t="str">
            <v>C</v>
          </cell>
          <cell r="I757" t="str">
            <v>CS01/5</v>
          </cell>
          <cell r="J757">
            <v>60055257</v>
          </cell>
          <cell r="K757">
            <v>300</v>
          </cell>
          <cell r="L757" t="str">
            <v>E2-ND-06-TSA-0151</v>
          </cell>
        </row>
        <row r="758">
          <cell r="A758">
            <v>60055258</v>
          </cell>
          <cell r="B758" t="str">
            <v>CR SPCC-SD 1.6x82xC</v>
          </cell>
          <cell r="C758" t="str">
            <v>CR SPCC-SD</v>
          </cell>
          <cell r="D758" t="str">
            <v>CR</v>
          </cell>
          <cell r="E758" t="str">
            <v>SPCC-SD</v>
          </cell>
          <cell r="F758">
            <v>1.6</v>
          </cell>
          <cell r="G758">
            <v>82</v>
          </cell>
          <cell r="H758" t="str">
            <v>C</v>
          </cell>
          <cell r="I758" t="str">
            <v>CS01/5</v>
          </cell>
          <cell r="J758">
            <v>60055258</v>
          </cell>
          <cell r="K758">
            <v>300</v>
          </cell>
          <cell r="L758" t="str">
            <v>E2-ND-06-TSA-0151</v>
          </cell>
        </row>
        <row r="759">
          <cell r="A759">
            <v>60055458</v>
          </cell>
          <cell r="B759" t="str">
            <v>PO SPHC P/O 2.3x42xC</v>
          </cell>
          <cell r="C759" t="str">
            <v>PO SPHC P/O</v>
          </cell>
          <cell r="D759" t="str">
            <v>PO</v>
          </cell>
          <cell r="E759" t="str">
            <v>SPHC P/O</v>
          </cell>
          <cell r="F759">
            <v>2.2999999999999998</v>
          </cell>
          <cell r="G759">
            <v>42</v>
          </cell>
          <cell r="H759" t="str">
            <v>C</v>
          </cell>
          <cell r="I759" t="str">
            <v>CS01/9</v>
          </cell>
          <cell r="J759">
            <v>60055458</v>
          </cell>
          <cell r="K759">
            <v>61</v>
          </cell>
          <cell r="L759" t="str">
            <v>E2-NJ-06-TSA-0064</v>
          </cell>
        </row>
        <row r="760">
          <cell r="A760">
            <v>60055459</v>
          </cell>
          <cell r="B760" t="str">
            <v>PO SPHC P/O 2.3x42xC</v>
          </cell>
          <cell r="C760" t="str">
            <v>PO SPHC P/O</v>
          </cell>
          <cell r="D760" t="str">
            <v>PO</v>
          </cell>
          <cell r="E760" t="str">
            <v>SPHC P/O</v>
          </cell>
          <cell r="F760">
            <v>2.2999999999999998</v>
          </cell>
          <cell r="G760">
            <v>42</v>
          </cell>
          <cell r="H760" t="str">
            <v>C</v>
          </cell>
          <cell r="I760" t="str">
            <v>CS01/9</v>
          </cell>
          <cell r="J760">
            <v>60055459</v>
          </cell>
          <cell r="K760">
            <v>61</v>
          </cell>
          <cell r="L760" t="str">
            <v>E2-NJ-06-TSA-0065</v>
          </cell>
        </row>
        <row r="761">
          <cell r="A761">
            <v>60055460</v>
          </cell>
          <cell r="B761" t="str">
            <v>PO SPHC P/O 2.3x42xC</v>
          </cell>
          <cell r="C761" t="str">
            <v>PO SPHC P/O</v>
          </cell>
          <cell r="D761" t="str">
            <v>PO</v>
          </cell>
          <cell r="E761" t="str">
            <v>SPHC P/O</v>
          </cell>
          <cell r="F761">
            <v>2.2999999999999998</v>
          </cell>
          <cell r="G761">
            <v>42</v>
          </cell>
          <cell r="H761" t="str">
            <v>C</v>
          </cell>
          <cell r="I761" t="str">
            <v>CS01/9</v>
          </cell>
          <cell r="J761">
            <v>60055460</v>
          </cell>
          <cell r="K761">
            <v>61</v>
          </cell>
          <cell r="L761" t="str">
            <v>E2-ND-06-TSA-0154</v>
          </cell>
        </row>
        <row r="762">
          <cell r="A762">
            <v>60055461</v>
          </cell>
          <cell r="B762" t="str">
            <v>PO SPHC P/O 2.3x42xC</v>
          </cell>
          <cell r="C762" t="str">
            <v>PO SPHC P/O</v>
          </cell>
          <cell r="D762" t="str">
            <v>PO</v>
          </cell>
          <cell r="E762" t="str">
            <v>SPHC P/O</v>
          </cell>
          <cell r="F762">
            <v>2.2999999999999998</v>
          </cell>
          <cell r="G762">
            <v>42</v>
          </cell>
          <cell r="H762" t="str">
            <v>C</v>
          </cell>
          <cell r="I762" t="str">
            <v>CS01/9</v>
          </cell>
          <cell r="J762">
            <v>60055461</v>
          </cell>
          <cell r="K762">
            <v>61</v>
          </cell>
          <cell r="L762" t="str">
            <v>E2-NJ-06-TSA-0067</v>
          </cell>
        </row>
        <row r="763">
          <cell r="A763">
            <v>60055462</v>
          </cell>
          <cell r="B763" t="str">
            <v>PO SPHC P/O 2.3x42xC</v>
          </cell>
          <cell r="C763" t="str">
            <v>PO SPHC P/O</v>
          </cell>
          <cell r="D763" t="str">
            <v>PO</v>
          </cell>
          <cell r="E763" t="str">
            <v>SPHC P/O</v>
          </cell>
          <cell r="F763">
            <v>2.2999999999999998</v>
          </cell>
          <cell r="G763">
            <v>42</v>
          </cell>
          <cell r="H763" t="str">
            <v>C</v>
          </cell>
          <cell r="I763" t="str">
            <v>CS01/9</v>
          </cell>
          <cell r="J763">
            <v>60055462</v>
          </cell>
          <cell r="K763">
            <v>61</v>
          </cell>
          <cell r="L763" t="str">
            <v>E2-NJ-06-TSA-0067</v>
          </cell>
        </row>
        <row r="764">
          <cell r="A764">
            <v>60055463</v>
          </cell>
          <cell r="B764" t="str">
            <v>PO SPHC P/O 2.3x42xC</v>
          </cell>
          <cell r="C764" t="str">
            <v>PO SPHC P/O</v>
          </cell>
          <cell r="D764" t="str">
            <v>PO</v>
          </cell>
          <cell r="E764" t="str">
            <v>SPHC P/O</v>
          </cell>
          <cell r="F764">
            <v>2.2999999999999998</v>
          </cell>
          <cell r="G764">
            <v>42</v>
          </cell>
          <cell r="H764" t="str">
            <v>C</v>
          </cell>
          <cell r="I764" t="str">
            <v>CS01/9</v>
          </cell>
          <cell r="J764">
            <v>60055463</v>
          </cell>
          <cell r="K764">
            <v>61</v>
          </cell>
          <cell r="L764" t="str">
            <v>E2-ND-06-TSA-0154</v>
          </cell>
        </row>
        <row r="765">
          <cell r="A765">
            <v>60055464</v>
          </cell>
          <cell r="B765" t="str">
            <v>PO SPHC P/O 2.3x42xC</v>
          </cell>
          <cell r="C765" t="str">
            <v>PO SPHC P/O</v>
          </cell>
          <cell r="D765" t="str">
            <v>PO</v>
          </cell>
          <cell r="E765" t="str">
            <v>SPHC P/O</v>
          </cell>
          <cell r="F765">
            <v>2.2999999999999998</v>
          </cell>
          <cell r="G765">
            <v>42</v>
          </cell>
          <cell r="H765" t="str">
            <v>C</v>
          </cell>
          <cell r="I765" t="str">
            <v>CS01/9</v>
          </cell>
          <cell r="J765">
            <v>60055464</v>
          </cell>
          <cell r="K765">
            <v>61</v>
          </cell>
          <cell r="L765" t="str">
            <v>E2-ND-06-TSA-0154</v>
          </cell>
        </row>
        <row r="766">
          <cell r="A766">
            <v>60055465</v>
          </cell>
          <cell r="B766" t="str">
            <v>PO SPHC P/O 2.3x42xC</v>
          </cell>
          <cell r="C766" t="str">
            <v>PO SPHC P/O</v>
          </cell>
          <cell r="D766" t="str">
            <v>PO</v>
          </cell>
          <cell r="E766" t="str">
            <v>SPHC P/O</v>
          </cell>
          <cell r="F766">
            <v>2.2999999999999998</v>
          </cell>
          <cell r="G766">
            <v>42</v>
          </cell>
          <cell r="H766" t="str">
            <v>C</v>
          </cell>
          <cell r="I766" t="str">
            <v>CS01/9</v>
          </cell>
          <cell r="J766">
            <v>60055465</v>
          </cell>
          <cell r="K766">
            <v>61</v>
          </cell>
          <cell r="L766" t="str">
            <v>E2-ND-06-TSA-0154</v>
          </cell>
        </row>
        <row r="767">
          <cell r="A767">
            <v>60055466</v>
          </cell>
          <cell r="B767" t="str">
            <v>PO SPHC P/O 2.3x42xC</v>
          </cell>
          <cell r="C767" t="str">
            <v>PO SPHC P/O</v>
          </cell>
          <cell r="D767" t="str">
            <v>PO</v>
          </cell>
          <cell r="E767" t="str">
            <v>SPHC P/O</v>
          </cell>
          <cell r="F767">
            <v>2.2999999999999998</v>
          </cell>
          <cell r="G767">
            <v>42</v>
          </cell>
          <cell r="H767" t="str">
            <v>C</v>
          </cell>
          <cell r="I767" t="str">
            <v>CS01/9</v>
          </cell>
          <cell r="J767">
            <v>60055466</v>
          </cell>
          <cell r="K767">
            <v>61</v>
          </cell>
          <cell r="L767" t="str">
            <v>E2-NJ-06-TSA-0066</v>
          </cell>
        </row>
        <row r="768">
          <cell r="A768">
            <v>60055467</v>
          </cell>
          <cell r="B768" t="str">
            <v>PO SPHC P/O 2.3x42xC</v>
          </cell>
          <cell r="C768" t="str">
            <v>PO SPHC P/O</v>
          </cell>
          <cell r="D768" t="str">
            <v>PO</v>
          </cell>
          <cell r="E768" t="str">
            <v>SPHC P/O</v>
          </cell>
          <cell r="F768">
            <v>2.2999999999999998</v>
          </cell>
          <cell r="G768">
            <v>42</v>
          </cell>
          <cell r="H768" t="str">
            <v>C</v>
          </cell>
          <cell r="I768" t="str">
            <v>CS01/9</v>
          </cell>
          <cell r="J768">
            <v>60055467</v>
          </cell>
          <cell r="K768">
            <v>61</v>
          </cell>
          <cell r="L768" t="str">
            <v>E2-ND-06-TSA-0154</v>
          </cell>
        </row>
        <row r="769">
          <cell r="A769">
            <v>60056044</v>
          </cell>
          <cell r="B769" t="str">
            <v>CR SPCC-SD 1.6x30xC</v>
          </cell>
          <cell r="C769" t="str">
            <v>CR SPCC-SD</v>
          </cell>
          <cell r="D769" t="str">
            <v>CR</v>
          </cell>
          <cell r="E769" t="str">
            <v>SPCC-SD</v>
          </cell>
          <cell r="F769">
            <v>1.6</v>
          </cell>
          <cell r="G769">
            <v>30</v>
          </cell>
          <cell r="H769" t="str">
            <v>C</v>
          </cell>
          <cell r="I769" t="str">
            <v>CS01/9</v>
          </cell>
          <cell r="J769">
            <v>60056044</v>
          </cell>
          <cell r="K769">
            <v>379</v>
          </cell>
          <cell r="L769" t="str">
            <v>E2-ND-06-TSA-0151</v>
          </cell>
        </row>
        <row r="770">
          <cell r="A770">
            <v>60056156</v>
          </cell>
          <cell r="B770" t="str">
            <v>CR SPCC-SD 1.0x32xC</v>
          </cell>
          <cell r="C770" t="str">
            <v>CR SPCC-SD</v>
          </cell>
          <cell r="D770" t="str">
            <v>CR</v>
          </cell>
          <cell r="E770" t="str">
            <v>SPCC-SD</v>
          </cell>
          <cell r="F770">
            <v>1</v>
          </cell>
          <cell r="G770">
            <v>32</v>
          </cell>
          <cell r="H770" t="str">
            <v>C</v>
          </cell>
          <cell r="I770" t="str">
            <v>CS01/9</v>
          </cell>
          <cell r="J770">
            <v>60056156</v>
          </cell>
          <cell r="K770">
            <v>380</v>
          </cell>
          <cell r="L770" t="str">
            <v>E1-ND-06-TSA-0362</v>
          </cell>
        </row>
        <row r="771">
          <cell r="A771">
            <v>60056276</v>
          </cell>
          <cell r="B771" t="str">
            <v>CR SPCC-SD 1.6x49xC</v>
          </cell>
          <cell r="C771" t="str">
            <v>CR SPCC-SD</v>
          </cell>
          <cell r="D771" t="str">
            <v>CR</v>
          </cell>
          <cell r="E771" t="str">
            <v>SPCC-SD</v>
          </cell>
          <cell r="F771">
            <v>1.6</v>
          </cell>
          <cell r="G771">
            <v>49</v>
          </cell>
          <cell r="H771" t="str">
            <v>C</v>
          </cell>
          <cell r="I771" t="str">
            <v>CS01/5</v>
          </cell>
          <cell r="J771">
            <v>60056276</v>
          </cell>
          <cell r="K771">
            <v>110</v>
          </cell>
          <cell r="L771" t="str">
            <v>E2-ND-06-TSA-0151</v>
          </cell>
        </row>
        <row r="772">
          <cell r="A772">
            <v>60056435</v>
          </cell>
          <cell r="B772" t="str">
            <v>CR SPCC-SD 1.6x82xC</v>
          </cell>
          <cell r="C772" t="str">
            <v>CR SPCC-SD</v>
          </cell>
          <cell r="D772" t="str">
            <v>CR</v>
          </cell>
          <cell r="E772" t="str">
            <v>SPCC-SD</v>
          </cell>
          <cell r="F772">
            <v>1.6</v>
          </cell>
          <cell r="G772">
            <v>82</v>
          </cell>
          <cell r="H772" t="str">
            <v>C</v>
          </cell>
          <cell r="I772" t="str">
            <v>CS01/7</v>
          </cell>
          <cell r="J772">
            <v>60056435</v>
          </cell>
          <cell r="K772">
            <v>443</v>
          </cell>
          <cell r="L772" t="str">
            <v>E2-ND-06-TSA-0151</v>
          </cell>
        </row>
        <row r="773">
          <cell r="A773">
            <v>60056436</v>
          </cell>
          <cell r="B773" t="str">
            <v>CR SPCC-SD 1.6x82xC</v>
          </cell>
          <cell r="C773" t="str">
            <v>CR SPCC-SD</v>
          </cell>
          <cell r="D773" t="str">
            <v>CR</v>
          </cell>
          <cell r="E773" t="str">
            <v>SPCC-SD</v>
          </cell>
          <cell r="F773">
            <v>1.6</v>
          </cell>
          <cell r="G773">
            <v>82</v>
          </cell>
          <cell r="H773" t="str">
            <v>C</v>
          </cell>
          <cell r="I773" t="str">
            <v>CS01/7</v>
          </cell>
          <cell r="J773">
            <v>60056436</v>
          </cell>
          <cell r="K773">
            <v>443</v>
          </cell>
          <cell r="L773" t="str">
            <v>E2-ND-06-TSA-0151</v>
          </cell>
        </row>
        <row r="774">
          <cell r="A774">
            <v>60056441</v>
          </cell>
          <cell r="B774" t="str">
            <v>CR SPCC-SD 1.6x82xC</v>
          </cell>
          <cell r="C774" t="str">
            <v>CR SPCC-SD</v>
          </cell>
          <cell r="D774" t="str">
            <v>CR</v>
          </cell>
          <cell r="E774" t="str">
            <v>SPCC-SD</v>
          </cell>
          <cell r="F774">
            <v>1.6</v>
          </cell>
          <cell r="G774">
            <v>82</v>
          </cell>
          <cell r="H774" t="str">
            <v>C</v>
          </cell>
          <cell r="I774" t="str">
            <v>CS01/7</v>
          </cell>
          <cell r="J774">
            <v>60056441</v>
          </cell>
          <cell r="K774">
            <v>571</v>
          </cell>
          <cell r="L774" t="str">
            <v>E2-ND-06-TSA-0151</v>
          </cell>
        </row>
        <row r="775">
          <cell r="A775">
            <v>60056442</v>
          </cell>
          <cell r="B775" t="str">
            <v>CR SPCC-SD 1.6x82xC</v>
          </cell>
          <cell r="C775" t="str">
            <v>CR SPCC-SD</v>
          </cell>
          <cell r="D775" t="str">
            <v>CR</v>
          </cell>
          <cell r="E775" t="str">
            <v>SPCC-SD</v>
          </cell>
          <cell r="F775">
            <v>1.6</v>
          </cell>
          <cell r="G775">
            <v>82</v>
          </cell>
          <cell r="H775" t="str">
            <v>C</v>
          </cell>
          <cell r="I775" t="str">
            <v>CS01/7</v>
          </cell>
          <cell r="J775">
            <v>60056442</v>
          </cell>
          <cell r="K775">
            <v>571</v>
          </cell>
          <cell r="L775" t="str">
            <v>E2-ND-06-TSA-0151</v>
          </cell>
        </row>
        <row r="776">
          <cell r="A776">
            <v>60056452</v>
          </cell>
          <cell r="D776" t="str">
            <v>CR</v>
          </cell>
          <cell r="E776" t="str">
            <v>SPCEN-SD</v>
          </cell>
          <cell r="F776">
            <v>1.2</v>
          </cell>
          <cell r="G776">
            <v>40</v>
          </cell>
          <cell r="H776" t="str">
            <v>C</v>
          </cell>
          <cell r="I776" t="str">
            <v>CS01/12</v>
          </cell>
          <cell r="J776">
            <v>60056452</v>
          </cell>
          <cell r="K776">
            <v>250</v>
          </cell>
        </row>
        <row r="777">
          <cell r="A777">
            <v>60056455</v>
          </cell>
          <cell r="D777" t="str">
            <v>CR</v>
          </cell>
          <cell r="E777" t="str">
            <v>SPCEN-SD</v>
          </cell>
          <cell r="F777">
            <v>1.2</v>
          </cell>
          <cell r="G777">
            <v>40</v>
          </cell>
          <cell r="H777" t="str">
            <v>C</v>
          </cell>
          <cell r="I777" t="str">
            <v>CS01/12</v>
          </cell>
          <cell r="J777">
            <v>60056455</v>
          </cell>
          <cell r="K777">
            <v>260</v>
          </cell>
        </row>
        <row r="778">
          <cell r="A778">
            <v>60056458</v>
          </cell>
          <cell r="D778" t="str">
            <v>CR</v>
          </cell>
          <cell r="E778" t="str">
            <v>SPCEN-SD</v>
          </cell>
          <cell r="F778">
            <v>1.2</v>
          </cell>
          <cell r="G778">
            <v>40</v>
          </cell>
          <cell r="H778" t="str">
            <v>C</v>
          </cell>
          <cell r="I778" t="str">
            <v>CS01/12</v>
          </cell>
          <cell r="J778">
            <v>60056458</v>
          </cell>
          <cell r="K778">
            <v>131</v>
          </cell>
        </row>
        <row r="779">
          <cell r="A779">
            <v>60056689</v>
          </cell>
          <cell r="D779" t="str">
            <v>CR</v>
          </cell>
          <cell r="E779" t="str">
            <v>SPCEN-SD</v>
          </cell>
          <cell r="F779">
            <v>1.2</v>
          </cell>
          <cell r="G779">
            <v>40</v>
          </cell>
          <cell r="H779" t="str">
            <v>C</v>
          </cell>
          <cell r="I779" t="str">
            <v>CS01/12</v>
          </cell>
          <cell r="J779">
            <v>60056689</v>
          </cell>
          <cell r="K779">
            <v>31</v>
          </cell>
        </row>
        <row r="780">
          <cell r="A780">
            <v>60056692</v>
          </cell>
          <cell r="D780" t="str">
            <v>CR</v>
          </cell>
          <cell r="E780" t="str">
            <v>SPCEN-SD</v>
          </cell>
          <cell r="F780">
            <v>1.2</v>
          </cell>
          <cell r="G780">
            <v>40</v>
          </cell>
          <cell r="H780" t="str">
            <v>C</v>
          </cell>
          <cell r="I780" t="str">
            <v>CS01/12</v>
          </cell>
          <cell r="J780">
            <v>60056692</v>
          </cell>
          <cell r="K780">
            <v>68</v>
          </cell>
        </row>
        <row r="781">
          <cell r="A781">
            <v>60057002</v>
          </cell>
          <cell r="D781" t="str">
            <v>CR</v>
          </cell>
          <cell r="E781" t="str">
            <v>SPCC-SD</v>
          </cell>
          <cell r="F781">
            <v>3</v>
          </cell>
          <cell r="G781">
            <v>78</v>
          </cell>
          <cell r="H781" t="str">
            <v>C</v>
          </cell>
          <cell r="I781" t="str">
            <v>CS01/11</v>
          </cell>
          <cell r="J781">
            <v>60057002</v>
          </cell>
          <cell r="K781">
            <v>268</v>
          </cell>
        </row>
        <row r="782">
          <cell r="A782">
            <v>60057007</v>
          </cell>
          <cell r="D782" t="str">
            <v>CR</v>
          </cell>
          <cell r="E782" t="str">
            <v>SPCC-SD</v>
          </cell>
          <cell r="F782">
            <v>3</v>
          </cell>
          <cell r="G782">
            <v>78</v>
          </cell>
          <cell r="H782" t="str">
            <v>C</v>
          </cell>
          <cell r="I782" t="str">
            <v>CS01/11</v>
          </cell>
          <cell r="J782">
            <v>60057007</v>
          </cell>
          <cell r="K782">
            <v>266</v>
          </cell>
        </row>
        <row r="783">
          <cell r="A783">
            <v>60057020</v>
          </cell>
          <cell r="D783" t="str">
            <v>CR</v>
          </cell>
          <cell r="E783" t="str">
            <v>SPCC-SD</v>
          </cell>
          <cell r="F783">
            <v>3</v>
          </cell>
          <cell r="G783">
            <v>78</v>
          </cell>
          <cell r="H783" t="str">
            <v>C</v>
          </cell>
          <cell r="I783" t="str">
            <v>CS01/12</v>
          </cell>
          <cell r="J783">
            <v>60057020</v>
          </cell>
          <cell r="K783">
            <v>304</v>
          </cell>
        </row>
        <row r="784">
          <cell r="A784">
            <v>60057025</v>
          </cell>
          <cell r="D784" t="str">
            <v>CR</v>
          </cell>
          <cell r="E784" t="str">
            <v>SPCC-SD</v>
          </cell>
          <cell r="F784">
            <v>3</v>
          </cell>
          <cell r="G784">
            <v>78</v>
          </cell>
          <cell r="H784" t="str">
            <v>C</v>
          </cell>
          <cell r="I784" t="str">
            <v>CS01/11</v>
          </cell>
          <cell r="J784">
            <v>60057025</v>
          </cell>
          <cell r="K784">
            <v>298</v>
          </cell>
        </row>
        <row r="785">
          <cell r="A785">
            <v>60057103</v>
          </cell>
          <cell r="B785" t="str">
            <v>PO SPHC P/O 2.6x79xC</v>
          </cell>
          <cell r="C785" t="str">
            <v>PO SPHC P/O</v>
          </cell>
          <cell r="D785" t="str">
            <v>PO</v>
          </cell>
          <cell r="E785" t="str">
            <v>SPHC P/O</v>
          </cell>
          <cell r="F785">
            <v>2.6</v>
          </cell>
          <cell r="G785">
            <v>79</v>
          </cell>
          <cell r="H785" t="str">
            <v>C</v>
          </cell>
          <cell r="I785" t="str">
            <v>CS01/5</v>
          </cell>
          <cell r="J785">
            <v>60057103</v>
          </cell>
          <cell r="K785">
            <v>176</v>
          </cell>
          <cell r="L785" t="str">
            <v>E2-ND-06-TSA-0154</v>
          </cell>
        </row>
        <row r="786">
          <cell r="A786">
            <v>60057104</v>
          </cell>
          <cell r="B786" t="str">
            <v>PO SPHC P/O 2.6x79xC</v>
          </cell>
          <cell r="C786" t="str">
            <v>PO SPHC P/O</v>
          </cell>
          <cell r="D786" t="str">
            <v>PO</v>
          </cell>
          <cell r="E786" t="str">
            <v>SPHC P/O</v>
          </cell>
          <cell r="F786">
            <v>2.6</v>
          </cell>
          <cell r="G786">
            <v>79</v>
          </cell>
          <cell r="H786" t="str">
            <v>C</v>
          </cell>
          <cell r="I786" t="str">
            <v>CS01/5</v>
          </cell>
          <cell r="J786">
            <v>60057104</v>
          </cell>
          <cell r="K786">
            <v>176</v>
          </cell>
          <cell r="L786" t="str">
            <v>E2-ND-06-TSA-0154</v>
          </cell>
        </row>
        <row r="787">
          <cell r="A787">
            <v>60057175</v>
          </cell>
          <cell r="B787" t="str">
            <v>CR SPCC-SD 1.6x82xC</v>
          </cell>
          <cell r="C787" t="str">
            <v>CR SPCC-SD</v>
          </cell>
          <cell r="D787" t="str">
            <v>CR</v>
          </cell>
          <cell r="E787" t="str">
            <v>SPCC-SD</v>
          </cell>
          <cell r="F787">
            <v>1.6</v>
          </cell>
          <cell r="G787">
            <v>82</v>
          </cell>
          <cell r="H787" t="str">
            <v>C</v>
          </cell>
          <cell r="I787" t="str">
            <v>CS01/7</v>
          </cell>
          <cell r="J787">
            <v>60057175</v>
          </cell>
          <cell r="K787">
            <v>445</v>
          </cell>
          <cell r="L787" t="str">
            <v>E2-ND-06-TSA-0151</v>
          </cell>
        </row>
        <row r="788">
          <cell r="A788">
            <v>60057176</v>
          </cell>
          <cell r="B788" t="str">
            <v>CR SPCC-SD 1.6x82xC</v>
          </cell>
          <cell r="C788" t="str">
            <v>CR SPCC-SD</v>
          </cell>
          <cell r="D788" t="str">
            <v>CR</v>
          </cell>
          <cell r="E788" t="str">
            <v>SPCC-SD</v>
          </cell>
          <cell r="F788">
            <v>1.6</v>
          </cell>
          <cell r="G788">
            <v>82</v>
          </cell>
          <cell r="H788" t="str">
            <v>C</v>
          </cell>
          <cell r="I788" t="str">
            <v>CS01/7</v>
          </cell>
          <cell r="J788">
            <v>60057176</v>
          </cell>
          <cell r="K788">
            <v>445</v>
          </cell>
          <cell r="L788" t="str">
            <v>E2-ND-06-TSA-0151</v>
          </cell>
        </row>
        <row r="789">
          <cell r="A789">
            <v>60057179</v>
          </cell>
          <cell r="B789" t="str">
            <v>CR SPCC-SD 1.6x82xC</v>
          </cell>
          <cell r="C789" t="str">
            <v>CR SPCC-SD</v>
          </cell>
          <cell r="D789" t="str">
            <v>CR</v>
          </cell>
          <cell r="E789" t="str">
            <v>SPCC-SD</v>
          </cell>
          <cell r="F789">
            <v>1.6</v>
          </cell>
          <cell r="G789">
            <v>82</v>
          </cell>
          <cell r="H789" t="str">
            <v>C</v>
          </cell>
          <cell r="I789" t="str">
            <v>CS01/7</v>
          </cell>
          <cell r="J789">
            <v>60057179</v>
          </cell>
          <cell r="K789">
            <v>467</v>
          </cell>
          <cell r="L789" t="str">
            <v>E2-ND-06-TSA-0152</v>
          </cell>
        </row>
        <row r="790">
          <cell r="A790">
            <v>60057296</v>
          </cell>
          <cell r="B790" t="str">
            <v>CR SPCC-SD 0.6x48xC</v>
          </cell>
          <cell r="C790" t="str">
            <v>CR SPCC-SD</v>
          </cell>
          <cell r="D790" t="str">
            <v>CR</v>
          </cell>
          <cell r="E790" t="str">
            <v>SPCC-SD</v>
          </cell>
          <cell r="F790">
            <v>0.6</v>
          </cell>
          <cell r="G790">
            <v>48</v>
          </cell>
          <cell r="H790" t="str">
            <v>C</v>
          </cell>
          <cell r="I790" t="str">
            <v>CS01/5</v>
          </cell>
          <cell r="J790">
            <v>60057296</v>
          </cell>
          <cell r="K790">
            <v>135</v>
          </cell>
          <cell r="L790" t="str">
            <v>E1-ND-06-TSA-0361</v>
          </cell>
        </row>
        <row r="791">
          <cell r="A791">
            <v>60057300</v>
          </cell>
          <cell r="B791" t="str">
            <v>CR SPCC-SD 0.6x48xC</v>
          </cell>
          <cell r="C791" t="str">
            <v>CR SPCC-SD</v>
          </cell>
          <cell r="D791" t="str">
            <v>CR</v>
          </cell>
          <cell r="E791" t="str">
            <v>SPCC-SD</v>
          </cell>
          <cell r="F791">
            <v>0.6</v>
          </cell>
          <cell r="G791">
            <v>48</v>
          </cell>
          <cell r="H791" t="str">
            <v>C</v>
          </cell>
          <cell r="I791" t="str">
            <v>CS01/5</v>
          </cell>
          <cell r="J791">
            <v>60057300</v>
          </cell>
          <cell r="K791">
            <v>137</v>
          </cell>
          <cell r="L791" t="str">
            <v>E1-ND-06-TSA-0361</v>
          </cell>
        </row>
        <row r="792">
          <cell r="A792">
            <v>60057303</v>
          </cell>
          <cell r="B792" t="str">
            <v>CR SPCC-SD 0.6x52xC</v>
          </cell>
          <cell r="C792" t="str">
            <v>CR SPCC-SD</v>
          </cell>
          <cell r="D792" t="str">
            <v>CR</v>
          </cell>
          <cell r="E792" t="str">
            <v>SPCC-SD</v>
          </cell>
          <cell r="F792">
            <v>0.6</v>
          </cell>
          <cell r="G792">
            <v>52</v>
          </cell>
          <cell r="H792" t="str">
            <v>C</v>
          </cell>
          <cell r="I792" t="str">
            <v>CS01/8</v>
          </cell>
          <cell r="J792">
            <v>60057303</v>
          </cell>
          <cell r="K792">
            <v>416</v>
          </cell>
          <cell r="L792" t="str">
            <v>E1-ND-06-TSA-0362</v>
          </cell>
        </row>
        <row r="793">
          <cell r="A793">
            <v>60057325</v>
          </cell>
          <cell r="B793" t="str">
            <v>CR SPCC-SD 0.6x52xC</v>
          </cell>
          <cell r="C793" t="str">
            <v>CR SPCC-SD</v>
          </cell>
          <cell r="D793" t="str">
            <v>CR</v>
          </cell>
          <cell r="E793" t="str">
            <v>SPCC-SD</v>
          </cell>
          <cell r="F793">
            <v>0.6</v>
          </cell>
          <cell r="G793">
            <v>52</v>
          </cell>
          <cell r="H793" t="str">
            <v>C</v>
          </cell>
          <cell r="I793" t="str">
            <v>CS01/8</v>
          </cell>
          <cell r="J793">
            <v>60057325</v>
          </cell>
          <cell r="K793">
            <v>284</v>
          </cell>
          <cell r="L793" t="str">
            <v>E1-ND-06-TSA-0362</v>
          </cell>
        </row>
        <row r="794">
          <cell r="A794">
            <v>60057329</v>
          </cell>
          <cell r="B794" t="str">
            <v>CR SPCC-SD 0.6x52xC</v>
          </cell>
          <cell r="C794" t="str">
            <v>CR SPCC-SD</v>
          </cell>
          <cell r="D794" t="str">
            <v>CR</v>
          </cell>
          <cell r="E794" t="str">
            <v>SPCC-SD</v>
          </cell>
          <cell r="F794">
            <v>0.6</v>
          </cell>
          <cell r="G794">
            <v>52</v>
          </cell>
          <cell r="H794" t="str">
            <v>C</v>
          </cell>
          <cell r="I794" t="str">
            <v>CS01/8</v>
          </cell>
          <cell r="J794">
            <v>60057329</v>
          </cell>
          <cell r="K794">
            <v>303</v>
          </cell>
          <cell r="L794" t="str">
            <v>E1-ND-06-TSA-0362</v>
          </cell>
        </row>
        <row r="795">
          <cell r="A795">
            <v>60057335</v>
          </cell>
          <cell r="B795" t="str">
            <v>CR SPCC-SD 0.6x52xC</v>
          </cell>
          <cell r="C795" t="str">
            <v>CR SPCC-SD</v>
          </cell>
          <cell r="D795" t="str">
            <v>CR</v>
          </cell>
          <cell r="E795" t="str">
            <v>SPCC-SD</v>
          </cell>
          <cell r="F795">
            <v>0.6</v>
          </cell>
          <cell r="G795">
            <v>52</v>
          </cell>
          <cell r="H795" t="str">
            <v>C</v>
          </cell>
          <cell r="I795" t="str">
            <v>CS01/8</v>
          </cell>
          <cell r="J795">
            <v>60057335</v>
          </cell>
          <cell r="K795">
            <v>310</v>
          </cell>
          <cell r="L795" t="str">
            <v>E1-ND-06-TSA-0362</v>
          </cell>
        </row>
        <row r="796">
          <cell r="A796">
            <v>60057342</v>
          </cell>
          <cell r="B796" t="str">
            <v>CR SPCC-SD 0.6x52xC</v>
          </cell>
          <cell r="C796" t="str">
            <v>CR SPCC-SD</v>
          </cell>
          <cell r="D796" t="str">
            <v>CR</v>
          </cell>
          <cell r="E796" t="str">
            <v>SPCC-SD</v>
          </cell>
          <cell r="F796">
            <v>0.6</v>
          </cell>
          <cell r="G796">
            <v>52</v>
          </cell>
          <cell r="H796" t="str">
            <v>C</v>
          </cell>
          <cell r="I796" t="str">
            <v>CS01/8</v>
          </cell>
          <cell r="J796">
            <v>60057342</v>
          </cell>
          <cell r="K796">
            <v>210</v>
          </cell>
          <cell r="L796" t="str">
            <v>E1-ND-06-TSA-0362</v>
          </cell>
        </row>
        <row r="797">
          <cell r="A797">
            <v>60057510</v>
          </cell>
          <cell r="D797" t="str">
            <v>CR</v>
          </cell>
          <cell r="E797" t="str">
            <v>SPCEN-SD</v>
          </cell>
          <cell r="F797">
            <v>1</v>
          </cell>
          <cell r="G797">
            <v>82</v>
          </cell>
          <cell r="H797" t="str">
            <v>C</v>
          </cell>
          <cell r="I797" t="str">
            <v>CS01/12</v>
          </cell>
          <cell r="J797">
            <v>60057510</v>
          </cell>
          <cell r="K797">
            <v>148</v>
          </cell>
        </row>
        <row r="798">
          <cell r="A798">
            <v>60057584</v>
          </cell>
          <cell r="D798" t="str">
            <v>CR</v>
          </cell>
          <cell r="E798" t="str">
            <v>SPCEN-SD</v>
          </cell>
          <cell r="F798">
            <v>0.8</v>
          </cell>
          <cell r="G798">
            <v>73</v>
          </cell>
          <cell r="H798" t="str">
            <v>C</v>
          </cell>
          <cell r="I798" t="str">
            <v>CS01/12</v>
          </cell>
          <cell r="J798">
            <v>60057584</v>
          </cell>
          <cell r="K798">
            <v>205</v>
          </cell>
        </row>
        <row r="799">
          <cell r="A799">
            <v>60057780</v>
          </cell>
          <cell r="B799" t="str">
            <v>CR SPCC-SD 2.0x38xC</v>
          </cell>
          <cell r="C799" t="str">
            <v>CR SPCC-SD</v>
          </cell>
          <cell r="D799" t="str">
            <v>CR</v>
          </cell>
          <cell r="E799" t="str">
            <v>SPCC-SD</v>
          </cell>
          <cell r="F799">
            <v>2</v>
          </cell>
          <cell r="G799">
            <v>38</v>
          </cell>
          <cell r="H799" t="str">
            <v>C</v>
          </cell>
          <cell r="I799" t="str">
            <v>CS01/9</v>
          </cell>
          <cell r="J799">
            <v>60057780</v>
          </cell>
          <cell r="K799">
            <v>298</v>
          </cell>
          <cell r="L799" t="str">
            <v>E2-ND-06-TSA-0152</v>
          </cell>
        </row>
        <row r="800">
          <cell r="A800">
            <v>60057862</v>
          </cell>
          <cell r="B800" t="str">
            <v>CR SPCC-SD 1.2x46xC</v>
          </cell>
          <cell r="C800" t="str">
            <v>CR SPCC-SD</v>
          </cell>
          <cell r="D800" t="str">
            <v>CR</v>
          </cell>
          <cell r="E800" t="str">
            <v>SPCC-SD</v>
          </cell>
          <cell r="F800">
            <v>1.2</v>
          </cell>
          <cell r="G800">
            <v>46</v>
          </cell>
          <cell r="H800" t="str">
            <v>C</v>
          </cell>
          <cell r="I800" t="str">
            <v>CS01/5</v>
          </cell>
          <cell r="J800">
            <v>60057862</v>
          </cell>
          <cell r="K800">
            <v>85</v>
          </cell>
          <cell r="L800" t="str">
            <v>E1-ND-06-TSA-0362</v>
          </cell>
        </row>
        <row r="801">
          <cell r="A801">
            <v>60058202</v>
          </cell>
          <cell r="B801" t="str">
            <v>PO SPHC P/O 2.0x48xC</v>
          </cell>
          <cell r="C801" t="str">
            <v>PO SPHC P/O</v>
          </cell>
          <cell r="D801" t="str">
            <v>PO</v>
          </cell>
          <cell r="E801" t="str">
            <v>SPHC P/O</v>
          </cell>
          <cell r="F801">
            <v>2</v>
          </cell>
          <cell r="G801">
            <v>48</v>
          </cell>
          <cell r="H801" t="str">
            <v>C</v>
          </cell>
          <cell r="I801" t="str">
            <v>CS01/7</v>
          </cell>
          <cell r="J801">
            <v>60058202</v>
          </cell>
          <cell r="K801">
            <v>84</v>
          </cell>
          <cell r="L801" t="str">
            <v>E2-ND-06-TSA-0153</v>
          </cell>
        </row>
        <row r="802">
          <cell r="A802">
            <v>60058203</v>
          </cell>
          <cell r="B802" t="str">
            <v>PO SPHC P/O 2.0x48xC</v>
          </cell>
          <cell r="C802" t="str">
            <v>PO SPHC P/O</v>
          </cell>
          <cell r="D802" t="str">
            <v>PO</v>
          </cell>
          <cell r="E802" t="str">
            <v>SPHC P/O</v>
          </cell>
          <cell r="F802">
            <v>2</v>
          </cell>
          <cell r="G802">
            <v>48</v>
          </cell>
          <cell r="H802" t="str">
            <v>C</v>
          </cell>
          <cell r="I802" t="str">
            <v>CS01/7</v>
          </cell>
          <cell r="J802">
            <v>60058203</v>
          </cell>
          <cell r="K802">
            <v>84</v>
          </cell>
          <cell r="L802" t="str">
            <v>E2-ND-06-TSA-0153</v>
          </cell>
        </row>
        <row r="803">
          <cell r="A803">
            <v>60058254</v>
          </cell>
          <cell r="D803" t="str">
            <v>CR</v>
          </cell>
          <cell r="E803" t="str">
            <v>SPCC-SD</v>
          </cell>
          <cell r="F803">
            <v>1</v>
          </cell>
          <cell r="G803">
            <v>98</v>
          </cell>
          <cell r="H803" t="str">
            <v>C</v>
          </cell>
          <cell r="I803" t="str">
            <v>CS01/12</v>
          </cell>
          <cell r="J803">
            <v>60058254</v>
          </cell>
          <cell r="K803">
            <v>284</v>
          </cell>
        </row>
        <row r="804">
          <cell r="A804">
            <v>60058261</v>
          </cell>
          <cell r="D804" t="str">
            <v>PO</v>
          </cell>
          <cell r="E804" t="str">
            <v>SPHC P/O</v>
          </cell>
          <cell r="F804">
            <v>1.6</v>
          </cell>
          <cell r="G804">
            <v>61</v>
          </cell>
          <cell r="H804" t="str">
            <v>C</v>
          </cell>
          <cell r="I804" t="str">
            <v>CS01/12</v>
          </cell>
          <cell r="J804">
            <v>60058261</v>
          </cell>
          <cell r="K804">
            <v>144</v>
          </cell>
        </row>
        <row r="805">
          <cell r="A805">
            <v>60058297</v>
          </cell>
          <cell r="D805" t="str">
            <v>PO</v>
          </cell>
          <cell r="E805" t="str">
            <v>SPHC P/O</v>
          </cell>
          <cell r="F805">
            <v>2.2999999999999998</v>
          </cell>
          <cell r="G805">
            <v>72</v>
          </cell>
          <cell r="H805" t="str">
            <v>C</v>
          </cell>
          <cell r="I805" t="str">
            <v>CS01/12</v>
          </cell>
          <cell r="J805">
            <v>60058297</v>
          </cell>
          <cell r="K805">
            <v>128</v>
          </cell>
        </row>
        <row r="806">
          <cell r="A806">
            <v>60059122</v>
          </cell>
          <cell r="B806" t="str">
            <v>CR SPCC-SD 1.6x77xC</v>
          </cell>
          <cell r="C806" t="str">
            <v>CR SPCC-SD</v>
          </cell>
          <cell r="D806" t="str">
            <v>CR</v>
          </cell>
          <cell r="E806" t="str">
            <v>SPCC-SD</v>
          </cell>
          <cell r="F806">
            <v>1.6</v>
          </cell>
          <cell r="G806">
            <v>77</v>
          </cell>
          <cell r="H806" t="str">
            <v>C</v>
          </cell>
          <cell r="I806" t="str">
            <v>CS01/7</v>
          </cell>
          <cell r="J806">
            <v>60059122</v>
          </cell>
          <cell r="K806">
            <v>290</v>
          </cell>
          <cell r="L806" t="str">
            <v>E2-ND-06-TSA-0151</v>
          </cell>
        </row>
        <row r="807">
          <cell r="A807">
            <v>60060238</v>
          </cell>
          <cell r="B807" t="str">
            <v>PO SPHC P/O 2.0x87xC</v>
          </cell>
          <cell r="C807" t="str">
            <v>PO SPHC P/O</v>
          </cell>
          <cell r="D807" t="str">
            <v>PO</v>
          </cell>
          <cell r="E807" t="str">
            <v>SPHC P/O</v>
          </cell>
          <cell r="F807">
            <v>2</v>
          </cell>
          <cell r="G807">
            <v>87</v>
          </cell>
          <cell r="H807" t="str">
            <v>C</v>
          </cell>
          <cell r="I807" t="str">
            <v>CS01/5</v>
          </cell>
          <cell r="J807">
            <v>60060238</v>
          </cell>
          <cell r="K807">
            <v>318</v>
          </cell>
          <cell r="L807" t="str">
            <v>E2-ND-06-TSA-0153</v>
          </cell>
        </row>
        <row r="808">
          <cell r="A808">
            <v>60060239</v>
          </cell>
          <cell r="B808" t="str">
            <v>PO SPHC P/O 2.0x87xC</v>
          </cell>
          <cell r="C808" t="str">
            <v>PO SPHC P/O</v>
          </cell>
          <cell r="D808" t="str">
            <v>PO</v>
          </cell>
          <cell r="E808" t="str">
            <v>SPHC P/O</v>
          </cell>
          <cell r="F808">
            <v>2</v>
          </cell>
          <cell r="G808">
            <v>87</v>
          </cell>
          <cell r="H808" t="str">
            <v>C</v>
          </cell>
          <cell r="I808" t="str">
            <v>CS01/5</v>
          </cell>
          <cell r="J808">
            <v>60060239</v>
          </cell>
          <cell r="K808">
            <v>318</v>
          </cell>
          <cell r="L808" t="str">
            <v>E2-ND-06-TSA-0153</v>
          </cell>
        </row>
        <row r="809">
          <cell r="A809">
            <v>60060240</v>
          </cell>
          <cell r="B809" t="str">
            <v>PO SPHC P/O 2.0x87xC</v>
          </cell>
          <cell r="C809" t="str">
            <v>PO SPHC P/O</v>
          </cell>
          <cell r="D809" t="str">
            <v>PO</v>
          </cell>
          <cell r="E809" t="str">
            <v>SPHC P/O</v>
          </cell>
          <cell r="F809">
            <v>2</v>
          </cell>
          <cell r="G809">
            <v>87</v>
          </cell>
          <cell r="H809" t="str">
            <v>C</v>
          </cell>
          <cell r="I809" t="str">
            <v>CS01/5</v>
          </cell>
          <cell r="J809">
            <v>60060240</v>
          </cell>
          <cell r="K809">
            <v>318</v>
          </cell>
          <cell r="L809" t="str">
            <v>E2-ND-06-TSA-0153</v>
          </cell>
        </row>
        <row r="810">
          <cell r="A810">
            <v>60060241</v>
          </cell>
          <cell r="B810" t="str">
            <v>PO SPHC P/O 2.0x87xC</v>
          </cell>
          <cell r="C810" t="str">
            <v>PO SPHC P/O</v>
          </cell>
          <cell r="D810" t="str">
            <v>PO</v>
          </cell>
          <cell r="E810" t="str">
            <v>SPHC P/O</v>
          </cell>
          <cell r="F810">
            <v>2</v>
          </cell>
          <cell r="G810">
            <v>87</v>
          </cell>
          <cell r="H810" t="str">
            <v>C</v>
          </cell>
          <cell r="I810" t="str">
            <v>CS01/5</v>
          </cell>
          <cell r="J810">
            <v>60060241</v>
          </cell>
          <cell r="K810">
            <v>318</v>
          </cell>
          <cell r="L810" t="str">
            <v>E2-ND-06-TSA-0154</v>
          </cell>
        </row>
        <row r="811">
          <cell r="A811">
            <v>60060581</v>
          </cell>
          <cell r="B811" t="str">
            <v>PO SPHC P/O 2.3x42xC</v>
          </cell>
          <cell r="C811" t="str">
            <v>PO SPHC P/O</v>
          </cell>
          <cell r="D811" t="str">
            <v>PO</v>
          </cell>
          <cell r="E811" t="str">
            <v>SPHC P/O</v>
          </cell>
          <cell r="F811">
            <v>2.2999999999999998</v>
          </cell>
          <cell r="G811">
            <v>42</v>
          </cell>
          <cell r="H811" t="str">
            <v>C</v>
          </cell>
          <cell r="I811" t="str">
            <v>CS01/7</v>
          </cell>
          <cell r="J811">
            <v>60060581</v>
          </cell>
          <cell r="K811">
            <v>106</v>
          </cell>
          <cell r="L811" t="str">
            <v>E2-ND-06-TSA-0154</v>
          </cell>
        </row>
        <row r="812">
          <cell r="A812">
            <v>60060642</v>
          </cell>
          <cell r="B812" t="str">
            <v>CR SPCC-SD 1.6x30xC</v>
          </cell>
          <cell r="C812" t="str">
            <v>CR SPCC-SD</v>
          </cell>
          <cell r="D812" t="str">
            <v>CR</v>
          </cell>
          <cell r="E812" t="str">
            <v>SPCC-SD</v>
          </cell>
          <cell r="F812">
            <v>1.6</v>
          </cell>
          <cell r="G812">
            <v>30</v>
          </cell>
          <cell r="H812" t="str">
            <v>C</v>
          </cell>
          <cell r="I812" t="str">
            <v>CS01/9</v>
          </cell>
          <cell r="J812">
            <v>60060642</v>
          </cell>
          <cell r="K812">
            <v>86</v>
          </cell>
          <cell r="L812" t="str">
            <v>E1-NJ-06-TSA-0377</v>
          </cell>
        </row>
        <row r="813">
          <cell r="A813">
            <v>60060647</v>
          </cell>
          <cell r="B813" t="str">
            <v>CR SPCC-SD 1.6x30xC</v>
          </cell>
          <cell r="C813" t="str">
            <v>CR SPCC-SD</v>
          </cell>
          <cell r="D813" t="str">
            <v>CR</v>
          </cell>
          <cell r="E813" t="str">
            <v>SPCC-SD</v>
          </cell>
          <cell r="F813">
            <v>1.6</v>
          </cell>
          <cell r="G813">
            <v>30</v>
          </cell>
          <cell r="H813" t="str">
            <v>C</v>
          </cell>
          <cell r="I813" t="str">
            <v>CS01/9</v>
          </cell>
          <cell r="J813">
            <v>60060647</v>
          </cell>
          <cell r="K813">
            <v>132</v>
          </cell>
          <cell r="L813" t="str">
            <v>E2-ND-06-TSA-0151</v>
          </cell>
        </row>
        <row r="814">
          <cell r="A814">
            <v>60060864</v>
          </cell>
          <cell r="D814" t="str">
            <v>CR</v>
          </cell>
          <cell r="E814" t="str">
            <v>SPCC-SD</v>
          </cell>
          <cell r="F814">
            <v>0.4</v>
          </cell>
          <cell r="G814">
            <v>40</v>
          </cell>
          <cell r="H814" t="str">
            <v>C</v>
          </cell>
          <cell r="I814" t="str">
            <v>CS01/10</v>
          </cell>
          <cell r="J814">
            <v>60060864</v>
          </cell>
          <cell r="K814">
            <v>32</v>
          </cell>
        </row>
        <row r="815">
          <cell r="A815">
            <v>60061168</v>
          </cell>
          <cell r="B815" t="str">
            <v>CR SPCC-SD 1.6x82xC</v>
          </cell>
          <cell r="C815" t="str">
            <v>CR SPCC-SD</v>
          </cell>
          <cell r="D815" t="str">
            <v>CR</v>
          </cell>
          <cell r="E815" t="str">
            <v>SPCC-SD</v>
          </cell>
          <cell r="F815">
            <v>1.6</v>
          </cell>
          <cell r="G815">
            <v>82</v>
          </cell>
          <cell r="H815" t="str">
            <v>C</v>
          </cell>
          <cell r="I815" t="str">
            <v>CS01/8</v>
          </cell>
          <cell r="J815">
            <v>60061168</v>
          </cell>
          <cell r="K815">
            <v>531</v>
          </cell>
          <cell r="L815" t="str">
            <v>E2-ND-06-TSA-0152</v>
          </cell>
        </row>
        <row r="816">
          <cell r="A816">
            <v>60061169</v>
          </cell>
          <cell r="B816" t="str">
            <v>CR SPCC-SD 1.6x82xC</v>
          </cell>
          <cell r="C816" t="str">
            <v>CR SPCC-SD</v>
          </cell>
          <cell r="D816" t="str">
            <v>CR</v>
          </cell>
          <cell r="E816" t="str">
            <v>SPCC-SD</v>
          </cell>
          <cell r="F816">
            <v>1.6</v>
          </cell>
          <cell r="G816">
            <v>82</v>
          </cell>
          <cell r="H816" t="str">
            <v>C</v>
          </cell>
          <cell r="I816" t="str">
            <v>CS01/8</v>
          </cell>
          <cell r="J816">
            <v>60061169</v>
          </cell>
          <cell r="K816">
            <v>531</v>
          </cell>
          <cell r="L816" t="str">
            <v>E2-ND-06-TSA-0152</v>
          </cell>
        </row>
        <row r="817">
          <cell r="A817">
            <v>60061305</v>
          </cell>
          <cell r="D817" t="str">
            <v>PO</v>
          </cell>
          <cell r="E817" t="str">
            <v>SPHC P/O</v>
          </cell>
          <cell r="F817">
            <v>2.6</v>
          </cell>
          <cell r="G817">
            <v>63</v>
          </cell>
          <cell r="H817" t="str">
            <v>C</v>
          </cell>
          <cell r="I817" t="str">
            <v>WIP</v>
          </cell>
          <cell r="J817">
            <v>60061305</v>
          </cell>
          <cell r="K817">
            <v>266</v>
          </cell>
        </row>
        <row r="818">
          <cell r="A818">
            <v>60061631</v>
          </cell>
          <cell r="B818" t="str">
            <v>CR SPCC-SD 0.6x52xC</v>
          </cell>
          <cell r="C818" t="str">
            <v>CR SPCC-SD</v>
          </cell>
          <cell r="D818" t="str">
            <v>CR</v>
          </cell>
          <cell r="E818" t="str">
            <v>SPCC-SD</v>
          </cell>
          <cell r="F818">
            <v>0.6</v>
          </cell>
          <cell r="G818">
            <v>52</v>
          </cell>
          <cell r="H818" t="str">
            <v>C</v>
          </cell>
          <cell r="I818" t="str">
            <v>CS01/7</v>
          </cell>
          <cell r="J818">
            <v>60061631</v>
          </cell>
          <cell r="K818">
            <v>201</v>
          </cell>
          <cell r="L818" t="str">
            <v>E1-ND-06-TSA-0362</v>
          </cell>
        </row>
        <row r="819">
          <cell r="A819">
            <v>60061821</v>
          </cell>
          <cell r="B819" t="str">
            <v>CR SPCC-SD 1.2x86xC</v>
          </cell>
          <cell r="C819" t="str">
            <v>CR SPCC-SD</v>
          </cell>
          <cell r="D819" t="str">
            <v>CR</v>
          </cell>
          <cell r="E819" t="str">
            <v>SPCC-SD</v>
          </cell>
          <cell r="F819">
            <v>1.2</v>
          </cell>
          <cell r="G819">
            <v>86</v>
          </cell>
          <cell r="H819" t="str">
            <v>C</v>
          </cell>
          <cell r="I819" t="str">
            <v>CS01/5</v>
          </cell>
          <cell r="J819">
            <v>60061821</v>
          </cell>
          <cell r="K819">
            <v>91</v>
          </cell>
          <cell r="L819" t="str">
            <v>E1-NJ-06-TSA-0376</v>
          </cell>
        </row>
        <row r="820">
          <cell r="A820">
            <v>60061822</v>
          </cell>
          <cell r="B820" t="str">
            <v>CR SPCC-SD 1.2x86xC</v>
          </cell>
          <cell r="C820" t="str">
            <v>CR SPCC-SD</v>
          </cell>
          <cell r="D820" t="str">
            <v>CR</v>
          </cell>
          <cell r="E820" t="str">
            <v>SPCC-SD</v>
          </cell>
          <cell r="F820">
            <v>1.2</v>
          </cell>
          <cell r="G820">
            <v>86</v>
          </cell>
          <cell r="H820" t="str">
            <v>C</v>
          </cell>
          <cell r="I820" t="str">
            <v>CS01/5</v>
          </cell>
          <cell r="J820">
            <v>60061822</v>
          </cell>
          <cell r="K820">
            <v>91</v>
          </cell>
          <cell r="L820" t="str">
            <v>E1-NJ-06-TSA-0376</v>
          </cell>
        </row>
        <row r="821">
          <cell r="A821">
            <v>60061896</v>
          </cell>
          <cell r="B821" t="str">
            <v>CR SPCC-SD 0.8x93xC</v>
          </cell>
          <cell r="C821" t="str">
            <v>CR SPCC-SD</v>
          </cell>
          <cell r="D821" t="str">
            <v>CR</v>
          </cell>
          <cell r="E821" t="str">
            <v>SPCC-SD</v>
          </cell>
          <cell r="F821">
            <v>0.8</v>
          </cell>
          <cell r="G821">
            <v>93</v>
          </cell>
          <cell r="H821" t="str">
            <v>C</v>
          </cell>
          <cell r="I821" t="str">
            <v>CS01/5</v>
          </cell>
          <cell r="J821">
            <v>60061896</v>
          </cell>
          <cell r="K821">
            <v>187</v>
          </cell>
          <cell r="L821" t="str">
            <v>E1-ND-06-TSA-0362</v>
          </cell>
        </row>
        <row r="822">
          <cell r="A822">
            <v>60061969</v>
          </cell>
          <cell r="B822" t="str">
            <v>CR SPCC-SD 1.0x82xC</v>
          </cell>
          <cell r="C822" t="str">
            <v>CR SPCC-SD</v>
          </cell>
          <cell r="D822" t="str">
            <v>CR</v>
          </cell>
          <cell r="E822" t="str">
            <v>SPCC-SD</v>
          </cell>
          <cell r="F822">
            <v>1</v>
          </cell>
          <cell r="G822">
            <v>82</v>
          </cell>
          <cell r="H822" t="str">
            <v>C</v>
          </cell>
          <cell r="I822" t="str">
            <v>CS01/7</v>
          </cell>
          <cell r="J822">
            <v>60061969</v>
          </cell>
          <cell r="K822">
            <v>153</v>
          </cell>
          <cell r="L822" t="str">
            <v>E1-ND-06-TSA-0362</v>
          </cell>
        </row>
        <row r="823">
          <cell r="A823">
            <v>60061979</v>
          </cell>
          <cell r="B823" t="str">
            <v>CR SPCC-SD 1.0x82xC</v>
          </cell>
          <cell r="C823" t="str">
            <v>CR SPCC-SD</v>
          </cell>
          <cell r="D823" t="str">
            <v>CR</v>
          </cell>
          <cell r="E823" t="str">
            <v>SPCC-SD</v>
          </cell>
          <cell r="F823">
            <v>1</v>
          </cell>
          <cell r="G823">
            <v>82</v>
          </cell>
          <cell r="H823" t="str">
            <v>C</v>
          </cell>
          <cell r="I823" t="str">
            <v>CS01/7</v>
          </cell>
          <cell r="J823">
            <v>60061979</v>
          </cell>
          <cell r="K823">
            <v>154</v>
          </cell>
          <cell r="L823" t="str">
            <v>E1-ND-06-TSA-0362</v>
          </cell>
        </row>
        <row r="824">
          <cell r="A824">
            <v>60061989</v>
          </cell>
          <cell r="B824" t="str">
            <v>CR SPCC-SD 1.0x82xC</v>
          </cell>
          <cell r="C824" t="str">
            <v>CR SPCC-SD</v>
          </cell>
          <cell r="D824" t="str">
            <v>CR</v>
          </cell>
          <cell r="E824" t="str">
            <v>SPCC-SD</v>
          </cell>
          <cell r="F824">
            <v>1</v>
          </cell>
          <cell r="G824">
            <v>82</v>
          </cell>
          <cell r="H824" t="str">
            <v>C</v>
          </cell>
          <cell r="I824" t="str">
            <v>CS01/7</v>
          </cell>
          <cell r="J824">
            <v>60061989</v>
          </cell>
          <cell r="K824">
            <v>143</v>
          </cell>
          <cell r="L824" t="str">
            <v>E1-ND-06-TSA-0362</v>
          </cell>
        </row>
        <row r="825">
          <cell r="A825">
            <v>60062185</v>
          </cell>
          <cell r="D825" t="str">
            <v>PO</v>
          </cell>
          <cell r="E825" t="str">
            <v>SPHC P/O</v>
          </cell>
          <cell r="F825">
            <v>2.2999999999999998</v>
          </cell>
          <cell r="G825">
            <v>72</v>
          </cell>
          <cell r="H825" t="str">
            <v>C</v>
          </cell>
          <cell r="I825" t="str">
            <v>CS01/12</v>
          </cell>
          <cell r="J825">
            <v>60062185</v>
          </cell>
          <cell r="K825">
            <v>94</v>
          </cell>
        </row>
        <row r="826">
          <cell r="A826">
            <v>60062218</v>
          </cell>
          <cell r="B826" t="str">
            <v>PO SPHC P/O 1.6x60xC</v>
          </cell>
          <cell r="C826" t="str">
            <v>PO SPHC P/O</v>
          </cell>
          <cell r="D826" t="str">
            <v>PO</v>
          </cell>
          <cell r="E826" t="str">
            <v>SPHC P/O</v>
          </cell>
          <cell r="F826">
            <v>1.6</v>
          </cell>
          <cell r="G826">
            <v>60</v>
          </cell>
          <cell r="H826" t="str">
            <v>C</v>
          </cell>
          <cell r="I826" t="str">
            <v>CS01/5</v>
          </cell>
          <cell r="J826">
            <v>60062218</v>
          </cell>
          <cell r="K826">
            <v>77</v>
          </cell>
          <cell r="L826" t="str">
            <v>E2-ND-06-TSA-0153</v>
          </cell>
        </row>
        <row r="827">
          <cell r="A827">
            <v>60062219</v>
          </cell>
          <cell r="B827" t="str">
            <v>PO SPHC P/O 1.6x60xC</v>
          </cell>
          <cell r="C827" t="str">
            <v>PO SPHC P/O</v>
          </cell>
          <cell r="D827" t="str">
            <v>PO</v>
          </cell>
          <cell r="E827" t="str">
            <v>SPHC P/O</v>
          </cell>
          <cell r="F827">
            <v>1.6</v>
          </cell>
          <cell r="G827">
            <v>60</v>
          </cell>
          <cell r="H827" t="str">
            <v>C</v>
          </cell>
          <cell r="I827" t="str">
            <v>CS01/8</v>
          </cell>
          <cell r="J827">
            <v>60062219</v>
          </cell>
          <cell r="K827">
            <v>77</v>
          </cell>
          <cell r="L827" t="str">
            <v>E2-ND-06-TSA-0153</v>
          </cell>
        </row>
        <row r="828">
          <cell r="A828">
            <v>60062220</v>
          </cell>
          <cell r="B828" t="str">
            <v>PO SPHC P/O 1.6x60xC</v>
          </cell>
          <cell r="C828" t="str">
            <v>PO SPHC P/O</v>
          </cell>
          <cell r="D828" t="str">
            <v>PO</v>
          </cell>
          <cell r="E828" t="str">
            <v>SPHC P/O</v>
          </cell>
          <cell r="F828">
            <v>1.6</v>
          </cell>
          <cell r="G828">
            <v>60</v>
          </cell>
          <cell r="H828" t="str">
            <v>C</v>
          </cell>
          <cell r="I828" t="str">
            <v>CS01/8</v>
          </cell>
          <cell r="J828">
            <v>60062220</v>
          </cell>
          <cell r="K828">
            <v>77</v>
          </cell>
          <cell r="L828" t="str">
            <v>E2-ND-06-TSA-0153</v>
          </cell>
        </row>
        <row r="829">
          <cell r="A829">
            <v>60062263</v>
          </cell>
          <cell r="D829" t="str">
            <v>PO</v>
          </cell>
          <cell r="E829" t="str">
            <v>SPHC P/O</v>
          </cell>
          <cell r="F829">
            <v>1.4</v>
          </cell>
          <cell r="G829">
            <v>66</v>
          </cell>
          <cell r="H829" t="str">
            <v>C</v>
          </cell>
          <cell r="I829" t="str">
            <v>CS01/10</v>
          </cell>
          <cell r="J829">
            <v>60062263</v>
          </cell>
          <cell r="K829">
            <v>151</v>
          </cell>
        </row>
        <row r="830">
          <cell r="A830">
            <v>60062815</v>
          </cell>
          <cell r="D830" t="str">
            <v>CR</v>
          </cell>
          <cell r="E830" t="str">
            <v>SPCC-SD</v>
          </cell>
          <cell r="F830">
            <v>0.7</v>
          </cell>
          <cell r="G830">
            <v>44</v>
          </cell>
          <cell r="H830" t="str">
            <v>C</v>
          </cell>
          <cell r="I830" t="str">
            <v>CS01/10</v>
          </cell>
          <cell r="J830">
            <v>60062815</v>
          </cell>
          <cell r="K830">
            <v>65</v>
          </cell>
        </row>
        <row r="831">
          <cell r="A831">
            <v>60062852</v>
          </cell>
          <cell r="B831" t="str">
            <v>CR SPCC-SD 1.6x49xC</v>
          </cell>
          <cell r="C831" t="str">
            <v>CR SPCC-SD</v>
          </cell>
          <cell r="D831" t="str">
            <v>CR</v>
          </cell>
          <cell r="E831" t="str">
            <v>SPCC-SD</v>
          </cell>
          <cell r="F831">
            <v>1.6</v>
          </cell>
          <cell r="G831">
            <v>49</v>
          </cell>
          <cell r="H831" t="str">
            <v>C</v>
          </cell>
          <cell r="I831" t="str">
            <v>CS01/7</v>
          </cell>
          <cell r="J831">
            <v>60062852</v>
          </cell>
          <cell r="K831">
            <v>104</v>
          </cell>
          <cell r="L831" t="str">
            <v>E2-ND-06-TSA-0151</v>
          </cell>
        </row>
        <row r="832">
          <cell r="A832">
            <v>60063056</v>
          </cell>
          <cell r="B832" t="str">
            <v>CR SPCC-SD 1.6x49xC</v>
          </cell>
          <cell r="C832" t="str">
            <v>CR SPCC-SD</v>
          </cell>
          <cell r="D832" t="str">
            <v>CR</v>
          </cell>
          <cell r="E832" t="str">
            <v>SPCC-SD</v>
          </cell>
          <cell r="F832">
            <v>1.6</v>
          </cell>
          <cell r="G832">
            <v>49</v>
          </cell>
          <cell r="H832" t="str">
            <v>C</v>
          </cell>
          <cell r="I832" t="str">
            <v>CS01/7</v>
          </cell>
          <cell r="J832">
            <v>60063056</v>
          </cell>
          <cell r="K832">
            <v>87</v>
          </cell>
          <cell r="L832" t="str">
            <v>E2-ND-06-TSA-0151</v>
          </cell>
        </row>
        <row r="833">
          <cell r="A833">
            <v>60063227</v>
          </cell>
          <cell r="B833" t="str">
            <v>CR SPCC-SD 1.6x49xC</v>
          </cell>
          <cell r="C833" t="str">
            <v>CR SPCC-SD</v>
          </cell>
          <cell r="D833" t="str">
            <v>CR</v>
          </cell>
          <cell r="E833" t="str">
            <v>SPCC-SD</v>
          </cell>
          <cell r="F833">
            <v>1.6</v>
          </cell>
          <cell r="G833">
            <v>49</v>
          </cell>
          <cell r="H833" t="str">
            <v>C</v>
          </cell>
          <cell r="I833" t="str">
            <v>CS01/8</v>
          </cell>
          <cell r="J833">
            <v>60063227</v>
          </cell>
          <cell r="K833">
            <v>404</v>
          </cell>
          <cell r="L833" t="str">
            <v>E2-ND-06-TSA-0151</v>
          </cell>
        </row>
        <row r="834">
          <cell r="A834">
            <v>60063405</v>
          </cell>
          <cell r="B834" t="str">
            <v>PO SPHC P/O 2.3x42xC</v>
          </cell>
          <cell r="C834" t="str">
            <v>PO SPHC P/O</v>
          </cell>
          <cell r="D834" t="str">
            <v>PO</v>
          </cell>
          <cell r="E834" t="str">
            <v>SPHC P/O</v>
          </cell>
          <cell r="F834">
            <v>2.2999999999999998</v>
          </cell>
          <cell r="G834">
            <v>42</v>
          </cell>
          <cell r="H834" t="str">
            <v>C</v>
          </cell>
          <cell r="I834" t="str">
            <v>CS01/10</v>
          </cell>
          <cell r="J834">
            <v>60063405</v>
          </cell>
          <cell r="K834">
            <v>142</v>
          </cell>
          <cell r="L834" t="str">
            <v>E2-ND-06-TSA-0154</v>
          </cell>
        </row>
        <row r="835">
          <cell r="A835">
            <v>60063410</v>
          </cell>
          <cell r="B835" t="str">
            <v>PO SPHC P/O 2.3x42xC</v>
          </cell>
          <cell r="C835" t="str">
            <v>PO SPHC P/O</v>
          </cell>
          <cell r="D835" t="str">
            <v>PO</v>
          </cell>
          <cell r="E835" t="str">
            <v>SPHC P/O</v>
          </cell>
          <cell r="F835">
            <v>2.2999999999999998</v>
          </cell>
          <cell r="G835">
            <v>42</v>
          </cell>
          <cell r="H835" t="str">
            <v>C</v>
          </cell>
          <cell r="I835" t="str">
            <v>CS01/8</v>
          </cell>
          <cell r="J835">
            <v>60063410</v>
          </cell>
          <cell r="K835">
            <v>62</v>
          </cell>
          <cell r="L835" t="str">
            <v>E2-ND-06-TSA-0154</v>
          </cell>
        </row>
        <row r="836">
          <cell r="A836">
            <v>60064015</v>
          </cell>
          <cell r="B836" t="str">
            <v>CR SPCC-SD 1.6x82xC</v>
          </cell>
          <cell r="C836" t="str">
            <v>CR SPCC-SD</v>
          </cell>
          <cell r="D836" t="str">
            <v>CR</v>
          </cell>
          <cell r="E836" t="str">
            <v>SPCC-SD</v>
          </cell>
          <cell r="F836">
            <v>1.6</v>
          </cell>
          <cell r="G836">
            <v>82</v>
          </cell>
          <cell r="H836" t="str">
            <v>C</v>
          </cell>
          <cell r="I836" t="str">
            <v>CS01/8</v>
          </cell>
          <cell r="J836">
            <v>60064015</v>
          </cell>
          <cell r="K836">
            <v>404</v>
          </cell>
          <cell r="L836" t="str">
            <v>E2-ND-06-TSA-0152</v>
          </cell>
        </row>
        <row r="837">
          <cell r="A837">
            <v>60064115</v>
          </cell>
          <cell r="B837" t="str">
            <v>CR SPCC-SD 1.6x96xC</v>
          </cell>
          <cell r="C837" t="str">
            <v>CR SPCC-SD</v>
          </cell>
          <cell r="D837" t="str">
            <v>CR</v>
          </cell>
          <cell r="E837" t="str">
            <v>SPCC-SD</v>
          </cell>
          <cell r="F837">
            <v>1.6</v>
          </cell>
          <cell r="G837">
            <v>96</v>
          </cell>
          <cell r="H837" t="str">
            <v>C</v>
          </cell>
          <cell r="I837" t="str">
            <v>CS01/9</v>
          </cell>
          <cell r="J837">
            <v>60064115</v>
          </cell>
          <cell r="K837">
            <v>206</v>
          </cell>
          <cell r="L837" t="str">
            <v>E2-ND-06-TSA-0152</v>
          </cell>
        </row>
        <row r="838">
          <cell r="A838">
            <v>60064398</v>
          </cell>
          <cell r="B838" t="str">
            <v>PO SPHC-DS 2.6x68xC</v>
          </cell>
          <cell r="C838" t="str">
            <v>PO SPHC P/O</v>
          </cell>
          <cell r="D838" t="str">
            <v>PO</v>
          </cell>
          <cell r="E838" t="str">
            <v>SPHC-SD</v>
          </cell>
          <cell r="F838">
            <v>2.6</v>
          </cell>
          <cell r="G838">
            <v>68</v>
          </cell>
          <cell r="H838" t="str">
            <v>C</v>
          </cell>
          <cell r="I838" t="str">
            <v>CS01/6</v>
          </cell>
          <cell r="J838">
            <v>60064398</v>
          </cell>
          <cell r="K838">
            <v>244</v>
          </cell>
          <cell r="L838" t="str">
            <v>E2-ND-06-TSA-0154</v>
          </cell>
        </row>
        <row r="839">
          <cell r="A839">
            <v>60064399</v>
          </cell>
          <cell r="B839" t="str">
            <v>PO SPHC-DS 2.6x68xC</v>
          </cell>
          <cell r="C839" t="str">
            <v>PO SPHC P/O</v>
          </cell>
          <cell r="D839" t="str">
            <v>PO</v>
          </cell>
          <cell r="E839" t="str">
            <v>SPHC-SD</v>
          </cell>
          <cell r="F839">
            <v>2.6</v>
          </cell>
          <cell r="G839">
            <v>68</v>
          </cell>
          <cell r="H839" t="str">
            <v>C</v>
          </cell>
          <cell r="I839" t="str">
            <v>CS01/6</v>
          </cell>
          <cell r="J839">
            <v>60064399</v>
          </cell>
          <cell r="K839">
            <v>244</v>
          </cell>
          <cell r="L839" t="str">
            <v>E2-ND-06-TSA-0154</v>
          </cell>
        </row>
        <row r="840">
          <cell r="A840">
            <v>60064400</v>
          </cell>
          <cell r="B840" t="str">
            <v>PO SPHC-DS 2.6x68xC</v>
          </cell>
          <cell r="C840" t="str">
            <v>PO SPHC P/O</v>
          </cell>
          <cell r="D840" t="str">
            <v>PO</v>
          </cell>
          <cell r="E840" t="str">
            <v>SPHC-SD</v>
          </cell>
          <cell r="F840">
            <v>2.6</v>
          </cell>
          <cell r="G840">
            <v>68</v>
          </cell>
          <cell r="H840" t="str">
            <v>C</v>
          </cell>
          <cell r="I840" t="str">
            <v>CS01/6</v>
          </cell>
          <cell r="J840">
            <v>60064400</v>
          </cell>
          <cell r="K840">
            <v>244</v>
          </cell>
          <cell r="L840" t="str">
            <v>E2-ND-06-TSA-0154</v>
          </cell>
        </row>
        <row r="841">
          <cell r="A841">
            <v>60064479</v>
          </cell>
          <cell r="B841" t="str">
            <v>CR SPCC-SD 1.2x72xC</v>
          </cell>
          <cell r="C841" t="str">
            <v>CR SPCC-SD</v>
          </cell>
          <cell r="D841" t="str">
            <v>CR</v>
          </cell>
          <cell r="E841" t="str">
            <v>SPCC-SD</v>
          </cell>
          <cell r="F841">
            <v>1.2</v>
          </cell>
          <cell r="G841">
            <v>72</v>
          </cell>
          <cell r="H841" t="str">
            <v>C</v>
          </cell>
          <cell r="I841" t="str">
            <v>CS01/5</v>
          </cell>
          <cell r="J841">
            <v>60064479</v>
          </cell>
          <cell r="K841">
            <v>135</v>
          </cell>
          <cell r="L841" t="str">
            <v>E1-NJ-06-TSA-0375</v>
          </cell>
        </row>
        <row r="842">
          <cell r="A842">
            <v>60064480</v>
          </cell>
          <cell r="B842" t="str">
            <v>CR SPCC-SD 1.2x72xC</v>
          </cell>
          <cell r="C842" t="str">
            <v>CR SPCC-SD</v>
          </cell>
          <cell r="D842" t="str">
            <v>CR</v>
          </cell>
          <cell r="E842" t="str">
            <v>SPCC-SD</v>
          </cell>
          <cell r="F842">
            <v>1.2</v>
          </cell>
          <cell r="G842">
            <v>72</v>
          </cell>
          <cell r="H842" t="str">
            <v>C</v>
          </cell>
          <cell r="I842" t="str">
            <v>CS01/5</v>
          </cell>
          <cell r="J842">
            <v>60064480</v>
          </cell>
          <cell r="K842">
            <v>135</v>
          </cell>
          <cell r="L842" t="str">
            <v>E1-NJ-06-TSA-0375</v>
          </cell>
        </row>
        <row r="843">
          <cell r="A843">
            <v>60064484</v>
          </cell>
          <cell r="B843" t="str">
            <v>PO SPHC-DS 2.0x73xC</v>
          </cell>
          <cell r="C843" t="str">
            <v>PO SPHC P/O</v>
          </cell>
          <cell r="D843" t="str">
            <v>PO</v>
          </cell>
          <cell r="E843" t="str">
            <v>SPHC-SD</v>
          </cell>
          <cell r="F843">
            <v>2</v>
          </cell>
          <cell r="G843">
            <v>73</v>
          </cell>
          <cell r="H843" t="str">
            <v>C</v>
          </cell>
          <cell r="I843" t="str">
            <v>CS01/6</v>
          </cell>
          <cell r="J843">
            <v>60064484</v>
          </cell>
          <cell r="K843">
            <v>213</v>
          </cell>
          <cell r="L843" t="str">
            <v>E2-ND-06-TSA-0153</v>
          </cell>
        </row>
        <row r="844">
          <cell r="A844">
            <v>60064485</v>
          </cell>
          <cell r="B844" t="str">
            <v>PO SPHC-DS 2.0x73xC</v>
          </cell>
          <cell r="C844" t="str">
            <v>PO SPHC P/O</v>
          </cell>
          <cell r="D844" t="str">
            <v>PO</v>
          </cell>
          <cell r="E844" t="str">
            <v>SPHC-SD</v>
          </cell>
          <cell r="F844">
            <v>2</v>
          </cell>
          <cell r="G844">
            <v>73</v>
          </cell>
          <cell r="H844" t="str">
            <v>C</v>
          </cell>
          <cell r="I844" t="str">
            <v>CS01/6</v>
          </cell>
          <cell r="J844">
            <v>60064485</v>
          </cell>
          <cell r="K844">
            <v>213</v>
          </cell>
          <cell r="L844" t="str">
            <v>E2-ND-06-TSA-0153</v>
          </cell>
        </row>
        <row r="845">
          <cell r="A845">
            <v>60064486</v>
          </cell>
          <cell r="B845" t="str">
            <v>PO SPHC-DS 2.0x73xC</v>
          </cell>
          <cell r="C845" t="str">
            <v>PO SPHC P/O</v>
          </cell>
          <cell r="D845" t="str">
            <v>PO</v>
          </cell>
          <cell r="E845" t="str">
            <v>SPHC-SD</v>
          </cell>
          <cell r="F845">
            <v>2</v>
          </cell>
          <cell r="G845">
            <v>73</v>
          </cell>
          <cell r="H845" t="str">
            <v>C</v>
          </cell>
          <cell r="I845" t="str">
            <v>CS01/6</v>
          </cell>
          <cell r="J845">
            <v>60064486</v>
          </cell>
          <cell r="K845">
            <v>213</v>
          </cell>
          <cell r="L845" t="str">
            <v>E2-ND-06-TSA-0153</v>
          </cell>
        </row>
        <row r="846">
          <cell r="A846">
            <v>60065141</v>
          </cell>
          <cell r="B846" t="str">
            <v>CR SPCC-SD 1.2x90xC</v>
          </cell>
          <cell r="C846" t="str">
            <v>CR SPCC-SD</v>
          </cell>
          <cell r="D846" t="str">
            <v>CR</v>
          </cell>
          <cell r="E846" t="str">
            <v>SPCC-SD</v>
          </cell>
          <cell r="F846">
            <v>1.2</v>
          </cell>
          <cell r="G846">
            <v>90</v>
          </cell>
          <cell r="H846" t="str">
            <v>C</v>
          </cell>
          <cell r="I846" t="str">
            <v>CS01/12</v>
          </cell>
          <cell r="J846">
            <v>60065141</v>
          </cell>
          <cell r="K846">
            <v>320</v>
          </cell>
          <cell r="L846" t="str">
            <v>E2-ND-06-TSA-0151</v>
          </cell>
        </row>
        <row r="847">
          <cell r="A847">
            <v>60065411</v>
          </cell>
          <cell r="B847" t="str">
            <v>CR SPCC-SD 1.6x77xC</v>
          </cell>
          <cell r="C847" t="str">
            <v>CR SPCC-SD</v>
          </cell>
          <cell r="D847" t="str">
            <v>CR</v>
          </cell>
          <cell r="E847" t="str">
            <v>SPCC-SD</v>
          </cell>
          <cell r="F847">
            <v>1.6</v>
          </cell>
          <cell r="G847">
            <v>77</v>
          </cell>
          <cell r="H847" t="str">
            <v>C</v>
          </cell>
          <cell r="I847" t="str">
            <v>CS01/7</v>
          </cell>
          <cell r="J847">
            <v>60065411</v>
          </cell>
          <cell r="K847">
            <v>328</v>
          </cell>
          <cell r="L847" t="str">
            <v>E2-ND-06-TSA-0151</v>
          </cell>
        </row>
        <row r="848">
          <cell r="A848">
            <v>60065668</v>
          </cell>
          <cell r="B848" t="str">
            <v>CR SPCC-SD 1.6x37xC</v>
          </cell>
          <cell r="C848" t="str">
            <v>CR SPCC-SD</v>
          </cell>
          <cell r="D848" t="str">
            <v>CR</v>
          </cell>
          <cell r="E848" t="str">
            <v>SPCC-SD</v>
          </cell>
          <cell r="F848">
            <v>1.6</v>
          </cell>
          <cell r="G848">
            <v>37</v>
          </cell>
          <cell r="H848" t="str">
            <v>C</v>
          </cell>
          <cell r="I848" t="str">
            <v>CS01/4</v>
          </cell>
          <cell r="J848">
            <v>60065668</v>
          </cell>
          <cell r="K848">
            <v>132</v>
          </cell>
          <cell r="L848" t="str">
            <v>E2-ND-06-TSA-0151</v>
          </cell>
        </row>
        <row r="849">
          <cell r="A849">
            <v>60065734</v>
          </cell>
          <cell r="B849" t="str">
            <v>CR SPCC-SD 0.4x60xC</v>
          </cell>
          <cell r="C849" t="str">
            <v>CR SPCC-SD</v>
          </cell>
          <cell r="D849" t="str">
            <v>CR</v>
          </cell>
          <cell r="E849" t="str">
            <v>SPCC-SD</v>
          </cell>
          <cell r="F849">
            <v>0.4</v>
          </cell>
          <cell r="G849">
            <v>60</v>
          </cell>
          <cell r="H849" t="str">
            <v>C</v>
          </cell>
          <cell r="I849" t="str">
            <v>SEMI/C</v>
          </cell>
          <cell r="J849">
            <v>60065734</v>
          </cell>
          <cell r="K849">
            <v>303</v>
          </cell>
          <cell r="L849" t="str">
            <v>E1-ND-06-TSA-0359</v>
          </cell>
        </row>
        <row r="850">
          <cell r="A850">
            <v>60065735</v>
          </cell>
          <cell r="B850" t="str">
            <v>CR SPCC-SD 0.4x60xC</v>
          </cell>
          <cell r="C850" t="str">
            <v>CR SPCC-SD</v>
          </cell>
          <cell r="D850" t="str">
            <v>CR</v>
          </cell>
          <cell r="E850" t="str">
            <v>SPCC-SD</v>
          </cell>
          <cell r="F850">
            <v>0.4</v>
          </cell>
          <cell r="G850">
            <v>60</v>
          </cell>
          <cell r="H850" t="str">
            <v>C</v>
          </cell>
          <cell r="I850" t="str">
            <v>SEMI/C</v>
          </cell>
          <cell r="J850">
            <v>60065735</v>
          </cell>
          <cell r="K850">
            <v>303</v>
          </cell>
          <cell r="L850" t="str">
            <v>E1-ND-06-TSA-0359</v>
          </cell>
        </row>
        <row r="851">
          <cell r="A851">
            <v>60065795</v>
          </cell>
          <cell r="B851" t="str">
            <v>CR SPCC-SD 2.0x98xC</v>
          </cell>
          <cell r="C851" t="str">
            <v>CR SPCC-SD</v>
          </cell>
          <cell r="D851" t="str">
            <v>CR</v>
          </cell>
          <cell r="E851" t="str">
            <v>SPCC-SD</v>
          </cell>
          <cell r="F851">
            <v>2</v>
          </cell>
          <cell r="G851">
            <v>98</v>
          </cell>
          <cell r="H851" t="str">
            <v>C</v>
          </cell>
          <cell r="I851" t="str">
            <v>CS01/5</v>
          </cell>
          <cell r="J851">
            <v>60065795</v>
          </cell>
          <cell r="K851">
            <v>306</v>
          </cell>
          <cell r="L851" t="str">
            <v>E2-ND-06-TSA-0152</v>
          </cell>
        </row>
        <row r="852">
          <cell r="A852">
            <v>60065805</v>
          </cell>
          <cell r="B852" t="str">
            <v>CR SPCC-SD 2.0x98xC</v>
          </cell>
          <cell r="C852" t="str">
            <v>CR SPCC-SD</v>
          </cell>
          <cell r="D852" t="str">
            <v>CR</v>
          </cell>
          <cell r="E852" t="str">
            <v>SPCC-SD</v>
          </cell>
          <cell r="F852">
            <v>2</v>
          </cell>
          <cell r="G852">
            <v>98</v>
          </cell>
          <cell r="H852" t="str">
            <v>C</v>
          </cell>
          <cell r="I852" t="str">
            <v>CS01/5</v>
          </cell>
          <cell r="J852">
            <v>60065805</v>
          </cell>
          <cell r="K852">
            <v>298</v>
          </cell>
          <cell r="L852" t="str">
            <v>E2-ND-06-TSA-0152</v>
          </cell>
        </row>
        <row r="853">
          <cell r="A853">
            <v>60066001</v>
          </cell>
          <cell r="B853" t="str">
            <v>CR SPCC-SD 1.0x94xC</v>
          </cell>
          <cell r="C853" t="str">
            <v>CR SPCC-SD</v>
          </cell>
          <cell r="D853" t="str">
            <v>CR</v>
          </cell>
          <cell r="E853" t="str">
            <v>SPCC-SD</v>
          </cell>
          <cell r="F853">
            <v>1</v>
          </cell>
          <cell r="G853">
            <v>94</v>
          </cell>
          <cell r="H853" t="str">
            <v>C</v>
          </cell>
          <cell r="I853" t="str">
            <v>CS01/5</v>
          </cell>
          <cell r="J853">
            <v>60066001</v>
          </cell>
          <cell r="K853">
            <v>127</v>
          </cell>
          <cell r="L853" t="str">
            <v>E1-ND-06-TSA-0362</v>
          </cell>
        </row>
        <row r="854">
          <cell r="A854">
            <v>60066072</v>
          </cell>
          <cell r="B854" t="str">
            <v>CR SPCC-SD 1.2x46xC</v>
          </cell>
          <cell r="C854" t="str">
            <v>CR SPCC-SD</v>
          </cell>
          <cell r="D854" t="str">
            <v>CR</v>
          </cell>
          <cell r="E854" t="str">
            <v>SPCC-SD</v>
          </cell>
          <cell r="F854">
            <v>1.2</v>
          </cell>
          <cell r="G854">
            <v>46</v>
          </cell>
          <cell r="H854" t="str">
            <v>C</v>
          </cell>
          <cell r="I854" t="str">
            <v>SEMI/C</v>
          </cell>
          <cell r="J854">
            <v>60066072</v>
          </cell>
          <cell r="K854">
            <v>123</v>
          </cell>
          <cell r="L854" t="str">
            <v>E1-ND-06-TSA-0362</v>
          </cell>
        </row>
        <row r="855">
          <cell r="A855">
            <v>60066087</v>
          </cell>
          <cell r="B855" t="str">
            <v>CR SPCC-SD 1.2x46xC</v>
          </cell>
          <cell r="C855" t="str">
            <v>CR SPCC-SD</v>
          </cell>
          <cell r="D855" t="str">
            <v>CR</v>
          </cell>
          <cell r="E855" t="str">
            <v>SPCC-SD</v>
          </cell>
          <cell r="F855">
            <v>1.2</v>
          </cell>
          <cell r="G855">
            <v>46</v>
          </cell>
          <cell r="H855" t="str">
            <v>C</v>
          </cell>
          <cell r="I855" t="str">
            <v>SEMI/C</v>
          </cell>
          <cell r="J855">
            <v>60066087</v>
          </cell>
          <cell r="K855">
            <v>123</v>
          </cell>
          <cell r="L855" t="str">
            <v>E1-ND-06-TSA-0362</v>
          </cell>
        </row>
        <row r="856">
          <cell r="A856">
            <v>60066096</v>
          </cell>
          <cell r="B856" t="str">
            <v>CR SPCC-SD 1.2x46xC</v>
          </cell>
          <cell r="C856" t="str">
            <v>CR SPCC-SD</v>
          </cell>
          <cell r="D856" t="str">
            <v>CR</v>
          </cell>
          <cell r="E856" t="str">
            <v>SPCC-SD</v>
          </cell>
          <cell r="F856">
            <v>1.2</v>
          </cell>
          <cell r="G856">
            <v>46</v>
          </cell>
          <cell r="H856" t="str">
            <v>C</v>
          </cell>
          <cell r="I856" t="str">
            <v>SEMI/C</v>
          </cell>
          <cell r="J856">
            <v>60066096</v>
          </cell>
          <cell r="K856">
            <v>118</v>
          </cell>
          <cell r="L856" t="str">
            <v>E1-ND-06-TSA-0362</v>
          </cell>
        </row>
        <row r="857">
          <cell r="A857">
            <v>60066166</v>
          </cell>
          <cell r="B857" t="str">
            <v>CR SPCC-SD 0.7x44xC</v>
          </cell>
          <cell r="C857" t="str">
            <v>CR SPCC-SD</v>
          </cell>
          <cell r="D857" t="str">
            <v>CR</v>
          </cell>
          <cell r="E857" t="str">
            <v>SPCC-SD</v>
          </cell>
          <cell r="F857">
            <v>0.7</v>
          </cell>
          <cell r="G857">
            <v>44</v>
          </cell>
          <cell r="H857" t="str">
            <v>C</v>
          </cell>
          <cell r="I857" t="str">
            <v>CS01/5</v>
          </cell>
          <cell r="J857">
            <v>60066166</v>
          </cell>
          <cell r="K857">
            <v>69</v>
          </cell>
          <cell r="L857" t="str">
            <v>E1-ND-06-TSA-0362</v>
          </cell>
        </row>
        <row r="858">
          <cell r="A858">
            <v>60066167</v>
          </cell>
          <cell r="B858" t="str">
            <v>CR SPCC-SD 0.7x44xC</v>
          </cell>
          <cell r="C858" t="str">
            <v>CR SPCC-SD</v>
          </cell>
          <cell r="D858" t="str">
            <v>CR</v>
          </cell>
          <cell r="E858" t="str">
            <v>SPCC-SD</v>
          </cell>
          <cell r="F858">
            <v>0.7</v>
          </cell>
          <cell r="G858">
            <v>44</v>
          </cell>
          <cell r="H858" t="str">
            <v>C</v>
          </cell>
          <cell r="I858" t="str">
            <v>CS01/5</v>
          </cell>
          <cell r="J858">
            <v>60066167</v>
          </cell>
          <cell r="K858">
            <v>69</v>
          </cell>
          <cell r="L858" t="str">
            <v>E1-ND-06-TSA-0362</v>
          </cell>
        </row>
        <row r="859">
          <cell r="A859">
            <v>60066168</v>
          </cell>
          <cell r="D859" t="str">
            <v>CR</v>
          </cell>
          <cell r="E859" t="str">
            <v>SPCC-SD</v>
          </cell>
          <cell r="F859">
            <v>0.7</v>
          </cell>
          <cell r="G859">
            <v>44</v>
          </cell>
          <cell r="H859" t="str">
            <v>C</v>
          </cell>
          <cell r="I859" t="str">
            <v>CS01/5</v>
          </cell>
          <cell r="J859">
            <v>60066168</v>
          </cell>
          <cell r="K859">
            <v>69</v>
          </cell>
        </row>
        <row r="860">
          <cell r="A860">
            <v>60066512</v>
          </cell>
          <cell r="B860" t="str">
            <v>CR SPCC-SD 1.6x82xC</v>
          </cell>
          <cell r="C860" t="str">
            <v>CR SPCC-SD</v>
          </cell>
          <cell r="D860" t="str">
            <v>CR</v>
          </cell>
          <cell r="E860" t="str">
            <v>SPCC-SD</v>
          </cell>
          <cell r="F860">
            <v>1.6</v>
          </cell>
          <cell r="G860">
            <v>82</v>
          </cell>
          <cell r="H860" t="str">
            <v>C</v>
          </cell>
          <cell r="I860" t="str">
            <v>CS01/8</v>
          </cell>
          <cell r="J860">
            <v>60066512</v>
          </cell>
          <cell r="K860">
            <v>274</v>
          </cell>
          <cell r="L860" t="str">
            <v>E2-ND-06-TSA-0152</v>
          </cell>
        </row>
        <row r="861">
          <cell r="A861">
            <v>60066517</v>
          </cell>
          <cell r="B861" t="str">
            <v>CR SPCC-SD 1.6x82xC</v>
          </cell>
          <cell r="C861" t="str">
            <v>CR SPCC-SD</v>
          </cell>
          <cell r="D861" t="str">
            <v>CR</v>
          </cell>
          <cell r="E861" t="str">
            <v>SPCC-SD</v>
          </cell>
          <cell r="F861">
            <v>1.6</v>
          </cell>
          <cell r="G861">
            <v>82</v>
          </cell>
          <cell r="H861" t="str">
            <v>C</v>
          </cell>
          <cell r="I861" t="str">
            <v>CS01/8</v>
          </cell>
          <cell r="J861">
            <v>60066517</v>
          </cell>
          <cell r="K861">
            <v>270</v>
          </cell>
          <cell r="L861" t="str">
            <v>E2-ND-06-TSA-0152</v>
          </cell>
        </row>
        <row r="862">
          <cell r="A862">
            <v>60066868</v>
          </cell>
          <cell r="B862" t="str">
            <v>PO SPHC P/O 2.3x60xC</v>
          </cell>
          <cell r="C862" t="str">
            <v>PO SPHC P/O</v>
          </cell>
          <cell r="D862" t="str">
            <v>PO</v>
          </cell>
          <cell r="E862" t="str">
            <v>SPHC P/O</v>
          </cell>
          <cell r="F862">
            <v>2.2999999999999998</v>
          </cell>
          <cell r="G862">
            <v>60</v>
          </cell>
          <cell r="H862" t="str">
            <v>C</v>
          </cell>
          <cell r="I862" t="str">
            <v>SEMI/C</v>
          </cell>
          <cell r="J862">
            <v>60066868</v>
          </cell>
          <cell r="K862">
            <v>246</v>
          </cell>
          <cell r="L862" t="str">
            <v>E2-ND-06-TSA-0154</v>
          </cell>
        </row>
        <row r="863">
          <cell r="A863">
            <v>60066871</v>
          </cell>
          <cell r="D863" t="str">
            <v>CR</v>
          </cell>
          <cell r="E863" t="str">
            <v>SPCC-SD</v>
          </cell>
          <cell r="F863">
            <v>1</v>
          </cell>
          <cell r="G863">
            <v>40</v>
          </cell>
          <cell r="H863" t="str">
            <v>C</v>
          </cell>
          <cell r="I863" t="str">
            <v>CS01/5</v>
          </cell>
          <cell r="J863">
            <v>60066871</v>
          </cell>
          <cell r="K863">
            <v>100</v>
          </cell>
        </row>
        <row r="864">
          <cell r="A864">
            <v>60066999</v>
          </cell>
          <cell r="B864" t="str">
            <v>CR SPCC-SD 3.2x48xC</v>
          </cell>
          <cell r="C864" t="str">
            <v>CR SPCC-SD</v>
          </cell>
          <cell r="D864" t="str">
            <v>CR</v>
          </cell>
          <cell r="E864" t="str">
            <v>SPCC-SD</v>
          </cell>
          <cell r="F864">
            <v>3.2</v>
          </cell>
          <cell r="G864">
            <v>48</v>
          </cell>
          <cell r="H864" t="str">
            <v>C</v>
          </cell>
          <cell r="I864" t="str">
            <v>CS01/5</v>
          </cell>
          <cell r="J864">
            <v>60066999</v>
          </cell>
          <cell r="K864">
            <v>102</v>
          </cell>
          <cell r="L864" t="str">
            <v>E2-ND-06-TSA-0153</v>
          </cell>
        </row>
        <row r="865">
          <cell r="A865">
            <v>60067067</v>
          </cell>
          <cell r="B865" t="str">
            <v>CR SPCC-SD 0.8x49xC</v>
          </cell>
          <cell r="C865" t="str">
            <v>CR SPCC-SD</v>
          </cell>
          <cell r="D865" t="str">
            <v>CR</v>
          </cell>
          <cell r="E865" t="str">
            <v>SPCC-SD</v>
          </cell>
          <cell r="F865">
            <v>0.8</v>
          </cell>
          <cell r="G865">
            <v>49</v>
          </cell>
          <cell r="H865" t="str">
            <v>C</v>
          </cell>
          <cell r="I865" t="str">
            <v>CS01/3</v>
          </cell>
          <cell r="J865">
            <v>60067067</v>
          </cell>
          <cell r="K865">
            <v>58</v>
          </cell>
          <cell r="L865" t="str">
            <v>E1-ND-06-TSA-0362</v>
          </cell>
        </row>
        <row r="866">
          <cell r="A866">
            <v>60067254</v>
          </cell>
          <cell r="D866" t="str">
            <v>CR</v>
          </cell>
          <cell r="E866" t="str">
            <v>SPCC-SD</v>
          </cell>
          <cell r="F866">
            <v>1</v>
          </cell>
          <cell r="G866">
            <v>68</v>
          </cell>
          <cell r="H866" t="str">
            <v>C</v>
          </cell>
          <cell r="I866" t="str">
            <v>CS01/12</v>
          </cell>
          <cell r="J866">
            <v>60067254</v>
          </cell>
          <cell r="K866">
            <v>146</v>
          </cell>
        </row>
        <row r="867">
          <cell r="A867">
            <v>60067679</v>
          </cell>
          <cell r="B867" t="str">
            <v>CR SPCC-SD 3.2x48xC</v>
          </cell>
          <cell r="C867" t="str">
            <v>CR SPCC-SD</v>
          </cell>
          <cell r="D867" t="str">
            <v>CR</v>
          </cell>
          <cell r="E867" t="str">
            <v>SPCC-SD</v>
          </cell>
          <cell r="F867">
            <v>3.2</v>
          </cell>
          <cell r="G867">
            <v>48</v>
          </cell>
          <cell r="H867" t="str">
            <v>C</v>
          </cell>
          <cell r="I867" t="str">
            <v>CS01/4</v>
          </cell>
          <cell r="J867">
            <v>60067679</v>
          </cell>
          <cell r="K867">
            <v>149</v>
          </cell>
          <cell r="L867" t="str">
            <v>E2-ND-06-TSA-0153</v>
          </cell>
        </row>
        <row r="868">
          <cell r="A868">
            <v>60067706</v>
          </cell>
          <cell r="D868" t="str">
            <v>CR</v>
          </cell>
          <cell r="E868" t="str">
            <v>SPCEN-SD</v>
          </cell>
          <cell r="F868">
            <v>1</v>
          </cell>
          <cell r="G868">
            <v>41</v>
          </cell>
          <cell r="H868" t="str">
            <v>C</v>
          </cell>
          <cell r="I868" t="str">
            <v>SEMI/C</v>
          </cell>
          <cell r="J868">
            <v>60067706</v>
          </cell>
          <cell r="K868">
            <v>86</v>
          </cell>
        </row>
        <row r="869">
          <cell r="A869">
            <v>60067719</v>
          </cell>
          <cell r="B869" t="str">
            <v>CR SPCC-SD 0.8x93xC</v>
          </cell>
          <cell r="C869" t="str">
            <v>CR SPCC-SD</v>
          </cell>
          <cell r="D869" t="str">
            <v>CR</v>
          </cell>
          <cell r="E869" t="str">
            <v>SPCC-SD</v>
          </cell>
          <cell r="F869">
            <v>0.8</v>
          </cell>
          <cell r="G869">
            <v>93</v>
          </cell>
          <cell r="H869" t="str">
            <v>C</v>
          </cell>
          <cell r="I869" t="str">
            <v>SEMI/C</v>
          </cell>
          <cell r="J869">
            <v>60067719</v>
          </cell>
          <cell r="K869">
            <v>111</v>
          </cell>
          <cell r="L869" t="str">
            <v>E1-ND-06-TSA-0362</v>
          </cell>
        </row>
        <row r="870">
          <cell r="A870">
            <v>60067788</v>
          </cell>
          <cell r="B870" t="str">
            <v>CR SPCC-SD 1.2x55xC</v>
          </cell>
          <cell r="C870" t="str">
            <v>CR SPCC-SD</v>
          </cell>
          <cell r="D870" t="str">
            <v>CR</v>
          </cell>
          <cell r="E870" t="str">
            <v>SPCC-SD</v>
          </cell>
          <cell r="F870">
            <v>1.2</v>
          </cell>
          <cell r="G870">
            <v>55</v>
          </cell>
          <cell r="H870" t="str">
            <v>C</v>
          </cell>
          <cell r="I870" t="str">
            <v>SEMI/C</v>
          </cell>
          <cell r="J870">
            <v>60067788</v>
          </cell>
          <cell r="K870">
            <v>113</v>
          </cell>
          <cell r="L870" t="str">
            <v>E1-ND-06-TSA-0362</v>
          </cell>
        </row>
        <row r="871">
          <cell r="A871">
            <v>60068056</v>
          </cell>
          <cell r="B871" t="str">
            <v>PO SPHC-DS 2.6x68xC</v>
          </cell>
          <cell r="C871" t="str">
            <v>PO SPHC P/O</v>
          </cell>
          <cell r="D871" t="str">
            <v>PO</v>
          </cell>
          <cell r="E871" t="str">
            <v>SPHC-SD</v>
          </cell>
          <cell r="F871">
            <v>2.6</v>
          </cell>
          <cell r="G871">
            <v>68</v>
          </cell>
          <cell r="H871" t="str">
            <v>C</v>
          </cell>
          <cell r="I871" t="str">
            <v>CS01/6</v>
          </cell>
          <cell r="J871">
            <v>60068056</v>
          </cell>
          <cell r="K871">
            <v>201</v>
          </cell>
          <cell r="L871" t="str">
            <v>E2-NJ-06-TSA-0066</v>
          </cell>
        </row>
        <row r="872">
          <cell r="A872">
            <v>60068057</v>
          </cell>
          <cell r="B872" t="str">
            <v>PO SPHC-DS 2.6x68xC</v>
          </cell>
          <cell r="C872" t="str">
            <v>PO SPHC P/O</v>
          </cell>
          <cell r="D872" t="str">
            <v>PO</v>
          </cell>
          <cell r="E872" t="str">
            <v>SPHC-SD</v>
          </cell>
          <cell r="F872">
            <v>2.6</v>
          </cell>
          <cell r="G872">
            <v>68</v>
          </cell>
          <cell r="H872" t="str">
            <v>C</v>
          </cell>
          <cell r="I872" t="str">
            <v>CS01/6</v>
          </cell>
          <cell r="J872">
            <v>60068057</v>
          </cell>
          <cell r="K872">
            <v>190</v>
          </cell>
          <cell r="L872" t="str">
            <v>E2-ND-06-TSA-0153</v>
          </cell>
        </row>
        <row r="873">
          <cell r="A873">
            <v>60068324</v>
          </cell>
          <cell r="B873" t="str">
            <v>CR SPCC-SD 1.6x82xC</v>
          </cell>
          <cell r="C873" t="str">
            <v>CR SPCC-SD</v>
          </cell>
          <cell r="D873" t="str">
            <v>CR</v>
          </cell>
          <cell r="E873" t="str">
            <v>SPCC-SD</v>
          </cell>
          <cell r="F873">
            <v>1.6</v>
          </cell>
          <cell r="G873">
            <v>82</v>
          </cell>
          <cell r="H873" t="str">
            <v>C</v>
          </cell>
          <cell r="I873" t="str">
            <v>CS01/7</v>
          </cell>
          <cell r="J873">
            <v>60068324</v>
          </cell>
          <cell r="K873">
            <v>175</v>
          </cell>
          <cell r="L873" t="str">
            <v>E2-ND-06-TSA-0152</v>
          </cell>
        </row>
        <row r="874">
          <cell r="A874">
            <v>60068331</v>
          </cell>
          <cell r="B874" t="str">
            <v>CR SPCC-SD 1.6x82xC</v>
          </cell>
          <cell r="C874" t="str">
            <v>CR SPCC-SD</v>
          </cell>
          <cell r="D874" t="str">
            <v>CR</v>
          </cell>
          <cell r="E874" t="str">
            <v>SPCC-SD</v>
          </cell>
          <cell r="F874">
            <v>1.6</v>
          </cell>
          <cell r="G874">
            <v>82</v>
          </cell>
          <cell r="H874" t="str">
            <v>C</v>
          </cell>
          <cell r="I874" t="str">
            <v>CS01/7</v>
          </cell>
          <cell r="J874">
            <v>60068331</v>
          </cell>
          <cell r="K874">
            <v>214</v>
          </cell>
          <cell r="L874" t="str">
            <v>E2-ND-06-TSA-0152</v>
          </cell>
        </row>
        <row r="875">
          <cell r="A875">
            <v>60068401</v>
          </cell>
          <cell r="B875" t="str">
            <v>CR SPCC-SD 1.2x72xC</v>
          </cell>
          <cell r="C875" t="str">
            <v>CR SPCC-SD</v>
          </cell>
          <cell r="D875" t="str">
            <v>CR</v>
          </cell>
          <cell r="E875" t="str">
            <v>SPCC-SD</v>
          </cell>
          <cell r="F875">
            <v>1.2</v>
          </cell>
          <cell r="G875">
            <v>72</v>
          </cell>
          <cell r="H875" t="str">
            <v>C</v>
          </cell>
          <cell r="I875" t="str">
            <v>CS01/4</v>
          </cell>
          <cell r="J875">
            <v>60068401</v>
          </cell>
          <cell r="K875">
            <v>216</v>
          </cell>
          <cell r="L875" t="str">
            <v>E1-NJ-06-TSA-0375</v>
          </cell>
        </row>
        <row r="876">
          <cell r="A876">
            <v>60068402</v>
          </cell>
          <cell r="B876" t="str">
            <v>CR SPCC-SD 1.2x72xC</v>
          </cell>
          <cell r="C876" t="str">
            <v>CR SPCC-SD</v>
          </cell>
          <cell r="D876" t="str">
            <v>CR</v>
          </cell>
          <cell r="E876" t="str">
            <v>SPCC-SD</v>
          </cell>
          <cell r="F876">
            <v>1.2</v>
          </cell>
          <cell r="G876">
            <v>72</v>
          </cell>
          <cell r="H876" t="str">
            <v>C</v>
          </cell>
          <cell r="I876" t="str">
            <v>CS01/4</v>
          </cell>
          <cell r="J876">
            <v>60068402</v>
          </cell>
          <cell r="K876">
            <v>216</v>
          </cell>
          <cell r="L876" t="str">
            <v>E1-NJ-06-TSA-0375</v>
          </cell>
        </row>
        <row r="877">
          <cell r="A877">
            <v>60068403</v>
          </cell>
          <cell r="B877" t="str">
            <v>CR SPCC-SD 1.2x72xC</v>
          </cell>
          <cell r="C877" t="str">
            <v>CR SPCC-SD</v>
          </cell>
          <cell r="D877" t="str">
            <v>CR</v>
          </cell>
          <cell r="E877" t="str">
            <v>SPCC-SD</v>
          </cell>
          <cell r="F877">
            <v>1.2</v>
          </cell>
          <cell r="G877">
            <v>72</v>
          </cell>
          <cell r="H877" t="str">
            <v>C</v>
          </cell>
          <cell r="I877" t="str">
            <v>CS01/4</v>
          </cell>
          <cell r="J877">
            <v>60068403</v>
          </cell>
          <cell r="K877">
            <v>216</v>
          </cell>
          <cell r="L877" t="str">
            <v>E1-NJ-06-TSA-0375</v>
          </cell>
        </row>
        <row r="878">
          <cell r="A878">
            <v>60068404</v>
          </cell>
          <cell r="B878" t="str">
            <v>CR SPCC-SD 1.2x72xC</v>
          </cell>
          <cell r="C878" t="str">
            <v>CR SPCC-SD</v>
          </cell>
          <cell r="D878" t="str">
            <v>CR</v>
          </cell>
          <cell r="E878" t="str">
            <v>SPCC-SD</v>
          </cell>
          <cell r="F878">
            <v>1.2</v>
          </cell>
          <cell r="G878">
            <v>72</v>
          </cell>
          <cell r="H878" t="str">
            <v>C</v>
          </cell>
          <cell r="I878" t="str">
            <v>CS01/4</v>
          </cell>
          <cell r="J878">
            <v>60068404</v>
          </cell>
          <cell r="K878">
            <v>216</v>
          </cell>
          <cell r="L878" t="str">
            <v>E1-NJ-06-TSA-0375</v>
          </cell>
        </row>
        <row r="879">
          <cell r="A879">
            <v>60068405</v>
          </cell>
          <cell r="B879" t="str">
            <v>CR SPCC-SD 1.2x72xC</v>
          </cell>
          <cell r="C879" t="str">
            <v>CR SPCC-SD</v>
          </cell>
          <cell r="D879" t="str">
            <v>CR</v>
          </cell>
          <cell r="E879" t="str">
            <v>SPCC-SD</v>
          </cell>
          <cell r="F879">
            <v>1.2</v>
          </cell>
          <cell r="G879">
            <v>72</v>
          </cell>
          <cell r="H879" t="str">
            <v>C</v>
          </cell>
          <cell r="I879" t="str">
            <v>CS01/4</v>
          </cell>
          <cell r="J879">
            <v>60068405</v>
          </cell>
          <cell r="K879">
            <v>216</v>
          </cell>
          <cell r="L879" t="str">
            <v>E1-NJ-06-TSA-0375</v>
          </cell>
        </row>
        <row r="880">
          <cell r="A880">
            <v>60068406</v>
          </cell>
          <cell r="B880" t="str">
            <v>CR SPCC-SD 1.2x72xC</v>
          </cell>
          <cell r="C880" t="str">
            <v>CR SPCC-SD</v>
          </cell>
          <cell r="D880" t="str">
            <v>CR</v>
          </cell>
          <cell r="E880" t="str">
            <v>SPCC-SD</v>
          </cell>
          <cell r="F880">
            <v>1.2</v>
          </cell>
          <cell r="G880">
            <v>72</v>
          </cell>
          <cell r="H880" t="str">
            <v>C</v>
          </cell>
          <cell r="I880" t="str">
            <v>CS01/4</v>
          </cell>
          <cell r="J880">
            <v>60068406</v>
          </cell>
          <cell r="K880">
            <v>216</v>
          </cell>
          <cell r="L880" t="str">
            <v>E1-NJ-06-TSA-0375</v>
          </cell>
        </row>
        <row r="881">
          <cell r="A881">
            <v>60068410</v>
          </cell>
          <cell r="B881" t="str">
            <v>CR SPCC-SD 1.2x72xC</v>
          </cell>
          <cell r="C881" t="str">
            <v>CR SPCC-SD</v>
          </cell>
          <cell r="D881" t="str">
            <v>CR</v>
          </cell>
          <cell r="E881" t="str">
            <v>SPCC-SD</v>
          </cell>
          <cell r="F881">
            <v>1.2</v>
          </cell>
          <cell r="G881">
            <v>72</v>
          </cell>
          <cell r="H881" t="str">
            <v>C</v>
          </cell>
          <cell r="I881" t="str">
            <v>CS01/4</v>
          </cell>
          <cell r="J881">
            <v>60068410</v>
          </cell>
          <cell r="K881">
            <v>216</v>
          </cell>
          <cell r="L881" t="str">
            <v>E1-NJ-06-TSA-0376</v>
          </cell>
        </row>
        <row r="882">
          <cell r="A882">
            <v>60068411</v>
          </cell>
          <cell r="B882" t="str">
            <v>CR SPCC-SD 1.2x72xC</v>
          </cell>
          <cell r="C882" t="str">
            <v>CR SPCC-SD</v>
          </cell>
          <cell r="D882" t="str">
            <v>CR</v>
          </cell>
          <cell r="E882" t="str">
            <v>SPCC-SD</v>
          </cell>
          <cell r="F882">
            <v>1.2</v>
          </cell>
          <cell r="G882">
            <v>72</v>
          </cell>
          <cell r="H882" t="str">
            <v>C</v>
          </cell>
          <cell r="I882" t="str">
            <v>CS01/4</v>
          </cell>
          <cell r="J882">
            <v>60068411</v>
          </cell>
          <cell r="K882">
            <v>216</v>
          </cell>
          <cell r="L882" t="str">
            <v>E1-NJ-06-TSA-0376</v>
          </cell>
        </row>
        <row r="883">
          <cell r="A883">
            <v>60068421</v>
          </cell>
          <cell r="B883" t="str">
            <v>CR SPCC-SD 1.0x38xC</v>
          </cell>
          <cell r="C883" t="str">
            <v>CR SPCC-SD</v>
          </cell>
          <cell r="D883" t="str">
            <v>CR</v>
          </cell>
          <cell r="E883" t="str">
            <v>SPCC-SD</v>
          </cell>
          <cell r="F883">
            <v>1</v>
          </cell>
          <cell r="G883">
            <v>38</v>
          </cell>
          <cell r="H883" t="str">
            <v>C</v>
          </cell>
          <cell r="I883" t="str">
            <v>CS01/4</v>
          </cell>
          <cell r="J883">
            <v>60068421</v>
          </cell>
          <cell r="K883">
            <v>112</v>
          </cell>
          <cell r="L883" t="str">
            <v>E1-ND-06-TSA-0362</v>
          </cell>
        </row>
        <row r="884">
          <cell r="A884">
            <v>60068510</v>
          </cell>
          <cell r="B884" t="str">
            <v>PO SPHC-DS 2.6x68xC</v>
          </cell>
          <cell r="C884" t="str">
            <v>PO SPHC P/O</v>
          </cell>
          <cell r="D884" t="str">
            <v>PO</v>
          </cell>
          <cell r="E884" t="str">
            <v>SPHC-SD</v>
          </cell>
          <cell r="F884">
            <v>2.6</v>
          </cell>
          <cell r="G884">
            <v>68</v>
          </cell>
          <cell r="H884" t="str">
            <v>C</v>
          </cell>
          <cell r="I884" t="str">
            <v>CS01/6</v>
          </cell>
          <cell r="J884">
            <v>60068510</v>
          </cell>
          <cell r="K884">
            <v>184</v>
          </cell>
          <cell r="L884" t="str">
            <v>E2-ND-06-TSA-0154</v>
          </cell>
        </row>
        <row r="885">
          <cell r="A885">
            <v>60068511</v>
          </cell>
          <cell r="B885" t="str">
            <v>PO SPHC-DS 2.6x68xC</v>
          </cell>
          <cell r="C885" t="str">
            <v>PO SPHC P/O</v>
          </cell>
          <cell r="D885" t="str">
            <v>PO</v>
          </cell>
          <cell r="E885" t="str">
            <v>SPHC-SD</v>
          </cell>
          <cell r="F885">
            <v>2.6</v>
          </cell>
          <cell r="G885">
            <v>68</v>
          </cell>
          <cell r="H885" t="str">
            <v>C</v>
          </cell>
          <cell r="I885" t="str">
            <v>CS01/6</v>
          </cell>
          <cell r="J885">
            <v>60068511</v>
          </cell>
          <cell r="K885">
            <v>184</v>
          </cell>
          <cell r="L885" t="str">
            <v>E2-ND-06-TSA-0154</v>
          </cell>
        </row>
        <row r="886">
          <cell r="A886">
            <v>60068512</v>
          </cell>
          <cell r="B886" t="str">
            <v>PO SPHC-DS 2.6x68xC</v>
          </cell>
          <cell r="C886" t="str">
            <v>PO SPHC P/O</v>
          </cell>
          <cell r="D886" t="str">
            <v>PO</v>
          </cell>
          <cell r="E886" t="str">
            <v>SPHC-SD</v>
          </cell>
          <cell r="F886">
            <v>2.6</v>
          </cell>
          <cell r="G886">
            <v>68</v>
          </cell>
          <cell r="H886" t="str">
            <v>C</v>
          </cell>
          <cell r="I886" t="str">
            <v>CS01/6</v>
          </cell>
          <cell r="J886">
            <v>60068512</v>
          </cell>
          <cell r="K886">
            <v>184</v>
          </cell>
          <cell r="L886" t="str">
            <v>E2-ND-06-TSA-0154</v>
          </cell>
        </row>
        <row r="887">
          <cell r="A887">
            <v>60068688</v>
          </cell>
          <cell r="B887" t="str">
            <v>CR SPCC-SD 1.6x82xC</v>
          </cell>
          <cell r="C887" t="str">
            <v>CR SPCC-SD</v>
          </cell>
          <cell r="D887" t="str">
            <v>CR</v>
          </cell>
          <cell r="E887" t="str">
            <v>SPCC-SD</v>
          </cell>
          <cell r="F887">
            <v>1.6</v>
          </cell>
          <cell r="G887">
            <v>82</v>
          </cell>
          <cell r="H887" t="str">
            <v>C</v>
          </cell>
          <cell r="I887" t="str">
            <v>CS01/7</v>
          </cell>
          <cell r="J887">
            <v>60068688</v>
          </cell>
          <cell r="K887">
            <v>253</v>
          </cell>
          <cell r="L887" t="str">
            <v>E2-ND-06-TSA-0152</v>
          </cell>
        </row>
        <row r="888">
          <cell r="A888">
            <v>60068689</v>
          </cell>
          <cell r="B888" t="str">
            <v>CR SPCC-SD 1.6x82xC</v>
          </cell>
          <cell r="C888" t="str">
            <v>CR SPCC-SD</v>
          </cell>
          <cell r="D888" t="str">
            <v>CR</v>
          </cell>
          <cell r="E888" t="str">
            <v>SPCC-SD</v>
          </cell>
          <cell r="F888">
            <v>1.6</v>
          </cell>
          <cell r="G888">
            <v>82</v>
          </cell>
          <cell r="H888" t="str">
            <v>C</v>
          </cell>
          <cell r="I888" t="str">
            <v>CS01/7</v>
          </cell>
          <cell r="J888">
            <v>60068689</v>
          </cell>
          <cell r="K888">
            <v>253</v>
          </cell>
          <cell r="L888" t="str">
            <v>E2-ND-06-TSA-0152</v>
          </cell>
        </row>
        <row r="889">
          <cell r="A889">
            <v>60068691</v>
          </cell>
          <cell r="B889" t="str">
            <v>CR SPCC-SD 1.6x82xC</v>
          </cell>
          <cell r="C889" t="str">
            <v>CR SPCC-SD</v>
          </cell>
          <cell r="D889" t="str">
            <v>CR</v>
          </cell>
          <cell r="E889" t="str">
            <v>SPCC-SD</v>
          </cell>
          <cell r="F889">
            <v>1.6</v>
          </cell>
          <cell r="G889">
            <v>82</v>
          </cell>
          <cell r="H889" t="str">
            <v>C</v>
          </cell>
          <cell r="I889" t="str">
            <v>CS01/7</v>
          </cell>
          <cell r="J889">
            <v>60068691</v>
          </cell>
          <cell r="K889">
            <v>255</v>
          </cell>
          <cell r="L889" t="str">
            <v>E2-ND-06-TSA-0152</v>
          </cell>
        </row>
        <row r="890">
          <cell r="A890">
            <v>60068692</v>
          </cell>
          <cell r="B890" t="str">
            <v>CR SPCC-SD 1.6x82xC</v>
          </cell>
          <cell r="C890" t="str">
            <v>CR SPCC-SD</v>
          </cell>
          <cell r="D890" t="str">
            <v>CR</v>
          </cell>
          <cell r="E890" t="str">
            <v>SPCC-SD</v>
          </cell>
          <cell r="F890">
            <v>1.6</v>
          </cell>
          <cell r="G890">
            <v>82</v>
          </cell>
          <cell r="H890" t="str">
            <v>C</v>
          </cell>
          <cell r="I890" t="str">
            <v>CS01/7</v>
          </cell>
          <cell r="J890">
            <v>60068692</v>
          </cell>
          <cell r="K890">
            <v>255</v>
          </cell>
          <cell r="L890" t="str">
            <v>E2-ND-06-TSA-0152</v>
          </cell>
        </row>
        <row r="891">
          <cell r="A891">
            <v>60068912</v>
          </cell>
          <cell r="B891" t="str">
            <v>PO SPHC P/O 4.5x124xC</v>
          </cell>
          <cell r="C891" t="str">
            <v>PO SPHC P/O</v>
          </cell>
          <cell r="D891" t="str">
            <v>PO</v>
          </cell>
          <cell r="E891" t="str">
            <v>SPHC P/O</v>
          </cell>
          <cell r="F891">
            <v>4.5</v>
          </cell>
          <cell r="G891">
            <v>124</v>
          </cell>
          <cell r="H891" t="str">
            <v>C</v>
          </cell>
          <cell r="I891" t="str">
            <v>CS01/12</v>
          </cell>
          <cell r="J891">
            <v>60068912</v>
          </cell>
          <cell r="K891">
            <v>1116</v>
          </cell>
          <cell r="L891" t="str">
            <v>E1-NJ06-TSA-0383</v>
          </cell>
        </row>
        <row r="892">
          <cell r="A892">
            <v>60068920</v>
          </cell>
          <cell r="B892" t="str">
            <v>PO SPHC P/O 4.5x124xC</v>
          </cell>
          <cell r="C892" t="str">
            <v>PO SPHC P/O</v>
          </cell>
          <cell r="D892" t="str">
            <v>PO</v>
          </cell>
          <cell r="E892" t="str">
            <v>SPHC P/O</v>
          </cell>
          <cell r="F892">
            <v>4.5</v>
          </cell>
          <cell r="G892">
            <v>124</v>
          </cell>
          <cell r="H892" t="str">
            <v>C</v>
          </cell>
          <cell r="I892" t="str">
            <v>CS01/12</v>
          </cell>
          <cell r="J892">
            <v>60068920</v>
          </cell>
          <cell r="K892">
            <v>976</v>
          </cell>
          <cell r="L892" t="str">
            <v>E2-ND-06-TSA-0163</v>
          </cell>
        </row>
        <row r="893">
          <cell r="A893">
            <v>60068927</v>
          </cell>
          <cell r="B893" t="str">
            <v>PO SPHC P/O 4.5x124xC</v>
          </cell>
          <cell r="C893" t="str">
            <v>PO SPHC P/O</v>
          </cell>
          <cell r="D893" t="str">
            <v>PO</v>
          </cell>
          <cell r="E893" t="str">
            <v>SPHC P/O</v>
          </cell>
          <cell r="F893">
            <v>4.5</v>
          </cell>
          <cell r="G893">
            <v>124</v>
          </cell>
          <cell r="H893" t="str">
            <v>C</v>
          </cell>
          <cell r="I893" t="str">
            <v>CS01/12</v>
          </cell>
          <cell r="J893">
            <v>60068927</v>
          </cell>
          <cell r="K893">
            <v>980</v>
          </cell>
          <cell r="L893" t="str">
            <v>E2-ND-06-TSA-0163</v>
          </cell>
        </row>
        <row r="894">
          <cell r="A894">
            <v>60068995</v>
          </cell>
          <cell r="D894" t="str">
            <v>PO</v>
          </cell>
          <cell r="E894" t="str">
            <v>SPHC P/O</v>
          </cell>
          <cell r="F894">
            <v>4</v>
          </cell>
          <cell r="G894">
            <v>42</v>
          </cell>
          <cell r="H894" t="str">
            <v>C</v>
          </cell>
          <cell r="I894" t="str">
            <v>SEMI/C</v>
          </cell>
          <cell r="J894">
            <v>60068995</v>
          </cell>
          <cell r="K894">
            <v>135</v>
          </cell>
        </row>
        <row r="895">
          <cell r="A895">
            <v>60069011</v>
          </cell>
          <cell r="D895" t="str">
            <v>PO</v>
          </cell>
          <cell r="E895" t="str">
            <v>SPHC P/O</v>
          </cell>
          <cell r="F895">
            <v>4</v>
          </cell>
          <cell r="G895">
            <v>42</v>
          </cell>
          <cell r="H895" t="str">
            <v>C</v>
          </cell>
          <cell r="I895" t="str">
            <v>SEMI/C</v>
          </cell>
          <cell r="J895">
            <v>60069011</v>
          </cell>
          <cell r="K895">
            <v>94</v>
          </cell>
        </row>
        <row r="896">
          <cell r="A896">
            <v>60069015</v>
          </cell>
          <cell r="D896" t="str">
            <v>CR</v>
          </cell>
          <cell r="E896" t="str">
            <v>SPCC-SD</v>
          </cell>
          <cell r="F896">
            <v>0.4</v>
          </cell>
          <cell r="G896">
            <v>62</v>
          </cell>
          <cell r="H896" t="str">
            <v>C</v>
          </cell>
          <cell r="I896" t="str">
            <v>SEMI/C</v>
          </cell>
          <cell r="J896">
            <v>60069015</v>
          </cell>
          <cell r="K896">
            <v>26</v>
          </cell>
        </row>
        <row r="897">
          <cell r="A897">
            <v>60069017</v>
          </cell>
          <cell r="D897" t="str">
            <v>CR</v>
          </cell>
          <cell r="E897" t="str">
            <v>SPCC-SD</v>
          </cell>
          <cell r="F897">
            <v>0.4</v>
          </cell>
          <cell r="G897">
            <v>62</v>
          </cell>
          <cell r="H897" t="str">
            <v>C</v>
          </cell>
          <cell r="I897" t="str">
            <v>SEMI/C</v>
          </cell>
          <cell r="J897">
            <v>60069017</v>
          </cell>
          <cell r="K897">
            <v>38</v>
          </cell>
        </row>
        <row r="898">
          <cell r="A898">
            <v>60069109</v>
          </cell>
          <cell r="D898" t="str">
            <v>CR</v>
          </cell>
          <cell r="E898" t="str">
            <v>SPCC-SD</v>
          </cell>
          <cell r="F898">
            <v>1.2</v>
          </cell>
          <cell r="G898">
            <v>91</v>
          </cell>
          <cell r="H898" t="str">
            <v>C</v>
          </cell>
          <cell r="I898" t="str">
            <v>WIP</v>
          </cell>
          <cell r="J898">
            <v>60069109</v>
          </cell>
          <cell r="K898">
            <v>149</v>
          </cell>
        </row>
        <row r="899">
          <cell r="A899">
            <v>60069136</v>
          </cell>
          <cell r="D899" t="str">
            <v>CR</v>
          </cell>
          <cell r="E899" t="str">
            <v>SPCC-SD</v>
          </cell>
          <cell r="F899">
            <v>2</v>
          </cell>
          <cell r="G899">
            <v>92</v>
          </cell>
          <cell r="H899" t="str">
            <v>C</v>
          </cell>
          <cell r="I899" t="str">
            <v>SEMI/C</v>
          </cell>
          <cell r="J899">
            <v>60069136</v>
          </cell>
          <cell r="K899">
            <v>336</v>
          </cell>
        </row>
        <row r="900">
          <cell r="A900">
            <v>60069140</v>
          </cell>
          <cell r="D900" t="str">
            <v>CR</v>
          </cell>
          <cell r="E900" t="str">
            <v>SPCC-SD</v>
          </cell>
          <cell r="F900">
            <v>1.2</v>
          </cell>
          <cell r="G900">
            <v>55</v>
          </cell>
          <cell r="H900" t="str">
            <v>C</v>
          </cell>
          <cell r="I900" t="str">
            <v>CS01/6</v>
          </cell>
          <cell r="J900">
            <v>60069140</v>
          </cell>
          <cell r="K900">
            <v>161</v>
          </cell>
        </row>
        <row r="901">
          <cell r="A901">
            <v>60069141</v>
          </cell>
          <cell r="D901" t="str">
            <v>CR</v>
          </cell>
          <cell r="E901" t="str">
            <v>SPCC-SD</v>
          </cell>
          <cell r="F901">
            <v>1.2</v>
          </cell>
          <cell r="G901">
            <v>55</v>
          </cell>
          <cell r="H901" t="str">
            <v>C</v>
          </cell>
          <cell r="I901" t="str">
            <v>CS01/6</v>
          </cell>
          <cell r="J901">
            <v>60069141</v>
          </cell>
          <cell r="K901">
            <v>161</v>
          </cell>
        </row>
        <row r="902">
          <cell r="A902">
            <v>60069142</v>
          </cell>
          <cell r="D902" t="str">
            <v>CR</v>
          </cell>
          <cell r="E902" t="str">
            <v>SPCC-SD</v>
          </cell>
          <cell r="F902">
            <v>1.2</v>
          </cell>
          <cell r="G902">
            <v>55</v>
          </cell>
          <cell r="H902" t="str">
            <v>C</v>
          </cell>
          <cell r="I902" t="str">
            <v>CS01/6</v>
          </cell>
          <cell r="J902">
            <v>60069142</v>
          </cell>
          <cell r="K902">
            <v>161</v>
          </cell>
        </row>
        <row r="903">
          <cell r="A903">
            <v>60069143</v>
          </cell>
          <cell r="D903" t="str">
            <v>CR</v>
          </cell>
          <cell r="E903" t="str">
            <v>SPCC-SD</v>
          </cell>
          <cell r="F903">
            <v>1.2</v>
          </cell>
          <cell r="G903">
            <v>55</v>
          </cell>
          <cell r="H903" t="str">
            <v>C</v>
          </cell>
          <cell r="I903" t="str">
            <v>CS01/6</v>
          </cell>
          <cell r="J903">
            <v>60069143</v>
          </cell>
          <cell r="K903">
            <v>161</v>
          </cell>
        </row>
        <row r="904">
          <cell r="A904">
            <v>60069223</v>
          </cell>
          <cell r="D904" t="str">
            <v>PO</v>
          </cell>
          <cell r="E904" t="str">
            <v>SPHC P/O</v>
          </cell>
          <cell r="F904">
            <v>3.2</v>
          </cell>
          <cell r="G904">
            <v>89</v>
          </cell>
          <cell r="H904" t="str">
            <v>C</v>
          </cell>
          <cell r="I904" t="str">
            <v>CS01/6</v>
          </cell>
          <cell r="J904">
            <v>60069223</v>
          </cell>
          <cell r="K904">
            <v>305</v>
          </cell>
        </row>
        <row r="905">
          <cell r="A905">
            <v>60069224</v>
          </cell>
          <cell r="D905" t="str">
            <v>PO</v>
          </cell>
          <cell r="E905" t="str">
            <v>SPHC P/O</v>
          </cell>
          <cell r="F905">
            <v>3.2</v>
          </cell>
          <cell r="G905">
            <v>89</v>
          </cell>
          <cell r="H905" t="str">
            <v>C</v>
          </cell>
          <cell r="I905" t="str">
            <v>CS01/6</v>
          </cell>
          <cell r="J905">
            <v>60069224</v>
          </cell>
          <cell r="K905">
            <v>305</v>
          </cell>
        </row>
        <row r="906">
          <cell r="A906">
            <v>60069235</v>
          </cell>
          <cell r="D906" t="str">
            <v>PO</v>
          </cell>
          <cell r="E906" t="str">
            <v>SPHC P/O</v>
          </cell>
          <cell r="F906">
            <v>3.2</v>
          </cell>
          <cell r="G906">
            <v>89</v>
          </cell>
          <cell r="H906" t="str">
            <v>C</v>
          </cell>
          <cell r="I906" t="str">
            <v>CS01/6</v>
          </cell>
          <cell r="J906">
            <v>60069235</v>
          </cell>
          <cell r="K906">
            <v>310</v>
          </cell>
        </row>
        <row r="907">
          <cell r="A907">
            <v>60069236</v>
          </cell>
          <cell r="D907" t="str">
            <v>PO</v>
          </cell>
          <cell r="E907" t="str">
            <v>SPHC P/O</v>
          </cell>
          <cell r="F907">
            <v>3.2</v>
          </cell>
          <cell r="G907">
            <v>89</v>
          </cell>
          <cell r="H907" t="str">
            <v>C</v>
          </cell>
          <cell r="I907" t="str">
            <v>CS01/6</v>
          </cell>
          <cell r="J907">
            <v>60069236</v>
          </cell>
          <cell r="K907">
            <v>310</v>
          </cell>
        </row>
        <row r="908">
          <cell r="A908">
            <v>60069252</v>
          </cell>
          <cell r="D908" t="str">
            <v>CR</v>
          </cell>
          <cell r="E908" t="str">
            <v>SPCC-SD</v>
          </cell>
          <cell r="F908">
            <v>1.6</v>
          </cell>
          <cell r="G908">
            <v>39</v>
          </cell>
          <cell r="H908" t="str">
            <v>C</v>
          </cell>
          <cell r="I908" t="str">
            <v>CS01/6</v>
          </cell>
          <cell r="J908">
            <v>60069252</v>
          </cell>
          <cell r="K908">
            <v>104</v>
          </cell>
        </row>
        <row r="909">
          <cell r="A909">
            <v>60069333</v>
          </cell>
          <cell r="D909" t="str">
            <v>PO</v>
          </cell>
          <cell r="E909" t="str">
            <v>SAPH440 P/O</v>
          </cell>
          <cell r="F909">
            <v>4</v>
          </cell>
          <cell r="G909">
            <v>75</v>
          </cell>
          <cell r="H909" t="str">
            <v>C</v>
          </cell>
          <cell r="I909" t="str">
            <v>CS01/1</v>
          </cell>
          <cell r="J909">
            <v>60069333</v>
          </cell>
          <cell r="K909">
            <v>578</v>
          </cell>
        </row>
        <row r="910">
          <cell r="A910">
            <v>60069334</v>
          </cell>
          <cell r="D910" t="str">
            <v>PO</v>
          </cell>
          <cell r="E910" t="str">
            <v>SAPH440 P/O</v>
          </cell>
          <cell r="F910">
            <v>4</v>
          </cell>
          <cell r="G910">
            <v>75</v>
          </cell>
          <cell r="H910" t="str">
            <v>C</v>
          </cell>
          <cell r="I910" t="str">
            <v>CS01/1</v>
          </cell>
          <cell r="J910">
            <v>60069334</v>
          </cell>
          <cell r="K910">
            <v>578</v>
          </cell>
        </row>
        <row r="911">
          <cell r="A911">
            <v>60069392</v>
          </cell>
          <cell r="D911" t="str">
            <v>CR</v>
          </cell>
          <cell r="E911" t="str">
            <v>SPCEN-SD</v>
          </cell>
          <cell r="F911">
            <v>0.7</v>
          </cell>
          <cell r="G911">
            <v>40</v>
          </cell>
          <cell r="H911" t="str">
            <v>C</v>
          </cell>
          <cell r="I911" t="str">
            <v>SEMI/C</v>
          </cell>
          <cell r="J911">
            <v>60069392</v>
          </cell>
          <cell r="K911">
            <v>231</v>
          </cell>
        </row>
        <row r="912">
          <cell r="A912">
            <v>60069395</v>
          </cell>
          <cell r="D912" t="str">
            <v>CR</v>
          </cell>
          <cell r="E912" t="str">
            <v>SPCEN-SD</v>
          </cell>
          <cell r="F912">
            <v>0.7</v>
          </cell>
          <cell r="G912">
            <v>40</v>
          </cell>
          <cell r="H912" t="str">
            <v>C</v>
          </cell>
          <cell r="I912" t="str">
            <v>SEMI/C</v>
          </cell>
          <cell r="J912">
            <v>60069395</v>
          </cell>
          <cell r="K912">
            <v>307</v>
          </cell>
        </row>
        <row r="913">
          <cell r="A913">
            <v>60069398</v>
          </cell>
          <cell r="D913" t="str">
            <v>CR</v>
          </cell>
          <cell r="E913" t="str">
            <v>SPCEN-SD</v>
          </cell>
          <cell r="F913">
            <v>0.7</v>
          </cell>
          <cell r="G913">
            <v>40</v>
          </cell>
          <cell r="H913" t="str">
            <v>C</v>
          </cell>
          <cell r="I913" t="str">
            <v>SEMI/C</v>
          </cell>
          <cell r="J913">
            <v>60069398</v>
          </cell>
          <cell r="K913">
            <v>312</v>
          </cell>
        </row>
        <row r="914">
          <cell r="A914">
            <v>60069492</v>
          </cell>
          <cell r="D914" t="str">
            <v>CR</v>
          </cell>
          <cell r="E914" t="str">
            <v>SPCC-SD</v>
          </cell>
          <cell r="F914">
            <v>0.5</v>
          </cell>
          <cell r="G914">
            <v>70</v>
          </cell>
          <cell r="H914" t="str">
            <v>C</v>
          </cell>
          <cell r="I914" t="str">
            <v>CS01/4</v>
          </cell>
          <cell r="J914">
            <v>60069492</v>
          </cell>
          <cell r="K914">
            <v>66</v>
          </cell>
        </row>
        <row r="915">
          <cell r="A915">
            <v>60069494</v>
          </cell>
          <cell r="D915" t="str">
            <v>CR</v>
          </cell>
          <cell r="E915" t="str">
            <v>SPCC-SD</v>
          </cell>
          <cell r="F915">
            <v>0.5</v>
          </cell>
          <cell r="G915">
            <v>70</v>
          </cell>
          <cell r="H915" t="str">
            <v>C</v>
          </cell>
          <cell r="I915" t="str">
            <v>CS01/4</v>
          </cell>
          <cell r="J915">
            <v>60069494</v>
          </cell>
          <cell r="K915">
            <v>95</v>
          </cell>
        </row>
        <row r="916">
          <cell r="A916">
            <v>60069506</v>
          </cell>
          <cell r="D916" t="str">
            <v>CR</v>
          </cell>
          <cell r="E916" t="str">
            <v>SPCC-SD</v>
          </cell>
          <cell r="F916">
            <v>0.5</v>
          </cell>
          <cell r="G916">
            <v>70</v>
          </cell>
          <cell r="H916" t="str">
            <v>C</v>
          </cell>
          <cell r="I916" t="str">
            <v>CS01/4</v>
          </cell>
          <cell r="J916">
            <v>60069506</v>
          </cell>
          <cell r="K916">
            <v>94</v>
          </cell>
        </row>
        <row r="917">
          <cell r="A917">
            <v>60069530</v>
          </cell>
          <cell r="D917" t="str">
            <v>CR</v>
          </cell>
          <cell r="E917" t="str">
            <v>SPCC-SD</v>
          </cell>
          <cell r="F917">
            <v>1.2</v>
          </cell>
          <cell r="G917">
            <v>55</v>
          </cell>
          <cell r="H917" t="str">
            <v>C</v>
          </cell>
          <cell r="I917" t="str">
            <v>CS01/4</v>
          </cell>
          <cell r="J917">
            <v>60069530</v>
          </cell>
          <cell r="K917">
            <v>201</v>
          </cell>
        </row>
        <row r="918">
          <cell r="A918">
            <v>60069531</v>
          </cell>
          <cell r="D918" t="str">
            <v>CR</v>
          </cell>
          <cell r="E918" t="str">
            <v>SPCC-SD</v>
          </cell>
          <cell r="F918">
            <v>1.2</v>
          </cell>
          <cell r="G918">
            <v>55</v>
          </cell>
          <cell r="H918" t="str">
            <v>C</v>
          </cell>
          <cell r="I918" t="str">
            <v>CS01/4</v>
          </cell>
          <cell r="J918">
            <v>60069531</v>
          </cell>
          <cell r="K918">
            <v>201</v>
          </cell>
        </row>
        <row r="919">
          <cell r="A919">
            <v>60069532</v>
          </cell>
          <cell r="D919" t="str">
            <v>CR</v>
          </cell>
          <cell r="E919" t="str">
            <v>SPCC-SD</v>
          </cell>
          <cell r="F919">
            <v>1.2</v>
          </cell>
          <cell r="G919">
            <v>55</v>
          </cell>
          <cell r="H919" t="str">
            <v>C</v>
          </cell>
          <cell r="I919" t="str">
            <v>CS01/4</v>
          </cell>
          <cell r="J919">
            <v>60069532</v>
          </cell>
          <cell r="K919">
            <v>201</v>
          </cell>
        </row>
        <row r="920">
          <cell r="A920">
            <v>60069606</v>
          </cell>
          <cell r="D920" t="str">
            <v>CR</v>
          </cell>
          <cell r="E920" t="str">
            <v>SPCC-SD</v>
          </cell>
          <cell r="F920">
            <v>2.2999999999999998</v>
          </cell>
          <cell r="G920">
            <v>84</v>
          </cell>
          <cell r="H920" t="str">
            <v>C</v>
          </cell>
          <cell r="I920" t="str">
            <v>CS01/4</v>
          </cell>
          <cell r="J920">
            <v>60069606</v>
          </cell>
          <cell r="K920">
            <v>435</v>
          </cell>
        </row>
        <row r="921">
          <cell r="A921">
            <v>60069637</v>
          </cell>
          <cell r="D921" t="str">
            <v>CR</v>
          </cell>
          <cell r="E921" t="str">
            <v>SPCC-SD</v>
          </cell>
          <cell r="F921">
            <v>0.8</v>
          </cell>
          <cell r="G921">
            <v>80</v>
          </cell>
          <cell r="H921" t="str">
            <v>C</v>
          </cell>
          <cell r="I921" t="str">
            <v>SEMI/C</v>
          </cell>
          <cell r="J921">
            <v>60069637</v>
          </cell>
          <cell r="K921">
            <v>119</v>
          </cell>
        </row>
        <row r="922">
          <cell r="A922">
            <v>60069874</v>
          </cell>
          <cell r="D922" t="str">
            <v>CR</v>
          </cell>
          <cell r="E922" t="str">
            <v>SPCEN-SD</v>
          </cell>
          <cell r="F922">
            <v>2</v>
          </cell>
          <cell r="G922">
            <v>56</v>
          </cell>
          <cell r="H922" t="str">
            <v>C</v>
          </cell>
          <cell r="I922" t="str">
            <v>CS01/12</v>
          </cell>
          <cell r="J922">
            <v>60069874</v>
          </cell>
          <cell r="K922">
            <v>198</v>
          </cell>
        </row>
        <row r="923">
          <cell r="A923">
            <v>60070083</v>
          </cell>
          <cell r="D923" t="str">
            <v>PO</v>
          </cell>
          <cell r="E923" t="str">
            <v>SAPH440 P/O</v>
          </cell>
          <cell r="F923">
            <v>4.5</v>
          </cell>
          <cell r="G923">
            <v>70</v>
          </cell>
          <cell r="H923" t="str">
            <v>C</v>
          </cell>
          <cell r="I923" t="str">
            <v>CS01/5</v>
          </cell>
          <cell r="J923">
            <v>60070083</v>
          </cell>
          <cell r="K923">
            <v>214</v>
          </cell>
        </row>
        <row r="924">
          <cell r="A924">
            <v>60070084</v>
          </cell>
          <cell r="D924" t="str">
            <v>PO</v>
          </cell>
          <cell r="E924" t="str">
            <v>SAPH440 P/O</v>
          </cell>
          <cell r="F924">
            <v>4.5</v>
          </cell>
          <cell r="G924">
            <v>70</v>
          </cell>
          <cell r="H924" t="str">
            <v>C</v>
          </cell>
          <cell r="I924" t="str">
            <v>CS01/5</v>
          </cell>
          <cell r="J924">
            <v>60070084</v>
          </cell>
          <cell r="K924">
            <v>214</v>
          </cell>
        </row>
        <row r="925">
          <cell r="A925">
            <v>60070085</v>
          </cell>
          <cell r="D925" t="str">
            <v>PO</v>
          </cell>
          <cell r="E925" t="str">
            <v>SAPH440 P/O</v>
          </cell>
          <cell r="F925">
            <v>4.5</v>
          </cell>
          <cell r="G925">
            <v>70</v>
          </cell>
          <cell r="H925" t="str">
            <v>C</v>
          </cell>
          <cell r="I925" t="str">
            <v>CS01/5</v>
          </cell>
          <cell r="J925">
            <v>60070085</v>
          </cell>
          <cell r="K925">
            <v>214</v>
          </cell>
        </row>
        <row r="926">
          <cell r="A926">
            <v>60070090</v>
          </cell>
          <cell r="D926" t="str">
            <v>PO</v>
          </cell>
          <cell r="E926" t="str">
            <v>SAPH440 P/O</v>
          </cell>
          <cell r="F926">
            <v>4.5</v>
          </cell>
          <cell r="G926">
            <v>70</v>
          </cell>
          <cell r="H926" t="str">
            <v>C</v>
          </cell>
          <cell r="I926" t="str">
            <v>CS01/5</v>
          </cell>
          <cell r="J926">
            <v>60070090</v>
          </cell>
          <cell r="K926">
            <v>219</v>
          </cell>
        </row>
        <row r="927">
          <cell r="A927">
            <v>60070091</v>
          </cell>
          <cell r="D927" t="str">
            <v>PO</v>
          </cell>
          <cell r="E927" t="str">
            <v>SAPH440 P/O</v>
          </cell>
          <cell r="F927">
            <v>4.5</v>
          </cell>
          <cell r="G927">
            <v>70</v>
          </cell>
          <cell r="H927" t="str">
            <v>C</v>
          </cell>
          <cell r="I927" t="str">
            <v>CS01/5</v>
          </cell>
          <cell r="J927">
            <v>60070091</v>
          </cell>
          <cell r="K927">
            <v>219</v>
          </cell>
        </row>
        <row r="928">
          <cell r="A928">
            <v>60070092</v>
          </cell>
          <cell r="D928" t="str">
            <v>PO</v>
          </cell>
          <cell r="E928" t="str">
            <v>SAPH440 P/O</v>
          </cell>
          <cell r="F928">
            <v>4.5</v>
          </cell>
          <cell r="G928">
            <v>70</v>
          </cell>
          <cell r="H928" t="str">
            <v>C</v>
          </cell>
          <cell r="I928" t="str">
            <v>CS01/5</v>
          </cell>
          <cell r="J928">
            <v>60070092</v>
          </cell>
          <cell r="K928">
            <v>219</v>
          </cell>
        </row>
        <row r="929">
          <cell r="A929">
            <v>60070171</v>
          </cell>
          <cell r="D929" t="str">
            <v>CR</v>
          </cell>
          <cell r="E929" t="str">
            <v>SPCC-SD</v>
          </cell>
          <cell r="F929">
            <v>1</v>
          </cell>
          <cell r="G929">
            <v>90</v>
          </cell>
          <cell r="H929" t="str">
            <v>C</v>
          </cell>
          <cell r="I929" t="str">
            <v>SEMI/C</v>
          </cell>
          <cell r="J929">
            <v>60070171</v>
          </cell>
          <cell r="K929">
            <v>121</v>
          </cell>
        </row>
        <row r="930">
          <cell r="A930">
            <v>60070567</v>
          </cell>
          <cell r="D930" t="str">
            <v>CR</v>
          </cell>
          <cell r="E930" t="str">
            <v>SPCC-SD</v>
          </cell>
          <cell r="F930">
            <v>0.8</v>
          </cell>
          <cell r="G930">
            <v>55</v>
          </cell>
          <cell r="H930" t="str">
            <v>C</v>
          </cell>
          <cell r="I930" t="str">
            <v>SEMI/C</v>
          </cell>
          <cell r="J930">
            <v>60070567</v>
          </cell>
          <cell r="K930">
            <v>82</v>
          </cell>
        </row>
        <row r="931">
          <cell r="A931">
            <v>60070778</v>
          </cell>
          <cell r="D931" t="str">
            <v>CR</v>
          </cell>
          <cell r="E931" t="str">
            <v>SPCC-SD</v>
          </cell>
          <cell r="F931">
            <v>3</v>
          </cell>
          <cell r="G931">
            <v>64</v>
          </cell>
          <cell r="H931" t="str">
            <v>C</v>
          </cell>
          <cell r="I931" t="str">
            <v>WIP</v>
          </cell>
          <cell r="J931">
            <v>60070778</v>
          </cell>
          <cell r="K931">
            <v>208</v>
          </cell>
        </row>
        <row r="932">
          <cell r="A932">
            <v>60071097</v>
          </cell>
          <cell r="D932" t="str">
            <v>CR</v>
          </cell>
          <cell r="E932" t="str">
            <v>SPCC-SD</v>
          </cell>
          <cell r="F932">
            <v>0.8</v>
          </cell>
          <cell r="G932">
            <v>50</v>
          </cell>
          <cell r="H932" t="str">
            <v>C</v>
          </cell>
          <cell r="I932" t="str">
            <v>SEMI/C</v>
          </cell>
          <cell r="J932">
            <v>60071097</v>
          </cell>
          <cell r="K932">
            <v>341</v>
          </cell>
        </row>
        <row r="933">
          <cell r="A933">
            <v>60071265</v>
          </cell>
          <cell r="D933" t="str">
            <v>CR</v>
          </cell>
          <cell r="E933" t="str">
            <v>SPCC-SD</v>
          </cell>
          <cell r="F933">
            <v>2.2999999999999998</v>
          </cell>
          <cell r="G933">
            <v>65</v>
          </cell>
          <cell r="H933" t="str">
            <v>C</v>
          </cell>
          <cell r="I933" t="str">
            <v>SEMI/C</v>
          </cell>
          <cell r="J933">
            <v>60071265</v>
          </cell>
          <cell r="K933">
            <v>196</v>
          </cell>
        </row>
        <row r="934">
          <cell r="A934">
            <v>60071276</v>
          </cell>
          <cell r="D934" t="str">
            <v>CR</v>
          </cell>
          <cell r="E934" t="str">
            <v>SPCC-SD</v>
          </cell>
          <cell r="F934">
            <v>2.2999999999999998</v>
          </cell>
          <cell r="G934">
            <v>65</v>
          </cell>
          <cell r="H934" t="str">
            <v>C</v>
          </cell>
          <cell r="I934" t="str">
            <v>SEMI/C</v>
          </cell>
          <cell r="J934">
            <v>60071276</v>
          </cell>
          <cell r="K934">
            <v>198</v>
          </cell>
        </row>
        <row r="935">
          <cell r="A935">
            <v>60071297</v>
          </cell>
          <cell r="D935" t="str">
            <v>CR</v>
          </cell>
          <cell r="E935" t="str">
            <v>SPCEN-SD</v>
          </cell>
          <cell r="F935">
            <v>1.2</v>
          </cell>
          <cell r="G935">
            <v>90</v>
          </cell>
          <cell r="H935" t="str">
            <v>C</v>
          </cell>
          <cell r="I935" t="str">
            <v>SEMI/C</v>
          </cell>
          <cell r="J935">
            <v>60071297</v>
          </cell>
          <cell r="K935">
            <v>245</v>
          </cell>
        </row>
        <row r="936">
          <cell r="A936">
            <v>60071383</v>
          </cell>
          <cell r="D936" t="str">
            <v>CR</v>
          </cell>
          <cell r="E936" t="str">
            <v>SPCC-SD</v>
          </cell>
          <cell r="F936">
            <v>2</v>
          </cell>
          <cell r="G936">
            <v>89</v>
          </cell>
          <cell r="H936" t="str">
            <v>C</v>
          </cell>
          <cell r="I936" t="str">
            <v>SEMI/C</v>
          </cell>
          <cell r="J936">
            <v>60071383</v>
          </cell>
          <cell r="K936">
            <v>162</v>
          </cell>
        </row>
        <row r="937">
          <cell r="A937">
            <v>60071528</v>
          </cell>
          <cell r="D937" t="str">
            <v>PO</v>
          </cell>
          <cell r="E937" t="str">
            <v>SPHC P/O</v>
          </cell>
          <cell r="F937">
            <v>2.6</v>
          </cell>
          <cell r="G937">
            <v>64.8</v>
          </cell>
          <cell r="H937" t="str">
            <v>C</v>
          </cell>
          <cell r="I937" t="str">
            <v>SEMI/C</v>
          </cell>
          <cell r="J937">
            <v>60071528</v>
          </cell>
          <cell r="K937">
            <v>456</v>
          </cell>
        </row>
        <row r="938">
          <cell r="A938">
            <v>60071529</v>
          </cell>
          <cell r="D938" t="str">
            <v>PO</v>
          </cell>
          <cell r="E938" t="str">
            <v>SPHC P/O</v>
          </cell>
          <cell r="F938">
            <v>2.6</v>
          </cell>
          <cell r="G938">
            <v>64.8</v>
          </cell>
          <cell r="H938" t="str">
            <v>C</v>
          </cell>
          <cell r="I938" t="str">
            <v>SEMI/C</v>
          </cell>
          <cell r="J938">
            <v>60071529</v>
          </cell>
          <cell r="K938">
            <v>456</v>
          </cell>
        </row>
        <row r="939">
          <cell r="A939">
            <v>60071620</v>
          </cell>
          <cell r="D939" t="str">
            <v>CR</v>
          </cell>
          <cell r="E939" t="str">
            <v>SPCC-SD</v>
          </cell>
          <cell r="F939">
            <v>1</v>
          </cell>
          <cell r="G939">
            <v>80</v>
          </cell>
          <cell r="H939" t="str">
            <v>C</v>
          </cell>
          <cell r="I939" t="str">
            <v>SEMI/C</v>
          </cell>
          <cell r="J939">
            <v>60071620</v>
          </cell>
          <cell r="K939">
            <v>296</v>
          </cell>
        </row>
        <row r="940">
          <cell r="A940">
            <v>60071625</v>
          </cell>
          <cell r="D940" t="str">
            <v>CR</v>
          </cell>
          <cell r="E940" t="str">
            <v>SPCC-SD</v>
          </cell>
          <cell r="F940">
            <v>1</v>
          </cell>
          <cell r="G940">
            <v>80</v>
          </cell>
          <cell r="H940" t="str">
            <v>C</v>
          </cell>
          <cell r="I940" t="str">
            <v>SEMI/C</v>
          </cell>
          <cell r="J940">
            <v>60071625</v>
          </cell>
          <cell r="K940">
            <v>295</v>
          </cell>
        </row>
        <row r="941">
          <cell r="A941">
            <v>60071755</v>
          </cell>
          <cell r="D941" t="str">
            <v>CR</v>
          </cell>
          <cell r="E941" t="str">
            <v>SPCC-SD</v>
          </cell>
          <cell r="F941">
            <v>1.4</v>
          </cell>
          <cell r="G941">
            <v>80</v>
          </cell>
          <cell r="H941" t="str">
            <v>C</v>
          </cell>
          <cell r="I941" t="str">
            <v>NG</v>
          </cell>
          <cell r="J941">
            <v>60071755</v>
          </cell>
          <cell r="K941">
            <v>293</v>
          </cell>
        </row>
        <row r="942">
          <cell r="A942">
            <v>60071756</v>
          </cell>
          <cell r="D942" t="str">
            <v>CR</v>
          </cell>
          <cell r="E942" t="str">
            <v>SPCC-SD</v>
          </cell>
          <cell r="F942">
            <v>1.4</v>
          </cell>
          <cell r="G942">
            <v>80</v>
          </cell>
          <cell r="H942" t="str">
            <v>C</v>
          </cell>
          <cell r="I942" t="str">
            <v>NG</v>
          </cell>
          <cell r="J942">
            <v>60071756</v>
          </cell>
          <cell r="K942">
            <v>293</v>
          </cell>
        </row>
        <row r="943">
          <cell r="K943">
            <v>297399</v>
          </cell>
        </row>
      </sheetData>
      <sheetData sheetId="18">
        <row r="1">
          <cell r="A1" t="str">
            <v>Lot/Serial</v>
          </cell>
          <cell r="C1" t="str">
            <v>Lot/Serial</v>
          </cell>
          <cell r="E1" t="str">
            <v>TYPE</v>
          </cell>
          <cell r="F1" t="str">
            <v>Spec</v>
          </cell>
          <cell r="G1" t="str">
            <v>T</v>
          </cell>
          <cell r="H1" t="str">
            <v>W</v>
          </cell>
          <cell r="I1" t="str">
            <v>L</v>
          </cell>
          <cell r="J1" t="str">
            <v>Location</v>
          </cell>
          <cell r="K1" t="str">
            <v>Lot/Serial</v>
          </cell>
          <cell r="L1" t="str">
            <v>On Hand</v>
          </cell>
          <cell r="M1" t="str">
            <v>Remarks</v>
          </cell>
        </row>
        <row r="2">
          <cell r="A2">
            <v>63456</v>
          </cell>
          <cell r="B2" t="str">
            <v>CR SPCC-SD 1.0x82xC</v>
          </cell>
          <cell r="C2">
            <v>63456</v>
          </cell>
          <cell r="D2" t="str">
            <v>CR SPCC-SD</v>
          </cell>
          <cell r="E2" t="str">
            <v>CR</v>
          </cell>
          <cell r="F2" t="str">
            <v>SPCC-SD</v>
          </cell>
          <cell r="G2">
            <v>1</v>
          </cell>
          <cell r="H2">
            <v>82</v>
          </cell>
          <cell r="I2" t="str">
            <v>C</v>
          </cell>
          <cell r="J2" t="str">
            <v>CS01/11</v>
          </cell>
          <cell r="K2">
            <v>63456</v>
          </cell>
          <cell r="L2">
            <v>160</v>
          </cell>
          <cell r="M2" t="str">
            <v>E1-ND-06-TSA-0362</v>
          </cell>
        </row>
        <row r="3">
          <cell r="A3">
            <v>110045</v>
          </cell>
          <cell r="C3">
            <v>110045</v>
          </cell>
          <cell r="E3" t="str">
            <v>CR</v>
          </cell>
          <cell r="F3" t="str">
            <v>SPCC-SD</v>
          </cell>
          <cell r="G3">
            <v>1.2</v>
          </cell>
          <cell r="H3">
            <v>95</v>
          </cell>
          <cell r="I3">
            <v>126</v>
          </cell>
          <cell r="J3" t="str">
            <v>DS01/1</v>
          </cell>
          <cell r="K3">
            <v>110045</v>
          </cell>
          <cell r="L3">
            <v>30</v>
          </cell>
        </row>
        <row r="4">
          <cell r="A4">
            <v>110046</v>
          </cell>
          <cell r="C4">
            <v>110046</v>
          </cell>
          <cell r="E4" t="str">
            <v>CR</v>
          </cell>
          <cell r="F4" t="str">
            <v>SPCC-SD</v>
          </cell>
          <cell r="G4">
            <v>1.2</v>
          </cell>
          <cell r="H4">
            <v>95</v>
          </cell>
          <cell r="I4">
            <v>126</v>
          </cell>
          <cell r="J4" t="str">
            <v>DS01/1</v>
          </cell>
          <cell r="K4">
            <v>110046</v>
          </cell>
          <cell r="L4">
            <v>45</v>
          </cell>
        </row>
        <row r="5">
          <cell r="A5">
            <v>110302</v>
          </cell>
          <cell r="B5" t="str">
            <v>CR SPCC-SD 2.0x60x1219</v>
          </cell>
          <cell r="C5">
            <v>110302</v>
          </cell>
          <cell r="D5" t="str">
            <v>CR SPCC-SD</v>
          </cell>
          <cell r="E5" t="str">
            <v>CR</v>
          </cell>
          <cell r="F5" t="str">
            <v>SPCC-SD</v>
          </cell>
          <cell r="G5">
            <v>2</v>
          </cell>
          <cell r="H5">
            <v>60</v>
          </cell>
          <cell r="I5">
            <v>1219</v>
          </cell>
          <cell r="J5" t="str">
            <v>DS01/1</v>
          </cell>
          <cell r="K5">
            <v>110302</v>
          </cell>
          <cell r="L5">
            <v>10</v>
          </cell>
          <cell r="M5" t="str">
            <v>E2-ND-06-TSA-0152</v>
          </cell>
        </row>
        <row r="6">
          <cell r="A6">
            <v>110399</v>
          </cell>
          <cell r="C6">
            <v>110399</v>
          </cell>
          <cell r="E6" t="str">
            <v>CR</v>
          </cell>
          <cell r="F6" t="str">
            <v>SPCC-SD</v>
          </cell>
          <cell r="G6">
            <v>0.6</v>
          </cell>
          <cell r="H6">
            <v>294</v>
          </cell>
          <cell r="I6">
            <v>660</v>
          </cell>
          <cell r="J6" t="str">
            <v>DS01/1</v>
          </cell>
          <cell r="K6">
            <v>110399</v>
          </cell>
          <cell r="L6">
            <v>76</v>
          </cell>
        </row>
        <row r="7">
          <cell r="A7">
            <v>110553</v>
          </cell>
          <cell r="C7">
            <v>110553</v>
          </cell>
          <cell r="E7" t="str">
            <v>CR</v>
          </cell>
          <cell r="F7" t="str">
            <v>SPCC-SD</v>
          </cell>
          <cell r="G7">
            <v>1.6</v>
          </cell>
          <cell r="H7">
            <v>140</v>
          </cell>
          <cell r="I7">
            <v>922</v>
          </cell>
          <cell r="J7" t="str">
            <v>DS01/1</v>
          </cell>
          <cell r="K7">
            <v>110553</v>
          </cell>
          <cell r="L7">
            <v>194</v>
          </cell>
        </row>
        <row r="8">
          <cell r="A8">
            <v>20031019</v>
          </cell>
          <cell r="C8">
            <v>20031019</v>
          </cell>
          <cell r="E8" t="str">
            <v>PO</v>
          </cell>
          <cell r="F8" t="str">
            <v>SPHC P/O</v>
          </cell>
          <cell r="G8">
            <v>2</v>
          </cell>
          <cell r="H8">
            <v>72</v>
          </cell>
          <cell r="I8">
            <v>1219</v>
          </cell>
          <cell r="J8" t="str">
            <v>OW01/1</v>
          </cell>
          <cell r="K8">
            <v>20031019</v>
          </cell>
          <cell r="L8">
            <v>140</v>
          </cell>
        </row>
        <row r="9">
          <cell r="A9">
            <v>20041193</v>
          </cell>
          <cell r="C9">
            <v>20041193</v>
          </cell>
          <cell r="E9" t="str">
            <v>CR</v>
          </cell>
          <cell r="F9" t="str">
            <v>SPCC-SD</v>
          </cell>
          <cell r="G9">
            <v>1.5</v>
          </cell>
          <cell r="H9">
            <v>1219</v>
          </cell>
          <cell r="I9">
            <v>2146</v>
          </cell>
          <cell r="J9" t="str">
            <v>CW00</v>
          </cell>
          <cell r="K9">
            <v>20041193</v>
          </cell>
          <cell r="L9">
            <v>640</v>
          </cell>
        </row>
        <row r="10">
          <cell r="A10">
            <v>20042644</v>
          </cell>
          <cell r="B10" t="str">
            <v>PO SPHC P/O 3.20x1219x2438</v>
          </cell>
          <cell r="C10">
            <v>20042644</v>
          </cell>
          <cell r="D10" t="str">
            <v>PO SPHC P/O</v>
          </cell>
          <cell r="E10" t="str">
            <v>PO</v>
          </cell>
          <cell r="F10" t="str">
            <v>SPHC P/O</v>
          </cell>
          <cell r="G10">
            <v>3.2</v>
          </cell>
          <cell r="H10">
            <v>1219</v>
          </cell>
          <cell r="I10">
            <v>2438</v>
          </cell>
          <cell r="J10" t="str">
            <v>GRB</v>
          </cell>
          <cell r="K10">
            <v>20042644</v>
          </cell>
          <cell r="L10">
            <v>3063</v>
          </cell>
          <cell r="M10" t="str">
            <v>E1-ND-06-TSA-0369</v>
          </cell>
        </row>
        <row r="11">
          <cell r="A11">
            <v>20043459</v>
          </cell>
          <cell r="B11" t="str">
            <v>PO SPHC P/O 5.0x1219x2438</v>
          </cell>
          <cell r="C11">
            <v>20043459</v>
          </cell>
          <cell r="D11" t="str">
            <v>PO SPHC P/O</v>
          </cell>
          <cell r="E11" t="str">
            <v>PO</v>
          </cell>
          <cell r="F11" t="str">
            <v>SPHC P/O</v>
          </cell>
          <cell r="G11">
            <v>5</v>
          </cell>
          <cell r="H11">
            <v>1219</v>
          </cell>
          <cell r="I11">
            <v>2438</v>
          </cell>
          <cell r="J11" t="str">
            <v>GRB</v>
          </cell>
          <cell r="K11">
            <v>20043459</v>
          </cell>
          <cell r="L11">
            <v>3504</v>
          </cell>
          <cell r="M11" t="str">
            <v>E1-ND-06-TSA-0370</v>
          </cell>
        </row>
        <row r="12">
          <cell r="A12">
            <v>20044619</v>
          </cell>
          <cell r="C12">
            <v>20044619</v>
          </cell>
          <cell r="E12" t="str">
            <v>CR</v>
          </cell>
          <cell r="F12" t="str">
            <v>SPCC-SD</v>
          </cell>
          <cell r="G12">
            <v>3</v>
          </cell>
          <cell r="H12">
            <v>845</v>
          </cell>
          <cell r="I12">
            <v>1170</v>
          </cell>
          <cell r="J12" t="str">
            <v>CW00</v>
          </cell>
          <cell r="K12">
            <v>20044619</v>
          </cell>
          <cell r="L12">
            <v>233</v>
          </cell>
        </row>
        <row r="13">
          <cell r="A13">
            <v>20045961</v>
          </cell>
          <cell r="B13" t="str">
            <v>PO SPHC P/O 4.50x1219x2438</v>
          </cell>
          <cell r="C13">
            <v>20045961</v>
          </cell>
          <cell r="D13" t="str">
            <v>PO SPHC P/O</v>
          </cell>
          <cell r="E13" t="str">
            <v>PO</v>
          </cell>
          <cell r="F13" t="str">
            <v>SPHC P/O</v>
          </cell>
          <cell r="G13">
            <v>4.5</v>
          </cell>
          <cell r="H13">
            <v>1219</v>
          </cell>
          <cell r="I13">
            <v>2438</v>
          </cell>
          <cell r="J13" t="str">
            <v>GRB</v>
          </cell>
          <cell r="K13">
            <v>20045961</v>
          </cell>
          <cell r="L13">
            <v>1994</v>
          </cell>
          <cell r="M13" t="str">
            <v>E1-ND-06-TSA-0370</v>
          </cell>
        </row>
        <row r="14">
          <cell r="A14">
            <v>20046968</v>
          </cell>
          <cell r="B14" t="str">
            <v>PO SPHC P/O 4.50x1219x2438</v>
          </cell>
          <cell r="C14">
            <v>20046968</v>
          </cell>
          <cell r="D14" t="str">
            <v>PO SPHC P/O</v>
          </cell>
          <cell r="E14" t="str">
            <v>PO</v>
          </cell>
          <cell r="F14" t="str">
            <v>SPHC P/O</v>
          </cell>
          <cell r="G14">
            <v>4.5</v>
          </cell>
          <cell r="H14">
            <v>1219</v>
          </cell>
          <cell r="I14">
            <v>2438</v>
          </cell>
          <cell r="J14" t="str">
            <v>GRB</v>
          </cell>
          <cell r="K14">
            <v>20046968</v>
          </cell>
          <cell r="L14">
            <v>1790</v>
          </cell>
          <cell r="M14" t="str">
            <v>E1-ND-06-TSA-0371</v>
          </cell>
        </row>
        <row r="15">
          <cell r="A15">
            <v>20046978</v>
          </cell>
          <cell r="B15" t="str">
            <v>PO SPHC P/O 4.50x1219x2438</v>
          </cell>
          <cell r="C15">
            <v>20046978</v>
          </cell>
          <cell r="D15" t="str">
            <v>PO SPHC P/O</v>
          </cell>
          <cell r="E15" t="str">
            <v>PO</v>
          </cell>
          <cell r="F15" t="str">
            <v>SPHC P/O</v>
          </cell>
          <cell r="G15">
            <v>4.5</v>
          </cell>
          <cell r="H15">
            <v>1219</v>
          </cell>
          <cell r="I15">
            <v>2438</v>
          </cell>
          <cell r="J15" t="str">
            <v>GRB</v>
          </cell>
          <cell r="K15">
            <v>20046978</v>
          </cell>
          <cell r="L15">
            <v>2640</v>
          </cell>
          <cell r="M15" t="str">
            <v>E1-ND-06-TSA-0371</v>
          </cell>
        </row>
        <row r="16">
          <cell r="A16">
            <v>20046979</v>
          </cell>
          <cell r="B16" t="str">
            <v>PO SPHC P/O 4.50x1219x2438</v>
          </cell>
          <cell r="C16">
            <v>20046979</v>
          </cell>
          <cell r="D16" t="str">
            <v>PO SPHC P/O</v>
          </cell>
          <cell r="E16" t="str">
            <v>PO</v>
          </cell>
          <cell r="F16" t="str">
            <v>SPHC P/O</v>
          </cell>
          <cell r="G16">
            <v>4.5</v>
          </cell>
          <cell r="H16">
            <v>1219</v>
          </cell>
          <cell r="I16">
            <v>2438</v>
          </cell>
          <cell r="J16" t="str">
            <v>GRB</v>
          </cell>
          <cell r="K16">
            <v>20046979</v>
          </cell>
          <cell r="L16">
            <v>1754</v>
          </cell>
          <cell r="M16" t="str">
            <v>E1-ND-06-TSA-0372</v>
          </cell>
        </row>
        <row r="17">
          <cell r="A17">
            <v>20048405</v>
          </cell>
          <cell r="C17">
            <v>20048405</v>
          </cell>
          <cell r="E17" t="str">
            <v>CR</v>
          </cell>
          <cell r="F17" t="str">
            <v>SPCC-SD</v>
          </cell>
          <cell r="G17">
            <v>1.4</v>
          </cell>
          <cell r="H17">
            <v>41</v>
          </cell>
          <cell r="I17">
            <v>1219</v>
          </cell>
          <cell r="J17" t="str">
            <v>OW01/1</v>
          </cell>
          <cell r="K17">
            <v>20048405</v>
          </cell>
          <cell r="L17">
            <v>107</v>
          </cell>
        </row>
        <row r="18">
          <cell r="A18">
            <v>20048909</v>
          </cell>
          <cell r="B18" t="str">
            <v>PO SPHC P/O 2.6x1219x2438</v>
          </cell>
          <cell r="C18">
            <v>20048909</v>
          </cell>
          <cell r="D18" t="str">
            <v>PO SPHC P/O</v>
          </cell>
          <cell r="E18" t="str">
            <v>PO</v>
          </cell>
          <cell r="F18" t="str">
            <v>SPHC P/O</v>
          </cell>
          <cell r="G18">
            <v>2.6</v>
          </cell>
          <cell r="H18">
            <v>1219</v>
          </cell>
          <cell r="I18">
            <v>2438</v>
          </cell>
          <cell r="J18" t="str">
            <v>GRB</v>
          </cell>
          <cell r="K18">
            <v>20048909</v>
          </cell>
          <cell r="L18">
            <v>1417</v>
          </cell>
          <cell r="M18" t="str">
            <v>E1-ND-06-TSA-0372</v>
          </cell>
        </row>
        <row r="19">
          <cell r="A19">
            <v>20049092</v>
          </cell>
          <cell r="B19" t="str">
            <v>PO SPHC P/O 5.0x1219x2438</v>
          </cell>
          <cell r="C19">
            <v>20049092</v>
          </cell>
          <cell r="D19" t="str">
            <v>PO SPHC P/O</v>
          </cell>
          <cell r="E19" t="str">
            <v>PO</v>
          </cell>
          <cell r="F19" t="str">
            <v>SPHC P/O</v>
          </cell>
          <cell r="G19">
            <v>5</v>
          </cell>
          <cell r="H19">
            <v>1219</v>
          </cell>
          <cell r="I19">
            <v>2438</v>
          </cell>
          <cell r="J19" t="str">
            <v>GRB</v>
          </cell>
          <cell r="K19">
            <v>20049092</v>
          </cell>
          <cell r="L19">
            <v>1531</v>
          </cell>
          <cell r="M19" t="str">
            <v>E1-ND-06-TSA-0373</v>
          </cell>
        </row>
        <row r="20">
          <cell r="A20">
            <v>20049446</v>
          </cell>
          <cell r="B20" t="str">
            <v>CR SPCC-SD 2.3x1219x2438</v>
          </cell>
          <cell r="C20">
            <v>20049446</v>
          </cell>
          <cell r="D20" t="str">
            <v>CR SPCC-SD</v>
          </cell>
          <cell r="E20" t="str">
            <v>CR</v>
          </cell>
          <cell r="F20" t="str">
            <v>SPCC-SD</v>
          </cell>
          <cell r="G20">
            <v>2.2999999999999998</v>
          </cell>
          <cell r="H20">
            <v>1219</v>
          </cell>
          <cell r="I20">
            <v>2438</v>
          </cell>
          <cell r="J20" t="str">
            <v>GRB</v>
          </cell>
          <cell r="K20">
            <v>20049446</v>
          </cell>
          <cell r="L20">
            <v>2414</v>
          </cell>
          <cell r="M20" t="str">
            <v>E1-ND-06-TSA-0373</v>
          </cell>
        </row>
        <row r="21">
          <cell r="A21">
            <v>20049602</v>
          </cell>
          <cell r="B21" t="str">
            <v>CR SPCC-SD 2.6x1219x2438</v>
          </cell>
          <cell r="C21">
            <v>20049602</v>
          </cell>
          <cell r="D21" t="str">
            <v>CR SPCC-SD</v>
          </cell>
          <cell r="E21" t="str">
            <v>CR</v>
          </cell>
          <cell r="F21" t="str">
            <v>SPCC-SD</v>
          </cell>
          <cell r="G21">
            <v>2.6</v>
          </cell>
          <cell r="H21">
            <v>1219</v>
          </cell>
          <cell r="I21">
            <v>2438</v>
          </cell>
          <cell r="J21" t="str">
            <v>GRB</v>
          </cell>
          <cell r="K21">
            <v>20049602</v>
          </cell>
          <cell r="L21">
            <v>425</v>
          </cell>
          <cell r="M21" t="str">
            <v>E2-NJ-06-TSA-0080</v>
          </cell>
        </row>
        <row r="22">
          <cell r="A22">
            <v>20051617</v>
          </cell>
          <cell r="B22" t="str">
            <v>CR SPCC-SD 2.3x1219x2438</v>
          </cell>
          <cell r="C22">
            <v>20051617</v>
          </cell>
          <cell r="D22" t="str">
            <v>CR SPCC-SD</v>
          </cell>
          <cell r="E22" t="str">
            <v>CR</v>
          </cell>
          <cell r="F22" t="str">
            <v>SPCC-SD</v>
          </cell>
          <cell r="G22">
            <v>2.2999999999999998</v>
          </cell>
          <cell r="H22">
            <v>1219</v>
          </cell>
          <cell r="I22">
            <v>2438</v>
          </cell>
          <cell r="J22" t="str">
            <v>GRB</v>
          </cell>
          <cell r="K22">
            <v>20051617</v>
          </cell>
          <cell r="L22">
            <v>912</v>
          </cell>
          <cell r="M22" t="str">
            <v>E1-ND-06-TSA-0373</v>
          </cell>
        </row>
        <row r="23">
          <cell r="A23">
            <v>20051719</v>
          </cell>
          <cell r="B23" t="str">
            <v>PO SAPH440 P/O 4.0x1219x2438</v>
          </cell>
          <cell r="C23">
            <v>20051719</v>
          </cell>
          <cell r="D23" t="str">
            <v>PO SAPH440 P/O</v>
          </cell>
          <cell r="E23" t="str">
            <v>PO</v>
          </cell>
          <cell r="F23" t="str">
            <v>SAPH440 P/O</v>
          </cell>
          <cell r="G23">
            <v>4</v>
          </cell>
          <cell r="H23">
            <v>1219</v>
          </cell>
          <cell r="I23">
            <v>2438</v>
          </cell>
          <cell r="J23" t="str">
            <v>GRB</v>
          </cell>
          <cell r="K23">
            <v>20051719</v>
          </cell>
          <cell r="L23">
            <v>651</v>
          </cell>
          <cell r="M23" t="str">
            <v>E1-ND-06-TSA-0373</v>
          </cell>
        </row>
        <row r="24">
          <cell r="A24">
            <v>20051873</v>
          </cell>
          <cell r="B24" t="str">
            <v>CR SPCC-SD 2.3x1219x2438</v>
          </cell>
          <cell r="C24">
            <v>20051873</v>
          </cell>
          <cell r="D24" t="str">
            <v>CR SPCC-SD</v>
          </cell>
          <cell r="E24" t="str">
            <v>CR</v>
          </cell>
          <cell r="F24" t="str">
            <v>SPCC-SD</v>
          </cell>
          <cell r="G24">
            <v>2.2999999999999998</v>
          </cell>
          <cell r="H24">
            <v>1219</v>
          </cell>
          <cell r="I24">
            <v>2438</v>
          </cell>
          <cell r="J24" t="str">
            <v>GRB</v>
          </cell>
          <cell r="K24">
            <v>20051873</v>
          </cell>
          <cell r="L24">
            <v>592</v>
          </cell>
          <cell r="M24" t="str">
            <v>E1-ND-06-TSA-0373</v>
          </cell>
        </row>
        <row r="25">
          <cell r="A25">
            <v>20052069</v>
          </cell>
          <cell r="B25" t="str">
            <v>PO SPHC P/O 2.6x1219x2438</v>
          </cell>
          <cell r="C25">
            <v>20052069</v>
          </cell>
          <cell r="D25" t="str">
            <v>PO SPHC P/O</v>
          </cell>
          <cell r="E25" t="str">
            <v>PO</v>
          </cell>
          <cell r="F25" t="str">
            <v>SPHC P/O</v>
          </cell>
          <cell r="G25">
            <v>2.6</v>
          </cell>
          <cell r="H25">
            <v>1219</v>
          </cell>
          <cell r="I25">
            <v>2438</v>
          </cell>
          <cell r="J25" t="str">
            <v>GRB</v>
          </cell>
          <cell r="K25">
            <v>20052069</v>
          </cell>
          <cell r="L25">
            <v>1460</v>
          </cell>
          <cell r="M25" t="str">
            <v>E1-ND-06-TSA-0374</v>
          </cell>
        </row>
        <row r="26">
          <cell r="A26">
            <v>20052418</v>
          </cell>
          <cell r="B26" t="str">
            <v>CR SPCC-SD 2.3x1219x2438</v>
          </cell>
          <cell r="C26">
            <v>20052418</v>
          </cell>
          <cell r="D26" t="str">
            <v>CR SPCC-SD</v>
          </cell>
          <cell r="E26" t="str">
            <v>CR</v>
          </cell>
          <cell r="F26" t="str">
            <v>SPCC-SD</v>
          </cell>
          <cell r="G26">
            <v>2.2999999999999998</v>
          </cell>
          <cell r="H26">
            <v>1219</v>
          </cell>
          <cell r="I26">
            <v>2438</v>
          </cell>
          <cell r="J26" t="str">
            <v>GRB</v>
          </cell>
          <cell r="K26">
            <v>20052418</v>
          </cell>
          <cell r="L26">
            <v>2037</v>
          </cell>
          <cell r="M26" t="str">
            <v>E1-ND-06-TSA-0374</v>
          </cell>
        </row>
        <row r="27">
          <cell r="A27">
            <v>20052419</v>
          </cell>
          <cell r="B27" t="str">
            <v>CR SPCC-SD 2.3x1219x2438</v>
          </cell>
          <cell r="C27">
            <v>20052419</v>
          </cell>
          <cell r="D27" t="str">
            <v>CR SPCC-SD</v>
          </cell>
          <cell r="E27" t="str">
            <v>CR</v>
          </cell>
          <cell r="F27" t="str">
            <v>SPCC-SD</v>
          </cell>
          <cell r="G27">
            <v>2.2999999999999998</v>
          </cell>
          <cell r="H27">
            <v>1219</v>
          </cell>
          <cell r="I27">
            <v>2438</v>
          </cell>
          <cell r="J27" t="str">
            <v>GRB</v>
          </cell>
          <cell r="K27">
            <v>20052419</v>
          </cell>
          <cell r="L27">
            <v>752</v>
          </cell>
          <cell r="M27" t="str">
            <v>E1-ND-06-TSA-0374</v>
          </cell>
        </row>
        <row r="28">
          <cell r="A28">
            <v>20052478</v>
          </cell>
          <cell r="B28" t="str">
            <v>PO SPHC P/O 6.0x1219x2438</v>
          </cell>
          <cell r="C28">
            <v>20052478</v>
          </cell>
          <cell r="D28" t="str">
            <v>PO SPHC P/O</v>
          </cell>
          <cell r="E28" t="str">
            <v>PO</v>
          </cell>
          <cell r="F28" t="str">
            <v>SPHC P/O</v>
          </cell>
          <cell r="G28">
            <v>6</v>
          </cell>
          <cell r="H28">
            <v>1219</v>
          </cell>
          <cell r="I28">
            <v>2438</v>
          </cell>
          <cell r="J28" t="str">
            <v>GRB</v>
          </cell>
          <cell r="K28">
            <v>20052478</v>
          </cell>
          <cell r="L28">
            <v>980</v>
          </cell>
          <cell r="M28" t="str">
            <v>E1-ND-06-TSA-0374</v>
          </cell>
        </row>
        <row r="29">
          <cell r="A29">
            <v>20052510</v>
          </cell>
          <cell r="B29" t="str">
            <v>CR SPCC-SD 2.3x1219x2438</v>
          </cell>
          <cell r="C29">
            <v>20052510</v>
          </cell>
          <cell r="D29" t="str">
            <v>CR SPCC-SD</v>
          </cell>
          <cell r="E29" t="str">
            <v>CR</v>
          </cell>
          <cell r="F29" t="str">
            <v>SPCC-SD</v>
          </cell>
          <cell r="G29">
            <v>2.2999999999999998</v>
          </cell>
          <cell r="H29">
            <v>1219</v>
          </cell>
          <cell r="I29">
            <v>2438</v>
          </cell>
          <cell r="J29" t="str">
            <v>GRB</v>
          </cell>
          <cell r="K29">
            <v>20052510</v>
          </cell>
          <cell r="L29">
            <v>1127</v>
          </cell>
          <cell r="M29" t="str">
            <v>E1-ND-06-TSA-0378</v>
          </cell>
        </row>
        <row r="30">
          <cell r="A30">
            <v>20052675</v>
          </cell>
          <cell r="B30" t="str">
            <v>PO SPHC P/O 2.6x1219x2438</v>
          </cell>
          <cell r="C30">
            <v>20052675</v>
          </cell>
          <cell r="D30" t="str">
            <v>PO SPHC P/O</v>
          </cell>
          <cell r="E30" t="str">
            <v>PO</v>
          </cell>
          <cell r="F30" t="str">
            <v>SPHC P/O</v>
          </cell>
          <cell r="G30">
            <v>2.6</v>
          </cell>
          <cell r="H30">
            <v>1219</v>
          </cell>
          <cell r="I30">
            <v>2438</v>
          </cell>
          <cell r="J30" t="str">
            <v>GRB</v>
          </cell>
          <cell r="K30">
            <v>20052675</v>
          </cell>
          <cell r="L30">
            <v>2305</v>
          </cell>
          <cell r="M30" t="str">
            <v>E1-ND-06-TSA-0369</v>
          </cell>
        </row>
        <row r="31">
          <cell r="A31">
            <v>20052676</v>
          </cell>
          <cell r="B31" t="str">
            <v>CR SPCC-SD 2.3x1219x2438</v>
          </cell>
          <cell r="C31">
            <v>20052676</v>
          </cell>
          <cell r="D31" t="str">
            <v>CR SPCC-SD</v>
          </cell>
          <cell r="E31" t="str">
            <v>CR</v>
          </cell>
          <cell r="F31" t="str">
            <v>SPCC-SD</v>
          </cell>
          <cell r="G31">
            <v>2.2999999999999998</v>
          </cell>
          <cell r="H31">
            <v>1219</v>
          </cell>
          <cell r="I31">
            <v>2438</v>
          </cell>
          <cell r="J31" t="str">
            <v>GRB</v>
          </cell>
          <cell r="K31">
            <v>20052676</v>
          </cell>
          <cell r="L31">
            <v>1985</v>
          </cell>
          <cell r="M31" t="str">
            <v>E1-ND-06-TSA-0379</v>
          </cell>
        </row>
        <row r="32">
          <cell r="A32">
            <v>20052796</v>
          </cell>
          <cell r="B32" t="str">
            <v>CR SPCC-SD 3.2x1219x2438</v>
          </cell>
          <cell r="C32">
            <v>20052796</v>
          </cell>
          <cell r="D32" t="str">
            <v>CR SPCC-SD</v>
          </cell>
          <cell r="E32" t="str">
            <v>CR</v>
          </cell>
          <cell r="F32" t="str">
            <v>SPCC-SD</v>
          </cell>
          <cell r="G32">
            <v>3.2</v>
          </cell>
          <cell r="H32">
            <v>1219</v>
          </cell>
          <cell r="I32">
            <v>2438</v>
          </cell>
          <cell r="J32" t="str">
            <v>NG</v>
          </cell>
          <cell r="K32">
            <v>20052796</v>
          </cell>
          <cell r="L32">
            <v>374</v>
          </cell>
          <cell r="M32" t="str">
            <v>E1-ND-06-TSA-0371</v>
          </cell>
        </row>
        <row r="33">
          <cell r="A33">
            <v>20052797</v>
          </cell>
          <cell r="B33" t="str">
            <v>CR SPCC-SD 3.2x1219x2438</v>
          </cell>
          <cell r="C33">
            <v>20052797</v>
          </cell>
          <cell r="D33" t="str">
            <v>CR SPCC-SD</v>
          </cell>
          <cell r="E33" t="str">
            <v>CR</v>
          </cell>
          <cell r="F33" t="str">
            <v>SPCC-SD</v>
          </cell>
          <cell r="G33">
            <v>3.2</v>
          </cell>
          <cell r="H33">
            <v>1219</v>
          </cell>
          <cell r="I33">
            <v>2438</v>
          </cell>
          <cell r="J33" t="str">
            <v>NG</v>
          </cell>
          <cell r="K33">
            <v>20052797</v>
          </cell>
          <cell r="L33">
            <v>300</v>
          </cell>
          <cell r="M33" t="str">
            <v>E1-ND-06-TSA-0372</v>
          </cell>
        </row>
        <row r="34">
          <cell r="A34">
            <v>20052798</v>
          </cell>
          <cell r="B34" t="str">
            <v>PO SPHC P/O 2.0x1219x2438</v>
          </cell>
          <cell r="C34">
            <v>20052798</v>
          </cell>
          <cell r="D34" t="str">
            <v>PO SPHC P/O</v>
          </cell>
          <cell r="E34" t="str">
            <v>PO</v>
          </cell>
          <cell r="F34" t="str">
            <v>SPHC P/O</v>
          </cell>
          <cell r="G34">
            <v>2</v>
          </cell>
          <cell r="H34">
            <v>1219</v>
          </cell>
          <cell r="I34">
            <v>2438</v>
          </cell>
          <cell r="J34" t="str">
            <v>NG</v>
          </cell>
          <cell r="K34">
            <v>20052798</v>
          </cell>
          <cell r="L34">
            <v>140</v>
          </cell>
          <cell r="M34" t="str">
            <v>E2-NJ-06-TSA-0084</v>
          </cell>
        </row>
        <row r="35">
          <cell r="A35">
            <v>20052814</v>
          </cell>
          <cell r="B35" t="str">
            <v>CR SPCC-SD 2.3x1219x2438</v>
          </cell>
          <cell r="C35">
            <v>20052814</v>
          </cell>
          <cell r="D35" t="str">
            <v>CR SPCC-SD</v>
          </cell>
          <cell r="E35" t="str">
            <v>CR</v>
          </cell>
          <cell r="F35" t="str">
            <v>SPCC-SD</v>
          </cell>
          <cell r="G35">
            <v>2.2999999999999998</v>
          </cell>
          <cell r="H35">
            <v>1219</v>
          </cell>
          <cell r="I35">
            <v>2438</v>
          </cell>
          <cell r="J35" t="str">
            <v>NG</v>
          </cell>
          <cell r="K35">
            <v>20052814</v>
          </cell>
          <cell r="L35">
            <v>54</v>
          </cell>
          <cell r="M35" t="str">
            <v>E1-ND-06-TSA-0380</v>
          </cell>
        </row>
        <row r="36">
          <cell r="A36">
            <v>20052822</v>
          </cell>
          <cell r="B36" t="str">
            <v>CR SPCC-SD 1.4x1219x2438</v>
          </cell>
          <cell r="C36">
            <v>20052822</v>
          </cell>
          <cell r="D36" t="str">
            <v>CR SPCC-SD</v>
          </cell>
          <cell r="E36" t="str">
            <v>CR</v>
          </cell>
          <cell r="F36" t="str">
            <v>SPCC-SD</v>
          </cell>
          <cell r="G36">
            <v>1.4</v>
          </cell>
          <cell r="H36">
            <v>1219</v>
          </cell>
          <cell r="I36">
            <v>2438</v>
          </cell>
          <cell r="J36" t="str">
            <v>NG</v>
          </cell>
          <cell r="K36">
            <v>20052822</v>
          </cell>
          <cell r="L36">
            <v>457</v>
          </cell>
          <cell r="M36" t="str">
            <v>E1-ND-06-TSA-0376</v>
          </cell>
        </row>
        <row r="37">
          <cell r="A37">
            <v>20052827</v>
          </cell>
          <cell r="B37" t="str">
            <v>PO SPHC P/O 2.3x1219x2438</v>
          </cell>
          <cell r="C37">
            <v>20052827</v>
          </cell>
          <cell r="D37" t="str">
            <v>PO SPHC P/O</v>
          </cell>
          <cell r="E37" t="str">
            <v>PO</v>
          </cell>
          <cell r="F37" t="str">
            <v>SPHC P/O</v>
          </cell>
          <cell r="G37">
            <v>2.2999999999999998</v>
          </cell>
          <cell r="H37">
            <v>1219</v>
          </cell>
          <cell r="I37">
            <v>2438</v>
          </cell>
          <cell r="J37" t="str">
            <v>NG</v>
          </cell>
          <cell r="K37">
            <v>20052827</v>
          </cell>
          <cell r="L37">
            <v>756</v>
          </cell>
          <cell r="M37" t="str">
            <v>E2-NJ-06-TSA-0082</v>
          </cell>
        </row>
        <row r="38">
          <cell r="A38">
            <v>20052834</v>
          </cell>
          <cell r="B38" t="str">
            <v>PO SPHC P/O 2.6x1219x2438</v>
          </cell>
          <cell r="C38">
            <v>20052834</v>
          </cell>
          <cell r="D38" t="str">
            <v>PO SPHC P/O</v>
          </cell>
          <cell r="E38" t="str">
            <v>PO</v>
          </cell>
          <cell r="F38" t="str">
            <v>SPHC P/O</v>
          </cell>
          <cell r="G38">
            <v>2.6</v>
          </cell>
          <cell r="H38">
            <v>1219</v>
          </cell>
          <cell r="I38">
            <v>2438</v>
          </cell>
          <cell r="J38" t="str">
            <v>GRB</v>
          </cell>
          <cell r="K38">
            <v>20052834</v>
          </cell>
          <cell r="L38">
            <v>1092</v>
          </cell>
          <cell r="M38" t="str">
            <v>E1-ND-06-TSA-0379</v>
          </cell>
        </row>
        <row r="39">
          <cell r="A39">
            <v>20052842</v>
          </cell>
          <cell r="B39" t="str">
            <v>PO SPHC P/O 3.2x1219x2438</v>
          </cell>
          <cell r="C39">
            <v>20052842</v>
          </cell>
          <cell r="D39" t="str">
            <v>PO SPHC P/O</v>
          </cell>
          <cell r="E39" t="str">
            <v>PO</v>
          </cell>
          <cell r="F39" t="str">
            <v>SPHC P/O</v>
          </cell>
          <cell r="G39">
            <v>3.2</v>
          </cell>
          <cell r="H39">
            <v>1219</v>
          </cell>
          <cell r="I39">
            <v>2438</v>
          </cell>
          <cell r="J39" t="str">
            <v>GRB</v>
          </cell>
          <cell r="K39">
            <v>20052842</v>
          </cell>
          <cell r="L39">
            <v>970</v>
          </cell>
          <cell r="M39" t="str">
            <v>E1-ND-06-TSA-0379</v>
          </cell>
        </row>
        <row r="40">
          <cell r="A40">
            <v>20052846</v>
          </cell>
          <cell r="B40" t="str">
            <v>CR SPCC-SD 2.6x1219x2438</v>
          </cell>
          <cell r="C40">
            <v>20052846</v>
          </cell>
          <cell r="D40" t="str">
            <v>CR SPCC-SD</v>
          </cell>
          <cell r="E40" t="str">
            <v>CR</v>
          </cell>
          <cell r="F40" t="str">
            <v>SPCC-SD</v>
          </cell>
          <cell r="G40">
            <v>2.6</v>
          </cell>
          <cell r="H40">
            <v>1219</v>
          </cell>
          <cell r="I40">
            <v>2438</v>
          </cell>
          <cell r="J40" t="str">
            <v>NG</v>
          </cell>
          <cell r="K40">
            <v>20052846</v>
          </cell>
          <cell r="L40">
            <v>2154</v>
          </cell>
          <cell r="M40" t="str">
            <v>E1-ND-06-TSA-0375</v>
          </cell>
        </row>
        <row r="41">
          <cell r="A41">
            <v>20052854</v>
          </cell>
          <cell r="B41" t="str">
            <v>CR SPCC-SD 2.3x1219x2438</v>
          </cell>
          <cell r="C41">
            <v>20052854</v>
          </cell>
          <cell r="D41" t="str">
            <v>CR SPCC-SD</v>
          </cell>
          <cell r="E41" t="str">
            <v>CR</v>
          </cell>
          <cell r="F41" t="str">
            <v>SPCC-SD</v>
          </cell>
          <cell r="G41">
            <v>2.2999999999999998</v>
          </cell>
          <cell r="H41">
            <v>1219</v>
          </cell>
          <cell r="I41">
            <v>2438</v>
          </cell>
          <cell r="J41" t="str">
            <v>NG</v>
          </cell>
          <cell r="K41">
            <v>20052854</v>
          </cell>
          <cell r="L41">
            <v>1717</v>
          </cell>
          <cell r="M41" t="str">
            <v>E1-NJ-06-TSA-0384</v>
          </cell>
        </row>
        <row r="42">
          <cell r="A42">
            <v>20052855</v>
          </cell>
          <cell r="B42" t="str">
            <v>CR SPCC-SD 2.3x1219x2438</v>
          </cell>
          <cell r="C42">
            <v>20052855</v>
          </cell>
          <cell r="D42" t="str">
            <v>CR SPCC-SD</v>
          </cell>
          <cell r="E42" t="str">
            <v>CR</v>
          </cell>
          <cell r="F42" t="str">
            <v>SPCC-SD</v>
          </cell>
          <cell r="G42">
            <v>2.2999999999999998</v>
          </cell>
          <cell r="H42">
            <v>1219</v>
          </cell>
          <cell r="I42">
            <v>2438</v>
          </cell>
          <cell r="J42" t="str">
            <v>NG</v>
          </cell>
          <cell r="K42">
            <v>20052855</v>
          </cell>
          <cell r="L42">
            <v>537</v>
          </cell>
          <cell r="M42" t="str">
            <v>E1-ND-06-TSA-0370</v>
          </cell>
        </row>
        <row r="43">
          <cell r="A43">
            <v>20052883</v>
          </cell>
          <cell r="B43" t="str">
            <v>CR SPCC-SD 4.0x1219x2438</v>
          </cell>
          <cell r="C43">
            <v>20052883</v>
          </cell>
          <cell r="D43" t="str">
            <v>PO SPHC P/O</v>
          </cell>
          <cell r="E43" t="str">
            <v>CR</v>
          </cell>
          <cell r="F43" t="str">
            <v>SPCC-SD</v>
          </cell>
          <cell r="G43">
            <v>4</v>
          </cell>
          <cell r="H43">
            <v>1219</v>
          </cell>
          <cell r="I43">
            <v>2438</v>
          </cell>
          <cell r="J43" t="str">
            <v>NG</v>
          </cell>
          <cell r="K43">
            <v>20052883</v>
          </cell>
          <cell r="L43">
            <v>2330</v>
          </cell>
          <cell r="M43" t="str">
            <v>E1-ND-06-TSA-0375</v>
          </cell>
        </row>
        <row r="44">
          <cell r="A44">
            <v>20052884</v>
          </cell>
          <cell r="B44" t="str">
            <v>CR SPCC-SD 4.0x1219x2438</v>
          </cell>
          <cell r="C44">
            <v>20052884</v>
          </cell>
          <cell r="D44" t="str">
            <v>PO SPHC P/O</v>
          </cell>
          <cell r="E44" t="str">
            <v>CR</v>
          </cell>
          <cell r="F44" t="str">
            <v>SPCC-SD</v>
          </cell>
          <cell r="G44">
            <v>4</v>
          </cell>
          <cell r="H44">
            <v>1219</v>
          </cell>
          <cell r="I44">
            <v>2438</v>
          </cell>
          <cell r="J44" t="str">
            <v>NG</v>
          </cell>
          <cell r="K44">
            <v>20052884</v>
          </cell>
          <cell r="L44">
            <v>932</v>
          </cell>
          <cell r="M44" t="str">
            <v>E1-ND-06-TSA-0376</v>
          </cell>
        </row>
        <row r="45">
          <cell r="A45">
            <v>20052944</v>
          </cell>
          <cell r="B45" t="str">
            <v>PO SPHC P/O 2.3x1219x2438</v>
          </cell>
          <cell r="C45">
            <v>20052944</v>
          </cell>
          <cell r="D45" t="str">
            <v>PO SPHC P/O</v>
          </cell>
          <cell r="E45" t="str">
            <v>PO</v>
          </cell>
          <cell r="F45" t="str">
            <v>SPHC P/O</v>
          </cell>
          <cell r="G45">
            <v>2.2999999999999998</v>
          </cell>
          <cell r="H45">
            <v>1219</v>
          </cell>
          <cell r="I45">
            <v>2438</v>
          </cell>
          <cell r="J45" t="str">
            <v>NG</v>
          </cell>
          <cell r="K45">
            <v>20052944</v>
          </cell>
          <cell r="L45">
            <v>214</v>
          </cell>
          <cell r="M45" t="str">
            <v>E1-ND-06-TSA-0377</v>
          </cell>
        </row>
        <row r="46">
          <cell r="A46">
            <v>20052958</v>
          </cell>
          <cell r="B46" t="str">
            <v>CR SPCC-SD 2.6x1219x2438</v>
          </cell>
          <cell r="C46">
            <v>20052958</v>
          </cell>
          <cell r="D46" t="str">
            <v>CR SPCC-SD</v>
          </cell>
          <cell r="E46" t="str">
            <v>CR</v>
          </cell>
          <cell r="F46" t="str">
            <v>SPCC-SD</v>
          </cell>
          <cell r="G46">
            <v>2.6</v>
          </cell>
          <cell r="H46">
            <v>1219</v>
          </cell>
          <cell r="I46">
            <v>2438</v>
          </cell>
          <cell r="J46" t="str">
            <v>NG</v>
          </cell>
          <cell r="K46">
            <v>20052958</v>
          </cell>
          <cell r="L46">
            <v>243</v>
          </cell>
          <cell r="M46" t="str">
            <v>E1-ND-06-TSA-0377</v>
          </cell>
        </row>
        <row r="47">
          <cell r="A47">
            <v>20052959</v>
          </cell>
          <cell r="B47" t="str">
            <v>CR SPCC-SD 2.6x1219x2438</v>
          </cell>
          <cell r="C47">
            <v>20052959</v>
          </cell>
          <cell r="D47" t="str">
            <v>CR SPCC-SD</v>
          </cell>
          <cell r="E47" t="str">
            <v>CR</v>
          </cell>
          <cell r="F47" t="str">
            <v>SPCC-SD</v>
          </cell>
          <cell r="G47">
            <v>2.6</v>
          </cell>
          <cell r="H47">
            <v>1219</v>
          </cell>
          <cell r="I47">
            <v>2438</v>
          </cell>
          <cell r="J47" t="str">
            <v>NG</v>
          </cell>
          <cell r="K47">
            <v>20052959</v>
          </cell>
          <cell r="L47">
            <v>485</v>
          </cell>
          <cell r="M47" t="str">
            <v>E1-ND-06-TSA-0379</v>
          </cell>
        </row>
        <row r="48">
          <cell r="A48">
            <v>20052966</v>
          </cell>
          <cell r="B48" t="str">
            <v>PO SPHC P/O 4.5x1219x2438</v>
          </cell>
          <cell r="C48">
            <v>20052966</v>
          </cell>
          <cell r="D48" t="str">
            <v>PO SPHC P/O</v>
          </cell>
          <cell r="E48" t="str">
            <v>PO</v>
          </cell>
          <cell r="F48" t="str">
            <v>SPHC P/O</v>
          </cell>
          <cell r="G48">
            <v>4.5</v>
          </cell>
          <cell r="H48">
            <v>1219</v>
          </cell>
          <cell r="I48">
            <v>2438</v>
          </cell>
          <cell r="J48" t="str">
            <v>NG</v>
          </cell>
          <cell r="K48">
            <v>20052966</v>
          </cell>
          <cell r="L48">
            <v>2090</v>
          </cell>
          <cell r="M48" t="str">
            <v>E1-ND-06-TSA-0377</v>
          </cell>
        </row>
        <row r="49">
          <cell r="A49">
            <v>20052967</v>
          </cell>
          <cell r="B49" t="str">
            <v>PO SPHC P/O 4.5x1219x2438</v>
          </cell>
          <cell r="C49">
            <v>20052967</v>
          </cell>
          <cell r="D49" t="str">
            <v>PO SPHC P/O</v>
          </cell>
          <cell r="E49" t="str">
            <v>PO</v>
          </cell>
          <cell r="F49" t="str">
            <v>SPHC P/O</v>
          </cell>
          <cell r="G49">
            <v>4.5</v>
          </cell>
          <cell r="H49">
            <v>1219</v>
          </cell>
          <cell r="I49">
            <v>2438</v>
          </cell>
          <cell r="J49" t="str">
            <v>NG</v>
          </cell>
          <cell r="K49">
            <v>20052967</v>
          </cell>
          <cell r="L49">
            <v>2090</v>
          </cell>
          <cell r="M49" t="str">
            <v>E1-ND-06-TSA-0376</v>
          </cell>
        </row>
        <row r="50">
          <cell r="A50">
            <v>20052968</v>
          </cell>
          <cell r="B50" t="str">
            <v>PO SPHC P/O 4.5x1219x2438</v>
          </cell>
          <cell r="C50">
            <v>20052968</v>
          </cell>
          <cell r="D50" t="str">
            <v>PO SPHC P/O</v>
          </cell>
          <cell r="E50" t="str">
            <v>PO</v>
          </cell>
          <cell r="F50" t="str">
            <v>SPHC P/O</v>
          </cell>
          <cell r="G50">
            <v>4.5</v>
          </cell>
          <cell r="H50">
            <v>1219</v>
          </cell>
          <cell r="I50">
            <v>2438</v>
          </cell>
          <cell r="J50" t="str">
            <v>NG</v>
          </cell>
          <cell r="K50">
            <v>20052968</v>
          </cell>
          <cell r="L50">
            <v>2090</v>
          </cell>
          <cell r="M50" t="str">
            <v>E1-ND-06-TSA-0376</v>
          </cell>
        </row>
        <row r="51">
          <cell r="A51">
            <v>20052969</v>
          </cell>
          <cell r="B51" t="str">
            <v>PO SPHC P/O 4.5x1219x2438</v>
          </cell>
          <cell r="C51">
            <v>20052969</v>
          </cell>
          <cell r="D51" t="str">
            <v>PO SPHC P/O</v>
          </cell>
          <cell r="E51" t="str">
            <v>PO</v>
          </cell>
          <cell r="F51" t="str">
            <v>SPHC P/O</v>
          </cell>
          <cell r="G51">
            <v>4.5</v>
          </cell>
          <cell r="H51">
            <v>1219</v>
          </cell>
          <cell r="I51">
            <v>2438</v>
          </cell>
          <cell r="J51" t="str">
            <v>NG</v>
          </cell>
          <cell r="K51">
            <v>20052969</v>
          </cell>
          <cell r="L51">
            <v>2089</v>
          </cell>
          <cell r="M51" t="str">
            <v>E1-ND-06-TSA-0377</v>
          </cell>
        </row>
        <row r="52">
          <cell r="A52">
            <v>20052970</v>
          </cell>
          <cell r="B52" t="str">
            <v>PO SPHC P/O 4.5x1219x2438</v>
          </cell>
          <cell r="C52">
            <v>20052970</v>
          </cell>
          <cell r="D52" t="str">
            <v>PO SPHC P/O</v>
          </cell>
          <cell r="E52" t="str">
            <v>PO</v>
          </cell>
          <cell r="F52" t="str">
            <v>SPHC P/O</v>
          </cell>
          <cell r="G52">
            <v>4.5</v>
          </cell>
          <cell r="H52">
            <v>1219</v>
          </cell>
          <cell r="I52">
            <v>2438</v>
          </cell>
          <cell r="J52" t="str">
            <v>NG</v>
          </cell>
          <cell r="K52">
            <v>20052970</v>
          </cell>
          <cell r="L52">
            <v>2089</v>
          </cell>
          <cell r="M52" t="str">
            <v>E1-ND-06-TSA-0377</v>
          </cell>
        </row>
        <row r="53">
          <cell r="A53">
            <v>20052971</v>
          </cell>
          <cell r="B53" t="str">
            <v>PO SPHC P/O 4.5x1219x2438</v>
          </cell>
          <cell r="C53">
            <v>20052971</v>
          </cell>
          <cell r="D53" t="str">
            <v>PO SPHC P/O</v>
          </cell>
          <cell r="E53" t="str">
            <v>PO</v>
          </cell>
          <cell r="F53" t="str">
            <v>SPHC P/O</v>
          </cell>
          <cell r="G53">
            <v>4.5</v>
          </cell>
          <cell r="H53">
            <v>1219</v>
          </cell>
          <cell r="I53">
            <v>2438</v>
          </cell>
          <cell r="J53" t="str">
            <v>NG</v>
          </cell>
          <cell r="K53">
            <v>20052971</v>
          </cell>
          <cell r="L53">
            <v>2089</v>
          </cell>
          <cell r="M53" t="str">
            <v>E1-ND-06-TSA-0378</v>
          </cell>
        </row>
        <row r="54">
          <cell r="A54">
            <v>20052973</v>
          </cell>
          <cell r="B54" t="str">
            <v>PO SPHC P/O 4.5x1219x2438</v>
          </cell>
          <cell r="C54">
            <v>20052973</v>
          </cell>
          <cell r="D54" t="str">
            <v>PO SPHC P/O</v>
          </cell>
          <cell r="E54" t="str">
            <v>PO</v>
          </cell>
          <cell r="F54" t="str">
            <v>SPHC P/O</v>
          </cell>
          <cell r="G54">
            <v>4.5</v>
          </cell>
          <cell r="H54">
            <v>1219</v>
          </cell>
          <cell r="I54">
            <v>2438</v>
          </cell>
          <cell r="J54" t="str">
            <v>NG</v>
          </cell>
          <cell r="K54">
            <v>20052973</v>
          </cell>
          <cell r="L54">
            <v>1785</v>
          </cell>
          <cell r="M54" t="str">
            <v>E1-NJ-06-TSA-0385</v>
          </cell>
        </row>
        <row r="55">
          <cell r="A55">
            <v>20052977</v>
          </cell>
          <cell r="B55" t="str">
            <v>PO SPHC P/O 4.5x1219x2438</v>
          </cell>
          <cell r="C55">
            <v>20052977</v>
          </cell>
          <cell r="D55" t="str">
            <v>PO SPHC P/O</v>
          </cell>
          <cell r="E55" t="str">
            <v>PO</v>
          </cell>
          <cell r="F55" t="str">
            <v>SPHC P/O</v>
          </cell>
          <cell r="G55">
            <v>4.5</v>
          </cell>
          <cell r="H55">
            <v>1219</v>
          </cell>
          <cell r="I55">
            <v>2438</v>
          </cell>
          <cell r="J55" t="str">
            <v>NG</v>
          </cell>
          <cell r="K55">
            <v>20052977</v>
          </cell>
          <cell r="L55">
            <v>2095</v>
          </cell>
          <cell r="M55" t="str">
            <v>E1-ND-06-TSA-0378</v>
          </cell>
        </row>
        <row r="56">
          <cell r="A56">
            <v>20052978</v>
          </cell>
          <cell r="B56" t="str">
            <v>PO SPHC P/O 4.5x1219x2438</v>
          </cell>
          <cell r="C56">
            <v>20052978</v>
          </cell>
          <cell r="D56" t="str">
            <v>PO SPHC P/O</v>
          </cell>
          <cell r="E56" t="str">
            <v>PO</v>
          </cell>
          <cell r="F56" t="str">
            <v>SPHC P/O</v>
          </cell>
          <cell r="G56">
            <v>4.5</v>
          </cell>
          <cell r="H56">
            <v>1219</v>
          </cell>
          <cell r="I56">
            <v>2438</v>
          </cell>
          <cell r="J56" t="str">
            <v>NG</v>
          </cell>
          <cell r="K56">
            <v>20052978</v>
          </cell>
          <cell r="L56">
            <v>1570</v>
          </cell>
          <cell r="M56" t="str">
            <v>E1-ND-06-TSA-0380</v>
          </cell>
        </row>
        <row r="57">
          <cell r="A57">
            <v>20052979</v>
          </cell>
          <cell r="B57" t="str">
            <v>PO SPHC P/O 4.5x1219x2438</v>
          </cell>
          <cell r="C57">
            <v>20052979</v>
          </cell>
          <cell r="D57" t="str">
            <v>PO SPHC P/O</v>
          </cell>
          <cell r="E57" t="str">
            <v>PO</v>
          </cell>
          <cell r="F57" t="str">
            <v>SPHC P/O</v>
          </cell>
          <cell r="G57">
            <v>4.5</v>
          </cell>
          <cell r="H57">
            <v>1219</v>
          </cell>
          <cell r="I57">
            <v>2438</v>
          </cell>
          <cell r="J57" t="str">
            <v>NG</v>
          </cell>
          <cell r="K57">
            <v>20052979</v>
          </cell>
          <cell r="L57">
            <v>1494</v>
          </cell>
          <cell r="M57" t="str">
            <v>E1-ND-06-TSA-0380</v>
          </cell>
        </row>
        <row r="58">
          <cell r="A58">
            <v>20052980</v>
          </cell>
          <cell r="B58" t="str">
            <v>PO SPHC P/O 4.5x1219x2438</v>
          </cell>
          <cell r="C58">
            <v>20052980</v>
          </cell>
          <cell r="D58" t="str">
            <v>PO SPHC P/O</v>
          </cell>
          <cell r="E58" t="str">
            <v>PO</v>
          </cell>
          <cell r="F58" t="str">
            <v>SPHC P/O</v>
          </cell>
          <cell r="G58">
            <v>4.5</v>
          </cell>
          <cell r="H58">
            <v>1219</v>
          </cell>
          <cell r="I58">
            <v>2438</v>
          </cell>
          <cell r="J58" t="str">
            <v>NG</v>
          </cell>
          <cell r="K58">
            <v>20052980</v>
          </cell>
          <cell r="L58">
            <v>1990</v>
          </cell>
          <cell r="M58" t="str">
            <v>E1-ND-06-TSA-0380</v>
          </cell>
        </row>
        <row r="59">
          <cell r="A59">
            <v>50000514</v>
          </cell>
          <cell r="C59">
            <v>50000514</v>
          </cell>
          <cell r="E59" t="str">
            <v>CR</v>
          </cell>
          <cell r="F59" t="str">
            <v>SPCD-SD</v>
          </cell>
          <cell r="G59">
            <v>1.4</v>
          </cell>
          <cell r="H59">
            <v>260</v>
          </cell>
          <cell r="I59">
            <v>1130</v>
          </cell>
          <cell r="J59" t="str">
            <v>DS01/1</v>
          </cell>
          <cell r="K59">
            <v>50000514</v>
          </cell>
          <cell r="L59">
            <v>77</v>
          </cell>
        </row>
        <row r="60">
          <cell r="A60">
            <v>50003450</v>
          </cell>
          <cell r="C60">
            <v>50003450</v>
          </cell>
          <cell r="E60" t="str">
            <v>PO</v>
          </cell>
          <cell r="F60" t="str">
            <v>SAPH440 P/O</v>
          </cell>
          <cell r="G60">
            <v>3.2</v>
          </cell>
          <cell r="H60">
            <v>82</v>
          </cell>
          <cell r="I60">
            <v>1219</v>
          </cell>
          <cell r="J60" t="str">
            <v>DS01/1</v>
          </cell>
          <cell r="K60">
            <v>50003450</v>
          </cell>
          <cell r="L60">
            <v>1005</v>
          </cell>
        </row>
        <row r="61">
          <cell r="A61">
            <v>50003870</v>
          </cell>
          <cell r="C61">
            <v>50003870</v>
          </cell>
          <cell r="E61" t="str">
            <v>PO</v>
          </cell>
          <cell r="F61" t="str">
            <v>SPHC P/O</v>
          </cell>
          <cell r="G61">
            <v>1.4</v>
          </cell>
          <cell r="H61">
            <v>193</v>
          </cell>
          <cell r="I61">
            <v>1210</v>
          </cell>
          <cell r="J61" t="str">
            <v>DS01/1</v>
          </cell>
          <cell r="K61">
            <v>50003870</v>
          </cell>
          <cell r="L61">
            <v>525</v>
          </cell>
        </row>
        <row r="62">
          <cell r="A62">
            <v>50004145</v>
          </cell>
          <cell r="B62" t="str">
            <v>PO SPHC P/O 2.6x80x1219</v>
          </cell>
          <cell r="C62">
            <v>50004145</v>
          </cell>
          <cell r="D62" t="str">
            <v>PO SPHC P/O</v>
          </cell>
          <cell r="E62" t="str">
            <v>PO</v>
          </cell>
          <cell r="F62" t="str">
            <v>SPHC P/O</v>
          </cell>
          <cell r="G62">
            <v>2.6</v>
          </cell>
          <cell r="H62">
            <v>80</v>
          </cell>
          <cell r="I62">
            <v>1219</v>
          </cell>
          <cell r="J62" t="str">
            <v>DS01/1</v>
          </cell>
          <cell r="K62">
            <v>50004145</v>
          </cell>
          <cell r="L62">
            <v>180</v>
          </cell>
          <cell r="M62" t="str">
            <v>E2-ND-06-TSA-0154</v>
          </cell>
        </row>
        <row r="63">
          <cell r="A63">
            <v>50004376</v>
          </cell>
          <cell r="B63" t="str">
            <v>PO SPHC P/O 2.6x80x1219</v>
          </cell>
          <cell r="C63">
            <v>50004376</v>
          </cell>
          <cell r="D63" t="str">
            <v>PO SPHC P/O</v>
          </cell>
          <cell r="E63" t="str">
            <v>PO</v>
          </cell>
          <cell r="F63" t="str">
            <v>SPHC P/O</v>
          </cell>
          <cell r="G63">
            <v>2.6</v>
          </cell>
          <cell r="H63">
            <v>80</v>
          </cell>
          <cell r="I63">
            <v>1219</v>
          </cell>
          <cell r="J63" t="str">
            <v>DS01/1</v>
          </cell>
          <cell r="K63">
            <v>50004376</v>
          </cell>
          <cell r="L63">
            <v>40</v>
          </cell>
          <cell r="M63" t="str">
            <v>E2-ND-06-TSA-0154</v>
          </cell>
        </row>
        <row r="64">
          <cell r="A64">
            <v>50005365</v>
          </cell>
          <cell r="C64">
            <v>50005365</v>
          </cell>
          <cell r="E64" t="str">
            <v>CR</v>
          </cell>
          <cell r="F64" t="str">
            <v>SPCEN-SD</v>
          </cell>
          <cell r="G64">
            <v>1.2</v>
          </cell>
          <cell r="H64">
            <v>560</v>
          </cell>
          <cell r="I64">
            <v>1170</v>
          </cell>
          <cell r="J64" t="str">
            <v>DS01/1</v>
          </cell>
          <cell r="K64">
            <v>50005365</v>
          </cell>
          <cell r="L64">
            <v>165</v>
          </cell>
        </row>
        <row r="65">
          <cell r="A65">
            <v>50006121</v>
          </cell>
          <cell r="C65">
            <v>50006121</v>
          </cell>
          <cell r="E65" t="str">
            <v>CR</v>
          </cell>
          <cell r="F65" t="str">
            <v>SPCEN-SD</v>
          </cell>
          <cell r="G65">
            <v>0.8</v>
          </cell>
          <cell r="H65">
            <v>296</v>
          </cell>
          <cell r="I65">
            <v>1219</v>
          </cell>
          <cell r="J65" t="str">
            <v>DS01/1</v>
          </cell>
          <cell r="K65">
            <v>50006121</v>
          </cell>
          <cell r="L65">
            <v>10</v>
          </cell>
        </row>
        <row r="66">
          <cell r="A66">
            <v>50006430</v>
          </cell>
          <cell r="C66">
            <v>50006430</v>
          </cell>
          <cell r="E66" t="str">
            <v>CR</v>
          </cell>
          <cell r="F66" t="str">
            <v>SPCC-SD</v>
          </cell>
          <cell r="G66">
            <v>0.8</v>
          </cell>
          <cell r="H66">
            <v>220</v>
          </cell>
          <cell r="I66">
            <v>840</v>
          </cell>
          <cell r="J66" t="str">
            <v>DS01/1</v>
          </cell>
          <cell r="K66">
            <v>50006430</v>
          </cell>
          <cell r="L66">
            <v>75</v>
          </cell>
        </row>
        <row r="67">
          <cell r="A67">
            <v>50006754</v>
          </cell>
          <cell r="C67">
            <v>50006754</v>
          </cell>
          <cell r="E67" t="str">
            <v>PO</v>
          </cell>
          <cell r="F67" t="str">
            <v>SPHC P/O</v>
          </cell>
          <cell r="G67">
            <v>3.2</v>
          </cell>
          <cell r="H67">
            <v>115</v>
          </cell>
          <cell r="I67">
            <v>1219</v>
          </cell>
          <cell r="J67" t="str">
            <v>DS01/1</v>
          </cell>
          <cell r="K67">
            <v>50006754</v>
          </cell>
          <cell r="L67">
            <v>140</v>
          </cell>
        </row>
        <row r="68">
          <cell r="A68">
            <v>50008453</v>
          </cell>
          <cell r="B68" t="str">
            <v>PO SPHC P/O 3.2x92x1380</v>
          </cell>
          <cell r="C68">
            <v>50008453</v>
          </cell>
          <cell r="D68" t="str">
            <v>PO SPHC P/O</v>
          </cell>
          <cell r="E68" t="str">
            <v>PO</v>
          </cell>
          <cell r="F68" t="str">
            <v>SPHC P/O</v>
          </cell>
          <cell r="G68">
            <v>3.2</v>
          </cell>
          <cell r="H68">
            <v>92</v>
          </cell>
          <cell r="I68">
            <v>1380</v>
          </cell>
          <cell r="J68" t="str">
            <v>DS01/1</v>
          </cell>
          <cell r="K68">
            <v>50008453</v>
          </cell>
          <cell r="L68">
            <v>585</v>
          </cell>
          <cell r="M68" t="str">
            <v>E2-ND-06-TSA-0155</v>
          </cell>
        </row>
        <row r="69">
          <cell r="A69">
            <v>50008950</v>
          </cell>
          <cell r="C69">
            <v>50008950</v>
          </cell>
          <cell r="E69" t="str">
            <v>CR</v>
          </cell>
          <cell r="F69" t="str">
            <v>SPCC-SD</v>
          </cell>
          <cell r="G69">
            <v>3.2</v>
          </cell>
          <cell r="H69">
            <v>33</v>
          </cell>
          <cell r="I69">
            <v>1219</v>
          </cell>
          <cell r="J69" t="str">
            <v>DS01/1</v>
          </cell>
          <cell r="K69">
            <v>50008950</v>
          </cell>
          <cell r="L69">
            <v>40</v>
          </cell>
        </row>
        <row r="70">
          <cell r="A70">
            <v>50008951</v>
          </cell>
          <cell r="B70" t="str">
            <v>CR SPCC-SD 3.2x45x1219</v>
          </cell>
          <cell r="C70">
            <v>50008951</v>
          </cell>
          <cell r="D70" t="str">
            <v>CR SPCC-SD</v>
          </cell>
          <cell r="E70" t="str">
            <v>CR</v>
          </cell>
          <cell r="F70" t="str">
            <v>SPCC-SD</v>
          </cell>
          <cell r="G70">
            <v>3.2</v>
          </cell>
          <cell r="H70">
            <v>45</v>
          </cell>
          <cell r="I70">
            <v>1219</v>
          </cell>
          <cell r="J70" t="str">
            <v>DS01/1</v>
          </cell>
          <cell r="K70">
            <v>50008951</v>
          </cell>
          <cell r="L70">
            <v>55</v>
          </cell>
          <cell r="M70" t="str">
            <v>E2-ND-06-TSA-0153</v>
          </cell>
        </row>
        <row r="71">
          <cell r="A71">
            <v>50009982</v>
          </cell>
          <cell r="B71" t="str">
            <v>PO SPHC P/O 2.0x69x1219</v>
          </cell>
          <cell r="C71">
            <v>50009982</v>
          </cell>
          <cell r="D71" t="str">
            <v>PO SPHC P/O</v>
          </cell>
          <cell r="E71" t="str">
            <v>PO</v>
          </cell>
          <cell r="F71" t="str">
            <v>SPHC P/O</v>
          </cell>
          <cell r="G71">
            <v>2</v>
          </cell>
          <cell r="H71">
            <v>69</v>
          </cell>
          <cell r="I71">
            <v>1219</v>
          </cell>
          <cell r="J71" t="str">
            <v>DS01/1</v>
          </cell>
          <cell r="K71">
            <v>50009982</v>
          </cell>
          <cell r="L71">
            <v>180</v>
          </cell>
          <cell r="M71" t="str">
            <v>E2-ND-06-TSA-0154</v>
          </cell>
        </row>
        <row r="72">
          <cell r="A72">
            <v>50010033</v>
          </cell>
          <cell r="B72" t="str">
            <v>PO SPHC P/O 3.2x90x1219</v>
          </cell>
          <cell r="C72">
            <v>50010033</v>
          </cell>
          <cell r="D72" t="str">
            <v>PO SPHC P/O</v>
          </cell>
          <cell r="E72" t="str">
            <v>PO</v>
          </cell>
          <cell r="F72" t="str">
            <v>SPHC P/O</v>
          </cell>
          <cell r="G72">
            <v>3.2</v>
          </cell>
          <cell r="H72">
            <v>90</v>
          </cell>
          <cell r="I72">
            <v>1219</v>
          </cell>
          <cell r="J72" t="str">
            <v>DS01/1</v>
          </cell>
          <cell r="K72">
            <v>50010033</v>
          </cell>
          <cell r="L72">
            <v>205</v>
          </cell>
          <cell r="M72" t="str">
            <v>E2-NJ-06-TSA-0065</v>
          </cell>
        </row>
        <row r="73">
          <cell r="A73">
            <v>50010310</v>
          </cell>
          <cell r="C73">
            <v>50010310</v>
          </cell>
          <cell r="E73" t="str">
            <v>CR</v>
          </cell>
          <cell r="F73" t="str">
            <v>SPCD-SD</v>
          </cell>
          <cell r="G73">
            <v>1.4</v>
          </cell>
          <cell r="H73">
            <v>260</v>
          </cell>
          <cell r="I73">
            <v>1130</v>
          </cell>
          <cell r="J73" t="str">
            <v>DS01/1</v>
          </cell>
          <cell r="K73">
            <v>50010310</v>
          </cell>
          <cell r="L73">
            <v>320</v>
          </cell>
        </row>
        <row r="74">
          <cell r="A74">
            <v>50010659</v>
          </cell>
          <cell r="C74">
            <v>50010659</v>
          </cell>
          <cell r="E74" t="str">
            <v>CR</v>
          </cell>
          <cell r="F74" t="str">
            <v>SPCC-SD</v>
          </cell>
          <cell r="G74">
            <v>2.2999999999999998</v>
          </cell>
          <cell r="H74">
            <v>70</v>
          </cell>
          <cell r="I74">
            <v>1219</v>
          </cell>
          <cell r="J74" t="str">
            <v>DS01/1</v>
          </cell>
          <cell r="K74">
            <v>50010659</v>
          </cell>
          <cell r="L74">
            <v>280</v>
          </cell>
        </row>
        <row r="75">
          <cell r="A75">
            <v>50010801</v>
          </cell>
          <cell r="C75">
            <v>50010801</v>
          </cell>
          <cell r="E75" t="str">
            <v>PO</v>
          </cell>
          <cell r="F75" t="str">
            <v>SPHC P/O</v>
          </cell>
          <cell r="G75">
            <v>4.5</v>
          </cell>
          <cell r="H75">
            <v>185</v>
          </cell>
          <cell r="I75">
            <v>1245</v>
          </cell>
          <cell r="J75" t="str">
            <v>DS01/1</v>
          </cell>
          <cell r="K75">
            <v>50010801</v>
          </cell>
          <cell r="L75">
            <v>813</v>
          </cell>
        </row>
        <row r="76">
          <cell r="A76">
            <v>50010802</v>
          </cell>
          <cell r="C76">
            <v>50010802</v>
          </cell>
          <cell r="E76" t="str">
            <v>PO</v>
          </cell>
          <cell r="F76" t="str">
            <v>SPHC P/O</v>
          </cell>
          <cell r="G76">
            <v>4.5</v>
          </cell>
          <cell r="H76">
            <v>185</v>
          </cell>
          <cell r="I76">
            <v>1245</v>
          </cell>
          <cell r="J76" t="str">
            <v>DS01/1</v>
          </cell>
          <cell r="K76">
            <v>50010802</v>
          </cell>
          <cell r="L76">
            <v>813</v>
          </cell>
        </row>
        <row r="77">
          <cell r="A77">
            <v>50010803</v>
          </cell>
          <cell r="C77">
            <v>50010803</v>
          </cell>
          <cell r="E77" t="str">
            <v>PO</v>
          </cell>
          <cell r="F77" t="str">
            <v>SPHC P/O</v>
          </cell>
          <cell r="G77">
            <v>4.5</v>
          </cell>
          <cell r="H77">
            <v>185</v>
          </cell>
          <cell r="I77">
            <v>1245</v>
          </cell>
          <cell r="J77" t="str">
            <v>DS01/1</v>
          </cell>
          <cell r="K77">
            <v>50010803</v>
          </cell>
          <cell r="L77">
            <v>992</v>
          </cell>
        </row>
        <row r="78">
          <cell r="A78">
            <v>50010897</v>
          </cell>
          <cell r="B78" t="str">
            <v>PO SPHC P/O 3.2x93x1380</v>
          </cell>
          <cell r="C78">
            <v>50010897</v>
          </cell>
          <cell r="D78" t="str">
            <v>PO SPHC P/O</v>
          </cell>
          <cell r="E78" t="str">
            <v>PO</v>
          </cell>
          <cell r="F78" t="str">
            <v>SPHC P/O</v>
          </cell>
          <cell r="G78">
            <v>3.2</v>
          </cell>
          <cell r="H78">
            <v>93</v>
          </cell>
          <cell r="I78">
            <v>1380</v>
          </cell>
          <cell r="J78" t="str">
            <v>DS01/1</v>
          </cell>
          <cell r="K78">
            <v>50010897</v>
          </cell>
          <cell r="L78">
            <v>130</v>
          </cell>
          <cell r="M78" t="str">
            <v>E2-ND-06-TSA-0155</v>
          </cell>
        </row>
        <row r="79">
          <cell r="A79">
            <v>50011105</v>
          </cell>
          <cell r="C79">
            <v>50011105</v>
          </cell>
          <cell r="E79" t="str">
            <v>CR</v>
          </cell>
          <cell r="F79" t="str">
            <v>SPCC-SD</v>
          </cell>
          <cell r="G79">
            <v>1</v>
          </cell>
          <cell r="H79">
            <v>139</v>
          </cell>
          <cell r="I79">
            <v>1219</v>
          </cell>
          <cell r="J79" t="str">
            <v>DS01/1</v>
          </cell>
          <cell r="K79">
            <v>50011105</v>
          </cell>
          <cell r="L79">
            <v>270</v>
          </cell>
        </row>
        <row r="80">
          <cell r="A80">
            <v>50011234</v>
          </cell>
          <cell r="C80">
            <v>50011234</v>
          </cell>
          <cell r="E80" t="str">
            <v>CR</v>
          </cell>
          <cell r="F80" t="str">
            <v>SPCC-SD</v>
          </cell>
          <cell r="G80">
            <v>1.4</v>
          </cell>
          <cell r="H80">
            <v>178</v>
          </cell>
          <cell r="I80">
            <v>389</v>
          </cell>
          <cell r="J80" t="str">
            <v>DS01/1</v>
          </cell>
          <cell r="K80">
            <v>50011234</v>
          </cell>
          <cell r="L80">
            <v>40</v>
          </cell>
        </row>
        <row r="81">
          <cell r="A81">
            <v>50011449</v>
          </cell>
          <cell r="C81">
            <v>50011449</v>
          </cell>
          <cell r="E81" t="str">
            <v>CR</v>
          </cell>
          <cell r="F81" t="str">
            <v>SPCEN-SD</v>
          </cell>
          <cell r="G81">
            <v>1.2</v>
          </cell>
          <cell r="H81">
            <v>1225</v>
          </cell>
          <cell r="I81">
            <v>174</v>
          </cell>
          <cell r="J81" t="str">
            <v>DS01/1</v>
          </cell>
          <cell r="K81">
            <v>50011449</v>
          </cell>
          <cell r="L81">
            <v>35</v>
          </cell>
        </row>
        <row r="82">
          <cell r="A82">
            <v>50011531</v>
          </cell>
          <cell r="C82">
            <v>50011531</v>
          </cell>
          <cell r="E82" t="str">
            <v>PO</v>
          </cell>
          <cell r="F82" t="str">
            <v>SAPH440 P/O</v>
          </cell>
          <cell r="G82">
            <v>3.2</v>
          </cell>
          <cell r="H82">
            <v>226</v>
          </cell>
          <cell r="I82">
            <v>1219</v>
          </cell>
          <cell r="J82" t="str">
            <v>DS01/1</v>
          </cell>
          <cell r="K82">
            <v>50011531</v>
          </cell>
          <cell r="L82">
            <v>125</v>
          </cell>
        </row>
        <row r="83">
          <cell r="A83">
            <v>50012090</v>
          </cell>
          <cell r="C83">
            <v>50012090</v>
          </cell>
          <cell r="E83" t="str">
            <v>CR</v>
          </cell>
          <cell r="F83" t="str">
            <v>SPCC-SD</v>
          </cell>
          <cell r="G83">
            <v>1.4</v>
          </cell>
          <cell r="H83">
            <v>363</v>
          </cell>
          <cell r="I83">
            <v>708</v>
          </cell>
          <cell r="J83" t="str">
            <v>DS01/1</v>
          </cell>
          <cell r="K83">
            <v>50012090</v>
          </cell>
          <cell r="L83">
            <v>660</v>
          </cell>
        </row>
        <row r="84">
          <cell r="A84">
            <v>50013235</v>
          </cell>
          <cell r="C84">
            <v>50013235</v>
          </cell>
          <cell r="E84" t="str">
            <v>CR</v>
          </cell>
          <cell r="F84" t="str">
            <v>SPCC-SD</v>
          </cell>
          <cell r="G84">
            <v>0.8</v>
          </cell>
          <cell r="H84">
            <v>125</v>
          </cell>
          <cell r="I84">
            <v>638</v>
          </cell>
          <cell r="J84" t="str">
            <v>DS01/1</v>
          </cell>
          <cell r="K84">
            <v>50013235</v>
          </cell>
          <cell r="L84">
            <v>165</v>
          </cell>
        </row>
        <row r="85">
          <cell r="A85">
            <v>50013249</v>
          </cell>
          <cell r="C85">
            <v>50013249</v>
          </cell>
          <cell r="E85" t="str">
            <v>CR</v>
          </cell>
          <cell r="F85" t="str">
            <v>SPCC-SD</v>
          </cell>
          <cell r="G85">
            <v>0.8</v>
          </cell>
          <cell r="H85">
            <v>115</v>
          </cell>
          <cell r="I85">
            <v>770</v>
          </cell>
          <cell r="J85" t="str">
            <v>DS01/1</v>
          </cell>
          <cell r="K85">
            <v>50013249</v>
          </cell>
          <cell r="L85">
            <v>280</v>
          </cell>
        </row>
        <row r="86">
          <cell r="A86">
            <v>50013981</v>
          </cell>
          <cell r="C86">
            <v>50013981</v>
          </cell>
          <cell r="E86" t="str">
            <v>CR</v>
          </cell>
          <cell r="F86" t="str">
            <v>SPCEN-SD</v>
          </cell>
          <cell r="G86">
            <v>1.2</v>
          </cell>
          <cell r="H86">
            <v>220</v>
          </cell>
          <cell r="I86">
            <v>620</v>
          </cell>
          <cell r="J86" t="str">
            <v>DS01/1</v>
          </cell>
          <cell r="K86">
            <v>50013981</v>
          </cell>
          <cell r="L86">
            <v>385</v>
          </cell>
        </row>
        <row r="87">
          <cell r="A87">
            <v>50014222</v>
          </cell>
          <cell r="C87">
            <v>50014222</v>
          </cell>
          <cell r="E87" t="str">
            <v>CR</v>
          </cell>
          <cell r="F87" t="str">
            <v>SPCEN-SD</v>
          </cell>
          <cell r="G87">
            <v>1.2</v>
          </cell>
          <cell r="H87">
            <v>250</v>
          </cell>
          <cell r="I87">
            <v>620</v>
          </cell>
          <cell r="J87" t="str">
            <v>DS01/1</v>
          </cell>
          <cell r="K87">
            <v>50014222</v>
          </cell>
          <cell r="L87">
            <v>435</v>
          </cell>
        </row>
        <row r="88">
          <cell r="A88">
            <v>50014268</v>
          </cell>
          <cell r="C88">
            <v>50014268</v>
          </cell>
          <cell r="E88" t="str">
            <v>CR</v>
          </cell>
          <cell r="F88" t="str">
            <v>SPCC-SD</v>
          </cell>
          <cell r="G88">
            <v>0.8</v>
          </cell>
          <cell r="H88">
            <v>275</v>
          </cell>
          <cell r="I88">
            <v>900</v>
          </cell>
          <cell r="J88" t="str">
            <v>DS01/1</v>
          </cell>
          <cell r="K88">
            <v>50014268</v>
          </cell>
          <cell r="L88">
            <v>45</v>
          </cell>
        </row>
        <row r="89">
          <cell r="A89">
            <v>50014284</v>
          </cell>
          <cell r="C89">
            <v>50014284</v>
          </cell>
          <cell r="E89" t="str">
            <v>CR</v>
          </cell>
          <cell r="F89" t="str">
            <v>SPCEN-SD</v>
          </cell>
          <cell r="G89">
            <v>1</v>
          </cell>
          <cell r="H89">
            <v>230</v>
          </cell>
          <cell r="I89">
            <v>1500</v>
          </cell>
          <cell r="J89" t="str">
            <v>DS01/1</v>
          </cell>
          <cell r="K89">
            <v>50014284</v>
          </cell>
          <cell r="L89">
            <v>25</v>
          </cell>
        </row>
        <row r="90">
          <cell r="A90">
            <v>50014821</v>
          </cell>
          <cell r="C90">
            <v>50014821</v>
          </cell>
          <cell r="E90" t="str">
            <v>CR</v>
          </cell>
          <cell r="F90" t="str">
            <v>SPCEN-SD</v>
          </cell>
          <cell r="G90">
            <v>1</v>
          </cell>
          <cell r="H90">
            <v>260</v>
          </cell>
          <cell r="I90">
            <v>420</v>
          </cell>
          <cell r="J90" t="str">
            <v>DS01/1</v>
          </cell>
          <cell r="K90">
            <v>50014821</v>
          </cell>
          <cell r="L90">
            <v>140</v>
          </cell>
        </row>
        <row r="91">
          <cell r="A91">
            <v>50015560</v>
          </cell>
          <cell r="C91">
            <v>50015560</v>
          </cell>
          <cell r="E91" t="str">
            <v>CR</v>
          </cell>
          <cell r="F91" t="str">
            <v>SPCEN-SD</v>
          </cell>
          <cell r="G91">
            <v>1</v>
          </cell>
          <cell r="H91">
            <v>225</v>
          </cell>
          <cell r="I91">
            <v>280</v>
          </cell>
          <cell r="J91" t="str">
            <v>DS01/1</v>
          </cell>
          <cell r="K91">
            <v>50015560</v>
          </cell>
          <cell r="L91">
            <v>175</v>
          </cell>
        </row>
        <row r="92">
          <cell r="A92">
            <v>50017241</v>
          </cell>
          <cell r="C92">
            <v>50017241</v>
          </cell>
          <cell r="E92" t="str">
            <v>CR</v>
          </cell>
          <cell r="F92" t="str">
            <v>SPCEN-SD</v>
          </cell>
          <cell r="G92">
            <v>1.2</v>
          </cell>
          <cell r="H92">
            <v>250</v>
          </cell>
          <cell r="I92">
            <v>620</v>
          </cell>
          <cell r="J92" t="str">
            <v>DS01/1</v>
          </cell>
          <cell r="K92">
            <v>50017241</v>
          </cell>
          <cell r="L92">
            <v>875</v>
          </cell>
        </row>
        <row r="93">
          <cell r="A93">
            <v>50017243</v>
          </cell>
          <cell r="C93">
            <v>50017243</v>
          </cell>
          <cell r="E93" t="str">
            <v>CR</v>
          </cell>
          <cell r="F93" t="str">
            <v>SPCEN-SD</v>
          </cell>
          <cell r="G93">
            <v>1.2</v>
          </cell>
          <cell r="H93">
            <v>250</v>
          </cell>
          <cell r="I93">
            <v>620</v>
          </cell>
          <cell r="J93" t="str">
            <v>DS01/1</v>
          </cell>
          <cell r="K93">
            <v>50017243</v>
          </cell>
          <cell r="L93">
            <v>220</v>
          </cell>
        </row>
        <row r="94">
          <cell r="A94">
            <v>50017258</v>
          </cell>
          <cell r="C94">
            <v>50017258</v>
          </cell>
          <cell r="E94" t="str">
            <v>CR</v>
          </cell>
          <cell r="F94" t="str">
            <v>SPCEN-SD</v>
          </cell>
          <cell r="G94">
            <v>1.2</v>
          </cell>
          <cell r="H94">
            <v>220</v>
          </cell>
          <cell r="I94">
            <v>620</v>
          </cell>
          <cell r="J94" t="str">
            <v>DS01/1</v>
          </cell>
          <cell r="K94">
            <v>50017258</v>
          </cell>
          <cell r="L94">
            <v>155</v>
          </cell>
        </row>
        <row r="95">
          <cell r="A95">
            <v>50019381</v>
          </cell>
          <cell r="C95">
            <v>50019381</v>
          </cell>
          <cell r="E95" t="str">
            <v>CR</v>
          </cell>
          <cell r="F95" t="str">
            <v>SPCEN-SD</v>
          </cell>
          <cell r="G95">
            <v>0.7</v>
          </cell>
          <cell r="H95">
            <v>430</v>
          </cell>
          <cell r="I95">
            <v>500</v>
          </cell>
          <cell r="J95" t="str">
            <v>DS01/1</v>
          </cell>
          <cell r="K95">
            <v>50019381</v>
          </cell>
          <cell r="L95">
            <v>590</v>
          </cell>
        </row>
        <row r="96">
          <cell r="A96">
            <v>50019382</v>
          </cell>
          <cell r="C96">
            <v>50019382</v>
          </cell>
          <cell r="E96" t="str">
            <v>CR</v>
          </cell>
          <cell r="F96" t="str">
            <v>SPCEN-SD</v>
          </cell>
          <cell r="G96">
            <v>0.7</v>
          </cell>
          <cell r="H96">
            <v>430</v>
          </cell>
          <cell r="I96">
            <v>500</v>
          </cell>
          <cell r="J96" t="str">
            <v>DS01/1</v>
          </cell>
          <cell r="K96">
            <v>50019382</v>
          </cell>
          <cell r="L96">
            <v>590</v>
          </cell>
        </row>
        <row r="97">
          <cell r="A97">
            <v>50020276</v>
          </cell>
          <cell r="C97">
            <v>50020276</v>
          </cell>
          <cell r="E97" t="str">
            <v>CR</v>
          </cell>
          <cell r="F97" t="str">
            <v>SPCEN-SD</v>
          </cell>
          <cell r="G97">
            <v>1.4</v>
          </cell>
          <cell r="H97">
            <v>215</v>
          </cell>
          <cell r="I97">
            <v>235</v>
          </cell>
          <cell r="J97" t="str">
            <v>DS01/1</v>
          </cell>
          <cell r="K97">
            <v>50020276</v>
          </cell>
          <cell r="L97">
            <v>30</v>
          </cell>
        </row>
        <row r="98">
          <cell r="A98">
            <v>50021122</v>
          </cell>
          <cell r="C98">
            <v>50021122</v>
          </cell>
          <cell r="E98" t="str">
            <v>CR</v>
          </cell>
          <cell r="F98" t="str">
            <v>SPCEN-SD</v>
          </cell>
          <cell r="G98">
            <v>1.2</v>
          </cell>
          <cell r="H98">
            <v>240</v>
          </cell>
          <cell r="I98">
            <v>1219</v>
          </cell>
          <cell r="J98" t="str">
            <v>DS01/1</v>
          </cell>
          <cell r="K98">
            <v>50021122</v>
          </cell>
          <cell r="L98">
            <v>80</v>
          </cell>
        </row>
        <row r="99">
          <cell r="A99">
            <v>50023095</v>
          </cell>
          <cell r="C99">
            <v>50023095</v>
          </cell>
          <cell r="E99" t="str">
            <v>CR</v>
          </cell>
          <cell r="F99" t="str">
            <v>SPCEN-SD</v>
          </cell>
          <cell r="G99">
            <v>1</v>
          </cell>
          <cell r="H99">
            <v>355</v>
          </cell>
          <cell r="I99">
            <v>1122</v>
          </cell>
          <cell r="J99" t="str">
            <v>DS01/1</v>
          </cell>
          <cell r="K99">
            <v>50023095</v>
          </cell>
          <cell r="L99">
            <v>95</v>
          </cell>
        </row>
        <row r="100">
          <cell r="A100">
            <v>50025293</v>
          </cell>
          <cell r="C100">
            <v>50025293</v>
          </cell>
          <cell r="E100" t="str">
            <v>CR</v>
          </cell>
          <cell r="F100" t="str">
            <v>SPCEN-SD</v>
          </cell>
          <cell r="G100">
            <v>1</v>
          </cell>
          <cell r="H100">
            <v>240</v>
          </cell>
          <cell r="I100">
            <v>540</v>
          </cell>
          <cell r="J100" t="str">
            <v>DS01/1</v>
          </cell>
          <cell r="K100">
            <v>50025293</v>
          </cell>
          <cell r="L100">
            <v>305</v>
          </cell>
        </row>
        <row r="101">
          <cell r="A101">
            <v>50025919</v>
          </cell>
          <cell r="C101">
            <v>50025919</v>
          </cell>
          <cell r="E101" t="str">
            <v>CR</v>
          </cell>
          <cell r="F101" t="str">
            <v>SPCC-SD</v>
          </cell>
          <cell r="G101">
            <v>1.6</v>
          </cell>
          <cell r="H101">
            <v>420</v>
          </cell>
          <cell r="I101">
            <v>870</v>
          </cell>
          <cell r="J101" t="str">
            <v>DS01/1</v>
          </cell>
          <cell r="K101">
            <v>50025919</v>
          </cell>
          <cell r="L101">
            <v>75</v>
          </cell>
        </row>
        <row r="102">
          <cell r="A102">
            <v>50026949</v>
          </cell>
          <cell r="C102">
            <v>50026949</v>
          </cell>
          <cell r="E102" t="str">
            <v>CR</v>
          </cell>
          <cell r="F102" t="str">
            <v>SPCEN-SD</v>
          </cell>
          <cell r="G102">
            <v>0.8</v>
          </cell>
          <cell r="H102">
            <v>250</v>
          </cell>
          <cell r="I102">
            <v>300</v>
          </cell>
          <cell r="J102" t="str">
            <v>DS01/1</v>
          </cell>
          <cell r="K102">
            <v>50026949</v>
          </cell>
          <cell r="L102">
            <v>45</v>
          </cell>
        </row>
        <row r="103">
          <cell r="A103">
            <v>50027896</v>
          </cell>
          <cell r="C103">
            <v>50027896</v>
          </cell>
          <cell r="E103" t="str">
            <v>CR</v>
          </cell>
          <cell r="F103" t="str">
            <v>SPCEN-SD</v>
          </cell>
          <cell r="G103">
            <v>0.8</v>
          </cell>
          <cell r="H103">
            <v>600</v>
          </cell>
          <cell r="I103">
            <v>700</v>
          </cell>
          <cell r="J103" t="str">
            <v>DS01/1</v>
          </cell>
          <cell r="K103">
            <v>50027896</v>
          </cell>
          <cell r="L103">
            <v>140</v>
          </cell>
        </row>
        <row r="104">
          <cell r="A104">
            <v>50028447</v>
          </cell>
          <cell r="C104">
            <v>50028447</v>
          </cell>
          <cell r="E104" t="str">
            <v>CR</v>
          </cell>
          <cell r="F104" t="str">
            <v>SPCEN-SD</v>
          </cell>
          <cell r="G104">
            <v>1</v>
          </cell>
          <cell r="H104">
            <v>240</v>
          </cell>
          <cell r="I104">
            <v>540</v>
          </cell>
          <cell r="J104" t="str">
            <v>DS01/1</v>
          </cell>
          <cell r="K104">
            <v>50028447</v>
          </cell>
          <cell r="L104">
            <v>115</v>
          </cell>
        </row>
        <row r="105">
          <cell r="A105">
            <v>50032034</v>
          </cell>
          <cell r="B105" t="str">
            <v>PO SPHC P/O 3.2x53x1230</v>
          </cell>
          <cell r="C105">
            <v>50032034</v>
          </cell>
          <cell r="D105" t="str">
            <v>PO SPHC P/O</v>
          </cell>
          <cell r="E105" t="str">
            <v>PO</v>
          </cell>
          <cell r="F105" t="str">
            <v>SPHC P/O</v>
          </cell>
          <cell r="G105">
            <v>3.2</v>
          </cell>
          <cell r="H105">
            <v>53</v>
          </cell>
          <cell r="I105">
            <v>1230</v>
          </cell>
          <cell r="J105" t="str">
            <v>DS01/1</v>
          </cell>
          <cell r="K105">
            <v>50032034</v>
          </cell>
          <cell r="L105">
            <v>450</v>
          </cell>
          <cell r="M105" t="str">
            <v>E2-ND-06-TSA-0155</v>
          </cell>
        </row>
        <row r="106">
          <cell r="A106">
            <v>50032062</v>
          </cell>
          <cell r="C106">
            <v>50032062</v>
          </cell>
          <cell r="E106" t="str">
            <v>CR</v>
          </cell>
          <cell r="F106" t="str">
            <v>SPCC-SD</v>
          </cell>
          <cell r="G106">
            <v>0.8</v>
          </cell>
          <cell r="H106">
            <v>186</v>
          </cell>
          <cell r="I106">
            <v>1219</v>
          </cell>
          <cell r="J106" t="str">
            <v>DS01/1</v>
          </cell>
          <cell r="K106">
            <v>50032062</v>
          </cell>
          <cell r="L106">
            <v>70</v>
          </cell>
        </row>
        <row r="107">
          <cell r="A107">
            <v>50032063</v>
          </cell>
          <cell r="C107">
            <v>50032063</v>
          </cell>
          <cell r="E107" t="str">
            <v>CR</v>
          </cell>
          <cell r="F107" t="str">
            <v>SPCC-SD</v>
          </cell>
          <cell r="G107">
            <v>0.8</v>
          </cell>
          <cell r="H107">
            <v>135</v>
          </cell>
          <cell r="I107">
            <v>1219</v>
          </cell>
          <cell r="J107" t="str">
            <v>DS01/1</v>
          </cell>
          <cell r="K107">
            <v>50032063</v>
          </cell>
          <cell r="L107">
            <v>50</v>
          </cell>
        </row>
        <row r="108">
          <cell r="A108">
            <v>50032064</v>
          </cell>
          <cell r="C108">
            <v>50032064</v>
          </cell>
          <cell r="E108" t="str">
            <v>CR</v>
          </cell>
          <cell r="F108" t="str">
            <v>SPCC-SD</v>
          </cell>
          <cell r="G108">
            <v>0.8</v>
          </cell>
          <cell r="H108">
            <v>128</v>
          </cell>
          <cell r="I108">
            <v>1219</v>
          </cell>
          <cell r="J108" t="str">
            <v>DS01/1</v>
          </cell>
          <cell r="K108">
            <v>50032064</v>
          </cell>
          <cell r="L108">
            <v>50</v>
          </cell>
        </row>
        <row r="109">
          <cell r="A109">
            <v>50032528</v>
          </cell>
          <cell r="C109">
            <v>50032528</v>
          </cell>
          <cell r="E109" t="str">
            <v>CR</v>
          </cell>
          <cell r="F109" t="str">
            <v>SPCC-SD</v>
          </cell>
          <cell r="G109">
            <v>0.6</v>
          </cell>
          <cell r="H109">
            <v>300</v>
          </cell>
          <cell r="I109">
            <v>600</v>
          </cell>
          <cell r="J109" t="str">
            <v>DS01/1</v>
          </cell>
          <cell r="K109">
            <v>50032528</v>
          </cell>
          <cell r="L109">
            <v>20</v>
          </cell>
        </row>
        <row r="110">
          <cell r="A110">
            <v>50034584</v>
          </cell>
          <cell r="C110">
            <v>50034584</v>
          </cell>
          <cell r="E110" t="str">
            <v>CR</v>
          </cell>
          <cell r="F110" t="str">
            <v>SPCEN-SD</v>
          </cell>
          <cell r="G110">
            <v>1</v>
          </cell>
          <cell r="H110">
            <v>205</v>
          </cell>
          <cell r="I110">
            <v>485</v>
          </cell>
          <cell r="J110" t="str">
            <v>DS01/1</v>
          </cell>
          <cell r="K110">
            <v>50034584</v>
          </cell>
          <cell r="L110">
            <v>130</v>
          </cell>
        </row>
        <row r="111">
          <cell r="A111">
            <v>50034893</v>
          </cell>
          <cell r="B111" t="str">
            <v>CR SPCC-SD 2.0x90x1219</v>
          </cell>
          <cell r="C111">
            <v>50034893</v>
          </cell>
          <cell r="D111" t="str">
            <v>CR SPCC-SD</v>
          </cell>
          <cell r="E111" t="str">
            <v>CR</v>
          </cell>
          <cell r="F111" t="str">
            <v>SPCC-SD</v>
          </cell>
          <cell r="G111">
            <v>2</v>
          </cell>
          <cell r="H111">
            <v>90</v>
          </cell>
          <cell r="I111">
            <v>1219</v>
          </cell>
          <cell r="J111" t="str">
            <v>DS01/1</v>
          </cell>
          <cell r="K111">
            <v>50034893</v>
          </cell>
          <cell r="L111">
            <v>75</v>
          </cell>
          <cell r="M111" t="str">
            <v>E2-ND-06-TSA-0152</v>
          </cell>
        </row>
        <row r="112">
          <cell r="A112">
            <v>50035776</v>
          </cell>
          <cell r="C112">
            <v>50035776</v>
          </cell>
          <cell r="E112" t="str">
            <v>CR</v>
          </cell>
          <cell r="F112" t="str">
            <v>SPCC-SD</v>
          </cell>
          <cell r="G112">
            <v>2.2999999999999998</v>
          </cell>
          <cell r="H112">
            <v>83</v>
          </cell>
          <cell r="I112">
            <v>1219</v>
          </cell>
          <cell r="J112" t="str">
            <v>DS01/1</v>
          </cell>
          <cell r="K112">
            <v>50035776</v>
          </cell>
          <cell r="L112">
            <v>915</v>
          </cell>
        </row>
        <row r="113">
          <cell r="A113">
            <v>50035777</v>
          </cell>
          <cell r="C113">
            <v>50035777</v>
          </cell>
          <cell r="E113" t="str">
            <v>CR</v>
          </cell>
          <cell r="F113" t="str">
            <v>SPCC-SD</v>
          </cell>
          <cell r="G113">
            <v>2.2999999999999998</v>
          </cell>
          <cell r="H113">
            <v>83</v>
          </cell>
          <cell r="I113">
            <v>1219</v>
          </cell>
          <cell r="J113" t="str">
            <v>DS01/1</v>
          </cell>
          <cell r="K113">
            <v>50035777</v>
          </cell>
          <cell r="L113">
            <v>915</v>
          </cell>
        </row>
        <row r="114">
          <cell r="A114">
            <v>50035778</v>
          </cell>
          <cell r="C114">
            <v>50035778</v>
          </cell>
          <cell r="E114" t="str">
            <v>CR</v>
          </cell>
          <cell r="F114" t="str">
            <v>SPCC-SD</v>
          </cell>
          <cell r="G114">
            <v>2.2999999999999998</v>
          </cell>
          <cell r="H114">
            <v>83</v>
          </cell>
          <cell r="I114">
            <v>1219</v>
          </cell>
          <cell r="J114" t="str">
            <v>DS01/1</v>
          </cell>
          <cell r="K114">
            <v>50035778</v>
          </cell>
          <cell r="L114">
            <v>485</v>
          </cell>
        </row>
        <row r="115">
          <cell r="A115">
            <v>50035938</v>
          </cell>
          <cell r="C115">
            <v>50035938</v>
          </cell>
          <cell r="E115" t="str">
            <v>CR</v>
          </cell>
          <cell r="F115" t="str">
            <v>SPCC-SD</v>
          </cell>
          <cell r="G115">
            <v>2.2999999999999998</v>
          </cell>
          <cell r="H115">
            <v>83</v>
          </cell>
          <cell r="I115">
            <v>1219</v>
          </cell>
          <cell r="J115" t="str">
            <v>DS01/1</v>
          </cell>
          <cell r="K115">
            <v>50035938</v>
          </cell>
          <cell r="L115">
            <v>675</v>
          </cell>
        </row>
        <row r="116">
          <cell r="A116">
            <v>50035939</v>
          </cell>
          <cell r="C116">
            <v>50035939</v>
          </cell>
          <cell r="E116" t="str">
            <v>CR</v>
          </cell>
          <cell r="F116" t="str">
            <v>SPCC-SD</v>
          </cell>
          <cell r="G116">
            <v>2.2999999999999998</v>
          </cell>
          <cell r="H116">
            <v>83</v>
          </cell>
          <cell r="I116">
            <v>1219</v>
          </cell>
          <cell r="J116" t="str">
            <v>DS01/1</v>
          </cell>
          <cell r="K116">
            <v>50035939</v>
          </cell>
          <cell r="L116">
            <v>675</v>
          </cell>
        </row>
        <row r="117">
          <cell r="A117">
            <v>50037863</v>
          </cell>
          <cell r="B117" t="str">
            <v>PO SPHC P/O 3.2x53x1230</v>
          </cell>
          <cell r="C117">
            <v>50037863</v>
          </cell>
          <cell r="D117" t="str">
            <v>PO SPHC P/O</v>
          </cell>
          <cell r="E117" t="str">
            <v>PO</v>
          </cell>
          <cell r="F117" t="str">
            <v>SPHC P/O</v>
          </cell>
          <cell r="G117">
            <v>3.2</v>
          </cell>
          <cell r="H117">
            <v>53</v>
          </cell>
          <cell r="I117">
            <v>1230</v>
          </cell>
          <cell r="J117" t="str">
            <v>DS01/1</v>
          </cell>
          <cell r="K117">
            <v>50037863</v>
          </cell>
          <cell r="L117">
            <v>550</v>
          </cell>
          <cell r="M117" t="str">
            <v>E2-ND-06-TSA-0155</v>
          </cell>
        </row>
        <row r="118">
          <cell r="A118">
            <v>50037998</v>
          </cell>
          <cell r="C118">
            <v>50037998</v>
          </cell>
          <cell r="E118" t="str">
            <v>CR</v>
          </cell>
          <cell r="F118" t="str">
            <v>SPCEN-SD</v>
          </cell>
          <cell r="G118">
            <v>1</v>
          </cell>
          <cell r="H118">
            <v>420</v>
          </cell>
          <cell r="I118">
            <v>480</v>
          </cell>
          <cell r="J118" t="str">
            <v>DS01/1</v>
          </cell>
          <cell r="K118">
            <v>50037998</v>
          </cell>
          <cell r="L118">
            <v>70</v>
          </cell>
        </row>
        <row r="119">
          <cell r="A119">
            <v>50038183</v>
          </cell>
          <cell r="C119">
            <v>50038183</v>
          </cell>
          <cell r="E119" t="str">
            <v>CR</v>
          </cell>
          <cell r="F119" t="str">
            <v>SPCC-SD</v>
          </cell>
          <cell r="G119">
            <v>0.6</v>
          </cell>
          <cell r="H119">
            <v>46</v>
          </cell>
          <cell r="I119">
            <v>895</v>
          </cell>
          <cell r="J119" t="str">
            <v>DS01/1</v>
          </cell>
          <cell r="K119">
            <v>50038183</v>
          </cell>
          <cell r="L119">
            <v>75</v>
          </cell>
        </row>
        <row r="120">
          <cell r="A120">
            <v>50038466</v>
          </cell>
          <cell r="C120">
            <v>50038466</v>
          </cell>
          <cell r="E120" t="str">
            <v>CR</v>
          </cell>
          <cell r="F120" t="str">
            <v>SPCC-SD</v>
          </cell>
          <cell r="G120">
            <v>0.6</v>
          </cell>
          <cell r="H120">
            <v>46</v>
          </cell>
          <cell r="I120">
            <v>895</v>
          </cell>
          <cell r="J120" t="str">
            <v>DS01/1</v>
          </cell>
          <cell r="K120">
            <v>50038466</v>
          </cell>
          <cell r="L120">
            <v>160</v>
          </cell>
        </row>
        <row r="121">
          <cell r="A121">
            <v>50038470</v>
          </cell>
          <cell r="C121">
            <v>50038470</v>
          </cell>
          <cell r="E121" t="str">
            <v>CR</v>
          </cell>
          <cell r="F121" t="str">
            <v>SPCC-SD</v>
          </cell>
          <cell r="G121">
            <v>0.6</v>
          </cell>
          <cell r="H121">
            <v>46</v>
          </cell>
          <cell r="I121">
            <v>895</v>
          </cell>
          <cell r="J121" t="str">
            <v>DS01/1</v>
          </cell>
          <cell r="K121">
            <v>50038470</v>
          </cell>
          <cell r="L121">
            <v>145</v>
          </cell>
        </row>
        <row r="122">
          <cell r="A122">
            <v>50039562</v>
          </cell>
          <cell r="B122" t="str">
            <v>PO SPHC P/O 4.5x83x1219</v>
          </cell>
          <cell r="C122">
            <v>50039562</v>
          </cell>
          <cell r="D122" t="str">
            <v>PO SPHC P/O</v>
          </cell>
          <cell r="E122" t="str">
            <v>PO</v>
          </cell>
          <cell r="F122" t="str">
            <v>SPHC P/O</v>
          </cell>
          <cell r="G122">
            <v>4.5</v>
          </cell>
          <cell r="H122">
            <v>83</v>
          </cell>
          <cell r="I122">
            <v>1219</v>
          </cell>
          <cell r="J122" t="str">
            <v>DS01/1</v>
          </cell>
          <cell r="K122">
            <v>50039562</v>
          </cell>
          <cell r="L122">
            <v>893</v>
          </cell>
          <cell r="M122" t="str">
            <v>E2-ND-06-TSA-0155</v>
          </cell>
        </row>
        <row r="123">
          <cell r="A123">
            <v>50040182</v>
          </cell>
          <cell r="C123">
            <v>50040182</v>
          </cell>
          <cell r="E123" t="str">
            <v>CR</v>
          </cell>
          <cell r="F123" t="str">
            <v>SPCC-SD</v>
          </cell>
          <cell r="G123">
            <v>0.8</v>
          </cell>
          <cell r="H123">
            <v>88</v>
          </cell>
          <cell r="I123">
            <v>1090</v>
          </cell>
          <cell r="J123" t="str">
            <v>DS01/1</v>
          </cell>
          <cell r="K123">
            <v>50040182</v>
          </cell>
          <cell r="L123">
            <v>102</v>
          </cell>
        </row>
        <row r="124">
          <cell r="A124">
            <v>50040183</v>
          </cell>
          <cell r="C124">
            <v>50040183</v>
          </cell>
          <cell r="E124" t="str">
            <v>CR</v>
          </cell>
          <cell r="F124" t="str">
            <v>SPCC-SD</v>
          </cell>
          <cell r="G124">
            <v>0.8</v>
          </cell>
          <cell r="H124">
            <v>88</v>
          </cell>
          <cell r="I124">
            <v>1090</v>
          </cell>
          <cell r="J124" t="str">
            <v>DS01/1</v>
          </cell>
          <cell r="K124">
            <v>50040183</v>
          </cell>
          <cell r="L124">
            <v>35</v>
          </cell>
        </row>
        <row r="125">
          <cell r="A125">
            <v>50041791</v>
          </cell>
          <cell r="C125">
            <v>50041791</v>
          </cell>
          <cell r="E125" t="str">
            <v>CR</v>
          </cell>
          <cell r="F125" t="str">
            <v>SPCC-SD</v>
          </cell>
          <cell r="G125">
            <v>0.8</v>
          </cell>
          <cell r="H125">
            <v>105</v>
          </cell>
          <cell r="I125">
            <v>360</v>
          </cell>
          <cell r="J125" t="str">
            <v>DS01/1</v>
          </cell>
          <cell r="K125">
            <v>50041791</v>
          </cell>
          <cell r="L125">
            <v>648</v>
          </cell>
        </row>
        <row r="126">
          <cell r="A126">
            <v>50042587</v>
          </cell>
          <cell r="C126">
            <v>50042587</v>
          </cell>
          <cell r="E126" t="str">
            <v>CR</v>
          </cell>
          <cell r="F126" t="str">
            <v>SPCC-SD</v>
          </cell>
          <cell r="G126">
            <v>1.2</v>
          </cell>
          <cell r="H126">
            <v>345</v>
          </cell>
          <cell r="I126">
            <v>385</v>
          </cell>
          <cell r="J126" t="str">
            <v>DS01/1</v>
          </cell>
          <cell r="K126">
            <v>50042587</v>
          </cell>
          <cell r="L126">
            <v>48</v>
          </cell>
        </row>
        <row r="127">
          <cell r="A127">
            <v>50042992</v>
          </cell>
          <cell r="C127">
            <v>50042992</v>
          </cell>
          <cell r="E127" t="str">
            <v>CR</v>
          </cell>
          <cell r="F127" t="str">
            <v>SPCC-SD</v>
          </cell>
          <cell r="G127">
            <v>1.2</v>
          </cell>
          <cell r="H127">
            <v>440</v>
          </cell>
          <cell r="I127">
            <v>1219</v>
          </cell>
          <cell r="J127" t="str">
            <v>DS01/1</v>
          </cell>
          <cell r="K127">
            <v>50042992</v>
          </cell>
          <cell r="L127">
            <v>20</v>
          </cell>
        </row>
        <row r="128">
          <cell r="A128">
            <v>50043791</v>
          </cell>
          <cell r="C128">
            <v>50043791</v>
          </cell>
          <cell r="E128" t="str">
            <v>CR</v>
          </cell>
          <cell r="F128" t="str">
            <v>SPCC-SD</v>
          </cell>
          <cell r="G128">
            <v>2.2999999999999998</v>
          </cell>
          <cell r="H128">
            <v>280</v>
          </cell>
          <cell r="I128">
            <v>280</v>
          </cell>
          <cell r="J128" t="str">
            <v>DS01/1</v>
          </cell>
          <cell r="K128">
            <v>50043791</v>
          </cell>
          <cell r="L128">
            <v>425</v>
          </cell>
        </row>
        <row r="129">
          <cell r="A129">
            <v>50043853</v>
          </cell>
          <cell r="C129">
            <v>50043853</v>
          </cell>
          <cell r="E129" t="str">
            <v>CR</v>
          </cell>
          <cell r="F129" t="str">
            <v>SPCC-SD</v>
          </cell>
          <cell r="G129">
            <v>2.2999999999999998</v>
          </cell>
          <cell r="H129">
            <v>280</v>
          </cell>
          <cell r="I129">
            <v>280</v>
          </cell>
          <cell r="J129" t="str">
            <v>DS01/1</v>
          </cell>
          <cell r="K129">
            <v>50043853</v>
          </cell>
          <cell r="L129">
            <v>245</v>
          </cell>
        </row>
        <row r="130">
          <cell r="A130">
            <v>50044133</v>
          </cell>
          <cell r="C130">
            <v>50044133</v>
          </cell>
          <cell r="E130" t="str">
            <v>CR</v>
          </cell>
          <cell r="F130" t="str">
            <v>SPCC-SD</v>
          </cell>
          <cell r="G130">
            <v>3.2</v>
          </cell>
          <cell r="H130">
            <v>170</v>
          </cell>
          <cell r="I130">
            <v>1133</v>
          </cell>
          <cell r="J130" t="str">
            <v>DS01/1</v>
          </cell>
          <cell r="K130">
            <v>50044133</v>
          </cell>
          <cell r="L130">
            <v>20</v>
          </cell>
        </row>
        <row r="131">
          <cell r="A131">
            <v>50044194</v>
          </cell>
          <cell r="C131">
            <v>50044194</v>
          </cell>
          <cell r="E131" t="str">
            <v>PO</v>
          </cell>
          <cell r="F131" t="str">
            <v>SPHC P/O</v>
          </cell>
          <cell r="G131">
            <v>6</v>
          </cell>
          <cell r="H131">
            <v>160</v>
          </cell>
          <cell r="I131">
            <v>1219</v>
          </cell>
          <cell r="J131" t="str">
            <v>DS01/1</v>
          </cell>
          <cell r="K131">
            <v>50044194</v>
          </cell>
          <cell r="L131">
            <v>184</v>
          </cell>
        </row>
        <row r="132">
          <cell r="A132">
            <v>50044905</v>
          </cell>
          <cell r="C132">
            <v>50044905</v>
          </cell>
          <cell r="E132" t="str">
            <v>CR</v>
          </cell>
          <cell r="F132" t="str">
            <v>SPCC-SD</v>
          </cell>
          <cell r="G132">
            <v>0.6</v>
          </cell>
          <cell r="H132">
            <v>300</v>
          </cell>
          <cell r="I132">
            <v>600</v>
          </cell>
          <cell r="J132" t="str">
            <v>DS01/1</v>
          </cell>
          <cell r="K132">
            <v>50044905</v>
          </cell>
          <cell r="L132">
            <v>42</v>
          </cell>
        </row>
        <row r="133">
          <cell r="A133">
            <v>50045489</v>
          </cell>
          <cell r="C133">
            <v>50045489</v>
          </cell>
          <cell r="E133" t="str">
            <v>CR</v>
          </cell>
          <cell r="F133" t="str">
            <v>SPCC-SD</v>
          </cell>
          <cell r="G133">
            <v>0.7</v>
          </cell>
          <cell r="H133">
            <v>650</v>
          </cell>
          <cell r="I133">
            <v>1540</v>
          </cell>
          <cell r="J133" t="str">
            <v>DS01/1</v>
          </cell>
          <cell r="K133">
            <v>50045489</v>
          </cell>
          <cell r="L133">
            <v>340</v>
          </cell>
        </row>
        <row r="134">
          <cell r="A134">
            <v>50045495</v>
          </cell>
          <cell r="C134">
            <v>50045495</v>
          </cell>
          <cell r="E134" t="str">
            <v>CR</v>
          </cell>
          <cell r="F134" t="str">
            <v>SPCC-SD</v>
          </cell>
          <cell r="G134">
            <v>0.7</v>
          </cell>
          <cell r="H134">
            <v>570</v>
          </cell>
          <cell r="I134">
            <v>1510</v>
          </cell>
          <cell r="J134" t="str">
            <v>DS01/1</v>
          </cell>
          <cell r="K134">
            <v>50045495</v>
          </cell>
          <cell r="L134">
            <v>395</v>
          </cell>
        </row>
        <row r="135">
          <cell r="A135">
            <v>50045501</v>
          </cell>
          <cell r="C135">
            <v>50045501</v>
          </cell>
          <cell r="E135" t="str">
            <v>CR</v>
          </cell>
          <cell r="F135" t="str">
            <v>SPCC-SD</v>
          </cell>
          <cell r="G135">
            <v>0.7</v>
          </cell>
          <cell r="H135">
            <v>645</v>
          </cell>
          <cell r="I135">
            <v>1525</v>
          </cell>
          <cell r="J135" t="str">
            <v>DS01/1</v>
          </cell>
          <cell r="K135">
            <v>50045501</v>
          </cell>
          <cell r="L135">
            <v>445</v>
          </cell>
        </row>
        <row r="136">
          <cell r="A136">
            <v>50045722</v>
          </cell>
          <cell r="B136" t="str">
            <v>PO SPHC P/O 4.5x83x1219</v>
          </cell>
          <cell r="C136">
            <v>50045722</v>
          </cell>
          <cell r="D136" t="str">
            <v>PO SPHC P/O</v>
          </cell>
          <cell r="E136" t="str">
            <v>PO</v>
          </cell>
          <cell r="F136" t="str">
            <v>SPHC P/O</v>
          </cell>
          <cell r="G136">
            <v>4.5</v>
          </cell>
          <cell r="H136">
            <v>83</v>
          </cell>
          <cell r="I136">
            <v>1219</v>
          </cell>
          <cell r="J136" t="str">
            <v>DS01/1</v>
          </cell>
          <cell r="K136">
            <v>50045722</v>
          </cell>
          <cell r="L136">
            <v>645</v>
          </cell>
          <cell r="M136" t="str">
            <v>E2-ND-06-TSA-0155</v>
          </cell>
        </row>
        <row r="137">
          <cell r="A137">
            <v>50045940</v>
          </cell>
          <cell r="C137">
            <v>50045940</v>
          </cell>
          <cell r="E137" t="str">
            <v>PO</v>
          </cell>
          <cell r="F137" t="str">
            <v>SPHC P/O</v>
          </cell>
          <cell r="G137">
            <v>4.5</v>
          </cell>
          <cell r="H137">
            <v>177</v>
          </cell>
          <cell r="I137">
            <v>1181</v>
          </cell>
          <cell r="J137" t="str">
            <v>DS01/1</v>
          </cell>
          <cell r="K137">
            <v>50045940</v>
          </cell>
          <cell r="L137">
            <v>398</v>
          </cell>
        </row>
        <row r="138">
          <cell r="A138">
            <v>50046383</v>
          </cell>
          <cell r="C138">
            <v>50046383</v>
          </cell>
          <cell r="E138" t="str">
            <v>CR</v>
          </cell>
          <cell r="F138" t="str">
            <v>SPCEN-SD</v>
          </cell>
          <cell r="G138">
            <v>1.4</v>
          </cell>
          <cell r="H138">
            <v>215</v>
          </cell>
          <cell r="I138">
            <v>235</v>
          </cell>
          <cell r="J138" t="str">
            <v>DS01/1</v>
          </cell>
          <cell r="K138">
            <v>50046383</v>
          </cell>
          <cell r="L138">
            <v>100</v>
          </cell>
        </row>
        <row r="139">
          <cell r="A139">
            <v>50046496</v>
          </cell>
          <cell r="C139">
            <v>50046496</v>
          </cell>
          <cell r="E139" t="str">
            <v>PO</v>
          </cell>
          <cell r="F139" t="str">
            <v>SPHC P/O</v>
          </cell>
          <cell r="G139">
            <v>4.5</v>
          </cell>
          <cell r="H139">
            <v>177</v>
          </cell>
          <cell r="I139">
            <v>1181</v>
          </cell>
          <cell r="J139" t="str">
            <v>DS01/1</v>
          </cell>
          <cell r="K139">
            <v>50046496</v>
          </cell>
          <cell r="L139">
            <v>65</v>
          </cell>
        </row>
        <row r="140">
          <cell r="A140">
            <v>50047114</v>
          </cell>
          <cell r="C140">
            <v>50047114</v>
          </cell>
          <cell r="E140" t="str">
            <v>PO</v>
          </cell>
          <cell r="F140" t="str">
            <v>SPHC P/O</v>
          </cell>
          <cell r="G140">
            <v>6</v>
          </cell>
          <cell r="H140">
            <v>125</v>
          </cell>
          <cell r="I140">
            <v>1219</v>
          </cell>
          <cell r="J140" t="str">
            <v>DS01/1</v>
          </cell>
          <cell r="K140">
            <v>50047114</v>
          </cell>
          <cell r="L140">
            <v>107</v>
          </cell>
        </row>
        <row r="141">
          <cell r="A141">
            <v>50047267</v>
          </cell>
          <cell r="C141">
            <v>50047267</v>
          </cell>
          <cell r="E141" t="str">
            <v>CR</v>
          </cell>
          <cell r="F141" t="str">
            <v>SPCC-SD</v>
          </cell>
          <cell r="G141">
            <v>0.8</v>
          </cell>
          <cell r="H141">
            <v>88</v>
          </cell>
          <cell r="I141">
            <v>1090</v>
          </cell>
          <cell r="J141" t="str">
            <v>DS01/1</v>
          </cell>
          <cell r="K141">
            <v>50047267</v>
          </cell>
          <cell r="L141">
            <v>229</v>
          </cell>
        </row>
        <row r="142">
          <cell r="A142">
            <v>50047268</v>
          </cell>
          <cell r="C142">
            <v>50047268</v>
          </cell>
          <cell r="E142" t="str">
            <v>CR</v>
          </cell>
          <cell r="F142" t="str">
            <v>SPCC-SD</v>
          </cell>
          <cell r="G142">
            <v>0.8</v>
          </cell>
          <cell r="H142">
            <v>88</v>
          </cell>
          <cell r="I142">
            <v>1090</v>
          </cell>
          <cell r="J142" t="str">
            <v>DS01/1</v>
          </cell>
          <cell r="K142">
            <v>50047268</v>
          </cell>
          <cell r="L142">
            <v>269</v>
          </cell>
        </row>
        <row r="143">
          <cell r="A143">
            <v>50048253</v>
          </cell>
          <cell r="C143">
            <v>50048253</v>
          </cell>
          <cell r="E143" t="str">
            <v>CR</v>
          </cell>
          <cell r="F143" t="str">
            <v>SPCC-SD</v>
          </cell>
          <cell r="G143">
            <v>0.9</v>
          </cell>
          <cell r="H143">
            <v>300</v>
          </cell>
          <cell r="I143">
            <v>540</v>
          </cell>
          <cell r="J143" t="str">
            <v>DS01/1</v>
          </cell>
          <cell r="K143">
            <v>50048253</v>
          </cell>
          <cell r="L143">
            <v>202</v>
          </cell>
        </row>
        <row r="144">
          <cell r="A144">
            <v>50048544</v>
          </cell>
          <cell r="B144" t="str">
            <v>CR SPCC-SD 1.2x90x1219</v>
          </cell>
          <cell r="C144">
            <v>50048544</v>
          </cell>
          <cell r="D144" t="str">
            <v>CR SPCC-SD</v>
          </cell>
          <cell r="E144" t="str">
            <v>CR</v>
          </cell>
          <cell r="F144" t="str">
            <v>SPCC-SD</v>
          </cell>
          <cell r="G144">
            <v>1.2</v>
          </cell>
          <cell r="H144">
            <v>90</v>
          </cell>
          <cell r="I144">
            <v>1219</v>
          </cell>
          <cell r="J144" t="str">
            <v>DS01/1</v>
          </cell>
          <cell r="K144">
            <v>50048544</v>
          </cell>
          <cell r="L144">
            <v>44</v>
          </cell>
          <cell r="M144" t="str">
            <v>E1-NJ-06-TSA-0377</v>
          </cell>
        </row>
        <row r="145">
          <cell r="A145">
            <v>50048564</v>
          </cell>
          <cell r="C145">
            <v>50048564</v>
          </cell>
          <cell r="E145" t="str">
            <v>CR</v>
          </cell>
          <cell r="F145" t="str">
            <v>SPCC-SD</v>
          </cell>
          <cell r="G145">
            <v>0.6</v>
          </cell>
          <cell r="H145">
            <v>285</v>
          </cell>
          <cell r="I145">
            <v>565</v>
          </cell>
          <cell r="J145" t="str">
            <v>DS01/1</v>
          </cell>
          <cell r="K145">
            <v>50048564</v>
          </cell>
          <cell r="L145">
            <v>124</v>
          </cell>
        </row>
        <row r="146">
          <cell r="A146">
            <v>50048671</v>
          </cell>
          <cell r="C146">
            <v>50048671</v>
          </cell>
          <cell r="E146" t="str">
            <v>CR</v>
          </cell>
          <cell r="F146" t="str">
            <v>SPCC-SD</v>
          </cell>
          <cell r="G146">
            <v>0.6</v>
          </cell>
          <cell r="H146">
            <v>285</v>
          </cell>
          <cell r="I146">
            <v>565</v>
          </cell>
          <cell r="J146" t="str">
            <v>DS01/1</v>
          </cell>
          <cell r="K146">
            <v>50048671</v>
          </cell>
          <cell r="L146">
            <v>760</v>
          </cell>
        </row>
        <row r="147">
          <cell r="A147">
            <v>50048672</v>
          </cell>
          <cell r="C147">
            <v>50048672</v>
          </cell>
          <cell r="E147" t="str">
            <v>CR</v>
          </cell>
          <cell r="F147" t="str">
            <v>SPCC-SD</v>
          </cell>
          <cell r="G147">
            <v>0.6</v>
          </cell>
          <cell r="H147">
            <v>285</v>
          </cell>
          <cell r="I147">
            <v>565</v>
          </cell>
          <cell r="J147" t="str">
            <v>DS01/1</v>
          </cell>
          <cell r="K147">
            <v>50048672</v>
          </cell>
          <cell r="L147">
            <v>760</v>
          </cell>
        </row>
        <row r="148">
          <cell r="A148">
            <v>50048947</v>
          </cell>
          <cell r="C148">
            <v>50048947</v>
          </cell>
          <cell r="E148" t="str">
            <v>CR</v>
          </cell>
          <cell r="F148" t="str">
            <v>SPCC-SD</v>
          </cell>
          <cell r="G148">
            <v>2.2999999999999998</v>
          </cell>
          <cell r="H148">
            <v>280</v>
          </cell>
          <cell r="I148">
            <v>280</v>
          </cell>
          <cell r="J148" t="str">
            <v>DS01/1</v>
          </cell>
          <cell r="K148">
            <v>50048947</v>
          </cell>
          <cell r="L148">
            <v>320</v>
          </cell>
        </row>
        <row r="149">
          <cell r="A149">
            <v>50048966</v>
          </cell>
          <cell r="B149" t="str">
            <v>PO SPHC P/O 3.2x66x1219</v>
          </cell>
          <cell r="C149">
            <v>50048966</v>
          </cell>
          <cell r="D149" t="str">
            <v>PO SPHC P/O</v>
          </cell>
          <cell r="E149" t="str">
            <v>PO</v>
          </cell>
          <cell r="F149" t="str">
            <v>SPHC P/O</v>
          </cell>
          <cell r="G149">
            <v>3.2</v>
          </cell>
          <cell r="H149">
            <v>66</v>
          </cell>
          <cell r="I149">
            <v>1219</v>
          </cell>
          <cell r="J149" t="str">
            <v>DS01/1</v>
          </cell>
          <cell r="K149">
            <v>50048966</v>
          </cell>
          <cell r="L149">
            <v>101</v>
          </cell>
          <cell r="M149" t="str">
            <v>E2-ND-06-TSA-0154</v>
          </cell>
        </row>
        <row r="150">
          <cell r="A150">
            <v>50049000</v>
          </cell>
          <cell r="C150">
            <v>50049000</v>
          </cell>
          <cell r="E150" t="str">
            <v>CR</v>
          </cell>
          <cell r="F150" t="str">
            <v>SPCEN-SD</v>
          </cell>
          <cell r="G150">
            <v>1</v>
          </cell>
          <cell r="H150">
            <v>430</v>
          </cell>
          <cell r="I150">
            <v>460</v>
          </cell>
          <cell r="J150" t="str">
            <v>DS01/1</v>
          </cell>
          <cell r="K150">
            <v>50049000</v>
          </cell>
          <cell r="L150">
            <v>124</v>
          </cell>
        </row>
        <row r="151">
          <cell r="A151">
            <v>50049112</v>
          </cell>
          <cell r="B151" t="str">
            <v>PO SPHC P/O 4.5x83x1219</v>
          </cell>
          <cell r="C151">
            <v>50049112</v>
          </cell>
          <cell r="D151" t="str">
            <v>PO SPHC P/O</v>
          </cell>
          <cell r="E151" t="str">
            <v>PO</v>
          </cell>
          <cell r="F151" t="str">
            <v>SPHC P/O</v>
          </cell>
          <cell r="G151">
            <v>4.5</v>
          </cell>
          <cell r="H151">
            <v>83</v>
          </cell>
          <cell r="I151">
            <v>1219</v>
          </cell>
          <cell r="J151" t="str">
            <v>DS01/1</v>
          </cell>
          <cell r="K151">
            <v>50049112</v>
          </cell>
          <cell r="L151">
            <v>295</v>
          </cell>
          <cell r="M151" t="str">
            <v>E2-ND-06-TSA-0155</v>
          </cell>
        </row>
        <row r="152">
          <cell r="A152">
            <v>50049879</v>
          </cell>
          <cell r="C152">
            <v>50049879</v>
          </cell>
          <cell r="E152" t="str">
            <v>CR</v>
          </cell>
          <cell r="F152" t="str">
            <v>SPCEN-SD</v>
          </cell>
          <cell r="G152">
            <v>1.4</v>
          </cell>
          <cell r="H152">
            <v>215</v>
          </cell>
          <cell r="I152">
            <v>235</v>
          </cell>
          <cell r="J152" t="str">
            <v>DS01/1</v>
          </cell>
          <cell r="K152">
            <v>50049879</v>
          </cell>
          <cell r="L152">
            <v>110</v>
          </cell>
        </row>
        <row r="153">
          <cell r="A153">
            <v>50050340</v>
          </cell>
          <cell r="C153">
            <v>50050340</v>
          </cell>
          <cell r="E153" t="str">
            <v>CR</v>
          </cell>
          <cell r="F153" t="str">
            <v>SPCEN-SD</v>
          </cell>
          <cell r="G153">
            <v>0.9</v>
          </cell>
          <cell r="H153">
            <v>360</v>
          </cell>
          <cell r="I153">
            <v>550</v>
          </cell>
          <cell r="J153" t="str">
            <v>DS01/1</v>
          </cell>
          <cell r="K153">
            <v>50050340</v>
          </cell>
          <cell r="L153">
            <v>56</v>
          </cell>
        </row>
        <row r="154">
          <cell r="A154">
            <v>50050799</v>
          </cell>
          <cell r="B154" t="str">
            <v>PO SPHC P/O 6.0x96x1219</v>
          </cell>
          <cell r="C154">
            <v>50050799</v>
          </cell>
          <cell r="D154" t="str">
            <v>PO SPHC P/O</v>
          </cell>
          <cell r="E154" t="str">
            <v>PO</v>
          </cell>
          <cell r="F154" t="str">
            <v>SPHC P/O</v>
          </cell>
          <cell r="G154">
            <v>6</v>
          </cell>
          <cell r="H154">
            <v>96</v>
          </cell>
          <cell r="I154">
            <v>1219</v>
          </cell>
          <cell r="J154" t="str">
            <v>DS01/1</v>
          </cell>
          <cell r="K154">
            <v>50050799</v>
          </cell>
          <cell r="L154">
            <v>320</v>
          </cell>
          <cell r="M154" t="str">
            <v>E2-ND-06-TSA-0155</v>
          </cell>
        </row>
        <row r="155">
          <cell r="A155">
            <v>50052327</v>
          </cell>
          <cell r="C155">
            <v>50052327</v>
          </cell>
          <cell r="E155" t="str">
            <v>CR</v>
          </cell>
          <cell r="F155" t="str">
            <v>SPCC-SD</v>
          </cell>
          <cell r="G155">
            <v>2.6</v>
          </cell>
          <cell r="H155">
            <v>210</v>
          </cell>
          <cell r="I155">
            <v>1219</v>
          </cell>
          <cell r="J155" t="str">
            <v>DS01/1</v>
          </cell>
          <cell r="K155">
            <v>50052327</v>
          </cell>
          <cell r="L155">
            <v>5</v>
          </cell>
        </row>
        <row r="156">
          <cell r="A156">
            <v>50052789</v>
          </cell>
          <cell r="C156">
            <v>50052789</v>
          </cell>
          <cell r="E156" t="str">
            <v>PO</v>
          </cell>
          <cell r="F156" t="str">
            <v>SPHC P/O</v>
          </cell>
          <cell r="G156">
            <v>2</v>
          </cell>
          <cell r="H156">
            <v>174</v>
          </cell>
          <cell r="I156">
            <v>1219</v>
          </cell>
          <cell r="J156" t="str">
            <v>DS01/1</v>
          </cell>
          <cell r="K156">
            <v>50052789</v>
          </cell>
          <cell r="L156">
            <v>310</v>
          </cell>
        </row>
        <row r="157">
          <cell r="A157">
            <v>50052832</v>
          </cell>
          <cell r="C157">
            <v>50052832</v>
          </cell>
          <cell r="E157" t="str">
            <v>PO</v>
          </cell>
          <cell r="F157" t="str">
            <v>SPHC P/O</v>
          </cell>
          <cell r="G157">
            <v>4.5</v>
          </cell>
          <cell r="H157">
            <v>177</v>
          </cell>
          <cell r="I157">
            <v>1181</v>
          </cell>
          <cell r="J157" t="str">
            <v>DS01/1</v>
          </cell>
          <cell r="K157">
            <v>50052832</v>
          </cell>
          <cell r="L157">
            <v>37</v>
          </cell>
        </row>
        <row r="158">
          <cell r="A158">
            <v>50053113</v>
          </cell>
          <cell r="C158">
            <v>50053113</v>
          </cell>
          <cell r="E158" t="str">
            <v>CR</v>
          </cell>
          <cell r="F158" t="str">
            <v>SPCEN-SD</v>
          </cell>
          <cell r="G158">
            <v>1</v>
          </cell>
          <cell r="H158">
            <v>420</v>
          </cell>
          <cell r="I158">
            <v>460</v>
          </cell>
          <cell r="J158" t="str">
            <v>DS01/1</v>
          </cell>
          <cell r="K158">
            <v>50053113</v>
          </cell>
          <cell r="L158">
            <v>167</v>
          </cell>
        </row>
        <row r="159">
          <cell r="A159">
            <v>50053271</v>
          </cell>
          <cell r="C159">
            <v>50053271</v>
          </cell>
          <cell r="E159" t="str">
            <v>CR</v>
          </cell>
          <cell r="F159" t="str">
            <v>SPCC-SD</v>
          </cell>
          <cell r="G159">
            <v>1</v>
          </cell>
          <cell r="H159">
            <v>155</v>
          </cell>
          <cell r="I159">
            <v>165</v>
          </cell>
          <cell r="J159" t="str">
            <v>DS01/1</v>
          </cell>
          <cell r="K159">
            <v>50053271</v>
          </cell>
          <cell r="L159">
            <v>109</v>
          </cell>
        </row>
        <row r="160">
          <cell r="A160">
            <v>50053857</v>
          </cell>
          <cell r="C160">
            <v>50053857</v>
          </cell>
          <cell r="E160" t="str">
            <v>CR</v>
          </cell>
          <cell r="F160" t="str">
            <v>SPCC-SD</v>
          </cell>
          <cell r="G160">
            <v>2</v>
          </cell>
          <cell r="H160">
            <v>120</v>
          </cell>
          <cell r="I160">
            <v>150</v>
          </cell>
          <cell r="J160" t="str">
            <v>DS01/1</v>
          </cell>
          <cell r="K160">
            <v>50053857</v>
          </cell>
          <cell r="L160">
            <v>28</v>
          </cell>
        </row>
        <row r="161">
          <cell r="A161">
            <v>50053872</v>
          </cell>
          <cell r="C161">
            <v>50053872</v>
          </cell>
          <cell r="E161" t="str">
            <v>CR</v>
          </cell>
          <cell r="F161" t="str">
            <v>SPCC-SD</v>
          </cell>
          <cell r="G161">
            <v>1</v>
          </cell>
          <cell r="H161">
            <v>180</v>
          </cell>
          <cell r="I161">
            <v>410</v>
          </cell>
          <cell r="J161" t="str">
            <v>DS01/1</v>
          </cell>
          <cell r="K161">
            <v>50053872</v>
          </cell>
          <cell r="L161">
            <v>66</v>
          </cell>
        </row>
        <row r="162">
          <cell r="A162">
            <v>50053922</v>
          </cell>
          <cell r="C162">
            <v>50053922</v>
          </cell>
          <cell r="E162" t="str">
            <v>CR</v>
          </cell>
          <cell r="F162" t="str">
            <v>SPCC-SD</v>
          </cell>
          <cell r="G162">
            <v>1</v>
          </cell>
          <cell r="H162">
            <v>530</v>
          </cell>
          <cell r="I162">
            <v>1219</v>
          </cell>
          <cell r="J162" t="str">
            <v>DS01/1</v>
          </cell>
          <cell r="K162">
            <v>50053922</v>
          </cell>
          <cell r="L162">
            <v>78</v>
          </cell>
        </row>
        <row r="163">
          <cell r="A163">
            <v>50054074</v>
          </cell>
          <cell r="B163" t="str">
            <v>PO SPHC P/O 3.2x86x1219</v>
          </cell>
          <cell r="C163">
            <v>50054074</v>
          </cell>
          <cell r="D163" t="str">
            <v>PO SPHC P/O</v>
          </cell>
          <cell r="E163" t="str">
            <v>PO</v>
          </cell>
          <cell r="F163" t="str">
            <v>SPHC P/O</v>
          </cell>
          <cell r="G163">
            <v>3.2</v>
          </cell>
          <cell r="H163">
            <v>86</v>
          </cell>
          <cell r="I163">
            <v>1219</v>
          </cell>
          <cell r="J163" t="str">
            <v>DS01/1</v>
          </cell>
          <cell r="K163">
            <v>50054074</v>
          </cell>
          <cell r="L163">
            <v>132</v>
          </cell>
          <cell r="M163" t="str">
            <v>E2-ND-06-TSA-0154</v>
          </cell>
        </row>
        <row r="164">
          <cell r="A164">
            <v>50054116</v>
          </cell>
          <cell r="B164" t="str">
            <v>PO SPHC P/O 3.2x63x1219</v>
          </cell>
          <cell r="C164">
            <v>50054116</v>
          </cell>
          <cell r="D164" t="str">
            <v>PO SPHC P/O</v>
          </cell>
          <cell r="E164" t="str">
            <v>PO</v>
          </cell>
          <cell r="F164" t="str">
            <v>SPHC P/O</v>
          </cell>
          <cell r="G164">
            <v>3.2</v>
          </cell>
          <cell r="H164">
            <v>63</v>
          </cell>
          <cell r="I164">
            <v>1219</v>
          </cell>
          <cell r="J164" t="str">
            <v>DS01/1</v>
          </cell>
          <cell r="K164">
            <v>50054116</v>
          </cell>
          <cell r="L164">
            <v>57</v>
          </cell>
          <cell r="M164" t="str">
            <v>E2-ND-06-TSA-0155</v>
          </cell>
        </row>
        <row r="165">
          <cell r="A165">
            <v>50054238</v>
          </cell>
          <cell r="C165">
            <v>50054238</v>
          </cell>
          <cell r="E165" t="str">
            <v>CR</v>
          </cell>
          <cell r="F165" t="str">
            <v>SPCC-SD</v>
          </cell>
          <cell r="G165">
            <v>0.6</v>
          </cell>
          <cell r="H165">
            <v>260</v>
          </cell>
          <cell r="I165">
            <v>280</v>
          </cell>
          <cell r="J165" t="str">
            <v>DS01/1</v>
          </cell>
          <cell r="K165">
            <v>50054238</v>
          </cell>
          <cell r="L165">
            <v>42</v>
          </cell>
        </row>
        <row r="166">
          <cell r="A166">
            <v>50054276</v>
          </cell>
          <cell r="C166">
            <v>50054276</v>
          </cell>
          <cell r="E166" t="str">
            <v>CR</v>
          </cell>
          <cell r="F166" t="str">
            <v>SPCEN-SD</v>
          </cell>
          <cell r="G166">
            <v>1</v>
          </cell>
          <cell r="H166">
            <v>400</v>
          </cell>
          <cell r="I166">
            <v>480</v>
          </cell>
          <cell r="J166" t="str">
            <v>DS01/1</v>
          </cell>
          <cell r="K166">
            <v>50054276</v>
          </cell>
          <cell r="L166">
            <v>453</v>
          </cell>
        </row>
        <row r="167">
          <cell r="A167">
            <v>50054336</v>
          </cell>
          <cell r="C167">
            <v>50054336</v>
          </cell>
          <cell r="E167" t="str">
            <v>CR</v>
          </cell>
          <cell r="F167" t="str">
            <v>SPCC-SD</v>
          </cell>
          <cell r="G167">
            <v>2.2999999999999998</v>
          </cell>
          <cell r="H167">
            <v>94</v>
          </cell>
          <cell r="I167">
            <v>1219</v>
          </cell>
          <cell r="J167" t="str">
            <v>DS01/1</v>
          </cell>
          <cell r="K167">
            <v>50054336</v>
          </cell>
          <cell r="L167">
            <v>458</v>
          </cell>
        </row>
        <row r="168">
          <cell r="A168">
            <v>50054719</v>
          </cell>
          <cell r="C168">
            <v>50054719</v>
          </cell>
          <cell r="E168" t="str">
            <v>CR</v>
          </cell>
          <cell r="F168" t="str">
            <v>SPCC-SD</v>
          </cell>
          <cell r="G168">
            <v>1.5</v>
          </cell>
          <cell r="H168">
            <v>275</v>
          </cell>
          <cell r="I168">
            <v>718.5</v>
          </cell>
          <cell r="J168" t="str">
            <v>DS01/1</v>
          </cell>
          <cell r="K168">
            <v>50054719</v>
          </cell>
          <cell r="L168">
            <v>248</v>
          </cell>
        </row>
        <row r="169">
          <cell r="A169">
            <v>50054721</v>
          </cell>
          <cell r="C169">
            <v>50054721</v>
          </cell>
          <cell r="E169" t="str">
            <v>CR</v>
          </cell>
          <cell r="F169" t="str">
            <v>SPCC-SD</v>
          </cell>
          <cell r="G169">
            <v>1.5</v>
          </cell>
          <cell r="H169">
            <v>464.5</v>
          </cell>
          <cell r="I169">
            <v>1070</v>
          </cell>
          <cell r="J169" t="str">
            <v>DS01/1</v>
          </cell>
          <cell r="K169">
            <v>50054721</v>
          </cell>
          <cell r="L169">
            <v>586</v>
          </cell>
        </row>
        <row r="170">
          <cell r="A170">
            <v>50054722</v>
          </cell>
          <cell r="C170">
            <v>50054722</v>
          </cell>
          <cell r="E170" t="str">
            <v>CR</v>
          </cell>
          <cell r="F170" t="str">
            <v>SPCC-SD</v>
          </cell>
          <cell r="G170">
            <v>1.5</v>
          </cell>
          <cell r="H170">
            <v>464.5</v>
          </cell>
          <cell r="I170">
            <v>1070</v>
          </cell>
          <cell r="J170" t="str">
            <v>DS01/1</v>
          </cell>
          <cell r="K170">
            <v>50054722</v>
          </cell>
          <cell r="L170">
            <v>585</v>
          </cell>
        </row>
        <row r="171">
          <cell r="A171">
            <v>50054737</v>
          </cell>
          <cell r="C171">
            <v>50054737</v>
          </cell>
          <cell r="E171" t="str">
            <v>CR</v>
          </cell>
          <cell r="F171" t="str">
            <v>SPCC-SD</v>
          </cell>
          <cell r="G171">
            <v>1.5</v>
          </cell>
          <cell r="H171">
            <v>472</v>
          </cell>
          <cell r="I171">
            <v>1118.5</v>
          </cell>
          <cell r="J171" t="str">
            <v>DS01/1</v>
          </cell>
          <cell r="K171">
            <v>50054737</v>
          </cell>
          <cell r="L171">
            <v>622</v>
          </cell>
        </row>
        <row r="172">
          <cell r="A172">
            <v>50054738</v>
          </cell>
          <cell r="C172">
            <v>50054738</v>
          </cell>
          <cell r="E172" t="str">
            <v>CR</v>
          </cell>
          <cell r="F172" t="str">
            <v>SPCC-SD</v>
          </cell>
          <cell r="G172">
            <v>1.5</v>
          </cell>
          <cell r="H172">
            <v>472</v>
          </cell>
          <cell r="I172">
            <v>1118.5</v>
          </cell>
          <cell r="J172" t="str">
            <v>DS01/1</v>
          </cell>
          <cell r="K172">
            <v>50054738</v>
          </cell>
          <cell r="L172">
            <v>622</v>
          </cell>
        </row>
        <row r="173">
          <cell r="A173">
            <v>50054739</v>
          </cell>
          <cell r="C173">
            <v>50054739</v>
          </cell>
          <cell r="E173" t="str">
            <v>CR</v>
          </cell>
          <cell r="F173" t="str">
            <v>SPCC-SD</v>
          </cell>
          <cell r="G173">
            <v>1.5</v>
          </cell>
          <cell r="H173">
            <v>1025</v>
          </cell>
          <cell r="I173">
            <v>472</v>
          </cell>
          <cell r="J173" t="str">
            <v>DS01/1</v>
          </cell>
          <cell r="K173">
            <v>50054739</v>
          </cell>
          <cell r="L173">
            <v>114</v>
          </cell>
        </row>
        <row r="174">
          <cell r="A174">
            <v>50054752</v>
          </cell>
          <cell r="C174">
            <v>50054752</v>
          </cell>
          <cell r="E174" t="str">
            <v>CR</v>
          </cell>
          <cell r="F174" t="str">
            <v>SPCC-SD</v>
          </cell>
          <cell r="G174">
            <v>1</v>
          </cell>
          <cell r="H174">
            <v>139</v>
          </cell>
          <cell r="I174">
            <v>822</v>
          </cell>
          <cell r="J174" t="str">
            <v>DS01/1</v>
          </cell>
          <cell r="K174">
            <v>50054752</v>
          </cell>
          <cell r="L174">
            <v>258</v>
          </cell>
        </row>
        <row r="175">
          <cell r="A175">
            <v>50054794</v>
          </cell>
          <cell r="C175">
            <v>50054794</v>
          </cell>
          <cell r="E175" t="str">
            <v>CR</v>
          </cell>
          <cell r="F175" t="str">
            <v>SPCC-SD</v>
          </cell>
          <cell r="G175">
            <v>1</v>
          </cell>
          <cell r="H175">
            <v>295</v>
          </cell>
          <cell r="I175">
            <v>1666.5</v>
          </cell>
          <cell r="J175" t="str">
            <v>DS01/1</v>
          </cell>
          <cell r="K175">
            <v>50054794</v>
          </cell>
          <cell r="L175">
            <v>75</v>
          </cell>
        </row>
        <row r="176">
          <cell r="A176">
            <v>50055054</v>
          </cell>
          <cell r="C176">
            <v>50055054</v>
          </cell>
          <cell r="E176" t="str">
            <v>CR</v>
          </cell>
          <cell r="F176" t="str">
            <v>SPCEN-SD</v>
          </cell>
          <cell r="G176">
            <v>0.9</v>
          </cell>
          <cell r="H176">
            <v>360</v>
          </cell>
          <cell r="I176">
            <v>550</v>
          </cell>
          <cell r="J176" t="str">
            <v>DS01/1</v>
          </cell>
          <cell r="K176">
            <v>50055054</v>
          </cell>
          <cell r="L176">
            <v>105</v>
          </cell>
        </row>
        <row r="177">
          <cell r="A177">
            <v>50055056</v>
          </cell>
          <cell r="B177" t="str">
            <v>PO SPHC P/O 1.6x41x1219</v>
          </cell>
          <cell r="C177">
            <v>50055056</v>
          </cell>
          <cell r="D177" t="str">
            <v>PO SPHC P/O</v>
          </cell>
          <cell r="E177" t="str">
            <v>PO</v>
          </cell>
          <cell r="F177" t="str">
            <v>SPHC P/O</v>
          </cell>
          <cell r="G177">
            <v>1.6</v>
          </cell>
          <cell r="H177">
            <v>41</v>
          </cell>
          <cell r="I177">
            <v>1219</v>
          </cell>
          <cell r="J177" t="str">
            <v>DS01/1</v>
          </cell>
          <cell r="K177">
            <v>50055056</v>
          </cell>
          <cell r="L177">
            <v>126</v>
          </cell>
          <cell r="M177" t="str">
            <v>E2-ND-06-TSA-0153</v>
          </cell>
        </row>
        <row r="178">
          <cell r="A178">
            <v>50055063</v>
          </cell>
          <cell r="C178">
            <v>50055063</v>
          </cell>
          <cell r="E178" t="str">
            <v>CR</v>
          </cell>
          <cell r="F178" t="str">
            <v>SPCEN-SD</v>
          </cell>
          <cell r="G178">
            <v>0.8</v>
          </cell>
          <cell r="H178">
            <v>330</v>
          </cell>
          <cell r="I178">
            <v>375</v>
          </cell>
          <cell r="J178" t="str">
            <v>DS01/1</v>
          </cell>
          <cell r="K178">
            <v>50055063</v>
          </cell>
          <cell r="L178">
            <v>16</v>
          </cell>
        </row>
        <row r="179">
          <cell r="A179">
            <v>50055265</v>
          </cell>
          <cell r="B179" t="str">
            <v>CR SPCC-SD 1.2x66x1219</v>
          </cell>
          <cell r="C179">
            <v>50055265</v>
          </cell>
          <cell r="D179" t="str">
            <v>CR SPCC-SD</v>
          </cell>
          <cell r="E179" t="str">
            <v>CR</v>
          </cell>
          <cell r="F179" t="str">
            <v>SPCC-SD</v>
          </cell>
          <cell r="G179">
            <v>1.2</v>
          </cell>
          <cell r="H179">
            <v>66</v>
          </cell>
          <cell r="I179">
            <v>1219</v>
          </cell>
          <cell r="J179" t="str">
            <v>DS01/1</v>
          </cell>
          <cell r="K179">
            <v>50055265</v>
          </cell>
          <cell r="L179">
            <v>15</v>
          </cell>
          <cell r="M179" t="str">
            <v>E1-ND-06-TSA-0362</v>
          </cell>
        </row>
        <row r="180">
          <cell r="A180">
            <v>50055352</v>
          </cell>
          <cell r="C180">
            <v>50055352</v>
          </cell>
          <cell r="E180" t="str">
            <v>CR</v>
          </cell>
          <cell r="F180" t="str">
            <v>SPCC-SD</v>
          </cell>
          <cell r="G180">
            <v>1.4</v>
          </cell>
          <cell r="H180">
            <v>317</v>
          </cell>
          <cell r="I180">
            <v>1150</v>
          </cell>
          <cell r="J180" t="str">
            <v>DS01/1</v>
          </cell>
          <cell r="K180">
            <v>50055352</v>
          </cell>
          <cell r="L180">
            <v>365</v>
          </cell>
        </row>
        <row r="181">
          <cell r="A181">
            <v>50055376</v>
          </cell>
          <cell r="C181">
            <v>50055376</v>
          </cell>
          <cell r="E181" t="str">
            <v>CR</v>
          </cell>
          <cell r="F181" t="str">
            <v>SPCC-SD</v>
          </cell>
          <cell r="G181">
            <v>1.5</v>
          </cell>
          <cell r="H181">
            <v>464.5</v>
          </cell>
          <cell r="I181">
            <v>1070</v>
          </cell>
          <cell r="J181" t="str">
            <v>DS01/1</v>
          </cell>
          <cell r="K181">
            <v>50055376</v>
          </cell>
          <cell r="L181">
            <v>415</v>
          </cell>
        </row>
        <row r="182">
          <cell r="A182">
            <v>50055939</v>
          </cell>
          <cell r="C182">
            <v>50055939</v>
          </cell>
          <cell r="E182" t="str">
            <v>CR</v>
          </cell>
          <cell r="F182" t="str">
            <v>SPCC-SD</v>
          </cell>
          <cell r="G182">
            <v>2</v>
          </cell>
          <cell r="H182">
            <v>80</v>
          </cell>
          <cell r="I182">
            <v>1219</v>
          </cell>
          <cell r="J182" t="str">
            <v>DS01/1</v>
          </cell>
          <cell r="K182">
            <v>50055939</v>
          </cell>
          <cell r="L182">
            <v>72</v>
          </cell>
        </row>
        <row r="183">
          <cell r="A183">
            <v>50056038</v>
          </cell>
          <cell r="C183">
            <v>50056038</v>
          </cell>
          <cell r="E183" t="str">
            <v>CR</v>
          </cell>
          <cell r="F183" t="str">
            <v>SPCC-SD</v>
          </cell>
          <cell r="G183">
            <v>0.7</v>
          </cell>
          <cell r="H183">
            <v>420</v>
          </cell>
          <cell r="I183">
            <v>524.5</v>
          </cell>
          <cell r="J183" t="str">
            <v>DS01/1</v>
          </cell>
          <cell r="K183">
            <v>50056038</v>
          </cell>
          <cell r="L183">
            <v>451</v>
          </cell>
        </row>
        <row r="184">
          <cell r="A184">
            <v>50056252</v>
          </cell>
          <cell r="C184">
            <v>50056252</v>
          </cell>
          <cell r="E184" t="str">
            <v>CR</v>
          </cell>
          <cell r="F184" t="str">
            <v>SPCC-SD</v>
          </cell>
          <cell r="G184">
            <v>0.7</v>
          </cell>
          <cell r="H184">
            <v>650</v>
          </cell>
          <cell r="I184">
            <v>1540</v>
          </cell>
          <cell r="J184" t="str">
            <v>DS01/1</v>
          </cell>
          <cell r="K184">
            <v>50056252</v>
          </cell>
          <cell r="L184">
            <v>198</v>
          </cell>
        </row>
        <row r="185">
          <cell r="A185">
            <v>50056309</v>
          </cell>
          <cell r="C185">
            <v>50056309</v>
          </cell>
          <cell r="E185" t="str">
            <v>CR</v>
          </cell>
          <cell r="F185" t="str">
            <v>SPCC-SD</v>
          </cell>
          <cell r="G185">
            <v>0.7</v>
          </cell>
          <cell r="H185">
            <v>620</v>
          </cell>
          <cell r="I185">
            <v>1530</v>
          </cell>
          <cell r="J185" t="str">
            <v>DS01/1</v>
          </cell>
          <cell r="K185">
            <v>50056309</v>
          </cell>
          <cell r="L185">
            <v>121</v>
          </cell>
        </row>
        <row r="186">
          <cell r="A186">
            <v>50056428</v>
          </cell>
          <cell r="C186">
            <v>50056428</v>
          </cell>
          <cell r="E186" t="str">
            <v>PO</v>
          </cell>
          <cell r="F186" t="str">
            <v>SPHC P/O</v>
          </cell>
          <cell r="G186">
            <v>3.2</v>
          </cell>
          <cell r="H186">
            <v>190</v>
          </cell>
          <cell r="I186">
            <v>1219</v>
          </cell>
          <cell r="J186" t="str">
            <v>DS01/1</v>
          </cell>
          <cell r="K186">
            <v>50056428</v>
          </cell>
          <cell r="L186">
            <v>146</v>
          </cell>
        </row>
        <row r="187">
          <cell r="A187">
            <v>50056892</v>
          </cell>
          <cell r="C187">
            <v>50056892</v>
          </cell>
          <cell r="E187" t="str">
            <v>CR</v>
          </cell>
          <cell r="F187" t="str">
            <v>SPCC-SD</v>
          </cell>
          <cell r="G187">
            <v>1</v>
          </cell>
          <cell r="H187">
            <v>640</v>
          </cell>
          <cell r="I187">
            <v>692.5</v>
          </cell>
          <cell r="J187" t="str">
            <v>DS01/1</v>
          </cell>
          <cell r="K187">
            <v>50056892</v>
          </cell>
          <cell r="L187">
            <v>59</v>
          </cell>
        </row>
        <row r="188">
          <cell r="A188">
            <v>50057071</v>
          </cell>
          <cell r="C188">
            <v>50057071</v>
          </cell>
          <cell r="E188" t="str">
            <v>CR</v>
          </cell>
          <cell r="F188" t="str">
            <v>SPCEN-SD</v>
          </cell>
          <cell r="G188">
            <v>0.8</v>
          </cell>
          <cell r="H188">
            <v>375</v>
          </cell>
          <cell r="I188">
            <v>400</v>
          </cell>
          <cell r="J188" t="str">
            <v>DS01/1</v>
          </cell>
          <cell r="K188">
            <v>50057071</v>
          </cell>
          <cell r="L188">
            <v>81</v>
          </cell>
        </row>
        <row r="189">
          <cell r="A189">
            <v>50057168</v>
          </cell>
          <cell r="C189">
            <v>50057168</v>
          </cell>
          <cell r="E189" t="str">
            <v>CR</v>
          </cell>
          <cell r="F189" t="str">
            <v>SPCC-SD</v>
          </cell>
          <cell r="G189">
            <v>0.8</v>
          </cell>
          <cell r="H189">
            <v>98</v>
          </cell>
          <cell r="I189">
            <v>897</v>
          </cell>
          <cell r="J189" t="str">
            <v>DS01/1</v>
          </cell>
          <cell r="K189">
            <v>50057168</v>
          </cell>
          <cell r="L189">
            <v>429</v>
          </cell>
        </row>
        <row r="190">
          <cell r="A190">
            <v>50057449</v>
          </cell>
          <cell r="C190">
            <v>50057449</v>
          </cell>
          <cell r="E190" t="str">
            <v>CR</v>
          </cell>
          <cell r="F190" t="str">
            <v>SPCEN-SD</v>
          </cell>
          <cell r="G190">
            <v>0.9</v>
          </cell>
          <cell r="H190">
            <v>110</v>
          </cell>
          <cell r="I190">
            <v>220</v>
          </cell>
          <cell r="J190" t="str">
            <v>DS01/1</v>
          </cell>
          <cell r="K190">
            <v>50057449</v>
          </cell>
          <cell r="L190">
            <v>65</v>
          </cell>
        </row>
        <row r="191">
          <cell r="A191">
            <v>50057459</v>
          </cell>
          <cell r="B191" t="str">
            <v>PO SS400 P/O 4.5x50x1219</v>
          </cell>
          <cell r="C191">
            <v>50057459</v>
          </cell>
          <cell r="D191" t="str">
            <v>PO SPHC P/O</v>
          </cell>
          <cell r="E191" t="str">
            <v>PO</v>
          </cell>
          <cell r="F191" t="str">
            <v>SS400 P/O</v>
          </cell>
          <cell r="G191">
            <v>4.5</v>
          </cell>
          <cell r="H191">
            <v>50</v>
          </cell>
          <cell r="I191">
            <v>1219</v>
          </cell>
          <cell r="J191" t="str">
            <v>DS01/1</v>
          </cell>
          <cell r="K191">
            <v>50057459</v>
          </cell>
          <cell r="L191">
            <v>43</v>
          </cell>
          <cell r="M191" t="str">
            <v>E2-ND-06-TSA-0155</v>
          </cell>
        </row>
        <row r="192">
          <cell r="A192">
            <v>50057915</v>
          </cell>
          <cell r="B192" t="str">
            <v>CR SPCC-SD 1.6x87x1219</v>
          </cell>
          <cell r="C192">
            <v>50057915</v>
          </cell>
          <cell r="D192" t="str">
            <v>CR SPCC-SD</v>
          </cell>
          <cell r="E192" t="str">
            <v>CR</v>
          </cell>
          <cell r="F192" t="str">
            <v>SPCC-SD</v>
          </cell>
          <cell r="G192">
            <v>1.6</v>
          </cell>
          <cell r="H192">
            <v>87</v>
          </cell>
          <cell r="I192">
            <v>1219</v>
          </cell>
          <cell r="J192" t="str">
            <v>DS01/1</v>
          </cell>
          <cell r="K192">
            <v>50057915</v>
          </cell>
          <cell r="L192">
            <v>30</v>
          </cell>
          <cell r="M192" t="str">
            <v>E2-ND-06-TSA-0151</v>
          </cell>
        </row>
        <row r="193">
          <cell r="A193">
            <v>50058079</v>
          </cell>
          <cell r="C193">
            <v>50058079</v>
          </cell>
          <cell r="E193" t="str">
            <v>CR</v>
          </cell>
          <cell r="F193" t="str">
            <v>SPCC-SD</v>
          </cell>
          <cell r="G193">
            <v>0.7</v>
          </cell>
          <cell r="H193">
            <v>629</v>
          </cell>
          <cell r="I193">
            <v>976</v>
          </cell>
          <cell r="J193" t="str">
            <v>DS01/1</v>
          </cell>
          <cell r="K193">
            <v>50058079</v>
          </cell>
          <cell r="L193">
            <v>455</v>
          </cell>
        </row>
        <row r="194">
          <cell r="A194">
            <v>50058324</v>
          </cell>
          <cell r="C194">
            <v>50058324</v>
          </cell>
          <cell r="E194" t="str">
            <v>CR</v>
          </cell>
          <cell r="F194" t="str">
            <v>SPCC-SD</v>
          </cell>
          <cell r="G194">
            <v>0.7</v>
          </cell>
          <cell r="H194">
            <v>155</v>
          </cell>
          <cell r="I194">
            <v>899</v>
          </cell>
          <cell r="J194" t="str">
            <v>DS01/1</v>
          </cell>
          <cell r="K194">
            <v>50058324</v>
          </cell>
          <cell r="L194">
            <v>117</v>
          </cell>
        </row>
        <row r="195">
          <cell r="A195">
            <v>50058384</v>
          </cell>
          <cell r="C195">
            <v>50058384</v>
          </cell>
          <cell r="E195" t="str">
            <v>CR</v>
          </cell>
          <cell r="F195" t="str">
            <v>SPCC-SD</v>
          </cell>
          <cell r="G195">
            <v>2.2999999999999998</v>
          </cell>
          <cell r="H195">
            <v>280</v>
          </cell>
          <cell r="I195">
            <v>280</v>
          </cell>
          <cell r="J195" t="str">
            <v>DS01/1</v>
          </cell>
          <cell r="K195">
            <v>50058384</v>
          </cell>
          <cell r="L195">
            <v>226</v>
          </cell>
        </row>
        <row r="196">
          <cell r="A196">
            <v>50058530</v>
          </cell>
          <cell r="C196">
            <v>50058530</v>
          </cell>
          <cell r="E196" t="str">
            <v>CR</v>
          </cell>
          <cell r="F196" t="str">
            <v>SPCC-SD</v>
          </cell>
          <cell r="G196">
            <v>0.7</v>
          </cell>
          <cell r="H196">
            <v>413</v>
          </cell>
          <cell r="I196">
            <v>676</v>
          </cell>
          <cell r="J196" t="str">
            <v>DS01/1</v>
          </cell>
          <cell r="K196">
            <v>50058530</v>
          </cell>
          <cell r="L196">
            <v>196</v>
          </cell>
        </row>
        <row r="197">
          <cell r="A197">
            <v>50058547</v>
          </cell>
          <cell r="C197">
            <v>50058547</v>
          </cell>
          <cell r="E197" t="str">
            <v>CR</v>
          </cell>
          <cell r="F197" t="str">
            <v>SPCC-SD</v>
          </cell>
          <cell r="G197">
            <v>1</v>
          </cell>
          <cell r="H197">
            <v>308</v>
          </cell>
          <cell r="I197">
            <v>1366.5</v>
          </cell>
          <cell r="J197" t="str">
            <v>DS01/1</v>
          </cell>
          <cell r="K197">
            <v>50058547</v>
          </cell>
          <cell r="L197">
            <v>62</v>
          </cell>
        </row>
        <row r="198">
          <cell r="A198">
            <v>50058656</v>
          </cell>
          <cell r="C198">
            <v>50058656</v>
          </cell>
          <cell r="E198" t="str">
            <v>CR</v>
          </cell>
          <cell r="F198" t="str">
            <v>SPCEN-SD</v>
          </cell>
          <cell r="G198">
            <v>0.8</v>
          </cell>
          <cell r="H198">
            <v>770</v>
          </cell>
          <cell r="I198">
            <v>1260</v>
          </cell>
          <cell r="J198" t="str">
            <v>DS01/1</v>
          </cell>
          <cell r="K198">
            <v>50058656</v>
          </cell>
          <cell r="L198">
            <v>250</v>
          </cell>
        </row>
        <row r="199">
          <cell r="A199">
            <v>50058784</v>
          </cell>
          <cell r="B199" t="str">
            <v>PO SS400 P/O 4.5x50x1219</v>
          </cell>
          <cell r="C199">
            <v>50058784</v>
          </cell>
          <cell r="D199" t="str">
            <v>PO SPHC P/O</v>
          </cell>
          <cell r="E199" t="str">
            <v>PO</v>
          </cell>
          <cell r="F199" t="str">
            <v>SS400 P/O</v>
          </cell>
          <cell r="G199">
            <v>4.5</v>
          </cell>
          <cell r="H199">
            <v>50</v>
          </cell>
          <cell r="I199">
            <v>1219</v>
          </cell>
          <cell r="J199" t="str">
            <v>DS01/1</v>
          </cell>
          <cell r="K199">
            <v>50058784</v>
          </cell>
          <cell r="L199">
            <v>43</v>
          </cell>
          <cell r="M199" t="str">
            <v>E2-ND-06-TSA-0155</v>
          </cell>
        </row>
        <row r="200">
          <cell r="A200">
            <v>50058785</v>
          </cell>
          <cell r="B200" t="str">
            <v>PO SS400 P/O 4.5x50x1219</v>
          </cell>
          <cell r="C200">
            <v>50058785</v>
          </cell>
          <cell r="D200" t="str">
            <v>PO SPHC P/O</v>
          </cell>
          <cell r="E200" t="str">
            <v>PO</v>
          </cell>
          <cell r="F200" t="str">
            <v>SS400 P/O</v>
          </cell>
          <cell r="G200">
            <v>4.5</v>
          </cell>
          <cell r="H200">
            <v>50</v>
          </cell>
          <cell r="I200">
            <v>1219</v>
          </cell>
          <cell r="J200" t="str">
            <v>DS01/1</v>
          </cell>
          <cell r="K200">
            <v>50058785</v>
          </cell>
          <cell r="L200">
            <v>215</v>
          </cell>
          <cell r="M200" t="str">
            <v>E2-ND-06-TSA-0155</v>
          </cell>
        </row>
        <row r="201">
          <cell r="A201">
            <v>50058941</v>
          </cell>
          <cell r="C201">
            <v>50058941</v>
          </cell>
          <cell r="E201" t="str">
            <v>CR</v>
          </cell>
          <cell r="F201" t="str">
            <v>SPCC-SD</v>
          </cell>
          <cell r="G201">
            <v>2.6</v>
          </cell>
          <cell r="H201">
            <v>220</v>
          </cell>
          <cell r="I201">
            <v>1219</v>
          </cell>
          <cell r="J201" t="str">
            <v>DS01/1</v>
          </cell>
          <cell r="K201">
            <v>50058941</v>
          </cell>
          <cell r="L201">
            <v>11</v>
          </cell>
        </row>
        <row r="202">
          <cell r="A202">
            <v>50059226</v>
          </cell>
          <cell r="C202">
            <v>50059226</v>
          </cell>
          <cell r="E202" t="str">
            <v>CR</v>
          </cell>
          <cell r="F202" t="str">
            <v>SPCC-SD</v>
          </cell>
          <cell r="G202">
            <v>0.8</v>
          </cell>
          <cell r="H202">
            <v>350</v>
          </cell>
          <cell r="I202">
            <v>620</v>
          </cell>
          <cell r="J202" t="str">
            <v>DS01/1</v>
          </cell>
          <cell r="K202">
            <v>50059226</v>
          </cell>
          <cell r="L202">
            <v>67</v>
          </cell>
        </row>
        <row r="203">
          <cell r="A203">
            <v>50059757</v>
          </cell>
          <cell r="B203" t="str">
            <v>PO SPHC P/O 2.6x70x1219</v>
          </cell>
          <cell r="C203">
            <v>50059757</v>
          </cell>
          <cell r="D203" t="str">
            <v>PO SPHC P/O</v>
          </cell>
          <cell r="E203" t="str">
            <v>PO</v>
          </cell>
          <cell r="F203" t="str">
            <v>SPHC P/O</v>
          </cell>
          <cell r="G203">
            <v>2.6</v>
          </cell>
          <cell r="H203">
            <v>70</v>
          </cell>
          <cell r="I203">
            <v>1219</v>
          </cell>
          <cell r="J203" t="str">
            <v>DS01/1</v>
          </cell>
          <cell r="K203">
            <v>50059757</v>
          </cell>
          <cell r="L203">
            <v>35</v>
          </cell>
          <cell r="M203" t="str">
            <v>E2-ND-06-TSA-0155</v>
          </cell>
        </row>
        <row r="204">
          <cell r="A204">
            <v>50060040</v>
          </cell>
          <cell r="C204">
            <v>50060040</v>
          </cell>
          <cell r="E204" t="str">
            <v>CR</v>
          </cell>
          <cell r="F204" t="str">
            <v>SPCC-SD</v>
          </cell>
          <cell r="G204">
            <v>2</v>
          </cell>
          <cell r="H204">
            <v>813</v>
          </cell>
          <cell r="I204">
            <v>1070</v>
          </cell>
          <cell r="J204" t="str">
            <v>DS01/1</v>
          </cell>
          <cell r="K204">
            <v>50060040</v>
          </cell>
          <cell r="L204">
            <v>110</v>
          </cell>
        </row>
        <row r="205">
          <cell r="A205">
            <v>50060643</v>
          </cell>
          <cell r="C205">
            <v>50060643</v>
          </cell>
          <cell r="E205" t="str">
            <v>CR</v>
          </cell>
          <cell r="F205" t="str">
            <v>SPCC-SD</v>
          </cell>
          <cell r="G205">
            <v>3.2</v>
          </cell>
          <cell r="H205">
            <v>155</v>
          </cell>
          <cell r="I205">
            <v>1219</v>
          </cell>
          <cell r="J205" t="str">
            <v>DS01/1</v>
          </cell>
          <cell r="K205">
            <v>50060643</v>
          </cell>
          <cell r="L205">
            <v>10</v>
          </cell>
        </row>
        <row r="206">
          <cell r="A206">
            <v>50060845</v>
          </cell>
          <cell r="B206" t="str">
            <v>PO SPHC P/O 1.6x160x1159</v>
          </cell>
          <cell r="C206">
            <v>50060845</v>
          </cell>
          <cell r="D206" t="str">
            <v>PO SPHC P/O</v>
          </cell>
          <cell r="E206" t="str">
            <v>PO</v>
          </cell>
          <cell r="F206" t="str">
            <v>SPHC P/O</v>
          </cell>
          <cell r="G206">
            <v>1.6</v>
          </cell>
          <cell r="H206">
            <v>160</v>
          </cell>
          <cell r="I206">
            <v>1159</v>
          </cell>
          <cell r="J206" t="str">
            <v>CF01/2</v>
          </cell>
          <cell r="K206">
            <v>50060845</v>
          </cell>
          <cell r="L206">
            <v>90</v>
          </cell>
          <cell r="M206" t="str">
            <v>E2-ND-06-TSA-0154</v>
          </cell>
        </row>
        <row r="207">
          <cell r="A207">
            <v>50062012</v>
          </cell>
          <cell r="C207">
            <v>50062012</v>
          </cell>
          <cell r="E207" t="str">
            <v>PO</v>
          </cell>
          <cell r="F207" t="str">
            <v>SPHC P/O</v>
          </cell>
          <cell r="G207">
            <v>4.5</v>
          </cell>
          <cell r="H207">
            <v>140</v>
          </cell>
          <cell r="I207">
            <v>1219</v>
          </cell>
          <cell r="J207" t="str">
            <v>DS01/1</v>
          </cell>
          <cell r="K207">
            <v>50062012</v>
          </cell>
          <cell r="L207">
            <v>30</v>
          </cell>
        </row>
        <row r="208">
          <cell r="A208">
            <v>50062072</v>
          </cell>
          <cell r="C208">
            <v>50062072</v>
          </cell>
          <cell r="E208" t="str">
            <v>CR</v>
          </cell>
          <cell r="F208" t="str">
            <v>SPCC-SD</v>
          </cell>
          <cell r="G208">
            <v>0.8</v>
          </cell>
          <cell r="H208">
            <v>210</v>
          </cell>
          <cell r="I208">
            <v>1750</v>
          </cell>
          <cell r="J208" t="str">
            <v>DS01/1</v>
          </cell>
          <cell r="K208">
            <v>50062072</v>
          </cell>
          <cell r="L208">
            <v>66</v>
          </cell>
        </row>
        <row r="209">
          <cell r="A209">
            <v>50062287</v>
          </cell>
          <cell r="C209">
            <v>50062287</v>
          </cell>
          <cell r="E209" t="str">
            <v>CR</v>
          </cell>
          <cell r="F209" t="str">
            <v>SPCC-SD</v>
          </cell>
          <cell r="G209">
            <v>0.8</v>
          </cell>
          <cell r="H209">
            <v>210</v>
          </cell>
          <cell r="I209">
            <v>1750</v>
          </cell>
          <cell r="J209" t="str">
            <v>DS01/1</v>
          </cell>
          <cell r="K209">
            <v>50062287</v>
          </cell>
          <cell r="L209">
            <v>254</v>
          </cell>
        </row>
        <row r="210">
          <cell r="A210">
            <v>50062290</v>
          </cell>
          <cell r="B210" t="str">
            <v>PO SPHC P/O 3.2x57x1219</v>
          </cell>
          <cell r="C210">
            <v>50062290</v>
          </cell>
          <cell r="D210" t="str">
            <v>PO SPHC P/O</v>
          </cell>
          <cell r="E210" t="str">
            <v>PO</v>
          </cell>
          <cell r="F210" t="str">
            <v>SPHC P/O</v>
          </cell>
          <cell r="G210">
            <v>3.2</v>
          </cell>
          <cell r="H210">
            <v>57</v>
          </cell>
          <cell r="I210">
            <v>1219</v>
          </cell>
          <cell r="J210" t="str">
            <v>CF01/2</v>
          </cell>
          <cell r="K210">
            <v>50062290</v>
          </cell>
          <cell r="L210">
            <v>18</v>
          </cell>
          <cell r="M210" t="str">
            <v>E2-ND-06-TSA-0155</v>
          </cell>
        </row>
        <row r="211">
          <cell r="A211">
            <v>50062976</v>
          </cell>
          <cell r="C211">
            <v>50062976</v>
          </cell>
          <cell r="E211" t="str">
            <v>CR</v>
          </cell>
          <cell r="F211" t="str">
            <v>SPCC-SD</v>
          </cell>
          <cell r="G211">
            <v>1</v>
          </cell>
          <cell r="H211">
            <v>155</v>
          </cell>
          <cell r="I211">
            <v>1219</v>
          </cell>
          <cell r="J211" t="str">
            <v>DS01/1</v>
          </cell>
          <cell r="K211">
            <v>50062976</v>
          </cell>
          <cell r="L211">
            <v>6</v>
          </cell>
        </row>
        <row r="212">
          <cell r="A212">
            <v>50063507</v>
          </cell>
          <cell r="B212" t="str">
            <v>PO SPHC P/O 2.0x80x1219</v>
          </cell>
          <cell r="C212">
            <v>50063507</v>
          </cell>
          <cell r="D212" t="str">
            <v>PO SPHC P/O</v>
          </cell>
          <cell r="E212" t="str">
            <v>PO</v>
          </cell>
          <cell r="F212" t="str">
            <v>SPHC P/O</v>
          </cell>
          <cell r="G212">
            <v>2</v>
          </cell>
          <cell r="H212">
            <v>80</v>
          </cell>
          <cell r="I212">
            <v>1219</v>
          </cell>
          <cell r="J212" t="str">
            <v>CF01/2</v>
          </cell>
          <cell r="K212">
            <v>50063507</v>
          </cell>
          <cell r="L212">
            <v>474</v>
          </cell>
          <cell r="M212" t="str">
            <v>E2-ND-06-TSA-0154</v>
          </cell>
        </row>
        <row r="213">
          <cell r="A213">
            <v>50063771</v>
          </cell>
          <cell r="C213">
            <v>50063771</v>
          </cell>
          <cell r="E213" t="str">
            <v>CR</v>
          </cell>
          <cell r="F213" t="str">
            <v>SPCEN-SD</v>
          </cell>
          <cell r="G213">
            <v>1</v>
          </cell>
          <cell r="H213">
            <v>521</v>
          </cell>
          <cell r="I213">
            <v>533</v>
          </cell>
          <cell r="J213" t="str">
            <v>DS01/1</v>
          </cell>
          <cell r="K213">
            <v>50063771</v>
          </cell>
          <cell r="L213">
            <v>479</v>
          </cell>
        </row>
        <row r="214">
          <cell r="A214">
            <v>50064510</v>
          </cell>
          <cell r="C214">
            <v>50064510</v>
          </cell>
          <cell r="E214" t="str">
            <v>PO</v>
          </cell>
          <cell r="F214" t="str">
            <v>SPHC P/O</v>
          </cell>
          <cell r="G214">
            <v>4.5</v>
          </cell>
          <cell r="H214">
            <v>83</v>
          </cell>
          <cell r="I214">
            <v>1219</v>
          </cell>
          <cell r="J214" t="str">
            <v>CF01/2</v>
          </cell>
          <cell r="K214">
            <v>50064510</v>
          </cell>
          <cell r="L214">
            <v>96</v>
          </cell>
        </row>
        <row r="215">
          <cell r="A215">
            <v>50064628</v>
          </cell>
          <cell r="C215">
            <v>50064628</v>
          </cell>
          <cell r="E215" t="str">
            <v>CR</v>
          </cell>
          <cell r="F215" t="str">
            <v>SPCC-SD</v>
          </cell>
          <cell r="G215">
            <v>2.6</v>
          </cell>
          <cell r="H215">
            <v>134</v>
          </cell>
          <cell r="I215">
            <v>1219</v>
          </cell>
          <cell r="J215" t="str">
            <v>DS01/1</v>
          </cell>
          <cell r="K215">
            <v>50064628</v>
          </cell>
          <cell r="L215">
            <v>36</v>
          </cell>
        </row>
        <row r="216">
          <cell r="A216">
            <v>50065646</v>
          </cell>
          <cell r="C216">
            <v>50065646</v>
          </cell>
          <cell r="E216" t="str">
            <v>CR</v>
          </cell>
          <cell r="F216" t="str">
            <v>SPCC-SD</v>
          </cell>
          <cell r="G216">
            <v>1.2</v>
          </cell>
          <cell r="H216">
            <v>86</v>
          </cell>
          <cell r="I216">
            <v>1219</v>
          </cell>
          <cell r="J216" t="str">
            <v>DS01/1</v>
          </cell>
          <cell r="K216">
            <v>50065646</v>
          </cell>
          <cell r="L216">
            <v>99</v>
          </cell>
        </row>
        <row r="217">
          <cell r="A217">
            <v>50065697</v>
          </cell>
          <cell r="C217">
            <v>50065697</v>
          </cell>
          <cell r="E217" t="str">
            <v>PO</v>
          </cell>
          <cell r="F217" t="str">
            <v>SPHC P/O</v>
          </cell>
          <cell r="G217">
            <v>3.2</v>
          </cell>
          <cell r="H217">
            <v>106</v>
          </cell>
          <cell r="I217">
            <v>1219</v>
          </cell>
          <cell r="J217" t="str">
            <v>DS01/1</v>
          </cell>
          <cell r="K217">
            <v>50065697</v>
          </cell>
          <cell r="L217">
            <v>970</v>
          </cell>
        </row>
        <row r="218">
          <cell r="A218">
            <v>50065698</v>
          </cell>
          <cell r="C218">
            <v>50065698</v>
          </cell>
          <cell r="E218" t="str">
            <v>PO</v>
          </cell>
          <cell r="F218" t="str">
            <v>SPHC P/O</v>
          </cell>
          <cell r="G218">
            <v>3.2</v>
          </cell>
          <cell r="H218">
            <v>106</v>
          </cell>
          <cell r="I218">
            <v>1219</v>
          </cell>
          <cell r="J218" t="str">
            <v>DS01/1</v>
          </cell>
          <cell r="K218">
            <v>50065698</v>
          </cell>
          <cell r="L218">
            <v>970</v>
          </cell>
        </row>
        <row r="219">
          <cell r="A219">
            <v>50066050</v>
          </cell>
          <cell r="C219">
            <v>50066050</v>
          </cell>
          <cell r="E219" t="str">
            <v>CR</v>
          </cell>
          <cell r="F219" t="str">
            <v>SPCC-SD</v>
          </cell>
          <cell r="G219">
            <v>2.2999999999999998</v>
          </cell>
          <cell r="H219">
            <v>509</v>
          </cell>
          <cell r="I219">
            <v>710</v>
          </cell>
          <cell r="J219" t="str">
            <v>DS01/1</v>
          </cell>
          <cell r="K219">
            <v>50066050</v>
          </cell>
          <cell r="L219">
            <v>78</v>
          </cell>
        </row>
        <row r="220">
          <cell r="A220">
            <v>50066192</v>
          </cell>
          <cell r="C220">
            <v>50066192</v>
          </cell>
          <cell r="E220" t="str">
            <v>CR</v>
          </cell>
          <cell r="F220" t="str">
            <v>SPCC-SD</v>
          </cell>
          <cell r="G220">
            <v>2.2999999999999998</v>
          </cell>
          <cell r="H220">
            <v>94</v>
          </cell>
          <cell r="I220">
            <v>1219</v>
          </cell>
          <cell r="J220" t="str">
            <v>CF01/1</v>
          </cell>
          <cell r="K220">
            <v>50066192</v>
          </cell>
          <cell r="L220">
            <v>221</v>
          </cell>
        </row>
        <row r="221">
          <cell r="A221">
            <v>50066356</v>
          </cell>
          <cell r="C221">
            <v>50066356</v>
          </cell>
          <cell r="E221" t="str">
            <v>CR</v>
          </cell>
          <cell r="F221" t="str">
            <v>SPCC-SD</v>
          </cell>
          <cell r="G221">
            <v>0.8</v>
          </cell>
          <cell r="H221">
            <v>400</v>
          </cell>
          <cell r="I221">
            <v>610</v>
          </cell>
          <cell r="J221" t="str">
            <v>DS01/1</v>
          </cell>
          <cell r="K221">
            <v>50066356</v>
          </cell>
          <cell r="L221">
            <v>165</v>
          </cell>
        </row>
        <row r="222">
          <cell r="A222">
            <v>50067000</v>
          </cell>
          <cell r="B222" t="str">
            <v>PO SPHC P/O 2.0x48x1219</v>
          </cell>
          <cell r="C222">
            <v>50067000</v>
          </cell>
          <cell r="D222" t="str">
            <v>PO SPHC P/O</v>
          </cell>
          <cell r="E222" t="str">
            <v>PO</v>
          </cell>
          <cell r="F222" t="str">
            <v>SPHC P/O</v>
          </cell>
          <cell r="G222">
            <v>2</v>
          </cell>
          <cell r="H222">
            <v>48</v>
          </cell>
          <cell r="I222">
            <v>1219</v>
          </cell>
          <cell r="J222" t="str">
            <v>CF01/1</v>
          </cell>
          <cell r="K222">
            <v>50067000</v>
          </cell>
          <cell r="L222">
            <v>28</v>
          </cell>
          <cell r="M222" t="str">
            <v>E2-ND-06-TSA-0154</v>
          </cell>
        </row>
        <row r="223">
          <cell r="A223">
            <v>50067127</v>
          </cell>
          <cell r="C223">
            <v>50067127</v>
          </cell>
          <cell r="E223" t="str">
            <v>HR</v>
          </cell>
          <cell r="F223" t="str">
            <v>HR SS400</v>
          </cell>
          <cell r="G223">
            <v>3.2</v>
          </cell>
          <cell r="H223">
            <v>195</v>
          </cell>
          <cell r="I223">
            <v>1190</v>
          </cell>
          <cell r="J223" t="str">
            <v>DS01/1</v>
          </cell>
          <cell r="K223">
            <v>50067127</v>
          </cell>
          <cell r="L223">
            <v>368</v>
          </cell>
        </row>
        <row r="224">
          <cell r="A224">
            <v>50067233</v>
          </cell>
          <cell r="B224" t="str">
            <v>PO SPHC P/O 4.5x83x1219</v>
          </cell>
          <cell r="C224">
            <v>50067233</v>
          </cell>
          <cell r="D224" t="str">
            <v>PO SPHC P/O</v>
          </cell>
          <cell r="E224" t="str">
            <v>PO</v>
          </cell>
          <cell r="F224" t="str">
            <v>SPHC P/O</v>
          </cell>
          <cell r="G224">
            <v>4.5</v>
          </cell>
          <cell r="H224">
            <v>83</v>
          </cell>
          <cell r="I224">
            <v>1219</v>
          </cell>
          <cell r="J224" t="str">
            <v>CF01/2</v>
          </cell>
          <cell r="K224">
            <v>50067233</v>
          </cell>
          <cell r="L224">
            <v>72</v>
          </cell>
          <cell r="M224" t="str">
            <v>E2-ND-06-TSA-0155</v>
          </cell>
        </row>
        <row r="225">
          <cell r="A225">
            <v>50067389</v>
          </cell>
          <cell r="C225">
            <v>50067389</v>
          </cell>
          <cell r="E225" t="str">
            <v>CR</v>
          </cell>
          <cell r="F225" t="str">
            <v>SPCC-SD</v>
          </cell>
          <cell r="G225">
            <v>0.7</v>
          </cell>
          <cell r="H225">
            <v>620</v>
          </cell>
          <cell r="I225">
            <v>1530</v>
          </cell>
          <cell r="J225" t="str">
            <v>DS01/1</v>
          </cell>
          <cell r="K225">
            <v>50067389</v>
          </cell>
          <cell r="L225">
            <v>125</v>
          </cell>
        </row>
        <row r="226">
          <cell r="A226">
            <v>50067427</v>
          </cell>
          <cell r="C226">
            <v>50067427</v>
          </cell>
          <cell r="E226" t="str">
            <v>CR</v>
          </cell>
          <cell r="F226" t="str">
            <v>SPCC-SD</v>
          </cell>
          <cell r="G226">
            <v>2.6</v>
          </cell>
          <cell r="H226">
            <v>85</v>
          </cell>
          <cell r="I226">
            <v>1219</v>
          </cell>
          <cell r="J226" t="str">
            <v>OW01/1</v>
          </cell>
          <cell r="K226">
            <v>50067427</v>
          </cell>
          <cell r="L226">
            <v>117</v>
          </cell>
        </row>
        <row r="227">
          <cell r="A227">
            <v>50068632</v>
          </cell>
          <cell r="C227">
            <v>50068632</v>
          </cell>
          <cell r="E227" t="str">
            <v>CR</v>
          </cell>
          <cell r="F227" t="str">
            <v>SPCC-SD</v>
          </cell>
          <cell r="G227">
            <v>0.7</v>
          </cell>
          <cell r="H227">
            <v>155</v>
          </cell>
          <cell r="I227">
            <v>1199</v>
          </cell>
          <cell r="J227" t="str">
            <v>DS01/1</v>
          </cell>
          <cell r="K227">
            <v>50068632</v>
          </cell>
          <cell r="L227">
            <v>307</v>
          </cell>
        </row>
        <row r="228">
          <cell r="A228">
            <v>50069491</v>
          </cell>
          <cell r="C228">
            <v>50069491</v>
          </cell>
          <cell r="E228" t="str">
            <v>CR</v>
          </cell>
          <cell r="F228" t="str">
            <v>SPCC-SD</v>
          </cell>
          <cell r="G228">
            <v>2.2999999999999998</v>
          </cell>
          <cell r="H228">
            <v>94</v>
          </cell>
          <cell r="I228">
            <v>1219</v>
          </cell>
          <cell r="J228" t="str">
            <v>LW02/2</v>
          </cell>
          <cell r="K228">
            <v>50069491</v>
          </cell>
          <cell r="L228">
            <v>542</v>
          </cell>
        </row>
        <row r="229">
          <cell r="A229">
            <v>50069920</v>
          </cell>
          <cell r="C229">
            <v>50069920</v>
          </cell>
          <cell r="E229" t="str">
            <v>CR</v>
          </cell>
          <cell r="F229" t="str">
            <v>SPCC-SD</v>
          </cell>
          <cell r="G229">
            <v>1.5</v>
          </cell>
          <cell r="H229">
            <v>284</v>
          </cell>
          <cell r="I229">
            <v>2440</v>
          </cell>
          <cell r="J229" t="str">
            <v>DS01/1</v>
          </cell>
          <cell r="K229">
            <v>50069920</v>
          </cell>
          <cell r="L229">
            <v>82</v>
          </cell>
        </row>
        <row r="230">
          <cell r="A230">
            <v>50070072</v>
          </cell>
          <cell r="C230">
            <v>50070072</v>
          </cell>
          <cell r="E230" t="str">
            <v>CR</v>
          </cell>
          <cell r="F230" t="str">
            <v>SPCC-SD</v>
          </cell>
          <cell r="G230">
            <v>1.5</v>
          </cell>
          <cell r="H230">
            <v>929</v>
          </cell>
          <cell r="I230">
            <v>2142</v>
          </cell>
          <cell r="J230" t="str">
            <v>DS01/1</v>
          </cell>
          <cell r="K230">
            <v>50070072</v>
          </cell>
          <cell r="L230">
            <v>404</v>
          </cell>
        </row>
        <row r="231">
          <cell r="A231">
            <v>50070097</v>
          </cell>
          <cell r="C231">
            <v>50070097</v>
          </cell>
          <cell r="E231" t="str">
            <v>CR</v>
          </cell>
          <cell r="F231" t="str">
            <v>SPCC-SD</v>
          </cell>
          <cell r="G231">
            <v>1.5</v>
          </cell>
          <cell r="H231">
            <v>484</v>
          </cell>
          <cell r="I231">
            <v>2440</v>
          </cell>
          <cell r="J231" t="str">
            <v>DS01/1</v>
          </cell>
          <cell r="K231">
            <v>50070097</v>
          </cell>
          <cell r="L231">
            <v>350</v>
          </cell>
        </row>
        <row r="232">
          <cell r="A232">
            <v>50070098</v>
          </cell>
          <cell r="C232">
            <v>50070098</v>
          </cell>
          <cell r="E232" t="str">
            <v>CR</v>
          </cell>
          <cell r="F232" t="str">
            <v>SPCC-SD</v>
          </cell>
          <cell r="G232">
            <v>1.5</v>
          </cell>
          <cell r="H232">
            <v>484</v>
          </cell>
          <cell r="I232">
            <v>2440</v>
          </cell>
          <cell r="J232" t="str">
            <v>DS01/1</v>
          </cell>
          <cell r="K232">
            <v>50070098</v>
          </cell>
          <cell r="L232">
            <v>350</v>
          </cell>
        </row>
        <row r="233">
          <cell r="A233">
            <v>50070099</v>
          </cell>
          <cell r="C233">
            <v>50070099</v>
          </cell>
          <cell r="E233" t="str">
            <v>CR</v>
          </cell>
          <cell r="F233" t="str">
            <v>SPCC-SD</v>
          </cell>
          <cell r="G233">
            <v>1.5</v>
          </cell>
          <cell r="H233">
            <v>484</v>
          </cell>
          <cell r="I233">
            <v>2440</v>
          </cell>
          <cell r="J233" t="str">
            <v>DS01/1</v>
          </cell>
          <cell r="K233">
            <v>50070099</v>
          </cell>
          <cell r="L233">
            <v>350</v>
          </cell>
        </row>
        <row r="234">
          <cell r="A234">
            <v>50070108</v>
          </cell>
          <cell r="C234">
            <v>50070108</v>
          </cell>
          <cell r="E234" t="str">
            <v>CR</v>
          </cell>
          <cell r="F234" t="str">
            <v>SPCC-SD</v>
          </cell>
          <cell r="G234">
            <v>1.5</v>
          </cell>
          <cell r="H234">
            <v>384</v>
          </cell>
          <cell r="I234">
            <v>2440</v>
          </cell>
          <cell r="J234" t="str">
            <v>DS01/1</v>
          </cell>
          <cell r="K234">
            <v>50070108</v>
          </cell>
          <cell r="L234">
            <v>391</v>
          </cell>
        </row>
        <row r="235">
          <cell r="A235">
            <v>50070580</v>
          </cell>
          <cell r="C235">
            <v>50070580</v>
          </cell>
          <cell r="E235" t="str">
            <v>CR</v>
          </cell>
          <cell r="F235" t="str">
            <v>SPCC-SD</v>
          </cell>
          <cell r="G235">
            <v>1.5</v>
          </cell>
          <cell r="H235">
            <v>471</v>
          </cell>
          <cell r="I235">
            <v>1350</v>
          </cell>
          <cell r="J235" t="str">
            <v>DS01/1</v>
          </cell>
          <cell r="K235">
            <v>50070580</v>
          </cell>
          <cell r="L235">
            <v>149</v>
          </cell>
        </row>
        <row r="236">
          <cell r="A236">
            <v>50070582</v>
          </cell>
          <cell r="C236">
            <v>50070582</v>
          </cell>
          <cell r="E236" t="str">
            <v>CR</v>
          </cell>
          <cell r="F236" t="str">
            <v>SPCC-SD</v>
          </cell>
          <cell r="G236">
            <v>1.5</v>
          </cell>
          <cell r="H236">
            <v>570</v>
          </cell>
          <cell r="I236">
            <v>1219</v>
          </cell>
          <cell r="J236" t="str">
            <v>DS01/1</v>
          </cell>
          <cell r="K236">
            <v>50070582</v>
          </cell>
          <cell r="L236">
            <v>164</v>
          </cell>
        </row>
        <row r="237">
          <cell r="A237">
            <v>50070746</v>
          </cell>
          <cell r="C237">
            <v>50070746</v>
          </cell>
          <cell r="E237" t="str">
            <v>CR</v>
          </cell>
          <cell r="F237" t="str">
            <v>SPCC-SD</v>
          </cell>
          <cell r="G237">
            <v>1.5</v>
          </cell>
          <cell r="H237">
            <v>846</v>
          </cell>
          <cell r="I237">
            <v>2146</v>
          </cell>
          <cell r="J237" t="str">
            <v>DS01/1</v>
          </cell>
          <cell r="K237">
            <v>50070746</v>
          </cell>
          <cell r="L237">
            <v>1069</v>
          </cell>
        </row>
        <row r="238">
          <cell r="A238">
            <v>50070968</v>
          </cell>
          <cell r="B238" t="str">
            <v>CR SPCC-SD 2.3x50x1219</v>
          </cell>
          <cell r="C238">
            <v>50070968</v>
          </cell>
          <cell r="D238" t="str">
            <v>CR SPCC-SD</v>
          </cell>
          <cell r="E238" t="str">
            <v>CR</v>
          </cell>
          <cell r="F238" t="str">
            <v>SPCC-SD</v>
          </cell>
          <cell r="G238">
            <v>2.2999999999999998</v>
          </cell>
          <cell r="H238">
            <v>50</v>
          </cell>
          <cell r="I238">
            <v>1219</v>
          </cell>
          <cell r="J238" t="str">
            <v>CF01/1</v>
          </cell>
          <cell r="K238">
            <v>50070968</v>
          </cell>
          <cell r="L238">
            <v>22</v>
          </cell>
          <cell r="M238" t="str">
            <v>E2-ND-06-TSA-0152</v>
          </cell>
        </row>
        <row r="239">
          <cell r="A239">
            <v>50071068</v>
          </cell>
          <cell r="C239">
            <v>50071068</v>
          </cell>
          <cell r="E239" t="str">
            <v>PO</v>
          </cell>
          <cell r="F239" t="str">
            <v>SPHC P/O</v>
          </cell>
          <cell r="G239">
            <v>3</v>
          </cell>
          <cell r="H239">
            <v>100</v>
          </cell>
          <cell r="I239">
            <v>1219</v>
          </cell>
          <cell r="J239" t="str">
            <v>DS01/1</v>
          </cell>
          <cell r="K239">
            <v>50071068</v>
          </cell>
          <cell r="L239">
            <v>516</v>
          </cell>
        </row>
        <row r="240">
          <cell r="A240">
            <v>50071791</v>
          </cell>
          <cell r="C240">
            <v>50071791</v>
          </cell>
          <cell r="E240" t="str">
            <v>PO</v>
          </cell>
          <cell r="F240" t="str">
            <v>SPHC P/O</v>
          </cell>
          <cell r="G240">
            <v>4.5</v>
          </cell>
          <cell r="H240">
            <v>130</v>
          </cell>
          <cell r="I240">
            <v>1219</v>
          </cell>
          <cell r="J240" t="str">
            <v>DS01/1</v>
          </cell>
          <cell r="K240">
            <v>50071791</v>
          </cell>
          <cell r="L240">
            <v>465</v>
          </cell>
        </row>
        <row r="241">
          <cell r="A241">
            <v>50071980</v>
          </cell>
          <cell r="C241">
            <v>50071980</v>
          </cell>
          <cell r="E241" t="str">
            <v>CR</v>
          </cell>
          <cell r="F241" t="str">
            <v>SPCC-SD</v>
          </cell>
          <cell r="G241">
            <v>0.8</v>
          </cell>
          <cell r="H241">
            <v>88</v>
          </cell>
          <cell r="I241">
            <v>1090</v>
          </cell>
          <cell r="J241" t="str">
            <v>CF01/2</v>
          </cell>
          <cell r="K241">
            <v>50071980</v>
          </cell>
          <cell r="L241">
            <v>410</v>
          </cell>
        </row>
        <row r="242">
          <cell r="A242">
            <v>50072781</v>
          </cell>
          <cell r="B242" t="str">
            <v>PO SPHC P/O 2.0x46x1219</v>
          </cell>
          <cell r="C242">
            <v>50072781</v>
          </cell>
          <cell r="D242" t="str">
            <v>PO SPHC P/O</v>
          </cell>
          <cell r="E242" t="str">
            <v>PO</v>
          </cell>
          <cell r="F242" t="str">
            <v>SPHC P/O</v>
          </cell>
          <cell r="G242">
            <v>2</v>
          </cell>
          <cell r="H242">
            <v>46</v>
          </cell>
          <cell r="I242">
            <v>1219</v>
          </cell>
          <cell r="J242" t="str">
            <v>CF01/2</v>
          </cell>
          <cell r="K242">
            <v>50072781</v>
          </cell>
          <cell r="L242">
            <v>25</v>
          </cell>
          <cell r="M242" t="str">
            <v>E2-ND-06-TSA-0153</v>
          </cell>
        </row>
        <row r="243">
          <cell r="A243">
            <v>50073062</v>
          </cell>
          <cell r="C243">
            <v>50073062</v>
          </cell>
          <cell r="E243" t="str">
            <v>CR</v>
          </cell>
          <cell r="F243" t="str">
            <v>SPCC-SD</v>
          </cell>
          <cell r="G243">
            <v>1.5</v>
          </cell>
          <cell r="H243">
            <v>750</v>
          </cell>
          <cell r="I243">
            <v>1350</v>
          </cell>
          <cell r="J243" t="str">
            <v>DS01/1</v>
          </cell>
          <cell r="K243">
            <v>50073062</v>
          </cell>
          <cell r="L243">
            <v>286</v>
          </cell>
        </row>
        <row r="244">
          <cell r="A244">
            <v>50073689</v>
          </cell>
          <cell r="C244">
            <v>50073689</v>
          </cell>
          <cell r="E244" t="str">
            <v>EG</v>
          </cell>
          <cell r="F244" t="str">
            <v>SECC</v>
          </cell>
          <cell r="G244">
            <v>1.6</v>
          </cell>
          <cell r="H244">
            <v>750</v>
          </cell>
          <cell r="I244">
            <v>1219</v>
          </cell>
          <cell r="J244" t="str">
            <v>DS01/1</v>
          </cell>
          <cell r="K244">
            <v>50073689</v>
          </cell>
          <cell r="L244">
            <v>1150</v>
          </cell>
        </row>
        <row r="245">
          <cell r="A245">
            <v>50073697</v>
          </cell>
          <cell r="C245">
            <v>50073697</v>
          </cell>
          <cell r="E245" t="str">
            <v>CR</v>
          </cell>
          <cell r="F245" t="str">
            <v>SPCC-SD</v>
          </cell>
          <cell r="G245">
            <v>0.8</v>
          </cell>
          <cell r="H245">
            <v>168</v>
          </cell>
          <cell r="I245">
            <v>1219</v>
          </cell>
          <cell r="J245" t="str">
            <v>DS01/1</v>
          </cell>
          <cell r="K245">
            <v>50073697</v>
          </cell>
          <cell r="L245">
            <v>38</v>
          </cell>
        </row>
        <row r="246">
          <cell r="A246">
            <v>50074350</v>
          </cell>
          <cell r="C246">
            <v>50074350</v>
          </cell>
          <cell r="E246" t="str">
            <v>CR</v>
          </cell>
          <cell r="F246" t="str">
            <v>SPCC-SD</v>
          </cell>
          <cell r="G246">
            <v>2</v>
          </cell>
          <cell r="H246">
            <v>88</v>
          </cell>
          <cell r="I246">
            <v>1219</v>
          </cell>
          <cell r="J246" t="str">
            <v>LW02/2</v>
          </cell>
          <cell r="K246">
            <v>50074350</v>
          </cell>
          <cell r="L246">
            <v>845</v>
          </cell>
        </row>
        <row r="247">
          <cell r="A247">
            <v>50074351</v>
          </cell>
          <cell r="B247" t="str">
            <v>CR SPCC-SD 2.0x88x1219</v>
          </cell>
          <cell r="C247">
            <v>50074351</v>
          </cell>
          <cell r="D247" t="str">
            <v>CR SPCC-SD</v>
          </cell>
          <cell r="E247" t="str">
            <v>CR</v>
          </cell>
          <cell r="F247" t="str">
            <v>SPCC-SD</v>
          </cell>
          <cell r="G247">
            <v>2</v>
          </cell>
          <cell r="H247">
            <v>88</v>
          </cell>
          <cell r="I247">
            <v>1219</v>
          </cell>
          <cell r="J247" t="str">
            <v>LW02/3</v>
          </cell>
          <cell r="K247">
            <v>50074351</v>
          </cell>
          <cell r="L247">
            <v>845</v>
          </cell>
          <cell r="M247" t="str">
            <v>E2-ND-06-TSA-0154</v>
          </cell>
        </row>
        <row r="248">
          <cell r="A248">
            <v>50074702</v>
          </cell>
          <cell r="B248" t="str">
            <v>PO SPHC P/O 1.6x45x1219</v>
          </cell>
          <cell r="C248">
            <v>50074702</v>
          </cell>
          <cell r="D248" t="str">
            <v>PO SPHC P/O</v>
          </cell>
          <cell r="E248" t="str">
            <v>PO</v>
          </cell>
          <cell r="F248" t="str">
            <v>SPHC P/O</v>
          </cell>
          <cell r="G248">
            <v>1.6</v>
          </cell>
          <cell r="H248">
            <v>45</v>
          </cell>
          <cell r="I248">
            <v>1219</v>
          </cell>
          <cell r="J248" t="str">
            <v>CF01/1</v>
          </cell>
          <cell r="K248">
            <v>50074702</v>
          </cell>
          <cell r="L248">
            <v>18</v>
          </cell>
          <cell r="M248" t="str">
            <v>E2-ND-06-TSA-0153</v>
          </cell>
        </row>
        <row r="249">
          <cell r="A249">
            <v>50074704</v>
          </cell>
          <cell r="C249">
            <v>50074704</v>
          </cell>
          <cell r="E249" t="str">
            <v>CR</v>
          </cell>
          <cell r="F249" t="str">
            <v>SPCEN-SD</v>
          </cell>
          <cell r="G249">
            <v>1.2</v>
          </cell>
          <cell r="H249">
            <v>510</v>
          </cell>
          <cell r="I249">
            <v>1404</v>
          </cell>
          <cell r="J249" t="str">
            <v>DS01/1</v>
          </cell>
          <cell r="K249">
            <v>50074704</v>
          </cell>
          <cell r="L249">
            <v>47</v>
          </cell>
        </row>
        <row r="250">
          <cell r="A250">
            <v>50074766</v>
          </cell>
          <cell r="B250" t="str">
            <v>PO SPHC P/O 2.3x95x1219</v>
          </cell>
          <cell r="C250">
            <v>50074766</v>
          </cell>
          <cell r="D250" t="str">
            <v>PO SPHC P/O</v>
          </cell>
          <cell r="E250" t="str">
            <v>PO</v>
          </cell>
          <cell r="F250" t="str">
            <v>SPHC P/O</v>
          </cell>
          <cell r="G250">
            <v>2.2999999999999998</v>
          </cell>
          <cell r="H250">
            <v>95</v>
          </cell>
          <cell r="I250">
            <v>1219</v>
          </cell>
          <cell r="J250" t="str">
            <v>LW02/3</v>
          </cell>
          <cell r="K250">
            <v>50074766</v>
          </cell>
          <cell r="L250">
            <v>627</v>
          </cell>
          <cell r="M250" t="str">
            <v>E2-ND-06-TSA-0154</v>
          </cell>
        </row>
        <row r="251">
          <cell r="A251">
            <v>50074993</v>
          </cell>
          <cell r="C251">
            <v>50074993</v>
          </cell>
          <cell r="E251" t="str">
            <v>CR</v>
          </cell>
          <cell r="F251" t="str">
            <v>SPCEN-SD</v>
          </cell>
          <cell r="G251">
            <v>1.2</v>
          </cell>
          <cell r="H251">
            <v>510</v>
          </cell>
          <cell r="I251">
            <v>1404</v>
          </cell>
          <cell r="J251" t="str">
            <v>DS01/1</v>
          </cell>
          <cell r="K251">
            <v>50074993</v>
          </cell>
          <cell r="L251">
            <v>13</v>
          </cell>
        </row>
        <row r="252">
          <cell r="A252">
            <v>50075014</v>
          </cell>
          <cell r="C252">
            <v>50075014</v>
          </cell>
          <cell r="E252" t="str">
            <v>CR</v>
          </cell>
          <cell r="F252" t="str">
            <v>SPCC-SD</v>
          </cell>
          <cell r="G252">
            <v>0.8</v>
          </cell>
          <cell r="H252">
            <v>820</v>
          </cell>
          <cell r="I252">
            <v>1550</v>
          </cell>
          <cell r="J252" t="str">
            <v>DS01/1</v>
          </cell>
          <cell r="K252">
            <v>50075014</v>
          </cell>
          <cell r="L252">
            <v>602</v>
          </cell>
        </row>
        <row r="253">
          <cell r="A253">
            <v>50075138</v>
          </cell>
          <cell r="B253" t="str">
            <v>PO SPHC P/O 3.2x92x1219</v>
          </cell>
          <cell r="C253">
            <v>50075138</v>
          </cell>
          <cell r="D253" t="str">
            <v>PO SPHC P/O</v>
          </cell>
          <cell r="E253" t="str">
            <v>PO</v>
          </cell>
          <cell r="F253" t="str">
            <v>SPHC P/O</v>
          </cell>
          <cell r="G253">
            <v>3.2</v>
          </cell>
          <cell r="H253">
            <v>92</v>
          </cell>
          <cell r="I253">
            <v>1219</v>
          </cell>
          <cell r="J253" t="str">
            <v>DS01/1</v>
          </cell>
          <cell r="K253">
            <v>50075138</v>
          </cell>
          <cell r="L253">
            <v>564</v>
          </cell>
          <cell r="M253" t="str">
            <v>E2-ND-06-TSA-0155</v>
          </cell>
        </row>
        <row r="254">
          <cell r="A254">
            <v>50075139</v>
          </cell>
          <cell r="B254" t="str">
            <v>PO SPHC P/O 3.2x53x1219</v>
          </cell>
          <cell r="C254">
            <v>50075139</v>
          </cell>
          <cell r="D254" t="str">
            <v>PO SPHC P/O</v>
          </cell>
          <cell r="E254" t="str">
            <v>PO</v>
          </cell>
          <cell r="F254" t="str">
            <v>SPHC P/O</v>
          </cell>
          <cell r="G254">
            <v>3.2</v>
          </cell>
          <cell r="H254">
            <v>53</v>
          </cell>
          <cell r="I254">
            <v>1219</v>
          </cell>
          <cell r="J254" t="str">
            <v>DS01/1</v>
          </cell>
          <cell r="K254">
            <v>50075139</v>
          </cell>
          <cell r="L254">
            <v>360</v>
          </cell>
          <cell r="M254" t="str">
            <v>E2-ND-06-TSA-0155</v>
          </cell>
        </row>
        <row r="255">
          <cell r="A255">
            <v>50075140</v>
          </cell>
          <cell r="B255" t="str">
            <v>PO SPHC P/O 3.2x40x1219</v>
          </cell>
          <cell r="C255">
            <v>50075140</v>
          </cell>
          <cell r="D255" t="str">
            <v>PO SPHC P/O</v>
          </cell>
          <cell r="E255" t="str">
            <v>PO</v>
          </cell>
          <cell r="F255" t="str">
            <v>SPHC P/O</v>
          </cell>
          <cell r="G255">
            <v>3.2</v>
          </cell>
          <cell r="H255">
            <v>40</v>
          </cell>
          <cell r="I255">
            <v>1219</v>
          </cell>
          <cell r="J255" t="str">
            <v>DS01/1</v>
          </cell>
          <cell r="K255">
            <v>50075140</v>
          </cell>
          <cell r="L255">
            <v>98</v>
          </cell>
          <cell r="M255" t="str">
            <v>E2-ND-06-TSA-0155</v>
          </cell>
        </row>
        <row r="256">
          <cell r="A256">
            <v>50075348</v>
          </cell>
          <cell r="C256">
            <v>50075348</v>
          </cell>
          <cell r="E256" t="str">
            <v>CR</v>
          </cell>
          <cell r="F256" t="str">
            <v>SPCC-SD</v>
          </cell>
          <cell r="G256">
            <v>1.6</v>
          </cell>
          <cell r="H256">
            <v>829</v>
          </cell>
          <cell r="I256">
            <v>2142</v>
          </cell>
          <cell r="J256" t="str">
            <v>DS01/1</v>
          </cell>
          <cell r="K256">
            <v>50075348</v>
          </cell>
          <cell r="L256">
            <v>205</v>
          </cell>
        </row>
        <row r="257">
          <cell r="A257">
            <v>50075350</v>
          </cell>
          <cell r="C257">
            <v>50075350</v>
          </cell>
          <cell r="E257" t="str">
            <v>CR</v>
          </cell>
          <cell r="F257" t="str">
            <v>SPCC-SD</v>
          </cell>
          <cell r="G257">
            <v>1.6</v>
          </cell>
          <cell r="H257">
            <v>384</v>
          </cell>
          <cell r="I257">
            <v>2440</v>
          </cell>
          <cell r="J257" t="str">
            <v>DS01/1</v>
          </cell>
          <cell r="K257">
            <v>50075350</v>
          </cell>
          <cell r="L257">
            <v>96</v>
          </cell>
        </row>
        <row r="258">
          <cell r="A258">
            <v>50075556</v>
          </cell>
          <cell r="C258">
            <v>50075556</v>
          </cell>
          <cell r="E258" t="str">
            <v>PO</v>
          </cell>
          <cell r="F258" t="str">
            <v>SPHC P/O</v>
          </cell>
          <cell r="G258">
            <v>5</v>
          </cell>
          <cell r="H258">
            <v>168</v>
          </cell>
          <cell r="I258">
            <v>1219</v>
          </cell>
          <cell r="J258" t="str">
            <v>Semi/S</v>
          </cell>
          <cell r="K258">
            <v>50075556</v>
          </cell>
          <cell r="L258">
            <v>563</v>
          </cell>
        </row>
        <row r="259">
          <cell r="A259">
            <v>50075557</v>
          </cell>
          <cell r="C259">
            <v>50075557</v>
          </cell>
          <cell r="E259" t="str">
            <v>PO</v>
          </cell>
          <cell r="F259" t="str">
            <v>SPHC P/O</v>
          </cell>
          <cell r="G259">
            <v>5</v>
          </cell>
          <cell r="H259">
            <v>168</v>
          </cell>
          <cell r="I259">
            <v>1219</v>
          </cell>
          <cell r="J259" t="str">
            <v>Semi/S</v>
          </cell>
          <cell r="K259">
            <v>50075557</v>
          </cell>
          <cell r="L259">
            <v>482</v>
          </cell>
        </row>
        <row r="260">
          <cell r="A260">
            <v>50076951</v>
          </cell>
          <cell r="C260">
            <v>50076951</v>
          </cell>
          <cell r="E260" t="str">
            <v>CR</v>
          </cell>
          <cell r="F260" t="str">
            <v>SPCC-SD</v>
          </cell>
          <cell r="G260">
            <v>0.8</v>
          </cell>
          <cell r="H260">
            <v>220</v>
          </cell>
          <cell r="I260">
            <v>1840</v>
          </cell>
          <cell r="J260" t="str">
            <v>DS01/1</v>
          </cell>
          <cell r="K260">
            <v>50076951</v>
          </cell>
          <cell r="L260">
            <v>394</v>
          </cell>
        </row>
        <row r="261">
          <cell r="A261">
            <v>50077145</v>
          </cell>
          <cell r="C261">
            <v>50077145</v>
          </cell>
          <cell r="E261" t="str">
            <v>CR</v>
          </cell>
          <cell r="F261" t="str">
            <v>SPCEN-SD</v>
          </cell>
          <cell r="G261">
            <v>1</v>
          </cell>
          <cell r="H261">
            <v>390</v>
          </cell>
          <cell r="I261">
            <v>1490</v>
          </cell>
          <cell r="J261" t="str">
            <v>DS01/1</v>
          </cell>
          <cell r="K261">
            <v>50077145</v>
          </cell>
          <cell r="L261">
            <v>114</v>
          </cell>
        </row>
        <row r="262">
          <cell r="A262">
            <v>50077961</v>
          </cell>
          <cell r="C262">
            <v>50077961</v>
          </cell>
          <cell r="E262" t="str">
            <v>CR</v>
          </cell>
          <cell r="F262" t="str">
            <v>SPCEN-SD</v>
          </cell>
          <cell r="G262">
            <v>1</v>
          </cell>
          <cell r="H262">
            <v>420</v>
          </cell>
          <cell r="I262">
            <v>480</v>
          </cell>
          <cell r="J262" t="str">
            <v>DS01/1</v>
          </cell>
          <cell r="K262">
            <v>50077961</v>
          </cell>
          <cell r="L262">
            <v>126</v>
          </cell>
        </row>
        <row r="263">
          <cell r="A263">
            <v>50078259</v>
          </cell>
          <cell r="C263">
            <v>50078259</v>
          </cell>
          <cell r="E263" t="str">
            <v>CR</v>
          </cell>
          <cell r="F263" t="str">
            <v>SPCC-SD</v>
          </cell>
          <cell r="G263">
            <v>1.5</v>
          </cell>
          <cell r="H263">
            <v>750</v>
          </cell>
          <cell r="I263">
            <v>1350</v>
          </cell>
          <cell r="J263" t="str">
            <v>DS01/1</v>
          </cell>
          <cell r="K263">
            <v>50078259</v>
          </cell>
          <cell r="L263">
            <v>167</v>
          </cell>
        </row>
        <row r="264">
          <cell r="A264">
            <v>50078573</v>
          </cell>
          <cell r="C264">
            <v>50078573</v>
          </cell>
          <cell r="E264" t="str">
            <v>PO</v>
          </cell>
          <cell r="F264" t="str">
            <v>SPHC P/O</v>
          </cell>
          <cell r="G264">
            <v>2</v>
          </cell>
          <cell r="H264">
            <v>94</v>
          </cell>
          <cell r="I264">
            <v>1219</v>
          </cell>
          <cell r="J264" t="str">
            <v>DS01/1</v>
          </cell>
          <cell r="K264">
            <v>50078573</v>
          </cell>
          <cell r="L264">
            <v>144</v>
          </cell>
        </row>
        <row r="265">
          <cell r="A265">
            <v>50079932</v>
          </cell>
          <cell r="C265">
            <v>50079932</v>
          </cell>
          <cell r="E265" t="str">
            <v>PO</v>
          </cell>
          <cell r="F265" t="str">
            <v>SPHC P/O</v>
          </cell>
          <cell r="G265">
            <v>3.2</v>
          </cell>
          <cell r="H265">
            <v>125</v>
          </cell>
          <cell r="I265">
            <v>1219</v>
          </cell>
          <cell r="J265" t="str">
            <v>DS01/1</v>
          </cell>
          <cell r="K265">
            <v>50079932</v>
          </cell>
          <cell r="L265">
            <v>1227</v>
          </cell>
        </row>
        <row r="266">
          <cell r="A266">
            <v>50082349</v>
          </cell>
          <cell r="C266">
            <v>50082349</v>
          </cell>
          <cell r="E266" t="str">
            <v>PO</v>
          </cell>
          <cell r="F266" t="str">
            <v>SPHC P/O</v>
          </cell>
          <cell r="G266">
            <v>4.5</v>
          </cell>
          <cell r="H266">
            <v>130</v>
          </cell>
          <cell r="I266">
            <v>1219</v>
          </cell>
          <cell r="J266" t="str">
            <v>DS01/1</v>
          </cell>
          <cell r="K266">
            <v>50082349</v>
          </cell>
          <cell r="L266">
            <v>370</v>
          </cell>
        </row>
        <row r="267">
          <cell r="A267">
            <v>50082802</v>
          </cell>
          <cell r="C267">
            <v>50082802</v>
          </cell>
          <cell r="E267" t="str">
            <v>PO</v>
          </cell>
          <cell r="F267" t="str">
            <v>SPHC P/O</v>
          </cell>
          <cell r="G267">
            <v>2.6</v>
          </cell>
          <cell r="H267">
            <v>190</v>
          </cell>
          <cell r="I267">
            <v>1219</v>
          </cell>
          <cell r="J267" t="str">
            <v>Semi/S</v>
          </cell>
          <cell r="K267">
            <v>50082802</v>
          </cell>
          <cell r="L267">
            <v>47</v>
          </cell>
        </row>
        <row r="268">
          <cell r="A268">
            <v>50082957</v>
          </cell>
          <cell r="C268">
            <v>50082957</v>
          </cell>
          <cell r="E268" t="str">
            <v>PO</v>
          </cell>
          <cell r="F268" t="str">
            <v>SPHC P/O</v>
          </cell>
          <cell r="G268">
            <v>2.6</v>
          </cell>
          <cell r="H268">
            <v>134</v>
          </cell>
          <cell r="I268">
            <v>1219</v>
          </cell>
          <cell r="J268" t="str">
            <v>DS01/1</v>
          </cell>
          <cell r="K268">
            <v>50082957</v>
          </cell>
          <cell r="L268">
            <v>167</v>
          </cell>
        </row>
        <row r="269">
          <cell r="A269">
            <v>50084191</v>
          </cell>
          <cell r="B269" t="str">
            <v>PO SAPH440 P/O 3.0X310x360</v>
          </cell>
          <cell r="C269">
            <v>50084191</v>
          </cell>
          <cell r="D269" t="str">
            <v>PO SAPH440 P/O</v>
          </cell>
          <cell r="E269" t="str">
            <v>PO</v>
          </cell>
          <cell r="F269" t="str">
            <v>SAPH440 P/O</v>
          </cell>
          <cell r="G269">
            <v>3</v>
          </cell>
          <cell r="H269">
            <v>310</v>
          </cell>
          <cell r="I269">
            <v>360</v>
          </cell>
          <cell r="J269" t="str">
            <v>MW01/1</v>
          </cell>
          <cell r="K269">
            <v>50084191</v>
          </cell>
          <cell r="L269">
            <v>526</v>
          </cell>
          <cell r="M269" t="str">
            <v>E2-ND-06-TSA-0155</v>
          </cell>
        </row>
        <row r="270">
          <cell r="A270">
            <v>50084194</v>
          </cell>
          <cell r="B270" t="str">
            <v>PO SAPH440 P/O 3.0X310x360</v>
          </cell>
          <cell r="C270">
            <v>50084194</v>
          </cell>
          <cell r="D270" t="str">
            <v>PO SAPH440 P/O</v>
          </cell>
          <cell r="E270" t="str">
            <v>PO</v>
          </cell>
          <cell r="F270" t="str">
            <v>SAPH440 P/O</v>
          </cell>
          <cell r="G270">
            <v>3</v>
          </cell>
          <cell r="H270">
            <v>310</v>
          </cell>
          <cell r="I270">
            <v>360</v>
          </cell>
          <cell r="J270" t="str">
            <v>MW01/1</v>
          </cell>
          <cell r="K270">
            <v>50084194</v>
          </cell>
          <cell r="L270">
            <v>132</v>
          </cell>
          <cell r="M270" t="str">
            <v>E2-ND-06-TSA-0155</v>
          </cell>
        </row>
        <row r="271">
          <cell r="A271">
            <v>50084867</v>
          </cell>
          <cell r="C271">
            <v>50084867</v>
          </cell>
          <cell r="E271" t="str">
            <v>CR</v>
          </cell>
          <cell r="F271" t="str">
            <v>SPCC-SD</v>
          </cell>
          <cell r="G271">
            <v>1.6</v>
          </cell>
          <cell r="H271">
            <v>214</v>
          </cell>
          <cell r="I271">
            <v>1219</v>
          </cell>
          <cell r="J271" t="str">
            <v>DS01/1</v>
          </cell>
          <cell r="K271">
            <v>50084867</v>
          </cell>
          <cell r="L271">
            <v>993</v>
          </cell>
        </row>
        <row r="272">
          <cell r="A272">
            <v>50085847</v>
          </cell>
          <cell r="C272">
            <v>50085847</v>
          </cell>
          <cell r="E272" t="str">
            <v>PO</v>
          </cell>
          <cell r="F272" t="str">
            <v>SPHC P/O</v>
          </cell>
          <cell r="G272">
            <v>3.2</v>
          </cell>
          <cell r="H272">
            <v>64</v>
          </cell>
          <cell r="I272">
            <v>1219</v>
          </cell>
          <cell r="J272" t="str">
            <v>CF01/2</v>
          </cell>
          <cell r="K272">
            <v>50085847</v>
          </cell>
          <cell r="L272">
            <v>82</v>
          </cell>
        </row>
        <row r="273">
          <cell r="A273">
            <v>50087068</v>
          </cell>
          <cell r="C273">
            <v>50087068</v>
          </cell>
          <cell r="E273" t="str">
            <v>CR</v>
          </cell>
          <cell r="F273" t="str">
            <v>SPCC-SD</v>
          </cell>
          <cell r="G273">
            <v>1.5</v>
          </cell>
          <cell r="H273">
            <v>470</v>
          </cell>
          <cell r="I273">
            <v>1350</v>
          </cell>
          <cell r="J273" t="str">
            <v>DS01/1</v>
          </cell>
          <cell r="K273">
            <v>50087068</v>
          </cell>
          <cell r="L273">
            <v>735</v>
          </cell>
        </row>
        <row r="274">
          <cell r="A274">
            <v>50087070</v>
          </cell>
          <cell r="C274">
            <v>50087070</v>
          </cell>
          <cell r="E274" t="str">
            <v>CR</v>
          </cell>
          <cell r="F274" t="str">
            <v>SPCC-SD</v>
          </cell>
          <cell r="G274">
            <v>1.5</v>
          </cell>
          <cell r="H274">
            <v>470</v>
          </cell>
          <cell r="I274">
            <v>1350</v>
          </cell>
          <cell r="J274" t="str">
            <v>DS01/1</v>
          </cell>
          <cell r="K274">
            <v>50087070</v>
          </cell>
          <cell r="L274">
            <v>737</v>
          </cell>
        </row>
        <row r="275">
          <cell r="A275">
            <v>50087072</v>
          </cell>
          <cell r="C275">
            <v>50087072</v>
          </cell>
          <cell r="E275" t="str">
            <v>CR</v>
          </cell>
          <cell r="F275" t="str">
            <v>SPCC-SD</v>
          </cell>
          <cell r="G275">
            <v>1.5</v>
          </cell>
          <cell r="H275">
            <v>470</v>
          </cell>
          <cell r="I275">
            <v>1350</v>
          </cell>
          <cell r="J275" t="str">
            <v>DS01/1</v>
          </cell>
          <cell r="K275">
            <v>50087072</v>
          </cell>
          <cell r="L275">
            <v>737</v>
          </cell>
        </row>
        <row r="276">
          <cell r="A276">
            <v>50087108</v>
          </cell>
          <cell r="C276">
            <v>50087108</v>
          </cell>
          <cell r="E276" t="str">
            <v>CR</v>
          </cell>
          <cell r="F276" t="str">
            <v>SPCC-SD</v>
          </cell>
          <cell r="G276">
            <v>1.5</v>
          </cell>
          <cell r="H276">
            <v>470</v>
          </cell>
          <cell r="I276">
            <v>1350</v>
          </cell>
          <cell r="J276" t="str">
            <v>DS01/1</v>
          </cell>
          <cell r="K276">
            <v>50087108</v>
          </cell>
          <cell r="L276">
            <v>735</v>
          </cell>
        </row>
        <row r="277">
          <cell r="A277">
            <v>50087110</v>
          </cell>
          <cell r="C277">
            <v>50087110</v>
          </cell>
          <cell r="E277" t="str">
            <v>CR</v>
          </cell>
          <cell r="F277" t="str">
            <v>SPCC-SD</v>
          </cell>
          <cell r="G277">
            <v>1.5</v>
          </cell>
          <cell r="H277">
            <v>470</v>
          </cell>
          <cell r="I277">
            <v>1350</v>
          </cell>
          <cell r="J277" t="str">
            <v>DS01/1</v>
          </cell>
          <cell r="K277">
            <v>50087110</v>
          </cell>
          <cell r="L277">
            <v>737</v>
          </cell>
        </row>
        <row r="278">
          <cell r="A278">
            <v>50087112</v>
          </cell>
          <cell r="C278">
            <v>50087112</v>
          </cell>
          <cell r="E278" t="str">
            <v>CR</v>
          </cell>
          <cell r="F278" t="str">
            <v>SPCC-SD</v>
          </cell>
          <cell r="G278">
            <v>1.5</v>
          </cell>
          <cell r="H278">
            <v>470</v>
          </cell>
          <cell r="I278">
            <v>1350</v>
          </cell>
          <cell r="J278" t="str">
            <v>DS01/1</v>
          </cell>
          <cell r="K278">
            <v>50087112</v>
          </cell>
          <cell r="L278">
            <v>444</v>
          </cell>
        </row>
        <row r="279">
          <cell r="A279">
            <v>50088123</v>
          </cell>
          <cell r="B279" t="str">
            <v>CR SPCC-SD 2.6x75x1219</v>
          </cell>
          <cell r="C279">
            <v>50088123</v>
          </cell>
          <cell r="D279" t="str">
            <v>CR SPCC-SD</v>
          </cell>
          <cell r="E279" t="str">
            <v>CR</v>
          </cell>
          <cell r="F279" t="str">
            <v>SPCC-SD</v>
          </cell>
          <cell r="G279">
            <v>2.6</v>
          </cell>
          <cell r="H279">
            <v>75</v>
          </cell>
          <cell r="I279">
            <v>1219</v>
          </cell>
          <cell r="J279" t="str">
            <v>CF01/2</v>
          </cell>
          <cell r="K279">
            <v>50088123</v>
          </cell>
          <cell r="L279">
            <v>5</v>
          </cell>
          <cell r="M279" t="str">
            <v>E2-ND-06-TSA-0152</v>
          </cell>
        </row>
        <row r="280">
          <cell r="A280">
            <v>50089148</v>
          </cell>
          <cell r="B280" t="str">
            <v>PO SAPH440 P/O 3.0x416x1219</v>
          </cell>
          <cell r="C280">
            <v>50089148</v>
          </cell>
          <cell r="D280" t="str">
            <v>PO SAPH440 P/O</v>
          </cell>
          <cell r="E280" t="str">
            <v>PO</v>
          </cell>
          <cell r="F280" t="str">
            <v>SAPH440 P/O</v>
          </cell>
          <cell r="G280">
            <v>3</v>
          </cell>
          <cell r="H280">
            <v>416</v>
          </cell>
          <cell r="I280">
            <v>1219</v>
          </cell>
          <cell r="J280" t="str">
            <v>CF01/1</v>
          </cell>
          <cell r="K280">
            <v>50089148</v>
          </cell>
          <cell r="L280">
            <v>96</v>
          </cell>
          <cell r="M280" t="str">
            <v>E2-ND-06-TSA-0155</v>
          </cell>
        </row>
        <row r="281">
          <cell r="A281">
            <v>50089306</v>
          </cell>
          <cell r="C281">
            <v>50089306</v>
          </cell>
          <cell r="E281" t="str">
            <v>PO</v>
          </cell>
          <cell r="F281" t="str">
            <v>SPHC P/O</v>
          </cell>
          <cell r="G281">
            <v>3.2</v>
          </cell>
          <cell r="H281">
            <v>230</v>
          </cell>
          <cell r="I281">
            <v>1219</v>
          </cell>
          <cell r="J281" t="str">
            <v>DS01/1</v>
          </cell>
          <cell r="K281">
            <v>50089306</v>
          </cell>
          <cell r="L281">
            <v>113</v>
          </cell>
        </row>
        <row r="282">
          <cell r="A282">
            <v>50090339</v>
          </cell>
          <cell r="C282">
            <v>50090339</v>
          </cell>
          <cell r="E282" t="str">
            <v>PO</v>
          </cell>
          <cell r="F282" t="str">
            <v>SPHC P/O</v>
          </cell>
          <cell r="G282">
            <v>2.2999999999999998</v>
          </cell>
          <cell r="H282">
            <v>86</v>
          </cell>
          <cell r="I282">
            <v>1219</v>
          </cell>
          <cell r="J282" t="str">
            <v>OW01/1</v>
          </cell>
          <cell r="K282">
            <v>50090339</v>
          </cell>
          <cell r="L282">
            <v>105</v>
          </cell>
        </row>
        <row r="283">
          <cell r="A283">
            <v>50093147</v>
          </cell>
          <cell r="C283">
            <v>50093147</v>
          </cell>
          <cell r="E283" t="str">
            <v>CR</v>
          </cell>
          <cell r="F283" t="str">
            <v>SPCC-SD</v>
          </cell>
          <cell r="G283">
            <v>1.6</v>
          </cell>
          <cell r="H283">
            <v>75</v>
          </cell>
          <cell r="I283">
            <v>1219</v>
          </cell>
          <cell r="J283" t="str">
            <v>DS01/1</v>
          </cell>
          <cell r="K283">
            <v>50093147</v>
          </cell>
          <cell r="L283">
            <v>76</v>
          </cell>
        </row>
        <row r="284">
          <cell r="A284">
            <v>50093621</v>
          </cell>
          <cell r="B284" t="str">
            <v>PO SAPH440 P/O 3.0X310x360</v>
          </cell>
          <cell r="C284">
            <v>50093621</v>
          </cell>
          <cell r="D284" t="str">
            <v>PO SAPH440 P/O</v>
          </cell>
          <cell r="E284" t="str">
            <v>PO</v>
          </cell>
          <cell r="F284" t="str">
            <v>SAPH440 P/O</v>
          </cell>
          <cell r="G284">
            <v>3</v>
          </cell>
          <cell r="H284">
            <v>310</v>
          </cell>
          <cell r="I284">
            <v>360</v>
          </cell>
          <cell r="J284" t="str">
            <v>CF01/2</v>
          </cell>
          <cell r="K284">
            <v>50093621</v>
          </cell>
          <cell r="L284">
            <v>235</v>
          </cell>
          <cell r="M284" t="str">
            <v>E2-ND-06-TSA-0155</v>
          </cell>
        </row>
        <row r="285">
          <cell r="A285">
            <v>50094422</v>
          </cell>
          <cell r="B285" t="str">
            <v>CR SPCC-SD 2.3x58x1219</v>
          </cell>
          <cell r="C285">
            <v>50094422</v>
          </cell>
          <cell r="D285" t="str">
            <v>CR SPCC-SD</v>
          </cell>
          <cell r="E285" t="str">
            <v>CR</v>
          </cell>
          <cell r="F285" t="str">
            <v>SPCC-SD</v>
          </cell>
          <cell r="G285">
            <v>2.2999999999999998</v>
          </cell>
          <cell r="H285">
            <v>58</v>
          </cell>
          <cell r="I285">
            <v>1219</v>
          </cell>
          <cell r="J285" t="str">
            <v>MW01/1</v>
          </cell>
          <cell r="K285">
            <v>50094422</v>
          </cell>
          <cell r="L285">
            <v>42</v>
          </cell>
          <cell r="M285" t="str">
            <v>E2-ND-06-TSA-0152</v>
          </cell>
        </row>
        <row r="286">
          <cell r="A286">
            <v>50095361</v>
          </cell>
          <cell r="B286" t="str">
            <v>PO SPHC P/O 2.3x77x1219</v>
          </cell>
          <cell r="C286">
            <v>50095361</v>
          </cell>
          <cell r="D286" t="str">
            <v>PO SPHC P/O</v>
          </cell>
          <cell r="E286" t="str">
            <v>PO</v>
          </cell>
          <cell r="F286" t="str">
            <v>SPHC P/O</v>
          </cell>
          <cell r="G286">
            <v>2.2999999999999998</v>
          </cell>
          <cell r="H286">
            <v>77</v>
          </cell>
          <cell r="I286">
            <v>1219</v>
          </cell>
          <cell r="J286" t="str">
            <v>CF01/2</v>
          </cell>
          <cell r="K286">
            <v>50095361</v>
          </cell>
          <cell r="L286">
            <v>34</v>
          </cell>
          <cell r="M286" t="str">
            <v>E2-ND-06-TSA-0154</v>
          </cell>
        </row>
        <row r="287">
          <cell r="A287">
            <v>50095607</v>
          </cell>
          <cell r="C287">
            <v>50095607</v>
          </cell>
          <cell r="E287" t="str">
            <v>CR</v>
          </cell>
          <cell r="F287" t="str">
            <v>SPCC-SD</v>
          </cell>
          <cell r="G287">
            <v>1.6</v>
          </cell>
          <cell r="H287">
            <v>214</v>
          </cell>
          <cell r="I287">
            <v>1219</v>
          </cell>
          <cell r="J287" t="str">
            <v>DS01/1</v>
          </cell>
          <cell r="K287">
            <v>50095607</v>
          </cell>
          <cell r="L287">
            <v>490</v>
          </cell>
        </row>
        <row r="288">
          <cell r="A288">
            <v>50095615</v>
          </cell>
          <cell r="C288">
            <v>50095615</v>
          </cell>
          <cell r="E288" t="str">
            <v>CR</v>
          </cell>
          <cell r="F288" t="str">
            <v>SPCC-SD</v>
          </cell>
          <cell r="G288">
            <v>1.6</v>
          </cell>
          <cell r="H288">
            <v>214</v>
          </cell>
          <cell r="I288">
            <v>1219</v>
          </cell>
          <cell r="J288" t="str">
            <v>DS01/1</v>
          </cell>
          <cell r="K288">
            <v>50095615</v>
          </cell>
          <cell r="L288">
            <v>329</v>
          </cell>
        </row>
        <row r="289">
          <cell r="A289">
            <v>50096493</v>
          </cell>
          <cell r="B289" t="str">
            <v>PO SPHC P/O 3.2x57x1219</v>
          </cell>
          <cell r="C289">
            <v>50096493</v>
          </cell>
          <cell r="D289" t="str">
            <v>PO SPHC P/O</v>
          </cell>
          <cell r="E289" t="str">
            <v>PO</v>
          </cell>
          <cell r="F289" t="str">
            <v>SPHC P/O</v>
          </cell>
          <cell r="G289">
            <v>3.2</v>
          </cell>
          <cell r="H289">
            <v>57</v>
          </cell>
          <cell r="I289">
            <v>1219</v>
          </cell>
          <cell r="J289" t="str">
            <v>LW01/1</v>
          </cell>
          <cell r="K289">
            <v>50096493</v>
          </cell>
          <cell r="L289">
            <v>71</v>
          </cell>
          <cell r="M289" t="str">
            <v>E2-ND-06-TSA-0155</v>
          </cell>
        </row>
        <row r="290">
          <cell r="A290">
            <v>50097078</v>
          </cell>
          <cell r="C290">
            <v>50097078</v>
          </cell>
          <cell r="E290" t="str">
            <v>PO</v>
          </cell>
          <cell r="F290" t="str">
            <v>SPHC P/O</v>
          </cell>
          <cell r="G290">
            <v>5</v>
          </cell>
          <cell r="H290">
            <v>70</v>
          </cell>
          <cell r="I290">
            <v>1219</v>
          </cell>
          <cell r="J290" t="str">
            <v>OW01/1</v>
          </cell>
          <cell r="K290">
            <v>50097078</v>
          </cell>
          <cell r="L290">
            <v>266</v>
          </cell>
        </row>
        <row r="291">
          <cell r="A291">
            <v>50097998</v>
          </cell>
          <cell r="C291">
            <v>50097998</v>
          </cell>
          <cell r="E291" t="str">
            <v>PO</v>
          </cell>
          <cell r="F291" t="str">
            <v>SPHC P/O</v>
          </cell>
          <cell r="G291">
            <v>4</v>
          </cell>
          <cell r="H291">
            <v>68</v>
          </cell>
          <cell r="I291">
            <v>1219</v>
          </cell>
          <cell r="J291" t="str">
            <v>OW01/1</v>
          </cell>
          <cell r="K291">
            <v>50097998</v>
          </cell>
          <cell r="L291">
            <v>640</v>
          </cell>
        </row>
        <row r="292">
          <cell r="A292">
            <v>50097999</v>
          </cell>
          <cell r="C292">
            <v>50097999</v>
          </cell>
          <cell r="E292" t="str">
            <v>PO</v>
          </cell>
          <cell r="F292" t="str">
            <v>SPHC P/O</v>
          </cell>
          <cell r="G292">
            <v>4</v>
          </cell>
          <cell r="H292">
            <v>62</v>
          </cell>
          <cell r="I292">
            <v>1219</v>
          </cell>
          <cell r="J292" t="str">
            <v>OW01/1</v>
          </cell>
          <cell r="K292">
            <v>50097999</v>
          </cell>
          <cell r="L292">
            <v>350</v>
          </cell>
        </row>
        <row r="293">
          <cell r="A293">
            <v>50098000</v>
          </cell>
          <cell r="C293">
            <v>50098000</v>
          </cell>
          <cell r="E293" t="str">
            <v>PO</v>
          </cell>
          <cell r="F293" t="str">
            <v>SPHC P/O</v>
          </cell>
          <cell r="G293">
            <v>4</v>
          </cell>
          <cell r="H293">
            <v>62</v>
          </cell>
          <cell r="I293">
            <v>1219</v>
          </cell>
          <cell r="J293" t="str">
            <v>OW01/1</v>
          </cell>
          <cell r="K293">
            <v>50098000</v>
          </cell>
          <cell r="L293">
            <v>350</v>
          </cell>
        </row>
        <row r="294">
          <cell r="A294">
            <v>50098313</v>
          </cell>
          <cell r="C294">
            <v>50098313</v>
          </cell>
          <cell r="E294" t="str">
            <v>CR</v>
          </cell>
          <cell r="F294" t="str">
            <v>SPCC-SD</v>
          </cell>
          <cell r="G294">
            <v>0.6</v>
          </cell>
          <cell r="H294">
            <v>115</v>
          </cell>
          <cell r="I294">
            <v>1219</v>
          </cell>
          <cell r="J294" t="str">
            <v>Semi/S</v>
          </cell>
          <cell r="K294">
            <v>50098313</v>
          </cell>
          <cell r="L294">
            <v>111</v>
          </cell>
        </row>
        <row r="295">
          <cell r="A295">
            <v>50098636</v>
          </cell>
          <cell r="C295">
            <v>50098636</v>
          </cell>
          <cell r="E295" t="str">
            <v>PO</v>
          </cell>
          <cell r="F295" t="str">
            <v>SAPH440 P/O</v>
          </cell>
          <cell r="G295">
            <v>4.5</v>
          </cell>
          <cell r="H295">
            <v>245</v>
          </cell>
          <cell r="I295">
            <v>1219</v>
          </cell>
          <cell r="J295" t="str">
            <v>Semi/S</v>
          </cell>
          <cell r="K295">
            <v>50098636</v>
          </cell>
          <cell r="L295">
            <v>84</v>
          </cell>
        </row>
        <row r="296">
          <cell r="A296">
            <v>50098649</v>
          </cell>
          <cell r="C296">
            <v>50098649</v>
          </cell>
          <cell r="E296" t="str">
            <v>CR</v>
          </cell>
          <cell r="F296" t="str">
            <v>SPCEN-SD</v>
          </cell>
          <cell r="G296">
            <v>1</v>
          </cell>
          <cell r="H296">
            <v>400</v>
          </cell>
          <cell r="I296">
            <v>480</v>
          </cell>
          <cell r="J296" t="str">
            <v>DS01/1</v>
          </cell>
          <cell r="K296">
            <v>50098649</v>
          </cell>
          <cell r="L296">
            <v>148</v>
          </cell>
        </row>
        <row r="297">
          <cell r="A297">
            <v>50099919</v>
          </cell>
          <cell r="B297" t="str">
            <v>PO SS400 P/O 4.5x65x1219</v>
          </cell>
          <cell r="C297">
            <v>50099919</v>
          </cell>
          <cell r="D297" t="str">
            <v>PO SPHC P/O</v>
          </cell>
          <cell r="E297" t="str">
            <v>PO</v>
          </cell>
          <cell r="F297" t="str">
            <v>SS400 P/O</v>
          </cell>
          <cell r="G297">
            <v>4.5</v>
          </cell>
          <cell r="H297">
            <v>65</v>
          </cell>
          <cell r="I297">
            <v>1219</v>
          </cell>
          <cell r="J297" t="str">
            <v>CF01/1</v>
          </cell>
          <cell r="K297">
            <v>50099919</v>
          </cell>
          <cell r="L297">
            <v>168</v>
          </cell>
          <cell r="M297" t="str">
            <v>E2-ND-06-TSA-0155</v>
          </cell>
        </row>
        <row r="298">
          <cell r="A298">
            <v>50100143</v>
          </cell>
          <cell r="C298">
            <v>50100143</v>
          </cell>
          <cell r="E298" t="str">
            <v>CR</v>
          </cell>
          <cell r="F298" t="str">
            <v>SPCC-SD</v>
          </cell>
          <cell r="G298">
            <v>0.5</v>
          </cell>
          <cell r="H298">
            <v>70</v>
          </cell>
          <cell r="I298">
            <v>1690</v>
          </cell>
          <cell r="J298" t="str">
            <v>CF01/2</v>
          </cell>
          <cell r="K298">
            <v>50100143</v>
          </cell>
          <cell r="L298">
            <v>79</v>
          </cell>
        </row>
        <row r="299">
          <cell r="A299">
            <v>50100271</v>
          </cell>
          <cell r="C299">
            <v>50100271</v>
          </cell>
          <cell r="E299" t="str">
            <v>CR</v>
          </cell>
          <cell r="F299" t="str">
            <v>SPCC-SD</v>
          </cell>
          <cell r="G299">
            <v>2</v>
          </cell>
          <cell r="H299">
            <v>98</v>
          </cell>
          <cell r="I299">
            <v>180</v>
          </cell>
          <cell r="J299" t="str">
            <v>CF01/1</v>
          </cell>
          <cell r="K299">
            <v>50100271</v>
          </cell>
          <cell r="L299">
            <v>17</v>
          </cell>
        </row>
        <row r="300">
          <cell r="A300">
            <v>50100272</v>
          </cell>
          <cell r="C300">
            <v>50100272</v>
          </cell>
          <cell r="E300" t="str">
            <v>CR</v>
          </cell>
          <cell r="F300" t="str">
            <v>SPCC-SD</v>
          </cell>
          <cell r="G300">
            <v>2</v>
          </cell>
          <cell r="H300">
            <v>98</v>
          </cell>
          <cell r="I300">
            <v>180</v>
          </cell>
          <cell r="J300" t="str">
            <v>CF01/1</v>
          </cell>
          <cell r="K300">
            <v>50100272</v>
          </cell>
          <cell r="L300">
            <v>277</v>
          </cell>
        </row>
        <row r="301">
          <cell r="A301">
            <v>50100427</v>
          </cell>
          <cell r="C301">
            <v>50100427</v>
          </cell>
          <cell r="E301" t="str">
            <v>PO</v>
          </cell>
          <cell r="F301" t="str">
            <v>SPHC P/O</v>
          </cell>
          <cell r="G301">
            <v>3.2</v>
          </cell>
          <cell r="H301">
            <v>65</v>
          </cell>
          <cell r="I301">
            <v>1219</v>
          </cell>
          <cell r="J301" t="str">
            <v>OW01/1</v>
          </cell>
          <cell r="K301">
            <v>50100427</v>
          </cell>
          <cell r="L301">
            <v>219</v>
          </cell>
        </row>
        <row r="302">
          <cell r="A302">
            <v>50100464</v>
          </cell>
          <cell r="C302">
            <v>50100464</v>
          </cell>
          <cell r="E302" t="str">
            <v>CR</v>
          </cell>
          <cell r="F302" t="str">
            <v>SPCC-SD</v>
          </cell>
          <cell r="G302">
            <v>0.6</v>
          </cell>
          <cell r="H302">
            <v>489</v>
          </cell>
          <cell r="I302">
            <v>1904.5</v>
          </cell>
          <cell r="J302" t="str">
            <v>CW00</v>
          </cell>
          <cell r="K302">
            <v>50100464</v>
          </cell>
          <cell r="L302">
            <v>79</v>
          </cell>
        </row>
        <row r="303">
          <cell r="A303">
            <v>50101101</v>
          </cell>
          <cell r="B303" t="str">
            <v>PO SPHC P/O 4.5x64x1219</v>
          </cell>
          <cell r="C303">
            <v>50101101</v>
          </cell>
          <cell r="D303" t="str">
            <v>PO SPHC P/O</v>
          </cell>
          <cell r="E303" t="str">
            <v>PO</v>
          </cell>
          <cell r="F303" t="str">
            <v>SPHC P/O</v>
          </cell>
          <cell r="G303">
            <v>4.5</v>
          </cell>
          <cell r="H303">
            <v>64</v>
          </cell>
          <cell r="I303">
            <v>1219</v>
          </cell>
          <cell r="J303" t="str">
            <v>CF01/1</v>
          </cell>
          <cell r="K303">
            <v>50101101</v>
          </cell>
          <cell r="L303">
            <v>616</v>
          </cell>
          <cell r="M303" t="str">
            <v>E2-ND-06-TSA-0154</v>
          </cell>
        </row>
        <row r="304">
          <cell r="A304">
            <v>50101506</v>
          </cell>
          <cell r="C304">
            <v>50101506</v>
          </cell>
          <cell r="E304" t="str">
            <v>CR</v>
          </cell>
          <cell r="F304" t="str">
            <v>SPCC-SD</v>
          </cell>
          <cell r="G304">
            <v>3</v>
          </cell>
          <cell r="H304">
            <v>1170</v>
          </cell>
          <cell r="I304">
            <v>1240</v>
          </cell>
          <cell r="J304" t="str">
            <v>CW00</v>
          </cell>
          <cell r="K304">
            <v>50101506</v>
          </cell>
          <cell r="L304">
            <v>171</v>
          </cell>
        </row>
        <row r="305">
          <cell r="A305">
            <v>50101591</v>
          </cell>
          <cell r="C305">
            <v>50101591</v>
          </cell>
          <cell r="E305" t="str">
            <v>CR</v>
          </cell>
          <cell r="F305" t="str">
            <v>SPCC-SD</v>
          </cell>
          <cell r="G305">
            <v>3</v>
          </cell>
          <cell r="H305">
            <v>462</v>
          </cell>
          <cell r="I305">
            <v>1170</v>
          </cell>
          <cell r="J305" t="str">
            <v>SEMI/S</v>
          </cell>
          <cell r="K305">
            <v>50101591</v>
          </cell>
          <cell r="L305">
            <v>204</v>
          </cell>
        </row>
        <row r="306">
          <cell r="A306">
            <v>50101617</v>
          </cell>
          <cell r="C306">
            <v>50101617</v>
          </cell>
          <cell r="E306" t="str">
            <v>PO</v>
          </cell>
          <cell r="F306" t="str">
            <v>SPHC P/O</v>
          </cell>
          <cell r="G306">
            <v>2</v>
          </cell>
          <cell r="H306">
            <v>87</v>
          </cell>
          <cell r="I306">
            <v>1219</v>
          </cell>
          <cell r="J306" t="str">
            <v>DS01/1</v>
          </cell>
          <cell r="K306">
            <v>50101617</v>
          </cell>
          <cell r="L306">
            <v>84</v>
          </cell>
        </row>
        <row r="307">
          <cell r="A307">
            <v>50102385</v>
          </cell>
          <cell r="C307">
            <v>50102385</v>
          </cell>
          <cell r="E307" t="str">
            <v>CR</v>
          </cell>
          <cell r="F307" t="str">
            <v>SPCC-SD</v>
          </cell>
          <cell r="G307">
            <v>3</v>
          </cell>
          <cell r="H307">
            <v>290</v>
          </cell>
          <cell r="I307">
            <v>1219</v>
          </cell>
          <cell r="J307" t="str">
            <v>Semi/S</v>
          </cell>
          <cell r="K307">
            <v>50102385</v>
          </cell>
          <cell r="L307">
            <v>185</v>
          </cell>
        </row>
        <row r="308">
          <cell r="A308">
            <v>50102903</v>
          </cell>
          <cell r="B308" t="str">
            <v>PO SPHC P/O 4.5x99x1219</v>
          </cell>
          <cell r="C308">
            <v>50102903</v>
          </cell>
          <cell r="D308" t="str">
            <v>PO SPHC P/O</v>
          </cell>
          <cell r="E308" t="str">
            <v>PO</v>
          </cell>
          <cell r="F308" t="str">
            <v>SPHC P/O</v>
          </cell>
          <cell r="G308">
            <v>4.5</v>
          </cell>
          <cell r="H308">
            <v>99</v>
          </cell>
          <cell r="I308">
            <v>1219</v>
          </cell>
          <cell r="J308" t="str">
            <v>CF01/2</v>
          </cell>
          <cell r="K308">
            <v>50102903</v>
          </cell>
          <cell r="L308">
            <v>115</v>
          </cell>
          <cell r="M308" t="str">
            <v>E2-ND-06-TSA-0154</v>
          </cell>
        </row>
        <row r="309">
          <cell r="A309">
            <v>50102937</v>
          </cell>
          <cell r="C309">
            <v>50102937</v>
          </cell>
          <cell r="E309" t="str">
            <v>CR</v>
          </cell>
          <cell r="F309" t="str">
            <v>SPCC-SD</v>
          </cell>
          <cell r="G309">
            <v>3</v>
          </cell>
          <cell r="H309">
            <v>4624</v>
          </cell>
          <cell r="I309">
            <v>1170</v>
          </cell>
          <cell r="J309" t="str">
            <v>Semi/S</v>
          </cell>
          <cell r="K309">
            <v>50102937</v>
          </cell>
          <cell r="L309">
            <v>848</v>
          </cell>
        </row>
        <row r="310">
          <cell r="A310">
            <v>50103244</v>
          </cell>
          <cell r="B310" t="str">
            <v>CR SPCC-SD 1.2x60x1219</v>
          </cell>
          <cell r="C310">
            <v>50103244</v>
          </cell>
          <cell r="D310" t="str">
            <v>CR SPCC-SD</v>
          </cell>
          <cell r="E310" t="str">
            <v>CR</v>
          </cell>
          <cell r="F310" t="str">
            <v>SPCC-SD</v>
          </cell>
          <cell r="G310">
            <v>1.2</v>
          </cell>
          <cell r="H310">
            <v>60</v>
          </cell>
          <cell r="I310">
            <v>1219</v>
          </cell>
          <cell r="J310" t="str">
            <v>CF01/2</v>
          </cell>
          <cell r="K310">
            <v>50103244</v>
          </cell>
          <cell r="L310">
            <v>250</v>
          </cell>
          <cell r="M310" t="str">
            <v>E1-ND-06-TSA-0362</v>
          </cell>
        </row>
        <row r="311">
          <cell r="A311">
            <v>50104008</v>
          </cell>
          <cell r="C311">
            <v>50104008</v>
          </cell>
          <cell r="E311" t="str">
            <v>CR</v>
          </cell>
          <cell r="F311" t="str">
            <v>SPCC-SD</v>
          </cell>
          <cell r="G311">
            <v>1.6</v>
          </cell>
          <cell r="H311">
            <v>160</v>
          </cell>
          <cell r="I311">
            <v>1149</v>
          </cell>
          <cell r="J311" t="str">
            <v>Semi/S</v>
          </cell>
          <cell r="K311">
            <v>50104008</v>
          </cell>
          <cell r="L311">
            <v>104</v>
          </cell>
        </row>
        <row r="312">
          <cell r="A312">
            <v>50104553</v>
          </cell>
          <cell r="B312" t="str">
            <v>CR SPCC-SD 3.0x268.7x1240</v>
          </cell>
          <cell r="C312">
            <v>50104553</v>
          </cell>
          <cell r="D312" t="str">
            <v>CR SPCC-SD</v>
          </cell>
          <cell r="E312" t="str">
            <v>CR</v>
          </cell>
          <cell r="F312" t="str">
            <v>SPCC-SD</v>
          </cell>
          <cell r="G312">
            <v>3</v>
          </cell>
          <cell r="H312">
            <v>268.7</v>
          </cell>
          <cell r="I312">
            <v>1240</v>
          </cell>
          <cell r="J312" t="str">
            <v>CF01/1</v>
          </cell>
          <cell r="K312">
            <v>50104553</v>
          </cell>
          <cell r="L312">
            <v>789</v>
          </cell>
          <cell r="M312" t="str">
            <v>E2-ND-06-TSA-0153</v>
          </cell>
        </row>
        <row r="313">
          <cell r="A313">
            <v>50104554</v>
          </cell>
          <cell r="B313" t="str">
            <v>CR SPCC-SD 3.0x268.7x1240</v>
          </cell>
          <cell r="C313">
            <v>50104554</v>
          </cell>
          <cell r="D313" t="str">
            <v>CR SPCC-SD</v>
          </cell>
          <cell r="E313" t="str">
            <v>CR</v>
          </cell>
          <cell r="F313" t="str">
            <v>SPCC-SD</v>
          </cell>
          <cell r="G313">
            <v>3</v>
          </cell>
          <cell r="H313">
            <v>268.7</v>
          </cell>
          <cell r="I313">
            <v>1240</v>
          </cell>
          <cell r="J313" t="str">
            <v>MW01/1</v>
          </cell>
          <cell r="K313">
            <v>50104554</v>
          </cell>
          <cell r="L313">
            <v>789</v>
          </cell>
          <cell r="M313" t="str">
            <v>E2-ND-06-TSA-0153</v>
          </cell>
        </row>
        <row r="314">
          <cell r="A314">
            <v>50104734</v>
          </cell>
          <cell r="B314" t="str">
            <v>CR SPCC-SD 3.0x90.1x845</v>
          </cell>
          <cell r="C314">
            <v>50104734</v>
          </cell>
          <cell r="D314" t="str">
            <v>CR SPCC-SD</v>
          </cell>
          <cell r="E314" t="str">
            <v>CR</v>
          </cell>
          <cell r="F314" t="str">
            <v>SPCC-SD</v>
          </cell>
          <cell r="G314">
            <v>3</v>
          </cell>
          <cell r="H314">
            <v>90.1</v>
          </cell>
          <cell r="I314">
            <v>845</v>
          </cell>
          <cell r="J314" t="str">
            <v>CF01/1</v>
          </cell>
          <cell r="K314">
            <v>50104734</v>
          </cell>
          <cell r="L314">
            <v>168</v>
          </cell>
          <cell r="M314" t="str">
            <v>E2-ND-06-TSA-0153</v>
          </cell>
        </row>
        <row r="315">
          <cell r="A315">
            <v>50105015</v>
          </cell>
          <cell r="C315">
            <v>50105015</v>
          </cell>
          <cell r="E315" t="str">
            <v>CR</v>
          </cell>
          <cell r="F315" t="str">
            <v>SPCC-SD</v>
          </cell>
          <cell r="G315">
            <v>1.4</v>
          </cell>
          <cell r="H315">
            <v>203</v>
          </cell>
          <cell r="I315">
            <v>1219</v>
          </cell>
          <cell r="J315" t="str">
            <v>Semi/S</v>
          </cell>
          <cell r="K315">
            <v>50105015</v>
          </cell>
          <cell r="L315">
            <v>256</v>
          </cell>
        </row>
        <row r="316">
          <cell r="A316">
            <v>50105477</v>
          </cell>
          <cell r="C316">
            <v>50105477</v>
          </cell>
          <cell r="E316" t="str">
            <v>PO</v>
          </cell>
          <cell r="F316" t="str">
            <v>SPHC P/O</v>
          </cell>
          <cell r="G316">
            <v>2.2999999999999998</v>
          </cell>
          <cell r="H316">
            <v>433</v>
          </cell>
          <cell r="I316">
            <v>1990</v>
          </cell>
          <cell r="J316" t="str">
            <v>CW00</v>
          </cell>
          <cell r="K316">
            <v>50105477</v>
          </cell>
          <cell r="L316">
            <v>342</v>
          </cell>
        </row>
        <row r="317">
          <cell r="A317">
            <v>50105618</v>
          </cell>
          <cell r="B317" t="str">
            <v>CR SPCC-SD 1.6x90x250</v>
          </cell>
          <cell r="C317">
            <v>50105618</v>
          </cell>
          <cell r="D317" t="str">
            <v>CR SPCC-SD</v>
          </cell>
          <cell r="E317" t="str">
            <v>CR</v>
          </cell>
          <cell r="F317" t="str">
            <v>SPCC-SD</v>
          </cell>
          <cell r="G317">
            <v>1.6</v>
          </cell>
          <cell r="H317">
            <v>90</v>
          </cell>
          <cell r="I317">
            <v>250</v>
          </cell>
          <cell r="J317" t="str">
            <v>CF01/1</v>
          </cell>
          <cell r="K317">
            <v>50105618</v>
          </cell>
          <cell r="L317">
            <v>77</v>
          </cell>
          <cell r="M317" t="str">
            <v>E2-ND-06-TSA-0152</v>
          </cell>
        </row>
        <row r="318">
          <cell r="A318">
            <v>50105862</v>
          </cell>
          <cell r="C318">
            <v>50105862</v>
          </cell>
          <cell r="E318" t="str">
            <v>CR</v>
          </cell>
          <cell r="F318" t="str">
            <v>SPCC-SD</v>
          </cell>
          <cell r="G318">
            <v>0.7</v>
          </cell>
          <cell r="H318">
            <v>620</v>
          </cell>
          <cell r="I318">
            <v>1530</v>
          </cell>
          <cell r="J318" t="str">
            <v>DS01/1</v>
          </cell>
          <cell r="K318">
            <v>50105862</v>
          </cell>
          <cell r="L318">
            <v>52</v>
          </cell>
        </row>
        <row r="319">
          <cell r="A319">
            <v>50106725</v>
          </cell>
          <cell r="B319" t="str">
            <v>PO SPHC P/O 6.0x95x1219</v>
          </cell>
          <cell r="C319">
            <v>50106725</v>
          </cell>
          <cell r="D319" t="str">
            <v>PO SPHC P/O</v>
          </cell>
          <cell r="E319" t="str">
            <v>PO</v>
          </cell>
          <cell r="F319" t="str">
            <v>SPHC P/O</v>
          </cell>
          <cell r="G319">
            <v>6</v>
          </cell>
          <cell r="H319">
            <v>95</v>
          </cell>
          <cell r="I319">
            <v>1219</v>
          </cell>
          <cell r="J319" t="str">
            <v>CF01/2</v>
          </cell>
          <cell r="K319">
            <v>50106725</v>
          </cell>
          <cell r="L319">
            <v>59</v>
          </cell>
          <cell r="M319" t="str">
            <v>E2-NJ-06-TSA-0073</v>
          </cell>
        </row>
        <row r="320">
          <cell r="A320">
            <v>50106726</v>
          </cell>
          <cell r="C320">
            <v>50106726</v>
          </cell>
          <cell r="E320" t="str">
            <v>PO</v>
          </cell>
          <cell r="F320" t="str">
            <v>SPHC P/O</v>
          </cell>
          <cell r="G320">
            <v>6</v>
          </cell>
          <cell r="H320">
            <v>95</v>
          </cell>
          <cell r="I320">
            <v>380</v>
          </cell>
          <cell r="J320" t="str">
            <v>OW01/1</v>
          </cell>
          <cell r="K320">
            <v>50106726</v>
          </cell>
          <cell r="L320">
            <v>74</v>
          </cell>
        </row>
        <row r="321">
          <cell r="A321">
            <v>50106727</v>
          </cell>
          <cell r="C321">
            <v>50106727</v>
          </cell>
          <cell r="E321" t="str">
            <v>PO</v>
          </cell>
          <cell r="F321" t="str">
            <v>SPHC P/O</v>
          </cell>
          <cell r="G321">
            <v>6</v>
          </cell>
          <cell r="H321">
            <v>95</v>
          </cell>
          <cell r="I321">
            <v>1219</v>
          </cell>
          <cell r="J321" t="str">
            <v>OW01/1</v>
          </cell>
          <cell r="K321">
            <v>50106727</v>
          </cell>
          <cell r="L321">
            <v>166</v>
          </cell>
        </row>
        <row r="322">
          <cell r="A322">
            <v>50106735</v>
          </cell>
          <cell r="C322">
            <v>50106735</v>
          </cell>
          <cell r="E322" t="str">
            <v>CR</v>
          </cell>
          <cell r="F322" t="str">
            <v>SPCC-SD</v>
          </cell>
          <cell r="G322">
            <v>1.4</v>
          </cell>
          <cell r="H322">
            <v>203</v>
          </cell>
          <cell r="I322">
            <v>1219</v>
          </cell>
          <cell r="J322" t="str">
            <v>Semi/S</v>
          </cell>
          <cell r="K322">
            <v>50106735</v>
          </cell>
          <cell r="L322">
            <v>378</v>
          </cell>
        </row>
        <row r="323">
          <cell r="A323">
            <v>50107640</v>
          </cell>
          <cell r="C323">
            <v>50107640</v>
          </cell>
          <cell r="E323" t="str">
            <v>PO</v>
          </cell>
          <cell r="F323" t="str">
            <v>SPHC P/O</v>
          </cell>
          <cell r="G323">
            <v>2</v>
          </cell>
          <cell r="H323">
            <v>70</v>
          </cell>
          <cell r="I323">
            <v>1219</v>
          </cell>
          <cell r="J323" t="str">
            <v>OW01/1</v>
          </cell>
          <cell r="K323">
            <v>50107640</v>
          </cell>
          <cell r="L323">
            <v>125</v>
          </cell>
        </row>
        <row r="324">
          <cell r="A324">
            <v>50107709</v>
          </cell>
          <cell r="C324">
            <v>50107709</v>
          </cell>
          <cell r="E324" t="str">
            <v>PO</v>
          </cell>
          <cell r="F324" t="str">
            <v>SAPH440 P/O</v>
          </cell>
          <cell r="G324">
            <v>2.6</v>
          </cell>
          <cell r="H324">
            <v>56</v>
          </cell>
          <cell r="I324">
            <v>1219</v>
          </cell>
          <cell r="J324" t="str">
            <v>CF01/2</v>
          </cell>
          <cell r="K324">
            <v>50107709</v>
          </cell>
          <cell r="L324">
            <v>207</v>
          </cell>
        </row>
        <row r="325">
          <cell r="A325">
            <v>50109241</v>
          </cell>
          <cell r="C325">
            <v>50109241</v>
          </cell>
          <cell r="E325" t="str">
            <v>CR</v>
          </cell>
          <cell r="F325" t="str">
            <v>SPCC-SD</v>
          </cell>
          <cell r="G325">
            <v>3</v>
          </cell>
          <cell r="H325">
            <v>462</v>
          </cell>
          <cell r="I325">
            <v>1170</v>
          </cell>
          <cell r="J325" t="str">
            <v>SEMI/S</v>
          </cell>
          <cell r="K325">
            <v>50109241</v>
          </cell>
          <cell r="L325">
            <v>153</v>
          </cell>
        </row>
        <row r="326">
          <cell r="A326">
            <v>50110099</v>
          </cell>
          <cell r="C326">
            <v>50110099</v>
          </cell>
          <cell r="E326" t="str">
            <v>CR</v>
          </cell>
          <cell r="F326" t="str">
            <v>SPCC-SD</v>
          </cell>
          <cell r="G326">
            <v>1</v>
          </cell>
          <cell r="H326">
            <v>211</v>
          </cell>
          <cell r="I326">
            <v>1219</v>
          </cell>
          <cell r="J326" t="str">
            <v>Semi/S</v>
          </cell>
          <cell r="K326">
            <v>50110099</v>
          </cell>
          <cell r="L326">
            <v>91</v>
          </cell>
        </row>
        <row r="327">
          <cell r="A327">
            <v>50110162</v>
          </cell>
          <cell r="B327" t="str">
            <v>PO SPHC P/O 4.5x72x1219</v>
          </cell>
          <cell r="C327">
            <v>50110162</v>
          </cell>
          <cell r="D327" t="str">
            <v>PO SPHC P/O</v>
          </cell>
          <cell r="E327" t="str">
            <v>PO</v>
          </cell>
          <cell r="F327" t="str">
            <v>SPHC P/O</v>
          </cell>
          <cell r="G327">
            <v>4.5</v>
          </cell>
          <cell r="H327">
            <v>72</v>
          </cell>
          <cell r="I327">
            <v>1219</v>
          </cell>
          <cell r="J327" t="str">
            <v>MW01/1</v>
          </cell>
          <cell r="K327">
            <v>50110162</v>
          </cell>
          <cell r="L327">
            <v>310</v>
          </cell>
          <cell r="M327" t="str">
            <v>E2-ND-06-TSA-0154</v>
          </cell>
        </row>
        <row r="328">
          <cell r="A328">
            <v>50110164</v>
          </cell>
          <cell r="B328" t="str">
            <v>PO SPHC P/O 4.5x72x1219</v>
          </cell>
          <cell r="C328">
            <v>50110164</v>
          </cell>
          <cell r="D328" t="str">
            <v>PO SPHC P/O</v>
          </cell>
          <cell r="E328" t="str">
            <v>PO</v>
          </cell>
          <cell r="F328" t="str">
            <v>SPHC P/O</v>
          </cell>
          <cell r="G328">
            <v>4.5</v>
          </cell>
          <cell r="H328">
            <v>72</v>
          </cell>
          <cell r="I328">
            <v>1219</v>
          </cell>
          <cell r="J328" t="str">
            <v>CF01/2</v>
          </cell>
          <cell r="K328">
            <v>50110164</v>
          </cell>
          <cell r="L328">
            <v>43</v>
          </cell>
          <cell r="M328" t="str">
            <v>E2-NJ-06-TSA-0063</v>
          </cell>
        </row>
        <row r="329">
          <cell r="A329">
            <v>50110463</v>
          </cell>
          <cell r="C329">
            <v>50110463</v>
          </cell>
          <cell r="E329" t="str">
            <v>CR</v>
          </cell>
          <cell r="F329" t="str">
            <v>SPCC-SD</v>
          </cell>
          <cell r="G329">
            <v>3</v>
          </cell>
          <cell r="H329">
            <v>60</v>
          </cell>
          <cell r="I329">
            <v>1219</v>
          </cell>
          <cell r="J329" t="str">
            <v>DS01/1</v>
          </cell>
          <cell r="K329">
            <v>50110463</v>
          </cell>
          <cell r="L329">
            <v>394</v>
          </cell>
        </row>
        <row r="330">
          <cell r="A330">
            <v>50110688</v>
          </cell>
          <cell r="B330" t="str">
            <v>CR SPCC-SD 1.2x84x1219</v>
          </cell>
          <cell r="C330">
            <v>50110688</v>
          </cell>
          <cell r="D330" t="str">
            <v>CR SPCC-SD</v>
          </cell>
          <cell r="E330" t="str">
            <v>CR</v>
          </cell>
          <cell r="F330" t="str">
            <v>SPCC-SD</v>
          </cell>
          <cell r="G330">
            <v>1.2</v>
          </cell>
          <cell r="H330">
            <v>84</v>
          </cell>
          <cell r="I330">
            <v>1219</v>
          </cell>
          <cell r="J330" t="str">
            <v>LW02/2</v>
          </cell>
          <cell r="K330">
            <v>50110688</v>
          </cell>
          <cell r="L330">
            <v>18</v>
          </cell>
          <cell r="M330" t="str">
            <v>E1-NJ-06-TSA-0376</v>
          </cell>
        </row>
        <row r="331">
          <cell r="A331">
            <v>50112283</v>
          </cell>
          <cell r="B331" t="str">
            <v>PO SPHC P/O 4.5x99x1219</v>
          </cell>
          <cell r="C331">
            <v>50112283</v>
          </cell>
          <cell r="D331" t="str">
            <v>PO SPHC P/O</v>
          </cell>
          <cell r="E331" t="str">
            <v>PO</v>
          </cell>
          <cell r="F331" t="str">
            <v>SPHC P/O</v>
          </cell>
          <cell r="G331">
            <v>4.5</v>
          </cell>
          <cell r="H331">
            <v>99</v>
          </cell>
          <cell r="I331">
            <v>1219</v>
          </cell>
          <cell r="J331" t="str">
            <v>CF01/2</v>
          </cell>
          <cell r="K331">
            <v>50112283</v>
          </cell>
          <cell r="L331">
            <v>30</v>
          </cell>
          <cell r="M331" t="str">
            <v>E2-ND-06-TSA-0154</v>
          </cell>
        </row>
        <row r="332">
          <cell r="A332">
            <v>50112714</v>
          </cell>
          <cell r="B332" t="str">
            <v>CR SPCC-SD 3.0x78x1219</v>
          </cell>
          <cell r="C332">
            <v>50112714</v>
          </cell>
          <cell r="D332" t="str">
            <v>CR SPCC-SD</v>
          </cell>
          <cell r="E332" t="str">
            <v>CR</v>
          </cell>
          <cell r="F332" t="str">
            <v>SPCC-SD</v>
          </cell>
          <cell r="G332">
            <v>3</v>
          </cell>
          <cell r="H332">
            <v>78</v>
          </cell>
          <cell r="I332">
            <v>1219</v>
          </cell>
          <cell r="J332" t="str">
            <v>CF01/2</v>
          </cell>
          <cell r="K332">
            <v>50112714</v>
          </cell>
          <cell r="L332">
            <v>45</v>
          </cell>
          <cell r="M332" t="str">
            <v>E2-ND-06-TSA-0152</v>
          </cell>
        </row>
        <row r="333">
          <cell r="A333">
            <v>50112928</v>
          </cell>
          <cell r="B333" t="str">
            <v>CR SPCC-SD 3.0x233.2x462.4</v>
          </cell>
          <cell r="C333">
            <v>50112928</v>
          </cell>
          <cell r="D333" t="str">
            <v>CR SPCC-SD</v>
          </cell>
          <cell r="E333" t="str">
            <v>CR</v>
          </cell>
          <cell r="F333" t="str">
            <v>SPCC-SD</v>
          </cell>
          <cell r="G333">
            <v>3</v>
          </cell>
          <cell r="H333">
            <v>233.2</v>
          </cell>
          <cell r="I333">
            <v>4624</v>
          </cell>
          <cell r="J333" t="str">
            <v>CF01/2</v>
          </cell>
          <cell r="K333">
            <v>50112928</v>
          </cell>
          <cell r="L333">
            <v>284</v>
          </cell>
          <cell r="M333" t="str">
            <v>E2-ND-06-TSA-0153</v>
          </cell>
        </row>
        <row r="334">
          <cell r="A334">
            <v>50113019</v>
          </cell>
          <cell r="B334" t="str">
            <v>CR SPCC-SD 3.0x90.1x845</v>
          </cell>
          <cell r="C334">
            <v>50113019</v>
          </cell>
          <cell r="D334" t="str">
            <v>CR SPCC-SD</v>
          </cell>
          <cell r="E334" t="str">
            <v>CR</v>
          </cell>
          <cell r="F334" t="str">
            <v>SPCC-SD</v>
          </cell>
          <cell r="G334">
            <v>3</v>
          </cell>
          <cell r="H334">
            <v>90.1</v>
          </cell>
          <cell r="I334">
            <v>845</v>
          </cell>
          <cell r="J334" t="str">
            <v>MW01/1</v>
          </cell>
          <cell r="K334">
            <v>50113019</v>
          </cell>
          <cell r="L334">
            <v>182</v>
          </cell>
          <cell r="M334" t="str">
            <v>E2-ND-06-TSA-0153</v>
          </cell>
        </row>
        <row r="335">
          <cell r="A335">
            <v>50113020</v>
          </cell>
          <cell r="B335" t="str">
            <v>CR SPCC-SD 3.0x90.1x845</v>
          </cell>
          <cell r="C335">
            <v>50113020</v>
          </cell>
          <cell r="D335" t="str">
            <v>CR SPCC-SD</v>
          </cell>
          <cell r="E335" t="str">
            <v>CR</v>
          </cell>
          <cell r="F335" t="str">
            <v>SPCC-SD</v>
          </cell>
          <cell r="G335">
            <v>3</v>
          </cell>
          <cell r="H335">
            <v>90.1</v>
          </cell>
          <cell r="I335">
            <v>845</v>
          </cell>
          <cell r="J335" t="str">
            <v>CF01/1</v>
          </cell>
          <cell r="K335">
            <v>50113020</v>
          </cell>
          <cell r="L335">
            <v>102</v>
          </cell>
          <cell r="M335" t="str">
            <v>E2-ND-06-TSA-0152</v>
          </cell>
        </row>
        <row r="336">
          <cell r="A336">
            <v>50113163</v>
          </cell>
          <cell r="B336" t="str">
            <v>CR SPCC-SD 3.0x268.7x1240</v>
          </cell>
          <cell r="C336">
            <v>50113163</v>
          </cell>
          <cell r="D336" t="str">
            <v>CR SPCC-SD</v>
          </cell>
          <cell r="E336" t="str">
            <v>CR</v>
          </cell>
          <cell r="F336" t="str">
            <v>SPCC-SD</v>
          </cell>
          <cell r="G336">
            <v>3</v>
          </cell>
          <cell r="H336">
            <v>268.7</v>
          </cell>
          <cell r="I336">
            <v>1240</v>
          </cell>
          <cell r="J336" t="str">
            <v>CF01/1</v>
          </cell>
          <cell r="K336">
            <v>50113163</v>
          </cell>
          <cell r="L336">
            <v>832</v>
          </cell>
          <cell r="M336" t="str">
            <v>E2-ND-06-TSA-0153</v>
          </cell>
        </row>
        <row r="337">
          <cell r="A337">
            <v>50113514</v>
          </cell>
          <cell r="B337" t="str">
            <v>CR SPCC-SD 3.0x233.2x462.4</v>
          </cell>
          <cell r="C337">
            <v>50113514</v>
          </cell>
          <cell r="D337" t="str">
            <v>CR SPCC-SD</v>
          </cell>
          <cell r="E337" t="str">
            <v>CR</v>
          </cell>
          <cell r="F337" t="str">
            <v>SPCC-SD</v>
          </cell>
          <cell r="G337">
            <v>3</v>
          </cell>
          <cell r="H337">
            <v>233.2</v>
          </cell>
          <cell r="I337">
            <v>4624</v>
          </cell>
          <cell r="J337" t="str">
            <v>CF01/2</v>
          </cell>
          <cell r="K337">
            <v>50113514</v>
          </cell>
          <cell r="L337">
            <v>340</v>
          </cell>
          <cell r="M337" t="str">
            <v>E2-ND-06-TSA-0153</v>
          </cell>
        </row>
        <row r="338">
          <cell r="A338">
            <v>50113624</v>
          </cell>
          <cell r="B338" t="str">
            <v>CR SPCC-SD 3.0x150.5x845</v>
          </cell>
          <cell r="C338">
            <v>50113624</v>
          </cell>
          <cell r="D338" t="str">
            <v>CR SPCC-SD</v>
          </cell>
          <cell r="E338" t="str">
            <v>CR</v>
          </cell>
          <cell r="F338" t="str">
            <v>SPCC-SD</v>
          </cell>
          <cell r="G338">
            <v>3</v>
          </cell>
          <cell r="H338">
            <v>150.5</v>
          </cell>
          <cell r="I338">
            <v>845</v>
          </cell>
          <cell r="J338" t="str">
            <v>CF01/1</v>
          </cell>
          <cell r="K338">
            <v>50113624</v>
          </cell>
          <cell r="L338">
            <v>208</v>
          </cell>
          <cell r="M338" t="str">
            <v>E2-ND-06-TSA-0153</v>
          </cell>
        </row>
        <row r="339">
          <cell r="A339">
            <v>50113729</v>
          </cell>
          <cell r="B339" t="str">
            <v>CR SPCC-SD 3.0x80.1x970</v>
          </cell>
          <cell r="C339">
            <v>50113729</v>
          </cell>
          <cell r="D339" t="str">
            <v>CR SPCC-SD</v>
          </cell>
          <cell r="E339" t="str">
            <v>CR</v>
          </cell>
          <cell r="F339" t="str">
            <v>SPCC-SD</v>
          </cell>
          <cell r="G339">
            <v>3</v>
          </cell>
          <cell r="H339">
            <v>80.099999999999994</v>
          </cell>
          <cell r="I339">
            <v>970</v>
          </cell>
          <cell r="J339" t="str">
            <v>CF01/1</v>
          </cell>
          <cell r="K339">
            <v>50113729</v>
          </cell>
          <cell r="L339">
            <v>52</v>
          </cell>
          <cell r="M339" t="str">
            <v>E2-ND-06-TSA-0153</v>
          </cell>
        </row>
        <row r="340">
          <cell r="A340">
            <v>50114524</v>
          </cell>
          <cell r="B340" t="str">
            <v>CR SPCC-SD 3.0x233.2x462.4</v>
          </cell>
          <cell r="C340">
            <v>50114524</v>
          </cell>
          <cell r="D340" t="str">
            <v>CR SPCC-SD</v>
          </cell>
          <cell r="E340" t="str">
            <v>CR</v>
          </cell>
          <cell r="F340" t="str">
            <v>SPCC-SD</v>
          </cell>
          <cell r="G340">
            <v>3</v>
          </cell>
          <cell r="H340">
            <v>233.2</v>
          </cell>
          <cell r="I340">
            <v>4624</v>
          </cell>
          <cell r="J340" t="str">
            <v>CF01/1</v>
          </cell>
          <cell r="K340">
            <v>50114524</v>
          </cell>
          <cell r="L340">
            <v>311</v>
          </cell>
          <cell r="M340" t="str">
            <v>E2-ND-06-TSA-0153</v>
          </cell>
        </row>
        <row r="341">
          <cell r="A341">
            <v>50114526</v>
          </cell>
          <cell r="B341" t="str">
            <v>CR SPCC-SD 3.0x220.2x462.4</v>
          </cell>
          <cell r="C341">
            <v>50114526</v>
          </cell>
          <cell r="D341" t="str">
            <v>CR SPCC-SD</v>
          </cell>
          <cell r="E341" t="str">
            <v>CR</v>
          </cell>
          <cell r="F341" t="str">
            <v>SPCC-SD</v>
          </cell>
          <cell r="G341">
            <v>3</v>
          </cell>
          <cell r="H341">
            <v>220.2</v>
          </cell>
          <cell r="I341">
            <v>4624</v>
          </cell>
          <cell r="J341" t="str">
            <v>CF01/1</v>
          </cell>
          <cell r="K341">
            <v>50114526</v>
          </cell>
          <cell r="L341">
            <v>101</v>
          </cell>
          <cell r="M341" t="str">
            <v>E2-ND-06-TSA-0153</v>
          </cell>
        </row>
        <row r="342">
          <cell r="A342">
            <v>50114528</v>
          </cell>
          <cell r="B342" t="str">
            <v>CR SPCC-SD 3.0x75.1x960</v>
          </cell>
          <cell r="C342">
            <v>50114528</v>
          </cell>
          <cell r="D342" t="str">
            <v>CR SPCC-SD</v>
          </cell>
          <cell r="E342" t="str">
            <v>CR</v>
          </cell>
          <cell r="F342" t="str">
            <v>SPCC-SD</v>
          </cell>
          <cell r="G342">
            <v>3</v>
          </cell>
          <cell r="H342">
            <v>75.099999999999994</v>
          </cell>
          <cell r="I342">
            <v>960</v>
          </cell>
          <cell r="J342" t="str">
            <v>CF01/1</v>
          </cell>
          <cell r="K342">
            <v>50114528</v>
          </cell>
          <cell r="L342">
            <v>292</v>
          </cell>
          <cell r="M342" t="str">
            <v>E2-ND-06-TSA-0153</v>
          </cell>
        </row>
        <row r="343">
          <cell r="A343">
            <v>50115341</v>
          </cell>
          <cell r="B343" t="str">
            <v>CR SPCEN-SD 0.6x150x150</v>
          </cell>
          <cell r="C343">
            <v>50115341</v>
          </cell>
          <cell r="D343" t="str">
            <v>CR SPCEN-SD</v>
          </cell>
          <cell r="E343" t="str">
            <v>CR</v>
          </cell>
          <cell r="F343" t="str">
            <v>SPCEN-SD</v>
          </cell>
          <cell r="G343">
            <v>0.6</v>
          </cell>
          <cell r="H343">
            <v>150</v>
          </cell>
          <cell r="I343">
            <v>150</v>
          </cell>
          <cell r="J343" t="str">
            <v>CF01/1</v>
          </cell>
          <cell r="K343">
            <v>50115341</v>
          </cell>
          <cell r="L343">
            <v>105</v>
          </cell>
          <cell r="M343" t="str">
            <v>E2-ND-06-TSA-0153</v>
          </cell>
        </row>
        <row r="344">
          <cell r="A344">
            <v>50115395</v>
          </cell>
          <cell r="B344" t="str">
            <v>PO SPHC P/O 4.5x72x1219</v>
          </cell>
          <cell r="C344">
            <v>50115395</v>
          </cell>
          <cell r="D344" t="str">
            <v>PO SPHC P/O</v>
          </cell>
          <cell r="E344" t="str">
            <v>PO</v>
          </cell>
          <cell r="F344" t="str">
            <v>SPHC P/O</v>
          </cell>
          <cell r="G344">
            <v>4.5</v>
          </cell>
          <cell r="H344">
            <v>72</v>
          </cell>
          <cell r="I344">
            <v>1219</v>
          </cell>
          <cell r="J344" t="str">
            <v>LW02/2</v>
          </cell>
          <cell r="K344">
            <v>50115395</v>
          </cell>
          <cell r="L344">
            <v>310</v>
          </cell>
          <cell r="M344" t="str">
            <v>E2-ND-06-TSA-0154</v>
          </cell>
        </row>
        <row r="345">
          <cell r="A345">
            <v>50115396</v>
          </cell>
          <cell r="B345" t="str">
            <v>PO SPHC P/O 4.5x72x1219</v>
          </cell>
          <cell r="C345">
            <v>50115396</v>
          </cell>
          <cell r="D345" t="str">
            <v>PO SPHC P/O</v>
          </cell>
          <cell r="E345" t="str">
            <v>PO</v>
          </cell>
          <cell r="F345" t="str">
            <v>SPHC P/O</v>
          </cell>
          <cell r="G345">
            <v>4.5</v>
          </cell>
          <cell r="H345">
            <v>72</v>
          </cell>
          <cell r="I345">
            <v>1219</v>
          </cell>
          <cell r="J345" t="str">
            <v>LW02/2</v>
          </cell>
          <cell r="K345">
            <v>50115396</v>
          </cell>
          <cell r="L345">
            <v>102</v>
          </cell>
          <cell r="M345" t="str">
            <v>E2-ND-06-TSA-0154</v>
          </cell>
        </row>
        <row r="346">
          <cell r="A346">
            <v>50115912</v>
          </cell>
          <cell r="B346" t="str">
            <v>CR SPCC-SD 3.2x40x1219</v>
          </cell>
          <cell r="C346">
            <v>50115912</v>
          </cell>
          <cell r="D346" t="str">
            <v>CR SPCC-SD</v>
          </cell>
          <cell r="E346" t="str">
            <v>CR</v>
          </cell>
          <cell r="F346" t="str">
            <v>SPCC-SD</v>
          </cell>
          <cell r="G346">
            <v>3.2</v>
          </cell>
          <cell r="H346">
            <v>40</v>
          </cell>
          <cell r="I346">
            <v>1219</v>
          </cell>
          <cell r="J346" t="str">
            <v>LW02/3</v>
          </cell>
          <cell r="K346">
            <v>50115912</v>
          </cell>
          <cell r="L346">
            <v>123</v>
          </cell>
          <cell r="M346" t="str">
            <v>E2-ND-06-TSA-0153</v>
          </cell>
        </row>
        <row r="347">
          <cell r="A347">
            <v>50116266</v>
          </cell>
          <cell r="B347" t="str">
            <v>PO SPHC P/O 4.5x87x1219</v>
          </cell>
          <cell r="C347">
            <v>50116266</v>
          </cell>
          <cell r="D347" t="str">
            <v>PO SPHC P/O</v>
          </cell>
          <cell r="E347" t="str">
            <v>PO</v>
          </cell>
          <cell r="F347" t="str">
            <v>SPHC P/O</v>
          </cell>
          <cell r="G347">
            <v>4.5</v>
          </cell>
          <cell r="H347">
            <v>87</v>
          </cell>
          <cell r="I347">
            <v>1219</v>
          </cell>
          <cell r="J347" t="str">
            <v>CF01/2</v>
          </cell>
          <cell r="K347">
            <v>50116266</v>
          </cell>
          <cell r="L347">
            <v>45</v>
          </cell>
          <cell r="M347" t="str">
            <v>E2-ND-06-TSA-0154</v>
          </cell>
        </row>
        <row r="348">
          <cell r="A348">
            <v>50116798</v>
          </cell>
          <cell r="B348" t="str">
            <v>CR SPCC-SD 2.3x58x1219</v>
          </cell>
          <cell r="C348">
            <v>50116798</v>
          </cell>
          <cell r="D348" t="str">
            <v>CR SPCC-SD</v>
          </cell>
          <cell r="E348" t="str">
            <v>CR</v>
          </cell>
          <cell r="F348" t="str">
            <v>SPCC-SD</v>
          </cell>
          <cell r="G348">
            <v>2.2999999999999998</v>
          </cell>
          <cell r="H348">
            <v>58</v>
          </cell>
          <cell r="I348">
            <v>1219</v>
          </cell>
          <cell r="J348" t="str">
            <v>LW02/2</v>
          </cell>
          <cell r="K348">
            <v>50116798</v>
          </cell>
          <cell r="L348">
            <v>42</v>
          </cell>
          <cell r="M348" t="str">
            <v>E2-ND-06-TSA-0152</v>
          </cell>
        </row>
        <row r="349">
          <cell r="A349">
            <v>50116838</v>
          </cell>
          <cell r="B349" t="str">
            <v>CR SPCC-SD 0.6x83x1219</v>
          </cell>
          <cell r="C349">
            <v>50116838</v>
          </cell>
          <cell r="D349" t="str">
            <v>CR SPCC-SD</v>
          </cell>
          <cell r="E349" t="str">
            <v>CR</v>
          </cell>
          <cell r="F349" t="str">
            <v>SPCC-SD</v>
          </cell>
          <cell r="G349">
            <v>0.6</v>
          </cell>
          <cell r="H349">
            <v>83</v>
          </cell>
          <cell r="I349">
            <v>1219</v>
          </cell>
          <cell r="J349" t="str">
            <v>CF01/2</v>
          </cell>
          <cell r="K349">
            <v>50116838</v>
          </cell>
          <cell r="L349">
            <v>21</v>
          </cell>
          <cell r="M349" t="str">
            <v>E1-ND-06-TSA-0362</v>
          </cell>
        </row>
        <row r="350">
          <cell r="A350">
            <v>50117170</v>
          </cell>
          <cell r="B350" t="str">
            <v>PO SPHC P/O 3.20x1219x2407</v>
          </cell>
          <cell r="C350">
            <v>50117170</v>
          </cell>
          <cell r="D350" t="str">
            <v>PO SPHC P/O</v>
          </cell>
          <cell r="E350" t="str">
            <v>PO</v>
          </cell>
          <cell r="F350" t="str">
            <v>SPHC P/O</v>
          </cell>
          <cell r="G350">
            <v>3.2</v>
          </cell>
          <cell r="H350">
            <v>1219</v>
          </cell>
          <cell r="I350">
            <v>2407</v>
          </cell>
          <cell r="J350" t="str">
            <v>GRB</v>
          </cell>
          <cell r="K350">
            <v>50117170</v>
          </cell>
          <cell r="L350">
            <v>590</v>
          </cell>
          <cell r="M350" t="str">
            <v>E1-ND-06-TSA-0372</v>
          </cell>
        </row>
        <row r="351">
          <cell r="A351">
            <v>50117236</v>
          </cell>
          <cell r="B351" t="str">
            <v>PO SPHC-DS 2.0x73x1219</v>
          </cell>
          <cell r="C351">
            <v>50117236</v>
          </cell>
          <cell r="D351" t="str">
            <v>PO SPHC P/O</v>
          </cell>
          <cell r="E351" t="str">
            <v>PO</v>
          </cell>
          <cell r="F351" t="str">
            <v>SPHC-SD</v>
          </cell>
          <cell r="G351">
            <v>2</v>
          </cell>
          <cell r="H351">
            <v>73</v>
          </cell>
          <cell r="I351">
            <v>1219</v>
          </cell>
          <cell r="J351" t="str">
            <v>CF01/2</v>
          </cell>
          <cell r="K351">
            <v>50117236</v>
          </cell>
          <cell r="L351">
            <v>36</v>
          </cell>
          <cell r="M351" t="str">
            <v>E2-ND-06-TSA-0153</v>
          </cell>
        </row>
        <row r="352">
          <cell r="A352">
            <v>50118154</v>
          </cell>
          <cell r="B352" t="str">
            <v>CR SPCC-SD 3.2x45x1219</v>
          </cell>
          <cell r="C352">
            <v>50118154</v>
          </cell>
          <cell r="D352" t="str">
            <v>CR SPCC-SD</v>
          </cell>
          <cell r="E352" t="str">
            <v>CR</v>
          </cell>
          <cell r="F352" t="str">
            <v>SPCC-SD</v>
          </cell>
          <cell r="G352">
            <v>3.2</v>
          </cell>
          <cell r="H352">
            <v>45</v>
          </cell>
          <cell r="I352">
            <v>1219</v>
          </cell>
          <cell r="J352" t="str">
            <v>LW02/3</v>
          </cell>
          <cell r="K352">
            <v>50118154</v>
          </cell>
          <cell r="L352">
            <v>413</v>
          </cell>
          <cell r="M352" t="str">
            <v>E2-ND-06-TSA-0153</v>
          </cell>
        </row>
        <row r="353">
          <cell r="A353">
            <v>50120735</v>
          </cell>
          <cell r="B353" t="str">
            <v>PO SPHC P/O 2.0x95x1219</v>
          </cell>
          <cell r="C353">
            <v>50120735</v>
          </cell>
          <cell r="D353" t="str">
            <v>PO SPHC P/O</v>
          </cell>
          <cell r="E353" t="str">
            <v>PO</v>
          </cell>
          <cell r="F353" t="str">
            <v>SPHC P/O</v>
          </cell>
          <cell r="G353">
            <v>2</v>
          </cell>
          <cell r="H353">
            <v>95</v>
          </cell>
          <cell r="I353">
            <v>1219</v>
          </cell>
          <cell r="J353" t="str">
            <v>LW02/2</v>
          </cell>
          <cell r="K353">
            <v>50120735</v>
          </cell>
          <cell r="L353">
            <v>943</v>
          </cell>
          <cell r="M353" t="str">
            <v>E2-ND-06-TSA-0154</v>
          </cell>
        </row>
        <row r="354">
          <cell r="A354">
            <v>50121570</v>
          </cell>
          <cell r="B354" t="str">
            <v>CR SPCC-SD 1.2x75x1219</v>
          </cell>
          <cell r="C354">
            <v>50121570</v>
          </cell>
          <cell r="D354" t="str">
            <v>CR SPCC-SD</v>
          </cell>
          <cell r="E354" t="str">
            <v>CR</v>
          </cell>
          <cell r="F354" t="str">
            <v>SPCC-SD</v>
          </cell>
          <cell r="G354">
            <v>1.2</v>
          </cell>
          <cell r="H354">
            <v>75</v>
          </cell>
          <cell r="I354">
            <v>1219</v>
          </cell>
          <cell r="J354" t="str">
            <v>CF01/2</v>
          </cell>
          <cell r="K354">
            <v>50121570</v>
          </cell>
          <cell r="L354">
            <v>13</v>
          </cell>
          <cell r="M354" t="str">
            <v>E1-NJ-06-TSA-0376</v>
          </cell>
        </row>
        <row r="355">
          <cell r="A355">
            <v>50122517</v>
          </cell>
          <cell r="C355">
            <v>50122517</v>
          </cell>
          <cell r="E355" t="str">
            <v>PO</v>
          </cell>
          <cell r="F355" t="str">
            <v>SPHC P/O</v>
          </cell>
          <cell r="G355">
            <v>1.6</v>
          </cell>
          <cell r="H355">
            <v>49</v>
          </cell>
          <cell r="I355">
            <v>1219</v>
          </cell>
          <cell r="J355" t="str">
            <v>LW02/2</v>
          </cell>
          <cell r="K355">
            <v>50122517</v>
          </cell>
          <cell r="L355">
            <v>38</v>
          </cell>
        </row>
        <row r="356">
          <cell r="A356">
            <v>50124817</v>
          </cell>
          <cell r="B356" t="str">
            <v>PO SPHC P/O 1.2x60x1219</v>
          </cell>
          <cell r="C356">
            <v>50124817</v>
          </cell>
          <cell r="D356" t="str">
            <v>PO SPHC P/O</v>
          </cell>
          <cell r="E356" t="str">
            <v>PO</v>
          </cell>
          <cell r="F356" t="str">
            <v>SPHC P/O</v>
          </cell>
          <cell r="G356">
            <v>1.2</v>
          </cell>
          <cell r="H356">
            <v>60</v>
          </cell>
          <cell r="I356">
            <v>1219</v>
          </cell>
          <cell r="J356" t="str">
            <v>CF01/2</v>
          </cell>
          <cell r="K356">
            <v>50124817</v>
          </cell>
          <cell r="L356">
            <v>14</v>
          </cell>
          <cell r="M356" t="str">
            <v>E2-ND-06-TSA-0153</v>
          </cell>
        </row>
        <row r="357">
          <cell r="A357">
            <v>50126424</v>
          </cell>
          <cell r="B357" t="str">
            <v>PO SPHC P/O 2.0x95x1219</v>
          </cell>
          <cell r="C357">
            <v>50126424</v>
          </cell>
          <cell r="D357" t="str">
            <v>PO SPHC P/O</v>
          </cell>
          <cell r="E357" t="str">
            <v>PO</v>
          </cell>
          <cell r="F357" t="str">
            <v>SPHC P/O</v>
          </cell>
          <cell r="G357">
            <v>2</v>
          </cell>
          <cell r="H357">
            <v>95</v>
          </cell>
          <cell r="I357">
            <v>1219</v>
          </cell>
          <cell r="J357" t="str">
            <v>CF01/1</v>
          </cell>
          <cell r="K357">
            <v>50126424</v>
          </cell>
          <cell r="L357">
            <v>455</v>
          </cell>
          <cell r="M357" t="str">
            <v>E2-ND-06-TSA-0154</v>
          </cell>
        </row>
        <row r="358">
          <cell r="A358">
            <v>50126425</v>
          </cell>
          <cell r="C358">
            <v>50126425</v>
          </cell>
          <cell r="E358" t="str">
            <v>PO</v>
          </cell>
          <cell r="F358" t="str">
            <v>SAPH440 P/O</v>
          </cell>
          <cell r="G358">
            <v>2.6</v>
          </cell>
          <cell r="H358">
            <v>56</v>
          </cell>
          <cell r="I358">
            <v>1219</v>
          </cell>
          <cell r="J358" t="str">
            <v>CF01/1</v>
          </cell>
          <cell r="K358">
            <v>50126425</v>
          </cell>
          <cell r="L358">
            <v>277</v>
          </cell>
        </row>
        <row r="359">
          <cell r="A359">
            <v>50128013</v>
          </cell>
          <cell r="B359" t="str">
            <v>PO SPHC P/O 4.5x87x1219</v>
          </cell>
          <cell r="C359">
            <v>50128013</v>
          </cell>
          <cell r="D359" t="str">
            <v>PO SPHC P/O</v>
          </cell>
          <cell r="E359" t="str">
            <v>PO</v>
          </cell>
          <cell r="F359" t="str">
            <v>SPHC P/O</v>
          </cell>
          <cell r="G359">
            <v>4.5</v>
          </cell>
          <cell r="H359">
            <v>87</v>
          </cell>
          <cell r="I359">
            <v>1219</v>
          </cell>
          <cell r="J359" t="str">
            <v>CF01/2</v>
          </cell>
          <cell r="K359">
            <v>50128013</v>
          </cell>
          <cell r="L359">
            <v>173</v>
          </cell>
          <cell r="M359" t="str">
            <v>E2-ND-06-TSA-0154</v>
          </cell>
        </row>
        <row r="360">
          <cell r="A360">
            <v>50128548</v>
          </cell>
          <cell r="B360" t="str">
            <v>PO SPHC P/O 3.2x65x1230</v>
          </cell>
          <cell r="C360">
            <v>50128548</v>
          </cell>
          <cell r="D360" t="str">
            <v>PO SPHC P/O</v>
          </cell>
          <cell r="E360" t="str">
            <v>PO</v>
          </cell>
          <cell r="F360" t="str">
            <v>SPHC P/O</v>
          </cell>
          <cell r="G360">
            <v>3.2</v>
          </cell>
          <cell r="H360">
            <v>65</v>
          </cell>
          <cell r="I360">
            <v>1230</v>
          </cell>
          <cell r="J360" t="str">
            <v>CF01/2</v>
          </cell>
          <cell r="K360">
            <v>50128548</v>
          </cell>
          <cell r="L360">
            <v>141</v>
          </cell>
          <cell r="M360" t="str">
            <v>E2-NJ-06-TSA-0063</v>
          </cell>
        </row>
        <row r="361">
          <cell r="A361">
            <v>50128654</v>
          </cell>
          <cell r="B361" t="str">
            <v>PO SPHC P/O 4.5x99x1219</v>
          </cell>
          <cell r="C361">
            <v>50128654</v>
          </cell>
          <cell r="D361" t="str">
            <v>PO SPHC P/O</v>
          </cell>
          <cell r="E361" t="str">
            <v>PO</v>
          </cell>
          <cell r="F361" t="str">
            <v>SPHC P/O</v>
          </cell>
          <cell r="G361">
            <v>4.5</v>
          </cell>
          <cell r="H361">
            <v>99</v>
          </cell>
          <cell r="I361">
            <v>1219</v>
          </cell>
          <cell r="J361" t="str">
            <v>CF01/2</v>
          </cell>
          <cell r="K361">
            <v>50128654</v>
          </cell>
          <cell r="L361">
            <v>64</v>
          </cell>
          <cell r="M361" t="str">
            <v>E2-ND-06-TSA-0154</v>
          </cell>
        </row>
        <row r="362">
          <cell r="A362">
            <v>50131220</v>
          </cell>
          <cell r="C362">
            <v>50131220</v>
          </cell>
          <cell r="E362" t="str">
            <v>PO</v>
          </cell>
          <cell r="F362" t="str">
            <v>SPHC P/O</v>
          </cell>
          <cell r="G362">
            <v>2</v>
          </cell>
          <cell r="H362">
            <v>53</v>
          </cell>
          <cell r="I362">
            <v>1219</v>
          </cell>
          <cell r="J362" t="str">
            <v>OW01/1</v>
          </cell>
          <cell r="K362">
            <v>50131220</v>
          </cell>
          <cell r="L362">
            <v>164</v>
          </cell>
        </row>
        <row r="363">
          <cell r="A363">
            <v>50131906</v>
          </cell>
          <cell r="B363" t="str">
            <v>CR SPCC-SD 0.6x83x1219</v>
          </cell>
          <cell r="C363">
            <v>50131906</v>
          </cell>
          <cell r="D363" t="str">
            <v>CR SPCC-SD</v>
          </cell>
          <cell r="E363" t="str">
            <v>CR</v>
          </cell>
          <cell r="F363" t="str">
            <v>SPCC-SD</v>
          </cell>
          <cell r="G363">
            <v>0.6</v>
          </cell>
          <cell r="H363">
            <v>83</v>
          </cell>
          <cell r="I363">
            <v>1219</v>
          </cell>
          <cell r="J363" t="str">
            <v>CF01/2</v>
          </cell>
          <cell r="K363">
            <v>50131906</v>
          </cell>
          <cell r="L363">
            <v>42</v>
          </cell>
          <cell r="M363" t="str">
            <v>E1-ND-06-TSA-0362</v>
          </cell>
        </row>
        <row r="364">
          <cell r="A364">
            <v>50132657</v>
          </cell>
          <cell r="B364" t="str">
            <v>PO SPHC P/O 2.6x63x320</v>
          </cell>
          <cell r="C364">
            <v>50132657</v>
          </cell>
          <cell r="D364" t="str">
            <v>PO SPHC P/O</v>
          </cell>
          <cell r="E364" t="str">
            <v>PO</v>
          </cell>
          <cell r="F364" t="str">
            <v>SPHC P/O</v>
          </cell>
          <cell r="G364">
            <v>2.2999999999999998</v>
          </cell>
          <cell r="H364">
            <v>63</v>
          </cell>
          <cell r="I364">
            <v>320</v>
          </cell>
          <cell r="J364" t="str">
            <v>CF01/1</v>
          </cell>
          <cell r="K364">
            <v>50132657</v>
          </cell>
          <cell r="L364">
            <v>41</v>
          </cell>
          <cell r="M364" t="str">
            <v>E2-ND-06-TSA-0154</v>
          </cell>
        </row>
        <row r="365">
          <cell r="A365">
            <v>50132699</v>
          </cell>
          <cell r="C365">
            <v>50132699</v>
          </cell>
          <cell r="E365" t="str">
            <v>CR</v>
          </cell>
          <cell r="F365" t="str">
            <v>SPCC-SD</v>
          </cell>
          <cell r="G365">
            <v>0.6</v>
          </cell>
          <cell r="H365">
            <v>116</v>
          </cell>
          <cell r="I365">
            <v>1219</v>
          </cell>
          <cell r="J365" t="str">
            <v>NG</v>
          </cell>
          <cell r="K365">
            <v>50132699</v>
          </cell>
          <cell r="L365">
            <v>71</v>
          </cell>
        </row>
        <row r="366">
          <cell r="A366">
            <v>50132955</v>
          </cell>
          <cell r="B366" t="str">
            <v>CR SPCC-SD 1.6x70x1219</v>
          </cell>
          <cell r="C366">
            <v>50132955</v>
          </cell>
          <cell r="D366" t="str">
            <v>CR SPCC-SD</v>
          </cell>
          <cell r="E366" t="str">
            <v>CR</v>
          </cell>
          <cell r="F366" t="str">
            <v>SPCC-SD</v>
          </cell>
          <cell r="G366">
            <v>1.6</v>
          </cell>
          <cell r="H366">
            <v>70</v>
          </cell>
          <cell r="I366">
            <v>1219</v>
          </cell>
          <cell r="J366" t="str">
            <v>LW01/1</v>
          </cell>
          <cell r="K366">
            <v>50132955</v>
          </cell>
          <cell r="L366">
            <v>44</v>
          </cell>
          <cell r="M366" t="str">
            <v>E2-ND-06-TSA-0151</v>
          </cell>
        </row>
        <row r="367">
          <cell r="A367">
            <v>50133825</v>
          </cell>
          <cell r="B367" t="str">
            <v>CR SPCC-SD 3.0x90.1x845</v>
          </cell>
          <cell r="C367">
            <v>50133825</v>
          </cell>
          <cell r="D367" t="str">
            <v>CR SPCC-SD</v>
          </cell>
          <cell r="E367" t="str">
            <v>CR</v>
          </cell>
          <cell r="F367" t="str">
            <v>SPCC-SD</v>
          </cell>
          <cell r="G367">
            <v>3</v>
          </cell>
          <cell r="H367">
            <v>90.1</v>
          </cell>
          <cell r="I367">
            <v>845</v>
          </cell>
          <cell r="J367" t="str">
            <v>CF01/1</v>
          </cell>
          <cell r="K367">
            <v>50133825</v>
          </cell>
          <cell r="L367">
            <v>538</v>
          </cell>
          <cell r="M367" t="str">
            <v>E2-ND-06-TSA-0153</v>
          </cell>
        </row>
        <row r="368">
          <cell r="A368">
            <v>50133932</v>
          </cell>
          <cell r="B368" t="str">
            <v>PO SPHC P/O 4.5x72x1219</v>
          </cell>
          <cell r="C368">
            <v>50133932</v>
          </cell>
          <cell r="D368" t="str">
            <v>PO SPHC P/O</v>
          </cell>
          <cell r="E368" t="str">
            <v>PO</v>
          </cell>
          <cell r="F368" t="str">
            <v>SPHC P/O</v>
          </cell>
          <cell r="G368">
            <v>4.5</v>
          </cell>
          <cell r="H368">
            <v>72</v>
          </cell>
          <cell r="I368">
            <v>1219</v>
          </cell>
          <cell r="J368" t="str">
            <v>CF01/2</v>
          </cell>
          <cell r="K368">
            <v>50133932</v>
          </cell>
          <cell r="L368">
            <v>155</v>
          </cell>
          <cell r="M368" t="str">
            <v>E2-ND-06-TSA-0154</v>
          </cell>
        </row>
        <row r="369">
          <cell r="A369">
            <v>50133934</v>
          </cell>
          <cell r="B369" t="str">
            <v>PO SPHC P/O 4.5x81x1219</v>
          </cell>
          <cell r="C369">
            <v>50133934</v>
          </cell>
          <cell r="D369" t="str">
            <v>PO SPHC P/O</v>
          </cell>
          <cell r="E369" t="str">
            <v>PO</v>
          </cell>
          <cell r="F369" t="str">
            <v>SPHC P/O</v>
          </cell>
          <cell r="G369">
            <v>4.5</v>
          </cell>
          <cell r="H369">
            <v>81</v>
          </cell>
          <cell r="I369">
            <v>1219</v>
          </cell>
          <cell r="J369" t="str">
            <v>CF01/2</v>
          </cell>
          <cell r="K369">
            <v>50133934</v>
          </cell>
          <cell r="L369">
            <v>84</v>
          </cell>
          <cell r="M369" t="str">
            <v>E2-ND-06-TSA-0154</v>
          </cell>
        </row>
        <row r="370">
          <cell r="A370">
            <v>50134184</v>
          </cell>
          <cell r="B370" t="str">
            <v>PO SPHC P/O 4.5x81x1219</v>
          </cell>
          <cell r="C370">
            <v>50134184</v>
          </cell>
          <cell r="D370" t="str">
            <v>PO SPHC P/O</v>
          </cell>
          <cell r="E370" t="str">
            <v>PO</v>
          </cell>
          <cell r="F370" t="str">
            <v>SPHC P/O</v>
          </cell>
          <cell r="G370">
            <v>4.5</v>
          </cell>
          <cell r="H370">
            <v>81</v>
          </cell>
          <cell r="I370">
            <v>1219</v>
          </cell>
          <cell r="J370" t="str">
            <v>MW01/1</v>
          </cell>
          <cell r="K370">
            <v>50134184</v>
          </cell>
          <cell r="L370">
            <v>175</v>
          </cell>
          <cell r="M370" t="str">
            <v>E2-ND-06-TSA-0154</v>
          </cell>
        </row>
        <row r="371">
          <cell r="A371">
            <v>50134187</v>
          </cell>
          <cell r="B371" t="str">
            <v>PO SPHC P/O 4.5x81x1219</v>
          </cell>
          <cell r="C371">
            <v>50134187</v>
          </cell>
          <cell r="D371" t="str">
            <v>PO SPHC P/O</v>
          </cell>
          <cell r="E371" t="str">
            <v>PO</v>
          </cell>
          <cell r="F371" t="str">
            <v>SPHC P/O</v>
          </cell>
          <cell r="G371">
            <v>4.5</v>
          </cell>
          <cell r="H371">
            <v>81</v>
          </cell>
          <cell r="I371">
            <v>1219</v>
          </cell>
          <cell r="J371" t="str">
            <v>MW01/1</v>
          </cell>
          <cell r="K371">
            <v>50134187</v>
          </cell>
          <cell r="L371">
            <v>112</v>
          </cell>
          <cell r="M371" t="str">
            <v>E2-ND-06-TSA-0154</v>
          </cell>
        </row>
        <row r="372">
          <cell r="A372">
            <v>50134642</v>
          </cell>
          <cell r="B372" t="str">
            <v>CR SPCC-SD 0.5x80x900</v>
          </cell>
          <cell r="C372">
            <v>50134642</v>
          </cell>
          <cell r="D372" t="str">
            <v>CR SPCC-SD</v>
          </cell>
          <cell r="E372" t="str">
            <v>CR</v>
          </cell>
          <cell r="F372" t="str">
            <v>SPCC-SD</v>
          </cell>
          <cell r="G372">
            <v>0.5</v>
          </cell>
          <cell r="H372">
            <v>80</v>
          </cell>
          <cell r="I372">
            <v>900</v>
          </cell>
          <cell r="J372" t="str">
            <v>MW01/1</v>
          </cell>
          <cell r="K372">
            <v>50134642</v>
          </cell>
          <cell r="L372">
            <v>174</v>
          </cell>
          <cell r="M372" t="str">
            <v>E1-ND-06-TSA-0359</v>
          </cell>
        </row>
        <row r="373">
          <cell r="A373">
            <v>50135077</v>
          </cell>
          <cell r="B373" t="str">
            <v>CR SPCC-SD 2.3x58x1219</v>
          </cell>
          <cell r="C373">
            <v>50135077</v>
          </cell>
          <cell r="D373" t="str">
            <v>CR SPCC-SD</v>
          </cell>
          <cell r="E373" t="str">
            <v>CR</v>
          </cell>
          <cell r="F373" t="str">
            <v>SPCC-SD</v>
          </cell>
          <cell r="G373">
            <v>2.2999999999999998</v>
          </cell>
          <cell r="H373">
            <v>58</v>
          </cell>
          <cell r="I373">
            <v>1219</v>
          </cell>
          <cell r="J373" t="str">
            <v>LW01/1</v>
          </cell>
          <cell r="K373">
            <v>50135077</v>
          </cell>
          <cell r="L373">
            <v>15</v>
          </cell>
          <cell r="M373" t="str">
            <v>E2-ND-06-TSA-0152</v>
          </cell>
        </row>
        <row r="374">
          <cell r="A374">
            <v>50135221</v>
          </cell>
          <cell r="B374" t="str">
            <v>CR SPCC-SD 2.0x92x1219</v>
          </cell>
          <cell r="C374">
            <v>50135221</v>
          </cell>
          <cell r="D374" t="str">
            <v>CR SPCC-SD</v>
          </cell>
          <cell r="E374" t="str">
            <v>CR</v>
          </cell>
          <cell r="F374" t="str">
            <v>SPCC-SD</v>
          </cell>
          <cell r="G374">
            <v>2</v>
          </cell>
          <cell r="H374">
            <v>92</v>
          </cell>
          <cell r="I374">
            <v>1219</v>
          </cell>
          <cell r="J374" t="str">
            <v>CF01/2</v>
          </cell>
          <cell r="K374">
            <v>50135221</v>
          </cell>
          <cell r="L374">
            <v>48</v>
          </cell>
          <cell r="M374" t="str">
            <v>E2-ND-06-TSA-0152</v>
          </cell>
        </row>
        <row r="375">
          <cell r="A375">
            <v>50136342</v>
          </cell>
          <cell r="B375" t="str">
            <v>CR SPCC-SD 1.2x70x1219</v>
          </cell>
          <cell r="C375">
            <v>50136342</v>
          </cell>
          <cell r="D375" t="str">
            <v>CR SPCC-SD</v>
          </cell>
          <cell r="E375" t="str">
            <v>CR</v>
          </cell>
          <cell r="F375" t="str">
            <v>SPCC-SD</v>
          </cell>
          <cell r="G375">
            <v>1.2</v>
          </cell>
          <cell r="H375">
            <v>70</v>
          </cell>
          <cell r="I375">
            <v>1219</v>
          </cell>
          <cell r="J375" t="str">
            <v>LW02/2</v>
          </cell>
          <cell r="K375">
            <v>50136342</v>
          </cell>
          <cell r="L375">
            <v>80</v>
          </cell>
          <cell r="M375" t="str">
            <v>E1-ND-06-TSA-0362</v>
          </cell>
        </row>
        <row r="376">
          <cell r="A376">
            <v>50136344</v>
          </cell>
          <cell r="B376" t="str">
            <v>CR SPCC-SD 1.2x78x1219</v>
          </cell>
          <cell r="C376">
            <v>50136344</v>
          </cell>
          <cell r="D376" t="str">
            <v>CR SPCC-SD</v>
          </cell>
          <cell r="E376" t="str">
            <v>CR</v>
          </cell>
          <cell r="F376" t="str">
            <v>SPCC-SD</v>
          </cell>
          <cell r="G376">
            <v>1.2</v>
          </cell>
          <cell r="H376">
            <v>78</v>
          </cell>
          <cell r="I376">
            <v>1219</v>
          </cell>
          <cell r="J376" t="str">
            <v>LW02/2</v>
          </cell>
          <cell r="K376">
            <v>50136344</v>
          </cell>
          <cell r="L376">
            <v>60</v>
          </cell>
          <cell r="M376" t="str">
            <v>E1-NJ-06-TSA-0376</v>
          </cell>
        </row>
        <row r="377">
          <cell r="A377">
            <v>50136345</v>
          </cell>
          <cell r="B377" t="str">
            <v>CR SPCC-SD 1.2x78x1219</v>
          </cell>
          <cell r="C377">
            <v>50136345</v>
          </cell>
          <cell r="D377" t="str">
            <v>CR SPCC-SD</v>
          </cell>
          <cell r="E377" t="str">
            <v>CR</v>
          </cell>
          <cell r="F377" t="str">
            <v>SPCC-SD</v>
          </cell>
          <cell r="G377">
            <v>1.2</v>
          </cell>
          <cell r="H377">
            <v>78</v>
          </cell>
          <cell r="I377">
            <v>1219</v>
          </cell>
          <cell r="J377" t="str">
            <v>LW02/2</v>
          </cell>
          <cell r="K377">
            <v>50136345</v>
          </cell>
          <cell r="L377">
            <v>60</v>
          </cell>
          <cell r="M377" t="str">
            <v>E1-NJ-06-TSA-0376</v>
          </cell>
        </row>
        <row r="378">
          <cell r="A378">
            <v>50136347</v>
          </cell>
          <cell r="B378" t="str">
            <v>CR SPCC-SD 1.2x70x1219</v>
          </cell>
          <cell r="C378">
            <v>50136347</v>
          </cell>
          <cell r="D378" t="str">
            <v>CR SPCC-SD</v>
          </cell>
          <cell r="E378" t="str">
            <v>CR</v>
          </cell>
          <cell r="F378" t="str">
            <v>SPCC-SD</v>
          </cell>
          <cell r="G378">
            <v>1.2</v>
          </cell>
          <cell r="H378">
            <v>70</v>
          </cell>
          <cell r="I378">
            <v>1219</v>
          </cell>
          <cell r="J378" t="str">
            <v>LW02/2</v>
          </cell>
          <cell r="K378">
            <v>50136347</v>
          </cell>
          <cell r="L378">
            <v>80</v>
          </cell>
          <cell r="M378" t="str">
            <v>E1-ND-06-TSA-0362</v>
          </cell>
        </row>
        <row r="379">
          <cell r="A379">
            <v>50138033</v>
          </cell>
          <cell r="B379" t="str">
            <v>CR SPCEN-SD 0.6x225x225</v>
          </cell>
          <cell r="C379">
            <v>50138033</v>
          </cell>
          <cell r="D379" t="str">
            <v>CR SPCEN-SD</v>
          </cell>
          <cell r="E379" t="str">
            <v>CR</v>
          </cell>
          <cell r="F379" t="str">
            <v>SPCEN-SD</v>
          </cell>
          <cell r="G379">
            <v>0.6</v>
          </cell>
          <cell r="H379">
            <v>225</v>
          </cell>
          <cell r="I379">
            <v>225</v>
          </cell>
          <cell r="J379" t="str">
            <v>CF01/1</v>
          </cell>
          <cell r="K379">
            <v>50138033</v>
          </cell>
          <cell r="L379">
            <v>36</v>
          </cell>
          <cell r="M379" t="str">
            <v>E2-ND-06-TSA-0153</v>
          </cell>
        </row>
        <row r="380">
          <cell r="A380">
            <v>50138198</v>
          </cell>
          <cell r="B380" t="str">
            <v>CR SPCEN-SD 0.6x130x150</v>
          </cell>
          <cell r="C380">
            <v>50138198</v>
          </cell>
          <cell r="D380" t="str">
            <v>CR SPCEN-SD</v>
          </cell>
          <cell r="E380" t="str">
            <v>CR</v>
          </cell>
          <cell r="F380" t="str">
            <v>SPCEN-SD</v>
          </cell>
          <cell r="G380">
            <v>0.6</v>
          </cell>
          <cell r="H380">
            <v>130</v>
          </cell>
          <cell r="I380">
            <v>150</v>
          </cell>
          <cell r="J380" t="str">
            <v>CF01/1</v>
          </cell>
          <cell r="K380">
            <v>50138198</v>
          </cell>
          <cell r="L380">
            <v>30</v>
          </cell>
          <cell r="M380" t="str">
            <v>E2-ND-06-TSA-0153</v>
          </cell>
        </row>
        <row r="381">
          <cell r="A381">
            <v>50140912</v>
          </cell>
          <cell r="B381" t="str">
            <v>CR SPCC-SD 1.2x79x378</v>
          </cell>
          <cell r="C381">
            <v>50140912</v>
          </cell>
          <cell r="D381" t="str">
            <v>CR SPCC-SD</v>
          </cell>
          <cell r="E381" t="str">
            <v>CR</v>
          </cell>
          <cell r="F381" t="str">
            <v>SPCC-SD</v>
          </cell>
          <cell r="G381">
            <v>1.2</v>
          </cell>
          <cell r="H381">
            <v>79</v>
          </cell>
          <cell r="I381">
            <v>378</v>
          </cell>
          <cell r="J381" t="str">
            <v>MW01/1</v>
          </cell>
          <cell r="K381">
            <v>50140912</v>
          </cell>
          <cell r="L381">
            <v>304</v>
          </cell>
          <cell r="M381" t="str">
            <v>E1-NJ-06-TSA-0376</v>
          </cell>
        </row>
        <row r="382">
          <cell r="A382">
            <v>50140913</v>
          </cell>
          <cell r="B382" t="str">
            <v>CR SPCC-SD 1.2x87x378</v>
          </cell>
          <cell r="C382">
            <v>50140913</v>
          </cell>
          <cell r="D382" t="str">
            <v>CR SPCC-SD</v>
          </cell>
          <cell r="E382" t="str">
            <v>CR</v>
          </cell>
          <cell r="F382" t="str">
            <v>SPCC-SD</v>
          </cell>
          <cell r="G382">
            <v>1.2</v>
          </cell>
          <cell r="H382">
            <v>87</v>
          </cell>
          <cell r="I382">
            <v>378</v>
          </cell>
          <cell r="J382" t="str">
            <v>MW01/1</v>
          </cell>
          <cell r="K382">
            <v>50140913</v>
          </cell>
          <cell r="L382">
            <v>305</v>
          </cell>
          <cell r="M382" t="str">
            <v>E1-NJ-06-TSA-0377</v>
          </cell>
        </row>
        <row r="383">
          <cell r="A383">
            <v>50141874</v>
          </cell>
          <cell r="B383" t="str">
            <v>PO SPHC P/O 6.0x83x380</v>
          </cell>
          <cell r="C383">
            <v>50141874</v>
          </cell>
          <cell r="D383" t="str">
            <v>PO SPHC P/O</v>
          </cell>
          <cell r="E383" t="str">
            <v>PO</v>
          </cell>
          <cell r="F383" t="str">
            <v>SPHC P/O</v>
          </cell>
          <cell r="G383">
            <v>6</v>
          </cell>
          <cell r="H383">
            <v>83</v>
          </cell>
          <cell r="I383">
            <v>380</v>
          </cell>
          <cell r="J383" t="str">
            <v>CF01/1</v>
          </cell>
          <cell r="K383">
            <v>50141874</v>
          </cell>
          <cell r="L383">
            <v>85</v>
          </cell>
          <cell r="M383" t="str">
            <v>E2-ND-06-TSA-0154</v>
          </cell>
        </row>
        <row r="384">
          <cell r="A384">
            <v>50142094</v>
          </cell>
          <cell r="C384">
            <v>50142094</v>
          </cell>
          <cell r="E384" t="str">
            <v>CR</v>
          </cell>
          <cell r="F384" t="str">
            <v>SPCC-SD</v>
          </cell>
          <cell r="G384">
            <v>1.6</v>
          </cell>
          <cell r="H384">
            <v>75</v>
          </cell>
          <cell r="I384">
            <v>1219</v>
          </cell>
          <cell r="J384" t="str">
            <v>CF01/2</v>
          </cell>
          <cell r="K384">
            <v>50142094</v>
          </cell>
          <cell r="L384">
            <v>79</v>
          </cell>
        </row>
        <row r="385">
          <cell r="A385">
            <v>50142648</v>
          </cell>
          <cell r="B385" t="str">
            <v>CR SPCC-SD 1.6x82x1219</v>
          </cell>
          <cell r="C385">
            <v>50142648</v>
          </cell>
          <cell r="D385" t="str">
            <v>CR SPCC-SD</v>
          </cell>
          <cell r="E385" t="str">
            <v>CR</v>
          </cell>
          <cell r="F385" t="str">
            <v>SPCC-SD</v>
          </cell>
          <cell r="G385">
            <v>1.6</v>
          </cell>
          <cell r="H385">
            <v>82</v>
          </cell>
          <cell r="I385">
            <v>1219</v>
          </cell>
          <cell r="J385" t="str">
            <v>CF01/2</v>
          </cell>
          <cell r="K385">
            <v>50142648</v>
          </cell>
          <cell r="L385">
            <v>28</v>
          </cell>
          <cell r="M385" t="str">
            <v>E2-ND-06-TSA-0151</v>
          </cell>
        </row>
        <row r="386">
          <cell r="A386">
            <v>50142778</v>
          </cell>
          <cell r="B386" t="str">
            <v>PO SPHC P/O 2.6x58x1219</v>
          </cell>
          <cell r="C386">
            <v>50142778</v>
          </cell>
          <cell r="D386" t="str">
            <v>PO SPHC P/O</v>
          </cell>
          <cell r="E386" t="str">
            <v>PO</v>
          </cell>
          <cell r="F386" t="str">
            <v>SPHC P/O</v>
          </cell>
          <cell r="G386">
            <v>2.2999999999999998</v>
          </cell>
          <cell r="H386">
            <v>58</v>
          </cell>
          <cell r="I386">
            <v>1219</v>
          </cell>
          <cell r="J386" t="str">
            <v>LW02/2</v>
          </cell>
          <cell r="K386">
            <v>50142778</v>
          </cell>
          <cell r="L386">
            <v>33</v>
          </cell>
          <cell r="M386" t="str">
            <v>E2-ND-06-TSA-0154</v>
          </cell>
        </row>
        <row r="387">
          <cell r="A387">
            <v>50143335</v>
          </cell>
          <cell r="B387" t="str">
            <v>PO SPHC P/O 6.0x95x380</v>
          </cell>
          <cell r="C387">
            <v>50143335</v>
          </cell>
          <cell r="D387" t="str">
            <v>PO SPHC P/O</v>
          </cell>
          <cell r="E387" t="str">
            <v>PO</v>
          </cell>
          <cell r="F387" t="str">
            <v>SPHC P/O</v>
          </cell>
          <cell r="G387">
            <v>6</v>
          </cell>
          <cell r="H387">
            <v>95</v>
          </cell>
          <cell r="I387">
            <v>380</v>
          </cell>
          <cell r="J387" t="str">
            <v>MW01/1</v>
          </cell>
          <cell r="K387">
            <v>50143335</v>
          </cell>
          <cell r="L387">
            <v>68</v>
          </cell>
          <cell r="M387" t="str">
            <v>E2-ND-06-TSA-0154</v>
          </cell>
        </row>
        <row r="388">
          <cell r="A388">
            <v>50143337</v>
          </cell>
          <cell r="B388" t="str">
            <v>CR SPCC-SD 2.0x76x1219</v>
          </cell>
          <cell r="C388">
            <v>50143337</v>
          </cell>
          <cell r="D388" t="str">
            <v>CR SPCC-SD</v>
          </cell>
          <cell r="E388" t="str">
            <v>CR</v>
          </cell>
          <cell r="F388" t="str">
            <v>SPCC-SD</v>
          </cell>
          <cell r="G388">
            <v>2</v>
          </cell>
          <cell r="H388">
            <v>76</v>
          </cell>
          <cell r="I388">
            <v>1219</v>
          </cell>
          <cell r="J388" t="str">
            <v>LW02/2</v>
          </cell>
          <cell r="K388">
            <v>50143337</v>
          </cell>
          <cell r="L388">
            <v>23</v>
          </cell>
          <cell r="M388" t="str">
            <v>E2-ND-06-TSA-0152</v>
          </cell>
        </row>
        <row r="389">
          <cell r="A389">
            <v>50143413</v>
          </cell>
          <cell r="B389" t="str">
            <v>CR SPCC-SD 1.6x90x250</v>
          </cell>
          <cell r="C389">
            <v>50143413</v>
          </cell>
          <cell r="D389" t="str">
            <v>CR SPCC-SD</v>
          </cell>
          <cell r="E389" t="str">
            <v>CR</v>
          </cell>
          <cell r="F389" t="str">
            <v>SPCC-SD</v>
          </cell>
          <cell r="G389">
            <v>1.6</v>
          </cell>
          <cell r="H389">
            <v>90</v>
          </cell>
          <cell r="I389">
            <v>250</v>
          </cell>
          <cell r="J389" t="str">
            <v>LW02/2</v>
          </cell>
          <cell r="K389">
            <v>50143413</v>
          </cell>
          <cell r="L389">
            <v>20</v>
          </cell>
          <cell r="M389" t="str">
            <v>E2-ND-06-TSA-0152</v>
          </cell>
        </row>
        <row r="390">
          <cell r="A390">
            <v>50143462</v>
          </cell>
          <cell r="B390" t="str">
            <v>PO SPHC P/O 2.0x67x1219</v>
          </cell>
          <cell r="C390">
            <v>50143462</v>
          </cell>
          <cell r="D390" t="str">
            <v>PO SPHC P/O</v>
          </cell>
          <cell r="E390" t="str">
            <v>PO</v>
          </cell>
          <cell r="F390" t="str">
            <v>SPHC P/O</v>
          </cell>
          <cell r="G390">
            <v>2</v>
          </cell>
          <cell r="H390">
            <v>67</v>
          </cell>
          <cell r="I390">
            <v>1219</v>
          </cell>
          <cell r="J390" t="str">
            <v>LW02/2</v>
          </cell>
          <cell r="K390">
            <v>50143462</v>
          </cell>
          <cell r="L390">
            <v>26</v>
          </cell>
          <cell r="M390" t="str">
            <v>E2-ND-06-TSA-0153</v>
          </cell>
        </row>
        <row r="391">
          <cell r="A391">
            <v>50143710</v>
          </cell>
          <cell r="B391" t="str">
            <v>PO SPHC-DS 3.2x38x1219</v>
          </cell>
          <cell r="C391">
            <v>50143710</v>
          </cell>
          <cell r="D391" t="str">
            <v>PO SPHC P/O</v>
          </cell>
          <cell r="E391" t="str">
            <v>PO</v>
          </cell>
          <cell r="F391" t="str">
            <v>SPHC-SD</v>
          </cell>
          <cell r="G391">
            <v>3.2</v>
          </cell>
          <cell r="H391">
            <v>38</v>
          </cell>
          <cell r="I391">
            <v>1219</v>
          </cell>
          <cell r="J391" t="str">
            <v>LW02/3</v>
          </cell>
          <cell r="K391">
            <v>50143710</v>
          </cell>
          <cell r="L391">
            <v>53</v>
          </cell>
          <cell r="M391" t="str">
            <v>E2-ND-06-TSA-0154</v>
          </cell>
        </row>
        <row r="392">
          <cell r="A392">
            <v>50143792</v>
          </cell>
          <cell r="B392" t="str">
            <v>CR SPCC-SD 3.0x85x255</v>
          </cell>
          <cell r="C392">
            <v>50143792</v>
          </cell>
          <cell r="D392" t="str">
            <v>CR SPCC-SD</v>
          </cell>
          <cell r="E392" t="str">
            <v>CR</v>
          </cell>
          <cell r="F392" t="str">
            <v>SPCC-SD</v>
          </cell>
          <cell r="G392">
            <v>3</v>
          </cell>
          <cell r="H392">
            <v>85</v>
          </cell>
          <cell r="I392">
            <v>255</v>
          </cell>
          <cell r="J392" t="str">
            <v>LW02/3</v>
          </cell>
          <cell r="K392">
            <v>50143792</v>
          </cell>
          <cell r="L392">
            <v>16</v>
          </cell>
          <cell r="M392" t="str">
            <v>E2-ND-06-TSA-0153</v>
          </cell>
        </row>
        <row r="393">
          <cell r="A393">
            <v>50143814</v>
          </cell>
          <cell r="B393" t="str">
            <v>CR SPCC-SD 2.3x50x1219</v>
          </cell>
          <cell r="C393">
            <v>50143814</v>
          </cell>
          <cell r="D393" t="str">
            <v>CR SPCC-SD</v>
          </cell>
          <cell r="E393" t="str">
            <v>CR</v>
          </cell>
          <cell r="F393" t="str">
            <v>SPCC-SD</v>
          </cell>
          <cell r="G393">
            <v>2.2999999999999998</v>
          </cell>
          <cell r="H393">
            <v>50</v>
          </cell>
          <cell r="I393">
            <v>1219</v>
          </cell>
          <cell r="J393" t="str">
            <v>LW01/1</v>
          </cell>
          <cell r="K393">
            <v>50143814</v>
          </cell>
          <cell r="L393">
            <v>18</v>
          </cell>
          <cell r="M393" t="str">
            <v>E2-ND-06-TSA-0152</v>
          </cell>
        </row>
        <row r="394">
          <cell r="A394">
            <v>50144044</v>
          </cell>
          <cell r="B394" t="str">
            <v>PO SPHC P/O 4.0x90x1219</v>
          </cell>
          <cell r="C394">
            <v>50144044</v>
          </cell>
          <cell r="D394" t="str">
            <v>PO SPHC P/O</v>
          </cell>
          <cell r="E394" t="str">
            <v>PO</v>
          </cell>
          <cell r="F394" t="str">
            <v>SPHC P/O</v>
          </cell>
          <cell r="G394">
            <v>4</v>
          </cell>
          <cell r="H394">
            <v>90</v>
          </cell>
          <cell r="I394">
            <v>1219</v>
          </cell>
          <cell r="J394" t="str">
            <v>SEMI/S</v>
          </cell>
          <cell r="K394">
            <v>50144044</v>
          </cell>
          <cell r="L394">
            <v>21</v>
          </cell>
          <cell r="M394" t="str">
            <v>E2-ND-06-TSA-0154</v>
          </cell>
        </row>
        <row r="395">
          <cell r="A395">
            <v>50144083</v>
          </cell>
          <cell r="C395">
            <v>50144083</v>
          </cell>
          <cell r="E395" t="str">
            <v>CR</v>
          </cell>
          <cell r="F395" t="str">
            <v>SPCEN-SD</v>
          </cell>
          <cell r="G395">
            <v>1</v>
          </cell>
          <cell r="H395">
            <v>97</v>
          </cell>
          <cell r="I395">
            <v>1219</v>
          </cell>
          <cell r="J395" t="str">
            <v>Semi/S</v>
          </cell>
          <cell r="K395">
            <v>50144083</v>
          </cell>
          <cell r="L395">
            <v>38</v>
          </cell>
        </row>
        <row r="396">
          <cell r="A396">
            <v>50144084</v>
          </cell>
          <cell r="B396" t="str">
            <v>CR SPCEN-SD 1.0x97x1219</v>
          </cell>
          <cell r="C396">
            <v>50144084</v>
          </cell>
          <cell r="D396" t="str">
            <v>CR SPCEN-SD</v>
          </cell>
          <cell r="E396" t="str">
            <v>CR</v>
          </cell>
          <cell r="F396" t="str">
            <v>SPCEN-SD</v>
          </cell>
          <cell r="G396">
            <v>1</v>
          </cell>
          <cell r="H396">
            <v>97</v>
          </cell>
          <cell r="I396">
            <v>1219</v>
          </cell>
          <cell r="J396" t="str">
            <v>SEMI/S</v>
          </cell>
          <cell r="K396">
            <v>50144084</v>
          </cell>
          <cell r="L396">
            <v>38</v>
          </cell>
          <cell r="M396" t="str">
            <v>E2-ND-06-TSA-0161</v>
          </cell>
        </row>
        <row r="397">
          <cell r="A397">
            <v>50144085</v>
          </cell>
          <cell r="B397" t="str">
            <v>CR SPCEN-SD 1.0x97x1219</v>
          </cell>
          <cell r="C397">
            <v>50144085</v>
          </cell>
          <cell r="D397" t="str">
            <v>CR SPCEN-SD</v>
          </cell>
          <cell r="E397" t="str">
            <v>CR</v>
          </cell>
          <cell r="F397" t="str">
            <v>SPCEN-SD</v>
          </cell>
          <cell r="G397">
            <v>1</v>
          </cell>
          <cell r="H397">
            <v>97</v>
          </cell>
          <cell r="I397">
            <v>1219</v>
          </cell>
          <cell r="J397" t="str">
            <v>SEMI/S</v>
          </cell>
          <cell r="K397">
            <v>50144085</v>
          </cell>
          <cell r="L397">
            <v>38</v>
          </cell>
          <cell r="M397" t="str">
            <v>E2-ND-06-TSA-0161</v>
          </cell>
        </row>
        <row r="398">
          <cell r="A398">
            <v>50144086</v>
          </cell>
          <cell r="B398" t="str">
            <v>CR SPCEN-SD 1.0x97x1219</v>
          </cell>
          <cell r="C398">
            <v>50144086</v>
          </cell>
          <cell r="D398" t="str">
            <v>CR SPCEN-SD</v>
          </cell>
          <cell r="E398" t="str">
            <v>CR</v>
          </cell>
          <cell r="F398" t="str">
            <v>SPCEN-SD</v>
          </cell>
          <cell r="G398">
            <v>1</v>
          </cell>
          <cell r="H398">
            <v>97</v>
          </cell>
          <cell r="I398">
            <v>1219</v>
          </cell>
          <cell r="J398" t="str">
            <v>SEMI/S</v>
          </cell>
          <cell r="K398">
            <v>50144086</v>
          </cell>
          <cell r="L398">
            <v>38</v>
          </cell>
          <cell r="M398" t="str">
            <v>E2-ND-06-TSA-0161</v>
          </cell>
        </row>
        <row r="399">
          <cell r="A399">
            <v>50144547</v>
          </cell>
          <cell r="C399">
            <v>50144547</v>
          </cell>
          <cell r="E399" t="str">
            <v>PO</v>
          </cell>
          <cell r="F399" t="str">
            <v>SPHC P/O</v>
          </cell>
          <cell r="G399">
            <v>2</v>
          </cell>
          <cell r="H399">
            <v>135</v>
          </cell>
          <cell r="I399">
            <v>1219</v>
          </cell>
          <cell r="J399" t="str">
            <v>NG</v>
          </cell>
          <cell r="K399">
            <v>50144547</v>
          </cell>
          <cell r="L399">
            <v>109</v>
          </cell>
        </row>
        <row r="400">
          <cell r="A400">
            <v>50145054</v>
          </cell>
          <cell r="C400">
            <v>50145054</v>
          </cell>
          <cell r="E400" t="str">
            <v>PO</v>
          </cell>
          <cell r="F400" t="str">
            <v>SPHC P/O</v>
          </cell>
          <cell r="G400">
            <v>3.2</v>
          </cell>
          <cell r="H400">
            <v>50</v>
          </cell>
          <cell r="I400">
            <v>1219</v>
          </cell>
          <cell r="J400" t="str">
            <v>CF01/2</v>
          </cell>
          <cell r="K400">
            <v>50145054</v>
          </cell>
          <cell r="L400">
            <v>67</v>
          </cell>
        </row>
        <row r="401">
          <cell r="A401">
            <v>50145088</v>
          </cell>
          <cell r="C401">
            <v>50145088</v>
          </cell>
          <cell r="E401" t="str">
            <v>CR</v>
          </cell>
          <cell r="F401" t="str">
            <v>SPCC-SD</v>
          </cell>
          <cell r="G401">
            <v>1.2</v>
          </cell>
          <cell r="H401">
            <v>46</v>
          </cell>
          <cell r="I401">
            <v>655</v>
          </cell>
          <cell r="J401" t="str">
            <v>CF01/1</v>
          </cell>
          <cell r="K401">
            <v>50145088</v>
          </cell>
          <cell r="L401">
            <v>346</v>
          </cell>
        </row>
        <row r="402">
          <cell r="A402">
            <v>50145128</v>
          </cell>
          <cell r="C402">
            <v>50145128</v>
          </cell>
          <cell r="E402" t="str">
            <v>PO</v>
          </cell>
          <cell r="F402" t="str">
            <v>SPHC P/O</v>
          </cell>
          <cell r="G402">
            <v>6</v>
          </cell>
          <cell r="H402">
            <v>94</v>
          </cell>
          <cell r="I402">
            <v>1219</v>
          </cell>
          <cell r="J402" t="str">
            <v>LW01/2</v>
          </cell>
          <cell r="K402">
            <v>50145128</v>
          </cell>
          <cell r="L402">
            <v>379</v>
          </cell>
        </row>
        <row r="403">
          <cell r="A403">
            <v>50145129</v>
          </cell>
          <cell r="C403">
            <v>50145129</v>
          </cell>
          <cell r="E403" t="str">
            <v>PO</v>
          </cell>
          <cell r="F403" t="str">
            <v>SPHC P/O</v>
          </cell>
          <cell r="G403">
            <v>6</v>
          </cell>
          <cell r="H403">
            <v>94</v>
          </cell>
          <cell r="I403">
            <v>1219</v>
          </cell>
          <cell r="J403" t="str">
            <v>LW01/2</v>
          </cell>
          <cell r="K403">
            <v>50145129</v>
          </cell>
          <cell r="L403">
            <v>379</v>
          </cell>
        </row>
        <row r="404">
          <cell r="A404">
            <v>50145143</v>
          </cell>
          <cell r="C404">
            <v>50145143</v>
          </cell>
          <cell r="E404" t="str">
            <v>PO</v>
          </cell>
          <cell r="F404" t="str">
            <v>SPHC P/O</v>
          </cell>
          <cell r="G404">
            <v>2</v>
          </cell>
          <cell r="H404">
            <v>75</v>
          </cell>
          <cell r="I404">
            <v>1219</v>
          </cell>
          <cell r="J404" t="str">
            <v>CF01/2</v>
          </cell>
          <cell r="K404">
            <v>50145143</v>
          </cell>
          <cell r="L404">
            <v>215</v>
          </cell>
        </row>
        <row r="405">
          <cell r="A405">
            <v>50145264</v>
          </cell>
          <cell r="C405">
            <v>50145264</v>
          </cell>
          <cell r="E405" t="str">
            <v>PO</v>
          </cell>
          <cell r="F405" t="str">
            <v>SPHC P/O</v>
          </cell>
          <cell r="G405">
            <v>1.6</v>
          </cell>
          <cell r="H405">
            <v>144</v>
          </cell>
          <cell r="I405">
            <v>1219</v>
          </cell>
          <cell r="J405" t="str">
            <v>NG</v>
          </cell>
          <cell r="K405">
            <v>50145264</v>
          </cell>
          <cell r="L405">
            <v>296</v>
          </cell>
        </row>
        <row r="406">
          <cell r="A406">
            <v>50145265</v>
          </cell>
          <cell r="C406">
            <v>50145265</v>
          </cell>
          <cell r="E406" t="str">
            <v>PO</v>
          </cell>
          <cell r="F406" t="str">
            <v>SPHC P/O</v>
          </cell>
          <cell r="G406">
            <v>1.6</v>
          </cell>
          <cell r="H406">
            <v>144</v>
          </cell>
          <cell r="I406">
            <v>1219</v>
          </cell>
          <cell r="J406" t="str">
            <v>NG</v>
          </cell>
          <cell r="K406">
            <v>50145265</v>
          </cell>
          <cell r="L406">
            <v>204</v>
          </cell>
        </row>
        <row r="407">
          <cell r="A407">
            <v>50146089</v>
          </cell>
          <cell r="C407">
            <v>50146089</v>
          </cell>
          <cell r="E407" t="str">
            <v>PO</v>
          </cell>
          <cell r="F407" t="str">
            <v>SPHC P/O</v>
          </cell>
          <cell r="G407">
            <v>2.6</v>
          </cell>
          <cell r="H407">
            <v>77</v>
          </cell>
          <cell r="I407">
            <v>1219</v>
          </cell>
          <cell r="J407" t="str">
            <v>CF01/2</v>
          </cell>
          <cell r="K407">
            <v>50146089</v>
          </cell>
          <cell r="L407">
            <v>27</v>
          </cell>
        </row>
        <row r="408">
          <cell r="A408">
            <v>50146333</v>
          </cell>
          <cell r="C408">
            <v>50146333</v>
          </cell>
          <cell r="E408" t="str">
            <v>PO</v>
          </cell>
          <cell r="F408" t="str">
            <v>SPHC P/O</v>
          </cell>
          <cell r="G408">
            <v>2.2999999999999998</v>
          </cell>
          <cell r="H408">
            <v>608</v>
          </cell>
          <cell r="I408">
            <v>1219</v>
          </cell>
          <cell r="J408" t="str">
            <v>DS01/1</v>
          </cell>
          <cell r="K408">
            <v>50146333</v>
          </cell>
          <cell r="L408">
            <v>254</v>
          </cell>
        </row>
        <row r="409">
          <cell r="A409">
            <v>50146390</v>
          </cell>
          <cell r="C409">
            <v>50146390</v>
          </cell>
          <cell r="E409" t="str">
            <v>PO</v>
          </cell>
          <cell r="F409" t="str">
            <v>SPHC P/O</v>
          </cell>
          <cell r="G409">
            <v>3.2</v>
          </cell>
          <cell r="H409">
            <v>90</v>
          </cell>
          <cell r="I409">
            <v>1219</v>
          </cell>
          <cell r="J409" t="str">
            <v>DS01/1</v>
          </cell>
          <cell r="K409">
            <v>50146390</v>
          </cell>
          <cell r="L409">
            <v>300</v>
          </cell>
        </row>
        <row r="410">
          <cell r="A410">
            <v>50146438</v>
          </cell>
          <cell r="C410">
            <v>50146438</v>
          </cell>
          <cell r="E410" t="str">
            <v>PO</v>
          </cell>
          <cell r="F410" t="str">
            <v>SPHC P/O</v>
          </cell>
          <cell r="G410">
            <v>1.6</v>
          </cell>
          <cell r="H410">
            <v>64</v>
          </cell>
          <cell r="I410">
            <v>1219</v>
          </cell>
          <cell r="J410" t="str">
            <v>CF01/2</v>
          </cell>
          <cell r="K410">
            <v>50146438</v>
          </cell>
          <cell r="L410">
            <v>118</v>
          </cell>
        </row>
        <row r="411">
          <cell r="A411">
            <v>50147014</v>
          </cell>
          <cell r="C411">
            <v>50147014</v>
          </cell>
          <cell r="E411" t="str">
            <v>PO</v>
          </cell>
          <cell r="F411" t="str">
            <v>SPHC P/O</v>
          </cell>
          <cell r="G411">
            <v>4.5</v>
          </cell>
          <cell r="H411">
            <v>126</v>
          </cell>
          <cell r="I411">
            <v>1219</v>
          </cell>
          <cell r="J411" t="str">
            <v>NG</v>
          </cell>
          <cell r="K411">
            <v>50147014</v>
          </cell>
          <cell r="L411">
            <v>49</v>
          </cell>
        </row>
        <row r="412">
          <cell r="A412">
            <v>50147196</v>
          </cell>
          <cell r="C412">
            <v>50147196</v>
          </cell>
          <cell r="E412" t="str">
            <v>PO</v>
          </cell>
          <cell r="F412" t="str">
            <v>SPHC P/O</v>
          </cell>
          <cell r="G412">
            <v>3.2</v>
          </cell>
          <cell r="H412">
            <v>96</v>
          </cell>
          <cell r="I412">
            <v>1219</v>
          </cell>
          <cell r="J412" t="str">
            <v>OW01/1</v>
          </cell>
          <cell r="K412">
            <v>50147196</v>
          </cell>
          <cell r="L412">
            <v>247</v>
          </cell>
        </row>
        <row r="413">
          <cell r="A413">
            <v>50147814</v>
          </cell>
          <cell r="C413">
            <v>50147814</v>
          </cell>
          <cell r="E413" t="str">
            <v>CR</v>
          </cell>
          <cell r="F413" t="str">
            <v>SPCC-SD</v>
          </cell>
          <cell r="G413">
            <v>0.8</v>
          </cell>
          <cell r="H413">
            <v>180</v>
          </cell>
          <cell r="I413">
            <v>1840</v>
          </cell>
          <cell r="J413" t="str">
            <v>DS01/1</v>
          </cell>
          <cell r="K413">
            <v>50147814</v>
          </cell>
          <cell r="L413">
            <v>315</v>
          </cell>
        </row>
        <row r="414">
          <cell r="A414">
            <v>50147868</v>
          </cell>
          <cell r="C414">
            <v>50147868</v>
          </cell>
          <cell r="E414" t="str">
            <v>PO</v>
          </cell>
          <cell r="F414" t="str">
            <v>SPHC P/O</v>
          </cell>
          <cell r="G414">
            <v>2.2999999999999998</v>
          </cell>
          <cell r="H414">
            <v>65</v>
          </cell>
          <cell r="I414">
            <v>1219</v>
          </cell>
          <cell r="J414" t="str">
            <v>OW01/1</v>
          </cell>
          <cell r="K414">
            <v>50147868</v>
          </cell>
          <cell r="L414">
            <v>72</v>
          </cell>
        </row>
        <row r="415">
          <cell r="A415">
            <v>50147887</v>
          </cell>
          <cell r="C415">
            <v>50147887</v>
          </cell>
          <cell r="E415" t="str">
            <v>CR</v>
          </cell>
          <cell r="F415" t="str">
            <v>SPCC-SD</v>
          </cell>
          <cell r="G415">
            <v>3</v>
          </cell>
          <cell r="H415">
            <v>152</v>
          </cell>
          <cell r="I415">
            <v>310</v>
          </cell>
          <cell r="J415" t="str">
            <v>NG</v>
          </cell>
          <cell r="K415">
            <v>50147887</v>
          </cell>
          <cell r="L415">
            <v>242</v>
          </cell>
        </row>
        <row r="416">
          <cell r="A416">
            <v>50147927</v>
          </cell>
          <cell r="B416" t="str">
            <v>CR SPCC-SD 1.2x315x1041</v>
          </cell>
          <cell r="C416">
            <v>50147927</v>
          </cell>
          <cell r="D416" t="str">
            <v>CR SPCC-SD</v>
          </cell>
          <cell r="E416" t="str">
            <v>CR</v>
          </cell>
          <cell r="F416" t="str">
            <v>SPCC-SD</v>
          </cell>
          <cell r="G416">
            <v>1.2</v>
          </cell>
          <cell r="H416">
            <v>315</v>
          </cell>
          <cell r="I416">
            <v>1041</v>
          </cell>
          <cell r="J416" t="str">
            <v>NG</v>
          </cell>
          <cell r="K416">
            <v>50147927</v>
          </cell>
          <cell r="L416">
            <v>417</v>
          </cell>
          <cell r="M416" t="str">
            <v>E2-NJ-06-TSA-0079</v>
          </cell>
        </row>
        <row r="417">
          <cell r="A417">
            <v>50148051</v>
          </cell>
          <cell r="B417" t="str">
            <v>PO SPHC P/O 2.0x100x1219</v>
          </cell>
          <cell r="C417">
            <v>50148051</v>
          </cell>
          <cell r="D417" t="str">
            <v>PO SPHC P/O</v>
          </cell>
          <cell r="E417" t="str">
            <v>PO</v>
          </cell>
          <cell r="F417" t="str">
            <v>SPHC P/O</v>
          </cell>
          <cell r="G417">
            <v>2</v>
          </cell>
          <cell r="H417">
            <v>100</v>
          </cell>
          <cell r="I417">
            <v>1219</v>
          </cell>
          <cell r="J417" t="str">
            <v>NG</v>
          </cell>
          <cell r="K417">
            <v>50148051</v>
          </cell>
          <cell r="L417">
            <v>67</v>
          </cell>
          <cell r="M417" t="str">
            <v>E1-ND-06-TSA-0372</v>
          </cell>
        </row>
        <row r="418">
          <cell r="A418">
            <v>50148332</v>
          </cell>
          <cell r="C418">
            <v>50148332</v>
          </cell>
          <cell r="E418" t="str">
            <v>PO</v>
          </cell>
          <cell r="F418" t="str">
            <v>SPHC P/O</v>
          </cell>
          <cell r="G418">
            <v>4.5</v>
          </cell>
          <cell r="H418">
            <v>64</v>
          </cell>
          <cell r="I418">
            <v>1219</v>
          </cell>
          <cell r="J418" t="str">
            <v>CF01/1</v>
          </cell>
          <cell r="K418">
            <v>50148332</v>
          </cell>
          <cell r="L418">
            <v>800</v>
          </cell>
        </row>
        <row r="419">
          <cell r="A419">
            <v>50148405</v>
          </cell>
          <cell r="C419">
            <v>50148405</v>
          </cell>
          <cell r="E419" t="str">
            <v>CR</v>
          </cell>
          <cell r="F419" t="str">
            <v>SPCC-SD</v>
          </cell>
          <cell r="G419">
            <v>2.2999999999999998</v>
          </cell>
          <cell r="H419">
            <v>88</v>
          </cell>
          <cell r="I419">
            <v>1219</v>
          </cell>
          <cell r="J419" t="str">
            <v>CF01/2</v>
          </cell>
          <cell r="K419">
            <v>50148405</v>
          </cell>
          <cell r="L419">
            <v>114</v>
          </cell>
        </row>
        <row r="420">
          <cell r="A420">
            <v>50148446</v>
          </cell>
          <cell r="C420">
            <v>50148446</v>
          </cell>
          <cell r="E420" t="str">
            <v>CR</v>
          </cell>
          <cell r="F420" t="str">
            <v>SPCC-SD</v>
          </cell>
          <cell r="G420">
            <v>3.2</v>
          </cell>
          <cell r="H420">
            <v>108</v>
          </cell>
          <cell r="I420">
            <v>1219</v>
          </cell>
          <cell r="J420" t="str">
            <v>DS01/1</v>
          </cell>
          <cell r="K420">
            <v>50148446</v>
          </cell>
          <cell r="L420">
            <v>453</v>
          </cell>
        </row>
        <row r="421">
          <cell r="A421">
            <v>50148494</v>
          </cell>
          <cell r="C421">
            <v>50148494</v>
          </cell>
          <cell r="E421" t="str">
            <v>CR</v>
          </cell>
          <cell r="F421" t="str">
            <v>SPCC-SD</v>
          </cell>
          <cell r="G421">
            <v>3</v>
          </cell>
          <cell r="H421">
            <v>78</v>
          </cell>
          <cell r="I421">
            <v>1219</v>
          </cell>
          <cell r="J421" t="str">
            <v>CF01/1</v>
          </cell>
          <cell r="K421">
            <v>50148494</v>
          </cell>
          <cell r="L421">
            <v>76</v>
          </cell>
        </row>
        <row r="422">
          <cell r="A422">
            <v>50148496</v>
          </cell>
          <cell r="C422">
            <v>50148496</v>
          </cell>
          <cell r="E422" t="str">
            <v>CR</v>
          </cell>
          <cell r="F422" t="str">
            <v>SPCC-SD</v>
          </cell>
          <cell r="G422">
            <v>1.6</v>
          </cell>
          <cell r="H422">
            <v>34</v>
          </cell>
          <cell r="I422">
            <v>1219</v>
          </cell>
          <cell r="J422" t="str">
            <v>CF01/1</v>
          </cell>
          <cell r="K422">
            <v>50148496</v>
          </cell>
          <cell r="L422">
            <v>4</v>
          </cell>
        </row>
        <row r="423">
          <cell r="A423">
            <v>50148531</v>
          </cell>
          <cell r="C423">
            <v>50148531</v>
          </cell>
          <cell r="E423" t="str">
            <v>CR</v>
          </cell>
          <cell r="F423" t="str">
            <v>SPCC-SD</v>
          </cell>
          <cell r="G423">
            <v>0.5</v>
          </cell>
          <cell r="H423">
            <v>35</v>
          </cell>
          <cell r="I423">
            <v>1219</v>
          </cell>
          <cell r="J423" t="str">
            <v>CF01/1</v>
          </cell>
          <cell r="K423">
            <v>50148531</v>
          </cell>
          <cell r="L423">
            <v>12</v>
          </cell>
        </row>
        <row r="424">
          <cell r="A424">
            <v>50148643</v>
          </cell>
          <cell r="C424">
            <v>50148643</v>
          </cell>
          <cell r="E424" t="str">
            <v>PO</v>
          </cell>
          <cell r="F424" t="str">
            <v>SPHC P/O</v>
          </cell>
          <cell r="G424">
            <v>2.6</v>
          </cell>
          <cell r="H424">
            <v>64.8</v>
          </cell>
          <cell r="I424">
            <v>468</v>
          </cell>
          <cell r="J424" t="str">
            <v>CF01/1</v>
          </cell>
          <cell r="K424">
            <v>50148643</v>
          </cell>
          <cell r="L424">
            <v>87</v>
          </cell>
        </row>
        <row r="425">
          <cell r="A425">
            <v>50148676</v>
          </cell>
          <cell r="B425" t="str">
            <v>CR SPCC-SD 2.3x170x1219</v>
          </cell>
          <cell r="C425">
            <v>50148676</v>
          </cell>
          <cell r="D425" t="str">
            <v>CR SPCC-SD</v>
          </cell>
          <cell r="E425" t="str">
            <v>CR</v>
          </cell>
          <cell r="F425" t="str">
            <v>SPCC-SD</v>
          </cell>
          <cell r="G425">
            <v>2.2999999999999998</v>
          </cell>
          <cell r="H425">
            <v>170</v>
          </cell>
          <cell r="I425">
            <v>1219</v>
          </cell>
          <cell r="J425" t="str">
            <v>NG</v>
          </cell>
          <cell r="K425">
            <v>50148676</v>
          </cell>
          <cell r="L425">
            <v>935</v>
          </cell>
          <cell r="M425" t="str">
            <v>E1-ND-06-TSA-0380</v>
          </cell>
        </row>
        <row r="426">
          <cell r="A426">
            <v>50148677</v>
          </cell>
          <cell r="B426" t="str">
            <v>CR SPCC-SD 2.3x170x1219</v>
          </cell>
          <cell r="C426">
            <v>50148677</v>
          </cell>
          <cell r="D426" t="str">
            <v>CR SPCC-SD</v>
          </cell>
          <cell r="E426" t="str">
            <v>CR</v>
          </cell>
          <cell r="F426" t="str">
            <v>SPCC-SD</v>
          </cell>
          <cell r="G426">
            <v>2.2999999999999998</v>
          </cell>
          <cell r="H426">
            <v>170</v>
          </cell>
          <cell r="I426">
            <v>1219</v>
          </cell>
          <cell r="J426" t="str">
            <v>NG</v>
          </cell>
          <cell r="K426">
            <v>50148677</v>
          </cell>
          <cell r="L426">
            <v>183</v>
          </cell>
          <cell r="M426" t="str">
            <v>E1-ND-06-TSA-0374</v>
          </cell>
        </row>
        <row r="427">
          <cell r="A427">
            <v>50148793</v>
          </cell>
          <cell r="B427" t="str">
            <v>CR SPCC-SD 0.8x1219x2447</v>
          </cell>
          <cell r="C427">
            <v>50148793</v>
          </cell>
          <cell r="D427" t="str">
            <v>CR SPCC-SD</v>
          </cell>
          <cell r="E427" t="str">
            <v>CR</v>
          </cell>
          <cell r="F427" t="str">
            <v>SPCC-SD</v>
          </cell>
          <cell r="G427">
            <v>0.8</v>
          </cell>
          <cell r="H427">
            <v>1219</v>
          </cell>
          <cell r="I427">
            <v>2447</v>
          </cell>
          <cell r="J427" t="str">
            <v>NG</v>
          </cell>
          <cell r="K427">
            <v>50148793</v>
          </cell>
          <cell r="L427">
            <v>131</v>
          </cell>
          <cell r="M427" t="str">
            <v>E1-ND-06-TSA-0374</v>
          </cell>
        </row>
        <row r="428">
          <cell r="A428">
            <v>50148799</v>
          </cell>
          <cell r="B428" t="str">
            <v>CR SPCC-SD 1.0x133x1219</v>
          </cell>
          <cell r="C428">
            <v>50148799</v>
          </cell>
          <cell r="D428" t="str">
            <v>CR SPCC-SD</v>
          </cell>
          <cell r="E428" t="str">
            <v>CR</v>
          </cell>
          <cell r="F428" t="str">
            <v>SPCC-SD</v>
          </cell>
          <cell r="G428">
            <v>1</v>
          </cell>
          <cell r="H428">
            <v>133</v>
          </cell>
          <cell r="I428">
            <v>1219</v>
          </cell>
          <cell r="J428" t="str">
            <v>NG</v>
          </cell>
          <cell r="K428">
            <v>50148799</v>
          </cell>
          <cell r="L428">
            <v>117</v>
          </cell>
          <cell r="M428" t="str">
            <v>E2-NJ-06-TSA-0078</v>
          </cell>
        </row>
        <row r="429">
          <cell r="A429">
            <v>50149154</v>
          </cell>
          <cell r="B429" t="str">
            <v>CR SPCC-SD 0.8x260x1219</v>
          </cell>
          <cell r="C429">
            <v>50149154</v>
          </cell>
          <cell r="D429" t="str">
            <v>CR SPCC-SD</v>
          </cell>
          <cell r="E429" t="str">
            <v>CR</v>
          </cell>
          <cell r="F429" t="str">
            <v>SPCC-SD</v>
          </cell>
          <cell r="G429">
            <v>0.8</v>
          </cell>
          <cell r="H429">
            <v>260</v>
          </cell>
          <cell r="I429">
            <v>1219</v>
          </cell>
          <cell r="J429" t="str">
            <v>NG</v>
          </cell>
          <cell r="K429">
            <v>50149154</v>
          </cell>
          <cell r="L429">
            <v>103</v>
          </cell>
          <cell r="M429" t="str">
            <v>E2-NJ-06-TSA-0083</v>
          </cell>
        </row>
        <row r="430">
          <cell r="A430">
            <v>50149248</v>
          </cell>
          <cell r="B430" t="str">
            <v>CR SPCC-SD 0.8x770x1219</v>
          </cell>
          <cell r="C430">
            <v>50149248</v>
          </cell>
          <cell r="D430" t="str">
            <v>CR SPCC-SD</v>
          </cell>
          <cell r="E430" t="str">
            <v>CR</v>
          </cell>
          <cell r="F430" t="str">
            <v>SPCC-SD</v>
          </cell>
          <cell r="G430">
            <v>0.8</v>
          </cell>
          <cell r="H430">
            <v>770</v>
          </cell>
          <cell r="I430">
            <v>1219</v>
          </cell>
          <cell r="J430" t="str">
            <v>NG</v>
          </cell>
          <cell r="K430">
            <v>50149248</v>
          </cell>
          <cell r="L430">
            <v>35</v>
          </cell>
          <cell r="M430" t="str">
            <v>E2-NJ-06-TSA-0083</v>
          </cell>
        </row>
        <row r="431">
          <cell r="A431">
            <v>50149249</v>
          </cell>
          <cell r="B431" t="str">
            <v>CR SPCC-SD 0.8x770x1219</v>
          </cell>
          <cell r="C431">
            <v>50149249</v>
          </cell>
          <cell r="D431" t="str">
            <v>CR SPCC-SD</v>
          </cell>
          <cell r="E431" t="str">
            <v>CR</v>
          </cell>
          <cell r="F431" t="str">
            <v>SPCC-SD</v>
          </cell>
          <cell r="G431">
            <v>0.8</v>
          </cell>
          <cell r="H431">
            <v>770</v>
          </cell>
          <cell r="I431">
            <v>1219</v>
          </cell>
          <cell r="J431" t="str">
            <v>NG</v>
          </cell>
          <cell r="K431">
            <v>50149249</v>
          </cell>
          <cell r="L431">
            <v>153</v>
          </cell>
          <cell r="M431" t="str">
            <v>E1-ND-06-TSA-0378</v>
          </cell>
        </row>
        <row r="432">
          <cell r="A432">
            <v>50149443</v>
          </cell>
          <cell r="C432">
            <v>50149443</v>
          </cell>
          <cell r="E432" t="str">
            <v>CR</v>
          </cell>
          <cell r="F432" t="str">
            <v>SPCC-SD</v>
          </cell>
          <cell r="G432">
            <v>2</v>
          </cell>
          <cell r="H432">
            <v>92</v>
          </cell>
          <cell r="I432">
            <v>1219</v>
          </cell>
          <cell r="J432" t="str">
            <v>Semi/S</v>
          </cell>
          <cell r="K432">
            <v>50149443</v>
          </cell>
          <cell r="L432">
            <v>9</v>
          </cell>
        </row>
        <row r="433">
          <cell r="A433">
            <v>50149473</v>
          </cell>
          <cell r="B433" t="str">
            <v>PO SPHC P/O 1.2x83x1219</v>
          </cell>
          <cell r="C433">
            <v>50149473</v>
          </cell>
          <cell r="D433" t="str">
            <v>PO SPHC P/O</v>
          </cell>
          <cell r="E433" t="str">
            <v>PO</v>
          </cell>
          <cell r="F433" t="str">
            <v>SPHC P/O</v>
          </cell>
          <cell r="G433">
            <v>1.2</v>
          </cell>
          <cell r="H433">
            <v>83</v>
          </cell>
          <cell r="I433">
            <v>1219</v>
          </cell>
          <cell r="J433" t="str">
            <v>NG</v>
          </cell>
          <cell r="K433">
            <v>50149473</v>
          </cell>
          <cell r="L433">
            <v>58</v>
          </cell>
          <cell r="M433" t="str">
            <v>E1-ND-06-TSA-0378</v>
          </cell>
        </row>
        <row r="434">
          <cell r="A434">
            <v>50149489</v>
          </cell>
          <cell r="C434">
            <v>50149489</v>
          </cell>
          <cell r="E434" t="str">
            <v>PO</v>
          </cell>
          <cell r="F434" t="str">
            <v>SPHC P/O</v>
          </cell>
          <cell r="G434">
            <v>1.6</v>
          </cell>
          <cell r="H434">
            <v>56</v>
          </cell>
          <cell r="I434">
            <v>1219</v>
          </cell>
          <cell r="J434" t="str">
            <v>Semi/S</v>
          </cell>
          <cell r="K434">
            <v>50149489</v>
          </cell>
          <cell r="L434">
            <v>15</v>
          </cell>
        </row>
        <row r="435">
          <cell r="A435">
            <v>50149510</v>
          </cell>
          <cell r="C435">
            <v>50149510</v>
          </cell>
          <cell r="E435" t="str">
            <v>CR</v>
          </cell>
          <cell r="F435" t="str">
            <v>SPCC-SD</v>
          </cell>
          <cell r="G435">
            <v>1.2</v>
          </cell>
          <cell r="H435">
            <v>58</v>
          </cell>
          <cell r="I435">
            <v>1219</v>
          </cell>
          <cell r="J435" t="str">
            <v>Semi/S</v>
          </cell>
          <cell r="K435">
            <v>50149510</v>
          </cell>
          <cell r="L435">
            <v>51</v>
          </cell>
        </row>
        <row r="436">
          <cell r="A436">
            <v>50149588</v>
          </cell>
          <cell r="B436" t="str">
            <v>CR SPCC-SD 1.6x1219x1900</v>
          </cell>
          <cell r="C436">
            <v>50149588</v>
          </cell>
          <cell r="D436" t="str">
            <v>CR SPCC-SD</v>
          </cell>
          <cell r="E436" t="str">
            <v>CR</v>
          </cell>
          <cell r="F436" t="str">
            <v>SPCC-SD</v>
          </cell>
          <cell r="G436">
            <v>1.6</v>
          </cell>
          <cell r="H436">
            <v>1219</v>
          </cell>
          <cell r="I436">
            <v>1900</v>
          </cell>
          <cell r="J436" t="str">
            <v>NG</v>
          </cell>
          <cell r="K436">
            <v>50149588</v>
          </cell>
          <cell r="L436">
            <v>268</v>
          </cell>
          <cell r="M436" t="str">
            <v>E2-NJ-06-TSA-0081</v>
          </cell>
        </row>
        <row r="437">
          <cell r="A437">
            <v>60008587</v>
          </cell>
          <cell r="C437">
            <v>60008587</v>
          </cell>
          <cell r="E437" t="str">
            <v>CR</v>
          </cell>
          <cell r="F437" t="str">
            <v>SPCEN-SD</v>
          </cell>
          <cell r="G437">
            <v>0.7</v>
          </cell>
          <cell r="H437">
            <v>90</v>
          </cell>
          <cell r="I437" t="str">
            <v>C</v>
          </cell>
          <cell r="J437" t="str">
            <v>CS01/12</v>
          </cell>
          <cell r="K437">
            <v>60008587</v>
          </cell>
          <cell r="L437">
            <v>330</v>
          </cell>
        </row>
        <row r="438">
          <cell r="A438">
            <v>60009372</v>
          </cell>
          <cell r="C438">
            <v>60009372</v>
          </cell>
          <cell r="E438" t="str">
            <v>PO</v>
          </cell>
          <cell r="F438" t="str">
            <v>SPHC P/O</v>
          </cell>
          <cell r="G438">
            <v>3.2</v>
          </cell>
          <cell r="H438">
            <v>66</v>
          </cell>
          <cell r="I438" t="str">
            <v>C</v>
          </cell>
          <cell r="J438" t="str">
            <v>CS01/2</v>
          </cell>
          <cell r="K438">
            <v>60009372</v>
          </cell>
          <cell r="L438">
            <v>95</v>
          </cell>
        </row>
        <row r="439">
          <cell r="A439">
            <v>60009373</v>
          </cell>
          <cell r="C439">
            <v>60009373</v>
          </cell>
          <cell r="E439" t="str">
            <v>PO</v>
          </cell>
          <cell r="F439" t="str">
            <v>SPHC P/O</v>
          </cell>
          <cell r="G439">
            <v>3.2</v>
          </cell>
          <cell r="H439">
            <v>66</v>
          </cell>
          <cell r="I439" t="str">
            <v>C</v>
          </cell>
          <cell r="J439" t="str">
            <v>CS01/2</v>
          </cell>
          <cell r="K439">
            <v>60009373</v>
          </cell>
          <cell r="L439">
            <v>95</v>
          </cell>
        </row>
        <row r="440">
          <cell r="A440">
            <v>60009374</v>
          </cell>
          <cell r="C440">
            <v>60009374</v>
          </cell>
          <cell r="E440" t="str">
            <v>PO</v>
          </cell>
          <cell r="F440" t="str">
            <v>SPHC P/O</v>
          </cell>
          <cell r="G440">
            <v>3.2</v>
          </cell>
          <cell r="H440">
            <v>66</v>
          </cell>
          <cell r="I440" t="str">
            <v>C</v>
          </cell>
          <cell r="J440" t="str">
            <v>CS01/2</v>
          </cell>
          <cell r="K440">
            <v>60009374</v>
          </cell>
          <cell r="L440">
            <v>95</v>
          </cell>
        </row>
        <row r="441">
          <cell r="A441">
            <v>60009909</v>
          </cell>
          <cell r="C441">
            <v>60009909</v>
          </cell>
          <cell r="E441" t="str">
            <v>PO</v>
          </cell>
          <cell r="F441" t="str">
            <v>SPHC P/O</v>
          </cell>
          <cell r="G441">
            <v>4.5</v>
          </cell>
          <cell r="H441">
            <v>70</v>
          </cell>
          <cell r="I441" t="str">
            <v>C</v>
          </cell>
          <cell r="J441" t="str">
            <v>CS01/1</v>
          </cell>
          <cell r="K441">
            <v>60009909</v>
          </cell>
          <cell r="L441">
            <v>260</v>
          </cell>
        </row>
        <row r="442">
          <cell r="A442">
            <v>60009910</v>
          </cell>
          <cell r="C442">
            <v>60009910</v>
          </cell>
          <cell r="E442" t="str">
            <v>PO</v>
          </cell>
          <cell r="F442" t="str">
            <v>SPHC P/O</v>
          </cell>
          <cell r="G442">
            <v>4.5</v>
          </cell>
          <cell r="H442">
            <v>70</v>
          </cell>
          <cell r="I442" t="str">
            <v>C</v>
          </cell>
          <cell r="J442" t="str">
            <v>CS01/1</v>
          </cell>
          <cell r="K442">
            <v>60009910</v>
          </cell>
          <cell r="L442">
            <v>246</v>
          </cell>
        </row>
        <row r="443">
          <cell r="A443">
            <v>60010696</v>
          </cell>
          <cell r="C443">
            <v>60010696</v>
          </cell>
          <cell r="E443" t="str">
            <v>CR</v>
          </cell>
          <cell r="F443" t="str">
            <v>SPCEN-SD</v>
          </cell>
          <cell r="G443">
            <v>1.6</v>
          </cell>
          <cell r="H443">
            <v>82</v>
          </cell>
          <cell r="I443" t="str">
            <v>C</v>
          </cell>
          <cell r="J443" t="str">
            <v>CS01/2</v>
          </cell>
          <cell r="K443">
            <v>60010696</v>
          </cell>
          <cell r="L443">
            <v>305</v>
          </cell>
        </row>
        <row r="444">
          <cell r="A444">
            <v>60010697</v>
          </cell>
          <cell r="C444">
            <v>60010697</v>
          </cell>
          <cell r="E444" t="str">
            <v>CR</v>
          </cell>
          <cell r="F444" t="str">
            <v>SPCEN-SD</v>
          </cell>
          <cell r="G444">
            <v>1.6</v>
          </cell>
          <cell r="H444">
            <v>82</v>
          </cell>
          <cell r="I444" t="str">
            <v>C</v>
          </cell>
          <cell r="J444" t="str">
            <v>CS01/2</v>
          </cell>
          <cell r="K444">
            <v>60010697</v>
          </cell>
          <cell r="L444">
            <v>305</v>
          </cell>
        </row>
        <row r="445">
          <cell r="A445">
            <v>60010701</v>
          </cell>
          <cell r="C445">
            <v>60010701</v>
          </cell>
          <cell r="E445" t="str">
            <v>CR</v>
          </cell>
          <cell r="F445" t="str">
            <v>SPCEN-SD</v>
          </cell>
          <cell r="G445">
            <v>1.6</v>
          </cell>
          <cell r="H445">
            <v>82</v>
          </cell>
          <cell r="I445" t="str">
            <v>C</v>
          </cell>
          <cell r="J445" t="str">
            <v>CS01/2</v>
          </cell>
          <cell r="K445">
            <v>60010701</v>
          </cell>
          <cell r="L445">
            <v>335</v>
          </cell>
        </row>
        <row r="446">
          <cell r="A446">
            <v>60010702</v>
          </cell>
          <cell r="C446">
            <v>60010702</v>
          </cell>
          <cell r="E446" t="str">
            <v>CR</v>
          </cell>
          <cell r="F446" t="str">
            <v>SPCEN-SD</v>
          </cell>
          <cell r="G446">
            <v>1.6</v>
          </cell>
          <cell r="H446">
            <v>82</v>
          </cell>
          <cell r="I446" t="str">
            <v>C</v>
          </cell>
          <cell r="J446" t="str">
            <v>CS01/2</v>
          </cell>
          <cell r="K446">
            <v>60010702</v>
          </cell>
          <cell r="L446">
            <v>335</v>
          </cell>
        </row>
        <row r="447">
          <cell r="A447">
            <v>60010706</v>
          </cell>
          <cell r="C447">
            <v>60010706</v>
          </cell>
          <cell r="E447" t="str">
            <v>CR</v>
          </cell>
          <cell r="F447" t="str">
            <v>SPCEN-SD</v>
          </cell>
          <cell r="G447">
            <v>1.6</v>
          </cell>
          <cell r="H447">
            <v>82</v>
          </cell>
          <cell r="I447" t="str">
            <v>C</v>
          </cell>
          <cell r="J447" t="str">
            <v>CS01/2</v>
          </cell>
          <cell r="K447">
            <v>60010706</v>
          </cell>
          <cell r="L447">
            <v>290</v>
          </cell>
        </row>
        <row r="448">
          <cell r="A448">
            <v>60010707</v>
          </cell>
          <cell r="C448">
            <v>60010707</v>
          </cell>
          <cell r="E448" t="str">
            <v>CR</v>
          </cell>
          <cell r="F448" t="str">
            <v>SPCEN-SD</v>
          </cell>
          <cell r="G448">
            <v>1.6</v>
          </cell>
          <cell r="H448">
            <v>82</v>
          </cell>
          <cell r="I448" t="str">
            <v>C</v>
          </cell>
          <cell r="J448" t="str">
            <v>CS01/2</v>
          </cell>
          <cell r="K448">
            <v>60010707</v>
          </cell>
          <cell r="L448">
            <v>290</v>
          </cell>
        </row>
        <row r="449">
          <cell r="A449">
            <v>60010711</v>
          </cell>
          <cell r="C449">
            <v>60010711</v>
          </cell>
          <cell r="E449" t="str">
            <v>CR</v>
          </cell>
          <cell r="F449" t="str">
            <v>SPCEN-SD</v>
          </cell>
          <cell r="G449">
            <v>1.6</v>
          </cell>
          <cell r="H449">
            <v>82</v>
          </cell>
          <cell r="I449" t="str">
            <v>C</v>
          </cell>
          <cell r="J449" t="str">
            <v>CS01/2</v>
          </cell>
          <cell r="K449">
            <v>60010711</v>
          </cell>
          <cell r="L449">
            <v>295</v>
          </cell>
        </row>
        <row r="450">
          <cell r="A450">
            <v>60010712</v>
          </cell>
          <cell r="C450">
            <v>60010712</v>
          </cell>
          <cell r="E450" t="str">
            <v>CR</v>
          </cell>
          <cell r="F450" t="str">
            <v>SPCEN-SD</v>
          </cell>
          <cell r="G450">
            <v>1.6</v>
          </cell>
          <cell r="H450">
            <v>82</v>
          </cell>
          <cell r="I450" t="str">
            <v>C</v>
          </cell>
          <cell r="J450" t="str">
            <v>CS01/2</v>
          </cell>
          <cell r="K450">
            <v>60010712</v>
          </cell>
          <cell r="L450">
            <v>295</v>
          </cell>
        </row>
        <row r="451">
          <cell r="A451">
            <v>60010876</v>
          </cell>
          <cell r="C451">
            <v>60010876</v>
          </cell>
          <cell r="E451" t="str">
            <v>CR</v>
          </cell>
          <cell r="F451" t="str">
            <v>SPCEN-SD</v>
          </cell>
          <cell r="G451">
            <v>0.7</v>
          </cell>
          <cell r="H451">
            <v>90</v>
          </cell>
          <cell r="I451" t="str">
            <v>C</v>
          </cell>
          <cell r="J451" t="str">
            <v>CS01/2</v>
          </cell>
          <cell r="K451">
            <v>60010876</v>
          </cell>
          <cell r="L451">
            <v>720</v>
          </cell>
        </row>
        <row r="452">
          <cell r="A452">
            <v>60010879</v>
          </cell>
          <cell r="C452">
            <v>60010879</v>
          </cell>
          <cell r="E452" t="str">
            <v>CR</v>
          </cell>
          <cell r="F452" t="str">
            <v>SPCEN-SD</v>
          </cell>
          <cell r="G452">
            <v>0.7</v>
          </cell>
          <cell r="H452">
            <v>90</v>
          </cell>
          <cell r="I452" t="str">
            <v>C</v>
          </cell>
          <cell r="J452" t="str">
            <v>CS01/2</v>
          </cell>
          <cell r="K452">
            <v>60010879</v>
          </cell>
          <cell r="L452">
            <v>750</v>
          </cell>
        </row>
        <row r="453">
          <cell r="A453">
            <v>60011302</v>
          </cell>
          <cell r="C453">
            <v>60011302</v>
          </cell>
          <cell r="E453" t="str">
            <v>CR</v>
          </cell>
          <cell r="F453" t="str">
            <v>SPCEN-SD</v>
          </cell>
          <cell r="G453">
            <v>0.8</v>
          </cell>
          <cell r="H453">
            <v>70</v>
          </cell>
          <cell r="I453" t="str">
            <v>C</v>
          </cell>
          <cell r="J453" t="str">
            <v>CS01/2</v>
          </cell>
          <cell r="K453">
            <v>60011302</v>
          </cell>
          <cell r="L453">
            <v>280</v>
          </cell>
        </row>
        <row r="454">
          <cell r="A454">
            <v>60011311</v>
          </cell>
          <cell r="C454">
            <v>60011311</v>
          </cell>
          <cell r="E454" t="str">
            <v>CR</v>
          </cell>
          <cell r="F454" t="str">
            <v>SPCEN-SD</v>
          </cell>
          <cell r="G454">
            <v>0.7</v>
          </cell>
          <cell r="H454">
            <v>90</v>
          </cell>
          <cell r="I454" t="str">
            <v>C</v>
          </cell>
          <cell r="J454" t="str">
            <v>CS01/2</v>
          </cell>
          <cell r="K454">
            <v>60011311</v>
          </cell>
          <cell r="L454">
            <v>740</v>
          </cell>
        </row>
        <row r="455">
          <cell r="A455">
            <v>60011312</v>
          </cell>
          <cell r="C455">
            <v>60011312</v>
          </cell>
          <cell r="E455" t="str">
            <v>CR</v>
          </cell>
          <cell r="F455" t="str">
            <v>SPCEN-SD</v>
          </cell>
          <cell r="G455">
            <v>0.7</v>
          </cell>
          <cell r="H455">
            <v>90</v>
          </cell>
          <cell r="I455" t="str">
            <v>C</v>
          </cell>
          <cell r="J455" t="str">
            <v>CS01/2</v>
          </cell>
          <cell r="K455">
            <v>60011312</v>
          </cell>
          <cell r="L455">
            <v>740</v>
          </cell>
        </row>
        <row r="456">
          <cell r="A456">
            <v>60011321</v>
          </cell>
          <cell r="C456">
            <v>60011321</v>
          </cell>
          <cell r="E456" t="str">
            <v>CR</v>
          </cell>
          <cell r="F456" t="str">
            <v>SPCEN-SD</v>
          </cell>
          <cell r="G456">
            <v>2</v>
          </cell>
          <cell r="H456">
            <v>70</v>
          </cell>
          <cell r="I456" t="str">
            <v>C</v>
          </cell>
          <cell r="J456" t="str">
            <v>CS01/10</v>
          </cell>
          <cell r="K456">
            <v>60011321</v>
          </cell>
          <cell r="L456">
            <v>125</v>
          </cell>
        </row>
        <row r="457">
          <cell r="A457">
            <v>60011462</v>
          </cell>
          <cell r="C457">
            <v>60011462</v>
          </cell>
          <cell r="E457" t="str">
            <v>CR</v>
          </cell>
          <cell r="F457" t="str">
            <v>SPCEN-SD</v>
          </cell>
          <cell r="G457">
            <v>0.7</v>
          </cell>
          <cell r="H457">
            <v>90</v>
          </cell>
          <cell r="I457" t="str">
            <v>C</v>
          </cell>
          <cell r="J457" t="str">
            <v>CS01/1</v>
          </cell>
          <cell r="K457">
            <v>60011462</v>
          </cell>
          <cell r="L457">
            <v>390</v>
          </cell>
        </row>
        <row r="458">
          <cell r="A458">
            <v>60011655</v>
          </cell>
          <cell r="C458">
            <v>60011655</v>
          </cell>
          <cell r="E458" t="str">
            <v>CR</v>
          </cell>
          <cell r="F458" t="str">
            <v>SPCC-SD</v>
          </cell>
          <cell r="G458">
            <v>0.6</v>
          </cell>
          <cell r="H458">
            <v>95</v>
          </cell>
          <cell r="I458" t="str">
            <v>C</v>
          </cell>
          <cell r="J458" t="str">
            <v>CS01/2</v>
          </cell>
          <cell r="K458">
            <v>60011655</v>
          </cell>
          <cell r="L458">
            <v>685</v>
          </cell>
        </row>
        <row r="459">
          <cell r="A459">
            <v>60011660</v>
          </cell>
          <cell r="C459">
            <v>60011660</v>
          </cell>
          <cell r="E459" t="str">
            <v>CR</v>
          </cell>
          <cell r="F459" t="str">
            <v>SPCC-SD</v>
          </cell>
          <cell r="G459">
            <v>0.6</v>
          </cell>
          <cell r="H459">
            <v>95</v>
          </cell>
          <cell r="I459" t="str">
            <v>C</v>
          </cell>
          <cell r="J459" t="str">
            <v>CS01/2</v>
          </cell>
          <cell r="K459">
            <v>60011660</v>
          </cell>
          <cell r="L459">
            <v>535</v>
          </cell>
        </row>
        <row r="460">
          <cell r="A460">
            <v>60011820</v>
          </cell>
          <cell r="C460">
            <v>60011820</v>
          </cell>
          <cell r="E460" t="str">
            <v>CR</v>
          </cell>
          <cell r="F460" t="str">
            <v>SPCC-SD</v>
          </cell>
          <cell r="G460">
            <v>2.2999999999999998</v>
          </cell>
          <cell r="H460">
            <v>42</v>
          </cell>
          <cell r="I460" t="str">
            <v>C</v>
          </cell>
          <cell r="J460" t="str">
            <v>CS01/2</v>
          </cell>
          <cell r="K460">
            <v>60011820</v>
          </cell>
          <cell r="L460">
            <v>145</v>
          </cell>
        </row>
        <row r="461">
          <cell r="A461">
            <v>60011976</v>
          </cell>
          <cell r="C461">
            <v>60011976</v>
          </cell>
          <cell r="E461" t="str">
            <v>CR</v>
          </cell>
          <cell r="F461" t="str">
            <v>SPCC-SD</v>
          </cell>
          <cell r="G461">
            <v>2.2999999999999998</v>
          </cell>
          <cell r="H461">
            <v>42</v>
          </cell>
          <cell r="I461" t="str">
            <v>C</v>
          </cell>
          <cell r="J461" t="str">
            <v>CS01/2</v>
          </cell>
          <cell r="K461">
            <v>60011976</v>
          </cell>
          <cell r="L461">
            <v>235</v>
          </cell>
        </row>
        <row r="462">
          <cell r="A462">
            <v>60011992</v>
          </cell>
          <cell r="C462">
            <v>60011992</v>
          </cell>
          <cell r="E462" t="str">
            <v>CR</v>
          </cell>
          <cell r="F462" t="str">
            <v>SPCC-SD</v>
          </cell>
          <cell r="G462">
            <v>2.2999999999999998</v>
          </cell>
          <cell r="H462">
            <v>42</v>
          </cell>
          <cell r="I462" t="str">
            <v>C</v>
          </cell>
          <cell r="J462" t="str">
            <v>CS01/2</v>
          </cell>
          <cell r="K462">
            <v>60011992</v>
          </cell>
          <cell r="L462">
            <v>220</v>
          </cell>
        </row>
        <row r="463">
          <cell r="A463">
            <v>60012052</v>
          </cell>
          <cell r="B463" t="str">
            <v>CR SPCC-SD 1.0x45xC</v>
          </cell>
          <cell r="C463">
            <v>60012052</v>
          </cell>
          <cell r="D463" t="str">
            <v>CR SPCC-SD</v>
          </cell>
          <cell r="E463" t="str">
            <v>CR</v>
          </cell>
          <cell r="F463" t="str">
            <v>SPCC-SD</v>
          </cell>
          <cell r="G463">
            <v>1</v>
          </cell>
          <cell r="H463">
            <v>45</v>
          </cell>
          <cell r="I463" t="str">
            <v>C</v>
          </cell>
          <cell r="J463" t="str">
            <v>CS01/2</v>
          </cell>
          <cell r="K463">
            <v>60012052</v>
          </cell>
          <cell r="L463">
            <v>270</v>
          </cell>
          <cell r="M463" t="str">
            <v>E1-ND-06-TSA-0362</v>
          </cell>
        </row>
        <row r="464">
          <cell r="A464">
            <v>60012241</v>
          </cell>
          <cell r="C464">
            <v>60012241</v>
          </cell>
          <cell r="E464" t="str">
            <v>CR</v>
          </cell>
          <cell r="F464" t="str">
            <v>SPCEN-SD</v>
          </cell>
          <cell r="G464">
            <v>2</v>
          </cell>
          <cell r="H464">
            <v>70</v>
          </cell>
          <cell r="I464" t="str">
            <v>C</v>
          </cell>
          <cell r="J464" t="str">
            <v>CS01/2</v>
          </cell>
          <cell r="K464">
            <v>60012241</v>
          </cell>
          <cell r="L464">
            <v>385</v>
          </cell>
        </row>
        <row r="465">
          <cell r="A465">
            <v>60012268</v>
          </cell>
          <cell r="B465" t="str">
            <v>CR SPCC-SD 1.0x45xC</v>
          </cell>
          <cell r="C465">
            <v>60012268</v>
          </cell>
          <cell r="D465" t="str">
            <v>CR SPCC-SD</v>
          </cell>
          <cell r="E465" t="str">
            <v>CR</v>
          </cell>
          <cell r="F465" t="str">
            <v>SPCC-SD</v>
          </cell>
          <cell r="G465">
            <v>1</v>
          </cell>
          <cell r="H465">
            <v>45</v>
          </cell>
          <cell r="I465" t="str">
            <v>C</v>
          </cell>
          <cell r="J465" t="str">
            <v>CS01/1</v>
          </cell>
          <cell r="K465">
            <v>60012268</v>
          </cell>
          <cell r="L465">
            <v>340</v>
          </cell>
          <cell r="M465" t="str">
            <v>E1-ND-06-TSA-0362</v>
          </cell>
        </row>
        <row r="466">
          <cell r="A466">
            <v>60012330</v>
          </cell>
          <cell r="B466" t="str">
            <v>CR SPCC-SD 1.0x45xC</v>
          </cell>
          <cell r="C466">
            <v>60012330</v>
          </cell>
          <cell r="D466" t="str">
            <v>CR SPCC-SD</v>
          </cell>
          <cell r="E466" t="str">
            <v>CR</v>
          </cell>
          <cell r="F466" t="str">
            <v>SPCC-SD</v>
          </cell>
          <cell r="G466">
            <v>1</v>
          </cell>
          <cell r="H466">
            <v>45</v>
          </cell>
          <cell r="I466" t="str">
            <v>C</v>
          </cell>
          <cell r="J466" t="str">
            <v>CS01/2</v>
          </cell>
          <cell r="K466">
            <v>60012330</v>
          </cell>
          <cell r="L466">
            <v>165</v>
          </cell>
          <cell r="M466" t="str">
            <v>E1-ND-06-TSA-0362</v>
          </cell>
        </row>
        <row r="467">
          <cell r="A467">
            <v>60012331</v>
          </cell>
          <cell r="B467" t="str">
            <v>CR SPCC-SD 1.0x45xC</v>
          </cell>
          <cell r="C467">
            <v>60012331</v>
          </cell>
          <cell r="D467" t="str">
            <v>CR SPCC-SD</v>
          </cell>
          <cell r="E467" t="str">
            <v>CR</v>
          </cell>
          <cell r="F467" t="str">
            <v>SPCC-SD</v>
          </cell>
          <cell r="G467">
            <v>1</v>
          </cell>
          <cell r="H467">
            <v>45</v>
          </cell>
          <cell r="I467" t="str">
            <v>C</v>
          </cell>
          <cell r="J467" t="str">
            <v>CS01/2</v>
          </cell>
          <cell r="K467">
            <v>60012331</v>
          </cell>
          <cell r="L467">
            <v>165</v>
          </cell>
          <cell r="M467" t="str">
            <v>E1-ND-06-TSA-0362</v>
          </cell>
        </row>
        <row r="468">
          <cell r="A468">
            <v>60012375</v>
          </cell>
          <cell r="C468">
            <v>60012375</v>
          </cell>
          <cell r="E468" t="str">
            <v>CR</v>
          </cell>
          <cell r="F468" t="str">
            <v>SPCEN-SD</v>
          </cell>
          <cell r="G468">
            <v>0.7</v>
          </cell>
          <cell r="H468">
            <v>90</v>
          </cell>
          <cell r="I468" t="str">
            <v>C</v>
          </cell>
          <cell r="J468" t="str">
            <v>CS01/2</v>
          </cell>
          <cell r="K468">
            <v>60012375</v>
          </cell>
          <cell r="L468">
            <v>745</v>
          </cell>
        </row>
        <row r="469">
          <cell r="A469">
            <v>60012478</v>
          </cell>
          <cell r="C469">
            <v>60012478</v>
          </cell>
          <cell r="E469" t="str">
            <v>CR</v>
          </cell>
          <cell r="F469" t="str">
            <v>SPCC-SD</v>
          </cell>
          <cell r="G469">
            <v>2.2999999999999998</v>
          </cell>
          <cell r="H469">
            <v>42</v>
          </cell>
          <cell r="I469" t="str">
            <v>C</v>
          </cell>
          <cell r="J469" t="str">
            <v>CS01/2</v>
          </cell>
          <cell r="K469">
            <v>60012478</v>
          </cell>
          <cell r="L469">
            <v>170</v>
          </cell>
        </row>
        <row r="470">
          <cell r="A470">
            <v>60012479</v>
          </cell>
          <cell r="C470">
            <v>60012479</v>
          </cell>
          <cell r="E470" t="str">
            <v>CR</v>
          </cell>
          <cell r="F470" t="str">
            <v>SPCC-SD</v>
          </cell>
          <cell r="G470">
            <v>2.2999999999999998</v>
          </cell>
          <cell r="H470">
            <v>42</v>
          </cell>
          <cell r="I470" t="str">
            <v>C</v>
          </cell>
          <cell r="J470" t="str">
            <v>CS01/2</v>
          </cell>
          <cell r="K470">
            <v>60012479</v>
          </cell>
          <cell r="L470">
            <v>170</v>
          </cell>
        </row>
        <row r="471">
          <cell r="A471">
            <v>60012480</v>
          </cell>
          <cell r="C471">
            <v>60012480</v>
          </cell>
          <cell r="E471" t="str">
            <v>CR</v>
          </cell>
          <cell r="F471" t="str">
            <v>SPCC-SD</v>
          </cell>
          <cell r="G471">
            <v>2.2999999999999998</v>
          </cell>
          <cell r="H471">
            <v>42</v>
          </cell>
          <cell r="I471" t="str">
            <v>C</v>
          </cell>
          <cell r="J471" t="str">
            <v>CS01/2</v>
          </cell>
          <cell r="K471">
            <v>60012480</v>
          </cell>
          <cell r="L471">
            <v>170</v>
          </cell>
        </row>
        <row r="472">
          <cell r="A472">
            <v>60012487</v>
          </cell>
          <cell r="C472">
            <v>60012487</v>
          </cell>
          <cell r="E472" t="str">
            <v>CR</v>
          </cell>
          <cell r="F472" t="str">
            <v>SPCC-SD</v>
          </cell>
          <cell r="G472">
            <v>2.2999999999999998</v>
          </cell>
          <cell r="H472">
            <v>42</v>
          </cell>
          <cell r="I472" t="str">
            <v>C</v>
          </cell>
          <cell r="J472" t="str">
            <v>CS01/2</v>
          </cell>
          <cell r="K472">
            <v>60012487</v>
          </cell>
          <cell r="L472">
            <v>185</v>
          </cell>
        </row>
        <row r="473">
          <cell r="A473">
            <v>60012599</v>
          </cell>
          <cell r="C473">
            <v>60012599</v>
          </cell>
          <cell r="E473" t="str">
            <v>CR</v>
          </cell>
          <cell r="F473" t="str">
            <v>SPCEN-SD</v>
          </cell>
          <cell r="G473">
            <v>1.6</v>
          </cell>
          <cell r="H473">
            <v>82</v>
          </cell>
          <cell r="I473" t="str">
            <v>C</v>
          </cell>
          <cell r="J473" t="str">
            <v>CS01/2</v>
          </cell>
          <cell r="K473">
            <v>60012599</v>
          </cell>
          <cell r="L473">
            <v>640</v>
          </cell>
        </row>
        <row r="474">
          <cell r="A474">
            <v>60012734</v>
          </cell>
          <cell r="C474">
            <v>60012734</v>
          </cell>
          <cell r="E474" t="str">
            <v>CR</v>
          </cell>
          <cell r="F474" t="str">
            <v>SPCEN-SD</v>
          </cell>
          <cell r="G474">
            <v>1</v>
          </cell>
          <cell r="H474">
            <v>41</v>
          </cell>
          <cell r="I474" t="str">
            <v>C</v>
          </cell>
          <cell r="J474" t="str">
            <v>CS01/2</v>
          </cell>
          <cell r="K474">
            <v>60012734</v>
          </cell>
          <cell r="L474">
            <v>300</v>
          </cell>
        </row>
        <row r="475">
          <cell r="A475">
            <v>60012736</v>
          </cell>
          <cell r="C475">
            <v>60012736</v>
          </cell>
          <cell r="E475" t="str">
            <v>CR</v>
          </cell>
          <cell r="F475" t="str">
            <v>SPCEN-SD</v>
          </cell>
          <cell r="G475">
            <v>1</v>
          </cell>
          <cell r="H475">
            <v>41</v>
          </cell>
          <cell r="I475" t="str">
            <v>C</v>
          </cell>
          <cell r="J475" t="str">
            <v>CS01/2</v>
          </cell>
          <cell r="K475">
            <v>60012736</v>
          </cell>
          <cell r="L475">
            <v>315</v>
          </cell>
        </row>
        <row r="476">
          <cell r="A476">
            <v>60012759</v>
          </cell>
          <cell r="C476">
            <v>60012759</v>
          </cell>
          <cell r="E476" t="str">
            <v>CR</v>
          </cell>
          <cell r="F476" t="str">
            <v>SPCEN-SD</v>
          </cell>
          <cell r="G476">
            <v>1.6</v>
          </cell>
          <cell r="H476">
            <v>82</v>
          </cell>
          <cell r="I476" t="str">
            <v>C</v>
          </cell>
          <cell r="J476" t="str">
            <v>CS01/2</v>
          </cell>
          <cell r="K476">
            <v>60012759</v>
          </cell>
          <cell r="L476">
            <v>525</v>
          </cell>
        </row>
        <row r="477">
          <cell r="A477">
            <v>60012770</v>
          </cell>
          <cell r="C477">
            <v>60012770</v>
          </cell>
          <cell r="E477" t="str">
            <v>CR</v>
          </cell>
          <cell r="F477" t="str">
            <v>SPCEN-SD</v>
          </cell>
          <cell r="G477">
            <v>1.6</v>
          </cell>
          <cell r="H477">
            <v>82</v>
          </cell>
          <cell r="I477" t="str">
            <v>C</v>
          </cell>
          <cell r="J477" t="str">
            <v>CS01/2</v>
          </cell>
          <cell r="K477">
            <v>60012770</v>
          </cell>
          <cell r="L477">
            <v>265</v>
          </cell>
        </row>
        <row r="478">
          <cell r="A478">
            <v>60012771</v>
          </cell>
          <cell r="C478">
            <v>60012771</v>
          </cell>
          <cell r="E478" t="str">
            <v>CR</v>
          </cell>
          <cell r="F478" t="str">
            <v>SPCEN-SD</v>
          </cell>
          <cell r="G478">
            <v>1.6</v>
          </cell>
          <cell r="H478">
            <v>82</v>
          </cell>
          <cell r="I478" t="str">
            <v>C</v>
          </cell>
          <cell r="J478" t="str">
            <v>CS01/2</v>
          </cell>
          <cell r="K478">
            <v>60012771</v>
          </cell>
          <cell r="L478">
            <v>265</v>
          </cell>
        </row>
        <row r="479">
          <cell r="A479">
            <v>60013101</v>
          </cell>
          <cell r="C479">
            <v>60013101</v>
          </cell>
          <cell r="E479" t="str">
            <v>CR</v>
          </cell>
          <cell r="F479" t="str">
            <v>SPCC-SD</v>
          </cell>
          <cell r="G479">
            <v>2.2999999999999998</v>
          </cell>
          <cell r="H479">
            <v>42</v>
          </cell>
          <cell r="I479" t="str">
            <v>C</v>
          </cell>
          <cell r="J479" t="str">
            <v>CS01/2</v>
          </cell>
          <cell r="K479">
            <v>60013101</v>
          </cell>
          <cell r="L479">
            <v>230</v>
          </cell>
        </row>
        <row r="480">
          <cell r="A480">
            <v>60013263</v>
          </cell>
          <cell r="C480">
            <v>60013263</v>
          </cell>
          <cell r="E480" t="str">
            <v>CR</v>
          </cell>
          <cell r="F480" t="str">
            <v>SPCEN-SD</v>
          </cell>
          <cell r="G480">
            <v>1</v>
          </cell>
          <cell r="H480">
            <v>41</v>
          </cell>
          <cell r="I480" t="str">
            <v>C</v>
          </cell>
          <cell r="J480" t="str">
            <v>CS01/2</v>
          </cell>
          <cell r="K480">
            <v>60013263</v>
          </cell>
          <cell r="L480">
            <v>140</v>
          </cell>
        </row>
        <row r="481">
          <cell r="A481">
            <v>60013264</v>
          </cell>
          <cell r="C481">
            <v>60013264</v>
          </cell>
          <cell r="E481" t="str">
            <v>CR</v>
          </cell>
          <cell r="F481" t="str">
            <v>SPCEN-SD</v>
          </cell>
          <cell r="G481">
            <v>1</v>
          </cell>
          <cell r="H481">
            <v>41</v>
          </cell>
          <cell r="I481" t="str">
            <v>C</v>
          </cell>
          <cell r="J481" t="str">
            <v>CS01/2</v>
          </cell>
          <cell r="K481">
            <v>60013264</v>
          </cell>
          <cell r="L481">
            <v>140</v>
          </cell>
        </row>
        <row r="482">
          <cell r="A482">
            <v>60013380</v>
          </cell>
          <cell r="C482">
            <v>60013380</v>
          </cell>
          <cell r="E482" t="str">
            <v>CR</v>
          </cell>
          <cell r="F482" t="str">
            <v>SPCC-SD</v>
          </cell>
          <cell r="G482">
            <v>0.6</v>
          </cell>
          <cell r="H482">
            <v>95</v>
          </cell>
          <cell r="I482" t="str">
            <v>C</v>
          </cell>
          <cell r="J482" t="str">
            <v>CS01/2</v>
          </cell>
          <cell r="K482">
            <v>60013380</v>
          </cell>
          <cell r="L482">
            <v>515</v>
          </cell>
        </row>
        <row r="483">
          <cell r="A483">
            <v>60013436</v>
          </cell>
          <cell r="B483" t="str">
            <v>CR SPCC-SD 1.0x45xC</v>
          </cell>
          <cell r="C483">
            <v>60013436</v>
          </cell>
          <cell r="D483" t="str">
            <v>CR SPCC-SD</v>
          </cell>
          <cell r="E483" t="str">
            <v>CR</v>
          </cell>
          <cell r="F483" t="str">
            <v>SPCC-SD</v>
          </cell>
          <cell r="G483">
            <v>1</v>
          </cell>
          <cell r="H483">
            <v>45</v>
          </cell>
          <cell r="I483" t="str">
            <v>C</v>
          </cell>
          <cell r="J483" t="str">
            <v>CS01/1</v>
          </cell>
          <cell r="K483">
            <v>60013436</v>
          </cell>
          <cell r="L483">
            <v>300</v>
          </cell>
          <cell r="M483" t="str">
            <v>E1-ND-06-TSA-0362</v>
          </cell>
        </row>
        <row r="484">
          <cell r="A484">
            <v>60013935</v>
          </cell>
          <cell r="C484">
            <v>60013935</v>
          </cell>
          <cell r="E484" t="str">
            <v>PO</v>
          </cell>
          <cell r="F484" t="str">
            <v>SPHC P/O</v>
          </cell>
          <cell r="G484">
            <v>3.2</v>
          </cell>
          <cell r="H484">
            <v>66</v>
          </cell>
          <cell r="I484" t="str">
            <v>C</v>
          </cell>
          <cell r="J484" t="str">
            <v>CS01/2</v>
          </cell>
          <cell r="K484">
            <v>60013935</v>
          </cell>
          <cell r="L484">
            <v>355</v>
          </cell>
        </row>
        <row r="485">
          <cell r="A485">
            <v>60013943</v>
          </cell>
          <cell r="C485">
            <v>60013943</v>
          </cell>
          <cell r="E485" t="str">
            <v>PO</v>
          </cell>
          <cell r="F485" t="str">
            <v>SPHC P/O</v>
          </cell>
          <cell r="G485">
            <v>3.2</v>
          </cell>
          <cell r="H485">
            <v>66</v>
          </cell>
          <cell r="I485" t="str">
            <v>C</v>
          </cell>
          <cell r="J485" t="str">
            <v>CS01/2</v>
          </cell>
          <cell r="K485">
            <v>60013943</v>
          </cell>
          <cell r="L485">
            <v>360</v>
          </cell>
        </row>
        <row r="486">
          <cell r="A486">
            <v>60014601</v>
          </cell>
          <cell r="C486">
            <v>60014601</v>
          </cell>
          <cell r="E486" t="str">
            <v>CR</v>
          </cell>
          <cell r="F486" t="str">
            <v>SPCC-SD</v>
          </cell>
          <cell r="G486">
            <v>0.8</v>
          </cell>
          <cell r="H486">
            <v>128</v>
          </cell>
          <cell r="I486" t="str">
            <v>C</v>
          </cell>
          <cell r="J486" t="str">
            <v>WIP</v>
          </cell>
          <cell r="K486">
            <v>60014601</v>
          </cell>
          <cell r="L486">
            <v>338</v>
          </cell>
        </row>
        <row r="487">
          <cell r="A487">
            <v>60015907</v>
          </cell>
          <cell r="C487">
            <v>60015907</v>
          </cell>
          <cell r="E487" t="str">
            <v>CR</v>
          </cell>
          <cell r="F487" t="str">
            <v>SPCEN-SD</v>
          </cell>
          <cell r="G487">
            <v>0.7</v>
          </cell>
          <cell r="H487">
            <v>90</v>
          </cell>
          <cell r="I487" t="str">
            <v>C</v>
          </cell>
          <cell r="J487" t="str">
            <v>CS01/2</v>
          </cell>
          <cell r="K487">
            <v>60015907</v>
          </cell>
          <cell r="L487">
            <v>275</v>
          </cell>
        </row>
        <row r="488">
          <cell r="A488">
            <v>60015975</v>
          </cell>
          <cell r="C488">
            <v>60015975</v>
          </cell>
          <cell r="E488" t="str">
            <v>CR</v>
          </cell>
          <cell r="F488" t="str">
            <v>SPCEN-SD</v>
          </cell>
          <cell r="G488">
            <v>0.7</v>
          </cell>
          <cell r="H488">
            <v>90</v>
          </cell>
          <cell r="I488" t="str">
            <v>C</v>
          </cell>
          <cell r="J488" t="str">
            <v>CS01/11</v>
          </cell>
          <cell r="K488">
            <v>60015975</v>
          </cell>
          <cell r="L488">
            <v>480</v>
          </cell>
        </row>
        <row r="489">
          <cell r="A489">
            <v>60017254</v>
          </cell>
          <cell r="C489">
            <v>60017254</v>
          </cell>
          <cell r="E489" t="str">
            <v>CR</v>
          </cell>
          <cell r="F489" t="str">
            <v>SPCEN-SD</v>
          </cell>
          <cell r="G489">
            <v>0.7</v>
          </cell>
          <cell r="H489">
            <v>90</v>
          </cell>
          <cell r="I489" t="str">
            <v>C</v>
          </cell>
          <cell r="J489" t="str">
            <v>CS01/1</v>
          </cell>
          <cell r="K489">
            <v>60017254</v>
          </cell>
          <cell r="L489">
            <v>730</v>
          </cell>
        </row>
        <row r="490">
          <cell r="A490">
            <v>60017505</v>
          </cell>
          <cell r="C490">
            <v>60017505</v>
          </cell>
          <cell r="E490" t="str">
            <v>CR</v>
          </cell>
          <cell r="F490" t="str">
            <v>SPCEN-SD</v>
          </cell>
          <cell r="G490">
            <v>0.7</v>
          </cell>
          <cell r="H490">
            <v>90</v>
          </cell>
          <cell r="I490" t="str">
            <v>C</v>
          </cell>
          <cell r="J490" t="str">
            <v>CS01/1</v>
          </cell>
          <cell r="K490">
            <v>60017505</v>
          </cell>
          <cell r="L490">
            <v>610</v>
          </cell>
        </row>
        <row r="491">
          <cell r="A491">
            <v>60017822</v>
          </cell>
          <cell r="C491">
            <v>60017822</v>
          </cell>
          <cell r="E491" t="str">
            <v>PO</v>
          </cell>
          <cell r="F491" t="str">
            <v>SAPH440 P/O</v>
          </cell>
          <cell r="G491">
            <v>4.5</v>
          </cell>
          <cell r="H491">
            <v>50</v>
          </cell>
          <cell r="I491" t="str">
            <v>C</v>
          </cell>
          <cell r="J491" t="str">
            <v>CS01/2</v>
          </cell>
          <cell r="K491">
            <v>60017822</v>
          </cell>
          <cell r="L491">
            <v>289</v>
          </cell>
        </row>
        <row r="492">
          <cell r="A492">
            <v>60017823</v>
          </cell>
          <cell r="C492">
            <v>60017823</v>
          </cell>
          <cell r="E492" t="str">
            <v>PO</v>
          </cell>
          <cell r="F492" t="str">
            <v>SAPH440 P/O</v>
          </cell>
          <cell r="G492">
            <v>4.5</v>
          </cell>
          <cell r="H492">
            <v>50</v>
          </cell>
          <cell r="I492" t="str">
            <v>C</v>
          </cell>
          <cell r="J492" t="str">
            <v>CS01/2</v>
          </cell>
          <cell r="K492">
            <v>60017823</v>
          </cell>
          <cell r="L492">
            <v>296</v>
          </cell>
        </row>
        <row r="493">
          <cell r="A493">
            <v>60017824</v>
          </cell>
          <cell r="C493">
            <v>60017824</v>
          </cell>
          <cell r="E493" t="str">
            <v>PO</v>
          </cell>
          <cell r="F493" t="str">
            <v>SAPH440 P/O</v>
          </cell>
          <cell r="G493">
            <v>4.5</v>
          </cell>
          <cell r="H493">
            <v>50</v>
          </cell>
          <cell r="I493" t="str">
            <v>C</v>
          </cell>
          <cell r="J493" t="str">
            <v>CS01/2</v>
          </cell>
          <cell r="K493">
            <v>60017824</v>
          </cell>
          <cell r="L493">
            <v>296</v>
          </cell>
        </row>
        <row r="494">
          <cell r="A494">
            <v>60017825</v>
          </cell>
          <cell r="C494">
            <v>60017825</v>
          </cell>
          <cell r="E494" t="str">
            <v>PO</v>
          </cell>
          <cell r="F494" t="str">
            <v>SAPH440 P/O</v>
          </cell>
          <cell r="G494">
            <v>4.5</v>
          </cell>
          <cell r="H494">
            <v>50</v>
          </cell>
          <cell r="I494" t="str">
            <v>C</v>
          </cell>
          <cell r="J494" t="str">
            <v>CS01/2</v>
          </cell>
          <cell r="K494">
            <v>60017825</v>
          </cell>
          <cell r="L494">
            <v>395</v>
          </cell>
        </row>
        <row r="495">
          <cell r="A495">
            <v>60017838</v>
          </cell>
          <cell r="C495">
            <v>60017838</v>
          </cell>
          <cell r="E495" t="str">
            <v>PO</v>
          </cell>
          <cell r="F495" t="str">
            <v>SAPH440 P/O</v>
          </cell>
          <cell r="G495">
            <v>4.5</v>
          </cell>
          <cell r="H495">
            <v>70</v>
          </cell>
          <cell r="I495" t="str">
            <v>C</v>
          </cell>
          <cell r="J495" t="str">
            <v>CS01/3</v>
          </cell>
          <cell r="K495">
            <v>60017838</v>
          </cell>
          <cell r="L495">
            <v>1106</v>
          </cell>
        </row>
        <row r="496">
          <cell r="A496">
            <v>60018063</v>
          </cell>
          <cell r="C496">
            <v>60018063</v>
          </cell>
          <cell r="E496" t="str">
            <v>CR</v>
          </cell>
          <cell r="F496" t="str">
            <v>SPCEN-SD</v>
          </cell>
          <cell r="G496">
            <v>1.6</v>
          </cell>
          <cell r="H496">
            <v>82</v>
          </cell>
          <cell r="I496" t="str">
            <v>C</v>
          </cell>
          <cell r="J496" t="str">
            <v>CS01/2</v>
          </cell>
          <cell r="K496">
            <v>60018063</v>
          </cell>
          <cell r="L496">
            <v>345</v>
          </cell>
        </row>
        <row r="497">
          <cell r="A497">
            <v>60018067</v>
          </cell>
          <cell r="C497">
            <v>60018067</v>
          </cell>
          <cell r="E497" t="str">
            <v>CR</v>
          </cell>
          <cell r="F497" t="str">
            <v>SPCEN-SD</v>
          </cell>
          <cell r="G497">
            <v>1.6</v>
          </cell>
          <cell r="H497">
            <v>82</v>
          </cell>
          <cell r="I497" t="str">
            <v>C</v>
          </cell>
          <cell r="J497" t="str">
            <v>CS01/2</v>
          </cell>
          <cell r="K497">
            <v>60018067</v>
          </cell>
          <cell r="L497">
            <v>345</v>
          </cell>
        </row>
        <row r="498">
          <cell r="A498">
            <v>60018276</v>
          </cell>
          <cell r="C498">
            <v>60018276</v>
          </cell>
          <cell r="E498" t="str">
            <v>PO</v>
          </cell>
          <cell r="F498" t="str">
            <v>SPHC P/O</v>
          </cell>
          <cell r="G498">
            <v>1.8</v>
          </cell>
          <cell r="H498">
            <v>185</v>
          </cell>
          <cell r="I498" t="str">
            <v>C</v>
          </cell>
          <cell r="J498" t="str">
            <v>WIP</v>
          </cell>
          <cell r="K498">
            <v>60018276</v>
          </cell>
          <cell r="L498">
            <v>1730</v>
          </cell>
        </row>
        <row r="499">
          <cell r="A499">
            <v>60018363</v>
          </cell>
          <cell r="C499">
            <v>60018363</v>
          </cell>
          <cell r="E499" t="str">
            <v>CR</v>
          </cell>
          <cell r="F499" t="str">
            <v>SPCEN-SD</v>
          </cell>
          <cell r="G499">
            <v>0.7</v>
          </cell>
          <cell r="H499">
            <v>90</v>
          </cell>
          <cell r="I499" t="str">
            <v>C</v>
          </cell>
          <cell r="J499" t="str">
            <v>CS01/1</v>
          </cell>
          <cell r="K499">
            <v>60018363</v>
          </cell>
          <cell r="L499">
            <v>750</v>
          </cell>
        </row>
        <row r="500">
          <cell r="A500">
            <v>60018641</v>
          </cell>
          <cell r="C500">
            <v>60018641</v>
          </cell>
          <cell r="E500" t="str">
            <v>CR</v>
          </cell>
          <cell r="F500" t="str">
            <v>SPCEN-SD</v>
          </cell>
          <cell r="G500">
            <v>1.6</v>
          </cell>
          <cell r="H500">
            <v>82</v>
          </cell>
          <cell r="I500" t="str">
            <v>C</v>
          </cell>
          <cell r="J500" t="str">
            <v>CS01/1</v>
          </cell>
          <cell r="K500">
            <v>60018641</v>
          </cell>
          <cell r="L500">
            <v>450</v>
          </cell>
        </row>
        <row r="501">
          <cell r="A501">
            <v>60019174</v>
          </cell>
          <cell r="C501">
            <v>60019174</v>
          </cell>
          <cell r="E501" t="str">
            <v>CR</v>
          </cell>
          <cell r="F501" t="str">
            <v>SPCEN-SD</v>
          </cell>
          <cell r="G501">
            <v>0.8</v>
          </cell>
          <cell r="H501">
            <v>64</v>
          </cell>
          <cell r="I501" t="str">
            <v>C</v>
          </cell>
          <cell r="J501" t="str">
            <v>CS01/2</v>
          </cell>
          <cell r="K501">
            <v>60019174</v>
          </cell>
          <cell r="L501">
            <v>160</v>
          </cell>
        </row>
        <row r="502">
          <cell r="A502">
            <v>60019175</v>
          </cell>
          <cell r="C502">
            <v>60019175</v>
          </cell>
          <cell r="E502" t="str">
            <v>CR</v>
          </cell>
          <cell r="F502" t="str">
            <v>SPCEN-SD</v>
          </cell>
          <cell r="G502">
            <v>0.8</v>
          </cell>
          <cell r="H502">
            <v>64</v>
          </cell>
          <cell r="I502" t="str">
            <v>C</v>
          </cell>
          <cell r="J502" t="str">
            <v>CS01/2</v>
          </cell>
          <cell r="K502">
            <v>60019175</v>
          </cell>
          <cell r="L502">
            <v>160</v>
          </cell>
        </row>
        <row r="503">
          <cell r="A503">
            <v>60019176</v>
          </cell>
          <cell r="C503">
            <v>60019176</v>
          </cell>
          <cell r="E503" t="str">
            <v>CR</v>
          </cell>
          <cell r="F503" t="str">
            <v>SPCEN-SD</v>
          </cell>
          <cell r="G503">
            <v>0.8</v>
          </cell>
          <cell r="H503">
            <v>64</v>
          </cell>
          <cell r="I503" t="str">
            <v>C</v>
          </cell>
          <cell r="J503" t="str">
            <v>CS01/2</v>
          </cell>
          <cell r="K503">
            <v>60019176</v>
          </cell>
          <cell r="L503">
            <v>160</v>
          </cell>
        </row>
        <row r="504">
          <cell r="A504">
            <v>60019197</v>
          </cell>
          <cell r="C504">
            <v>60019197</v>
          </cell>
          <cell r="E504" t="str">
            <v>CR</v>
          </cell>
          <cell r="F504" t="str">
            <v>SPCEN-SD</v>
          </cell>
          <cell r="G504">
            <v>0.7</v>
          </cell>
          <cell r="H504">
            <v>90</v>
          </cell>
          <cell r="I504" t="str">
            <v>C</v>
          </cell>
          <cell r="J504" t="str">
            <v>CS01/1</v>
          </cell>
          <cell r="K504">
            <v>60019197</v>
          </cell>
          <cell r="L504">
            <v>670</v>
          </cell>
        </row>
        <row r="505">
          <cell r="A505">
            <v>60019757</v>
          </cell>
          <cell r="C505">
            <v>60019757</v>
          </cell>
          <cell r="E505" t="str">
            <v>PO</v>
          </cell>
          <cell r="F505" t="str">
            <v>SPHC P/O</v>
          </cell>
          <cell r="G505">
            <v>2.2999999999999998</v>
          </cell>
          <cell r="H505">
            <v>53</v>
          </cell>
          <cell r="I505" t="str">
            <v>C</v>
          </cell>
          <cell r="J505" t="str">
            <v>CS01/2</v>
          </cell>
          <cell r="K505">
            <v>60019757</v>
          </cell>
          <cell r="L505">
            <v>205</v>
          </cell>
        </row>
        <row r="506">
          <cell r="A506">
            <v>60020235</v>
          </cell>
          <cell r="C506">
            <v>60020235</v>
          </cell>
          <cell r="E506" t="str">
            <v>PO</v>
          </cell>
          <cell r="F506" t="str">
            <v>SPHC P/O</v>
          </cell>
          <cell r="G506">
            <v>2.2999999999999998</v>
          </cell>
          <cell r="H506">
            <v>72</v>
          </cell>
          <cell r="I506" t="str">
            <v>C</v>
          </cell>
          <cell r="J506" t="str">
            <v>CS01/2</v>
          </cell>
          <cell r="K506">
            <v>60020235</v>
          </cell>
          <cell r="L506">
            <v>175</v>
          </cell>
        </row>
        <row r="507">
          <cell r="A507">
            <v>60020238</v>
          </cell>
          <cell r="C507">
            <v>60020238</v>
          </cell>
          <cell r="E507" t="str">
            <v>PO</v>
          </cell>
          <cell r="F507" t="str">
            <v>SPHC P/O</v>
          </cell>
          <cell r="G507">
            <v>2.2999999999999998</v>
          </cell>
          <cell r="H507">
            <v>72</v>
          </cell>
          <cell r="I507" t="str">
            <v>C</v>
          </cell>
          <cell r="J507" t="str">
            <v>CS01/1</v>
          </cell>
          <cell r="K507">
            <v>60020238</v>
          </cell>
          <cell r="L507">
            <v>330</v>
          </cell>
        </row>
        <row r="508">
          <cell r="A508">
            <v>60020799</v>
          </cell>
          <cell r="C508">
            <v>60020799</v>
          </cell>
          <cell r="E508" t="str">
            <v>PO</v>
          </cell>
          <cell r="F508" t="str">
            <v>SPHC P/O</v>
          </cell>
          <cell r="G508">
            <v>2.2999999999999998</v>
          </cell>
          <cell r="H508">
            <v>72</v>
          </cell>
          <cell r="I508" t="str">
            <v>C</v>
          </cell>
          <cell r="J508" t="str">
            <v>CS01/1</v>
          </cell>
          <cell r="K508">
            <v>60020799</v>
          </cell>
          <cell r="L508">
            <v>120</v>
          </cell>
        </row>
        <row r="509">
          <cell r="A509">
            <v>60020973</v>
          </cell>
          <cell r="C509">
            <v>60020973</v>
          </cell>
          <cell r="E509" t="str">
            <v>PO</v>
          </cell>
          <cell r="F509" t="str">
            <v>SPHC P/O</v>
          </cell>
          <cell r="G509">
            <v>1.4</v>
          </cell>
          <cell r="H509">
            <v>69</v>
          </cell>
          <cell r="I509" t="str">
            <v>C</v>
          </cell>
          <cell r="J509" t="str">
            <v>CS01/1</v>
          </cell>
          <cell r="K509">
            <v>60020973</v>
          </cell>
          <cell r="L509">
            <v>285</v>
          </cell>
        </row>
        <row r="510">
          <cell r="A510">
            <v>60021033</v>
          </cell>
          <cell r="C510">
            <v>60021033</v>
          </cell>
          <cell r="E510" t="str">
            <v>CR</v>
          </cell>
          <cell r="F510" t="str">
            <v>SPCEN-SD</v>
          </cell>
          <cell r="G510">
            <v>0.7</v>
          </cell>
          <cell r="H510">
            <v>90</v>
          </cell>
          <cell r="I510" t="str">
            <v>C</v>
          </cell>
          <cell r="J510" t="str">
            <v>CS01/1</v>
          </cell>
          <cell r="K510">
            <v>60021033</v>
          </cell>
          <cell r="L510">
            <v>665</v>
          </cell>
        </row>
        <row r="511">
          <cell r="A511">
            <v>60021036</v>
          </cell>
          <cell r="C511">
            <v>60021036</v>
          </cell>
          <cell r="E511" t="str">
            <v>CR</v>
          </cell>
          <cell r="F511" t="str">
            <v>SPCEN-SD</v>
          </cell>
          <cell r="G511">
            <v>0.7</v>
          </cell>
          <cell r="H511">
            <v>90</v>
          </cell>
          <cell r="I511" t="str">
            <v>C</v>
          </cell>
          <cell r="J511" t="str">
            <v>CS01/1</v>
          </cell>
          <cell r="K511">
            <v>60021036</v>
          </cell>
          <cell r="L511">
            <v>710</v>
          </cell>
        </row>
        <row r="512">
          <cell r="A512">
            <v>60021396</v>
          </cell>
          <cell r="B512" t="str">
            <v>CR SPCC-SD 2.0x52xC</v>
          </cell>
          <cell r="C512">
            <v>60021396</v>
          </cell>
          <cell r="D512" t="str">
            <v>CR SPCC-SD</v>
          </cell>
          <cell r="E512" t="str">
            <v>CR</v>
          </cell>
          <cell r="F512" t="str">
            <v>SPCC-SD</v>
          </cell>
          <cell r="G512">
            <v>2</v>
          </cell>
          <cell r="H512">
            <v>52</v>
          </cell>
          <cell r="I512" t="str">
            <v>C</v>
          </cell>
          <cell r="J512" t="str">
            <v>CS01/2</v>
          </cell>
          <cell r="K512">
            <v>60021396</v>
          </cell>
          <cell r="L512">
            <v>330</v>
          </cell>
          <cell r="M512" t="str">
            <v>E2-ND-06-TSA-0152</v>
          </cell>
        </row>
        <row r="513">
          <cell r="A513">
            <v>60021397</v>
          </cell>
          <cell r="B513" t="str">
            <v>CR SPCC-SD 2.0x52xC</v>
          </cell>
          <cell r="C513">
            <v>60021397</v>
          </cell>
          <cell r="D513" t="str">
            <v>CR SPCC-SD</v>
          </cell>
          <cell r="E513" t="str">
            <v>CR</v>
          </cell>
          <cell r="F513" t="str">
            <v>SPCC-SD</v>
          </cell>
          <cell r="G513">
            <v>2</v>
          </cell>
          <cell r="H513">
            <v>52</v>
          </cell>
          <cell r="I513" t="str">
            <v>C</v>
          </cell>
          <cell r="J513" t="str">
            <v>CS01/2</v>
          </cell>
          <cell r="K513">
            <v>60021397</v>
          </cell>
          <cell r="L513">
            <v>330</v>
          </cell>
          <cell r="M513" t="str">
            <v>E2-ND-06-TSA-0152</v>
          </cell>
        </row>
        <row r="514">
          <cell r="A514">
            <v>60021398</v>
          </cell>
          <cell r="B514" t="str">
            <v>CR SPCC-SD 2.0x52xC</v>
          </cell>
          <cell r="C514">
            <v>60021398</v>
          </cell>
          <cell r="D514" t="str">
            <v>CR SPCC-SD</v>
          </cell>
          <cell r="E514" t="str">
            <v>CR</v>
          </cell>
          <cell r="F514" t="str">
            <v>SPCC-SD</v>
          </cell>
          <cell r="G514">
            <v>2</v>
          </cell>
          <cell r="H514">
            <v>52</v>
          </cell>
          <cell r="I514" t="str">
            <v>C</v>
          </cell>
          <cell r="J514" t="str">
            <v>CS01/2</v>
          </cell>
          <cell r="K514">
            <v>60021398</v>
          </cell>
          <cell r="L514">
            <v>330</v>
          </cell>
          <cell r="M514" t="str">
            <v>E2-ND-06-TSA-0152</v>
          </cell>
        </row>
        <row r="515">
          <cell r="A515">
            <v>60021429</v>
          </cell>
          <cell r="B515" t="str">
            <v>CR SPCC-SD 2.0x98xC</v>
          </cell>
          <cell r="C515">
            <v>60021429</v>
          </cell>
          <cell r="D515" t="str">
            <v>CR SPCC-SD</v>
          </cell>
          <cell r="E515" t="str">
            <v>CR</v>
          </cell>
          <cell r="F515" t="str">
            <v>SPCC-SD</v>
          </cell>
          <cell r="G515">
            <v>2</v>
          </cell>
          <cell r="H515">
            <v>98</v>
          </cell>
          <cell r="I515" t="str">
            <v>C</v>
          </cell>
          <cell r="J515" t="str">
            <v>CS01/2</v>
          </cell>
          <cell r="K515">
            <v>60021429</v>
          </cell>
          <cell r="L515">
            <v>435</v>
          </cell>
          <cell r="M515" t="str">
            <v>E2-ND-06-TSA-0152</v>
          </cell>
        </row>
        <row r="516">
          <cell r="A516">
            <v>60021430</v>
          </cell>
          <cell r="B516" t="str">
            <v>CR SPCC-SD 2.0x98xC</v>
          </cell>
          <cell r="C516">
            <v>60021430</v>
          </cell>
          <cell r="D516" t="str">
            <v>CR SPCC-SD</v>
          </cell>
          <cell r="E516" t="str">
            <v>CR</v>
          </cell>
          <cell r="F516" t="str">
            <v>SPCC-SD</v>
          </cell>
          <cell r="G516">
            <v>2</v>
          </cell>
          <cell r="H516">
            <v>98</v>
          </cell>
          <cell r="I516" t="str">
            <v>C</v>
          </cell>
          <cell r="J516" t="str">
            <v>CS01/2</v>
          </cell>
          <cell r="K516">
            <v>60021430</v>
          </cell>
          <cell r="L516">
            <v>435</v>
          </cell>
          <cell r="M516" t="str">
            <v>E2-ND-06-TSA-0152</v>
          </cell>
        </row>
        <row r="517">
          <cell r="A517">
            <v>60021443</v>
          </cell>
          <cell r="B517" t="str">
            <v>CR SPCC-SD 2.0x98xC</v>
          </cell>
          <cell r="C517">
            <v>60021443</v>
          </cell>
          <cell r="D517" t="str">
            <v>CR SPCC-SD</v>
          </cell>
          <cell r="E517" t="str">
            <v>CR</v>
          </cell>
          <cell r="F517" t="str">
            <v>SPCC-SD</v>
          </cell>
          <cell r="G517">
            <v>2</v>
          </cell>
          <cell r="H517">
            <v>98</v>
          </cell>
          <cell r="I517" t="str">
            <v>C</v>
          </cell>
          <cell r="J517" t="str">
            <v>CS01/2</v>
          </cell>
          <cell r="K517">
            <v>60021443</v>
          </cell>
          <cell r="L517">
            <v>435</v>
          </cell>
          <cell r="M517" t="str">
            <v>E2-ND-06-TSA-0152</v>
          </cell>
        </row>
        <row r="518">
          <cell r="A518">
            <v>60021444</v>
          </cell>
          <cell r="B518" t="str">
            <v>CR SPCC-SD 2.0x98xC</v>
          </cell>
          <cell r="C518">
            <v>60021444</v>
          </cell>
          <cell r="D518" t="str">
            <v>CR SPCC-SD</v>
          </cell>
          <cell r="E518" t="str">
            <v>CR</v>
          </cell>
          <cell r="F518" t="str">
            <v>SPCC-SD</v>
          </cell>
          <cell r="G518">
            <v>2</v>
          </cell>
          <cell r="H518">
            <v>98</v>
          </cell>
          <cell r="I518" t="str">
            <v>C</v>
          </cell>
          <cell r="J518" t="str">
            <v>CS01/2</v>
          </cell>
          <cell r="K518">
            <v>60021444</v>
          </cell>
          <cell r="L518">
            <v>435</v>
          </cell>
          <cell r="M518" t="str">
            <v>E2-ND-06-TSA-0152</v>
          </cell>
        </row>
        <row r="519">
          <cell r="A519">
            <v>60021450</v>
          </cell>
          <cell r="B519" t="str">
            <v>CR SPCC-SD 2.0x98xC</v>
          </cell>
          <cell r="C519">
            <v>60021450</v>
          </cell>
          <cell r="D519" t="str">
            <v>CR SPCC-SD</v>
          </cell>
          <cell r="E519" t="str">
            <v>CR</v>
          </cell>
          <cell r="F519" t="str">
            <v>SPCC-SD</v>
          </cell>
          <cell r="G519">
            <v>2</v>
          </cell>
          <cell r="H519">
            <v>98</v>
          </cell>
          <cell r="I519" t="str">
            <v>C</v>
          </cell>
          <cell r="J519" t="str">
            <v>CS01/2</v>
          </cell>
          <cell r="K519">
            <v>60021450</v>
          </cell>
          <cell r="L519">
            <v>425</v>
          </cell>
          <cell r="M519" t="str">
            <v>E2-ND-06-TSA-0152</v>
          </cell>
        </row>
        <row r="520">
          <cell r="A520">
            <v>60021451</v>
          </cell>
          <cell r="B520" t="str">
            <v>CR SPCC-SD 2.0x98xC</v>
          </cell>
          <cell r="C520">
            <v>60021451</v>
          </cell>
          <cell r="D520" t="str">
            <v>CR SPCC-SD</v>
          </cell>
          <cell r="E520" t="str">
            <v>CR</v>
          </cell>
          <cell r="F520" t="str">
            <v>SPCC-SD</v>
          </cell>
          <cell r="G520">
            <v>2</v>
          </cell>
          <cell r="H520">
            <v>98</v>
          </cell>
          <cell r="I520" t="str">
            <v>C</v>
          </cell>
          <cell r="J520" t="str">
            <v>CS01/2</v>
          </cell>
          <cell r="K520">
            <v>60021451</v>
          </cell>
          <cell r="L520">
            <v>425</v>
          </cell>
          <cell r="M520" t="str">
            <v>E2-ND-06-TSA-0152</v>
          </cell>
        </row>
        <row r="521">
          <cell r="A521">
            <v>60021869</v>
          </cell>
          <cell r="C521">
            <v>60021869</v>
          </cell>
          <cell r="E521" t="str">
            <v>PO</v>
          </cell>
          <cell r="F521" t="str">
            <v>SPHC P/O</v>
          </cell>
          <cell r="G521">
            <v>1.8</v>
          </cell>
          <cell r="H521">
            <v>185</v>
          </cell>
          <cell r="I521" t="str">
            <v>C</v>
          </cell>
          <cell r="J521" t="str">
            <v>WIP</v>
          </cell>
          <cell r="K521">
            <v>60021869</v>
          </cell>
          <cell r="L521">
            <v>210</v>
          </cell>
        </row>
        <row r="522">
          <cell r="A522">
            <v>60022166</v>
          </cell>
          <cell r="B522" t="str">
            <v>CR SPCC-SD 1.2x63xC</v>
          </cell>
          <cell r="C522">
            <v>60022166</v>
          </cell>
          <cell r="D522" t="str">
            <v>CR SPCC-SD</v>
          </cell>
          <cell r="E522" t="str">
            <v>CR</v>
          </cell>
          <cell r="F522" t="str">
            <v>SPCC-SD</v>
          </cell>
          <cell r="G522">
            <v>1.2</v>
          </cell>
          <cell r="H522">
            <v>63</v>
          </cell>
          <cell r="I522" t="str">
            <v>C</v>
          </cell>
          <cell r="J522" t="str">
            <v>CS01/12</v>
          </cell>
          <cell r="K522">
            <v>60022166</v>
          </cell>
          <cell r="L522">
            <v>120</v>
          </cell>
          <cell r="M522" t="str">
            <v>E1-ND-06-TSA-0362</v>
          </cell>
        </row>
        <row r="523">
          <cell r="A523">
            <v>60022167</v>
          </cell>
          <cell r="B523" t="str">
            <v>CR SPCC-SD 1.2x63xC</v>
          </cell>
          <cell r="C523">
            <v>60022167</v>
          </cell>
          <cell r="D523" t="str">
            <v>CR SPCC-SD</v>
          </cell>
          <cell r="E523" t="str">
            <v>CR</v>
          </cell>
          <cell r="F523" t="str">
            <v>SPCC-SD</v>
          </cell>
          <cell r="G523">
            <v>1.2</v>
          </cell>
          <cell r="H523">
            <v>63</v>
          </cell>
          <cell r="I523" t="str">
            <v>C</v>
          </cell>
          <cell r="J523" t="str">
            <v>CS01/12</v>
          </cell>
          <cell r="K523">
            <v>60022167</v>
          </cell>
          <cell r="L523">
            <v>120</v>
          </cell>
          <cell r="M523" t="str">
            <v>E1-ND-06-TSA-0362</v>
          </cell>
        </row>
        <row r="524">
          <cell r="A524">
            <v>60022168</v>
          </cell>
          <cell r="B524" t="str">
            <v>CR SPCC-SD 1.2x63xC</v>
          </cell>
          <cell r="C524">
            <v>60022168</v>
          </cell>
          <cell r="D524" t="str">
            <v>CR SPCC-SD</v>
          </cell>
          <cell r="E524" t="str">
            <v>CR</v>
          </cell>
          <cell r="F524" t="str">
            <v>SPCC-SD</v>
          </cell>
          <cell r="G524">
            <v>1.2</v>
          </cell>
          <cell r="H524">
            <v>63</v>
          </cell>
          <cell r="I524" t="str">
            <v>C</v>
          </cell>
          <cell r="J524" t="str">
            <v>CS01/12</v>
          </cell>
          <cell r="K524">
            <v>60022168</v>
          </cell>
          <cell r="L524">
            <v>120</v>
          </cell>
          <cell r="M524" t="str">
            <v>E1-ND-06-TSA-0362</v>
          </cell>
        </row>
        <row r="525">
          <cell r="A525">
            <v>60022169</v>
          </cell>
          <cell r="B525" t="str">
            <v>CR SPCC-SD 1.2x63xC</v>
          </cell>
          <cell r="C525">
            <v>60022169</v>
          </cell>
          <cell r="D525" t="str">
            <v>CR SPCC-SD</v>
          </cell>
          <cell r="E525" t="str">
            <v>CR</v>
          </cell>
          <cell r="F525" t="str">
            <v>SPCC-SD</v>
          </cell>
          <cell r="G525">
            <v>1.2</v>
          </cell>
          <cell r="H525">
            <v>63</v>
          </cell>
          <cell r="I525" t="str">
            <v>C</v>
          </cell>
          <cell r="J525" t="str">
            <v>CS01/12</v>
          </cell>
          <cell r="K525">
            <v>60022169</v>
          </cell>
          <cell r="L525">
            <v>120</v>
          </cell>
          <cell r="M525" t="str">
            <v>E1-ND-06-TSA-0362</v>
          </cell>
        </row>
        <row r="526">
          <cell r="A526">
            <v>60022183</v>
          </cell>
          <cell r="B526" t="str">
            <v>CR SPCC-SD 1.2x40xC</v>
          </cell>
          <cell r="C526">
            <v>60022183</v>
          </cell>
          <cell r="D526" t="str">
            <v>CR SPCC-SD</v>
          </cell>
          <cell r="E526" t="str">
            <v>CR</v>
          </cell>
          <cell r="F526" t="str">
            <v>SPCC-SD</v>
          </cell>
          <cell r="G526">
            <v>1.2</v>
          </cell>
          <cell r="H526">
            <v>40</v>
          </cell>
          <cell r="I526" t="str">
            <v>C</v>
          </cell>
          <cell r="J526" t="str">
            <v>CS01/3</v>
          </cell>
          <cell r="K526">
            <v>60022183</v>
          </cell>
          <cell r="L526">
            <v>75</v>
          </cell>
          <cell r="M526" t="str">
            <v>E1-ND-06-TSA-0362</v>
          </cell>
        </row>
        <row r="527">
          <cell r="A527">
            <v>60022261</v>
          </cell>
          <cell r="C527">
            <v>60022261</v>
          </cell>
          <cell r="E527" t="str">
            <v>CR</v>
          </cell>
          <cell r="F527" t="str">
            <v>SPCEN-SD</v>
          </cell>
          <cell r="G527">
            <v>0.8</v>
          </cell>
          <cell r="H527">
            <v>64</v>
          </cell>
          <cell r="I527" t="str">
            <v>C</v>
          </cell>
          <cell r="J527" t="str">
            <v>CS01/6</v>
          </cell>
          <cell r="K527">
            <v>60022261</v>
          </cell>
          <cell r="L527">
            <v>140</v>
          </cell>
        </row>
        <row r="528">
          <cell r="A528">
            <v>60022262</v>
          </cell>
          <cell r="C528">
            <v>60022262</v>
          </cell>
          <cell r="E528" t="str">
            <v>CR</v>
          </cell>
          <cell r="F528" t="str">
            <v>SPCEN-SD</v>
          </cell>
          <cell r="G528">
            <v>0.8</v>
          </cell>
          <cell r="H528">
            <v>64</v>
          </cell>
          <cell r="I528" t="str">
            <v>C</v>
          </cell>
          <cell r="J528" t="str">
            <v>CS01/6</v>
          </cell>
          <cell r="K528">
            <v>60022262</v>
          </cell>
          <cell r="L528">
            <v>140</v>
          </cell>
        </row>
        <row r="529">
          <cell r="A529">
            <v>60022823</v>
          </cell>
          <cell r="C529">
            <v>60022823</v>
          </cell>
          <cell r="E529" t="str">
            <v>CR</v>
          </cell>
          <cell r="F529" t="str">
            <v>SPCC-SD</v>
          </cell>
          <cell r="G529">
            <v>1.2</v>
          </cell>
          <cell r="H529">
            <v>71</v>
          </cell>
          <cell r="I529" t="str">
            <v>C</v>
          </cell>
          <cell r="J529" t="str">
            <v>CS01/2</v>
          </cell>
          <cell r="K529">
            <v>60022823</v>
          </cell>
          <cell r="L529">
            <v>215</v>
          </cell>
        </row>
        <row r="530">
          <cell r="A530">
            <v>60022824</v>
          </cell>
          <cell r="C530">
            <v>60022824</v>
          </cell>
          <cell r="E530" t="str">
            <v>CR</v>
          </cell>
          <cell r="F530" t="str">
            <v>SPCC-SD</v>
          </cell>
          <cell r="G530">
            <v>1.2</v>
          </cell>
          <cell r="H530">
            <v>71</v>
          </cell>
          <cell r="I530" t="str">
            <v>C</v>
          </cell>
          <cell r="J530" t="str">
            <v>CS01/2</v>
          </cell>
          <cell r="K530">
            <v>60022824</v>
          </cell>
          <cell r="L530">
            <v>215</v>
          </cell>
        </row>
        <row r="531">
          <cell r="A531">
            <v>60022833</v>
          </cell>
          <cell r="B531" t="str">
            <v>CR SPCC-SD 1.2x82xC</v>
          </cell>
          <cell r="C531">
            <v>60022833</v>
          </cell>
          <cell r="D531" t="str">
            <v>CR SPCC-SD</v>
          </cell>
          <cell r="E531" t="str">
            <v>CR</v>
          </cell>
          <cell r="F531" t="str">
            <v>SPCC-SD</v>
          </cell>
          <cell r="G531">
            <v>1.2</v>
          </cell>
          <cell r="H531">
            <v>82</v>
          </cell>
          <cell r="I531" t="str">
            <v>C</v>
          </cell>
          <cell r="J531" t="str">
            <v>CS01/1</v>
          </cell>
          <cell r="K531">
            <v>60022833</v>
          </cell>
          <cell r="L531">
            <v>250</v>
          </cell>
          <cell r="M531" t="str">
            <v>E1-NJ-06-TSA-0376</v>
          </cell>
        </row>
        <row r="532">
          <cell r="A532">
            <v>60022838</v>
          </cell>
          <cell r="C532">
            <v>60022838</v>
          </cell>
          <cell r="E532" t="str">
            <v>CR</v>
          </cell>
          <cell r="F532" t="str">
            <v>SPCC-SD</v>
          </cell>
          <cell r="G532">
            <v>1.2</v>
          </cell>
          <cell r="H532">
            <v>71</v>
          </cell>
          <cell r="I532" t="str">
            <v>C</v>
          </cell>
          <cell r="J532" t="str">
            <v>CS01/2</v>
          </cell>
          <cell r="K532">
            <v>60022838</v>
          </cell>
          <cell r="L532">
            <v>215</v>
          </cell>
        </row>
        <row r="533">
          <cell r="A533">
            <v>60023211</v>
          </cell>
          <cell r="C533">
            <v>60023211</v>
          </cell>
          <cell r="E533" t="str">
            <v>CR</v>
          </cell>
          <cell r="F533" t="str">
            <v>SPCEN-SD</v>
          </cell>
          <cell r="G533">
            <v>0.8</v>
          </cell>
          <cell r="H533">
            <v>85</v>
          </cell>
          <cell r="I533" t="str">
            <v>C</v>
          </cell>
          <cell r="J533" t="str">
            <v>OW01/2</v>
          </cell>
          <cell r="K533">
            <v>60023211</v>
          </cell>
          <cell r="L533">
            <v>635</v>
          </cell>
        </row>
        <row r="534">
          <cell r="A534">
            <v>60024105</v>
          </cell>
          <cell r="C534">
            <v>60024105</v>
          </cell>
          <cell r="E534" t="str">
            <v>PO</v>
          </cell>
          <cell r="F534" t="str">
            <v>SPHC P/O</v>
          </cell>
          <cell r="G534">
            <v>4.5</v>
          </cell>
          <cell r="H534">
            <v>70</v>
          </cell>
          <cell r="I534" t="str">
            <v>C</v>
          </cell>
          <cell r="J534" t="str">
            <v>CS01/1</v>
          </cell>
          <cell r="K534">
            <v>60024105</v>
          </cell>
          <cell r="L534">
            <v>410</v>
          </cell>
        </row>
        <row r="535">
          <cell r="A535">
            <v>60024106</v>
          </cell>
          <cell r="C535">
            <v>60024106</v>
          </cell>
          <cell r="E535" t="str">
            <v>PO</v>
          </cell>
          <cell r="F535" t="str">
            <v>SPHC P/O</v>
          </cell>
          <cell r="G535">
            <v>4.5</v>
          </cell>
          <cell r="H535">
            <v>70</v>
          </cell>
          <cell r="I535" t="str">
            <v>C</v>
          </cell>
          <cell r="J535" t="str">
            <v>CS01/1</v>
          </cell>
          <cell r="K535">
            <v>60024106</v>
          </cell>
          <cell r="L535">
            <v>410</v>
          </cell>
        </row>
        <row r="536">
          <cell r="A536">
            <v>60024288</v>
          </cell>
          <cell r="C536">
            <v>60024288</v>
          </cell>
          <cell r="E536" t="str">
            <v>PO</v>
          </cell>
          <cell r="F536" t="str">
            <v>SPHC P/O</v>
          </cell>
          <cell r="G536">
            <v>2.2999999999999998</v>
          </cell>
          <cell r="H536">
            <v>98</v>
          </cell>
          <cell r="I536" t="str">
            <v>C</v>
          </cell>
          <cell r="J536" t="str">
            <v>CS01/12</v>
          </cell>
          <cell r="K536">
            <v>60024288</v>
          </cell>
          <cell r="L536">
            <v>360</v>
          </cell>
        </row>
        <row r="537">
          <cell r="A537">
            <v>60026054</v>
          </cell>
          <cell r="C537">
            <v>60026054</v>
          </cell>
          <cell r="E537" t="str">
            <v>PO</v>
          </cell>
          <cell r="F537" t="str">
            <v>SPHC P/O</v>
          </cell>
          <cell r="G537">
            <v>1.4</v>
          </cell>
          <cell r="H537">
            <v>69</v>
          </cell>
          <cell r="I537" t="str">
            <v>C</v>
          </cell>
          <cell r="J537" t="str">
            <v>CS01/1</v>
          </cell>
          <cell r="K537">
            <v>60026054</v>
          </cell>
          <cell r="L537">
            <v>115</v>
          </cell>
        </row>
        <row r="538">
          <cell r="A538">
            <v>60026562</v>
          </cell>
          <cell r="C538">
            <v>60026562</v>
          </cell>
          <cell r="E538" t="str">
            <v>PO</v>
          </cell>
          <cell r="F538" t="str">
            <v>SAPH440 P/O</v>
          </cell>
          <cell r="G538">
            <v>4.5</v>
          </cell>
          <cell r="H538">
            <v>50</v>
          </cell>
          <cell r="I538" t="str">
            <v>C</v>
          </cell>
          <cell r="J538" t="str">
            <v>CS01/2</v>
          </cell>
          <cell r="K538">
            <v>60026562</v>
          </cell>
          <cell r="L538">
            <v>131</v>
          </cell>
        </row>
        <row r="539">
          <cell r="A539">
            <v>60027758</v>
          </cell>
          <cell r="C539">
            <v>60027758</v>
          </cell>
          <cell r="E539" t="str">
            <v>CR</v>
          </cell>
          <cell r="F539" t="str">
            <v>SPCC-SD</v>
          </cell>
          <cell r="G539">
            <v>1.4</v>
          </cell>
          <cell r="H539">
            <v>215</v>
          </cell>
          <cell r="I539" t="str">
            <v>C</v>
          </cell>
          <cell r="J539" t="str">
            <v>WIP</v>
          </cell>
          <cell r="K539">
            <v>60027758</v>
          </cell>
          <cell r="L539">
            <v>315</v>
          </cell>
        </row>
        <row r="540">
          <cell r="A540">
            <v>60027760</v>
          </cell>
          <cell r="C540">
            <v>60027760</v>
          </cell>
          <cell r="E540" t="str">
            <v>CR</v>
          </cell>
          <cell r="F540" t="str">
            <v>SPCC-SD</v>
          </cell>
          <cell r="G540">
            <v>1.4</v>
          </cell>
          <cell r="H540">
            <v>215</v>
          </cell>
          <cell r="I540" t="str">
            <v>C</v>
          </cell>
          <cell r="J540" t="str">
            <v>WIP</v>
          </cell>
          <cell r="K540">
            <v>60027760</v>
          </cell>
          <cell r="L540">
            <v>950</v>
          </cell>
        </row>
        <row r="541">
          <cell r="A541">
            <v>60028809</v>
          </cell>
          <cell r="C541">
            <v>60028809</v>
          </cell>
          <cell r="E541" t="str">
            <v>CR</v>
          </cell>
          <cell r="F541" t="str">
            <v>SPCC-SD</v>
          </cell>
          <cell r="G541">
            <v>0.7</v>
          </cell>
          <cell r="H541">
            <v>150</v>
          </cell>
          <cell r="I541" t="str">
            <v>C</v>
          </cell>
          <cell r="J541" t="str">
            <v>WIP</v>
          </cell>
          <cell r="K541">
            <v>60028809</v>
          </cell>
          <cell r="L541">
            <v>290</v>
          </cell>
        </row>
        <row r="542">
          <cell r="A542">
            <v>60028832</v>
          </cell>
          <cell r="C542">
            <v>60028832</v>
          </cell>
          <cell r="E542" t="str">
            <v>CR</v>
          </cell>
          <cell r="F542" t="str">
            <v>SPCEN-SD</v>
          </cell>
          <cell r="G542">
            <v>1</v>
          </cell>
          <cell r="H542">
            <v>90</v>
          </cell>
          <cell r="I542" t="str">
            <v>C</v>
          </cell>
          <cell r="J542" t="str">
            <v>WIP</v>
          </cell>
          <cell r="K542">
            <v>60028832</v>
          </cell>
          <cell r="L542">
            <v>330</v>
          </cell>
        </row>
        <row r="543">
          <cell r="A543">
            <v>60029340</v>
          </cell>
          <cell r="C543">
            <v>60029340</v>
          </cell>
          <cell r="E543" t="str">
            <v>CR</v>
          </cell>
          <cell r="F543" t="str">
            <v>SPCEN-SD</v>
          </cell>
          <cell r="G543">
            <v>1</v>
          </cell>
          <cell r="H543">
            <v>90</v>
          </cell>
          <cell r="I543" t="str">
            <v>C</v>
          </cell>
          <cell r="J543" t="str">
            <v>WIP</v>
          </cell>
          <cell r="K543">
            <v>60029340</v>
          </cell>
          <cell r="L543">
            <v>194</v>
          </cell>
        </row>
        <row r="544">
          <cell r="A544">
            <v>60029422</v>
          </cell>
          <cell r="B544" t="str">
            <v>CR SPCC-SD 1.2x63xC</v>
          </cell>
          <cell r="C544">
            <v>60029422</v>
          </cell>
          <cell r="D544" t="str">
            <v>CR SPCC-SD</v>
          </cell>
          <cell r="E544" t="str">
            <v>CR</v>
          </cell>
          <cell r="F544" t="str">
            <v>SPCC-SD</v>
          </cell>
          <cell r="G544">
            <v>1.2</v>
          </cell>
          <cell r="H544">
            <v>63</v>
          </cell>
          <cell r="I544" t="str">
            <v>C</v>
          </cell>
          <cell r="J544" t="str">
            <v>CS01/2</v>
          </cell>
          <cell r="K544">
            <v>60029422</v>
          </cell>
          <cell r="L544">
            <v>90</v>
          </cell>
          <cell r="M544" t="str">
            <v>E1-ND-06-TSA-0362</v>
          </cell>
        </row>
        <row r="545">
          <cell r="A545">
            <v>60029423</v>
          </cell>
          <cell r="B545" t="str">
            <v>CR SPCC-SD 1.2x63xC</v>
          </cell>
          <cell r="C545">
            <v>60029423</v>
          </cell>
          <cell r="D545" t="str">
            <v>CR SPCC-SD</v>
          </cell>
          <cell r="E545" t="str">
            <v>CR</v>
          </cell>
          <cell r="F545" t="str">
            <v>SPCC-SD</v>
          </cell>
          <cell r="G545">
            <v>1.2</v>
          </cell>
          <cell r="H545">
            <v>63</v>
          </cell>
          <cell r="I545" t="str">
            <v>C</v>
          </cell>
          <cell r="J545" t="str">
            <v>CS01/2</v>
          </cell>
          <cell r="K545">
            <v>60029423</v>
          </cell>
          <cell r="L545">
            <v>90</v>
          </cell>
          <cell r="M545" t="str">
            <v>E1-ND-06-TSA-0362</v>
          </cell>
        </row>
        <row r="546">
          <cell r="A546">
            <v>60029424</v>
          </cell>
          <cell r="B546" t="str">
            <v>CR SPCC-SD 1.2x63xC</v>
          </cell>
          <cell r="C546">
            <v>60029424</v>
          </cell>
          <cell r="D546" t="str">
            <v>CR SPCC-SD</v>
          </cell>
          <cell r="E546" t="str">
            <v>CR</v>
          </cell>
          <cell r="F546" t="str">
            <v>SPCC-SD</v>
          </cell>
          <cell r="G546">
            <v>1.2</v>
          </cell>
          <cell r="H546">
            <v>63</v>
          </cell>
          <cell r="I546" t="str">
            <v>C</v>
          </cell>
          <cell r="J546" t="str">
            <v>CS01/2</v>
          </cell>
          <cell r="K546">
            <v>60029424</v>
          </cell>
          <cell r="L546">
            <v>90</v>
          </cell>
          <cell r="M546" t="str">
            <v>E1-ND-06-TSA-0362</v>
          </cell>
        </row>
        <row r="547">
          <cell r="A547">
            <v>60029425</v>
          </cell>
          <cell r="B547" t="str">
            <v>CR SPCC-SD 1.2x63xC</v>
          </cell>
          <cell r="C547">
            <v>60029425</v>
          </cell>
          <cell r="D547" t="str">
            <v>CR SPCC-SD</v>
          </cell>
          <cell r="E547" t="str">
            <v>CR</v>
          </cell>
          <cell r="F547" t="str">
            <v>SPCC-SD</v>
          </cell>
          <cell r="G547">
            <v>1.2</v>
          </cell>
          <cell r="H547">
            <v>63</v>
          </cell>
          <cell r="I547" t="str">
            <v>C</v>
          </cell>
          <cell r="J547" t="str">
            <v>CS01/2</v>
          </cell>
          <cell r="K547">
            <v>60029425</v>
          </cell>
          <cell r="L547">
            <v>90</v>
          </cell>
          <cell r="M547" t="str">
            <v>E1-ND-06-TSA-0362</v>
          </cell>
        </row>
        <row r="548">
          <cell r="A548">
            <v>60030051</v>
          </cell>
          <cell r="B548" t="str">
            <v>CR SPCC-SD 1.4x45xC</v>
          </cell>
          <cell r="C548">
            <v>60030051</v>
          </cell>
          <cell r="D548" t="str">
            <v>CR SPCC-SD</v>
          </cell>
          <cell r="E548" t="str">
            <v>CR</v>
          </cell>
          <cell r="F548" t="str">
            <v>SPCC-SD</v>
          </cell>
          <cell r="G548">
            <v>1.4</v>
          </cell>
          <cell r="H548">
            <v>45</v>
          </cell>
          <cell r="I548" t="str">
            <v>C</v>
          </cell>
          <cell r="J548" t="str">
            <v>CS01/6</v>
          </cell>
          <cell r="K548">
            <v>60030051</v>
          </cell>
          <cell r="L548">
            <v>96</v>
          </cell>
          <cell r="M548" t="str">
            <v>E2-ND-06-TSA-0153</v>
          </cell>
        </row>
        <row r="549">
          <cell r="A549">
            <v>60030052</v>
          </cell>
          <cell r="B549" t="str">
            <v>CR SPCC-SD 1.4x45xC</v>
          </cell>
          <cell r="C549">
            <v>60030052</v>
          </cell>
          <cell r="D549" t="str">
            <v>CR SPCC-SD</v>
          </cell>
          <cell r="E549" t="str">
            <v>CR</v>
          </cell>
          <cell r="F549" t="str">
            <v>SPCC-SD</v>
          </cell>
          <cell r="G549">
            <v>1.4</v>
          </cell>
          <cell r="H549">
            <v>45</v>
          </cell>
          <cell r="I549" t="str">
            <v>C</v>
          </cell>
          <cell r="J549" t="str">
            <v>CS01/6</v>
          </cell>
          <cell r="K549">
            <v>60030052</v>
          </cell>
          <cell r="L549">
            <v>96</v>
          </cell>
          <cell r="M549" t="str">
            <v>E2-ND-06-TSA-0153</v>
          </cell>
        </row>
        <row r="550">
          <cell r="A550">
            <v>60030621</v>
          </cell>
          <cell r="C550">
            <v>60030621</v>
          </cell>
          <cell r="E550" t="str">
            <v>PO</v>
          </cell>
          <cell r="F550" t="str">
            <v>SPHC P/O</v>
          </cell>
          <cell r="G550">
            <v>2.6</v>
          </cell>
          <cell r="H550">
            <v>63</v>
          </cell>
          <cell r="I550" t="str">
            <v>C</v>
          </cell>
          <cell r="J550" t="str">
            <v>CS01/6</v>
          </cell>
          <cell r="K550">
            <v>60030621</v>
          </cell>
          <cell r="L550">
            <v>321</v>
          </cell>
        </row>
        <row r="551">
          <cell r="A551">
            <v>60030767</v>
          </cell>
          <cell r="C551">
            <v>60030767</v>
          </cell>
          <cell r="E551" t="str">
            <v>CR</v>
          </cell>
          <cell r="F551" t="str">
            <v>SPCEN-SD</v>
          </cell>
          <cell r="G551">
            <v>0.8</v>
          </cell>
          <cell r="H551">
            <v>40</v>
          </cell>
          <cell r="I551" t="str">
            <v>C</v>
          </cell>
          <cell r="J551" t="str">
            <v>CS01/2</v>
          </cell>
          <cell r="K551">
            <v>60030767</v>
          </cell>
          <cell r="L551">
            <v>73</v>
          </cell>
        </row>
        <row r="552">
          <cell r="A552">
            <v>60031148</v>
          </cell>
          <cell r="B552" t="str">
            <v>CR SPCC-SD 1.6x75xC</v>
          </cell>
          <cell r="C552">
            <v>60031148</v>
          </cell>
          <cell r="D552" t="str">
            <v>CR SPCC-SD</v>
          </cell>
          <cell r="E552" t="str">
            <v>CR</v>
          </cell>
          <cell r="F552" t="str">
            <v>SPCC-SD</v>
          </cell>
          <cell r="G552">
            <v>1.6</v>
          </cell>
          <cell r="H552">
            <v>75</v>
          </cell>
          <cell r="I552" t="str">
            <v>C</v>
          </cell>
          <cell r="J552" t="str">
            <v>CS01/1</v>
          </cell>
          <cell r="K552">
            <v>60031148</v>
          </cell>
          <cell r="L552">
            <v>115</v>
          </cell>
          <cell r="M552" t="str">
            <v>E2-ND-06-TSA-0151</v>
          </cell>
        </row>
        <row r="553">
          <cell r="A553">
            <v>60031155</v>
          </cell>
          <cell r="B553" t="str">
            <v>CR SPCC-SD 1.6x75xC</v>
          </cell>
          <cell r="C553">
            <v>60031155</v>
          </cell>
          <cell r="D553" t="str">
            <v>CR SPCC-SD</v>
          </cell>
          <cell r="E553" t="str">
            <v>CR</v>
          </cell>
          <cell r="F553" t="str">
            <v>SPCC-SD</v>
          </cell>
          <cell r="G553">
            <v>1.6</v>
          </cell>
          <cell r="H553">
            <v>75</v>
          </cell>
          <cell r="I553" t="str">
            <v>C</v>
          </cell>
          <cell r="J553" t="str">
            <v>CS01/1</v>
          </cell>
          <cell r="K553">
            <v>60031155</v>
          </cell>
          <cell r="L553">
            <v>115</v>
          </cell>
          <cell r="M553" t="str">
            <v>E2-ND-06-TSA-0151</v>
          </cell>
        </row>
        <row r="554">
          <cell r="A554">
            <v>60031162</v>
          </cell>
          <cell r="B554" t="str">
            <v>CR SPCC-SD 1.6x75xC</v>
          </cell>
          <cell r="C554">
            <v>60031162</v>
          </cell>
          <cell r="D554" t="str">
            <v>CR SPCC-SD</v>
          </cell>
          <cell r="E554" t="str">
            <v>CR</v>
          </cell>
          <cell r="F554" t="str">
            <v>SPCC-SD</v>
          </cell>
          <cell r="G554">
            <v>1.6</v>
          </cell>
          <cell r="H554">
            <v>75</v>
          </cell>
          <cell r="I554" t="str">
            <v>C</v>
          </cell>
          <cell r="J554" t="str">
            <v>CS01/1</v>
          </cell>
          <cell r="K554">
            <v>60031162</v>
          </cell>
          <cell r="L554">
            <v>100</v>
          </cell>
          <cell r="M554" t="str">
            <v>E2-ND-06-TSA-0151</v>
          </cell>
        </row>
        <row r="555">
          <cell r="A555">
            <v>60031310</v>
          </cell>
          <cell r="C555">
            <v>60031310</v>
          </cell>
          <cell r="E555" t="str">
            <v>CR</v>
          </cell>
          <cell r="F555" t="str">
            <v>SPCC-SD</v>
          </cell>
          <cell r="G555">
            <v>0.8</v>
          </cell>
          <cell r="H555">
            <v>125</v>
          </cell>
          <cell r="I555" t="str">
            <v>C</v>
          </cell>
          <cell r="J555" t="str">
            <v>WIP</v>
          </cell>
          <cell r="K555">
            <v>60031310</v>
          </cell>
          <cell r="L555">
            <v>554</v>
          </cell>
        </row>
        <row r="556">
          <cell r="A556">
            <v>60031634</v>
          </cell>
          <cell r="C556">
            <v>60031634</v>
          </cell>
          <cell r="E556" t="str">
            <v>CR</v>
          </cell>
          <cell r="F556" t="str">
            <v>SPCC-SD</v>
          </cell>
          <cell r="G556">
            <v>1.2</v>
          </cell>
          <cell r="H556">
            <v>71</v>
          </cell>
          <cell r="I556" t="str">
            <v>C</v>
          </cell>
          <cell r="J556" t="str">
            <v>CS01/12</v>
          </cell>
          <cell r="K556">
            <v>60031634</v>
          </cell>
          <cell r="L556">
            <v>250</v>
          </cell>
        </row>
        <row r="557">
          <cell r="A557">
            <v>60032585</v>
          </cell>
          <cell r="B557" t="str">
            <v>CR SPCC-SD 1.6x75xC</v>
          </cell>
          <cell r="C557">
            <v>60032585</v>
          </cell>
          <cell r="D557" t="str">
            <v>CR SPCC-SD</v>
          </cell>
          <cell r="E557" t="str">
            <v>CR</v>
          </cell>
          <cell r="F557" t="str">
            <v>SPCC-SD</v>
          </cell>
          <cell r="G557">
            <v>1.6</v>
          </cell>
          <cell r="H557">
            <v>75</v>
          </cell>
          <cell r="I557" t="str">
            <v>C</v>
          </cell>
          <cell r="J557" t="str">
            <v>CS01/12</v>
          </cell>
          <cell r="K557">
            <v>60032585</v>
          </cell>
          <cell r="L557">
            <v>116</v>
          </cell>
          <cell r="M557" t="str">
            <v>E2-ND-06-TSA-0151</v>
          </cell>
        </row>
        <row r="558">
          <cell r="A558">
            <v>60032592</v>
          </cell>
          <cell r="B558" t="str">
            <v>CR SPCC-SD 1.6x75xC</v>
          </cell>
          <cell r="C558">
            <v>60032592</v>
          </cell>
          <cell r="D558" t="str">
            <v>CR SPCC-SD</v>
          </cell>
          <cell r="E558" t="str">
            <v>CR</v>
          </cell>
          <cell r="F558" t="str">
            <v>SPCC-SD</v>
          </cell>
          <cell r="G558">
            <v>1.6</v>
          </cell>
          <cell r="H558">
            <v>75</v>
          </cell>
          <cell r="I558" t="str">
            <v>C</v>
          </cell>
          <cell r="J558" t="str">
            <v>CS01/12</v>
          </cell>
          <cell r="K558">
            <v>60032592</v>
          </cell>
          <cell r="L558">
            <v>113</v>
          </cell>
          <cell r="M558" t="str">
            <v>E2-ND-06-TSA-0151</v>
          </cell>
        </row>
        <row r="559">
          <cell r="A559">
            <v>60032935</v>
          </cell>
          <cell r="C559">
            <v>60032935</v>
          </cell>
          <cell r="E559" t="str">
            <v>CR</v>
          </cell>
          <cell r="F559" t="str">
            <v>SPCEN-SD</v>
          </cell>
          <cell r="G559">
            <v>0.8</v>
          </cell>
          <cell r="H559">
            <v>75</v>
          </cell>
          <cell r="I559" t="str">
            <v>C</v>
          </cell>
          <cell r="J559" t="str">
            <v>CS01/1</v>
          </cell>
          <cell r="K559">
            <v>60032935</v>
          </cell>
          <cell r="L559">
            <v>542</v>
          </cell>
        </row>
        <row r="560">
          <cell r="A560">
            <v>60032937</v>
          </cell>
          <cell r="C560">
            <v>60032937</v>
          </cell>
          <cell r="E560" t="str">
            <v>CR</v>
          </cell>
          <cell r="F560" t="str">
            <v>SPCEN-SD</v>
          </cell>
          <cell r="G560">
            <v>0.8</v>
          </cell>
          <cell r="H560">
            <v>75</v>
          </cell>
          <cell r="I560" t="str">
            <v>C</v>
          </cell>
          <cell r="J560" t="str">
            <v>CS01/1</v>
          </cell>
          <cell r="K560">
            <v>60032937</v>
          </cell>
          <cell r="L560">
            <v>545</v>
          </cell>
        </row>
        <row r="561">
          <cell r="A561">
            <v>60033042</v>
          </cell>
          <cell r="C561">
            <v>60033042</v>
          </cell>
          <cell r="E561" t="str">
            <v>PO</v>
          </cell>
          <cell r="F561" t="str">
            <v>SPHC P/O</v>
          </cell>
          <cell r="G561">
            <v>1.4</v>
          </cell>
          <cell r="H561">
            <v>69</v>
          </cell>
          <cell r="I561" t="str">
            <v>C</v>
          </cell>
          <cell r="J561" t="str">
            <v>CS01/1</v>
          </cell>
          <cell r="K561">
            <v>60033042</v>
          </cell>
          <cell r="L561">
            <v>301</v>
          </cell>
        </row>
        <row r="562">
          <cell r="A562">
            <v>60033136</v>
          </cell>
          <cell r="C562">
            <v>60033136</v>
          </cell>
          <cell r="E562" t="str">
            <v>PO</v>
          </cell>
          <cell r="F562" t="str">
            <v>SPHC P/O</v>
          </cell>
          <cell r="G562">
            <v>2.2999999999999998</v>
          </cell>
          <cell r="H562">
            <v>72</v>
          </cell>
          <cell r="I562" t="str">
            <v>C</v>
          </cell>
          <cell r="J562" t="str">
            <v>CS01/1</v>
          </cell>
          <cell r="K562">
            <v>60033136</v>
          </cell>
          <cell r="L562">
            <v>196</v>
          </cell>
        </row>
        <row r="563">
          <cell r="A563">
            <v>60033327</v>
          </cell>
          <cell r="C563">
            <v>60033327</v>
          </cell>
          <cell r="E563" t="str">
            <v>CR</v>
          </cell>
          <cell r="F563" t="str">
            <v>SPCEN-SD</v>
          </cell>
          <cell r="G563">
            <v>2</v>
          </cell>
          <cell r="H563">
            <v>70</v>
          </cell>
          <cell r="I563" t="str">
            <v>C</v>
          </cell>
          <cell r="J563" t="str">
            <v>CS01/12</v>
          </cell>
          <cell r="K563">
            <v>60033327</v>
          </cell>
          <cell r="L563">
            <v>134</v>
          </cell>
        </row>
        <row r="564">
          <cell r="A564">
            <v>60033767</v>
          </cell>
          <cell r="B564" t="str">
            <v>CR SPCC-SD 1.2x63xC</v>
          </cell>
          <cell r="C564">
            <v>60033767</v>
          </cell>
          <cell r="D564" t="str">
            <v>CR SPCC-SD</v>
          </cell>
          <cell r="E564" t="str">
            <v>CR</v>
          </cell>
          <cell r="F564" t="str">
            <v>SPCC-SD</v>
          </cell>
          <cell r="G564">
            <v>1.2</v>
          </cell>
          <cell r="H564">
            <v>63</v>
          </cell>
          <cell r="I564" t="str">
            <v>C</v>
          </cell>
          <cell r="J564" t="str">
            <v>CS01/12</v>
          </cell>
          <cell r="K564">
            <v>60033767</v>
          </cell>
          <cell r="L564">
            <v>164</v>
          </cell>
          <cell r="M564" t="str">
            <v>E1-ND-06-TSA-0362</v>
          </cell>
        </row>
        <row r="565">
          <cell r="A565">
            <v>60033796</v>
          </cell>
          <cell r="B565" t="str">
            <v>CR SPCC-SD 0.6x44xC</v>
          </cell>
          <cell r="C565">
            <v>60033796</v>
          </cell>
          <cell r="D565" t="str">
            <v>CR SPCC-SD</v>
          </cell>
          <cell r="E565" t="str">
            <v>CR</v>
          </cell>
          <cell r="F565" t="str">
            <v>SPCC-SD</v>
          </cell>
          <cell r="G565">
            <v>0.6</v>
          </cell>
          <cell r="H565">
            <v>44</v>
          </cell>
          <cell r="I565" t="str">
            <v>C</v>
          </cell>
          <cell r="J565" t="str">
            <v>CS01/12</v>
          </cell>
          <cell r="K565">
            <v>60033796</v>
          </cell>
          <cell r="L565">
            <v>392</v>
          </cell>
          <cell r="M565" t="str">
            <v>E1-ND-06-TSA-0363</v>
          </cell>
        </row>
        <row r="566">
          <cell r="A566">
            <v>60033834</v>
          </cell>
          <cell r="C566">
            <v>60033834</v>
          </cell>
          <cell r="E566" t="str">
            <v>CR</v>
          </cell>
          <cell r="F566" t="str">
            <v>SPCEN-SD</v>
          </cell>
          <cell r="G566">
            <v>0.8</v>
          </cell>
          <cell r="H566">
            <v>75</v>
          </cell>
          <cell r="I566" t="str">
            <v>C</v>
          </cell>
          <cell r="J566" t="str">
            <v>CS01/11</v>
          </cell>
          <cell r="K566">
            <v>60033834</v>
          </cell>
          <cell r="L566">
            <v>544</v>
          </cell>
        </row>
        <row r="567">
          <cell r="A567">
            <v>60034390</v>
          </cell>
          <cell r="C567">
            <v>60034390</v>
          </cell>
          <cell r="E567" t="str">
            <v>PO</v>
          </cell>
          <cell r="F567" t="str">
            <v>SPHC P/O</v>
          </cell>
          <cell r="G567">
            <v>1.6</v>
          </cell>
          <cell r="H567">
            <v>70</v>
          </cell>
          <cell r="I567" t="str">
            <v>C</v>
          </cell>
          <cell r="J567" t="str">
            <v>WIP</v>
          </cell>
          <cell r="K567">
            <v>60034390</v>
          </cell>
          <cell r="L567">
            <v>100</v>
          </cell>
        </row>
        <row r="568">
          <cell r="A568">
            <v>60034392</v>
          </cell>
          <cell r="C568">
            <v>60034392</v>
          </cell>
          <cell r="E568" t="str">
            <v>PO</v>
          </cell>
          <cell r="F568" t="str">
            <v>SPHC P/O</v>
          </cell>
          <cell r="G568">
            <v>1.6</v>
          </cell>
          <cell r="H568">
            <v>70</v>
          </cell>
          <cell r="I568" t="str">
            <v>C</v>
          </cell>
          <cell r="J568" t="str">
            <v>WIP</v>
          </cell>
          <cell r="K568">
            <v>60034392</v>
          </cell>
          <cell r="L568">
            <v>131</v>
          </cell>
        </row>
        <row r="569">
          <cell r="A569">
            <v>60034701</v>
          </cell>
          <cell r="C569">
            <v>60034701</v>
          </cell>
          <cell r="E569" t="str">
            <v>CR</v>
          </cell>
          <cell r="F569" t="str">
            <v>SPCEN-SD</v>
          </cell>
          <cell r="G569">
            <v>0.8</v>
          </cell>
          <cell r="H569">
            <v>125</v>
          </cell>
          <cell r="I569" t="str">
            <v>C</v>
          </cell>
          <cell r="J569" t="str">
            <v>WIP</v>
          </cell>
          <cell r="K569">
            <v>60034701</v>
          </cell>
          <cell r="L569">
            <v>165</v>
          </cell>
        </row>
        <row r="570">
          <cell r="A570">
            <v>60034716</v>
          </cell>
          <cell r="C570">
            <v>60034716</v>
          </cell>
          <cell r="E570" t="str">
            <v>PO</v>
          </cell>
          <cell r="F570" t="str">
            <v>SPHC P/O</v>
          </cell>
          <cell r="G570">
            <v>4.5</v>
          </cell>
          <cell r="H570">
            <v>83</v>
          </cell>
          <cell r="I570" t="str">
            <v>C</v>
          </cell>
          <cell r="J570" t="str">
            <v>WIP</v>
          </cell>
          <cell r="K570">
            <v>60034716</v>
          </cell>
          <cell r="L570">
            <v>614</v>
          </cell>
        </row>
        <row r="571">
          <cell r="A571">
            <v>60034717</v>
          </cell>
          <cell r="C571">
            <v>60034717</v>
          </cell>
          <cell r="E571" t="str">
            <v>PO</v>
          </cell>
          <cell r="F571" t="str">
            <v>SPHC P/O</v>
          </cell>
          <cell r="G571">
            <v>4.5</v>
          </cell>
          <cell r="H571">
            <v>83</v>
          </cell>
          <cell r="I571" t="str">
            <v>C</v>
          </cell>
          <cell r="J571" t="str">
            <v>WIP</v>
          </cell>
          <cell r="K571">
            <v>60034717</v>
          </cell>
          <cell r="L571">
            <v>614</v>
          </cell>
        </row>
        <row r="572">
          <cell r="A572">
            <v>60034731</v>
          </cell>
          <cell r="C572">
            <v>60034731</v>
          </cell>
          <cell r="E572" t="str">
            <v>PO</v>
          </cell>
          <cell r="F572" t="str">
            <v>SPHC P/O</v>
          </cell>
          <cell r="G572">
            <v>4.5</v>
          </cell>
          <cell r="H572">
            <v>83</v>
          </cell>
          <cell r="I572" t="str">
            <v>C</v>
          </cell>
          <cell r="J572" t="str">
            <v>WIP</v>
          </cell>
          <cell r="K572">
            <v>60034731</v>
          </cell>
          <cell r="L572">
            <v>605</v>
          </cell>
        </row>
        <row r="573">
          <cell r="A573">
            <v>60034732</v>
          </cell>
          <cell r="C573">
            <v>60034732</v>
          </cell>
          <cell r="E573" t="str">
            <v>PO</v>
          </cell>
          <cell r="F573" t="str">
            <v>SPHC P/O</v>
          </cell>
          <cell r="G573">
            <v>4.5</v>
          </cell>
          <cell r="H573">
            <v>83</v>
          </cell>
          <cell r="I573" t="str">
            <v>C</v>
          </cell>
          <cell r="J573" t="str">
            <v>WIP</v>
          </cell>
          <cell r="K573">
            <v>60034732</v>
          </cell>
          <cell r="L573">
            <v>605</v>
          </cell>
        </row>
        <row r="574">
          <cell r="A574">
            <v>60037881</v>
          </cell>
          <cell r="C574">
            <v>60037881</v>
          </cell>
          <cell r="E574" t="str">
            <v>CR</v>
          </cell>
          <cell r="F574" t="str">
            <v>SPCC-SD</v>
          </cell>
          <cell r="G574">
            <v>0.8</v>
          </cell>
          <cell r="H574">
            <v>83</v>
          </cell>
          <cell r="I574" t="str">
            <v>C</v>
          </cell>
          <cell r="J574" t="str">
            <v>CS01/5</v>
          </cell>
          <cell r="K574">
            <v>60037881</v>
          </cell>
          <cell r="L574">
            <v>238</v>
          </cell>
        </row>
        <row r="575">
          <cell r="A575">
            <v>60037882</v>
          </cell>
          <cell r="C575">
            <v>60037882</v>
          </cell>
          <cell r="E575" t="str">
            <v>CR</v>
          </cell>
          <cell r="F575" t="str">
            <v>SPCC-SD</v>
          </cell>
          <cell r="G575">
            <v>0.8</v>
          </cell>
          <cell r="H575">
            <v>83</v>
          </cell>
          <cell r="I575" t="str">
            <v>C</v>
          </cell>
          <cell r="J575" t="str">
            <v>CS01/5</v>
          </cell>
          <cell r="K575">
            <v>60037882</v>
          </cell>
          <cell r="L575">
            <v>238</v>
          </cell>
        </row>
        <row r="576">
          <cell r="A576">
            <v>60037883</v>
          </cell>
          <cell r="C576">
            <v>60037883</v>
          </cell>
          <cell r="E576" t="str">
            <v>CR</v>
          </cell>
          <cell r="F576" t="str">
            <v>SPCC-SD</v>
          </cell>
          <cell r="G576">
            <v>0.8</v>
          </cell>
          <cell r="H576">
            <v>83</v>
          </cell>
          <cell r="I576" t="str">
            <v>C</v>
          </cell>
          <cell r="J576" t="str">
            <v>CS01/5</v>
          </cell>
          <cell r="K576">
            <v>60037883</v>
          </cell>
          <cell r="L576">
            <v>238</v>
          </cell>
        </row>
        <row r="577">
          <cell r="A577">
            <v>60037885</v>
          </cell>
          <cell r="C577">
            <v>60037885</v>
          </cell>
          <cell r="E577" t="str">
            <v>CR</v>
          </cell>
          <cell r="F577" t="str">
            <v>SPCC-SD</v>
          </cell>
          <cell r="G577">
            <v>0.8</v>
          </cell>
          <cell r="H577">
            <v>83</v>
          </cell>
          <cell r="I577" t="str">
            <v>C</v>
          </cell>
          <cell r="J577" t="str">
            <v>CS01/5</v>
          </cell>
          <cell r="K577">
            <v>60037885</v>
          </cell>
          <cell r="L577">
            <v>238</v>
          </cell>
        </row>
        <row r="578">
          <cell r="A578">
            <v>60037886</v>
          </cell>
          <cell r="C578">
            <v>60037886</v>
          </cell>
          <cell r="E578" t="str">
            <v>CR</v>
          </cell>
          <cell r="F578" t="str">
            <v>SPCC-SD</v>
          </cell>
          <cell r="G578">
            <v>0.8</v>
          </cell>
          <cell r="H578">
            <v>83</v>
          </cell>
          <cell r="I578" t="str">
            <v>C</v>
          </cell>
          <cell r="J578" t="str">
            <v>CS01/5</v>
          </cell>
          <cell r="K578">
            <v>60037886</v>
          </cell>
          <cell r="L578">
            <v>238</v>
          </cell>
        </row>
        <row r="579">
          <cell r="A579">
            <v>60038309</v>
          </cell>
          <cell r="C579">
            <v>60038309</v>
          </cell>
          <cell r="E579" t="str">
            <v>CR</v>
          </cell>
          <cell r="F579" t="str">
            <v>SPCEN-SD</v>
          </cell>
          <cell r="G579">
            <v>0.8</v>
          </cell>
          <cell r="H579">
            <v>125</v>
          </cell>
          <cell r="I579" t="str">
            <v>C</v>
          </cell>
          <cell r="J579" t="str">
            <v>WIP</v>
          </cell>
          <cell r="K579">
            <v>60038309</v>
          </cell>
          <cell r="L579">
            <v>165</v>
          </cell>
        </row>
        <row r="580">
          <cell r="A580">
            <v>60039470</v>
          </cell>
          <cell r="B580" t="str">
            <v>CR SPCC-SD 0.7x44xC</v>
          </cell>
          <cell r="C580">
            <v>60039470</v>
          </cell>
          <cell r="D580" t="str">
            <v>CR SPCC-SD</v>
          </cell>
          <cell r="E580" t="str">
            <v>CR</v>
          </cell>
          <cell r="F580" t="str">
            <v>SPCC-SD</v>
          </cell>
          <cell r="G580">
            <v>0.7</v>
          </cell>
          <cell r="H580">
            <v>44</v>
          </cell>
          <cell r="I580" t="str">
            <v>C</v>
          </cell>
          <cell r="J580" t="str">
            <v>CS01/12</v>
          </cell>
          <cell r="K580">
            <v>60039470</v>
          </cell>
          <cell r="L580">
            <v>313</v>
          </cell>
          <cell r="M580" t="str">
            <v>E1-ND-06-TSA-0362</v>
          </cell>
        </row>
        <row r="581">
          <cell r="A581">
            <v>60039653</v>
          </cell>
          <cell r="B581" t="str">
            <v>CR SPCC-SD 0.7x44xC</v>
          </cell>
          <cell r="C581">
            <v>60039653</v>
          </cell>
          <cell r="D581" t="str">
            <v>CR SPCC-SD</v>
          </cell>
          <cell r="E581" t="str">
            <v>CR</v>
          </cell>
          <cell r="F581" t="str">
            <v>SPCC-SD</v>
          </cell>
          <cell r="G581">
            <v>0.7</v>
          </cell>
          <cell r="H581">
            <v>44</v>
          </cell>
          <cell r="I581" t="str">
            <v>C</v>
          </cell>
          <cell r="J581" t="str">
            <v>CS01/12</v>
          </cell>
          <cell r="K581">
            <v>60039653</v>
          </cell>
          <cell r="L581">
            <v>53</v>
          </cell>
          <cell r="M581" t="str">
            <v>E1-ND-06-TSA-0362</v>
          </cell>
        </row>
        <row r="582">
          <cell r="A582">
            <v>60039834</v>
          </cell>
          <cell r="C582">
            <v>60039834</v>
          </cell>
          <cell r="E582" t="str">
            <v>CR</v>
          </cell>
          <cell r="F582" t="str">
            <v>SPCEN-SD</v>
          </cell>
          <cell r="G582">
            <v>1.2</v>
          </cell>
          <cell r="H582">
            <v>60</v>
          </cell>
          <cell r="I582" t="str">
            <v>C</v>
          </cell>
          <cell r="J582" t="str">
            <v>WIP</v>
          </cell>
          <cell r="K582">
            <v>60039834</v>
          </cell>
          <cell r="L582">
            <v>98</v>
          </cell>
        </row>
        <row r="583">
          <cell r="A583">
            <v>60039836</v>
          </cell>
          <cell r="C583">
            <v>60039836</v>
          </cell>
          <cell r="E583" t="str">
            <v>CR</v>
          </cell>
          <cell r="F583" t="str">
            <v>SPCEN-SD</v>
          </cell>
          <cell r="G583">
            <v>1.2</v>
          </cell>
          <cell r="H583">
            <v>60</v>
          </cell>
          <cell r="I583" t="str">
            <v>C</v>
          </cell>
          <cell r="J583" t="str">
            <v>CS01/12</v>
          </cell>
          <cell r="K583">
            <v>60039836</v>
          </cell>
          <cell r="L583">
            <v>453</v>
          </cell>
        </row>
        <row r="584">
          <cell r="A584">
            <v>60040166</v>
          </cell>
          <cell r="C584">
            <v>60040166</v>
          </cell>
          <cell r="E584" t="str">
            <v>CR</v>
          </cell>
          <cell r="F584" t="str">
            <v>SPCC-SD</v>
          </cell>
          <cell r="G584">
            <v>0.5</v>
          </cell>
          <cell r="H584">
            <v>80</v>
          </cell>
          <cell r="I584" t="str">
            <v>C</v>
          </cell>
          <cell r="J584" t="str">
            <v>CS01/12</v>
          </cell>
          <cell r="K584">
            <v>60040166</v>
          </cell>
          <cell r="L584">
            <v>150</v>
          </cell>
        </row>
        <row r="585">
          <cell r="A585">
            <v>60040186</v>
          </cell>
          <cell r="B585" t="str">
            <v>CR SPCC-SD 0.6x52xC</v>
          </cell>
          <cell r="C585">
            <v>60040186</v>
          </cell>
          <cell r="D585" t="str">
            <v>CR SPCC-SD</v>
          </cell>
          <cell r="E585" t="str">
            <v>CR</v>
          </cell>
          <cell r="F585" t="str">
            <v>SPCC-SD</v>
          </cell>
          <cell r="G585">
            <v>0.6</v>
          </cell>
          <cell r="H585">
            <v>52</v>
          </cell>
          <cell r="I585" t="str">
            <v>C</v>
          </cell>
          <cell r="J585" t="str">
            <v>CS01/7</v>
          </cell>
          <cell r="K585">
            <v>60040186</v>
          </cell>
          <cell r="L585">
            <v>70</v>
          </cell>
          <cell r="M585" t="str">
            <v>E1-ND-06-TSA-0359</v>
          </cell>
        </row>
        <row r="586">
          <cell r="A586">
            <v>60040592</v>
          </cell>
          <cell r="C586">
            <v>60040592</v>
          </cell>
          <cell r="E586" t="str">
            <v>CR</v>
          </cell>
          <cell r="F586" t="str">
            <v>SPCC-SD</v>
          </cell>
          <cell r="G586">
            <v>0.7</v>
          </cell>
          <cell r="H586">
            <v>260</v>
          </cell>
          <cell r="I586" t="str">
            <v>C</v>
          </cell>
          <cell r="J586" t="str">
            <v>WIP</v>
          </cell>
          <cell r="K586">
            <v>60040592</v>
          </cell>
          <cell r="L586">
            <v>266</v>
          </cell>
        </row>
        <row r="587">
          <cell r="A587">
            <v>60041069</v>
          </cell>
          <cell r="C587">
            <v>60041069</v>
          </cell>
          <cell r="E587" t="str">
            <v>CR</v>
          </cell>
          <cell r="F587" t="str">
            <v>SPCC-SD</v>
          </cell>
          <cell r="G587">
            <v>3</v>
          </cell>
          <cell r="H587">
            <v>78</v>
          </cell>
          <cell r="I587" t="str">
            <v>C</v>
          </cell>
          <cell r="J587" t="str">
            <v>CS01/12</v>
          </cell>
          <cell r="K587">
            <v>60041069</v>
          </cell>
          <cell r="L587">
            <v>208</v>
          </cell>
        </row>
        <row r="588">
          <cell r="A588">
            <v>60041098</v>
          </cell>
          <cell r="C588">
            <v>60041098</v>
          </cell>
          <cell r="E588" t="str">
            <v>CR</v>
          </cell>
          <cell r="F588" t="str">
            <v>SPCC-SD</v>
          </cell>
          <cell r="G588">
            <v>0.5</v>
          </cell>
          <cell r="H588">
            <v>103</v>
          </cell>
          <cell r="I588" t="str">
            <v>C</v>
          </cell>
          <cell r="J588" t="str">
            <v>WIP</v>
          </cell>
          <cell r="K588">
            <v>60041098</v>
          </cell>
          <cell r="L588">
            <v>385</v>
          </cell>
        </row>
        <row r="589">
          <cell r="A589">
            <v>60041099</v>
          </cell>
          <cell r="C589">
            <v>60041099</v>
          </cell>
          <cell r="E589" t="str">
            <v>CR</v>
          </cell>
          <cell r="F589" t="str">
            <v>SPCC-SD</v>
          </cell>
          <cell r="G589">
            <v>0.5</v>
          </cell>
          <cell r="H589">
            <v>103</v>
          </cell>
          <cell r="I589" t="str">
            <v>C</v>
          </cell>
          <cell r="J589" t="str">
            <v>WIP</v>
          </cell>
          <cell r="K589">
            <v>60041099</v>
          </cell>
          <cell r="L589">
            <v>385</v>
          </cell>
        </row>
        <row r="590">
          <cell r="A590">
            <v>60041123</v>
          </cell>
          <cell r="C590">
            <v>60041123</v>
          </cell>
          <cell r="E590" t="str">
            <v>CR</v>
          </cell>
          <cell r="F590" t="str">
            <v>SPCC-SD</v>
          </cell>
          <cell r="G590">
            <v>0.5</v>
          </cell>
          <cell r="H590">
            <v>70</v>
          </cell>
          <cell r="I590" t="str">
            <v>C</v>
          </cell>
          <cell r="J590" t="str">
            <v>WIP</v>
          </cell>
          <cell r="K590">
            <v>60041123</v>
          </cell>
          <cell r="L590">
            <v>206</v>
          </cell>
        </row>
        <row r="591">
          <cell r="A591">
            <v>60041304</v>
          </cell>
          <cell r="C591">
            <v>60041304</v>
          </cell>
          <cell r="E591" t="str">
            <v>CR</v>
          </cell>
          <cell r="F591" t="str">
            <v>SPCC-SD</v>
          </cell>
          <cell r="G591">
            <v>0.5</v>
          </cell>
          <cell r="H591">
            <v>128</v>
          </cell>
          <cell r="I591" t="str">
            <v>C</v>
          </cell>
          <cell r="J591" t="str">
            <v>WIP</v>
          </cell>
          <cell r="K591">
            <v>60041304</v>
          </cell>
          <cell r="L591">
            <v>1027</v>
          </cell>
        </row>
        <row r="592">
          <cell r="A592">
            <v>60041312</v>
          </cell>
          <cell r="C592">
            <v>60041312</v>
          </cell>
          <cell r="E592" t="str">
            <v>CR</v>
          </cell>
          <cell r="F592" t="str">
            <v>SPCC-SD</v>
          </cell>
          <cell r="G592">
            <v>0.5</v>
          </cell>
          <cell r="H592">
            <v>372</v>
          </cell>
          <cell r="I592" t="str">
            <v>C</v>
          </cell>
          <cell r="J592" t="str">
            <v>WIP</v>
          </cell>
          <cell r="K592">
            <v>60041312</v>
          </cell>
          <cell r="L592">
            <v>619</v>
          </cell>
        </row>
        <row r="593">
          <cell r="A593">
            <v>60041378</v>
          </cell>
          <cell r="C593">
            <v>60041378</v>
          </cell>
          <cell r="E593" t="str">
            <v>CR</v>
          </cell>
          <cell r="F593" t="str">
            <v>SPCC-SD</v>
          </cell>
          <cell r="G593">
            <v>0.6</v>
          </cell>
          <cell r="H593">
            <v>128</v>
          </cell>
          <cell r="I593" t="str">
            <v>C</v>
          </cell>
          <cell r="J593" t="str">
            <v>WIP</v>
          </cell>
          <cell r="K593">
            <v>60041378</v>
          </cell>
          <cell r="L593">
            <v>300</v>
          </cell>
        </row>
        <row r="594">
          <cell r="A594">
            <v>60041510</v>
          </cell>
          <cell r="C594">
            <v>60041510</v>
          </cell>
          <cell r="E594" t="str">
            <v>CR</v>
          </cell>
          <cell r="F594" t="str">
            <v>SPCC-SD</v>
          </cell>
          <cell r="G594">
            <v>2.2999999999999998</v>
          </cell>
          <cell r="H594">
            <v>68</v>
          </cell>
          <cell r="I594" t="str">
            <v>C</v>
          </cell>
          <cell r="J594" t="str">
            <v>WIP</v>
          </cell>
          <cell r="K594">
            <v>60041510</v>
          </cell>
          <cell r="L594">
            <v>200</v>
          </cell>
        </row>
        <row r="595">
          <cell r="A595">
            <v>60041511</v>
          </cell>
          <cell r="C595">
            <v>60041511</v>
          </cell>
          <cell r="E595" t="str">
            <v>CR</v>
          </cell>
          <cell r="F595" t="str">
            <v>SPCC-SD</v>
          </cell>
          <cell r="G595">
            <v>2.2999999999999998</v>
          </cell>
          <cell r="H595">
            <v>68</v>
          </cell>
          <cell r="I595" t="str">
            <v>C</v>
          </cell>
          <cell r="J595" t="str">
            <v>WIP</v>
          </cell>
          <cell r="K595">
            <v>60041511</v>
          </cell>
          <cell r="L595">
            <v>198</v>
          </cell>
        </row>
        <row r="596">
          <cell r="A596">
            <v>60041520</v>
          </cell>
          <cell r="C596">
            <v>60041520</v>
          </cell>
          <cell r="E596" t="str">
            <v>CR</v>
          </cell>
          <cell r="F596" t="str">
            <v>SPCC-SD</v>
          </cell>
          <cell r="G596">
            <v>3</v>
          </cell>
          <cell r="H596">
            <v>78</v>
          </cell>
          <cell r="I596" t="str">
            <v>C</v>
          </cell>
          <cell r="J596" t="str">
            <v>CS01/12</v>
          </cell>
          <cell r="K596">
            <v>60041520</v>
          </cell>
          <cell r="L596">
            <v>314</v>
          </cell>
        </row>
        <row r="597">
          <cell r="A597">
            <v>60041569</v>
          </cell>
          <cell r="B597" t="str">
            <v>CR SPCC-SD 0.6x52xC</v>
          </cell>
          <cell r="C597">
            <v>60041569</v>
          </cell>
          <cell r="D597" t="str">
            <v>CR SPCC-SD</v>
          </cell>
          <cell r="E597" t="str">
            <v>CR</v>
          </cell>
          <cell r="F597" t="str">
            <v>SPCC-SD</v>
          </cell>
          <cell r="G597">
            <v>0.6</v>
          </cell>
          <cell r="H597">
            <v>52</v>
          </cell>
          <cell r="I597" t="str">
            <v>C</v>
          </cell>
          <cell r="J597" t="str">
            <v>CS01/6</v>
          </cell>
          <cell r="K597">
            <v>60041569</v>
          </cell>
          <cell r="L597">
            <v>157</v>
          </cell>
          <cell r="M597" t="str">
            <v>E1-ND-06-TSA-0359</v>
          </cell>
        </row>
        <row r="598">
          <cell r="A598">
            <v>60041570</v>
          </cell>
          <cell r="B598" t="str">
            <v>CR SPCC-SD 0.6x52xC</v>
          </cell>
          <cell r="C598">
            <v>60041570</v>
          </cell>
          <cell r="D598" t="str">
            <v>CR SPCC-SD</v>
          </cell>
          <cell r="E598" t="str">
            <v>CR</v>
          </cell>
          <cell r="F598" t="str">
            <v>SPCC-SD</v>
          </cell>
          <cell r="G598">
            <v>0.6</v>
          </cell>
          <cell r="H598">
            <v>52</v>
          </cell>
          <cell r="I598" t="str">
            <v>C</v>
          </cell>
          <cell r="J598" t="str">
            <v>CS01/6</v>
          </cell>
          <cell r="K598">
            <v>60041570</v>
          </cell>
          <cell r="L598">
            <v>159</v>
          </cell>
          <cell r="M598" t="str">
            <v>E1-ND-06-TSA-0359</v>
          </cell>
        </row>
        <row r="599">
          <cell r="A599">
            <v>60041571</v>
          </cell>
          <cell r="C599">
            <v>60041571</v>
          </cell>
          <cell r="E599" t="str">
            <v>CR</v>
          </cell>
          <cell r="F599" t="str">
            <v>SPCC-SD</v>
          </cell>
          <cell r="G599">
            <v>0.6</v>
          </cell>
          <cell r="H599">
            <v>128</v>
          </cell>
          <cell r="I599" t="str">
            <v>C</v>
          </cell>
          <cell r="J599" t="str">
            <v>WIP</v>
          </cell>
          <cell r="K599">
            <v>60041571</v>
          </cell>
          <cell r="L599">
            <v>549</v>
          </cell>
        </row>
        <row r="600">
          <cell r="A600">
            <v>60042294</v>
          </cell>
          <cell r="B600" t="str">
            <v>CR SPCC-SD 1.2x90xC</v>
          </cell>
          <cell r="C600">
            <v>60042294</v>
          </cell>
          <cell r="D600" t="str">
            <v>CR SPCC-SD</v>
          </cell>
          <cell r="E600" t="str">
            <v>CR</v>
          </cell>
          <cell r="F600" t="str">
            <v>SPCC-SD</v>
          </cell>
          <cell r="G600">
            <v>1.2</v>
          </cell>
          <cell r="H600">
            <v>90</v>
          </cell>
          <cell r="I600" t="str">
            <v>C</v>
          </cell>
          <cell r="J600" t="str">
            <v>CS01/12</v>
          </cell>
          <cell r="K600">
            <v>60042294</v>
          </cell>
          <cell r="L600">
            <v>168</v>
          </cell>
          <cell r="M600" t="str">
            <v>E1-NJ-06-TSA-0377</v>
          </cell>
        </row>
        <row r="601">
          <cell r="A601">
            <v>60042300</v>
          </cell>
          <cell r="B601" t="str">
            <v>CR SPCC-SD 0.6x83xC</v>
          </cell>
          <cell r="C601">
            <v>60042300</v>
          </cell>
          <cell r="D601" t="str">
            <v>CR SPCC-SD</v>
          </cell>
          <cell r="E601" t="str">
            <v>CR</v>
          </cell>
          <cell r="F601" t="str">
            <v>SPCC-SD</v>
          </cell>
          <cell r="G601">
            <v>0.6</v>
          </cell>
          <cell r="H601">
            <v>83</v>
          </cell>
          <cell r="I601" t="str">
            <v>C</v>
          </cell>
          <cell r="J601" t="str">
            <v>CS01/12</v>
          </cell>
          <cell r="K601">
            <v>60042300</v>
          </cell>
          <cell r="L601">
            <v>650</v>
          </cell>
          <cell r="M601" t="str">
            <v>E1-ND-06-TSA-0359</v>
          </cell>
        </row>
        <row r="602">
          <cell r="A602">
            <v>60042453</v>
          </cell>
          <cell r="B602" t="str">
            <v>CR SPCC-SD 0.6x52xC</v>
          </cell>
          <cell r="C602">
            <v>60042453</v>
          </cell>
          <cell r="D602" t="str">
            <v>CR SPCC-SD</v>
          </cell>
          <cell r="E602" t="str">
            <v>CR</v>
          </cell>
          <cell r="F602" t="str">
            <v>SPCC-SD</v>
          </cell>
          <cell r="G602">
            <v>0.6</v>
          </cell>
          <cell r="H602">
            <v>52</v>
          </cell>
          <cell r="I602" t="str">
            <v>C</v>
          </cell>
          <cell r="J602" t="str">
            <v>CS01/5</v>
          </cell>
          <cell r="K602">
            <v>60042453</v>
          </cell>
          <cell r="L602">
            <v>98</v>
          </cell>
          <cell r="M602" t="str">
            <v>E1-ND-06-TSA-0359</v>
          </cell>
        </row>
        <row r="603">
          <cell r="A603">
            <v>60042454</v>
          </cell>
          <cell r="B603" t="str">
            <v>CR SPCC-SD 0.6x52xC</v>
          </cell>
          <cell r="C603">
            <v>60042454</v>
          </cell>
          <cell r="D603" t="str">
            <v>CR SPCC-SD</v>
          </cell>
          <cell r="E603" t="str">
            <v>CR</v>
          </cell>
          <cell r="F603" t="str">
            <v>SPCC-SD</v>
          </cell>
          <cell r="G603">
            <v>0.6</v>
          </cell>
          <cell r="H603">
            <v>52</v>
          </cell>
          <cell r="I603" t="str">
            <v>C</v>
          </cell>
          <cell r="J603" t="str">
            <v>CS01/5</v>
          </cell>
          <cell r="K603">
            <v>60042454</v>
          </cell>
          <cell r="L603">
            <v>97</v>
          </cell>
          <cell r="M603" t="str">
            <v>E1-ND-06-TSA-0359</v>
          </cell>
        </row>
        <row r="604">
          <cell r="A604">
            <v>60042584</v>
          </cell>
          <cell r="B604" t="str">
            <v>CR SPCC-SD 0.6x52xC</v>
          </cell>
          <cell r="C604">
            <v>60042584</v>
          </cell>
          <cell r="D604" t="str">
            <v>CR SPCC-SD</v>
          </cell>
          <cell r="E604" t="str">
            <v>CR</v>
          </cell>
          <cell r="F604" t="str">
            <v>SPCC-SD</v>
          </cell>
          <cell r="G604">
            <v>0.6</v>
          </cell>
          <cell r="H604">
            <v>52</v>
          </cell>
          <cell r="I604" t="str">
            <v>C</v>
          </cell>
          <cell r="J604" t="str">
            <v>CS01/12</v>
          </cell>
          <cell r="K604">
            <v>60042584</v>
          </cell>
          <cell r="L604">
            <v>382</v>
          </cell>
          <cell r="M604" t="str">
            <v>E1-ND-06-TSA-0359</v>
          </cell>
        </row>
        <row r="605">
          <cell r="A605">
            <v>60042585</v>
          </cell>
          <cell r="B605" t="str">
            <v>CR SPCC-SD 0.6x52xC</v>
          </cell>
          <cell r="C605">
            <v>60042585</v>
          </cell>
          <cell r="D605" t="str">
            <v>CR SPCC-SD</v>
          </cell>
          <cell r="E605" t="str">
            <v>CR</v>
          </cell>
          <cell r="F605" t="str">
            <v>SPCC-SD</v>
          </cell>
          <cell r="G605">
            <v>0.6</v>
          </cell>
          <cell r="H605">
            <v>52</v>
          </cell>
          <cell r="I605" t="str">
            <v>C</v>
          </cell>
          <cell r="J605" t="str">
            <v>CS01/12</v>
          </cell>
          <cell r="K605">
            <v>60042585</v>
          </cell>
          <cell r="L605">
            <v>382</v>
          </cell>
          <cell r="M605" t="str">
            <v>E1-ND-06-TSA-0359</v>
          </cell>
        </row>
        <row r="606">
          <cell r="A606">
            <v>60042586</v>
          </cell>
          <cell r="B606" t="str">
            <v>CR SPCC-SD 0.6x52xC</v>
          </cell>
          <cell r="C606">
            <v>60042586</v>
          </cell>
          <cell r="D606" t="str">
            <v>CR SPCC-SD</v>
          </cell>
          <cell r="E606" t="str">
            <v>CR</v>
          </cell>
          <cell r="F606" t="str">
            <v>SPCC-SD</v>
          </cell>
          <cell r="G606">
            <v>0.6</v>
          </cell>
          <cell r="H606">
            <v>52</v>
          </cell>
          <cell r="I606" t="str">
            <v>C</v>
          </cell>
          <cell r="J606" t="str">
            <v>CS01/12</v>
          </cell>
          <cell r="K606">
            <v>60042586</v>
          </cell>
          <cell r="L606">
            <v>382</v>
          </cell>
          <cell r="M606" t="str">
            <v>E1-ND-06-TSA-0359</v>
          </cell>
        </row>
        <row r="607">
          <cell r="A607">
            <v>60042587</v>
          </cell>
          <cell r="B607" t="str">
            <v>CR SPCC-SD 0.6x52xC</v>
          </cell>
          <cell r="C607">
            <v>60042587</v>
          </cell>
          <cell r="D607" t="str">
            <v>CR SPCC-SD</v>
          </cell>
          <cell r="E607" t="str">
            <v>CR</v>
          </cell>
          <cell r="F607" t="str">
            <v>SPCC-SD</v>
          </cell>
          <cell r="G607">
            <v>0.6</v>
          </cell>
          <cell r="H607">
            <v>52</v>
          </cell>
          <cell r="I607" t="str">
            <v>C</v>
          </cell>
          <cell r="J607" t="str">
            <v>CS01/12</v>
          </cell>
          <cell r="K607">
            <v>60042587</v>
          </cell>
          <cell r="L607">
            <v>382</v>
          </cell>
          <cell r="M607" t="str">
            <v>E1-ND-06-TSA-0359</v>
          </cell>
        </row>
        <row r="608">
          <cell r="A608">
            <v>60042596</v>
          </cell>
          <cell r="B608" t="str">
            <v>CR SPCC-SD 0.6x52xC</v>
          </cell>
          <cell r="C608">
            <v>60042596</v>
          </cell>
          <cell r="D608" t="str">
            <v>CR SPCC-SD</v>
          </cell>
          <cell r="E608" t="str">
            <v>CR</v>
          </cell>
          <cell r="F608" t="str">
            <v>SPCC-SD</v>
          </cell>
          <cell r="G608">
            <v>0.6</v>
          </cell>
          <cell r="H608">
            <v>52</v>
          </cell>
          <cell r="I608" t="str">
            <v>C</v>
          </cell>
          <cell r="J608" t="str">
            <v>CS01/12</v>
          </cell>
          <cell r="K608">
            <v>60042596</v>
          </cell>
          <cell r="L608">
            <v>373</v>
          </cell>
          <cell r="M608" t="str">
            <v>E1-ND-06-TSA-0359</v>
          </cell>
        </row>
        <row r="609">
          <cell r="A609">
            <v>60042597</v>
          </cell>
          <cell r="B609" t="str">
            <v>CR SPCC-SD 0.6x52xC</v>
          </cell>
          <cell r="C609">
            <v>60042597</v>
          </cell>
          <cell r="D609" t="str">
            <v>CR SPCC-SD</v>
          </cell>
          <cell r="E609" t="str">
            <v>CR</v>
          </cell>
          <cell r="F609" t="str">
            <v>SPCC-SD</v>
          </cell>
          <cell r="G609">
            <v>0.6</v>
          </cell>
          <cell r="H609">
            <v>52</v>
          </cell>
          <cell r="I609" t="str">
            <v>C</v>
          </cell>
          <cell r="J609" t="str">
            <v>CS01/12</v>
          </cell>
          <cell r="K609">
            <v>60042597</v>
          </cell>
          <cell r="L609">
            <v>372</v>
          </cell>
          <cell r="M609" t="str">
            <v>E1-ND-06-TSA-0359</v>
          </cell>
        </row>
        <row r="610">
          <cell r="A610">
            <v>60042598</v>
          </cell>
          <cell r="B610" t="str">
            <v>CR SPCC-SD 0.6x52xC</v>
          </cell>
          <cell r="C610">
            <v>60042598</v>
          </cell>
          <cell r="D610" t="str">
            <v>CR SPCC-SD</v>
          </cell>
          <cell r="E610" t="str">
            <v>CR</v>
          </cell>
          <cell r="F610" t="str">
            <v>SPCC-SD</v>
          </cell>
          <cell r="G610">
            <v>0.6</v>
          </cell>
          <cell r="H610">
            <v>52</v>
          </cell>
          <cell r="I610" t="str">
            <v>C</v>
          </cell>
          <cell r="J610" t="str">
            <v>CS01/12</v>
          </cell>
          <cell r="K610">
            <v>60042598</v>
          </cell>
          <cell r="L610">
            <v>372</v>
          </cell>
          <cell r="M610" t="str">
            <v>E1-ND-06-TSA-0359</v>
          </cell>
        </row>
        <row r="611">
          <cell r="A611">
            <v>60042599</v>
          </cell>
          <cell r="B611" t="str">
            <v>CR SPCC-SD 0.6x52xC</v>
          </cell>
          <cell r="C611">
            <v>60042599</v>
          </cell>
          <cell r="D611" t="str">
            <v>CR SPCC-SD</v>
          </cell>
          <cell r="E611" t="str">
            <v>CR</v>
          </cell>
          <cell r="F611" t="str">
            <v>SPCC-SD</v>
          </cell>
          <cell r="G611">
            <v>0.6</v>
          </cell>
          <cell r="H611">
            <v>52</v>
          </cell>
          <cell r="I611" t="str">
            <v>C</v>
          </cell>
          <cell r="J611" t="str">
            <v>CS01/12</v>
          </cell>
          <cell r="K611">
            <v>60042599</v>
          </cell>
          <cell r="L611">
            <v>372</v>
          </cell>
          <cell r="M611" t="str">
            <v>E1-ND-06-TSA-0359</v>
          </cell>
        </row>
        <row r="612">
          <cell r="A612">
            <v>60042638</v>
          </cell>
          <cell r="B612" t="str">
            <v>CR SPCC-SD 0.6x48xC</v>
          </cell>
          <cell r="C612">
            <v>60042638</v>
          </cell>
          <cell r="D612" t="str">
            <v>CR SPCC-SD</v>
          </cell>
          <cell r="E612" t="str">
            <v>CR</v>
          </cell>
          <cell r="F612" t="str">
            <v>SPCC-SD</v>
          </cell>
          <cell r="G612">
            <v>0.6</v>
          </cell>
          <cell r="H612">
            <v>48</v>
          </cell>
          <cell r="I612" t="str">
            <v>C</v>
          </cell>
          <cell r="J612" t="str">
            <v>CS01/5</v>
          </cell>
          <cell r="K612">
            <v>60042638</v>
          </cell>
          <cell r="L612">
            <v>124</v>
          </cell>
          <cell r="M612" t="str">
            <v>E1-ND-06-TSA-0359</v>
          </cell>
        </row>
        <row r="613">
          <cell r="A613">
            <v>60042639</v>
          </cell>
          <cell r="B613" t="str">
            <v>CR SPCC-SD 0.6x48xC</v>
          </cell>
          <cell r="C613">
            <v>60042639</v>
          </cell>
          <cell r="D613" t="str">
            <v>CR SPCC-SD</v>
          </cell>
          <cell r="E613" t="str">
            <v>CR</v>
          </cell>
          <cell r="F613" t="str">
            <v>SPCC-SD</v>
          </cell>
          <cell r="G613">
            <v>0.6</v>
          </cell>
          <cell r="H613">
            <v>48</v>
          </cell>
          <cell r="I613" t="str">
            <v>C</v>
          </cell>
          <cell r="J613" t="str">
            <v>CS01/5</v>
          </cell>
          <cell r="K613">
            <v>60042639</v>
          </cell>
          <cell r="L613">
            <v>124</v>
          </cell>
          <cell r="M613" t="str">
            <v>E1-ND-06-TSA-0359</v>
          </cell>
        </row>
        <row r="614">
          <cell r="A614">
            <v>60042640</v>
          </cell>
          <cell r="B614" t="str">
            <v>CR SPCC-SD 0.6x48xC</v>
          </cell>
          <cell r="C614">
            <v>60042640</v>
          </cell>
          <cell r="D614" t="str">
            <v>CR SPCC-SD</v>
          </cell>
          <cell r="E614" t="str">
            <v>CR</v>
          </cell>
          <cell r="F614" t="str">
            <v>SPCC-SD</v>
          </cell>
          <cell r="G614">
            <v>0.6</v>
          </cell>
          <cell r="H614">
            <v>48</v>
          </cell>
          <cell r="I614" t="str">
            <v>C</v>
          </cell>
          <cell r="J614" t="str">
            <v>CS01/5</v>
          </cell>
          <cell r="K614">
            <v>60042640</v>
          </cell>
          <cell r="L614">
            <v>124</v>
          </cell>
          <cell r="M614" t="str">
            <v>E1-ND-06-TSA-0359</v>
          </cell>
        </row>
        <row r="615">
          <cell r="A615">
            <v>60042642</v>
          </cell>
          <cell r="C615">
            <v>60042642</v>
          </cell>
          <cell r="E615" t="str">
            <v>CR</v>
          </cell>
          <cell r="F615" t="str">
            <v>SPCC-SD</v>
          </cell>
          <cell r="G615">
            <v>0.8</v>
          </cell>
          <cell r="H615">
            <v>83</v>
          </cell>
          <cell r="I615" t="str">
            <v>C</v>
          </cell>
          <cell r="J615" t="str">
            <v>CS01/12</v>
          </cell>
          <cell r="K615">
            <v>60042642</v>
          </cell>
          <cell r="L615">
            <v>706</v>
          </cell>
        </row>
        <row r="616">
          <cell r="A616">
            <v>60042680</v>
          </cell>
          <cell r="C616">
            <v>60042680</v>
          </cell>
          <cell r="E616" t="str">
            <v>CR</v>
          </cell>
          <cell r="F616" t="str">
            <v>SPCC-SD</v>
          </cell>
          <cell r="G616">
            <v>0.8</v>
          </cell>
          <cell r="H616">
            <v>83</v>
          </cell>
          <cell r="I616" t="str">
            <v>C</v>
          </cell>
          <cell r="J616" t="str">
            <v>CS01/10</v>
          </cell>
          <cell r="K616">
            <v>60042680</v>
          </cell>
          <cell r="L616">
            <v>202</v>
          </cell>
        </row>
        <row r="617">
          <cell r="A617">
            <v>60042684</v>
          </cell>
          <cell r="C617">
            <v>60042684</v>
          </cell>
          <cell r="E617" t="str">
            <v>CR</v>
          </cell>
          <cell r="F617" t="str">
            <v>SPCC-SD</v>
          </cell>
          <cell r="G617">
            <v>0.8</v>
          </cell>
          <cell r="H617">
            <v>83</v>
          </cell>
          <cell r="I617" t="str">
            <v>C</v>
          </cell>
          <cell r="J617" t="str">
            <v>CS01/12</v>
          </cell>
          <cell r="K617">
            <v>60042684</v>
          </cell>
          <cell r="L617">
            <v>350</v>
          </cell>
        </row>
        <row r="618">
          <cell r="A618">
            <v>60042929</v>
          </cell>
          <cell r="C618">
            <v>60042929</v>
          </cell>
          <cell r="E618" t="str">
            <v>CR</v>
          </cell>
          <cell r="F618" t="str">
            <v>SPCC-SD</v>
          </cell>
          <cell r="G618">
            <v>3</v>
          </cell>
          <cell r="H618">
            <v>751</v>
          </cell>
          <cell r="I618" t="str">
            <v>C</v>
          </cell>
          <cell r="J618" t="str">
            <v>WIP</v>
          </cell>
          <cell r="K618">
            <v>60042929</v>
          </cell>
          <cell r="L618">
            <v>242</v>
          </cell>
        </row>
        <row r="619">
          <cell r="A619">
            <v>60043095</v>
          </cell>
          <cell r="C619">
            <v>60043095</v>
          </cell>
          <cell r="E619" t="str">
            <v>CR</v>
          </cell>
          <cell r="F619" t="str">
            <v>SPCC-SD</v>
          </cell>
          <cell r="G619">
            <v>3</v>
          </cell>
          <cell r="H619">
            <v>901</v>
          </cell>
          <cell r="I619" t="str">
            <v>C</v>
          </cell>
          <cell r="J619" t="str">
            <v>WIP</v>
          </cell>
          <cell r="K619">
            <v>60043095</v>
          </cell>
          <cell r="L619">
            <v>392</v>
          </cell>
        </row>
        <row r="620">
          <cell r="A620">
            <v>60043165</v>
          </cell>
          <cell r="B620" t="str">
            <v>CR SPCC-SD 1.0x60xC</v>
          </cell>
          <cell r="C620">
            <v>60043165</v>
          </cell>
          <cell r="D620" t="str">
            <v>CR SPCC-SD</v>
          </cell>
          <cell r="E620" t="str">
            <v>CR</v>
          </cell>
          <cell r="F620" t="str">
            <v>SPCC-SD</v>
          </cell>
          <cell r="G620">
            <v>1</v>
          </cell>
          <cell r="H620">
            <v>60</v>
          </cell>
          <cell r="I620" t="str">
            <v>C</v>
          </cell>
          <cell r="J620" t="str">
            <v>CS01/7</v>
          </cell>
          <cell r="K620">
            <v>60043165</v>
          </cell>
          <cell r="L620">
            <v>110</v>
          </cell>
          <cell r="M620" t="str">
            <v>E2-ND-06-TSA-0154</v>
          </cell>
        </row>
        <row r="621">
          <cell r="A621">
            <v>60043191</v>
          </cell>
          <cell r="C621">
            <v>60043191</v>
          </cell>
          <cell r="E621" t="str">
            <v>CR</v>
          </cell>
          <cell r="F621" t="str">
            <v>SPCC-SD</v>
          </cell>
          <cell r="G621">
            <v>3</v>
          </cell>
          <cell r="H621">
            <v>2687</v>
          </cell>
          <cell r="I621" t="str">
            <v>C</v>
          </cell>
          <cell r="J621" t="str">
            <v>WIP</v>
          </cell>
          <cell r="K621">
            <v>60043191</v>
          </cell>
          <cell r="L621">
            <v>1034</v>
          </cell>
        </row>
        <row r="622">
          <cell r="A622">
            <v>60043358</v>
          </cell>
          <cell r="B622" t="str">
            <v>CR SPCC-SD 0.6x83xC</v>
          </cell>
          <cell r="C622">
            <v>60043358</v>
          </cell>
          <cell r="D622" t="str">
            <v>CR SPCC-SD</v>
          </cell>
          <cell r="E622" t="str">
            <v>CR</v>
          </cell>
          <cell r="F622" t="str">
            <v>SPCC-SD</v>
          </cell>
          <cell r="G622">
            <v>0.6</v>
          </cell>
          <cell r="H622">
            <v>83</v>
          </cell>
          <cell r="I622" t="str">
            <v>C</v>
          </cell>
          <cell r="J622" t="str">
            <v>CS01/8</v>
          </cell>
          <cell r="K622">
            <v>60043358</v>
          </cell>
          <cell r="L622">
            <v>462</v>
          </cell>
          <cell r="M622" t="str">
            <v>E1-ND-06-TSA-0359</v>
          </cell>
        </row>
        <row r="623">
          <cell r="A623">
            <v>60043614</v>
          </cell>
          <cell r="C623">
            <v>60043614</v>
          </cell>
          <cell r="E623" t="str">
            <v>CR</v>
          </cell>
          <cell r="F623" t="str">
            <v>SPCEN-SD</v>
          </cell>
          <cell r="G623">
            <v>1.2</v>
          </cell>
          <cell r="H623">
            <v>60</v>
          </cell>
          <cell r="I623" t="str">
            <v>C</v>
          </cell>
          <cell r="J623" t="str">
            <v>CS01/12</v>
          </cell>
          <cell r="K623">
            <v>60043614</v>
          </cell>
          <cell r="L623">
            <v>436</v>
          </cell>
        </row>
        <row r="624">
          <cell r="A624">
            <v>60043616</v>
          </cell>
          <cell r="C624">
            <v>60043616</v>
          </cell>
          <cell r="E624" t="str">
            <v>CR</v>
          </cell>
          <cell r="F624" t="str">
            <v>SPCEN-SD</v>
          </cell>
          <cell r="G624">
            <v>1.2</v>
          </cell>
          <cell r="H624">
            <v>60</v>
          </cell>
          <cell r="I624" t="str">
            <v>C</v>
          </cell>
          <cell r="J624" t="str">
            <v>CS01/12</v>
          </cell>
          <cell r="K624">
            <v>60043616</v>
          </cell>
          <cell r="L624">
            <v>280</v>
          </cell>
        </row>
        <row r="625">
          <cell r="A625">
            <v>60043745</v>
          </cell>
          <cell r="B625" t="str">
            <v>CR SPCC-SD 0.6x83xC</v>
          </cell>
          <cell r="C625">
            <v>60043745</v>
          </cell>
          <cell r="D625" t="str">
            <v>CR SPCC-SD</v>
          </cell>
          <cell r="E625" t="str">
            <v>CR</v>
          </cell>
          <cell r="F625" t="str">
            <v>SPCC-SD</v>
          </cell>
          <cell r="G625">
            <v>0.6</v>
          </cell>
          <cell r="H625">
            <v>83</v>
          </cell>
          <cell r="I625" t="str">
            <v>C</v>
          </cell>
          <cell r="J625" t="str">
            <v>CS01/12</v>
          </cell>
          <cell r="K625">
            <v>60043745</v>
          </cell>
          <cell r="L625">
            <v>235</v>
          </cell>
          <cell r="M625" t="str">
            <v>E1-ND-06-TSA-0359</v>
          </cell>
        </row>
        <row r="626">
          <cell r="A626">
            <v>60043746</v>
          </cell>
          <cell r="B626" t="str">
            <v>CR SPCC-SD 0.6x83xC</v>
          </cell>
          <cell r="C626">
            <v>60043746</v>
          </cell>
          <cell r="D626" t="str">
            <v>CR SPCC-SD</v>
          </cell>
          <cell r="E626" t="str">
            <v>CR</v>
          </cell>
          <cell r="F626" t="str">
            <v>SPCC-SD</v>
          </cell>
          <cell r="G626">
            <v>0.6</v>
          </cell>
          <cell r="H626">
            <v>83</v>
          </cell>
          <cell r="I626" t="str">
            <v>C</v>
          </cell>
          <cell r="J626" t="str">
            <v>CS01/12</v>
          </cell>
          <cell r="K626">
            <v>60043746</v>
          </cell>
          <cell r="L626">
            <v>235</v>
          </cell>
          <cell r="M626" t="str">
            <v>E1-ND-06-TSA-0359</v>
          </cell>
        </row>
        <row r="627">
          <cell r="A627">
            <v>60043749</v>
          </cell>
          <cell r="B627" t="str">
            <v>CR SPCC-SD 0.6x83xC</v>
          </cell>
          <cell r="C627">
            <v>60043749</v>
          </cell>
          <cell r="D627" t="str">
            <v>CR SPCC-SD</v>
          </cell>
          <cell r="E627" t="str">
            <v>CR</v>
          </cell>
          <cell r="F627" t="str">
            <v>SPCC-SD</v>
          </cell>
          <cell r="G627">
            <v>0.6</v>
          </cell>
          <cell r="H627">
            <v>83</v>
          </cell>
          <cell r="I627" t="str">
            <v>C</v>
          </cell>
          <cell r="J627" t="str">
            <v>CS01/11</v>
          </cell>
          <cell r="K627">
            <v>60043749</v>
          </cell>
          <cell r="L627">
            <v>235</v>
          </cell>
          <cell r="M627" t="str">
            <v>E1-ND-06-TSA-0359</v>
          </cell>
        </row>
        <row r="628">
          <cell r="A628">
            <v>60043750</v>
          </cell>
          <cell r="B628" t="str">
            <v>CR SPCC-SD 0.6x52xC</v>
          </cell>
          <cell r="C628">
            <v>60043750</v>
          </cell>
          <cell r="D628" t="str">
            <v>CR SPCC-SD</v>
          </cell>
          <cell r="E628" t="str">
            <v>CR</v>
          </cell>
          <cell r="F628" t="str">
            <v>SPCC-SD</v>
          </cell>
          <cell r="G628">
            <v>0.6</v>
          </cell>
          <cell r="H628">
            <v>52</v>
          </cell>
          <cell r="I628" t="str">
            <v>C</v>
          </cell>
          <cell r="J628" t="str">
            <v>CS01/11</v>
          </cell>
          <cell r="K628">
            <v>60043750</v>
          </cell>
          <cell r="L628">
            <v>152</v>
          </cell>
          <cell r="M628" t="str">
            <v>E1-ND-06-TSA-0359</v>
          </cell>
        </row>
        <row r="629">
          <cell r="A629">
            <v>60043751</v>
          </cell>
          <cell r="B629" t="str">
            <v>CR SPCC-SD 0.6x52xC</v>
          </cell>
          <cell r="C629">
            <v>60043751</v>
          </cell>
          <cell r="D629" t="str">
            <v>CR SPCC-SD</v>
          </cell>
          <cell r="E629" t="str">
            <v>CR</v>
          </cell>
          <cell r="F629" t="str">
            <v>SPCC-SD</v>
          </cell>
          <cell r="G629">
            <v>0.6</v>
          </cell>
          <cell r="H629">
            <v>52</v>
          </cell>
          <cell r="I629" t="str">
            <v>C</v>
          </cell>
          <cell r="J629" t="str">
            <v>CS01/11</v>
          </cell>
          <cell r="K629">
            <v>60043751</v>
          </cell>
          <cell r="L629">
            <v>152</v>
          </cell>
          <cell r="M629" t="str">
            <v>E1-ND-06-TSA-0359</v>
          </cell>
        </row>
        <row r="630">
          <cell r="A630">
            <v>60043900</v>
          </cell>
          <cell r="C630">
            <v>60043900</v>
          </cell>
          <cell r="E630" t="str">
            <v>CR</v>
          </cell>
          <cell r="F630" t="str">
            <v>SPCC-SD</v>
          </cell>
          <cell r="G630">
            <v>2</v>
          </cell>
          <cell r="H630">
            <v>70</v>
          </cell>
          <cell r="I630" t="str">
            <v>C</v>
          </cell>
          <cell r="J630" t="str">
            <v>CS01/5</v>
          </cell>
          <cell r="K630">
            <v>60043900</v>
          </cell>
          <cell r="L630">
            <v>158</v>
          </cell>
        </row>
        <row r="631">
          <cell r="A631">
            <v>60044008</v>
          </cell>
          <cell r="B631" t="str">
            <v>CR SPCC-SD 0.6x83xC</v>
          </cell>
          <cell r="C631">
            <v>60044008</v>
          </cell>
          <cell r="D631" t="str">
            <v>CR SPCC-SD</v>
          </cell>
          <cell r="E631" t="str">
            <v>CR</v>
          </cell>
          <cell r="F631" t="str">
            <v>SPCC-SD</v>
          </cell>
          <cell r="G631">
            <v>0.6</v>
          </cell>
          <cell r="H631">
            <v>83</v>
          </cell>
          <cell r="I631" t="str">
            <v>C</v>
          </cell>
          <cell r="J631" t="str">
            <v>CS01/11</v>
          </cell>
          <cell r="K631">
            <v>60044008</v>
          </cell>
          <cell r="L631">
            <v>198</v>
          </cell>
          <cell r="M631" t="str">
            <v>E1-ND-06-TSA-0359</v>
          </cell>
        </row>
        <row r="632">
          <cell r="A632">
            <v>60044039</v>
          </cell>
          <cell r="B632" t="str">
            <v>CR SPCC-SD 0.6x79xC</v>
          </cell>
          <cell r="C632">
            <v>60044039</v>
          </cell>
          <cell r="D632" t="str">
            <v>CR SPCC-SD</v>
          </cell>
          <cell r="E632" t="str">
            <v>CR</v>
          </cell>
          <cell r="F632" t="str">
            <v>SPCC-SD</v>
          </cell>
          <cell r="G632">
            <v>0.6</v>
          </cell>
          <cell r="H632">
            <v>79</v>
          </cell>
          <cell r="I632" t="str">
            <v>C</v>
          </cell>
          <cell r="J632" t="str">
            <v>CS01/9</v>
          </cell>
          <cell r="K632">
            <v>60044039</v>
          </cell>
          <cell r="L632">
            <v>220</v>
          </cell>
          <cell r="M632" t="str">
            <v>E1-ND-06-TSA-0359</v>
          </cell>
        </row>
        <row r="633">
          <cell r="A633">
            <v>60044040</v>
          </cell>
          <cell r="B633" t="str">
            <v>CR SPCC-SD 0.6x79xC</v>
          </cell>
          <cell r="C633">
            <v>60044040</v>
          </cell>
          <cell r="D633" t="str">
            <v>CR SPCC-SD</v>
          </cell>
          <cell r="E633" t="str">
            <v>CR</v>
          </cell>
          <cell r="F633" t="str">
            <v>SPCC-SD</v>
          </cell>
          <cell r="G633">
            <v>0.6</v>
          </cell>
          <cell r="H633">
            <v>79</v>
          </cell>
          <cell r="I633" t="str">
            <v>C</v>
          </cell>
          <cell r="J633" t="str">
            <v>CS01/9</v>
          </cell>
          <cell r="K633">
            <v>60044040</v>
          </cell>
          <cell r="L633">
            <v>220</v>
          </cell>
          <cell r="M633" t="str">
            <v>E1-ND-06-TSA-0359</v>
          </cell>
        </row>
        <row r="634">
          <cell r="A634">
            <v>60044043</v>
          </cell>
          <cell r="B634" t="str">
            <v>CR SPCC-SD 0.6x79xC</v>
          </cell>
          <cell r="C634">
            <v>60044043</v>
          </cell>
          <cell r="D634" t="str">
            <v>CR SPCC-SD</v>
          </cell>
          <cell r="E634" t="str">
            <v>CR</v>
          </cell>
          <cell r="F634" t="str">
            <v>SPCC-SD</v>
          </cell>
          <cell r="G634">
            <v>0.6</v>
          </cell>
          <cell r="H634">
            <v>79</v>
          </cell>
          <cell r="I634" t="str">
            <v>C</v>
          </cell>
          <cell r="J634" t="str">
            <v>CS01/9</v>
          </cell>
          <cell r="K634">
            <v>60044043</v>
          </cell>
          <cell r="L634">
            <v>220</v>
          </cell>
          <cell r="M634" t="str">
            <v>E1-ND-06-TSA-0359</v>
          </cell>
        </row>
        <row r="635">
          <cell r="A635">
            <v>60044044</v>
          </cell>
          <cell r="B635" t="str">
            <v>CR SPCC-SD 0.6x79xC</v>
          </cell>
          <cell r="C635">
            <v>60044044</v>
          </cell>
          <cell r="D635" t="str">
            <v>CR SPCC-SD</v>
          </cell>
          <cell r="E635" t="str">
            <v>CR</v>
          </cell>
          <cell r="F635" t="str">
            <v>SPCC-SD</v>
          </cell>
          <cell r="G635">
            <v>0.6</v>
          </cell>
          <cell r="H635">
            <v>79</v>
          </cell>
          <cell r="I635" t="str">
            <v>C</v>
          </cell>
          <cell r="J635" t="str">
            <v>CS01/9</v>
          </cell>
          <cell r="K635">
            <v>60044044</v>
          </cell>
          <cell r="L635">
            <v>220</v>
          </cell>
          <cell r="M635" t="str">
            <v>E1-ND-06-TSA-0359</v>
          </cell>
        </row>
        <row r="636">
          <cell r="A636">
            <v>60044152</v>
          </cell>
          <cell r="C636">
            <v>60044152</v>
          </cell>
          <cell r="E636" t="str">
            <v>CR</v>
          </cell>
          <cell r="F636" t="str">
            <v>SPCC-SD</v>
          </cell>
          <cell r="G636">
            <v>0.8</v>
          </cell>
          <cell r="H636">
            <v>83</v>
          </cell>
          <cell r="I636" t="str">
            <v>C</v>
          </cell>
          <cell r="J636" t="str">
            <v>CS01/10</v>
          </cell>
          <cell r="K636">
            <v>60044152</v>
          </cell>
          <cell r="L636">
            <v>138</v>
          </cell>
        </row>
        <row r="637">
          <cell r="A637">
            <v>60044206</v>
          </cell>
          <cell r="B637" t="str">
            <v>CR SPCC-SD 0.6x79xC</v>
          </cell>
          <cell r="C637">
            <v>60044206</v>
          </cell>
          <cell r="D637" t="str">
            <v>CR SPCC-SD</v>
          </cell>
          <cell r="E637" t="str">
            <v>CR</v>
          </cell>
          <cell r="F637" t="str">
            <v>SPCC-SD</v>
          </cell>
          <cell r="G637">
            <v>0.6</v>
          </cell>
          <cell r="H637">
            <v>79</v>
          </cell>
          <cell r="I637" t="str">
            <v>C</v>
          </cell>
          <cell r="J637" t="str">
            <v>CS01/4</v>
          </cell>
          <cell r="K637">
            <v>60044206</v>
          </cell>
          <cell r="L637">
            <v>214</v>
          </cell>
          <cell r="M637" t="str">
            <v>E1-ND-06-TSA-0359</v>
          </cell>
        </row>
        <row r="638">
          <cell r="A638">
            <v>60044208</v>
          </cell>
          <cell r="B638" t="str">
            <v>CR SPCC-SD 0.6x79xC</v>
          </cell>
          <cell r="C638">
            <v>60044208</v>
          </cell>
          <cell r="D638" t="str">
            <v>CR SPCC-SD</v>
          </cell>
          <cell r="E638" t="str">
            <v>CR</v>
          </cell>
          <cell r="F638" t="str">
            <v>SPCC-SD</v>
          </cell>
          <cell r="G638">
            <v>0.6</v>
          </cell>
          <cell r="H638">
            <v>79</v>
          </cell>
          <cell r="I638" t="str">
            <v>C</v>
          </cell>
          <cell r="J638" t="str">
            <v>CS01/4</v>
          </cell>
          <cell r="K638">
            <v>60044208</v>
          </cell>
          <cell r="L638">
            <v>216</v>
          </cell>
          <cell r="M638" t="str">
            <v>E1-ND-06-TSA-0359</v>
          </cell>
        </row>
        <row r="639">
          <cell r="A639">
            <v>60045194</v>
          </cell>
          <cell r="C639">
            <v>60045194</v>
          </cell>
          <cell r="E639" t="str">
            <v>CR</v>
          </cell>
          <cell r="F639" t="str">
            <v>SPCC-SD</v>
          </cell>
          <cell r="G639">
            <v>3</v>
          </cell>
          <cell r="H639">
            <v>78</v>
          </cell>
          <cell r="I639" t="str">
            <v>C</v>
          </cell>
          <cell r="J639" t="str">
            <v>CS01/11</v>
          </cell>
          <cell r="K639">
            <v>60045194</v>
          </cell>
          <cell r="L639">
            <v>404</v>
          </cell>
        </row>
        <row r="640">
          <cell r="A640">
            <v>60045196</v>
          </cell>
          <cell r="C640">
            <v>60045196</v>
          </cell>
          <cell r="E640" t="str">
            <v>CR</v>
          </cell>
          <cell r="F640" t="str">
            <v>SPCC-SD</v>
          </cell>
          <cell r="G640">
            <v>3</v>
          </cell>
          <cell r="H640">
            <v>78</v>
          </cell>
          <cell r="I640" t="str">
            <v>C</v>
          </cell>
          <cell r="J640" t="str">
            <v>CS01/11</v>
          </cell>
          <cell r="K640">
            <v>60045196</v>
          </cell>
          <cell r="L640">
            <v>274</v>
          </cell>
        </row>
        <row r="641">
          <cell r="A641">
            <v>60045198</v>
          </cell>
          <cell r="C641">
            <v>60045198</v>
          </cell>
          <cell r="E641" t="str">
            <v>CR</v>
          </cell>
          <cell r="F641" t="str">
            <v>SPCC-SD</v>
          </cell>
          <cell r="G641">
            <v>3</v>
          </cell>
          <cell r="H641">
            <v>78</v>
          </cell>
          <cell r="I641" t="str">
            <v>C</v>
          </cell>
          <cell r="J641" t="str">
            <v>CS01/11</v>
          </cell>
          <cell r="K641">
            <v>60045198</v>
          </cell>
          <cell r="L641">
            <v>360</v>
          </cell>
        </row>
        <row r="642">
          <cell r="A642">
            <v>60045213</v>
          </cell>
          <cell r="C642">
            <v>60045213</v>
          </cell>
          <cell r="E642" t="str">
            <v>PO</v>
          </cell>
          <cell r="F642" t="str">
            <v>SPHC P/O</v>
          </cell>
          <cell r="G642">
            <v>4.5</v>
          </cell>
          <cell r="H642">
            <v>83</v>
          </cell>
          <cell r="I642" t="str">
            <v>C</v>
          </cell>
          <cell r="J642" t="str">
            <v>CS01/12</v>
          </cell>
          <cell r="K642">
            <v>60045213</v>
          </cell>
          <cell r="L642">
            <v>610</v>
          </cell>
        </row>
        <row r="643">
          <cell r="A643">
            <v>60045214</v>
          </cell>
          <cell r="C643">
            <v>60045214</v>
          </cell>
          <cell r="E643" t="str">
            <v>PO</v>
          </cell>
          <cell r="F643" t="str">
            <v>SPHC P/O</v>
          </cell>
          <cell r="G643">
            <v>4.5</v>
          </cell>
          <cell r="H643">
            <v>83</v>
          </cell>
          <cell r="I643" t="str">
            <v>C</v>
          </cell>
          <cell r="J643" t="str">
            <v>CS01/12</v>
          </cell>
          <cell r="K643">
            <v>60045214</v>
          </cell>
          <cell r="L643">
            <v>610</v>
          </cell>
        </row>
        <row r="644">
          <cell r="A644">
            <v>60045363</v>
          </cell>
          <cell r="C644">
            <v>60045363</v>
          </cell>
          <cell r="E644" t="str">
            <v>PO</v>
          </cell>
          <cell r="F644" t="str">
            <v>SPHC P/O</v>
          </cell>
          <cell r="G644">
            <v>6</v>
          </cell>
          <cell r="H644">
            <v>95</v>
          </cell>
          <cell r="I644" t="str">
            <v>C</v>
          </cell>
          <cell r="J644" t="str">
            <v>WIP</v>
          </cell>
          <cell r="K644">
            <v>60045363</v>
          </cell>
          <cell r="L644">
            <v>860</v>
          </cell>
        </row>
        <row r="645">
          <cell r="A645">
            <v>60045430</v>
          </cell>
          <cell r="C645">
            <v>60045430</v>
          </cell>
          <cell r="E645" t="str">
            <v>PO</v>
          </cell>
          <cell r="F645" t="str">
            <v>SAPH440 P/O</v>
          </cell>
          <cell r="G645">
            <v>2</v>
          </cell>
          <cell r="H645">
            <v>60</v>
          </cell>
          <cell r="I645" t="str">
            <v>C</v>
          </cell>
          <cell r="J645" t="str">
            <v>CS01/11</v>
          </cell>
          <cell r="K645">
            <v>60045430</v>
          </cell>
          <cell r="L645">
            <v>432</v>
          </cell>
        </row>
        <row r="646">
          <cell r="A646">
            <v>60045950</v>
          </cell>
          <cell r="C646">
            <v>60045950</v>
          </cell>
          <cell r="E646" t="str">
            <v>CR</v>
          </cell>
          <cell r="F646" t="str">
            <v>SPCC-SD</v>
          </cell>
          <cell r="G646">
            <v>0.6</v>
          </cell>
          <cell r="H646">
            <v>52</v>
          </cell>
          <cell r="I646" t="str">
            <v>C</v>
          </cell>
          <cell r="J646" t="str">
            <v>OW01/2</v>
          </cell>
          <cell r="K646">
            <v>60045950</v>
          </cell>
          <cell r="L646">
            <v>110</v>
          </cell>
        </row>
        <row r="647">
          <cell r="A647">
            <v>60046514</v>
          </cell>
          <cell r="C647">
            <v>60046514</v>
          </cell>
          <cell r="E647" t="str">
            <v>CR</v>
          </cell>
          <cell r="F647" t="str">
            <v>SPCC-SD</v>
          </cell>
          <cell r="G647">
            <v>3</v>
          </cell>
          <cell r="H647">
            <v>78</v>
          </cell>
          <cell r="I647" t="str">
            <v>C</v>
          </cell>
          <cell r="J647" t="str">
            <v>CS01/10</v>
          </cell>
          <cell r="K647">
            <v>60046514</v>
          </cell>
          <cell r="L647">
            <v>392</v>
          </cell>
        </row>
        <row r="648">
          <cell r="A648">
            <v>60046519</v>
          </cell>
          <cell r="C648">
            <v>60046519</v>
          </cell>
          <cell r="E648" t="str">
            <v>CR</v>
          </cell>
          <cell r="F648" t="str">
            <v>SPCC-SD</v>
          </cell>
          <cell r="G648">
            <v>3</v>
          </cell>
          <cell r="H648">
            <v>78</v>
          </cell>
          <cell r="I648" t="str">
            <v>C</v>
          </cell>
          <cell r="J648" t="str">
            <v>CS01/10</v>
          </cell>
          <cell r="K648">
            <v>60046519</v>
          </cell>
          <cell r="L648">
            <v>392</v>
          </cell>
        </row>
        <row r="649">
          <cell r="A649">
            <v>60046520</v>
          </cell>
          <cell r="C649">
            <v>60046520</v>
          </cell>
          <cell r="E649" t="str">
            <v>CR</v>
          </cell>
          <cell r="F649" t="str">
            <v>SPCC-SD</v>
          </cell>
          <cell r="G649">
            <v>3</v>
          </cell>
          <cell r="H649">
            <v>78</v>
          </cell>
          <cell r="I649" t="str">
            <v>C</v>
          </cell>
          <cell r="J649" t="str">
            <v>CS01/10</v>
          </cell>
          <cell r="K649">
            <v>60046520</v>
          </cell>
          <cell r="L649">
            <v>326</v>
          </cell>
        </row>
        <row r="650">
          <cell r="A650">
            <v>60046525</v>
          </cell>
          <cell r="C650">
            <v>60046525</v>
          </cell>
          <cell r="E650" t="str">
            <v>CR</v>
          </cell>
          <cell r="F650" t="str">
            <v>SPCC-SD</v>
          </cell>
          <cell r="G650">
            <v>3</v>
          </cell>
          <cell r="H650">
            <v>78</v>
          </cell>
          <cell r="I650" t="str">
            <v>C</v>
          </cell>
          <cell r="J650" t="str">
            <v>CS01/10</v>
          </cell>
          <cell r="K650">
            <v>60046525</v>
          </cell>
          <cell r="L650">
            <v>326</v>
          </cell>
        </row>
        <row r="651">
          <cell r="A651">
            <v>60046527</v>
          </cell>
          <cell r="C651">
            <v>60046527</v>
          </cell>
          <cell r="E651" t="str">
            <v>CR</v>
          </cell>
          <cell r="F651" t="str">
            <v>SPCC-SD</v>
          </cell>
          <cell r="G651">
            <v>3</v>
          </cell>
          <cell r="H651">
            <v>78</v>
          </cell>
          <cell r="I651" t="str">
            <v>C</v>
          </cell>
          <cell r="J651" t="str">
            <v>CS01/10</v>
          </cell>
          <cell r="K651">
            <v>60046527</v>
          </cell>
          <cell r="L651">
            <v>230</v>
          </cell>
        </row>
        <row r="652">
          <cell r="A652">
            <v>60046532</v>
          </cell>
          <cell r="C652">
            <v>60046532</v>
          </cell>
          <cell r="E652" t="str">
            <v>CR</v>
          </cell>
          <cell r="F652" t="str">
            <v>SPCC-SD</v>
          </cell>
          <cell r="G652">
            <v>3</v>
          </cell>
          <cell r="H652">
            <v>78</v>
          </cell>
          <cell r="I652" t="str">
            <v>C</v>
          </cell>
          <cell r="J652" t="str">
            <v>CS01/10</v>
          </cell>
          <cell r="K652">
            <v>60046532</v>
          </cell>
          <cell r="L652">
            <v>232</v>
          </cell>
        </row>
        <row r="653">
          <cell r="A653">
            <v>60046556</v>
          </cell>
          <cell r="B653" t="str">
            <v>CR SPCC-SD 1.6x77xC</v>
          </cell>
          <cell r="C653">
            <v>60046556</v>
          </cell>
          <cell r="D653" t="str">
            <v>CR SPCC-SD</v>
          </cell>
          <cell r="E653" t="str">
            <v>CR</v>
          </cell>
          <cell r="F653" t="str">
            <v>SPCC-SD</v>
          </cell>
          <cell r="G653">
            <v>1.6</v>
          </cell>
          <cell r="H653">
            <v>77</v>
          </cell>
          <cell r="I653" t="str">
            <v>C</v>
          </cell>
          <cell r="J653" t="str">
            <v>CS01/9</v>
          </cell>
          <cell r="K653">
            <v>60046556</v>
          </cell>
          <cell r="L653">
            <v>254</v>
          </cell>
          <cell r="M653" t="str">
            <v>E2-ND-06-TSA-0151</v>
          </cell>
        </row>
        <row r="654">
          <cell r="A654">
            <v>60046564</v>
          </cell>
          <cell r="C654">
            <v>60046564</v>
          </cell>
          <cell r="E654" t="str">
            <v>CR</v>
          </cell>
          <cell r="F654" t="str">
            <v>SPCC-SD</v>
          </cell>
          <cell r="G654">
            <v>3</v>
          </cell>
          <cell r="H654">
            <v>78</v>
          </cell>
          <cell r="I654" t="str">
            <v>C</v>
          </cell>
          <cell r="J654" t="str">
            <v>CS01/10</v>
          </cell>
          <cell r="K654">
            <v>60046564</v>
          </cell>
          <cell r="L654">
            <v>224</v>
          </cell>
        </row>
        <row r="655">
          <cell r="A655">
            <v>60046569</v>
          </cell>
          <cell r="C655">
            <v>60046569</v>
          </cell>
          <cell r="E655" t="str">
            <v>CR</v>
          </cell>
          <cell r="F655" t="str">
            <v>SPCC-SD</v>
          </cell>
          <cell r="G655">
            <v>3</v>
          </cell>
          <cell r="H655">
            <v>78</v>
          </cell>
          <cell r="I655" t="str">
            <v>C</v>
          </cell>
          <cell r="J655" t="str">
            <v>CS01/10</v>
          </cell>
          <cell r="K655">
            <v>60046569</v>
          </cell>
          <cell r="L655">
            <v>224</v>
          </cell>
        </row>
        <row r="656">
          <cell r="A656">
            <v>60046744</v>
          </cell>
          <cell r="C656">
            <v>60046744</v>
          </cell>
          <cell r="E656" t="str">
            <v>CR</v>
          </cell>
          <cell r="F656" t="str">
            <v>SPCC-SD</v>
          </cell>
          <cell r="G656">
            <v>3</v>
          </cell>
          <cell r="H656">
            <v>78</v>
          </cell>
          <cell r="I656" t="str">
            <v>C</v>
          </cell>
          <cell r="J656" t="str">
            <v>CS01/12</v>
          </cell>
          <cell r="K656">
            <v>60046744</v>
          </cell>
          <cell r="L656">
            <v>340</v>
          </cell>
        </row>
        <row r="657">
          <cell r="A657">
            <v>60047195</v>
          </cell>
          <cell r="B657" t="str">
            <v>CR SPCC-SD 0.6x48xC</v>
          </cell>
          <cell r="C657">
            <v>60047195</v>
          </cell>
          <cell r="D657" t="str">
            <v>CR SPCC-SD</v>
          </cell>
          <cell r="E657" t="str">
            <v>CR</v>
          </cell>
          <cell r="F657" t="str">
            <v>SPCC-SD</v>
          </cell>
          <cell r="G657">
            <v>0.6</v>
          </cell>
          <cell r="H657">
            <v>48</v>
          </cell>
          <cell r="I657" t="str">
            <v>C</v>
          </cell>
          <cell r="J657" t="str">
            <v>CS01/5</v>
          </cell>
          <cell r="K657">
            <v>60047195</v>
          </cell>
          <cell r="L657">
            <v>156</v>
          </cell>
          <cell r="M657" t="str">
            <v>E1-ND-06-TSA-0359</v>
          </cell>
        </row>
        <row r="658">
          <cell r="A658">
            <v>60047196</v>
          </cell>
          <cell r="B658" t="str">
            <v>CR SPCC-SD 0.6x48xC</v>
          </cell>
          <cell r="C658">
            <v>60047196</v>
          </cell>
          <cell r="D658" t="str">
            <v>CR SPCC-SD</v>
          </cell>
          <cell r="E658" t="str">
            <v>CR</v>
          </cell>
          <cell r="F658" t="str">
            <v>SPCC-SD</v>
          </cell>
          <cell r="G658">
            <v>0.6</v>
          </cell>
          <cell r="H658">
            <v>48</v>
          </cell>
          <cell r="I658" t="str">
            <v>C</v>
          </cell>
          <cell r="J658" t="str">
            <v>CS01/5</v>
          </cell>
          <cell r="K658">
            <v>60047196</v>
          </cell>
          <cell r="L658">
            <v>156</v>
          </cell>
          <cell r="M658" t="str">
            <v>E1-ND-06-TSA-0359</v>
          </cell>
        </row>
        <row r="659">
          <cell r="A659">
            <v>60047197</v>
          </cell>
          <cell r="B659" t="str">
            <v>CR SPCC-SD 0.6x48xC</v>
          </cell>
          <cell r="C659">
            <v>60047197</v>
          </cell>
          <cell r="D659" t="str">
            <v>CR SPCC-SD</v>
          </cell>
          <cell r="E659" t="str">
            <v>CR</v>
          </cell>
          <cell r="F659" t="str">
            <v>SPCC-SD</v>
          </cell>
          <cell r="G659">
            <v>0.6</v>
          </cell>
          <cell r="H659">
            <v>48</v>
          </cell>
          <cell r="I659" t="str">
            <v>C</v>
          </cell>
          <cell r="J659" t="str">
            <v>CS01/5</v>
          </cell>
          <cell r="K659">
            <v>60047197</v>
          </cell>
          <cell r="L659">
            <v>156</v>
          </cell>
          <cell r="M659" t="str">
            <v>E1-ND-06-TSA-0359</v>
          </cell>
        </row>
        <row r="660">
          <cell r="A660">
            <v>60047255</v>
          </cell>
          <cell r="B660" t="str">
            <v>CR SPCC-SD 0.6x83xC</v>
          </cell>
          <cell r="C660">
            <v>60047255</v>
          </cell>
          <cell r="D660" t="str">
            <v>CR SPCC-SD</v>
          </cell>
          <cell r="E660" t="str">
            <v>CR</v>
          </cell>
          <cell r="F660" t="str">
            <v>SPCC-SD</v>
          </cell>
          <cell r="G660">
            <v>0.6</v>
          </cell>
          <cell r="H660">
            <v>83</v>
          </cell>
          <cell r="I660" t="str">
            <v>C</v>
          </cell>
          <cell r="J660" t="str">
            <v>CS01/11</v>
          </cell>
          <cell r="K660">
            <v>60047255</v>
          </cell>
          <cell r="L660">
            <v>216</v>
          </cell>
          <cell r="M660" t="str">
            <v>E1-ND-06-TSA-0359</v>
          </cell>
        </row>
        <row r="661">
          <cell r="A661">
            <v>60047256</v>
          </cell>
          <cell r="B661" t="str">
            <v>CR SPCC-SD 0.6x83xC</v>
          </cell>
          <cell r="C661">
            <v>60047256</v>
          </cell>
          <cell r="D661" t="str">
            <v>CR SPCC-SD</v>
          </cell>
          <cell r="E661" t="str">
            <v>CR</v>
          </cell>
          <cell r="F661" t="str">
            <v>SPCC-SD</v>
          </cell>
          <cell r="G661">
            <v>0.6</v>
          </cell>
          <cell r="H661">
            <v>83</v>
          </cell>
          <cell r="I661" t="str">
            <v>C</v>
          </cell>
          <cell r="J661" t="str">
            <v>CS01/11</v>
          </cell>
          <cell r="K661">
            <v>60047256</v>
          </cell>
          <cell r="L661">
            <v>216</v>
          </cell>
          <cell r="M661" t="str">
            <v>E1-ND-06-TSA-0359</v>
          </cell>
        </row>
        <row r="662">
          <cell r="A662">
            <v>60047257</v>
          </cell>
          <cell r="B662" t="str">
            <v>CR SPCC-SD 0.6x52xC</v>
          </cell>
          <cell r="C662">
            <v>60047257</v>
          </cell>
          <cell r="D662" t="str">
            <v>CR SPCC-SD</v>
          </cell>
          <cell r="E662" t="str">
            <v>CR</v>
          </cell>
          <cell r="F662" t="str">
            <v>SPCC-SD</v>
          </cell>
          <cell r="G662">
            <v>0.6</v>
          </cell>
          <cell r="H662">
            <v>52</v>
          </cell>
          <cell r="I662" t="str">
            <v>C</v>
          </cell>
          <cell r="J662" t="str">
            <v>CS01/11</v>
          </cell>
          <cell r="K662">
            <v>60047257</v>
          </cell>
          <cell r="L662">
            <v>138</v>
          </cell>
          <cell r="M662" t="str">
            <v>E1-ND-06-TSA-0359</v>
          </cell>
        </row>
        <row r="663">
          <cell r="A663">
            <v>60047345</v>
          </cell>
          <cell r="B663" t="str">
            <v>CR SPCC-SD 0.6x83xC</v>
          </cell>
          <cell r="C663">
            <v>60047345</v>
          </cell>
          <cell r="D663" t="str">
            <v>CR SPCC-SD</v>
          </cell>
          <cell r="E663" t="str">
            <v>CR</v>
          </cell>
          <cell r="F663" t="str">
            <v>SPCC-SD</v>
          </cell>
          <cell r="G663">
            <v>0.6</v>
          </cell>
          <cell r="H663">
            <v>83</v>
          </cell>
          <cell r="I663" t="str">
            <v>C</v>
          </cell>
          <cell r="J663" t="str">
            <v>CS01/11</v>
          </cell>
          <cell r="K663">
            <v>60047345</v>
          </cell>
          <cell r="L663">
            <v>536</v>
          </cell>
          <cell r="M663" t="str">
            <v>E1-ND-06-TSA-0359</v>
          </cell>
        </row>
        <row r="664">
          <cell r="A664">
            <v>60047346</v>
          </cell>
          <cell r="B664" t="str">
            <v>CR SPCC-SD 0.6x83xC</v>
          </cell>
          <cell r="C664">
            <v>60047346</v>
          </cell>
          <cell r="D664" t="str">
            <v>CR SPCC-SD</v>
          </cell>
          <cell r="E664" t="str">
            <v>CR</v>
          </cell>
          <cell r="F664" t="str">
            <v>SPCC-SD</v>
          </cell>
          <cell r="G664">
            <v>0.6</v>
          </cell>
          <cell r="H664">
            <v>83</v>
          </cell>
          <cell r="I664" t="str">
            <v>C</v>
          </cell>
          <cell r="J664" t="str">
            <v>CS01/11</v>
          </cell>
          <cell r="K664">
            <v>60047346</v>
          </cell>
          <cell r="L664">
            <v>542</v>
          </cell>
          <cell r="M664" t="str">
            <v>E1-ND-06-TSA-0360</v>
          </cell>
        </row>
        <row r="665">
          <cell r="A665">
            <v>60047347</v>
          </cell>
          <cell r="B665" t="str">
            <v>CR SPCC-SD 0.6x83xC</v>
          </cell>
          <cell r="C665">
            <v>60047347</v>
          </cell>
          <cell r="D665" t="str">
            <v>CR SPCC-SD</v>
          </cell>
          <cell r="E665" t="str">
            <v>CR</v>
          </cell>
          <cell r="F665" t="str">
            <v>SPCC-SD</v>
          </cell>
          <cell r="G665">
            <v>0.6</v>
          </cell>
          <cell r="H665">
            <v>83</v>
          </cell>
          <cell r="I665" t="str">
            <v>C</v>
          </cell>
          <cell r="J665" t="str">
            <v>CS01/11</v>
          </cell>
          <cell r="K665">
            <v>60047347</v>
          </cell>
          <cell r="L665">
            <v>536</v>
          </cell>
          <cell r="M665" t="str">
            <v>E1-ND-06-TSA-0360</v>
          </cell>
        </row>
        <row r="666">
          <cell r="A666">
            <v>60047401</v>
          </cell>
          <cell r="B666" t="str">
            <v>CR SPCC-SD 0.6x83xC</v>
          </cell>
          <cell r="C666">
            <v>60047401</v>
          </cell>
          <cell r="D666" t="str">
            <v>CR SPCC-SD</v>
          </cell>
          <cell r="E666" t="str">
            <v>CR</v>
          </cell>
          <cell r="F666" t="str">
            <v>SPCC-SD</v>
          </cell>
          <cell r="G666">
            <v>0.6</v>
          </cell>
          <cell r="H666">
            <v>83</v>
          </cell>
          <cell r="I666" t="str">
            <v>C</v>
          </cell>
          <cell r="J666" t="str">
            <v>CS01/11</v>
          </cell>
          <cell r="K666">
            <v>60047401</v>
          </cell>
          <cell r="L666">
            <v>484</v>
          </cell>
          <cell r="M666" t="str">
            <v>E1-ND-06-TSA-0360</v>
          </cell>
        </row>
        <row r="667">
          <cell r="A667">
            <v>60047402</v>
          </cell>
          <cell r="B667" t="str">
            <v>CR SPCC-SD 0.6x83xC</v>
          </cell>
          <cell r="C667">
            <v>60047402</v>
          </cell>
          <cell r="D667" t="str">
            <v>CR SPCC-SD</v>
          </cell>
          <cell r="E667" t="str">
            <v>CR</v>
          </cell>
          <cell r="F667" t="str">
            <v>SPCC-SD</v>
          </cell>
          <cell r="G667">
            <v>0.6</v>
          </cell>
          <cell r="H667">
            <v>83</v>
          </cell>
          <cell r="I667" t="str">
            <v>C</v>
          </cell>
          <cell r="J667" t="str">
            <v>CS01/11</v>
          </cell>
          <cell r="K667">
            <v>60047402</v>
          </cell>
          <cell r="L667">
            <v>490</v>
          </cell>
          <cell r="M667" t="str">
            <v>E1-ND-06-TSA-0360</v>
          </cell>
        </row>
        <row r="668">
          <cell r="A668">
            <v>60047403</v>
          </cell>
          <cell r="B668" t="str">
            <v>CR SPCC-SD 0.6x83xC</v>
          </cell>
          <cell r="C668">
            <v>60047403</v>
          </cell>
          <cell r="D668" t="str">
            <v>CR SPCC-SD</v>
          </cell>
          <cell r="E668" t="str">
            <v>CR</v>
          </cell>
          <cell r="F668" t="str">
            <v>SPCC-SD</v>
          </cell>
          <cell r="G668">
            <v>0.6</v>
          </cell>
          <cell r="H668">
            <v>83</v>
          </cell>
          <cell r="I668" t="str">
            <v>C</v>
          </cell>
          <cell r="J668" t="str">
            <v>CS01/11</v>
          </cell>
          <cell r="K668">
            <v>60047403</v>
          </cell>
          <cell r="L668">
            <v>484</v>
          </cell>
          <cell r="M668" t="str">
            <v>E1-ND-06-TSA-0360</v>
          </cell>
        </row>
        <row r="669">
          <cell r="A669">
            <v>60047412</v>
          </cell>
          <cell r="B669" t="str">
            <v>CR SPCC-SD 0.6x83xC</v>
          </cell>
          <cell r="C669">
            <v>60047412</v>
          </cell>
          <cell r="D669" t="str">
            <v>CR SPCC-SD</v>
          </cell>
          <cell r="E669" t="str">
            <v>CR</v>
          </cell>
          <cell r="F669" t="str">
            <v>SPCC-SD</v>
          </cell>
          <cell r="G669">
            <v>0.6</v>
          </cell>
          <cell r="H669">
            <v>83</v>
          </cell>
          <cell r="I669" t="str">
            <v>C</v>
          </cell>
          <cell r="J669" t="str">
            <v>CS01/11</v>
          </cell>
          <cell r="K669">
            <v>60047412</v>
          </cell>
          <cell r="L669">
            <v>414</v>
          </cell>
          <cell r="M669" t="str">
            <v>E1-ND-06-TSA-0360</v>
          </cell>
        </row>
        <row r="670">
          <cell r="A670">
            <v>60047413</v>
          </cell>
          <cell r="B670" t="str">
            <v>CR SPCC-SD 0.6x83xC</v>
          </cell>
          <cell r="C670">
            <v>60047413</v>
          </cell>
          <cell r="D670" t="str">
            <v>CR SPCC-SD</v>
          </cell>
          <cell r="E670" t="str">
            <v>CR</v>
          </cell>
          <cell r="F670" t="str">
            <v>SPCC-SD</v>
          </cell>
          <cell r="G670">
            <v>0.6</v>
          </cell>
          <cell r="H670">
            <v>83</v>
          </cell>
          <cell r="I670" t="str">
            <v>C</v>
          </cell>
          <cell r="J670" t="str">
            <v>CS01/11</v>
          </cell>
          <cell r="K670">
            <v>60047413</v>
          </cell>
          <cell r="L670">
            <v>420</v>
          </cell>
          <cell r="M670" t="str">
            <v>E1-ND-06-TSA-0360</v>
          </cell>
        </row>
        <row r="671">
          <cell r="A671">
            <v>60047414</v>
          </cell>
          <cell r="B671" t="str">
            <v>CR SPCC-SD 0.6x83xC</v>
          </cell>
          <cell r="C671">
            <v>60047414</v>
          </cell>
          <cell r="D671" t="str">
            <v>CR SPCC-SD</v>
          </cell>
          <cell r="E671" t="str">
            <v>CR</v>
          </cell>
          <cell r="F671" t="str">
            <v>SPCC-SD</v>
          </cell>
          <cell r="G671">
            <v>0.6</v>
          </cell>
          <cell r="H671">
            <v>83</v>
          </cell>
          <cell r="I671" t="str">
            <v>C</v>
          </cell>
          <cell r="J671" t="str">
            <v>CS01/11</v>
          </cell>
          <cell r="K671">
            <v>60047414</v>
          </cell>
          <cell r="L671">
            <v>414</v>
          </cell>
          <cell r="M671" t="str">
            <v>E1-ND-06-TSA-0360</v>
          </cell>
        </row>
        <row r="672">
          <cell r="A672">
            <v>60047426</v>
          </cell>
          <cell r="B672" t="str">
            <v>CR SPCC-SD 0.6x83xC</v>
          </cell>
          <cell r="C672">
            <v>60047426</v>
          </cell>
          <cell r="D672" t="str">
            <v>CR SPCC-SD</v>
          </cell>
          <cell r="E672" t="str">
            <v>CR</v>
          </cell>
          <cell r="F672" t="str">
            <v>SPCC-SD</v>
          </cell>
          <cell r="G672">
            <v>0.6</v>
          </cell>
          <cell r="H672">
            <v>83</v>
          </cell>
          <cell r="I672" t="str">
            <v>C</v>
          </cell>
          <cell r="J672" t="str">
            <v>CS01/12</v>
          </cell>
          <cell r="K672">
            <v>60047426</v>
          </cell>
          <cell r="L672">
            <v>113</v>
          </cell>
          <cell r="M672" t="str">
            <v>E1-ND-06-TSA-0360</v>
          </cell>
        </row>
        <row r="673">
          <cell r="A673">
            <v>60047427</v>
          </cell>
          <cell r="B673" t="str">
            <v>CR SPCC-SD 0.6x52xC</v>
          </cell>
          <cell r="C673">
            <v>60047427</v>
          </cell>
          <cell r="D673" t="str">
            <v>CR SPCC-SD</v>
          </cell>
          <cell r="E673" t="str">
            <v>CR</v>
          </cell>
          <cell r="F673" t="str">
            <v>SPCC-SD</v>
          </cell>
          <cell r="G673">
            <v>0.6</v>
          </cell>
          <cell r="H673">
            <v>52</v>
          </cell>
          <cell r="I673" t="str">
            <v>C</v>
          </cell>
          <cell r="J673" t="str">
            <v>CS01/12</v>
          </cell>
          <cell r="K673">
            <v>60047427</v>
          </cell>
          <cell r="L673">
            <v>71</v>
          </cell>
          <cell r="M673" t="str">
            <v>E1-ND-06-TSA-0360</v>
          </cell>
        </row>
        <row r="674">
          <cell r="A674">
            <v>60047531</v>
          </cell>
          <cell r="B674" t="str">
            <v>CR SPCC-SD 0.6x83xC</v>
          </cell>
          <cell r="C674">
            <v>60047531</v>
          </cell>
          <cell r="D674" t="str">
            <v>CR SPCC-SD</v>
          </cell>
          <cell r="E674" t="str">
            <v>CR</v>
          </cell>
          <cell r="F674" t="str">
            <v>SPCC-SD</v>
          </cell>
          <cell r="G674">
            <v>0.6</v>
          </cell>
          <cell r="H674">
            <v>83</v>
          </cell>
          <cell r="I674" t="str">
            <v>C</v>
          </cell>
          <cell r="J674" t="str">
            <v>CS01/12</v>
          </cell>
          <cell r="K674">
            <v>60047531</v>
          </cell>
          <cell r="L674">
            <v>512</v>
          </cell>
          <cell r="M674" t="str">
            <v>E1-ND-06-TSA-0360</v>
          </cell>
        </row>
        <row r="675">
          <cell r="A675">
            <v>60047532</v>
          </cell>
          <cell r="B675" t="str">
            <v>CR SPCC-SD 0.6x83xC</v>
          </cell>
          <cell r="C675">
            <v>60047532</v>
          </cell>
          <cell r="D675" t="str">
            <v>CR SPCC-SD</v>
          </cell>
          <cell r="E675" t="str">
            <v>CR</v>
          </cell>
          <cell r="F675" t="str">
            <v>SPCC-SD</v>
          </cell>
          <cell r="G675">
            <v>0.6</v>
          </cell>
          <cell r="H675">
            <v>83</v>
          </cell>
          <cell r="I675" t="str">
            <v>C</v>
          </cell>
          <cell r="J675" t="str">
            <v>CS01/12</v>
          </cell>
          <cell r="K675">
            <v>60047532</v>
          </cell>
          <cell r="L675">
            <v>512</v>
          </cell>
          <cell r="M675" t="str">
            <v>E1-ND-06-TSA-0360</v>
          </cell>
        </row>
        <row r="676">
          <cell r="A676">
            <v>60047533</v>
          </cell>
          <cell r="B676" t="str">
            <v>CR SPCC-SD 0.6x52xC</v>
          </cell>
          <cell r="C676">
            <v>60047533</v>
          </cell>
          <cell r="D676" t="str">
            <v>CR SPCC-SD</v>
          </cell>
          <cell r="E676" t="str">
            <v>CR</v>
          </cell>
          <cell r="F676" t="str">
            <v>SPCC-SD</v>
          </cell>
          <cell r="G676">
            <v>0.6</v>
          </cell>
          <cell r="H676">
            <v>52</v>
          </cell>
          <cell r="I676" t="str">
            <v>C</v>
          </cell>
          <cell r="J676" t="str">
            <v>CS01/12</v>
          </cell>
          <cell r="K676">
            <v>60047533</v>
          </cell>
          <cell r="L676">
            <v>326</v>
          </cell>
          <cell r="M676" t="str">
            <v>E1-ND-06-TSA-0360</v>
          </cell>
        </row>
        <row r="677">
          <cell r="A677">
            <v>60047536</v>
          </cell>
          <cell r="B677" t="str">
            <v>CR SPCC-SD 0.6x83xC</v>
          </cell>
          <cell r="C677">
            <v>60047536</v>
          </cell>
          <cell r="D677" t="str">
            <v>CR SPCC-SD</v>
          </cell>
          <cell r="E677" t="str">
            <v>CR</v>
          </cell>
          <cell r="F677" t="str">
            <v>SPCC-SD</v>
          </cell>
          <cell r="G677">
            <v>0.6</v>
          </cell>
          <cell r="H677">
            <v>83</v>
          </cell>
          <cell r="I677" t="str">
            <v>C</v>
          </cell>
          <cell r="J677" t="str">
            <v>CS01/12</v>
          </cell>
          <cell r="K677">
            <v>60047536</v>
          </cell>
          <cell r="L677">
            <v>516</v>
          </cell>
          <cell r="M677" t="str">
            <v>E1-ND-06-TSA-0360</v>
          </cell>
        </row>
        <row r="678">
          <cell r="A678">
            <v>60047537</v>
          </cell>
          <cell r="B678" t="str">
            <v>CR SPCC-SD 0.6x83xC</v>
          </cell>
          <cell r="C678">
            <v>60047537</v>
          </cell>
          <cell r="D678" t="str">
            <v>CR SPCC-SD</v>
          </cell>
          <cell r="E678" t="str">
            <v>CR</v>
          </cell>
          <cell r="F678" t="str">
            <v>SPCC-SD</v>
          </cell>
          <cell r="G678">
            <v>0.6</v>
          </cell>
          <cell r="H678">
            <v>83</v>
          </cell>
          <cell r="I678" t="str">
            <v>C</v>
          </cell>
          <cell r="J678" t="str">
            <v>CS01/12</v>
          </cell>
          <cell r="K678">
            <v>60047537</v>
          </cell>
          <cell r="L678">
            <v>516</v>
          </cell>
          <cell r="M678" t="str">
            <v>E1-ND-06-TSA-0360</v>
          </cell>
        </row>
        <row r="679">
          <cell r="A679">
            <v>60047538</v>
          </cell>
          <cell r="B679" t="str">
            <v>CR SPCC-SD 0.6x52xC</v>
          </cell>
          <cell r="C679">
            <v>60047538</v>
          </cell>
          <cell r="D679" t="str">
            <v>CR SPCC-SD</v>
          </cell>
          <cell r="E679" t="str">
            <v>CR</v>
          </cell>
          <cell r="F679" t="str">
            <v>SPCC-SD</v>
          </cell>
          <cell r="G679">
            <v>0.6</v>
          </cell>
          <cell r="H679">
            <v>52</v>
          </cell>
          <cell r="I679" t="str">
            <v>C</v>
          </cell>
          <cell r="J679" t="str">
            <v>CS01/12</v>
          </cell>
          <cell r="K679">
            <v>60047538</v>
          </cell>
          <cell r="L679">
            <v>326</v>
          </cell>
          <cell r="M679" t="str">
            <v>E1-ND-06-TSA-0360</v>
          </cell>
        </row>
        <row r="680">
          <cell r="A680">
            <v>60047543</v>
          </cell>
          <cell r="B680" t="str">
            <v>CR SPCC-SD 0.6x52xC</v>
          </cell>
          <cell r="C680">
            <v>60047543</v>
          </cell>
          <cell r="D680" t="str">
            <v>CR SPCC-SD</v>
          </cell>
          <cell r="E680" t="str">
            <v>CR</v>
          </cell>
          <cell r="F680" t="str">
            <v>SPCC-SD</v>
          </cell>
          <cell r="G680">
            <v>0.6</v>
          </cell>
          <cell r="H680">
            <v>52</v>
          </cell>
          <cell r="I680" t="str">
            <v>C</v>
          </cell>
          <cell r="J680" t="str">
            <v>CS01/12</v>
          </cell>
          <cell r="K680">
            <v>60047543</v>
          </cell>
          <cell r="L680">
            <v>320</v>
          </cell>
          <cell r="M680" t="str">
            <v>E1-ND-06-TSA-0360</v>
          </cell>
        </row>
        <row r="681">
          <cell r="A681">
            <v>60047550</v>
          </cell>
          <cell r="B681" t="str">
            <v>CR SPCC-SD 0.6x83xC</v>
          </cell>
          <cell r="C681">
            <v>60047550</v>
          </cell>
          <cell r="D681" t="str">
            <v>CR SPCC-SD</v>
          </cell>
          <cell r="E681" t="str">
            <v>CR</v>
          </cell>
          <cell r="F681" t="str">
            <v>SPCC-SD</v>
          </cell>
          <cell r="G681">
            <v>0.6</v>
          </cell>
          <cell r="H681">
            <v>83</v>
          </cell>
          <cell r="I681" t="str">
            <v>C</v>
          </cell>
          <cell r="J681" t="str">
            <v>CS01/11</v>
          </cell>
          <cell r="K681">
            <v>60047550</v>
          </cell>
          <cell r="L681">
            <v>264</v>
          </cell>
          <cell r="M681" t="str">
            <v>E1-ND-06-TSA-0361</v>
          </cell>
        </row>
        <row r="682">
          <cell r="A682">
            <v>60047551</v>
          </cell>
          <cell r="B682" t="str">
            <v>CR SPCC-SD 0.6x83xC</v>
          </cell>
          <cell r="C682">
            <v>60047551</v>
          </cell>
          <cell r="D682" t="str">
            <v>CR SPCC-SD</v>
          </cell>
          <cell r="E682" t="str">
            <v>CR</v>
          </cell>
          <cell r="F682" t="str">
            <v>SPCC-SD</v>
          </cell>
          <cell r="G682">
            <v>0.6</v>
          </cell>
          <cell r="H682">
            <v>83</v>
          </cell>
          <cell r="I682" t="str">
            <v>C</v>
          </cell>
          <cell r="J682" t="str">
            <v>CS01/11</v>
          </cell>
          <cell r="K682">
            <v>60047551</v>
          </cell>
          <cell r="L682">
            <v>264</v>
          </cell>
          <cell r="M682" t="str">
            <v>E1-ND-06-TSA-0361</v>
          </cell>
        </row>
        <row r="683">
          <cell r="A683">
            <v>60047554</v>
          </cell>
          <cell r="B683" t="str">
            <v>CR SPCC-SD 0.6x83xC</v>
          </cell>
          <cell r="C683">
            <v>60047554</v>
          </cell>
          <cell r="D683" t="str">
            <v>CR SPCC-SD</v>
          </cell>
          <cell r="E683" t="str">
            <v>CR</v>
          </cell>
          <cell r="F683" t="str">
            <v>SPCC-SD</v>
          </cell>
          <cell r="G683">
            <v>0.6</v>
          </cell>
          <cell r="H683">
            <v>83</v>
          </cell>
          <cell r="I683" t="str">
            <v>C</v>
          </cell>
          <cell r="J683" t="str">
            <v>CS01/11</v>
          </cell>
          <cell r="K683">
            <v>60047554</v>
          </cell>
          <cell r="L683">
            <v>268</v>
          </cell>
          <cell r="M683" t="str">
            <v>E1-ND-06-TSA-0361</v>
          </cell>
        </row>
        <row r="684">
          <cell r="A684">
            <v>60047555</v>
          </cell>
          <cell r="B684" t="str">
            <v>CR SPCC-SD 0.6x83xC</v>
          </cell>
          <cell r="C684">
            <v>60047555</v>
          </cell>
          <cell r="D684" t="str">
            <v>CR SPCC-SD</v>
          </cell>
          <cell r="E684" t="str">
            <v>CR</v>
          </cell>
          <cell r="F684" t="str">
            <v>SPCC-SD</v>
          </cell>
          <cell r="G684">
            <v>0.6</v>
          </cell>
          <cell r="H684">
            <v>83</v>
          </cell>
          <cell r="I684" t="str">
            <v>C</v>
          </cell>
          <cell r="J684" t="str">
            <v>CS01/11</v>
          </cell>
          <cell r="K684">
            <v>60047555</v>
          </cell>
          <cell r="L684">
            <v>268</v>
          </cell>
          <cell r="M684" t="str">
            <v>E1-ND-06-TSA-0361</v>
          </cell>
        </row>
        <row r="685">
          <cell r="A685">
            <v>60047556</v>
          </cell>
          <cell r="B685" t="str">
            <v>CR SPCC-SD 0.6x52xC</v>
          </cell>
          <cell r="C685">
            <v>60047556</v>
          </cell>
          <cell r="D685" t="str">
            <v>CR SPCC-SD</v>
          </cell>
          <cell r="E685" t="str">
            <v>CR</v>
          </cell>
          <cell r="F685" t="str">
            <v>SPCC-SD</v>
          </cell>
          <cell r="G685">
            <v>0.6</v>
          </cell>
          <cell r="H685">
            <v>52</v>
          </cell>
          <cell r="I685" t="str">
            <v>C</v>
          </cell>
          <cell r="J685" t="str">
            <v>CS01/11</v>
          </cell>
          <cell r="K685">
            <v>60047556</v>
          </cell>
          <cell r="L685">
            <v>170</v>
          </cell>
          <cell r="M685" t="str">
            <v>E1-ND-06-TSA-0361</v>
          </cell>
        </row>
        <row r="686">
          <cell r="A686">
            <v>60047687</v>
          </cell>
          <cell r="B686" t="str">
            <v>CR SPCC-SD 1.6x77xC</v>
          </cell>
          <cell r="C686">
            <v>60047687</v>
          </cell>
          <cell r="D686" t="str">
            <v>CR SPCC-SD</v>
          </cell>
          <cell r="E686" t="str">
            <v>CR</v>
          </cell>
          <cell r="F686" t="str">
            <v>SPCC-SD</v>
          </cell>
          <cell r="G686">
            <v>1.6</v>
          </cell>
          <cell r="H686">
            <v>77</v>
          </cell>
          <cell r="I686" t="str">
            <v>C</v>
          </cell>
          <cell r="J686" t="str">
            <v>CS01/6</v>
          </cell>
          <cell r="K686">
            <v>60047687</v>
          </cell>
          <cell r="L686">
            <v>592</v>
          </cell>
          <cell r="M686" t="str">
            <v>E2-ND-06-TSA-0151</v>
          </cell>
        </row>
        <row r="687">
          <cell r="A687">
            <v>60047697</v>
          </cell>
          <cell r="C687">
            <v>60047697</v>
          </cell>
          <cell r="E687" t="str">
            <v>CR</v>
          </cell>
          <cell r="F687" t="str">
            <v>SPCC-SD</v>
          </cell>
          <cell r="G687">
            <v>1</v>
          </cell>
          <cell r="H687">
            <v>290</v>
          </cell>
          <cell r="I687" t="str">
            <v>C</v>
          </cell>
          <cell r="J687" t="str">
            <v>WIP</v>
          </cell>
          <cell r="K687">
            <v>60047697</v>
          </cell>
          <cell r="L687">
            <v>133</v>
          </cell>
        </row>
        <row r="688">
          <cell r="A688">
            <v>60047882</v>
          </cell>
          <cell r="B688" t="str">
            <v>CR SPCC-SD 0.6x52xC</v>
          </cell>
          <cell r="C688">
            <v>60047882</v>
          </cell>
          <cell r="D688" t="str">
            <v>CR SPCC-SD</v>
          </cell>
          <cell r="E688" t="str">
            <v>CR</v>
          </cell>
          <cell r="F688" t="str">
            <v>SPCC-SD</v>
          </cell>
          <cell r="G688">
            <v>0.6</v>
          </cell>
          <cell r="H688">
            <v>52</v>
          </cell>
          <cell r="I688" t="str">
            <v>C</v>
          </cell>
          <cell r="J688" t="str">
            <v>CS01/12</v>
          </cell>
          <cell r="K688">
            <v>60047882</v>
          </cell>
          <cell r="L688">
            <v>330</v>
          </cell>
          <cell r="M688" t="str">
            <v>E1-ND-06-TSA-0361</v>
          </cell>
        </row>
        <row r="689">
          <cell r="A689">
            <v>60047883</v>
          </cell>
          <cell r="B689" t="str">
            <v>CR SPCC-SD 0.6x52xC</v>
          </cell>
          <cell r="C689">
            <v>60047883</v>
          </cell>
          <cell r="D689" t="str">
            <v>CR SPCC-SD</v>
          </cell>
          <cell r="E689" t="str">
            <v>CR</v>
          </cell>
          <cell r="F689" t="str">
            <v>SPCC-SD</v>
          </cell>
          <cell r="G689">
            <v>0.6</v>
          </cell>
          <cell r="H689">
            <v>52</v>
          </cell>
          <cell r="I689" t="str">
            <v>C</v>
          </cell>
          <cell r="J689" t="str">
            <v>CS01/12</v>
          </cell>
          <cell r="K689">
            <v>60047883</v>
          </cell>
          <cell r="L689">
            <v>330</v>
          </cell>
          <cell r="M689" t="str">
            <v>E1-ND-06-TSA-0361</v>
          </cell>
        </row>
        <row r="690">
          <cell r="A690">
            <v>60047886</v>
          </cell>
          <cell r="B690" t="str">
            <v>CR SPCC-SD 0.6x52xC</v>
          </cell>
          <cell r="C690">
            <v>60047886</v>
          </cell>
          <cell r="D690" t="str">
            <v>CR SPCC-SD</v>
          </cell>
          <cell r="E690" t="str">
            <v>CR</v>
          </cell>
          <cell r="F690" t="str">
            <v>SPCC-SD</v>
          </cell>
          <cell r="G690">
            <v>0.6</v>
          </cell>
          <cell r="H690">
            <v>52</v>
          </cell>
          <cell r="I690" t="str">
            <v>C</v>
          </cell>
          <cell r="J690" t="str">
            <v>CS01/12</v>
          </cell>
          <cell r="K690">
            <v>60047886</v>
          </cell>
          <cell r="L690">
            <v>44</v>
          </cell>
          <cell r="M690" t="str">
            <v>E1-ND-06-TSA-0361</v>
          </cell>
        </row>
        <row r="691">
          <cell r="A691">
            <v>60047887</v>
          </cell>
          <cell r="B691" t="str">
            <v>CR SPCC-SD 0.6x52xC</v>
          </cell>
          <cell r="C691">
            <v>60047887</v>
          </cell>
          <cell r="D691" t="str">
            <v>CR SPCC-SD</v>
          </cell>
          <cell r="E691" t="str">
            <v>CR</v>
          </cell>
          <cell r="F691" t="str">
            <v>SPCC-SD</v>
          </cell>
          <cell r="G691">
            <v>0.6</v>
          </cell>
          <cell r="H691">
            <v>52</v>
          </cell>
          <cell r="I691" t="str">
            <v>C</v>
          </cell>
          <cell r="J691" t="str">
            <v>CS01/12</v>
          </cell>
          <cell r="K691">
            <v>60047887</v>
          </cell>
          <cell r="L691">
            <v>44</v>
          </cell>
          <cell r="M691" t="str">
            <v>E1-ND-06-TSA-0361</v>
          </cell>
        </row>
        <row r="692">
          <cell r="A692">
            <v>60047890</v>
          </cell>
          <cell r="B692" t="str">
            <v>CR SPCC-SD 0.6x52xC</v>
          </cell>
          <cell r="C692">
            <v>60047890</v>
          </cell>
          <cell r="D692" t="str">
            <v>CR SPCC-SD</v>
          </cell>
          <cell r="E692" t="str">
            <v>CR</v>
          </cell>
          <cell r="F692" t="str">
            <v>SPCC-SD</v>
          </cell>
          <cell r="G692">
            <v>0.6</v>
          </cell>
          <cell r="H692">
            <v>52</v>
          </cell>
          <cell r="I692" t="str">
            <v>C</v>
          </cell>
          <cell r="J692" t="str">
            <v>CS01/12</v>
          </cell>
          <cell r="K692">
            <v>60047890</v>
          </cell>
          <cell r="L692">
            <v>296</v>
          </cell>
          <cell r="M692" t="str">
            <v>E1-ND-06-TSA-0361</v>
          </cell>
        </row>
        <row r="693">
          <cell r="A693">
            <v>60047891</v>
          </cell>
          <cell r="B693" t="str">
            <v>CR SPCC-SD 0.6x52xC</v>
          </cell>
          <cell r="C693">
            <v>60047891</v>
          </cell>
          <cell r="D693" t="str">
            <v>CR SPCC-SD</v>
          </cell>
          <cell r="E693" t="str">
            <v>CR</v>
          </cell>
          <cell r="F693" t="str">
            <v>SPCC-SD</v>
          </cell>
          <cell r="G693">
            <v>0.6</v>
          </cell>
          <cell r="H693">
            <v>52</v>
          </cell>
          <cell r="I693" t="str">
            <v>C</v>
          </cell>
          <cell r="J693" t="str">
            <v>CS01/12</v>
          </cell>
          <cell r="K693">
            <v>60047891</v>
          </cell>
          <cell r="L693">
            <v>298</v>
          </cell>
          <cell r="M693" t="str">
            <v>E1-ND-06-TSA-0361</v>
          </cell>
        </row>
        <row r="694">
          <cell r="A694">
            <v>60048184</v>
          </cell>
          <cell r="B694" t="str">
            <v>CR SPCC-SD 1.6x77xC</v>
          </cell>
          <cell r="C694">
            <v>60048184</v>
          </cell>
          <cell r="D694" t="str">
            <v>CR SPCC-SD</v>
          </cell>
          <cell r="E694" t="str">
            <v>CR</v>
          </cell>
          <cell r="F694" t="str">
            <v>SPCC-SD</v>
          </cell>
          <cell r="G694">
            <v>1.6</v>
          </cell>
          <cell r="H694">
            <v>77</v>
          </cell>
          <cell r="I694" t="str">
            <v>C</v>
          </cell>
          <cell r="J694" t="str">
            <v>CS01/6</v>
          </cell>
          <cell r="K694">
            <v>60048184</v>
          </cell>
          <cell r="L694">
            <v>578</v>
          </cell>
          <cell r="M694" t="str">
            <v>E2-ND-06-TSA-0151</v>
          </cell>
        </row>
        <row r="695">
          <cell r="A695">
            <v>60048185</v>
          </cell>
          <cell r="B695" t="str">
            <v>CR SPCC-SD 1.6x77xC</v>
          </cell>
          <cell r="C695">
            <v>60048185</v>
          </cell>
          <cell r="D695" t="str">
            <v>CR SPCC-SD</v>
          </cell>
          <cell r="E695" t="str">
            <v>CR</v>
          </cell>
          <cell r="F695" t="str">
            <v>SPCC-SD</v>
          </cell>
          <cell r="G695">
            <v>1.6</v>
          </cell>
          <cell r="H695">
            <v>77</v>
          </cell>
          <cell r="I695" t="str">
            <v>C</v>
          </cell>
          <cell r="J695" t="str">
            <v>CS01/6</v>
          </cell>
          <cell r="K695">
            <v>60048185</v>
          </cell>
          <cell r="L695">
            <v>578</v>
          </cell>
          <cell r="M695" t="str">
            <v>E2-ND-06-TSA-0151</v>
          </cell>
        </row>
        <row r="696">
          <cell r="A696">
            <v>60048186</v>
          </cell>
          <cell r="B696" t="str">
            <v>CR SPCC-SD 1.6x67xC</v>
          </cell>
          <cell r="C696">
            <v>60048186</v>
          </cell>
          <cell r="D696" t="str">
            <v>CR SPCC-SD</v>
          </cell>
          <cell r="E696" t="str">
            <v>CR</v>
          </cell>
          <cell r="F696" t="str">
            <v>SPCC-SD</v>
          </cell>
          <cell r="G696">
            <v>1.6</v>
          </cell>
          <cell r="H696">
            <v>67</v>
          </cell>
          <cell r="I696" t="str">
            <v>C</v>
          </cell>
          <cell r="J696" t="str">
            <v>CS01/2</v>
          </cell>
          <cell r="K696">
            <v>60048186</v>
          </cell>
          <cell r="L696">
            <v>504</v>
          </cell>
          <cell r="M696" t="str">
            <v>E2-ND-06-TSA-0151</v>
          </cell>
        </row>
        <row r="697">
          <cell r="A697">
            <v>60048188</v>
          </cell>
          <cell r="B697" t="str">
            <v>CR SPCC-SD 1.6x77xC</v>
          </cell>
          <cell r="C697">
            <v>60048188</v>
          </cell>
          <cell r="D697" t="str">
            <v>CR SPCC-SD</v>
          </cell>
          <cell r="E697" t="str">
            <v>CR</v>
          </cell>
          <cell r="F697" t="str">
            <v>SPCC-SD</v>
          </cell>
          <cell r="G697">
            <v>1.6</v>
          </cell>
          <cell r="H697">
            <v>77</v>
          </cell>
          <cell r="I697" t="str">
            <v>C</v>
          </cell>
          <cell r="J697" t="str">
            <v>CS01/6</v>
          </cell>
          <cell r="K697">
            <v>60048188</v>
          </cell>
          <cell r="L697">
            <v>556</v>
          </cell>
          <cell r="M697" t="str">
            <v>E2-ND-06-TSA-0151</v>
          </cell>
        </row>
        <row r="698">
          <cell r="A698">
            <v>60048389</v>
          </cell>
          <cell r="C698">
            <v>60048389</v>
          </cell>
          <cell r="E698" t="str">
            <v>PO</v>
          </cell>
          <cell r="F698" t="str">
            <v>SPHC P/O</v>
          </cell>
          <cell r="G698">
            <v>2.2999999999999998</v>
          </cell>
          <cell r="H698">
            <v>72</v>
          </cell>
          <cell r="I698" t="str">
            <v>C</v>
          </cell>
          <cell r="J698" t="str">
            <v>CS01/11</v>
          </cell>
          <cell r="K698">
            <v>60048389</v>
          </cell>
          <cell r="L698">
            <v>130</v>
          </cell>
        </row>
        <row r="699">
          <cell r="A699">
            <v>60048639</v>
          </cell>
          <cell r="B699" t="str">
            <v>CR SPCC-SD 2.0x68xC</v>
          </cell>
          <cell r="C699">
            <v>60048639</v>
          </cell>
          <cell r="D699" t="str">
            <v>CR SPCC-SD</v>
          </cell>
          <cell r="E699" t="str">
            <v>CR</v>
          </cell>
          <cell r="F699" t="str">
            <v>SPCC-SD</v>
          </cell>
          <cell r="G699">
            <v>2</v>
          </cell>
          <cell r="H699">
            <v>68</v>
          </cell>
          <cell r="I699" t="str">
            <v>C</v>
          </cell>
          <cell r="J699" t="str">
            <v>CS01/7</v>
          </cell>
          <cell r="K699">
            <v>60048639</v>
          </cell>
          <cell r="L699">
            <v>349</v>
          </cell>
          <cell r="M699" t="str">
            <v>E2-ND-06-TSA-0152</v>
          </cell>
        </row>
        <row r="700">
          <cell r="A700">
            <v>60048686</v>
          </cell>
          <cell r="B700" t="str">
            <v>CR SPCEN-SD 1.2x70xC</v>
          </cell>
          <cell r="C700">
            <v>60048686</v>
          </cell>
          <cell r="D700" t="str">
            <v>CR SPCEN-SD</v>
          </cell>
          <cell r="E700" t="str">
            <v>CR</v>
          </cell>
          <cell r="F700" t="str">
            <v>SPCEN-SD</v>
          </cell>
          <cell r="G700">
            <v>1.2</v>
          </cell>
          <cell r="H700">
            <v>70</v>
          </cell>
          <cell r="I700" t="str">
            <v>C</v>
          </cell>
          <cell r="J700" t="str">
            <v>CS01/4</v>
          </cell>
          <cell r="K700">
            <v>60048686</v>
          </cell>
          <cell r="L700">
            <v>440</v>
          </cell>
          <cell r="M700" t="str">
            <v>E2-ND-06-TSA-0153</v>
          </cell>
        </row>
        <row r="701">
          <cell r="A701">
            <v>60048994</v>
          </cell>
          <cell r="C701">
            <v>60048994</v>
          </cell>
          <cell r="E701" t="str">
            <v>PO</v>
          </cell>
          <cell r="F701" t="str">
            <v>SPHC P/O</v>
          </cell>
          <cell r="G701">
            <v>2.2999999999999998</v>
          </cell>
          <cell r="H701">
            <v>72</v>
          </cell>
          <cell r="I701" t="str">
            <v>C</v>
          </cell>
          <cell r="J701" t="str">
            <v>CS01/11</v>
          </cell>
          <cell r="K701">
            <v>60048994</v>
          </cell>
          <cell r="L701">
            <v>126</v>
          </cell>
        </row>
        <row r="702">
          <cell r="A702">
            <v>60049259</v>
          </cell>
          <cell r="C702">
            <v>60049259</v>
          </cell>
          <cell r="E702" t="str">
            <v>CR</v>
          </cell>
          <cell r="F702" t="str">
            <v>SPCC-SD</v>
          </cell>
          <cell r="G702">
            <v>0.8</v>
          </cell>
          <cell r="H702">
            <v>80</v>
          </cell>
          <cell r="I702" t="str">
            <v>C</v>
          </cell>
          <cell r="J702" t="str">
            <v>CS01/10</v>
          </cell>
          <cell r="K702">
            <v>60049259</v>
          </cell>
          <cell r="L702">
            <v>80</v>
          </cell>
        </row>
        <row r="703">
          <cell r="A703">
            <v>60049479</v>
          </cell>
          <cell r="B703" t="str">
            <v>CR SPCC-SD 0.6x83xC</v>
          </cell>
          <cell r="C703">
            <v>60049479</v>
          </cell>
          <cell r="D703" t="str">
            <v>CR SPCC-SD</v>
          </cell>
          <cell r="E703" t="str">
            <v>CR</v>
          </cell>
          <cell r="F703" t="str">
            <v>SPCC-SD</v>
          </cell>
          <cell r="G703">
            <v>0.6</v>
          </cell>
          <cell r="H703">
            <v>83</v>
          </cell>
          <cell r="I703" t="str">
            <v>C</v>
          </cell>
          <cell r="J703" t="str">
            <v>CS01/10</v>
          </cell>
          <cell r="K703">
            <v>60049479</v>
          </cell>
          <cell r="L703">
            <v>370</v>
          </cell>
          <cell r="M703" t="str">
            <v>E1-ND-06-TSA-0361</v>
          </cell>
        </row>
        <row r="704">
          <cell r="A704">
            <v>60049480</v>
          </cell>
          <cell r="B704" t="str">
            <v>CR SPCC-SD 0.6x52xC</v>
          </cell>
          <cell r="C704">
            <v>60049480</v>
          </cell>
          <cell r="D704" t="str">
            <v>CR SPCC-SD</v>
          </cell>
          <cell r="E704" t="str">
            <v>CR</v>
          </cell>
          <cell r="F704" t="str">
            <v>SPCC-SD</v>
          </cell>
          <cell r="G704">
            <v>0.6</v>
          </cell>
          <cell r="H704">
            <v>52</v>
          </cell>
          <cell r="I704" t="str">
            <v>C</v>
          </cell>
          <cell r="J704" t="str">
            <v>CS01/10</v>
          </cell>
          <cell r="K704">
            <v>60049480</v>
          </cell>
          <cell r="L704">
            <v>230</v>
          </cell>
          <cell r="M704" t="str">
            <v>E1-ND-06-TSA-0361</v>
          </cell>
        </row>
        <row r="705">
          <cell r="A705">
            <v>60049481</v>
          </cell>
          <cell r="B705" t="str">
            <v>CR SPCC-SD 0.6x52xC</v>
          </cell>
          <cell r="C705">
            <v>60049481</v>
          </cell>
          <cell r="D705" t="str">
            <v>CR SPCC-SD</v>
          </cell>
          <cell r="E705" t="str">
            <v>CR</v>
          </cell>
          <cell r="F705" t="str">
            <v>SPCC-SD</v>
          </cell>
          <cell r="G705">
            <v>0.6</v>
          </cell>
          <cell r="H705">
            <v>52</v>
          </cell>
          <cell r="I705" t="str">
            <v>C</v>
          </cell>
          <cell r="J705" t="str">
            <v>CS01/10</v>
          </cell>
          <cell r="K705">
            <v>60049481</v>
          </cell>
          <cell r="L705">
            <v>230</v>
          </cell>
          <cell r="M705" t="str">
            <v>E1-ND-06-TSA-0361</v>
          </cell>
        </row>
        <row r="706">
          <cell r="A706">
            <v>60049482</v>
          </cell>
          <cell r="B706" t="str">
            <v>CR SPCC-SD 0.6x52xC</v>
          </cell>
          <cell r="C706">
            <v>60049482</v>
          </cell>
          <cell r="D706" t="str">
            <v>CR SPCC-SD</v>
          </cell>
          <cell r="E706" t="str">
            <v>CR</v>
          </cell>
          <cell r="F706" t="str">
            <v>SPCC-SD</v>
          </cell>
          <cell r="G706">
            <v>0.6</v>
          </cell>
          <cell r="H706">
            <v>52</v>
          </cell>
          <cell r="I706" t="str">
            <v>C</v>
          </cell>
          <cell r="J706" t="str">
            <v>CS01/10</v>
          </cell>
          <cell r="K706">
            <v>60049482</v>
          </cell>
          <cell r="L706">
            <v>230</v>
          </cell>
          <cell r="M706" t="str">
            <v>E1-ND-06-TSA-0361</v>
          </cell>
        </row>
        <row r="707">
          <cell r="A707">
            <v>60049485</v>
          </cell>
          <cell r="B707" t="str">
            <v>CR SPCC-SD 0.6x52xC</v>
          </cell>
          <cell r="C707">
            <v>60049485</v>
          </cell>
          <cell r="D707" t="str">
            <v>CR SPCC-SD</v>
          </cell>
          <cell r="E707" t="str">
            <v>CR</v>
          </cell>
          <cell r="F707" t="str">
            <v>SPCC-SD</v>
          </cell>
          <cell r="G707">
            <v>0.6</v>
          </cell>
          <cell r="H707">
            <v>52</v>
          </cell>
          <cell r="I707" t="str">
            <v>C</v>
          </cell>
          <cell r="J707" t="str">
            <v>CS01/10</v>
          </cell>
          <cell r="K707">
            <v>60049485</v>
          </cell>
          <cell r="L707">
            <v>214</v>
          </cell>
          <cell r="M707" t="str">
            <v>E1-ND-06-TSA-0361</v>
          </cell>
        </row>
        <row r="708">
          <cell r="A708">
            <v>60049486</v>
          </cell>
          <cell r="B708" t="str">
            <v>CR SPCC-SD 0.6x52xC</v>
          </cell>
          <cell r="C708">
            <v>60049486</v>
          </cell>
          <cell r="D708" t="str">
            <v>CR SPCC-SD</v>
          </cell>
          <cell r="E708" t="str">
            <v>CR</v>
          </cell>
          <cell r="F708" t="str">
            <v>SPCC-SD</v>
          </cell>
          <cell r="G708">
            <v>0.6</v>
          </cell>
          <cell r="H708">
            <v>52</v>
          </cell>
          <cell r="I708" t="str">
            <v>C</v>
          </cell>
          <cell r="J708" t="str">
            <v>CS01/10</v>
          </cell>
          <cell r="K708">
            <v>60049486</v>
          </cell>
          <cell r="L708">
            <v>214</v>
          </cell>
          <cell r="M708" t="str">
            <v>E1-ND-06-TSA-0361</v>
          </cell>
        </row>
        <row r="709">
          <cell r="A709">
            <v>60049537</v>
          </cell>
          <cell r="B709" t="str">
            <v>CR SPCC-SD 0.6x83xC</v>
          </cell>
          <cell r="C709">
            <v>60049537</v>
          </cell>
          <cell r="D709" t="str">
            <v>CR SPCC-SD</v>
          </cell>
          <cell r="E709" t="str">
            <v>CR</v>
          </cell>
          <cell r="F709" t="str">
            <v>SPCC-SD</v>
          </cell>
          <cell r="G709">
            <v>0.6</v>
          </cell>
          <cell r="H709">
            <v>83</v>
          </cell>
          <cell r="I709" t="str">
            <v>C</v>
          </cell>
          <cell r="J709" t="str">
            <v>CS01/11</v>
          </cell>
          <cell r="K709">
            <v>60049537</v>
          </cell>
          <cell r="L709">
            <v>448</v>
          </cell>
          <cell r="M709" t="str">
            <v>E1-ND-06-TSA-0361</v>
          </cell>
        </row>
        <row r="710">
          <cell r="A710">
            <v>60049538</v>
          </cell>
          <cell r="B710" t="str">
            <v>CR SPCC-SD 0.6x52xC</v>
          </cell>
          <cell r="C710">
            <v>60049538</v>
          </cell>
          <cell r="D710" t="str">
            <v>CR SPCC-SD</v>
          </cell>
          <cell r="E710" t="str">
            <v>CR</v>
          </cell>
          <cell r="F710" t="str">
            <v>SPCC-SD</v>
          </cell>
          <cell r="G710">
            <v>0.6</v>
          </cell>
          <cell r="H710">
            <v>52</v>
          </cell>
          <cell r="I710" t="str">
            <v>C</v>
          </cell>
          <cell r="J710" t="str">
            <v>CS01/11</v>
          </cell>
          <cell r="K710">
            <v>60049538</v>
          </cell>
          <cell r="L710">
            <v>282</v>
          </cell>
          <cell r="M710" t="str">
            <v>E1-ND-06-TSA-0361</v>
          </cell>
        </row>
        <row r="711">
          <cell r="A711">
            <v>60049547</v>
          </cell>
          <cell r="B711" t="str">
            <v>CR SPCC-SD 0.6x83xC</v>
          </cell>
          <cell r="C711">
            <v>60049547</v>
          </cell>
          <cell r="D711" t="str">
            <v>CR SPCC-SD</v>
          </cell>
          <cell r="E711" t="str">
            <v>CR</v>
          </cell>
          <cell r="F711" t="str">
            <v>SPCC-SD</v>
          </cell>
          <cell r="G711">
            <v>0.6</v>
          </cell>
          <cell r="H711">
            <v>83</v>
          </cell>
          <cell r="I711" t="str">
            <v>C</v>
          </cell>
          <cell r="J711" t="str">
            <v>CS01/10</v>
          </cell>
          <cell r="K711">
            <v>60049547</v>
          </cell>
          <cell r="L711">
            <v>272</v>
          </cell>
          <cell r="M711" t="str">
            <v>E1-ND-06-TSA-0361</v>
          </cell>
        </row>
        <row r="712">
          <cell r="A712">
            <v>60049550</v>
          </cell>
          <cell r="B712" t="str">
            <v>CR SPCC-SD 0.6x52xC</v>
          </cell>
          <cell r="C712">
            <v>60049550</v>
          </cell>
          <cell r="D712" t="str">
            <v>CR SPCC-SD</v>
          </cell>
          <cell r="E712" t="str">
            <v>CR</v>
          </cell>
          <cell r="F712" t="str">
            <v>SPCC-SD</v>
          </cell>
          <cell r="G712">
            <v>0.6</v>
          </cell>
          <cell r="H712">
            <v>52</v>
          </cell>
          <cell r="I712" t="str">
            <v>C</v>
          </cell>
          <cell r="J712" t="str">
            <v>CS01/10</v>
          </cell>
          <cell r="K712">
            <v>60049550</v>
          </cell>
          <cell r="L712">
            <v>130</v>
          </cell>
          <cell r="M712" t="str">
            <v>E1-ND-06-TSA-0361</v>
          </cell>
        </row>
        <row r="713">
          <cell r="A713">
            <v>60049551</v>
          </cell>
          <cell r="B713" t="str">
            <v>CR SPCC-SD 0.6x52xC</v>
          </cell>
          <cell r="C713">
            <v>60049551</v>
          </cell>
          <cell r="D713" t="str">
            <v>CR SPCC-SD</v>
          </cell>
          <cell r="E713" t="str">
            <v>CR</v>
          </cell>
          <cell r="F713" t="str">
            <v>SPCC-SD</v>
          </cell>
          <cell r="G713">
            <v>0.6</v>
          </cell>
          <cell r="H713">
            <v>52</v>
          </cell>
          <cell r="I713" t="str">
            <v>C</v>
          </cell>
          <cell r="J713" t="str">
            <v>CS01/10</v>
          </cell>
          <cell r="K713">
            <v>60049551</v>
          </cell>
          <cell r="L713">
            <v>134</v>
          </cell>
          <cell r="M713" t="str">
            <v>E1-ND-06-TSA-0361</v>
          </cell>
        </row>
        <row r="714">
          <cell r="A714">
            <v>60049554</v>
          </cell>
          <cell r="B714" t="str">
            <v>CR SPCC-SD 0.6x52xC</v>
          </cell>
          <cell r="C714">
            <v>60049554</v>
          </cell>
          <cell r="D714" t="str">
            <v>CR SPCC-SD</v>
          </cell>
          <cell r="E714" t="str">
            <v>CR</v>
          </cell>
          <cell r="F714" t="str">
            <v>SPCC-SD</v>
          </cell>
          <cell r="G714">
            <v>0.6</v>
          </cell>
          <cell r="H714">
            <v>52</v>
          </cell>
          <cell r="I714" t="str">
            <v>C</v>
          </cell>
          <cell r="J714" t="str">
            <v>CS01/10</v>
          </cell>
          <cell r="K714">
            <v>60049554</v>
          </cell>
          <cell r="L714">
            <v>106</v>
          </cell>
          <cell r="M714" t="str">
            <v>E1-ND-06-TSA-0361</v>
          </cell>
        </row>
        <row r="715">
          <cell r="A715">
            <v>60049555</v>
          </cell>
          <cell r="B715" t="str">
            <v>CR SPCC-SD 0.6x52xC</v>
          </cell>
          <cell r="C715">
            <v>60049555</v>
          </cell>
          <cell r="D715" t="str">
            <v>CR SPCC-SD</v>
          </cell>
          <cell r="E715" t="str">
            <v>CR</v>
          </cell>
          <cell r="F715" t="str">
            <v>SPCC-SD</v>
          </cell>
          <cell r="G715">
            <v>0.6</v>
          </cell>
          <cell r="H715">
            <v>52</v>
          </cell>
          <cell r="I715" t="str">
            <v>C</v>
          </cell>
          <cell r="J715" t="str">
            <v>CS01/10</v>
          </cell>
          <cell r="K715">
            <v>60049555</v>
          </cell>
          <cell r="L715">
            <v>104</v>
          </cell>
          <cell r="M715" t="str">
            <v>E1-ND-06-TSA-0361</v>
          </cell>
        </row>
        <row r="716">
          <cell r="A716">
            <v>60049558</v>
          </cell>
          <cell r="B716" t="str">
            <v>CR SPCC-SD 0.6x83xC</v>
          </cell>
          <cell r="C716">
            <v>60049558</v>
          </cell>
          <cell r="D716" t="str">
            <v>CR SPCC-SD</v>
          </cell>
          <cell r="E716" t="str">
            <v>CR</v>
          </cell>
          <cell r="F716" t="str">
            <v>SPCC-SD</v>
          </cell>
          <cell r="G716">
            <v>0.6</v>
          </cell>
          <cell r="H716">
            <v>83</v>
          </cell>
          <cell r="I716" t="str">
            <v>C</v>
          </cell>
          <cell r="J716" t="str">
            <v>CS01/2</v>
          </cell>
          <cell r="K716">
            <v>60049558</v>
          </cell>
          <cell r="L716">
            <v>338</v>
          </cell>
          <cell r="M716" t="str">
            <v>E1-ND-06-TSA-0361</v>
          </cell>
        </row>
        <row r="717">
          <cell r="A717">
            <v>60049559</v>
          </cell>
          <cell r="B717" t="str">
            <v>CR SPCC-SD 0.6x52xC</v>
          </cell>
          <cell r="C717">
            <v>60049559</v>
          </cell>
          <cell r="D717" t="str">
            <v>CR SPCC-SD</v>
          </cell>
          <cell r="E717" t="str">
            <v>CR</v>
          </cell>
          <cell r="F717" t="str">
            <v>SPCC-SD</v>
          </cell>
          <cell r="G717">
            <v>0.6</v>
          </cell>
          <cell r="H717">
            <v>52</v>
          </cell>
          <cell r="I717" t="str">
            <v>C</v>
          </cell>
          <cell r="J717" t="str">
            <v>CS01/2</v>
          </cell>
          <cell r="K717">
            <v>60049559</v>
          </cell>
          <cell r="L717">
            <v>212</v>
          </cell>
          <cell r="M717" t="str">
            <v>E1-ND-06-TSA-0361</v>
          </cell>
        </row>
        <row r="718">
          <cell r="A718">
            <v>60049560</v>
          </cell>
          <cell r="B718" t="str">
            <v>CR SPCC-SD 0.6x52xC</v>
          </cell>
          <cell r="C718">
            <v>60049560</v>
          </cell>
          <cell r="D718" t="str">
            <v>CR SPCC-SD</v>
          </cell>
          <cell r="E718" t="str">
            <v>CR</v>
          </cell>
          <cell r="F718" t="str">
            <v>SPCC-SD</v>
          </cell>
          <cell r="G718">
            <v>0.6</v>
          </cell>
          <cell r="H718">
            <v>52</v>
          </cell>
          <cell r="I718" t="str">
            <v>C</v>
          </cell>
          <cell r="J718" t="str">
            <v>CS01/2</v>
          </cell>
          <cell r="K718">
            <v>60049560</v>
          </cell>
          <cell r="L718">
            <v>212</v>
          </cell>
          <cell r="M718" t="str">
            <v>E1-ND-06-TSA-0361</v>
          </cell>
        </row>
        <row r="719">
          <cell r="A719">
            <v>60049561</v>
          </cell>
          <cell r="B719" t="str">
            <v>CR SPCC-SD 0.6x52xC</v>
          </cell>
          <cell r="C719">
            <v>60049561</v>
          </cell>
          <cell r="D719" t="str">
            <v>CR SPCC-SD</v>
          </cell>
          <cell r="E719" t="str">
            <v>CR</v>
          </cell>
          <cell r="F719" t="str">
            <v>SPCC-SD</v>
          </cell>
          <cell r="G719">
            <v>0.6</v>
          </cell>
          <cell r="H719">
            <v>52</v>
          </cell>
          <cell r="I719" t="str">
            <v>C</v>
          </cell>
          <cell r="J719" t="str">
            <v>CS01/2</v>
          </cell>
          <cell r="K719">
            <v>60049561</v>
          </cell>
          <cell r="L719">
            <v>212</v>
          </cell>
          <cell r="M719" t="str">
            <v>E1-ND-06-TSA-0361</v>
          </cell>
        </row>
        <row r="720">
          <cell r="A720">
            <v>60049564</v>
          </cell>
          <cell r="B720" t="str">
            <v>CR SPCC-SD 0.6x52xC</v>
          </cell>
          <cell r="C720">
            <v>60049564</v>
          </cell>
          <cell r="D720" t="str">
            <v>CR SPCC-SD</v>
          </cell>
          <cell r="E720" t="str">
            <v>CR</v>
          </cell>
          <cell r="F720" t="str">
            <v>SPCC-SD</v>
          </cell>
          <cell r="G720">
            <v>0.6</v>
          </cell>
          <cell r="H720">
            <v>52</v>
          </cell>
          <cell r="I720" t="str">
            <v>C</v>
          </cell>
          <cell r="J720" t="str">
            <v>CS01/2</v>
          </cell>
          <cell r="K720">
            <v>60049564</v>
          </cell>
          <cell r="L720">
            <v>202</v>
          </cell>
          <cell r="M720" t="str">
            <v>E1-ND-06-TSA-0361</v>
          </cell>
        </row>
        <row r="721">
          <cell r="A721">
            <v>60049565</v>
          </cell>
          <cell r="B721" t="str">
            <v>CR SPCC-SD 0.6x52xC</v>
          </cell>
          <cell r="C721">
            <v>60049565</v>
          </cell>
          <cell r="D721" t="str">
            <v>CR SPCC-SD</v>
          </cell>
          <cell r="E721" t="str">
            <v>CR</v>
          </cell>
          <cell r="F721" t="str">
            <v>SPCC-SD</v>
          </cell>
          <cell r="G721">
            <v>0.6</v>
          </cell>
          <cell r="H721">
            <v>52</v>
          </cell>
          <cell r="I721" t="str">
            <v>C</v>
          </cell>
          <cell r="J721" t="str">
            <v>CS01/2</v>
          </cell>
          <cell r="K721">
            <v>60049565</v>
          </cell>
          <cell r="L721">
            <v>202</v>
          </cell>
          <cell r="M721" t="str">
            <v>E1-ND-06-TSA-0361</v>
          </cell>
        </row>
        <row r="722">
          <cell r="A722">
            <v>60049612</v>
          </cell>
          <cell r="B722" t="str">
            <v>CR SPCC-SD 0.6x52xC</v>
          </cell>
          <cell r="C722">
            <v>60049612</v>
          </cell>
          <cell r="D722" t="str">
            <v>CR SPCC-SD</v>
          </cell>
          <cell r="E722" t="str">
            <v>CR</v>
          </cell>
          <cell r="F722" t="str">
            <v>SPCC-SD</v>
          </cell>
          <cell r="G722">
            <v>0.6</v>
          </cell>
          <cell r="H722">
            <v>52</v>
          </cell>
          <cell r="I722" t="str">
            <v>C</v>
          </cell>
          <cell r="J722" t="str">
            <v>CS01/12</v>
          </cell>
          <cell r="K722">
            <v>60049612</v>
          </cell>
          <cell r="L722">
            <v>284</v>
          </cell>
          <cell r="M722" t="str">
            <v>E1-ND-06-TSA-0361</v>
          </cell>
        </row>
        <row r="723">
          <cell r="A723">
            <v>60049615</v>
          </cell>
          <cell r="B723" t="str">
            <v>CR SPCC-SD 0.6x52xC</v>
          </cell>
          <cell r="C723">
            <v>60049615</v>
          </cell>
          <cell r="D723" t="str">
            <v>CR SPCC-SD</v>
          </cell>
          <cell r="E723" t="str">
            <v>CR</v>
          </cell>
          <cell r="F723" t="str">
            <v>SPCC-SD</v>
          </cell>
          <cell r="G723">
            <v>0.6</v>
          </cell>
          <cell r="H723">
            <v>52</v>
          </cell>
          <cell r="I723" t="str">
            <v>C</v>
          </cell>
          <cell r="J723" t="str">
            <v>CS01/12</v>
          </cell>
          <cell r="K723">
            <v>60049615</v>
          </cell>
          <cell r="L723">
            <v>128</v>
          </cell>
          <cell r="M723" t="str">
            <v>E1-ND-06-TSA-0361</v>
          </cell>
        </row>
        <row r="724">
          <cell r="A724">
            <v>60049618</v>
          </cell>
          <cell r="B724" t="str">
            <v>CR SPCC-SD 0.6x83xC</v>
          </cell>
          <cell r="C724">
            <v>60049618</v>
          </cell>
          <cell r="D724" t="str">
            <v>CR SPCC-SD</v>
          </cell>
          <cell r="E724" t="str">
            <v>CR</v>
          </cell>
          <cell r="F724" t="str">
            <v>SPCC-SD</v>
          </cell>
          <cell r="G724">
            <v>0.6</v>
          </cell>
          <cell r="H724">
            <v>83</v>
          </cell>
          <cell r="I724" t="str">
            <v>C</v>
          </cell>
          <cell r="J724" t="str">
            <v>CS01/12</v>
          </cell>
          <cell r="K724">
            <v>60049618</v>
          </cell>
          <cell r="L724">
            <v>252</v>
          </cell>
          <cell r="M724" t="str">
            <v>E1-ND-06-TSA-0361</v>
          </cell>
        </row>
        <row r="725">
          <cell r="A725">
            <v>60050044</v>
          </cell>
          <cell r="C725">
            <v>60050044</v>
          </cell>
          <cell r="E725" t="str">
            <v>CR</v>
          </cell>
          <cell r="F725" t="str">
            <v>SPCC-SD</v>
          </cell>
          <cell r="G725">
            <v>0.6</v>
          </cell>
          <cell r="H725">
            <v>53</v>
          </cell>
          <cell r="I725" t="str">
            <v>C</v>
          </cell>
          <cell r="J725" t="str">
            <v>CS01/12</v>
          </cell>
          <cell r="K725">
            <v>60050044</v>
          </cell>
          <cell r="L725">
            <v>114</v>
          </cell>
        </row>
        <row r="726">
          <cell r="A726">
            <v>60050078</v>
          </cell>
          <cell r="B726" t="str">
            <v>CR SPCC-SD 0.6x83xC</v>
          </cell>
          <cell r="C726">
            <v>60050078</v>
          </cell>
          <cell r="D726" t="str">
            <v>CR SPCC-SD</v>
          </cell>
          <cell r="E726" t="str">
            <v>CR</v>
          </cell>
          <cell r="F726" t="str">
            <v>SPCC-SD</v>
          </cell>
          <cell r="G726">
            <v>0.6</v>
          </cell>
          <cell r="H726">
            <v>83</v>
          </cell>
          <cell r="I726" t="str">
            <v>C</v>
          </cell>
          <cell r="J726" t="str">
            <v>CS01/12</v>
          </cell>
          <cell r="K726">
            <v>60050078</v>
          </cell>
          <cell r="L726">
            <v>107</v>
          </cell>
          <cell r="M726" t="str">
            <v>E1-ND-06-TSA-0361</v>
          </cell>
        </row>
        <row r="727">
          <cell r="A727">
            <v>60050079</v>
          </cell>
          <cell r="B727" t="str">
            <v>CR SPCC-SD 0.6x83xC</v>
          </cell>
          <cell r="C727">
            <v>60050079</v>
          </cell>
          <cell r="D727" t="str">
            <v>CR SPCC-SD</v>
          </cell>
          <cell r="E727" t="str">
            <v>CR</v>
          </cell>
          <cell r="F727" t="str">
            <v>SPCC-SD</v>
          </cell>
          <cell r="G727">
            <v>0.6</v>
          </cell>
          <cell r="H727">
            <v>83</v>
          </cell>
          <cell r="I727" t="str">
            <v>C</v>
          </cell>
          <cell r="J727" t="str">
            <v>CS01/12</v>
          </cell>
          <cell r="K727">
            <v>60050079</v>
          </cell>
          <cell r="L727">
            <v>105</v>
          </cell>
          <cell r="M727" t="str">
            <v>E1-ND-06-TSA-0361</v>
          </cell>
        </row>
        <row r="728">
          <cell r="A728">
            <v>60050690</v>
          </cell>
          <cell r="C728">
            <v>60050690</v>
          </cell>
          <cell r="E728" t="str">
            <v>CR</v>
          </cell>
          <cell r="F728" t="str">
            <v>SPCEN-SD</v>
          </cell>
          <cell r="G728">
            <v>0.8</v>
          </cell>
          <cell r="H728">
            <v>73</v>
          </cell>
          <cell r="I728" t="str">
            <v>C</v>
          </cell>
          <cell r="J728" t="str">
            <v>CS01/10</v>
          </cell>
          <cell r="K728">
            <v>60050690</v>
          </cell>
          <cell r="L728">
            <v>231</v>
          </cell>
        </row>
        <row r="729">
          <cell r="A729">
            <v>60050727</v>
          </cell>
          <cell r="B729" t="str">
            <v>CR SPCC-SD 1.2x90xC</v>
          </cell>
          <cell r="C729">
            <v>60050727</v>
          </cell>
          <cell r="D729" t="str">
            <v>CR SPCC-SD</v>
          </cell>
          <cell r="E729" t="str">
            <v>CR</v>
          </cell>
          <cell r="F729" t="str">
            <v>SPCC-SD</v>
          </cell>
          <cell r="G729">
            <v>1.2</v>
          </cell>
          <cell r="H729">
            <v>90</v>
          </cell>
          <cell r="I729" t="str">
            <v>C</v>
          </cell>
          <cell r="J729" t="str">
            <v>CS01/11</v>
          </cell>
          <cell r="K729">
            <v>60050727</v>
          </cell>
          <cell r="L729">
            <v>192</v>
          </cell>
          <cell r="M729" t="str">
            <v>E1-NJ-06-TSA-0377</v>
          </cell>
        </row>
        <row r="730">
          <cell r="A730">
            <v>60050728</v>
          </cell>
          <cell r="B730" t="str">
            <v>CR SPCC-SD 1.2x90xC</v>
          </cell>
          <cell r="C730">
            <v>60050728</v>
          </cell>
          <cell r="D730" t="str">
            <v>CR SPCC-SD</v>
          </cell>
          <cell r="E730" t="str">
            <v>CR</v>
          </cell>
          <cell r="F730" t="str">
            <v>SPCC-SD</v>
          </cell>
          <cell r="G730">
            <v>1.2</v>
          </cell>
          <cell r="H730">
            <v>90</v>
          </cell>
          <cell r="I730" t="str">
            <v>C</v>
          </cell>
          <cell r="J730" t="str">
            <v>CS01/11</v>
          </cell>
          <cell r="K730">
            <v>60050728</v>
          </cell>
          <cell r="L730">
            <v>192</v>
          </cell>
          <cell r="M730" t="str">
            <v>E1-NJ-06-TSA-0377</v>
          </cell>
        </row>
        <row r="731">
          <cell r="A731">
            <v>60050758</v>
          </cell>
          <cell r="C731">
            <v>60050758</v>
          </cell>
          <cell r="E731" t="str">
            <v>CR</v>
          </cell>
          <cell r="F731" t="str">
            <v>SPCC-SD</v>
          </cell>
          <cell r="G731">
            <v>0.6</v>
          </cell>
          <cell r="H731">
            <v>52</v>
          </cell>
          <cell r="I731" t="str">
            <v>C</v>
          </cell>
          <cell r="J731" t="str">
            <v>CS01/11</v>
          </cell>
          <cell r="K731">
            <v>60050758</v>
          </cell>
          <cell r="L731">
            <v>126</v>
          </cell>
        </row>
        <row r="732">
          <cell r="A732">
            <v>60050759</v>
          </cell>
          <cell r="C732">
            <v>60050759</v>
          </cell>
          <cell r="E732" t="str">
            <v>CR</v>
          </cell>
          <cell r="F732" t="str">
            <v>SPCC-SD</v>
          </cell>
          <cell r="G732">
            <v>0.6</v>
          </cell>
          <cell r="H732">
            <v>52</v>
          </cell>
          <cell r="I732" t="str">
            <v>C</v>
          </cell>
          <cell r="J732" t="str">
            <v>CS01/11</v>
          </cell>
          <cell r="K732">
            <v>60050759</v>
          </cell>
          <cell r="L732">
            <v>126</v>
          </cell>
        </row>
        <row r="733">
          <cell r="A733">
            <v>60050761</v>
          </cell>
          <cell r="C733">
            <v>60050761</v>
          </cell>
          <cell r="E733" t="str">
            <v>CR</v>
          </cell>
          <cell r="F733" t="str">
            <v>SPCC-SD</v>
          </cell>
          <cell r="G733">
            <v>0.6</v>
          </cell>
          <cell r="H733">
            <v>83</v>
          </cell>
          <cell r="I733" t="str">
            <v>C</v>
          </cell>
          <cell r="J733" t="str">
            <v>CS01/10</v>
          </cell>
          <cell r="K733">
            <v>60050761</v>
          </cell>
          <cell r="L733">
            <v>202</v>
          </cell>
        </row>
        <row r="734">
          <cell r="A734">
            <v>60050908</v>
          </cell>
          <cell r="B734" t="str">
            <v>CR SPCC-SD 0.6x52xC</v>
          </cell>
          <cell r="C734">
            <v>60050908</v>
          </cell>
          <cell r="D734" t="str">
            <v>CR SPCC-SD</v>
          </cell>
          <cell r="E734" t="str">
            <v>CR</v>
          </cell>
          <cell r="F734" t="str">
            <v>SPCC-SD</v>
          </cell>
          <cell r="G734">
            <v>0.6</v>
          </cell>
          <cell r="H734">
            <v>52</v>
          </cell>
          <cell r="I734" t="str">
            <v>C</v>
          </cell>
          <cell r="J734" t="str">
            <v>CS01/12</v>
          </cell>
          <cell r="K734">
            <v>60050908</v>
          </cell>
          <cell r="L734">
            <v>45</v>
          </cell>
          <cell r="M734" t="str">
            <v>E1-ND-06-TSA-0361</v>
          </cell>
        </row>
        <row r="735">
          <cell r="A735">
            <v>60051359</v>
          </cell>
          <cell r="B735" t="str">
            <v>CR SPCC-SD 0.6x48xC</v>
          </cell>
          <cell r="C735">
            <v>60051359</v>
          </cell>
          <cell r="D735" t="str">
            <v>CR SPCC-SD</v>
          </cell>
          <cell r="E735" t="str">
            <v>CR</v>
          </cell>
          <cell r="F735" t="str">
            <v>SPCC-SD</v>
          </cell>
          <cell r="G735">
            <v>0.6</v>
          </cell>
          <cell r="H735">
            <v>48</v>
          </cell>
          <cell r="I735" t="str">
            <v>C</v>
          </cell>
          <cell r="J735" t="str">
            <v>CS01/5</v>
          </cell>
          <cell r="K735">
            <v>60051359</v>
          </cell>
          <cell r="L735">
            <v>104</v>
          </cell>
          <cell r="M735" t="str">
            <v>E1-ND-06-TSA-0361</v>
          </cell>
        </row>
        <row r="736">
          <cell r="A736">
            <v>60051361</v>
          </cell>
          <cell r="B736" t="str">
            <v>CR SPCC-SD 0.6x48xC</v>
          </cell>
          <cell r="C736">
            <v>60051361</v>
          </cell>
          <cell r="D736" t="str">
            <v>CR SPCC-SD</v>
          </cell>
          <cell r="E736" t="str">
            <v>CR</v>
          </cell>
          <cell r="F736" t="str">
            <v>SPCC-SD</v>
          </cell>
          <cell r="G736">
            <v>0.6</v>
          </cell>
          <cell r="H736">
            <v>48</v>
          </cell>
          <cell r="I736" t="str">
            <v>C</v>
          </cell>
          <cell r="J736" t="str">
            <v>CS01/5</v>
          </cell>
          <cell r="K736">
            <v>60051361</v>
          </cell>
          <cell r="L736">
            <v>100</v>
          </cell>
          <cell r="M736" t="str">
            <v>E1-ND-06-TSA-0361</v>
          </cell>
        </row>
        <row r="737">
          <cell r="A737">
            <v>60051595</v>
          </cell>
          <cell r="B737" t="str">
            <v>PO SPHC P/O 4.0x92xC</v>
          </cell>
          <cell r="C737">
            <v>60051595</v>
          </cell>
          <cell r="D737" t="str">
            <v>PO SPHC P/O</v>
          </cell>
          <cell r="E737" t="str">
            <v>PO</v>
          </cell>
          <cell r="F737" t="str">
            <v>SPHC P/O</v>
          </cell>
          <cell r="G737">
            <v>4</v>
          </cell>
          <cell r="H737">
            <v>92</v>
          </cell>
          <cell r="I737" t="str">
            <v>C</v>
          </cell>
          <cell r="J737" t="str">
            <v>CS01/5</v>
          </cell>
          <cell r="K737">
            <v>60051595</v>
          </cell>
          <cell r="L737">
            <v>316</v>
          </cell>
          <cell r="M737" t="str">
            <v>E2-ND-06-TSA-0154</v>
          </cell>
        </row>
        <row r="738">
          <cell r="A738">
            <v>60051596</v>
          </cell>
          <cell r="B738" t="str">
            <v>PO SPHC P/O 4.0x92xC</v>
          </cell>
          <cell r="C738">
            <v>60051596</v>
          </cell>
          <cell r="D738" t="str">
            <v>PO SPHC P/O</v>
          </cell>
          <cell r="E738" t="str">
            <v>PO</v>
          </cell>
          <cell r="F738" t="str">
            <v>SPHC P/O</v>
          </cell>
          <cell r="G738">
            <v>4</v>
          </cell>
          <cell r="H738">
            <v>92</v>
          </cell>
          <cell r="I738" t="str">
            <v>C</v>
          </cell>
          <cell r="J738" t="str">
            <v>CS01/5</v>
          </cell>
          <cell r="K738">
            <v>60051596</v>
          </cell>
          <cell r="L738">
            <v>316</v>
          </cell>
          <cell r="M738" t="str">
            <v>E2-ND-06-TSA-0154</v>
          </cell>
        </row>
        <row r="739">
          <cell r="A739">
            <v>60051597</v>
          </cell>
          <cell r="B739" t="str">
            <v>PO SPHC P/O 4.0x92xC</v>
          </cell>
          <cell r="C739">
            <v>60051597</v>
          </cell>
          <cell r="D739" t="str">
            <v>PO SPHC P/O</v>
          </cell>
          <cell r="E739" t="str">
            <v>PO</v>
          </cell>
          <cell r="F739" t="str">
            <v>SPHC P/O</v>
          </cell>
          <cell r="G739">
            <v>4</v>
          </cell>
          <cell r="H739">
            <v>92</v>
          </cell>
          <cell r="I739" t="str">
            <v>C</v>
          </cell>
          <cell r="J739" t="str">
            <v>CS01/5</v>
          </cell>
          <cell r="K739">
            <v>60051597</v>
          </cell>
          <cell r="L739">
            <v>316</v>
          </cell>
          <cell r="M739" t="str">
            <v>E2-ND-06-TSA-0154</v>
          </cell>
        </row>
        <row r="740">
          <cell r="A740">
            <v>60052073</v>
          </cell>
          <cell r="B740" t="str">
            <v>CR SPCC-SD 1.4x45xC</v>
          </cell>
          <cell r="C740">
            <v>60052073</v>
          </cell>
          <cell r="D740" t="str">
            <v>CR SPCC-SD</v>
          </cell>
          <cell r="E740" t="str">
            <v>CR</v>
          </cell>
          <cell r="F740" t="str">
            <v>SPCC-SD</v>
          </cell>
          <cell r="G740">
            <v>1.4</v>
          </cell>
          <cell r="H740">
            <v>45</v>
          </cell>
          <cell r="I740" t="str">
            <v>C</v>
          </cell>
          <cell r="J740" t="str">
            <v>CS01/12</v>
          </cell>
          <cell r="K740">
            <v>60052073</v>
          </cell>
          <cell r="L740">
            <v>100</v>
          </cell>
          <cell r="M740" t="str">
            <v>E2-ND-06-TSA-0153</v>
          </cell>
        </row>
        <row r="741">
          <cell r="A741">
            <v>60052094</v>
          </cell>
          <cell r="B741" t="str">
            <v>CR SPCC-SD 1.4x45xC</v>
          </cell>
          <cell r="C741">
            <v>60052094</v>
          </cell>
          <cell r="D741" t="str">
            <v>CR SPCC-SD</v>
          </cell>
          <cell r="E741" t="str">
            <v>CR</v>
          </cell>
          <cell r="F741" t="str">
            <v>SPCC-SD</v>
          </cell>
          <cell r="G741">
            <v>1.4</v>
          </cell>
          <cell r="H741">
            <v>45</v>
          </cell>
          <cell r="I741" t="str">
            <v>C</v>
          </cell>
          <cell r="J741" t="str">
            <v>CS01/12</v>
          </cell>
          <cell r="K741">
            <v>60052094</v>
          </cell>
          <cell r="L741">
            <v>126</v>
          </cell>
          <cell r="M741" t="str">
            <v>E2-ND-06-TSA-0153</v>
          </cell>
        </row>
        <row r="742">
          <cell r="A742">
            <v>60052230</v>
          </cell>
          <cell r="B742" t="str">
            <v>CR SPCC-SD 1.6x88xC</v>
          </cell>
          <cell r="C742">
            <v>60052230</v>
          </cell>
          <cell r="D742" t="str">
            <v>CR SPCC-SD</v>
          </cell>
          <cell r="E742" t="str">
            <v>CR</v>
          </cell>
          <cell r="F742" t="str">
            <v>SPCC-SD</v>
          </cell>
          <cell r="G742">
            <v>1.6</v>
          </cell>
          <cell r="H742">
            <v>88</v>
          </cell>
          <cell r="I742" t="str">
            <v>C</v>
          </cell>
          <cell r="J742" t="str">
            <v>CS01/7</v>
          </cell>
          <cell r="K742">
            <v>60052230</v>
          </cell>
          <cell r="L742">
            <v>308</v>
          </cell>
          <cell r="M742" t="str">
            <v>E2-ND-06-TSA-0152</v>
          </cell>
        </row>
        <row r="743">
          <cell r="A743">
            <v>60052415</v>
          </cell>
          <cell r="B743" t="str">
            <v>CR SPCC-SD 2.0x80xC</v>
          </cell>
          <cell r="C743">
            <v>60052415</v>
          </cell>
          <cell r="D743" t="str">
            <v>CR SPCC-SD</v>
          </cell>
          <cell r="E743" t="str">
            <v>CR</v>
          </cell>
          <cell r="F743" t="str">
            <v>SPCC-SD</v>
          </cell>
          <cell r="G743">
            <v>2</v>
          </cell>
          <cell r="H743">
            <v>80</v>
          </cell>
          <cell r="I743" t="str">
            <v>C</v>
          </cell>
          <cell r="J743" t="str">
            <v>CS01/7</v>
          </cell>
          <cell r="K743">
            <v>60052415</v>
          </cell>
          <cell r="L743">
            <v>284</v>
          </cell>
          <cell r="M743" t="str">
            <v>E2-ND-06-TSA-0152</v>
          </cell>
        </row>
        <row r="744">
          <cell r="A744">
            <v>60052558</v>
          </cell>
          <cell r="C744">
            <v>60052558</v>
          </cell>
          <cell r="E744" t="str">
            <v>PO</v>
          </cell>
          <cell r="F744" t="str">
            <v>SPHC P/O</v>
          </cell>
          <cell r="G744">
            <v>2.2999999999999998</v>
          </cell>
          <cell r="H744">
            <v>53</v>
          </cell>
          <cell r="I744" t="str">
            <v>C</v>
          </cell>
          <cell r="J744" t="str">
            <v>CS01/5</v>
          </cell>
          <cell r="K744">
            <v>60052558</v>
          </cell>
          <cell r="L744">
            <v>241</v>
          </cell>
        </row>
        <row r="745">
          <cell r="A745">
            <v>60052618</v>
          </cell>
          <cell r="B745" t="str">
            <v>PO SPHC P/O 1.6x64xC</v>
          </cell>
          <cell r="C745">
            <v>60052618</v>
          </cell>
          <cell r="D745" t="str">
            <v>PO SPHC P/O</v>
          </cell>
          <cell r="E745" t="str">
            <v>PO</v>
          </cell>
          <cell r="F745" t="str">
            <v>SPHC P/O</v>
          </cell>
          <cell r="G745">
            <v>1.6</v>
          </cell>
          <cell r="H745">
            <v>64</v>
          </cell>
          <cell r="I745" t="str">
            <v>C</v>
          </cell>
          <cell r="J745" t="str">
            <v>CS01/9</v>
          </cell>
          <cell r="K745">
            <v>60052618</v>
          </cell>
          <cell r="L745">
            <v>132</v>
          </cell>
          <cell r="M745" t="str">
            <v>E2-ND-06-TSA-0153</v>
          </cell>
        </row>
        <row r="746">
          <cell r="A746">
            <v>60052619</v>
          </cell>
          <cell r="B746" t="str">
            <v>PO SPHC P/O 1.6x64xC</v>
          </cell>
          <cell r="C746">
            <v>60052619</v>
          </cell>
          <cell r="D746" t="str">
            <v>PO SPHC P/O</v>
          </cell>
          <cell r="E746" t="str">
            <v>PO</v>
          </cell>
          <cell r="F746" t="str">
            <v>SPHC P/O</v>
          </cell>
          <cell r="G746">
            <v>1.6</v>
          </cell>
          <cell r="H746">
            <v>64</v>
          </cell>
          <cell r="I746" t="str">
            <v>C</v>
          </cell>
          <cell r="J746" t="str">
            <v>CS01/9</v>
          </cell>
          <cell r="K746">
            <v>60052619</v>
          </cell>
          <cell r="L746">
            <v>132</v>
          </cell>
          <cell r="M746" t="str">
            <v>E2-ND-06-TSA-0153</v>
          </cell>
        </row>
        <row r="747">
          <cell r="A747">
            <v>60052853</v>
          </cell>
          <cell r="C747">
            <v>60052853</v>
          </cell>
          <cell r="E747" t="str">
            <v>PO</v>
          </cell>
          <cell r="F747" t="str">
            <v>SPHC P/O</v>
          </cell>
          <cell r="G747">
            <v>2</v>
          </cell>
          <cell r="H747">
            <v>65</v>
          </cell>
          <cell r="I747" t="str">
            <v>C</v>
          </cell>
          <cell r="J747" t="str">
            <v>CS01/5</v>
          </cell>
          <cell r="K747">
            <v>60052853</v>
          </cell>
          <cell r="L747">
            <v>127</v>
          </cell>
        </row>
        <row r="748">
          <cell r="A748">
            <v>60052955</v>
          </cell>
          <cell r="C748">
            <v>60052955</v>
          </cell>
          <cell r="E748" t="str">
            <v>CR</v>
          </cell>
          <cell r="F748" t="str">
            <v>SPCEN-SD</v>
          </cell>
          <cell r="G748">
            <v>0.9</v>
          </cell>
          <cell r="H748">
            <v>40</v>
          </cell>
          <cell r="I748" t="str">
            <v>C</v>
          </cell>
          <cell r="J748" t="str">
            <v>CS01/10</v>
          </cell>
          <cell r="K748">
            <v>60052955</v>
          </cell>
          <cell r="L748">
            <v>41</v>
          </cell>
        </row>
        <row r="749">
          <cell r="A749">
            <v>60053163</v>
          </cell>
          <cell r="C749">
            <v>60053163</v>
          </cell>
          <cell r="E749" t="str">
            <v>CR</v>
          </cell>
          <cell r="F749" t="str">
            <v>SPCC-SD</v>
          </cell>
          <cell r="G749">
            <v>3</v>
          </cell>
          <cell r="H749">
            <v>78</v>
          </cell>
          <cell r="I749" t="str">
            <v>C</v>
          </cell>
          <cell r="J749" t="str">
            <v>CS01/10</v>
          </cell>
          <cell r="K749">
            <v>60053163</v>
          </cell>
          <cell r="L749">
            <v>274</v>
          </cell>
        </row>
        <row r="750">
          <cell r="A750">
            <v>60053168</v>
          </cell>
          <cell r="C750">
            <v>60053168</v>
          </cell>
          <cell r="E750" t="str">
            <v>CR</v>
          </cell>
          <cell r="F750" t="str">
            <v>SPCC-SD</v>
          </cell>
          <cell r="G750">
            <v>3</v>
          </cell>
          <cell r="H750">
            <v>78</v>
          </cell>
          <cell r="I750" t="str">
            <v>C</v>
          </cell>
          <cell r="J750" t="str">
            <v>CS01/11</v>
          </cell>
          <cell r="K750">
            <v>60053168</v>
          </cell>
          <cell r="L750">
            <v>276</v>
          </cell>
        </row>
        <row r="751">
          <cell r="A751">
            <v>60053173</v>
          </cell>
          <cell r="C751">
            <v>60053173</v>
          </cell>
          <cell r="E751" t="str">
            <v>CR</v>
          </cell>
          <cell r="F751" t="str">
            <v>SPCC-SD</v>
          </cell>
          <cell r="G751">
            <v>3</v>
          </cell>
          <cell r="H751">
            <v>78</v>
          </cell>
          <cell r="I751" t="str">
            <v>C</v>
          </cell>
          <cell r="J751" t="str">
            <v>CS01/11</v>
          </cell>
          <cell r="K751">
            <v>60053173</v>
          </cell>
          <cell r="L751">
            <v>326</v>
          </cell>
        </row>
        <row r="752">
          <cell r="A752">
            <v>60053178</v>
          </cell>
          <cell r="C752">
            <v>60053178</v>
          </cell>
          <cell r="E752" t="str">
            <v>CR</v>
          </cell>
          <cell r="F752" t="str">
            <v>SPCC-SD</v>
          </cell>
          <cell r="G752">
            <v>3</v>
          </cell>
          <cell r="H752">
            <v>78</v>
          </cell>
          <cell r="I752" t="str">
            <v>C</v>
          </cell>
          <cell r="J752" t="str">
            <v>CS01/11</v>
          </cell>
          <cell r="K752">
            <v>60053178</v>
          </cell>
          <cell r="L752">
            <v>320</v>
          </cell>
        </row>
        <row r="753">
          <cell r="A753">
            <v>60053439</v>
          </cell>
          <cell r="B753" t="str">
            <v>CR SPCC-SD 0.6x83xC</v>
          </cell>
          <cell r="C753">
            <v>60053439</v>
          </cell>
          <cell r="D753" t="str">
            <v>CR SPCC-SD</v>
          </cell>
          <cell r="E753" t="str">
            <v>CR</v>
          </cell>
          <cell r="F753" t="str">
            <v>SPCC-SD</v>
          </cell>
          <cell r="G753">
            <v>0.6</v>
          </cell>
          <cell r="H753">
            <v>83</v>
          </cell>
          <cell r="I753" t="str">
            <v>C</v>
          </cell>
          <cell r="J753" t="str">
            <v>CS01/6</v>
          </cell>
          <cell r="K753">
            <v>60053439</v>
          </cell>
          <cell r="L753">
            <v>168</v>
          </cell>
          <cell r="M753" t="str">
            <v>E1-ND-06-TSA-0361</v>
          </cell>
        </row>
        <row r="754">
          <cell r="A754">
            <v>60053446</v>
          </cell>
          <cell r="B754" t="str">
            <v>CR SPCC-SD 0.6x83xC</v>
          </cell>
          <cell r="C754">
            <v>60053446</v>
          </cell>
          <cell r="D754" t="str">
            <v>CR SPCC-SD</v>
          </cell>
          <cell r="E754" t="str">
            <v>CR</v>
          </cell>
          <cell r="F754" t="str">
            <v>SPCC-SD</v>
          </cell>
          <cell r="G754">
            <v>0.6</v>
          </cell>
          <cell r="H754">
            <v>83</v>
          </cell>
          <cell r="I754" t="str">
            <v>C</v>
          </cell>
          <cell r="J754" t="str">
            <v>CS01/6</v>
          </cell>
          <cell r="K754">
            <v>60053446</v>
          </cell>
          <cell r="L754">
            <v>168</v>
          </cell>
          <cell r="M754" t="str">
            <v>E1-ND-06-TSA-0361</v>
          </cell>
        </row>
        <row r="755">
          <cell r="A755">
            <v>60053453</v>
          </cell>
          <cell r="B755" t="str">
            <v>CR SPCC-SD 0.6x83xC</v>
          </cell>
          <cell r="C755">
            <v>60053453</v>
          </cell>
          <cell r="D755" t="str">
            <v>CR SPCC-SD</v>
          </cell>
          <cell r="E755" t="str">
            <v>CR</v>
          </cell>
          <cell r="F755" t="str">
            <v>SPCC-SD</v>
          </cell>
          <cell r="G755">
            <v>0.6</v>
          </cell>
          <cell r="H755">
            <v>83</v>
          </cell>
          <cell r="I755" t="str">
            <v>C</v>
          </cell>
          <cell r="J755" t="str">
            <v>CS01/6</v>
          </cell>
          <cell r="K755">
            <v>60053453</v>
          </cell>
          <cell r="L755">
            <v>168</v>
          </cell>
          <cell r="M755" t="str">
            <v>E1-ND-06-TSA-0361</v>
          </cell>
        </row>
        <row r="756">
          <cell r="A756">
            <v>60053528</v>
          </cell>
          <cell r="C756">
            <v>60053528</v>
          </cell>
          <cell r="E756" t="str">
            <v>PO</v>
          </cell>
          <cell r="F756" t="str">
            <v>SPHC P/O</v>
          </cell>
          <cell r="G756">
            <v>2.2999999999999998</v>
          </cell>
          <cell r="H756">
            <v>72</v>
          </cell>
          <cell r="I756" t="str">
            <v>C</v>
          </cell>
          <cell r="J756" t="str">
            <v>CS01/10</v>
          </cell>
          <cell r="K756">
            <v>60053528</v>
          </cell>
          <cell r="L756">
            <v>122</v>
          </cell>
        </row>
        <row r="757">
          <cell r="A757">
            <v>60053799</v>
          </cell>
          <cell r="B757" t="str">
            <v>CR SPCC-SD 1.6x74xC</v>
          </cell>
          <cell r="C757">
            <v>60053799</v>
          </cell>
          <cell r="D757" t="str">
            <v>CR SPCC-SD</v>
          </cell>
          <cell r="E757" t="str">
            <v>CR</v>
          </cell>
          <cell r="F757" t="str">
            <v>SPCC-SD</v>
          </cell>
          <cell r="G757">
            <v>1.6</v>
          </cell>
          <cell r="H757">
            <v>74</v>
          </cell>
          <cell r="I757" t="str">
            <v>C</v>
          </cell>
          <cell r="J757" t="str">
            <v>CS01/5</v>
          </cell>
          <cell r="K757">
            <v>60053799</v>
          </cell>
          <cell r="L757">
            <v>119</v>
          </cell>
          <cell r="M757" t="str">
            <v>E2-ND-06-TSA-0151</v>
          </cell>
        </row>
        <row r="758">
          <cell r="A758">
            <v>60053801</v>
          </cell>
          <cell r="B758" t="str">
            <v>CR SPCC-SD 1.6x74xC</v>
          </cell>
          <cell r="C758">
            <v>60053801</v>
          </cell>
          <cell r="D758" t="str">
            <v>CR SPCC-SD</v>
          </cell>
          <cell r="E758" t="str">
            <v>CR</v>
          </cell>
          <cell r="F758" t="str">
            <v>SPCC-SD</v>
          </cell>
          <cell r="G758">
            <v>1.6</v>
          </cell>
          <cell r="H758">
            <v>74</v>
          </cell>
          <cell r="I758" t="str">
            <v>C</v>
          </cell>
          <cell r="J758" t="str">
            <v>CS01/5</v>
          </cell>
          <cell r="K758">
            <v>60053801</v>
          </cell>
          <cell r="L758">
            <v>119</v>
          </cell>
          <cell r="M758" t="str">
            <v>E2-ND-06-TSA-0151</v>
          </cell>
        </row>
        <row r="759">
          <cell r="A759">
            <v>60054517</v>
          </cell>
          <cell r="B759" t="str">
            <v>CR SPCC-SD 2.0x80xC</v>
          </cell>
          <cell r="C759">
            <v>60054517</v>
          </cell>
          <cell r="D759" t="str">
            <v>CR SPCC-SD</v>
          </cell>
          <cell r="E759" t="str">
            <v>CR</v>
          </cell>
          <cell r="F759" t="str">
            <v>SPCC-SD</v>
          </cell>
          <cell r="G759">
            <v>2</v>
          </cell>
          <cell r="H759">
            <v>80</v>
          </cell>
          <cell r="I759" t="str">
            <v>C</v>
          </cell>
          <cell r="J759" t="str">
            <v>CS01/8</v>
          </cell>
          <cell r="K759">
            <v>60054517</v>
          </cell>
          <cell r="L759">
            <v>222</v>
          </cell>
          <cell r="M759" t="str">
            <v>E2-ND-06-TSA-0152</v>
          </cell>
        </row>
        <row r="760">
          <cell r="A760">
            <v>60054518</v>
          </cell>
          <cell r="B760" t="str">
            <v>CR SPCC-SD 2.0x80xC</v>
          </cell>
          <cell r="C760">
            <v>60054518</v>
          </cell>
          <cell r="D760" t="str">
            <v>CR SPCC-SD</v>
          </cell>
          <cell r="E760" t="str">
            <v>CR</v>
          </cell>
          <cell r="F760" t="str">
            <v>SPCC-SD</v>
          </cell>
          <cell r="G760">
            <v>2</v>
          </cell>
          <cell r="H760">
            <v>80</v>
          </cell>
          <cell r="I760" t="str">
            <v>C</v>
          </cell>
          <cell r="J760" t="str">
            <v>CS01/8</v>
          </cell>
          <cell r="K760">
            <v>60054518</v>
          </cell>
          <cell r="L760">
            <v>222</v>
          </cell>
          <cell r="M760" t="str">
            <v>E2-ND-06-TSA-0152</v>
          </cell>
        </row>
        <row r="761">
          <cell r="A761">
            <v>60054519</v>
          </cell>
          <cell r="B761" t="str">
            <v>CR SPCC-SD 2.0x80xC</v>
          </cell>
          <cell r="C761">
            <v>60054519</v>
          </cell>
          <cell r="D761" t="str">
            <v>CR SPCC-SD</v>
          </cell>
          <cell r="E761" t="str">
            <v>CR</v>
          </cell>
          <cell r="F761" t="str">
            <v>SPCC-SD</v>
          </cell>
          <cell r="G761">
            <v>2</v>
          </cell>
          <cell r="H761">
            <v>80</v>
          </cell>
          <cell r="I761" t="str">
            <v>C</v>
          </cell>
          <cell r="J761" t="str">
            <v>CS01/8</v>
          </cell>
          <cell r="K761">
            <v>60054519</v>
          </cell>
          <cell r="L761">
            <v>222</v>
          </cell>
          <cell r="M761" t="str">
            <v>E2-ND-06-TSA-0152</v>
          </cell>
        </row>
        <row r="762">
          <cell r="A762">
            <v>60054586</v>
          </cell>
          <cell r="B762" t="str">
            <v>CR SPCC-SD 1.4x55xC</v>
          </cell>
          <cell r="C762">
            <v>60054586</v>
          </cell>
          <cell r="D762" t="str">
            <v>CR SPCC-SD</v>
          </cell>
          <cell r="E762" t="str">
            <v>CR</v>
          </cell>
          <cell r="F762" t="str">
            <v>SPCC-SD</v>
          </cell>
          <cell r="G762">
            <v>1.4</v>
          </cell>
          <cell r="H762">
            <v>55</v>
          </cell>
          <cell r="I762" t="str">
            <v>C</v>
          </cell>
          <cell r="J762" t="str">
            <v>CS01/7</v>
          </cell>
          <cell r="K762">
            <v>60054586</v>
          </cell>
          <cell r="L762">
            <v>76</v>
          </cell>
          <cell r="M762" t="str">
            <v>E2-ND-06-TSA-0153</v>
          </cell>
        </row>
        <row r="763">
          <cell r="A763">
            <v>60054587</v>
          </cell>
          <cell r="B763" t="str">
            <v>CR SPCC-SD 1.4x55xC</v>
          </cell>
          <cell r="C763">
            <v>60054587</v>
          </cell>
          <cell r="D763" t="str">
            <v>CR SPCC-SD</v>
          </cell>
          <cell r="E763" t="str">
            <v>CR</v>
          </cell>
          <cell r="F763" t="str">
            <v>SPCC-SD</v>
          </cell>
          <cell r="G763">
            <v>1.4</v>
          </cell>
          <cell r="H763">
            <v>55</v>
          </cell>
          <cell r="I763" t="str">
            <v>C</v>
          </cell>
          <cell r="J763" t="str">
            <v>CS01/7</v>
          </cell>
          <cell r="K763">
            <v>60054587</v>
          </cell>
          <cell r="L763">
            <v>76</v>
          </cell>
          <cell r="M763" t="str">
            <v>E2-ND-06-TSA-0153</v>
          </cell>
        </row>
        <row r="764">
          <cell r="A764">
            <v>60054666</v>
          </cell>
          <cell r="B764" t="str">
            <v>CR SPCC-SD 1.6x22xC</v>
          </cell>
          <cell r="C764">
            <v>60054666</v>
          </cell>
          <cell r="D764" t="str">
            <v>CR SPCC-SD</v>
          </cell>
          <cell r="E764" t="str">
            <v>CR</v>
          </cell>
          <cell r="F764" t="str">
            <v>SPCC-SD</v>
          </cell>
          <cell r="G764">
            <v>1.6</v>
          </cell>
          <cell r="H764">
            <v>22</v>
          </cell>
          <cell r="I764" t="str">
            <v>C</v>
          </cell>
          <cell r="J764" t="str">
            <v>CS01/1</v>
          </cell>
          <cell r="K764">
            <v>60054666</v>
          </cell>
          <cell r="L764">
            <v>196</v>
          </cell>
          <cell r="M764" t="str">
            <v>E2-ND-06-TSA-0151</v>
          </cell>
        </row>
        <row r="765">
          <cell r="A765">
            <v>60054723</v>
          </cell>
          <cell r="B765" t="str">
            <v>PO SPHC P/O 2.3x42xC</v>
          </cell>
          <cell r="C765">
            <v>60054723</v>
          </cell>
          <cell r="D765" t="str">
            <v>PO SPHC P/O</v>
          </cell>
          <cell r="E765" t="str">
            <v>PO</v>
          </cell>
          <cell r="F765" t="str">
            <v>SPHC P/O</v>
          </cell>
          <cell r="G765">
            <v>2.2999999999999998</v>
          </cell>
          <cell r="H765">
            <v>42</v>
          </cell>
          <cell r="I765" t="str">
            <v>C</v>
          </cell>
          <cell r="J765" t="str">
            <v>CS01/5</v>
          </cell>
          <cell r="K765">
            <v>60054723</v>
          </cell>
          <cell r="L765">
            <v>114</v>
          </cell>
          <cell r="M765" t="str">
            <v>E2-NJ-06-TSA-0064</v>
          </cell>
        </row>
        <row r="766">
          <cell r="A766">
            <v>60055257</v>
          </cell>
          <cell r="B766" t="str">
            <v>CR SPCC-SD 1.6x82xC</v>
          </cell>
          <cell r="C766">
            <v>60055257</v>
          </cell>
          <cell r="D766" t="str">
            <v>CR SPCC-SD</v>
          </cell>
          <cell r="E766" t="str">
            <v>CR</v>
          </cell>
          <cell r="F766" t="str">
            <v>SPCC-SD</v>
          </cell>
          <cell r="G766">
            <v>1.6</v>
          </cell>
          <cell r="H766">
            <v>82</v>
          </cell>
          <cell r="I766" t="str">
            <v>C</v>
          </cell>
          <cell r="J766" t="str">
            <v>CS01/5</v>
          </cell>
          <cell r="K766">
            <v>60055257</v>
          </cell>
          <cell r="L766">
            <v>300</v>
          </cell>
          <cell r="M766" t="str">
            <v>E2-ND-06-TSA-0151</v>
          </cell>
        </row>
        <row r="767">
          <cell r="A767">
            <v>60055258</v>
          </cell>
          <cell r="B767" t="str">
            <v>CR SPCC-SD 1.6x82xC</v>
          </cell>
          <cell r="C767">
            <v>60055258</v>
          </cell>
          <cell r="D767" t="str">
            <v>CR SPCC-SD</v>
          </cell>
          <cell r="E767" t="str">
            <v>CR</v>
          </cell>
          <cell r="F767" t="str">
            <v>SPCC-SD</v>
          </cell>
          <cell r="G767">
            <v>1.6</v>
          </cell>
          <cell r="H767">
            <v>82</v>
          </cell>
          <cell r="I767" t="str">
            <v>C</v>
          </cell>
          <cell r="J767" t="str">
            <v>CS01/5</v>
          </cell>
          <cell r="K767">
            <v>60055258</v>
          </cell>
          <cell r="L767">
            <v>300</v>
          </cell>
          <cell r="M767" t="str">
            <v>E2-ND-06-TSA-0151</v>
          </cell>
        </row>
        <row r="768">
          <cell r="A768">
            <v>60055458</v>
          </cell>
          <cell r="B768" t="str">
            <v>PO SPHC P/O 2.3x42xC</v>
          </cell>
          <cell r="C768">
            <v>60055458</v>
          </cell>
          <cell r="D768" t="str">
            <v>PO SPHC P/O</v>
          </cell>
          <cell r="E768" t="str">
            <v>PO</v>
          </cell>
          <cell r="F768" t="str">
            <v>SPHC P/O</v>
          </cell>
          <cell r="G768">
            <v>2.2999999999999998</v>
          </cell>
          <cell r="H768">
            <v>42</v>
          </cell>
          <cell r="I768" t="str">
            <v>C</v>
          </cell>
          <cell r="J768" t="str">
            <v>CS01/9</v>
          </cell>
          <cell r="K768">
            <v>60055458</v>
          </cell>
          <cell r="L768">
            <v>61</v>
          </cell>
          <cell r="M768" t="str">
            <v>E2-NJ-06-TSA-0064</v>
          </cell>
        </row>
        <row r="769">
          <cell r="A769">
            <v>60055459</v>
          </cell>
          <cell r="B769" t="str">
            <v>PO SPHC P/O 2.3x42xC</v>
          </cell>
          <cell r="C769">
            <v>60055459</v>
          </cell>
          <cell r="D769" t="str">
            <v>PO SPHC P/O</v>
          </cell>
          <cell r="E769" t="str">
            <v>PO</v>
          </cell>
          <cell r="F769" t="str">
            <v>SPHC P/O</v>
          </cell>
          <cell r="G769">
            <v>2.2999999999999998</v>
          </cell>
          <cell r="H769">
            <v>42</v>
          </cell>
          <cell r="I769" t="str">
            <v>C</v>
          </cell>
          <cell r="J769" t="str">
            <v>CS01/9</v>
          </cell>
          <cell r="K769">
            <v>60055459</v>
          </cell>
          <cell r="L769">
            <v>61</v>
          </cell>
          <cell r="M769" t="str">
            <v>E2-NJ-06-TSA-0065</v>
          </cell>
        </row>
        <row r="770">
          <cell r="A770">
            <v>60055460</v>
          </cell>
          <cell r="B770" t="str">
            <v>PO SPHC P/O 2.3x42xC</v>
          </cell>
          <cell r="C770">
            <v>60055460</v>
          </cell>
          <cell r="D770" t="str">
            <v>PO SPHC P/O</v>
          </cell>
          <cell r="E770" t="str">
            <v>PO</v>
          </cell>
          <cell r="F770" t="str">
            <v>SPHC P/O</v>
          </cell>
          <cell r="G770">
            <v>2.2999999999999998</v>
          </cell>
          <cell r="H770">
            <v>42</v>
          </cell>
          <cell r="I770" t="str">
            <v>C</v>
          </cell>
          <cell r="J770" t="str">
            <v>CS01/9</v>
          </cell>
          <cell r="K770">
            <v>60055460</v>
          </cell>
          <cell r="L770">
            <v>61</v>
          </cell>
          <cell r="M770" t="str">
            <v>E2-ND-06-TSA-0154</v>
          </cell>
        </row>
        <row r="771">
          <cell r="A771">
            <v>60055461</v>
          </cell>
          <cell r="B771" t="str">
            <v>PO SPHC P/O 2.3x42xC</v>
          </cell>
          <cell r="C771">
            <v>60055461</v>
          </cell>
          <cell r="D771" t="str">
            <v>PO SPHC P/O</v>
          </cell>
          <cell r="E771" t="str">
            <v>PO</v>
          </cell>
          <cell r="F771" t="str">
            <v>SPHC P/O</v>
          </cell>
          <cell r="G771">
            <v>2.2999999999999998</v>
          </cell>
          <cell r="H771">
            <v>42</v>
          </cell>
          <cell r="I771" t="str">
            <v>C</v>
          </cell>
          <cell r="J771" t="str">
            <v>CS01/9</v>
          </cell>
          <cell r="K771">
            <v>60055461</v>
          </cell>
          <cell r="L771">
            <v>61</v>
          </cell>
          <cell r="M771" t="str">
            <v>E2-NJ-06-TSA-0067</v>
          </cell>
        </row>
        <row r="772">
          <cell r="A772">
            <v>60055462</v>
          </cell>
          <cell r="B772" t="str">
            <v>PO SPHC P/O 2.3x42xC</v>
          </cell>
          <cell r="C772">
            <v>60055462</v>
          </cell>
          <cell r="D772" t="str">
            <v>PO SPHC P/O</v>
          </cell>
          <cell r="E772" t="str">
            <v>PO</v>
          </cell>
          <cell r="F772" t="str">
            <v>SPHC P/O</v>
          </cell>
          <cell r="G772">
            <v>2.2999999999999998</v>
          </cell>
          <cell r="H772">
            <v>42</v>
          </cell>
          <cell r="I772" t="str">
            <v>C</v>
          </cell>
          <cell r="J772" t="str">
            <v>CS01/9</v>
          </cell>
          <cell r="K772">
            <v>60055462</v>
          </cell>
          <cell r="L772">
            <v>61</v>
          </cell>
          <cell r="M772" t="str">
            <v>E2-NJ-06-TSA-0067</v>
          </cell>
        </row>
        <row r="773">
          <cell r="A773">
            <v>60055463</v>
          </cell>
          <cell r="B773" t="str">
            <v>PO SPHC P/O 2.3x42xC</v>
          </cell>
          <cell r="C773">
            <v>60055463</v>
          </cell>
          <cell r="D773" t="str">
            <v>PO SPHC P/O</v>
          </cell>
          <cell r="E773" t="str">
            <v>PO</v>
          </cell>
          <cell r="F773" t="str">
            <v>SPHC P/O</v>
          </cell>
          <cell r="G773">
            <v>2.2999999999999998</v>
          </cell>
          <cell r="H773">
            <v>42</v>
          </cell>
          <cell r="I773" t="str">
            <v>C</v>
          </cell>
          <cell r="J773" t="str">
            <v>CS01/9</v>
          </cell>
          <cell r="K773">
            <v>60055463</v>
          </cell>
          <cell r="L773">
            <v>61</v>
          </cell>
          <cell r="M773" t="str">
            <v>E2-ND-06-TSA-0154</v>
          </cell>
        </row>
        <row r="774">
          <cell r="A774">
            <v>60055464</v>
          </cell>
          <cell r="B774" t="str">
            <v>PO SPHC P/O 2.3x42xC</v>
          </cell>
          <cell r="C774">
            <v>60055464</v>
          </cell>
          <cell r="D774" t="str">
            <v>PO SPHC P/O</v>
          </cell>
          <cell r="E774" t="str">
            <v>PO</v>
          </cell>
          <cell r="F774" t="str">
            <v>SPHC P/O</v>
          </cell>
          <cell r="G774">
            <v>2.2999999999999998</v>
          </cell>
          <cell r="H774">
            <v>42</v>
          </cell>
          <cell r="I774" t="str">
            <v>C</v>
          </cell>
          <cell r="J774" t="str">
            <v>CS01/9</v>
          </cell>
          <cell r="K774">
            <v>60055464</v>
          </cell>
          <cell r="L774">
            <v>61</v>
          </cell>
          <cell r="M774" t="str">
            <v>E2-ND-06-TSA-0154</v>
          </cell>
        </row>
        <row r="775">
          <cell r="A775">
            <v>60055465</v>
          </cell>
          <cell r="B775" t="str">
            <v>PO SPHC P/O 2.3x42xC</v>
          </cell>
          <cell r="C775">
            <v>60055465</v>
          </cell>
          <cell r="D775" t="str">
            <v>PO SPHC P/O</v>
          </cell>
          <cell r="E775" t="str">
            <v>PO</v>
          </cell>
          <cell r="F775" t="str">
            <v>SPHC P/O</v>
          </cell>
          <cell r="G775">
            <v>2.2999999999999998</v>
          </cell>
          <cell r="H775">
            <v>42</v>
          </cell>
          <cell r="I775" t="str">
            <v>C</v>
          </cell>
          <cell r="J775" t="str">
            <v>CS01/9</v>
          </cell>
          <cell r="K775">
            <v>60055465</v>
          </cell>
          <cell r="L775">
            <v>61</v>
          </cell>
          <cell r="M775" t="str">
            <v>E2-ND-06-TSA-0154</v>
          </cell>
        </row>
        <row r="776">
          <cell r="A776">
            <v>60055466</v>
          </cell>
          <cell r="B776" t="str">
            <v>PO SPHC P/O 2.3x42xC</v>
          </cell>
          <cell r="C776">
            <v>60055466</v>
          </cell>
          <cell r="D776" t="str">
            <v>PO SPHC P/O</v>
          </cell>
          <cell r="E776" t="str">
            <v>PO</v>
          </cell>
          <cell r="F776" t="str">
            <v>SPHC P/O</v>
          </cell>
          <cell r="G776">
            <v>2.2999999999999998</v>
          </cell>
          <cell r="H776">
            <v>42</v>
          </cell>
          <cell r="I776" t="str">
            <v>C</v>
          </cell>
          <cell r="J776" t="str">
            <v>CS01/9</v>
          </cell>
          <cell r="K776">
            <v>60055466</v>
          </cell>
          <cell r="L776">
            <v>61</v>
          </cell>
          <cell r="M776" t="str">
            <v>E2-NJ-06-TSA-0066</v>
          </cell>
        </row>
        <row r="777">
          <cell r="A777">
            <v>60055467</v>
          </cell>
          <cell r="B777" t="str">
            <v>PO SPHC P/O 2.3x42xC</v>
          </cell>
          <cell r="C777">
            <v>60055467</v>
          </cell>
          <cell r="D777" t="str">
            <v>PO SPHC P/O</v>
          </cell>
          <cell r="E777" t="str">
            <v>PO</v>
          </cell>
          <cell r="F777" t="str">
            <v>SPHC P/O</v>
          </cell>
          <cell r="G777">
            <v>2.2999999999999998</v>
          </cell>
          <cell r="H777">
            <v>42</v>
          </cell>
          <cell r="I777" t="str">
            <v>C</v>
          </cell>
          <cell r="J777" t="str">
            <v>CS01/9</v>
          </cell>
          <cell r="K777">
            <v>60055467</v>
          </cell>
          <cell r="L777">
            <v>61</v>
          </cell>
          <cell r="M777" t="str">
            <v>E2-ND-06-TSA-0154</v>
          </cell>
        </row>
        <row r="778">
          <cell r="A778">
            <v>60055940</v>
          </cell>
          <cell r="C778">
            <v>60055940</v>
          </cell>
          <cell r="E778" t="str">
            <v>CR</v>
          </cell>
          <cell r="F778" t="str">
            <v>SPCC-SD</v>
          </cell>
          <cell r="G778">
            <v>2.2999999999999998</v>
          </cell>
          <cell r="H778">
            <v>49</v>
          </cell>
          <cell r="I778" t="str">
            <v>C</v>
          </cell>
          <cell r="J778" t="str">
            <v>CS01/6</v>
          </cell>
          <cell r="K778">
            <v>60055940</v>
          </cell>
          <cell r="L778">
            <v>184</v>
          </cell>
        </row>
        <row r="779">
          <cell r="A779">
            <v>60056044</v>
          </cell>
          <cell r="B779" t="str">
            <v>CR SPCC-SD 1.6x30xC</v>
          </cell>
          <cell r="C779">
            <v>60056044</v>
          </cell>
          <cell r="D779" t="str">
            <v>CR SPCC-SD</v>
          </cell>
          <cell r="E779" t="str">
            <v>CR</v>
          </cell>
          <cell r="F779" t="str">
            <v>SPCC-SD</v>
          </cell>
          <cell r="G779">
            <v>1.6</v>
          </cell>
          <cell r="H779">
            <v>30</v>
          </cell>
          <cell r="I779" t="str">
            <v>C</v>
          </cell>
          <cell r="J779" t="str">
            <v>CS01/9</v>
          </cell>
          <cell r="K779">
            <v>60056044</v>
          </cell>
          <cell r="L779">
            <v>379</v>
          </cell>
          <cell r="M779" t="str">
            <v>E2-ND-06-TSA-0151</v>
          </cell>
        </row>
        <row r="780">
          <cell r="A780">
            <v>60056156</v>
          </cell>
          <cell r="B780" t="str">
            <v>CR SPCC-SD 1.0x32xC</v>
          </cell>
          <cell r="C780">
            <v>60056156</v>
          </cell>
          <cell r="D780" t="str">
            <v>CR SPCC-SD</v>
          </cell>
          <cell r="E780" t="str">
            <v>CR</v>
          </cell>
          <cell r="F780" t="str">
            <v>SPCC-SD</v>
          </cell>
          <cell r="G780">
            <v>1</v>
          </cell>
          <cell r="H780">
            <v>32</v>
          </cell>
          <cell r="I780" t="str">
            <v>C</v>
          </cell>
          <cell r="J780" t="str">
            <v>CS01/9</v>
          </cell>
          <cell r="K780">
            <v>60056156</v>
          </cell>
          <cell r="L780">
            <v>380</v>
          </cell>
          <cell r="M780" t="str">
            <v>E1-ND-06-TSA-0362</v>
          </cell>
        </row>
        <row r="781">
          <cell r="A781">
            <v>60056276</v>
          </cell>
          <cell r="B781" t="str">
            <v>CR SPCC-SD 1.6x49xC</v>
          </cell>
          <cell r="C781">
            <v>60056276</v>
          </cell>
          <cell r="D781" t="str">
            <v>CR SPCC-SD</v>
          </cell>
          <cell r="E781" t="str">
            <v>CR</v>
          </cell>
          <cell r="F781" t="str">
            <v>SPCC-SD</v>
          </cell>
          <cell r="G781">
            <v>1.6</v>
          </cell>
          <cell r="H781">
            <v>49</v>
          </cell>
          <cell r="I781" t="str">
            <v>C</v>
          </cell>
          <cell r="J781" t="str">
            <v>CS01/5</v>
          </cell>
          <cell r="K781">
            <v>60056276</v>
          </cell>
          <cell r="L781">
            <v>110</v>
          </cell>
          <cell r="M781" t="str">
            <v>E2-ND-06-TSA-0151</v>
          </cell>
        </row>
        <row r="782">
          <cell r="A782">
            <v>60056435</v>
          </cell>
          <cell r="B782" t="str">
            <v>CR SPCC-SD 1.6x82xC</v>
          </cell>
          <cell r="C782">
            <v>60056435</v>
          </cell>
          <cell r="D782" t="str">
            <v>CR SPCC-SD</v>
          </cell>
          <cell r="E782" t="str">
            <v>CR</v>
          </cell>
          <cell r="F782" t="str">
            <v>SPCC-SD</v>
          </cell>
          <cell r="G782">
            <v>1.6</v>
          </cell>
          <cell r="H782">
            <v>82</v>
          </cell>
          <cell r="I782" t="str">
            <v>C</v>
          </cell>
          <cell r="J782" t="str">
            <v>CS01/7</v>
          </cell>
          <cell r="K782">
            <v>60056435</v>
          </cell>
          <cell r="L782">
            <v>443</v>
          </cell>
          <cell r="M782" t="str">
            <v>E2-ND-06-TSA-0151</v>
          </cell>
        </row>
        <row r="783">
          <cell r="A783">
            <v>60056436</v>
          </cell>
          <cell r="B783" t="str">
            <v>CR SPCC-SD 1.6x82xC</v>
          </cell>
          <cell r="C783">
            <v>60056436</v>
          </cell>
          <cell r="D783" t="str">
            <v>CR SPCC-SD</v>
          </cell>
          <cell r="E783" t="str">
            <v>CR</v>
          </cell>
          <cell r="F783" t="str">
            <v>SPCC-SD</v>
          </cell>
          <cell r="G783">
            <v>1.6</v>
          </cell>
          <cell r="H783">
            <v>82</v>
          </cell>
          <cell r="I783" t="str">
            <v>C</v>
          </cell>
          <cell r="J783" t="str">
            <v>CS01/7</v>
          </cell>
          <cell r="K783">
            <v>60056436</v>
          </cell>
          <cell r="L783">
            <v>443</v>
          </cell>
          <cell r="M783" t="str">
            <v>E2-ND-06-TSA-0151</v>
          </cell>
        </row>
        <row r="784">
          <cell r="A784">
            <v>60056441</v>
          </cell>
          <cell r="B784" t="str">
            <v>CR SPCC-SD 1.6x82xC</v>
          </cell>
          <cell r="C784">
            <v>60056441</v>
          </cell>
          <cell r="D784" t="str">
            <v>CR SPCC-SD</v>
          </cell>
          <cell r="E784" t="str">
            <v>CR</v>
          </cell>
          <cell r="F784" t="str">
            <v>SPCC-SD</v>
          </cell>
          <cell r="G784">
            <v>1.6</v>
          </cell>
          <cell r="H784">
            <v>82</v>
          </cell>
          <cell r="I784" t="str">
            <v>C</v>
          </cell>
          <cell r="J784" t="str">
            <v>CS01/7</v>
          </cell>
          <cell r="K784">
            <v>60056441</v>
          </cell>
          <cell r="L784">
            <v>571</v>
          </cell>
          <cell r="M784" t="str">
            <v>E2-ND-06-TSA-0151</v>
          </cell>
        </row>
        <row r="785">
          <cell r="A785">
            <v>60056442</v>
          </cell>
          <cell r="B785" t="str">
            <v>CR SPCC-SD 1.6x82xC</v>
          </cell>
          <cell r="C785">
            <v>60056442</v>
          </cell>
          <cell r="D785" t="str">
            <v>CR SPCC-SD</v>
          </cell>
          <cell r="E785" t="str">
            <v>CR</v>
          </cell>
          <cell r="F785" t="str">
            <v>SPCC-SD</v>
          </cell>
          <cell r="G785">
            <v>1.6</v>
          </cell>
          <cell r="H785">
            <v>82</v>
          </cell>
          <cell r="I785" t="str">
            <v>C</v>
          </cell>
          <cell r="J785" t="str">
            <v>CS01/7</v>
          </cell>
          <cell r="K785">
            <v>60056442</v>
          </cell>
          <cell r="L785">
            <v>571</v>
          </cell>
          <cell r="M785" t="str">
            <v>E2-ND-06-TSA-0151</v>
          </cell>
        </row>
        <row r="786">
          <cell r="A786">
            <v>60056452</v>
          </cell>
          <cell r="C786">
            <v>60056452</v>
          </cell>
          <cell r="E786" t="str">
            <v>CR</v>
          </cell>
          <cell r="F786" t="str">
            <v>SPCEN-SD</v>
          </cell>
          <cell r="G786">
            <v>1.2</v>
          </cell>
          <cell r="H786">
            <v>40</v>
          </cell>
          <cell r="I786" t="str">
            <v>C</v>
          </cell>
          <cell r="J786" t="str">
            <v>CS01/12</v>
          </cell>
          <cell r="K786">
            <v>60056452</v>
          </cell>
          <cell r="L786">
            <v>250</v>
          </cell>
        </row>
        <row r="787">
          <cell r="A787">
            <v>60056455</v>
          </cell>
          <cell r="C787">
            <v>60056455</v>
          </cell>
          <cell r="E787" t="str">
            <v>CR</v>
          </cell>
          <cell r="F787" t="str">
            <v>SPCEN-SD</v>
          </cell>
          <cell r="G787">
            <v>1.2</v>
          </cell>
          <cell r="H787">
            <v>40</v>
          </cell>
          <cell r="I787" t="str">
            <v>C</v>
          </cell>
          <cell r="J787" t="str">
            <v>CS01/12</v>
          </cell>
          <cell r="K787">
            <v>60056455</v>
          </cell>
          <cell r="L787">
            <v>260</v>
          </cell>
        </row>
        <row r="788">
          <cell r="A788">
            <v>60056458</v>
          </cell>
          <cell r="C788">
            <v>60056458</v>
          </cell>
          <cell r="E788" t="str">
            <v>CR</v>
          </cell>
          <cell r="F788" t="str">
            <v>SPCEN-SD</v>
          </cell>
          <cell r="G788">
            <v>1.2</v>
          </cell>
          <cell r="H788">
            <v>40</v>
          </cell>
          <cell r="I788" t="str">
            <v>C</v>
          </cell>
          <cell r="J788" t="str">
            <v>CS01/12</v>
          </cell>
          <cell r="K788">
            <v>60056458</v>
          </cell>
          <cell r="L788">
            <v>131</v>
          </cell>
        </row>
        <row r="789">
          <cell r="A789">
            <v>60056689</v>
          </cell>
          <cell r="C789">
            <v>60056689</v>
          </cell>
          <cell r="E789" t="str">
            <v>CR</v>
          </cell>
          <cell r="F789" t="str">
            <v>SPCEN-SD</v>
          </cell>
          <cell r="G789">
            <v>1.2</v>
          </cell>
          <cell r="H789">
            <v>40</v>
          </cell>
          <cell r="I789" t="str">
            <v>C</v>
          </cell>
          <cell r="J789" t="str">
            <v>CS01/12</v>
          </cell>
          <cell r="K789">
            <v>60056689</v>
          </cell>
          <cell r="L789">
            <v>31</v>
          </cell>
        </row>
        <row r="790">
          <cell r="A790">
            <v>60056692</v>
          </cell>
          <cell r="C790">
            <v>60056692</v>
          </cell>
          <cell r="E790" t="str">
            <v>CR</v>
          </cell>
          <cell r="F790" t="str">
            <v>SPCEN-SD</v>
          </cell>
          <cell r="G790">
            <v>1.2</v>
          </cell>
          <cell r="H790">
            <v>40</v>
          </cell>
          <cell r="I790" t="str">
            <v>C</v>
          </cell>
          <cell r="J790" t="str">
            <v>CS01/12</v>
          </cell>
          <cell r="K790">
            <v>60056692</v>
          </cell>
          <cell r="L790">
            <v>68</v>
          </cell>
        </row>
        <row r="791">
          <cell r="A791">
            <v>60057002</v>
          </cell>
          <cell r="C791">
            <v>60057002</v>
          </cell>
          <cell r="E791" t="str">
            <v>CR</v>
          </cell>
          <cell r="F791" t="str">
            <v>SPCC-SD</v>
          </cell>
          <cell r="G791">
            <v>3</v>
          </cell>
          <cell r="H791">
            <v>78</v>
          </cell>
          <cell r="I791" t="str">
            <v>C</v>
          </cell>
          <cell r="J791" t="str">
            <v>CS01/11</v>
          </cell>
          <cell r="K791">
            <v>60057002</v>
          </cell>
          <cell r="L791">
            <v>268</v>
          </cell>
        </row>
        <row r="792">
          <cell r="A792">
            <v>60057007</v>
          </cell>
          <cell r="C792">
            <v>60057007</v>
          </cell>
          <cell r="E792" t="str">
            <v>CR</v>
          </cell>
          <cell r="F792" t="str">
            <v>SPCC-SD</v>
          </cell>
          <cell r="G792">
            <v>3</v>
          </cell>
          <cell r="H792">
            <v>78</v>
          </cell>
          <cell r="I792" t="str">
            <v>C</v>
          </cell>
          <cell r="J792" t="str">
            <v>CS01/11</v>
          </cell>
          <cell r="K792">
            <v>60057007</v>
          </cell>
          <cell r="L792">
            <v>266</v>
          </cell>
        </row>
        <row r="793">
          <cell r="A793">
            <v>60057020</v>
          </cell>
          <cell r="C793">
            <v>60057020</v>
          </cell>
          <cell r="E793" t="str">
            <v>CR</v>
          </cell>
          <cell r="F793" t="str">
            <v>SPCC-SD</v>
          </cell>
          <cell r="G793">
            <v>3</v>
          </cell>
          <cell r="H793">
            <v>78</v>
          </cell>
          <cell r="I793" t="str">
            <v>C</v>
          </cell>
          <cell r="J793" t="str">
            <v>CS01/12</v>
          </cell>
          <cell r="K793">
            <v>60057020</v>
          </cell>
          <cell r="L793">
            <v>304</v>
          </cell>
        </row>
        <row r="794">
          <cell r="A794">
            <v>60057025</v>
          </cell>
          <cell r="C794">
            <v>60057025</v>
          </cell>
          <cell r="E794" t="str">
            <v>CR</v>
          </cell>
          <cell r="F794" t="str">
            <v>SPCC-SD</v>
          </cell>
          <cell r="G794">
            <v>3</v>
          </cell>
          <cell r="H794">
            <v>78</v>
          </cell>
          <cell r="I794" t="str">
            <v>C</v>
          </cell>
          <cell r="J794" t="str">
            <v>CS01/11</v>
          </cell>
          <cell r="K794">
            <v>60057025</v>
          </cell>
          <cell r="L794">
            <v>298</v>
          </cell>
        </row>
        <row r="795">
          <cell r="A795">
            <v>60057103</v>
          </cell>
          <cell r="B795" t="str">
            <v>PO SPHC P/O 2.6x79xC</v>
          </cell>
          <cell r="C795">
            <v>60057103</v>
          </cell>
          <cell r="D795" t="str">
            <v>PO SPHC P/O</v>
          </cell>
          <cell r="E795" t="str">
            <v>PO</v>
          </cell>
          <cell r="F795" t="str">
            <v>SPHC P/O</v>
          </cell>
          <cell r="G795">
            <v>2.6</v>
          </cell>
          <cell r="H795">
            <v>79</v>
          </cell>
          <cell r="I795" t="str">
            <v>C</v>
          </cell>
          <cell r="J795" t="str">
            <v>CS01/5</v>
          </cell>
          <cell r="K795">
            <v>60057103</v>
          </cell>
          <cell r="L795">
            <v>176</v>
          </cell>
          <cell r="M795" t="str">
            <v>E2-ND-06-TSA-0154</v>
          </cell>
        </row>
        <row r="796">
          <cell r="A796">
            <v>60057104</v>
          </cell>
          <cell r="B796" t="str">
            <v>PO SPHC P/O 2.6x79xC</v>
          </cell>
          <cell r="C796">
            <v>60057104</v>
          </cell>
          <cell r="D796" t="str">
            <v>PO SPHC P/O</v>
          </cell>
          <cell r="E796" t="str">
            <v>PO</v>
          </cell>
          <cell r="F796" t="str">
            <v>SPHC P/O</v>
          </cell>
          <cell r="G796">
            <v>2.6</v>
          </cell>
          <cell r="H796">
            <v>79</v>
          </cell>
          <cell r="I796" t="str">
            <v>C</v>
          </cell>
          <cell r="J796" t="str">
            <v>CS01/5</v>
          </cell>
          <cell r="K796">
            <v>60057104</v>
          </cell>
          <cell r="L796">
            <v>176</v>
          </cell>
          <cell r="M796" t="str">
            <v>E2-ND-06-TSA-0154</v>
          </cell>
        </row>
        <row r="797">
          <cell r="A797">
            <v>60057175</v>
          </cell>
          <cell r="B797" t="str">
            <v>CR SPCC-SD 1.6x82xC</v>
          </cell>
          <cell r="C797">
            <v>60057175</v>
          </cell>
          <cell r="D797" t="str">
            <v>CR SPCC-SD</v>
          </cell>
          <cell r="E797" t="str">
            <v>CR</v>
          </cell>
          <cell r="F797" t="str">
            <v>SPCC-SD</v>
          </cell>
          <cell r="G797">
            <v>1.6</v>
          </cell>
          <cell r="H797">
            <v>82</v>
          </cell>
          <cell r="I797" t="str">
            <v>C</v>
          </cell>
          <cell r="J797" t="str">
            <v>CS01/7</v>
          </cell>
          <cell r="K797">
            <v>60057175</v>
          </cell>
          <cell r="L797">
            <v>445</v>
          </cell>
          <cell r="M797" t="str">
            <v>E2-ND-06-TSA-0151</v>
          </cell>
        </row>
        <row r="798">
          <cell r="A798">
            <v>60057176</v>
          </cell>
          <cell r="B798" t="str">
            <v>CR SPCC-SD 1.6x82xC</v>
          </cell>
          <cell r="C798">
            <v>60057176</v>
          </cell>
          <cell r="D798" t="str">
            <v>CR SPCC-SD</v>
          </cell>
          <cell r="E798" t="str">
            <v>CR</v>
          </cell>
          <cell r="F798" t="str">
            <v>SPCC-SD</v>
          </cell>
          <cell r="G798">
            <v>1.6</v>
          </cell>
          <cell r="H798">
            <v>82</v>
          </cell>
          <cell r="I798" t="str">
            <v>C</v>
          </cell>
          <cell r="J798" t="str">
            <v>CS01/7</v>
          </cell>
          <cell r="K798">
            <v>60057176</v>
          </cell>
          <cell r="L798">
            <v>445</v>
          </cell>
          <cell r="M798" t="str">
            <v>E2-ND-06-TSA-0151</v>
          </cell>
        </row>
        <row r="799">
          <cell r="A799">
            <v>60057179</v>
          </cell>
          <cell r="B799" t="str">
            <v>CR SPCC-SD 1.6x82xC</v>
          </cell>
          <cell r="C799">
            <v>60057179</v>
          </cell>
          <cell r="D799" t="str">
            <v>CR SPCC-SD</v>
          </cell>
          <cell r="E799" t="str">
            <v>CR</v>
          </cell>
          <cell r="F799" t="str">
            <v>SPCC-SD</v>
          </cell>
          <cell r="G799">
            <v>1.6</v>
          </cell>
          <cell r="H799">
            <v>82</v>
          </cell>
          <cell r="I799" t="str">
            <v>C</v>
          </cell>
          <cell r="J799" t="str">
            <v>CS01/7</v>
          </cell>
          <cell r="K799">
            <v>60057179</v>
          </cell>
          <cell r="L799">
            <v>467</v>
          </cell>
          <cell r="M799" t="str">
            <v>E2-ND-06-TSA-0152</v>
          </cell>
        </row>
        <row r="800">
          <cell r="A800">
            <v>60057296</v>
          </cell>
          <cell r="B800" t="str">
            <v>CR SPCC-SD 0.6x48xC</v>
          </cell>
          <cell r="C800">
            <v>60057296</v>
          </cell>
          <cell r="D800" t="str">
            <v>CR SPCC-SD</v>
          </cell>
          <cell r="E800" t="str">
            <v>CR</v>
          </cell>
          <cell r="F800" t="str">
            <v>SPCC-SD</v>
          </cell>
          <cell r="G800">
            <v>0.6</v>
          </cell>
          <cell r="H800">
            <v>48</v>
          </cell>
          <cell r="I800" t="str">
            <v>C</v>
          </cell>
          <cell r="J800" t="str">
            <v>CS01/5</v>
          </cell>
          <cell r="K800">
            <v>60057296</v>
          </cell>
          <cell r="L800">
            <v>135</v>
          </cell>
          <cell r="M800" t="str">
            <v>E1-ND-06-TSA-0361</v>
          </cell>
        </row>
        <row r="801">
          <cell r="A801">
            <v>60057300</v>
          </cell>
          <cell r="B801" t="str">
            <v>CR SPCC-SD 0.6x48xC</v>
          </cell>
          <cell r="C801">
            <v>60057300</v>
          </cell>
          <cell r="D801" t="str">
            <v>CR SPCC-SD</v>
          </cell>
          <cell r="E801" t="str">
            <v>CR</v>
          </cell>
          <cell r="F801" t="str">
            <v>SPCC-SD</v>
          </cell>
          <cell r="G801">
            <v>0.6</v>
          </cell>
          <cell r="H801">
            <v>48</v>
          </cell>
          <cell r="I801" t="str">
            <v>C</v>
          </cell>
          <cell r="J801" t="str">
            <v>CS01/5</v>
          </cell>
          <cell r="K801">
            <v>60057300</v>
          </cell>
          <cell r="L801">
            <v>137</v>
          </cell>
          <cell r="M801" t="str">
            <v>E1-ND-06-TSA-0361</v>
          </cell>
        </row>
        <row r="802">
          <cell r="A802">
            <v>60057303</v>
          </cell>
          <cell r="B802" t="str">
            <v>CR SPCC-SD 0.6x52xC</v>
          </cell>
          <cell r="C802">
            <v>60057303</v>
          </cell>
          <cell r="D802" t="str">
            <v>CR SPCC-SD</v>
          </cell>
          <cell r="E802" t="str">
            <v>CR</v>
          </cell>
          <cell r="F802" t="str">
            <v>SPCC-SD</v>
          </cell>
          <cell r="G802">
            <v>0.6</v>
          </cell>
          <cell r="H802">
            <v>52</v>
          </cell>
          <cell r="I802" t="str">
            <v>C</v>
          </cell>
          <cell r="J802" t="str">
            <v>CS01/8</v>
          </cell>
          <cell r="K802">
            <v>60057303</v>
          </cell>
          <cell r="L802">
            <v>416</v>
          </cell>
          <cell r="M802" t="str">
            <v>E1-ND-06-TSA-0362</v>
          </cell>
        </row>
        <row r="803">
          <cell r="A803">
            <v>60057325</v>
          </cell>
          <cell r="B803" t="str">
            <v>CR SPCC-SD 0.6x52xC</v>
          </cell>
          <cell r="C803">
            <v>60057325</v>
          </cell>
          <cell r="D803" t="str">
            <v>CR SPCC-SD</v>
          </cell>
          <cell r="E803" t="str">
            <v>CR</v>
          </cell>
          <cell r="F803" t="str">
            <v>SPCC-SD</v>
          </cell>
          <cell r="G803">
            <v>0.6</v>
          </cell>
          <cell r="H803">
            <v>52</v>
          </cell>
          <cell r="I803" t="str">
            <v>C</v>
          </cell>
          <cell r="J803" t="str">
            <v>CS01/8</v>
          </cell>
          <cell r="K803">
            <v>60057325</v>
          </cell>
          <cell r="L803">
            <v>284</v>
          </cell>
          <cell r="M803" t="str">
            <v>E1-ND-06-TSA-0362</v>
          </cell>
        </row>
        <row r="804">
          <cell r="A804">
            <v>60057329</v>
          </cell>
          <cell r="B804" t="str">
            <v>CR SPCC-SD 0.6x52xC</v>
          </cell>
          <cell r="C804">
            <v>60057329</v>
          </cell>
          <cell r="D804" t="str">
            <v>CR SPCC-SD</v>
          </cell>
          <cell r="E804" t="str">
            <v>CR</v>
          </cell>
          <cell r="F804" t="str">
            <v>SPCC-SD</v>
          </cell>
          <cell r="G804">
            <v>0.6</v>
          </cell>
          <cell r="H804">
            <v>52</v>
          </cell>
          <cell r="I804" t="str">
            <v>C</v>
          </cell>
          <cell r="J804" t="str">
            <v>CS01/8</v>
          </cell>
          <cell r="K804">
            <v>60057329</v>
          </cell>
          <cell r="L804">
            <v>303</v>
          </cell>
          <cell r="M804" t="str">
            <v>E1-ND-06-TSA-0362</v>
          </cell>
        </row>
        <row r="805">
          <cell r="A805">
            <v>60057335</v>
          </cell>
          <cell r="B805" t="str">
            <v>CR SPCC-SD 0.6x52xC</v>
          </cell>
          <cell r="C805">
            <v>60057335</v>
          </cell>
          <cell r="D805" t="str">
            <v>CR SPCC-SD</v>
          </cell>
          <cell r="E805" t="str">
            <v>CR</v>
          </cell>
          <cell r="F805" t="str">
            <v>SPCC-SD</v>
          </cell>
          <cell r="G805">
            <v>0.6</v>
          </cell>
          <cell r="H805">
            <v>52</v>
          </cell>
          <cell r="I805" t="str">
            <v>C</v>
          </cell>
          <cell r="J805" t="str">
            <v>CS01/8</v>
          </cell>
          <cell r="K805">
            <v>60057335</v>
          </cell>
          <cell r="L805">
            <v>310</v>
          </cell>
          <cell r="M805" t="str">
            <v>E1-ND-06-TSA-0362</v>
          </cell>
        </row>
        <row r="806">
          <cell r="A806">
            <v>60057342</v>
          </cell>
          <cell r="B806" t="str">
            <v>CR SPCC-SD 0.6x52xC</v>
          </cell>
          <cell r="C806">
            <v>60057342</v>
          </cell>
          <cell r="D806" t="str">
            <v>CR SPCC-SD</v>
          </cell>
          <cell r="E806" t="str">
            <v>CR</v>
          </cell>
          <cell r="F806" t="str">
            <v>SPCC-SD</v>
          </cell>
          <cell r="G806">
            <v>0.6</v>
          </cell>
          <cell r="H806">
            <v>52</v>
          </cell>
          <cell r="I806" t="str">
            <v>C</v>
          </cell>
          <cell r="J806" t="str">
            <v>CS01/8</v>
          </cell>
          <cell r="K806">
            <v>60057342</v>
          </cell>
          <cell r="L806">
            <v>210</v>
          </cell>
          <cell r="M806" t="str">
            <v>E1-ND-06-TSA-0362</v>
          </cell>
        </row>
        <row r="807">
          <cell r="A807">
            <v>60057510</v>
          </cell>
          <cell r="C807">
            <v>60057510</v>
          </cell>
          <cell r="E807" t="str">
            <v>CR</v>
          </cell>
          <cell r="F807" t="str">
            <v>SPCEN-SD</v>
          </cell>
          <cell r="G807">
            <v>1</v>
          </cell>
          <cell r="H807">
            <v>82</v>
          </cell>
          <cell r="I807" t="str">
            <v>C</v>
          </cell>
          <cell r="J807" t="str">
            <v>CS01/12</v>
          </cell>
          <cell r="K807">
            <v>60057510</v>
          </cell>
          <cell r="L807">
            <v>148</v>
          </cell>
        </row>
        <row r="808">
          <cell r="A808">
            <v>60057584</v>
          </cell>
          <cell r="C808">
            <v>60057584</v>
          </cell>
          <cell r="E808" t="str">
            <v>CR</v>
          </cell>
          <cell r="F808" t="str">
            <v>SPCEN-SD</v>
          </cell>
          <cell r="G808">
            <v>0.8</v>
          </cell>
          <cell r="H808">
            <v>73</v>
          </cell>
          <cell r="I808" t="str">
            <v>C</v>
          </cell>
          <cell r="J808" t="str">
            <v>CS01/12</v>
          </cell>
          <cell r="K808">
            <v>60057584</v>
          </cell>
          <cell r="L808">
            <v>205</v>
          </cell>
        </row>
        <row r="809">
          <cell r="A809">
            <v>60057780</v>
          </cell>
          <cell r="B809" t="str">
            <v>CR SPCC-SD 2.0x38xC</v>
          </cell>
          <cell r="C809">
            <v>60057780</v>
          </cell>
          <cell r="D809" t="str">
            <v>CR SPCC-SD</v>
          </cell>
          <cell r="E809" t="str">
            <v>CR</v>
          </cell>
          <cell r="F809" t="str">
            <v>SPCC-SD</v>
          </cell>
          <cell r="G809">
            <v>2</v>
          </cell>
          <cell r="H809">
            <v>38</v>
          </cell>
          <cell r="I809" t="str">
            <v>C</v>
          </cell>
          <cell r="J809" t="str">
            <v>CS01/9</v>
          </cell>
          <cell r="K809">
            <v>60057780</v>
          </cell>
          <cell r="L809">
            <v>298</v>
          </cell>
          <cell r="M809" t="str">
            <v>E2-ND-06-TSA-0152</v>
          </cell>
        </row>
        <row r="810">
          <cell r="A810">
            <v>60057862</v>
          </cell>
          <cell r="B810" t="str">
            <v>CR SPCC-SD 1.2x46xC</v>
          </cell>
          <cell r="C810">
            <v>60057862</v>
          </cell>
          <cell r="D810" t="str">
            <v>CR SPCC-SD</v>
          </cell>
          <cell r="E810" t="str">
            <v>CR</v>
          </cell>
          <cell r="F810" t="str">
            <v>SPCC-SD</v>
          </cell>
          <cell r="G810">
            <v>1.2</v>
          </cell>
          <cell r="H810">
            <v>46</v>
          </cell>
          <cell r="I810" t="str">
            <v>C</v>
          </cell>
          <cell r="J810" t="str">
            <v>CS01/5</v>
          </cell>
          <cell r="K810">
            <v>60057862</v>
          </cell>
          <cell r="L810">
            <v>85</v>
          </cell>
          <cell r="M810" t="str">
            <v>E1-ND-06-TSA-0362</v>
          </cell>
        </row>
        <row r="811">
          <cell r="A811">
            <v>60058202</v>
          </cell>
          <cell r="B811" t="str">
            <v>PO SPHC P/O 2.0x48xC</v>
          </cell>
          <cell r="C811">
            <v>60058202</v>
          </cell>
          <cell r="D811" t="str">
            <v>PO SPHC P/O</v>
          </cell>
          <cell r="E811" t="str">
            <v>PO</v>
          </cell>
          <cell r="F811" t="str">
            <v>SPHC P/O</v>
          </cell>
          <cell r="G811">
            <v>2</v>
          </cell>
          <cell r="H811">
            <v>48</v>
          </cell>
          <cell r="I811" t="str">
            <v>C</v>
          </cell>
          <cell r="J811" t="str">
            <v>CS01/7</v>
          </cell>
          <cell r="K811">
            <v>60058202</v>
          </cell>
          <cell r="L811">
            <v>84</v>
          </cell>
          <cell r="M811" t="str">
            <v>E2-ND-06-TSA-0153</v>
          </cell>
        </row>
        <row r="812">
          <cell r="A812">
            <v>60058203</v>
          </cell>
          <cell r="B812" t="str">
            <v>PO SPHC P/O 2.0x48xC</v>
          </cell>
          <cell r="C812">
            <v>60058203</v>
          </cell>
          <cell r="D812" t="str">
            <v>PO SPHC P/O</v>
          </cell>
          <cell r="E812" t="str">
            <v>PO</v>
          </cell>
          <cell r="F812" t="str">
            <v>SPHC P/O</v>
          </cell>
          <cell r="G812">
            <v>2</v>
          </cell>
          <cell r="H812">
            <v>48</v>
          </cell>
          <cell r="I812" t="str">
            <v>C</v>
          </cell>
          <cell r="J812" t="str">
            <v>CS01/7</v>
          </cell>
          <cell r="K812">
            <v>60058203</v>
          </cell>
          <cell r="L812">
            <v>84</v>
          </cell>
          <cell r="M812" t="str">
            <v>E2-ND-06-TSA-0153</v>
          </cell>
        </row>
        <row r="813">
          <cell r="A813">
            <v>60058254</v>
          </cell>
          <cell r="C813">
            <v>60058254</v>
          </cell>
          <cell r="E813" t="str">
            <v>CR</v>
          </cell>
          <cell r="F813" t="str">
            <v>SPCC-SD</v>
          </cell>
          <cell r="G813">
            <v>1</v>
          </cell>
          <cell r="H813">
            <v>98</v>
          </cell>
          <cell r="I813" t="str">
            <v>C</v>
          </cell>
          <cell r="J813" t="str">
            <v>CS01/12</v>
          </cell>
          <cell r="K813">
            <v>60058254</v>
          </cell>
          <cell r="L813">
            <v>284</v>
          </cell>
        </row>
        <row r="814">
          <cell r="A814">
            <v>60058261</v>
          </cell>
          <cell r="C814">
            <v>60058261</v>
          </cell>
          <cell r="E814" t="str">
            <v>PO</v>
          </cell>
          <cell r="F814" t="str">
            <v>SPHC P/O</v>
          </cell>
          <cell r="G814">
            <v>1.6</v>
          </cell>
          <cell r="H814">
            <v>61</v>
          </cell>
          <cell r="I814" t="str">
            <v>C</v>
          </cell>
          <cell r="J814" t="str">
            <v>CS01/12</v>
          </cell>
          <cell r="K814">
            <v>60058261</v>
          </cell>
          <cell r="L814">
            <v>144</v>
          </cell>
        </row>
        <row r="815">
          <cell r="A815">
            <v>60058297</v>
          </cell>
          <cell r="C815">
            <v>60058297</v>
          </cell>
          <cell r="E815" t="str">
            <v>PO</v>
          </cell>
          <cell r="F815" t="str">
            <v>SPHC P/O</v>
          </cell>
          <cell r="G815">
            <v>2.2999999999999998</v>
          </cell>
          <cell r="H815">
            <v>72</v>
          </cell>
          <cell r="I815" t="str">
            <v>C</v>
          </cell>
          <cell r="J815" t="str">
            <v>CS01/12</v>
          </cell>
          <cell r="K815">
            <v>60058297</v>
          </cell>
          <cell r="L815">
            <v>128</v>
          </cell>
        </row>
        <row r="816">
          <cell r="A816">
            <v>60059122</v>
          </cell>
          <cell r="B816" t="str">
            <v>CR SPCC-SD 1.6x77xC</v>
          </cell>
          <cell r="C816">
            <v>60059122</v>
          </cell>
          <cell r="D816" t="str">
            <v>CR SPCC-SD</v>
          </cell>
          <cell r="E816" t="str">
            <v>CR</v>
          </cell>
          <cell r="F816" t="str">
            <v>SPCC-SD</v>
          </cell>
          <cell r="G816">
            <v>1.6</v>
          </cell>
          <cell r="H816">
            <v>77</v>
          </cell>
          <cell r="I816" t="str">
            <v>C</v>
          </cell>
          <cell r="J816" t="str">
            <v>CS01/7</v>
          </cell>
          <cell r="K816">
            <v>60059122</v>
          </cell>
          <cell r="L816">
            <v>290</v>
          </cell>
          <cell r="M816" t="str">
            <v>E2-ND-06-TSA-0151</v>
          </cell>
        </row>
        <row r="817">
          <cell r="A817">
            <v>60060238</v>
          </cell>
          <cell r="B817" t="str">
            <v>PO SPHC P/O 2.0x87xC</v>
          </cell>
          <cell r="C817">
            <v>60060238</v>
          </cell>
          <cell r="D817" t="str">
            <v>PO SPHC P/O</v>
          </cell>
          <cell r="E817" t="str">
            <v>PO</v>
          </cell>
          <cell r="F817" t="str">
            <v>SPHC P/O</v>
          </cell>
          <cell r="G817">
            <v>2</v>
          </cell>
          <cell r="H817">
            <v>87</v>
          </cell>
          <cell r="I817" t="str">
            <v>C</v>
          </cell>
          <cell r="J817" t="str">
            <v>CS01/5</v>
          </cell>
          <cell r="K817">
            <v>60060238</v>
          </cell>
          <cell r="L817">
            <v>318</v>
          </cell>
          <cell r="M817" t="str">
            <v>E2-ND-06-TSA-0153</v>
          </cell>
        </row>
        <row r="818">
          <cell r="A818">
            <v>60060239</v>
          </cell>
          <cell r="B818" t="str">
            <v>PO SPHC P/O 2.0x87xC</v>
          </cell>
          <cell r="C818">
            <v>60060239</v>
          </cell>
          <cell r="D818" t="str">
            <v>PO SPHC P/O</v>
          </cell>
          <cell r="E818" t="str">
            <v>PO</v>
          </cell>
          <cell r="F818" t="str">
            <v>SPHC P/O</v>
          </cell>
          <cell r="G818">
            <v>2</v>
          </cell>
          <cell r="H818">
            <v>87</v>
          </cell>
          <cell r="I818" t="str">
            <v>C</v>
          </cell>
          <cell r="J818" t="str">
            <v>CS01/5</v>
          </cell>
          <cell r="K818">
            <v>60060239</v>
          </cell>
          <cell r="L818">
            <v>318</v>
          </cell>
          <cell r="M818" t="str">
            <v>E2-ND-06-TSA-0153</v>
          </cell>
        </row>
        <row r="819">
          <cell r="A819">
            <v>60060240</v>
          </cell>
          <cell r="B819" t="str">
            <v>PO SPHC P/O 2.0x87xC</v>
          </cell>
          <cell r="C819">
            <v>60060240</v>
          </cell>
          <cell r="D819" t="str">
            <v>PO SPHC P/O</v>
          </cell>
          <cell r="E819" t="str">
            <v>PO</v>
          </cell>
          <cell r="F819" t="str">
            <v>SPHC P/O</v>
          </cell>
          <cell r="G819">
            <v>2</v>
          </cell>
          <cell r="H819">
            <v>87</v>
          </cell>
          <cell r="I819" t="str">
            <v>C</v>
          </cell>
          <cell r="J819" t="str">
            <v>CS01/5</v>
          </cell>
          <cell r="K819">
            <v>60060240</v>
          </cell>
          <cell r="L819">
            <v>318</v>
          </cell>
          <cell r="M819" t="str">
            <v>E2-ND-06-TSA-0153</v>
          </cell>
        </row>
        <row r="820">
          <cell r="A820">
            <v>60060241</v>
          </cell>
          <cell r="B820" t="str">
            <v>PO SPHC P/O 2.0x87xC</v>
          </cell>
          <cell r="C820">
            <v>60060241</v>
          </cell>
          <cell r="D820" t="str">
            <v>PO SPHC P/O</v>
          </cell>
          <cell r="E820" t="str">
            <v>PO</v>
          </cell>
          <cell r="F820" t="str">
            <v>SPHC P/O</v>
          </cell>
          <cell r="G820">
            <v>2</v>
          </cell>
          <cell r="H820">
            <v>87</v>
          </cell>
          <cell r="I820" t="str">
            <v>C</v>
          </cell>
          <cell r="J820" t="str">
            <v>CS01/5</v>
          </cell>
          <cell r="K820">
            <v>60060241</v>
          </cell>
          <cell r="L820">
            <v>318</v>
          </cell>
          <cell r="M820" t="str">
            <v>E2-ND-06-TSA-0154</v>
          </cell>
        </row>
        <row r="821">
          <cell r="A821">
            <v>60060581</v>
          </cell>
          <cell r="B821" t="str">
            <v>PO SPHC P/O 2.3x42xC</v>
          </cell>
          <cell r="C821">
            <v>60060581</v>
          </cell>
          <cell r="D821" t="str">
            <v>PO SPHC P/O</v>
          </cell>
          <cell r="E821" t="str">
            <v>PO</v>
          </cell>
          <cell r="F821" t="str">
            <v>SPHC P/O</v>
          </cell>
          <cell r="G821">
            <v>2.2999999999999998</v>
          </cell>
          <cell r="H821">
            <v>42</v>
          </cell>
          <cell r="I821" t="str">
            <v>C</v>
          </cell>
          <cell r="J821" t="str">
            <v>CS01/7</v>
          </cell>
          <cell r="K821">
            <v>60060581</v>
          </cell>
          <cell r="L821">
            <v>106</v>
          </cell>
          <cell r="M821" t="str">
            <v>E2-ND-06-TSA-0154</v>
          </cell>
        </row>
        <row r="822">
          <cell r="A822">
            <v>60060642</v>
          </cell>
          <cell r="B822" t="str">
            <v>CR SPCC-SD 1.6x30xC</v>
          </cell>
          <cell r="C822">
            <v>60060642</v>
          </cell>
          <cell r="D822" t="str">
            <v>CR SPCC-SD</v>
          </cell>
          <cell r="E822" t="str">
            <v>CR</v>
          </cell>
          <cell r="F822" t="str">
            <v>SPCC-SD</v>
          </cell>
          <cell r="G822">
            <v>1.6</v>
          </cell>
          <cell r="H822">
            <v>30</v>
          </cell>
          <cell r="I822" t="str">
            <v>C</v>
          </cell>
          <cell r="J822" t="str">
            <v>CS01/9</v>
          </cell>
          <cell r="K822">
            <v>60060642</v>
          </cell>
          <cell r="L822">
            <v>86</v>
          </cell>
          <cell r="M822" t="str">
            <v>E1-NJ-06-TSA-0377</v>
          </cell>
        </row>
        <row r="823">
          <cell r="A823">
            <v>60060647</v>
          </cell>
          <cell r="B823" t="str">
            <v>CR SPCC-SD 1.6x30xC</v>
          </cell>
          <cell r="C823">
            <v>60060647</v>
          </cell>
          <cell r="D823" t="str">
            <v>CR SPCC-SD</v>
          </cell>
          <cell r="E823" t="str">
            <v>CR</v>
          </cell>
          <cell r="F823" t="str">
            <v>SPCC-SD</v>
          </cell>
          <cell r="G823">
            <v>1.6</v>
          </cell>
          <cell r="H823">
            <v>30</v>
          </cell>
          <cell r="I823" t="str">
            <v>C</v>
          </cell>
          <cell r="J823" t="str">
            <v>CS01/9</v>
          </cell>
          <cell r="K823">
            <v>60060647</v>
          </cell>
          <cell r="L823">
            <v>132</v>
          </cell>
          <cell r="M823" t="str">
            <v>E2-ND-06-TSA-0151</v>
          </cell>
        </row>
        <row r="824">
          <cell r="A824">
            <v>60060864</v>
          </cell>
          <cell r="C824">
            <v>60060864</v>
          </cell>
          <cell r="E824" t="str">
            <v>CR</v>
          </cell>
          <cell r="F824" t="str">
            <v>SPCC-SD</v>
          </cell>
          <cell r="G824">
            <v>0.4</v>
          </cell>
          <cell r="H824">
            <v>40</v>
          </cell>
          <cell r="I824" t="str">
            <v>C</v>
          </cell>
          <cell r="J824" t="str">
            <v>CS01/10</v>
          </cell>
          <cell r="K824">
            <v>60060864</v>
          </cell>
          <cell r="L824">
            <v>32</v>
          </cell>
        </row>
        <row r="825">
          <cell r="A825">
            <v>60061168</v>
          </cell>
          <cell r="B825" t="str">
            <v>CR SPCC-SD 1.6x82xC</v>
          </cell>
          <cell r="C825">
            <v>60061168</v>
          </cell>
          <cell r="D825" t="str">
            <v>CR SPCC-SD</v>
          </cell>
          <cell r="E825" t="str">
            <v>CR</v>
          </cell>
          <cell r="F825" t="str">
            <v>SPCC-SD</v>
          </cell>
          <cell r="G825">
            <v>1.6</v>
          </cell>
          <cell r="H825">
            <v>82</v>
          </cell>
          <cell r="I825" t="str">
            <v>C</v>
          </cell>
          <cell r="J825" t="str">
            <v>CS01/8</v>
          </cell>
          <cell r="K825">
            <v>60061168</v>
          </cell>
          <cell r="L825">
            <v>531</v>
          </cell>
          <cell r="M825" t="str">
            <v>E2-ND-06-TSA-0152</v>
          </cell>
        </row>
        <row r="826">
          <cell r="A826">
            <v>60061169</v>
          </cell>
          <cell r="B826" t="str">
            <v>CR SPCC-SD 1.6x82xC</v>
          </cell>
          <cell r="C826">
            <v>60061169</v>
          </cell>
          <cell r="D826" t="str">
            <v>CR SPCC-SD</v>
          </cell>
          <cell r="E826" t="str">
            <v>CR</v>
          </cell>
          <cell r="F826" t="str">
            <v>SPCC-SD</v>
          </cell>
          <cell r="G826">
            <v>1.6</v>
          </cell>
          <cell r="H826">
            <v>82</v>
          </cell>
          <cell r="I826" t="str">
            <v>C</v>
          </cell>
          <cell r="J826" t="str">
            <v>CS01/8</v>
          </cell>
          <cell r="K826">
            <v>60061169</v>
          </cell>
          <cell r="L826">
            <v>531</v>
          </cell>
          <cell r="M826" t="str">
            <v>E2-ND-06-TSA-0152</v>
          </cell>
        </row>
        <row r="827">
          <cell r="A827">
            <v>60061305</v>
          </cell>
          <cell r="C827">
            <v>60061305</v>
          </cell>
          <cell r="E827" t="str">
            <v>PO</v>
          </cell>
          <cell r="F827" t="str">
            <v>SPHC P/O</v>
          </cell>
          <cell r="G827">
            <v>2.6</v>
          </cell>
          <cell r="H827">
            <v>63</v>
          </cell>
          <cell r="I827" t="str">
            <v>C</v>
          </cell>
          <cell r="J827" t="str">
            <v>WIP</v>
          </cell>
          <cell r="K827">
            <v>60061305</v>
          </cell>
          <cell r="L827">
            <v>266</v>
          </cell>
        </row>
        <row r="828">
          <cell r="A828">
            <v>60061631</v>
          </cell>
          <cell r="B828" t="str">
            <v>CR SPCC-SD 0.6x52xC</v>
          </cell>
          <cell r="C828">
            <v>60061631</v>
          </cell>
          <cell r="D828" t="str">
            <v>CR SPCC-SD</v>
          </cell>
          <cell r="E828" t="str">
            <v>CR</v>
          </cell>
          <cell r="F828" t="str">
            <v>SPCC-SD</v>
          </cell>
          <cell r="G828">
            <v>0.6</v>
          </cell>
          <cell r="H828">
            <v>52</v>
          </cell>
          <cell r="I828" t="str">
            <v>C</v>
          </cell>
          <cell r="J828" t="str">
            <v>CS01/7</v>
          </cell>
          <cell r="K828">
            <v>60061631</v>
          </cell>
          <cell r="L828">
            <v>201</v>
          </cell>
          <cell r="M828" t="str">
            <v>E1-ND-06-TSA-0362</v>
          </cell>
        </row>
        <row r="829">
          <cell r="A829">
            <v>60061821</v>
          </cell>
          <cell r="B829" t="str">
            <v>CR SPCC-SD 1.2x86xC</v>
          </cell>
          <cell r="C829">
            <v>60061821</v>
          </cell>
          <cell r="D829" t="str">
            <v>CR SPCC-SD</v>
          </cell>
          <cell r="E829" t="str">
            <v>CR</v>
          </cell>
          <cell r="F829" t="str">
            <v>SPCC-SD</v>
          </cell>
          <cell r="G829">
            <v>1.2</v>
          </cell>
          <cell r="H829">
            <v>86</v>
          </cell>
          <cell r="I829" t="str">
            <v>C</v>
          </cell>
          <cell r="J829" t="str">
            <v>CS01/5</v>
          </cell>
          <cell r="K829">
            <v>60061821</v>
          </cell>
          <cell r="L829">
            <v>91</v>
          </cell>
          <cell r="M829" t="str">
            <v>E1-NJ-06-TSA-0376</v>
          </cell>
        </row>
        <row r="830">
          <cell r="A830">
            <v>60061822</v>
          </cell>
          <cell r="B830" t="str">
            <v>CR SPCC-SD 1.2x86xC</v>
          </cell>
          <cell r="C830">
            <v>60061822</v>
          </cell>
          <cell r="D830" t="str">
            <v>CR SPCC-SD</v>
          </cell>
          <cell r="E830" t="str">
            <v>CR</v>
          </cell>
          <cell r="F830" t="str">
            <v>SPCC-SD</v>
          </cell>
          <cell r="G830">
            <v>1.2</v>
          </cell>
          <cell r="H830">
            <v>86</v>
          </cell>
          <cell r="I830" t="str">
            <v>C</v>
          </cell>
          <cell r="J830" t="str">
            <v>CS01/5</v>
          </cell>
          <cell r="K830">
            <v>60061822</v>
          </cell>
          <cell r="L830">
            <v>91</v>
          </cell>
          <cell r="M830" t="str">
            <v>E1-NJ-06-TSA-0376</v>
          </cell>
        </row>
        <row r="831">
          <cell r="A831">
            <v>60061896</v>
          </cell>
          <cell r="B831" t="str">
            <v>CR SPCC-SD 0.8x93xC</v>
          </cell>
          <cell r="C831">
            <v>60061896</v>
          </cell>
          <cell r="D831" t="str">
            <v>CR SPCC-SD</v>
          </cell>
          <cell r="E831" t="str">
            <v>CR</v>
          </cell>
          <cell r="F831" t="str">
            <v>SPCC-SD</v>
          </cell>
          <cell r="G831">
            <v>0.8</v>
          </cell>
          <cell r="H831">
            <v>93</v>
          </cell>
          <cell r="I831" t="str">
            <v>C</v>
          </cell>
          <cell r="J831" t="str">
            <v>CS01/5</v>
          </cell>
          <cell r="K831">
            <v>60061896</v>
          </cell>
          <cell r="L831">
            <v>187</v>
          </cell>
          <cell r="M831" t="str">
            <v>E1-ND-06-TSA-0362</v>
          </cell>
        </row>
        <row r="832">
          <cell r="A832">
            <v>60061969</v>
          </cell>
          <cell r="B832" t="str">
            <v>CR SPCC-SD 1.0x82xC</v>
          </cell>
          <cell r="C832">
            <v>60061969</v>
          </cell>
          <cell r="D832" t="str">
            <v>CR SPCC-SD</v>
          </cell>
          <cell r="E832" t="str">
            <v>CR</v>
          </cell>
          <cell r="F832" t="str">
            <v>SPCC-SD</v>
          </cell>
          <cell r="G832">
            <v>1</v>
          </cell>
          <cell r="H832">
            <v>82</v>
          </cell>
          <cell r="I832" t="str">
            <v>C</v>
          </cell>
          <cell r="J832" t="str">
            <v>CS01/7</v>
          </cell>
          <cell r="K832">
            <v>60061969</v>
          </cell>
          <cell r="L832">
            <v>153</v>
          </cell>
          <cell r="M832" t="str">
            <v>E1-ND-06-TSA-0362</v>
          </cell>
        </row>
        <row r="833">
          <cell r="A833">
            <v>60061979</v>
          </cell>
          <cell r="B833" t="str">
            <v>CR SPCC-SD 1.0x82xC</v>
          </cell>
          <cell r="C833">
            <v>60061979</v>
          </cell>
          <cell r="D833" t="str">
            <v>CR SPCC-SD</v>
          </cell>
          <cell r="E833" t="str">
            <v>CR</v>
          </cell>
          <cell r="F833" t="str">
            <v>SPCC-SD</v>
          </cell>
          <cell r="G833">
            <v>1</v>
          </cell>
          <cell r="H833">
            <v>82</v>
          </cell>
          <cell r="I833" t="str">
            <v>C</v>
          </cell>
          <cell r="J833" t="str">
            <v>CS01/7</v>
          </cell>
          <cell r="K833">
            <v>60061979</v>
          </cell>
          <cell r="L833">
            <v>154</v>
          </cell>
          <cell r="M833" t="str">
            <v>E1-ND-06-TSA-0362</v>
          </cell>
        </row>
        <row r="834">
          <cell r="A834">
            <v>60061989</v>
          </cell>
          <cell r="B834" t="str">
            <v>CR SPCC-SD 1.0x82xC</v>
          </cell>
          <cell r="C834">
            <v>60061989</v>
          </cell>
          <cell r="D834" t="str">
            <v>CR SPCC-SD</v>
          </cell>
          <cell r="E834" t="str">
            <v>CR</v>
          </cell>
          <cell r="F834" t="str">
            <v>SPCC-SD</v>
          </cell>
          <cell r="G834">
            <v>1</v>
          </cell>
          <cell r="H834">
            <v>82</v>
          </cell>
          <cell r="I834" t="str">
            <v>C</v>
          </cell>
          <cell r="J834" t="str">
            <v>CS01/7</v>
          </cell>
          <cell r="K834">
            <v>60061989</v>
          </cell>
          <cell r="L834">
            <v>143</v>
          </cell>
          <cell r="M834" t="str">
            <v>E1-ND-06-TSA-0362</v>
          </cell>
        </row>
        <row r="835">
          <cell r="A835">
            <v>60062185</v>
          </cell>
          <cell r="C835">
            <v>60062185</v>
          </cell>
          <cell r="E835" t="str">
            <v>PO</v>
          </cell>
          <cell r="F835" t="str">
            <v>SPHC P/O</v>
          </cell>
          <cell r="G835">
            <v>2.2999999999999998</v>
          </cell>
          <cell r="H835">
            <v>72</v>
          </cell>
          <cell r="I835" t="str">
            <v>C</v>
          </cell>
          <cell r="J835" t="str">
            <v>CS01/12</v>
          </cell>
          <cell r="K835">
            <v>60062185</v>
          </cell>
          <cell r="L835">
            <v>94</v>
          </cell>
        </row>
        <row r="836">
          <cell r="A836">
            <v>60062218</v>
          </cell>
          <cell r="B836" t="str">
            <v>PO SPHC P/O 1.6x60xC</v>
          </cell>
          <cell r="C836">
            <v>60062218</v>
          </cell>
          <cell r="D836" t="str">
            <v>PO SPHC P/O</v>
          </cell>
          <cell r="E836" t="str">
            <v>PO</v>
          </cell>
          <cell r="F836" t="str">
            <v>SPHC P/O</v>
          </cell>
          <cell r="G836">
            <v>1.6</v>
          </cell>
          <cell r="H836">
            <v>60</v>
          </cell>
          <cell r="I836" t="str">
            <v>C</v>
          </cell>
          <cell r="J836" t="str">
            <v>CS01/5</v>
          </cell>
          <cell r="K836">
            <v>60062218</v>
          </cell>
          <cell r="L836">
            <v>77</v>
          </cell>
          <cell r="M836" t="str">
            <v>E2-ND-06-TSA-0153</v>
          </cell>
        </row>
        <row r="837">
          <cell r="A837">
            <v>60062219</v>
          </cell>
          <cell r="B837" t="str">
            <v>PO SPHC P/O 1.6x60xC</v>
          </cell>
          <cell r="C837">
            <v>60062219</v>
          </cell>
          <cell r="D837" t="str">
            <v>PO SPHC P/O</v>
          </cell>
          <cell r="E837" t="str">
            <v>PO</v>
          </cell>
          <cell r="F837" t="str">
            <v>SPHC P/O</v>
          </cell>
          <cell r="G837">
            <v>1.6</v>
          </cell>
          <cell r="H837">
            <v>60</v>
          </cell>
          <cell r="I837" t="str">
            <v>C</v>
          </cell>
          <cell r="J837" t="str">
            <v>CS01/8</v>
          </cell>
          <cell r="K837">
            <v>60062219</v>
          </cell>
          <cell r="L837">
            <v>77</v>
          </cell>
          <cell r="M837" t="str">
            <v>E2-ND-06-TSA-0153</v>
          </cell>
        </row>
        <row r="838">
          <cell r="A838">
            <v>60062220</v>
          </cell>
          <cell r="B838" t="str">
            <v>PO SPHC P/O 1.6x60xC</v>
          </cell>
          <cell r="C838">
            <v>60062220</v>
          </cell>
          <cell r="D838" t="str">
            <v>PO SPHC P/O</v>
          </cell>
          <cell r="E838" t="str">
            <v>PO</v>
          </cell>
          <cell r="F838" t="str">
            <v>SPHC P/O</v>
          </cell>
          <cell r="G838">
            <v>1.6</v>
          </cell>
          <cell r="H838">
            <v>60</v>
          </cell>
          <cell r="I838" t="str">
            <v>C</v>
          </cell>
          <cell r="J838" t="str">
            <v>CS01/8</v>
          </cell>
          <cell r="K838">
            <v>60062220</v>
          </cell>
          <cell r="L838">
            <v>77</v>
          </cell>
          <cell r="M838" t="str">
            <v>E2-ND-06-TSA-0153</v>
          </cell>
        </row>
        <row r="839">
          <cell r="A839">
            <v>60062263</v>
          </cell>
          <cell r="C839">
            <v>60062263</v>
          </cell>
          <cell r="E839" t="str">
            <v>PO</v>
          </cell>
          <cell r="F839" t="str">
            <v>SPHC P/O</v>
          </cell>
          <cell r="G839">
            <v>1.4</v>
          </cell>
          <cell r="H839">
            <v>66</v>
          </cell>
          <cell r="I839" t="str">
            <v>C</v>
          </cell>
          <cell r="J839" t="str">
            <v>CS01/10</v>
          </cell>
          <cell r="K839">
            <v>60062263</v>
          </cell>
          <cell r="L839">
            <v>151</v>
          </cell>
        </row>
        <row r="840">
          <cell r="A840">
            <v>60062815</v>
          </cell>
          <cell r="C840">
            <v>60062815</v>
          </cell>
          <cell r="E840" t="str">
            <v>CR</v>
          </cell>
          <cell r="F840" t="str">
            <v>SPCC-SD</v>
          </cell>
          <cell r="G840">
            <v>0.7</v>
          </cell>
          <cell r="H840">
            <v>44</v>
          </cell>
          <cell r="I840" t="str">
            <v>C</v>
          </cell>
          <cell r="J840" t="str">
            <v>CS01/10</v>
          </cell>
          <cell r="K840">
            <v>60062815</v>
          </cell>
          <cell r="L840">
            <v>65</v>
          </cell>
        </row>
        <row r="841">
          <cell r="A841">
            <v>60062852</v>
          </cell>
          <cell r="B841" t="str">
            <v>CR SPCC-SD 1.6x49xC</v>
          </cell>
          <cell r="C841">
            <v>60062852</v>
          </cell>
          <cell r="D841" t="str">
            <v>CR SPCC-SD</v>
          </cell>
          <cell r="E841" t="str">
            <v>CR</v>
          </cell>
          <cell r="F841" t="str">
            <v>SPCC-SD</v>
          </cell>
          <cell r="G841">
            <v>1.6</v>
          </cell>
          <cell r="H841">
            <v>49</v>
          </cell>
          <cell r="I841" t="str">
            <v>C</v>
          </cell>
          <cell r="J841" t="str">
            <v>CS01/7</v>
          </cell>
          <cell r="K841">
            <v>60062852</v>
          </cell>
          <cell r="L841">
            <v>104</v>
          </cell>
          <cell r="M841" t="str">
            <v>E2-ND-06-TSA-0151</v>
          </cell>
        </row>
        <row r="842">
          <cell r="A842">
            <v>60063056</v>
          </cell>
          <cell r="B842" t="str">
            <v>CR SPCC-SD 1.6x49xC</v>
          </cell>
          <cell r="C842">
            <v>60063056</v>
          </cell>
          <cell r="D842" t="str">
            <v>CR SPCC-SD</v>
          </cell>
          <cell r="E842" t="str">
            <v>CR</v>
          </cell>
          <cell r="F842" t="str">
            <v>SPCC-SD</v>
          </cell>
          <cell r="G842">
            <v>1.6</v>
          </cell>
          <cell r="H842">
            <v>49</v>
          </cell>
          <cell r="I842" t="str">
            <v>C</v>
          </cell>
          <cell r="J842" t="str">
            <v>CS01/7</v>
          </cell>
          <cell r="K842">
            <v>60063056</v>
          </cell>
          <cell r="L842">
            <v>87</v>
          </cell>
          <cell r="M842" t="str">
            <v>E2-ND-06-TSA-0151</v>
          </cell>
        </row>
        <row r="843">
          <cell r="A843">
            <v>60063227</v>
          </cell>
          <cell r="B843" t="str">
            <v>CR SPCC-SD 1.6x49xC</v>
          </cell>
          <cell r="C843">
            <v>60063227</v>
          </cell>
          <cell r="D843" t="str">
            <v>CR SPCC-SD</v>
          </cell>
          <cell r="E843" t="str">
            <v>CR</v>
          </cell>
          <cell r="F843" t="str">
            <v>SPCC-SD</v>
          </cell>
          <cell r="G843">
            <v>1.6</v>
          </cell>
          <cell r="H843">
            <v>49</v>
          </cell>
          <cell r="I843" t="str">
            <v>C</v>
          </cell>
          <cell r="J843" t="str">
            <v>CS01/8</v>
          </cell>
          <cell r="K843">
            <v>60063227</v>
          </cell>
          <cell r="L843">
            <v>404</v>
          </cell>
          <cell r="M843" t="str">
            <v>E2-ND-06-TSA-0151</v>
          </cell>
        </row>
        <row r="844">
          <cell r="A844">
            <v>60063405</v>
          </cell>
          <cell r="B844" t="str">
            <v>PO SPHC P/O 2.3x42xC</v>
          </cell>
          <cell r="C844">
            <v>60063405</v>
          </cell>
          <cell r="D844" t="str">
            <v>PO SPHC P/O</v>
          </cell>
          <cell r="E844" t="str">
            <v>PO</v>
          </cell>
          <cell r="F844" t="str">
            <v>SPHC P/O</v>
          </cell>
          <cell r="G844">
            <v>2.2999999999999998</v>
          </cell>
          <cell r="H844">
            <v>42</v>
          </cell>
          <cell r="I844" t="str">
            <v>C</v>
          </cell>
          <cell r="J844" t="str">
            <v>CS01/10</v>
          </cell>
          <cell r="K844">
            <v>60063405</v>
          </cell>
          <cell r="L844">
            <v>142</v>
          </cell>
          <cell r="M844" t="str">
            <v>E2-ND-06-TSA-0154</v>
          </cell>
        </row>
        <row r="845">
          <cell r="A845">
            <v>60063410</v>
          </cell>
          <cell r="B845" t="str">
            <v>PO SPHC P/O 2.3x42xC</v>
          </cell>
          <cell r="C845">
            <v>60063410</v>
          </cell>
          <cell r="D845" t="str">
            <v>PO SPHC P/O</v>
          </cell>
          <cell r="E845" t="str">
            <v>PO</v>
          </cell>
          <cell r="F845" t="str">
            <v>SPHC P/O</v>
          </cell>
          <cell r="G845">
            <v>2.2999999999999998</v>
          </cell>
          <cell r="H845">
            <v>42</v>
          </cell>
          <cell r="I845" t="str">
            <v>C</v>
          </cell>
          <cell r="J845" t="str">
            <v>CS01/8</v>
          </cell>
          <cell r="K845">
            <v>60063410</v>
          </cell>
          <cell r="L845">
            <v>62</v>
          </cell>
          <cell r="M845" t="str">
            <v>E2-ND-06-TSA-0154</v>
          </cell>
        </row>
        <row r="846">
          <cell r="A846">
            <v>60064015</v>
          </cell>
          <cell r="B846" t="str">
            <v>CR SPCC-SD 1.6x82xC</v>
          </cell>
          <cell r="C846">
            <v>60064015</v>
          </cell>
          <cell r="D846" t="str">
            <v>CR SPCC-SD</v>
          </cell>
          <cell r="E846" t="str">
            <v>CR</v>
          </cell>
          <cell r="F846" t="str">
            <v>SPCC-SD</v>
          </cell>
          <cell r="G846">
            <v>1.6</v>
          </cell>
          <cell r="H846">
            <v>82</v>
          </cell>
          <cell r="I846" t="str">
            <v>C</v>
          </cell>
          <cell r="J846" t="str">
            <v>CS01/8</v>
          </cell>
          <cell r="K846">
            <v>60064015</v>
          </cell>
          <cell r="L846">
            <v>404</v>
          </cell>
          <cell r="M846" t="str">
            <v>E2-ND-06-TSA-0152</v>
          </cell>
        </row>
        <row r="847">
          <cell r="A847">
            <v>60064115</v>
          </cell>
          <cell r="B847" t="str">
            <v>CR SPCC-SD 1.6x96xC</v>
          </cell>
          <cell r="C847">
            <v>60064115</v>
          </cell>
          <cell r="D847" t="str">
            <v>CR SPCC-SD</v>
          </cell>
          <cell r="E847" t="str">
            <v>CR</v>
          </cell>
          <cell r="F847" t="str">
            <v>SPCC-SD</v>
          </cell>
          <cell r="G847">
            <v>1.6</v>
          </cell>
          <cell r="H847">
            <v>96</v>
          </cell>
          <cell r="I847" t="str">
            <v>C</v>
          </cell>
          <cell r="J847" t="str">
            <v>CS01/9</v>
          </cell>
          <cell r="K847">
            <v>60064115</v>
          </cell>
          <cell r="L847">
            <v>206</v>
          </cell>
          <cell r="M847" t="str">
            <v>E2-ND-06-TSA-0152</v>
          </cell>
        </row>
        <row r="848">
          <cell r="A848">
            <v>60064398</v>
          </cell>
          <cell r="B848" t="str">
            <v>PO SPHC-DS 2.6x68xC</v>
          </cell>
          <cell r="C848">
            <v>60064398</v>
          </cell>
          <cell r="D848" t="str">
            <v>PO SPHC P/O</v>
          </cell>
          <cell r="E848" t="str">
            <v>PO</v>
          </cell>
          <cell r="F848" t="str">
            <v>SPHC-SD</v>
          </cell>
          <cell r="G848">
            <v>2.6</v>
          </cell>
          <cell r="H848">
            <v>68</v>
          </cell>
          <cell r="I848" t="str">
            <v>C</v>
          </cell>
          <cell r="J848" t="str">
            <v>CS01/6</v>
          </cell>
          <cell r="K848">
            <v>60064398</v>
          </cell>
          <cell r="L848">
            <v>244</v>
          </cell>
          <cell r="M848" t="str">
            <v>E2-ND-06-TSA-0154</v>
          </cell>
        </row>
        <row r="849">
          <cell r="A849">
            <v>60064399</v>
          </cell>
          <cell r="B849" t="str">
            <v>PO SPHC-DS 2.6x68xC</v>
          </cell>
          <cell r="C849">
            <v>60064399</v>
          </cell>
          <cell r="D849" t="str">
            <v>PO SPHC P/O</v>
          </cell>
          <cell r="E849" t="str">
            <v>PO</v>
          </cell>
          <cell r="F849" t="str">
            <v>SPHC-SD</v>
          </cell>
          <cell r="G849">
            <v>2.6</v>
          </cell>
          <cell r="H849">
            <v>68</v>
          </cell>
          <cell r="I849" t="str">
            <v>C</v>
          </cell>
          <cell r="J849" t="str">
            <v>CS01/6</v>
          </cell>
          <cell r="K849">
            <v>60064399</v>
          </cell>
          <cell r="L849">
            <v>244</v>
          </cell>
          <cell r="M849" t="str">
            <v>E2-ND-06-TSA-0154</v>
          </cell>
        </row>
        <row r="850">
          <cell r="A850">
            <v>60064400</v>
          </cell>
          <cell r="B850" t="str">
            <v>PO SPHC-DS 2.6x68xC</v>
          </cell>
          <cell r="C850">
            <v>60064400</v>
          </cell>
          <cell r="D850" t="str">
            <v>PO SPHC P/O</v>
          </cell>
          <cell r="E850" t="str">
            <v>PO</v>
          </cell>
          <cell r="F850" t="str">
            <v>SPHC-SD</v>
          </cell>
          <cell r="G850">
            <v>2.6</v>
          </cell>
          <cell r="H850">
            <v>68</v>
          </cell>
          <cell r="I850" t="str">
            <v>C</v>
          </cell>
          <cell r="J850" t="str">
            <v>CS01/6</v>
          </cell>
          <cell r="K850">
            <v>60064400</v>
          </cell>
          <cell r="L850">
            <v>244</v>
          </cell>
          <cell r="M850" t="str">
            <v>E2-ND-06-TSA-0154</v>
          </cell>
        </row>
        <row r="851">
          <cell r="A851">
            <v>60064479</v>
          </cell>
          <cell r="B851" t="str">
            <v>CR SPCC-SD 1.2x72xC</v>
          </cell>
          <cell r="C851">
            <v>60064479</v>
          </cell>
          <cell r="D851" t="str">
            <v>CR SPCC-SD</v>
          </cell>
          <cell r="E851" t="str">
            <v>CR</v>
          </cell>
          <cell r="F851" t="str">
            <v>SPCC-SD</v>
          </cell>
          <cell r="G851">
            <v>1.2</v>
          </cell>
          <cell r="H851">
            <v>72</v>
          </cell>
          <cell r="I851" t="str">
            <v>C</v>
          </cell>
          <cell r="J851" t="str">
            <v>CS01/5</v>
          </cell>
          <cell r="K851">
            <v>60064479</v>
          </cell>
          <cell r="L851">
            <v>135</v>
          </cell>
          <cell r="M851" t="str">
            <v>E1-NJ-06-TSA-0375</v>
          </cell>
        </row>
        <row r="852">
          <cell r="A852">
            <v>60064480</v>
          </cell>
          <cell r="B852" t="str">
            <v>CR SPCC-SD 1.2x72xC</v>
          </cell>
          <cell r="C852">
            <v>60064480</v>
          </cell>
          <cell r="D852" t="str">
            <v>CR SPCC-SD</v>
          </cell>
          <cell r="E852" t="str">
            <v>CR</v>
          </cell>
          <cell r="F852" t="str">
            <v>SPCC-SD</v>
          </cell>
          <cell r="G852">
            <v>1.2</v>
          </cell>
          <cell r="H852">
            <v>72</v>
          </cell>
          <cell r="I852" t="str">
            <v>C</v>
          </cell>
          <cell r="J852" t="str">
            <v>CS01/5</v>
          </cell>
          <cell r="K852">
            <v>60064480</v>
          </cell>
          <cell r="L852">
            <v>135</v>
          </cell>
          <cell r="M852" t="str">
            <v>E1-NJ-06-TSA-0375</v>
          </cell>
        </row>
        <row r="853">
          <cell r="A853">
            <v>60064484</v>
          </cell>
          <cell r="B853" t="str">
            <v>PO SPHC-DS 2.0x73xC</v>
          </cell>
          <cell r="C853">
            <v>60064484</v>
          </cell>
          <cell r="D853" t="str">
            <v>PO SPHC P/O</v>
          </cell>
          <cell r="E853" t="str">
            <v>PO</v>
          </cell>
          <cell r="F853" t="str">
            <v>SPHC-SD</v>
          </cell>
          <cell r="G853">
            <v>2</v>
          </cell>
          <cell r="H853">
            <v>73</v>
          </cell>
          <cell r="I853" t="str">
            <v>C</v>
          </cell>
          <cell r="J853" t="str">
            <v>CS01/6</v>
          </cell>
          <cell r="K853">
            <v>60064484</v>
          </cell>
          <cell r="L853">
            <v>213</v>
          </cell>
          <cell r="M853" t="str">
            <v>E2-ND-06-TSA-0153</v>
          </cell>
        </row>
        <row r="854">
          <cell r="A854">
            <v>60064485</v>
          </cell>
          <cell r="B854" t="str">
            <v>PO SPHC-DS 2.0x73xC</v>
          </cell>
          <cell r="C854">
            <v>60064485</v>
          </cell>
          <cell r="D854" t="str">
            <v>PO SPHC P/O</v>
          </cell>
          <cell r="E854" t="str">
            <v>PO</v>
          </cell>
          <cell r="F854" t="str">
            <v>SPHC-SD</v>
          </cell>
          <cell r="G854">
            <v>2</v>
          </cell>
          <cell r="H854">
            <v>73</v>
          </cell>
          <cell r="I854" t="str">
            <v>C</v>
          </cell>
          <cell r="J854" t="str">
            <v>CS01/6</v>
          </cell>
          <cell r="K854">
            <v>60064485</v>
          </cell>
          <cell r="L854">
            <v>213</v>
          </cell>
          <cell r="M854" t="str">
            <v>E2-ND-06-TSA-0153</v>
          </cell>
        </row>
        <row r="855">
          <cell r="A855">
            <v>60064486</v>
          </cell>
          <cell r="B855" t="str">
            <v>PO SPHC-DS 2.0x73xC</v>
          </cell>
          <cell r="C855">
            <v>60064486</v>
          </cell>
          <cell r="D855" t="str">
            <v>PO SPHC P/O</v>
          </cell>
          <cell r="E855" t="str">
            <v>PO</v>
          </cell>
          <cell r="F855" t="str">
            <v>SPHC-SD</v>
          </cell>
          <cell r="G855">
            <v>2</v>
          </cell>
          <cell r="H855">
            <v>73</v>
          </cell>
          <cell r="I855" t="str">
            <v>C</v>
          </cell>
          <cell r="J855" t="str">
            <v>CS01/6</v>
          </cell>
          <cell r="K855">
            <v>60064486</v>
          </cell>
          <cell r="L855">
            <v>213</v>
          </cell>
          <cell r="M855" t="str">
            <v>E2-ND-06-TSA-0153</v>
          </cell>
        </row>
        <row r="856">
          <cell r="A856">
            <v>60065141</v>
          </cell>
          <cell r="B856" t="str">
            <v>CR SPCC-SD 1.2x90xC</v>
          </cell>
          <cell r="C856">
            <v>60065141</v>
          </cell>
          <cell r="D856" t="str">
            <v>CR SPCC-SD</v>
          </cell>
          <cell r="E856" t="str">
            <v>CR</v>
          </cell>
          <cell r="F856" t="str">
            <v>SPCC-SD</v>
          </cell>
          <cell r="G856">
            <v>1.2</v>
          </cell>
          <cell r="H856">
            <v>90</v>
          </cell>
          <cell r="I856" t="str">
            <v>C</v>
          </cell>
          <cell r="J856" t="str">
            <v>CS01/12</v>
          </cell>
          <cell r="K856">
            <v>60065141</v>
          </cell>
          <cell r="L856">
            <v>320</v>
          </cell>
          <cell r="M856" t="str">
            <v>E2-ND-06-TSA-0151</v>
          </cell>
        </row>
        <row r="857">
          <cell r="A857">
            <v>60065411</v>
          </cell>
          <cell r="B857" t="str">
            <v>CR SPCC-SD 1.6x77xC</v>
          </cell>
          <cell r="C857">
            <v>60065411</v>
          </cell>
          <cell r="D857" t="str">
            <v>CR SPCC-SD</v>
          </cell>
          <cell r="E857" t="str">
            <v>CR</v>
          </cell>
          <cell r="F857" t="str">
            <v>SPCC-SD</v>
          </cell>
          <cell r="G857">
            <v>1.6</v>
          </cell>
          <cell r="H857">
            <v>77</v>
          </cell>
          <cell r="I857" t="str">
            <v>C</v>
          </cell>
          <cell r="J857" t="str">
            <v>CS01/7</v>
          </cell>
          <cell r="K857">
            <v>60065411</v>
          </cell>
          <cell r="L857">
            <v>328</v>
          </cell>
          <cell r="M857" t="str">
            <v>E2-ND-06-TSA-0151</v>
          </cell>
        </row>
        <row r="858">
          <cell r="A858">
            <v>60065668</v>
          </cell>
          <cell r="B858" t="str">
            <v>CR SPCC-SD 1.6x37xC</v>
          </cell>
          <cell r="C858">
            <v>60065668</v>
          </cell>
          <cell r="D858" t="str">
            <v>CR SPCC-SD</v>
          </cell>
          <cell r="E858" t="str">
            <v>CR</v>
          </cell>
          <cell r="F858" t="str">
            <v>SPCC-SD</v>
          </cell>
          <cell r="G858">
            <v>1.6</v>
          </cell>
          <cell r="H858">
            <v>37</v>
          </cell>
          <cell r="I858" t="str">
            <v>C</v>
          </cell>
          <cell r="J858" t="str">
            <v>CS01/4</v>
          </cell>
          <cell r="K858">
            <v>60065668</v>
          </cell>
          <cell r="L858">
            <v>132</v>
          </cell>
          <cell r="M858" t="str">
            <v>E2-ND-06-TSA-0151</v>
          </cell>
        </row>
        <row r="859">
          <cell r="A859">
            <v>60065734</v>
          </cell>
          <cell r="B859" t="str">
            <v>CR SPCC-SD 0.4x60xC</v>
          </cell>
          <cell r="C859">
            <v>60065734</v>
          </cell>
          <cell r="D859" t="str">
            <v>CR SPCC-SD</v>
          </cell>
          <cell r="E859" t="str">
            <v>CR</v>
          </cell>
          <cell r="F859" t="str">
            <v>SPCC-SD</v>
          </cell>
          <cell r="G859">
            <v>0.4</v>
          </cell>
          <cell r="H859">
            <v>60</v>
          </cell>
          <cell r="I859" t="str">
            <v>C</v>
          </cell>
          <cell r="J859" t="str">
            <v>SEMI/C</v>
          </cell>
          <cell r="K859">
            <v>60065734</v>
          </cell>
          <cell r="L859">
            <v>303</v>
          </cell>
          <cell r="M859" t="str">
            <v>E1-ND-06-TSA-0359</v>
          </cell>
        </row>
        <row r="860">
          <cell r="A860">
            <v>60065735</v>
          </cell>
          <cell r="B860" t="str">
            <v>CR SPCC-SD 0.4x60xC</v>
          </cell>
          <cell r="C860">
            <v>60065735</v>
          </cell>
          <cell r="D860" t="str">
            <v>CR SPCC-SD</v>
          </cell>
          <cell r="E860" t="str">
            <v>CR</v>
          </cell>
          <cell r="F860" t="str">
            <v>SPCC-SD</v>
          </cell>
          <cell r="G860">
            <v>0.4</v>
          </cell>
          <cell r="H860">
            <v>60</v>
          </cell>
          <cell r="I860" t="str">
            <v>C</v>
          </cell>
          <cell r="J860" t="str">
            <v>SEMI/C</v>
          </cell>
          <cell r="K860">
            <v>60065735</v>
          </cell>
          <cell r="L860">
            <v>303</v>
          </cell>
          <cell r="M860" t="str">
            <v>E1-ND-06-TSA-0359</v>
          </cell>
        </row>
        <row r="861">
          <cell r="A861">
            <v>60065795</v>
          </cell>
          <cell r="B861" t="str">
            <v>CR SPCC-SD 2.0x98xC</v>
          </cell>
          <cell r="C861">
            <v>60065795</v>
          </cell>
          <cell r="D861" t="str">
            <v>CR SPCC-SD</v>
          </cell>
          <cell r="E861" t="str">
            <v>CR</v>
          </cell>
          <cell r="F861" t="str">
            <v>SPCC-SD</v>
          </cell>
          <cell r="G861">
            <v>2</v>
          </cell>
          <cell r="H861">
            <v>98</v>
          </cell>
          <cell r="I861" t="str">
            <v>C</v>
          </cell>
          <cell r="J861" t="str">
            <v>CS01/5</v>
          </cell>
          <cell r="K861">
            <v>60065795</v>
          </cell>
          <cell r="L861">
            <v>306</v>
          </cell>
          <cell r="M861" t="str">
            <v>E2-ND-06-TSA-0152</v>
          </cell>
        </row>
        <row r="862">
          <cell r="A862">
            <v>60065805</v>
          </cell>
          <cell r="B862" t="str">
            <v>CR SPCC-SD 2.0x98xC</v>
          </cell>
          <cell r="C862">
            <v>60065805</v>
          </cell>
          <cell r="D862" t="str">
            <v>CR SPCC-SD</v>
          </cell>
          <cell r="E862" t="str">
            <v>CR</v>
          </cell>
          <cell r="F862" t="str">
            <v>SPCC-SD</v>
          </cell>
          <cell r="G862">
            <v>2</v>
          </cell>
          <cell r="H862">
            <v>98</v>
          </cell>
          <cell r="I862" t="str">
            <v>C</v>
          </cell>
          <cell r="J862" t="str">
            <v>CS01/5</v>
          </cell>
          <cell r="K862">
            <v>60065805</v>
          </cell>
          <cell r="L862">
            <v>298</v>
          </cell>
          <cell r="M862" t="str">
            <v>E2-ND-06-TSA-0152</v>
          </cell>
        </row>
        <row r="863">
          <cell r="A863">
            <v>60066001</v>
          </cell>
          <cell r="B863" t="str">
            <v>CR SPCC-SD 1.0x94xC</v>
          </cell>
          <cell r="C863">
            <v>60066001</v>
          </cell>
          <cell r="D863" t="str">
            <v>CR SPCC-SD</v>
          </cell>
          <cell r="E863" t="str">
            <v>CR</v>
          </cell>
          <cell r="F863" t="str">
            <v>SPCC-SD</v>
          </cell>
          <cell r="G863">
            <v>1</v>
          </cell>
          <cell r="H863">
            <v>94</v>
          </cell>
          <cell r="I863" t="str">
            <v>C</v>
          </cell>
          <cell r="J863" t="str">
            <v>CS01/5</v>
          </cell>
          <cell r="K863">
            <v>60066001</v>
          </cell>
          <cell r="L863">
            <v>127</v>
          </cell>
          <cell r="M863" t="str">
            <v>E1-ND-06-TSA-0362</v>
          </cell>
        </row>
        <row r="864">
          <cell r="A864">
            <v>60066072</v>
          </cell>
          <cell r="B864" t="str">
            <v>CR SPCC-SD 1.2x46xC</v>
          </cell>
          <cell r="C864">
            <v>60066072</v>
          </cell>
          <cell r="D864" t="str">
            <v>CR SPCC-SD</v>
          </cell>
          <cell r="E864" t="str">
            <v>CR</v>
          </cell>
          <cell r="F864" t="str">
            <v>SPCC-SD</v>
          </cell>
          <cell r="G864">
            <v>1.2</v>
          </cell>
          <cell r="H864">
            <v>46</v>
          </cell>
          <cell r="I864" t="str">
            <v>C</v>
          </cell>
          <cell r="J864" t="str">
            <v>SEMI/C</v>
          </cell>
          <cell r="K864">
            <v>60066072</v>
          </cell>
          <cell r="L864">
            <v>123</v>
          </cell>
          <cell r="M864" t="str">
            <v>E1-ND-06-TSA-0362</v>
          </cell>
        </row>
        <row r="865">
          <cell r="A865">
            <v>60066087</v>
          </cell>
          <cell r="B865" t="str">
            <v>CR SPCC-SD 1.2x46xC</v>
          </cell>
          <cell r="C865">
            <v>60066087</v>
          </cell>
          <cell r="D865" t="str">
            <v>CR SPCC-SD</v>
          </cell>
          <cell r="E865" t="str">
            <v>CR</v>
          </cell>
          <cell r="F865" t="str">
            <v>SPCC-SD</v>
          </cell>
          <cell r="G865">
            <v>1.2</v>
          </cell>
          <cell r="H865">
            <v>46</v>
          </cell>
          <cell r="I865" t="str">
            <v>C</v>
          </cell>
          <cell r="J865" t="str">
            <v>SEMI/C</v>
          </cell>
          <cell r="K865">
            <v>60066087</v>
          </cell>
          <cell r="L865">
            <v>123</v>
          </cell>
          <cell r="M865" t="str">
            <v>E1-ND-06-TSA-0362</v>
          </cell>
        </row>
        <row r="866">
          <cell r="A866">
            <v>60066096</v>
          </cell>
          <cell r="B866" t="str">
            <v>CR SPCC-SD 1.2x46xC</v>
          </cell>
          <cell r="C866">
            <v>60066096</v>
          </cell>
          <cell r="D866" t="str">
            <v>CR SPCC-SD</v>
          </cell>
          <cell r="E866" t="str">
            <v>CR</v>
          </cell>
          <cell r="F866" t="str">
            <v>SPCC-SD</v>
          </cell>
          <cell r="G866">
            <v>1.2</v>
          </cell>
          <cell r="H866">
            <v>46</v>
          </cell>
          <cell r="I866" t="str">
            <v>C</v>
          </cell>
          <cell r="J866" t="str">
            <v>SEMI/C</v>
          </cell>
          <cell r="K866">
            <v>60066096</v>
          </cell>
          <cell r="L866">
            <v>118</v>
          </cell>
          <cell r="M866" t="str">
            <v>E1-ND-06-TSA-0362</v>
          </cell>
        </row>
        <row r="867">
          <cell r="A867">
            <v>60066166</v>
          </cell>
          <cell r="B867" t="str">
            <v>CR SPCC-SD 0.7x44xC</v>
          </cell>
          <cell r="C867">
            <v>60066166</v>
          </cell>
          <cell r="D867" t="str">
            <v>CR SPCC-SD</v>
          </cell>
          <cell r="E867" t="str">
            <v>CR</v>
          </cell>
          <cell r="F867" t="str">
            <v>SPCC-SD</v>
          </cell>
          <cell r="G867">
            <v>0.7</v>
          </cell>
          <cell r="H867">
            <v>44</v>
          </cell>
          <cell r="I867" t="str">
            <v>C</v>
          </cell>
          <cell r="J867" t="str">
            <v>CS01/5</v>
          </cell>
          <cell r="K867">
            <v>60066166</v>
          </cell>
          <cell r="L867">
            <v>69</v>
          </cell>
          <cell r="M867" t="str">
            <v>E1-ND-06-TSA-0362</v>
          </cell>
        </row>
        <row r="868">
          <cell r="A868">
            <v>60066167</v>
          </cell>
          <cell r="B868" t="str">
            <v>CR SPCC-SD 0.7x44xC</v>
          </cell>
          <cell r="C868">
            <v>60066167</v>
          </cell>
          <cell r="D868" t="str">
            <v>CR SPCC-SD</v>
          </cell>
          <cell r="E868" t="str">
            <v>CR</v>
          </cell>
          <cell r="F868" t="str">
            <v>SPCC-SD</v>
          </cell>
          <cell r="G868">
            <v>0.7</v>
          </cell>
          <cell r="H868">
            <v>44</v>
          </cell>
          <cell r="I868" t="str">
            <v>C</v>
          </cell>
          <cell r="J868" t="str">
            <v>CS01/5</v>
          </cell>
          <cell r="K868">
            <v>60066167</v>
          </cell>
          <cell r="L868">
            <v>69</v>
          </cell>
          <cell r="M868" t="str">
            <v>E1-ND-06-TSA-0362</v>
          </cell>
        </row>
        <row r="869">
          <cell r="A869">
            <v>60066168</v>
          </cell>
          <cell r="C869">
            <v>60066168</v>
          </cell>
          <cell r="E869" t="str">
            <v>CR</v>
          </cell>
          <cell r="F869" t="str">
            <v>SPCC-SD</v>
          </cell>
          <cell r="G869">
            <v>0.7</v>
          </cell>
          <cell r="H869">
            <v>44</v>
          </cell>
          <cell r="I869" t="str">
            <v>C</v>
          </cell>
          <cell r="J869" t="str">
            <v>CS01/5</v>
          </cell>
          <cell r="K869">
            <v>60066168</v>
          </cell>
          <cell r="L869">
            <v>69</v>
          </cell>
        </row>
        <row r="870">
          <cell r="A870">
            <v>60066512</v>
          </cell>
          <cell r="B870" t="str">
            <v>CR SPCC-SD 1.6x82xC</v>
          </cell>
          <cell r="C870">
            <v>60066512</v>
          </cell>
          <cell r="D870" t="str">
            <v>CR SPCC-SD</v>
          </cell>
          <cell r="E870" t="str">
            <v>CR</v>
          </cell>
          <cell r="F870" t="str">
            <v>SPCC-SD</v>
          </cell>
          <cell r="G870">
            <v>1.6</v>
          </cell>
          <cell r="H870">
            <v>82</v>
          </cell>
          <cell r="I870" t="str">
            <v>C</v>
          </cell>
          <cell r="J870" t="str">
            <v>CS01/8</v>
          </cell>
          <cell r="K870">
            <v>60066512</v>
          </cell>
          <cell r="L870">
            <v>274</v>
          </cell>
          <cell r="M870" t="str">
            <v>E2-ND-06-TSA-0152</v>
          </cell>
        </row>
        <row r="871">
          <cell r="A871">
            <v>60066517</v>
          </cell>
          <cell r="B871" t="str">
            <v>CR SPCC-SD 1.6x82xC</v>
          </cell>
          <cell r="C871">
            <v>60066517</v>
          </cell>
          <cell r="D871" t="str">
            <v>CR SPCC-SD</v>
          </cell>
          <cell r="E871" t="str">
            <v>CR</v>
          </cell>
          <cell r="F871" t="str">
            <v>SPCC-SD</v>
          </cell>
          <cell r="G871">
            <v>1.6</v>
          </cell>
          <cell r="H871">
            <v>82</v>
          </cell>
          <cell r="I871" t="str">
            <v>C</v>
          </cell>
          <cell r="J871" t="str">
            <v>CS01/8</v>
          </cell>
          <cell r="K871">
            <v>60066517</v>
          </cell>
          <cell r="L871">
            <v>270</v>
          </cell>
          <cell r="M871" t="str">
            <v>E2-ND-06-TSA-0152</v>
          </cell>
        </row>
        <row r="872">
          <cell r="A872">
            <v>60066868</v>
          </cell>
          <cell r="B872" t="str">
            <v>PO SPHC P/O 2.3x60xC</v>
          </cell>
          <cell r="C872">
            <v>60066868</v>
          </cell>
          <cell r="D872" t="str">
            <v>PO SPHC P/O</v>
          </cell>
          <cell r="E872" t="str">
            <v>PO</v>
          </cell>
          <cell r="F872" t="str">
            <v>SPHC P/O</v>
          </cell>
          <cell r="G872">
            <v>2.2999999999999998</v>
          </cell>
          <cell r="H872">
            <v>60</v>
          </cell>
          <cell r="I872" t="str">
            <v>C</v>
          </cell>
          <cell r="J872" t="str">
            <v>SEMI/C</v>
          </cell>
          <cell r="K872">
            <v>60066868</v>
          </cell>
          <cell r="L872">
            <v>246</v>
          </cell>
          <cell r="M872" t="str">
            <v>E2-ND-06-TSA-0154</v>
          </cell>
        </row>
        <row r="873">
          <cell r="A873">
            <v>60066871</v>
          </cell>
          <cell r="C873">
            <v>60066871</v>
          </cell>
          <cell r="E873" t="str">
            <v>CR</v>
          </cell>
          <cell r="F873" t="str">
            <v>SPCC-SD</v>
          </cell>
          <cell r="G873">
            <v>1</v>
          </cell>
          <cell r="H873">
            <v>40</v>
          </cell>
          <cell r="I873" t="str">
            <v>C</v>
          </cell>
          <cell r="J873" t="str">
            <v>CS01/5</v>
          </cell>
          <cell r="K873">
            <v>60066871</v>
          </cell>
          <cell r="L873">
            <v>100</v>
          </cell>
        </row>
        <row r="874">
          <cell r="A874">
            <v>60066999</v>
          </cell>
          <cell r="B874" t="str">
            <v>CR SPCC-SD 3.2x48xC</v>
          </cell>
          <cell r="C874">
            <v>60066999</v>
          </cell>
          <cell r="D874" t="str">
            <v>CR SPCC-SD</v>
          </cell>
          <cell r="E874" t="str">
            <v>CR</v>
          </cell>
          <cell r="F874" t="str">
            <v>SPCC-SD</v>
          </cell>
          <cell r="G874">
            <v>3.2</v>
          </cell>
          <cell r="H874">
            <v>48</v>
          </cell>
          <cell r="I874" t="str">
            <v>C</v>
          </cell>
          <cell r="J874" t="str">
            <v>CS01/5</v>
          </cell>
          <cell r="K874">
            <v>60066999</v>
          </cell>
          <cell r="L874">
            <v>102</v>
          </cell>
          <cell r="M874" t="str">
            <v>E2-ND-06-TSA-0153</v>
          </cell>
        </row>
        <row r="875">
          <cell r="A875">
            <v>60067067</v>
          </cell>
          <cell r="B875" t="str">
            <v>CR SPCC-SD 0.8x49xC</v>
          </cell>
          <cell r="C875">
            <v>60067067</v>
          </cell>
          <cell r="D875" t="str">
            <v>CR SPCC-SD</v>
          </cell>
          <cell r="E875" t="str">
            <v>CR</v>
          </cell>
          <cell r="F875" t="str">
            <v>SPCC-SD</v>
          </cell>
          <cell r="G875">
            <v>0.8</v>
          </cell>
          <cell r="H875">
            <v>49</v>
          </cell>
          <cell r="I875" t="str">
            <v>C</v>
          </cell>
          <cell r="J875" t="str">
            <v>CS01/3</v>
          </cell>
          <cell r="K875">
            <v>60067067</v>
          </cell>
          <cell r="L875">
            <v>58</v>
          </cell>
          <cell r="M875" t="str">
            <v>E1-ND-06-TSA-0362</v>
          </cell>
        </row>
        <row r="876">
          <cell r="A876">
            <v>60067254</v>
          </cell>
          <cell r="C876">
            <v>60067254</v>
          </cell>
          <cell r="E876" t="str">
            <v>CR</v>
          </cell>
          <cell r="F876" t="str">
            <v>SPCC-SD</v>
          </cell>
          <cell r="G876">
            <v>1</v>
          </cell>
          <cell r="H876">
            <v>68</v>
          </cell>
          <cell r="I876" t="str">
            <v>C</v>
          </cell>
          <cell r="J876" t="str">
            <v>CS01/12</v>
          </cell>
          <cell r="K876">
            <v>60067254</v>
          </cell>
          <cell r="L876">
            <v>146</v>
          </cell>
        </row>
        <row r="877">
          <cell r="A877">
            <v>60067679</v>
          </cell>
          <cell r="B877" t="str">
            <v>CR SPCC-SD 3.2x48xC</v>
          </cell>
          <cell r="C877">
            <v>60067679</v>
          </cell>
          <cell r="D877" t="str">
            <v>CR SPCC-SD</v>
          </cell>
          <cell r="E877" t="str">
            <v>CR</v>
          </cell>
          <cell r="F877" t="str">
            <v>SPCC-SD</v>
          </cell>
          <cell r="G877">
            <v>3.2</v>
          </cell>
          <cell r="H877">
            <v>48</v>
          </cell>
          <cell r="I877" t="str">
            <v>C</v>
          </cell>
          <cell r="J877" t="str">
            <v>CS01/4</v>
          </cell>
          <cell r="K877">
            <v>60067679</v>
          </cell>
          <cell r="L877">
            <v>149</v>
          </cell>
          <cell r="M877" t="str">
            <v>E2-ND-06-TSA-0153</v>
          </cell>
        </row>
        <row r="878">
          <cell r="A878">
            <v>60067706</v>
          </cell>
          <cell r="C878">
            <v>60067706</v>
          </cell>
          <cell r="E878" t="str">
            <v>CR</v>
          </cell>
          <cell r="F878" t="str">
            <v>SPCEN-SD</v>
          </cell>
          <cell r="G878">
            <v>1</v>
          </cell>
          <cell r="H878">
            <v>41</v>
          </cell>
          <cell r="I878" t="str">
            <v>C</v>
          </cell>
          <cell r="J878" t="str">
            <v>SEMI/C</v>
          </cell>
          <cell r="K878">
            <v>60067706</v>
          </cell>
          <cell r="L878">
            <v>86</v>
          </cell>
        </row>
        <row r="879">
          <cell r="A879">
            <v>60067719</v>
          </cell>
          <cell r="B879" t="str">
            <v>CR SPCC-SD 0.8x93xC</v>
          </cell>
          <cell r="C879">
            <v>60067719</v>
          </cell>
          <cell r="D879" t="str">
            <v>CR SPCC-SD</v>
          </cell>
          <cell r="E879" t="str">
            <v>CR</v>
          </cell>
          <cell r="F879" t="str">
            <v>SPCC-SD</v>
          </cell>
          <cell r="G879">
            <v>0.8</v>
          </cell>
          <cell r="H879">
            <v>93</v>
          </cell>
          <cell r="I879" t="str">
            <v>C</v>
          </cell>
          <cell r="J879" t="str">
            <v>SEMI/C</v>
          </cell>
          <cell r="K879">
            <v>60067719</v>
          </cell>
          <cell r="L879">
            <v>111</v>
          </cell>
          <cell r="M879" t="str">
            <v>E1-ND-06-TSA-0362</v>
          </cell>
        </row>
        <row r="880">
          <cell r="A880">
            <v>60067788</v>
          </cell>
          <cell r="B880" t="str">
            <v>CR SPCC-SD 1.2x55xC</v>
          </cell>
          <cell r="C880">
            <v>60067788</v>
          </cell>
          <cell r="D880" t="str">
            <v>CR SPCC-SD</v>
          </cell>
          <cell r="E880" t="str">
            <v>CR</v>
          </cell>
          <cell r="F880" t="str">
            <v>SPCC-SD</v>
          </cell>
          <cell r="G880">
            <v>1.2</v>
          </cell>
          <cell r="H880">
            <v>55</v>
          </cell>
          <cell r="I880" t="str">
            <v>C</v>
          </cell>
          <cell r="J880" t="str">
            <v>SEMI/C</v>
          </cell>
          <cell r="K880">
            <v>60067788</v>
          </cell>
          <cell r="L880">
            <v>113</v>
          </cell>
          <cell r="M880" t="str">
            <v>E1-ND-06-TSA-0362</v>
          </cell>
        </row>
        <row r="881">
          <cell r="A881">
            <v>60068056</v>
          </cell>
          <cell r="B881" t="str">
            <v>PO SPHC-DS 2.6x68xC</v>
          </cell>
          <cell r="C881">
            <v>60068056</v>
          </cell>
          <cell r="D881" t="str">
            <v>PO SPHC P/O</v>
          </cell>
          <cell r="E881" t="str">
            <v>PO</v>
          </cell>
          <cell r="F881" t="str">
            <v>SPHC-SD</v>
          </cell>
          <cell r="G881">
            <v>2.6</v>
          </cell>
          <cell r="H881">
            <v>68</v>
          </cell>
          <cell r="I881" t="str">
            <v>C</v>
          </cell>
          <cell r="J881" t="str">
            <v>CS01/6</v>
          </cell>
          <cell r="K881">
            <v>60068056</v>
          </cell>
          <cell r="L881">
            <v>201</v>
          </cell>
          <cell r="M881" t="str">
            <v>E2-NJ-06-TSA-0066</v>
          </cell>
        </row>
        <row r="882">
          <cell r="A882">
            <v>60068057</v>
          </cell>
          <cell r="B882" t="str">
            <v>PO SPHC-DS 2.6x68xC</v>
          </cell>
          <cell r="C882">
            <v>60068057</v>
          </cell>
          <cell r="D882" t="str">
            <v>PO SPHC P/O</v>
          </cell>
          <cell r="E882" t="str">
            <v>PO</v>
          </cell>
          <cell r="F882" t="str">
            <v>SPHC-SD</v>
          </cell>
          <cell r="G882">
            <v>2.6</v>
          </cell>
          <cell r="H882">
            <v>68</v>
          </cell>
          <cell r="I882" t="str">
            <v>C</v>
          </cell>
          <cell r="J882" t="str">
            <v>CS01/6</v>
          </cell>
          <cell r="K882">
            <v>60068057</v>
          </cell>
          <cell r="L882">
            <v>190</v>
          </cell>
          <cell r="M882" t="str">
            <v>E2-ND-06-TSA-0153</v>
          </cell>
        </row>
        <row r="883">
          <cell r="A883">
            <v>60068324</v>
          </cell>
          <cell r="B883" t="str">
            <v>CR SPCC-SD 1.6x82xC</v>
          </cell>
          <cell r="C883">
            <v>60068324</v>
          </cell>
          <cell r="D883" t="str">
            <v>CR SPCC-SD</v>
          </cell>
          <cell r="E883" t="str">
            <v>CR</v>
          </cell>
          <cell r="F883" t="str">
            <v>SPCC-SD</v>
          </cell>
          <cell r="G883">
            <v>1.6</v>
          </cell>
          <cell r="H883">
            <v>82</v>
          </cell>
          <cell r="I883" t="str">
            <v>C</v>
          </cell>
          <cell r="J883" t="str">
            <v>CS01/7</v>
          </cell>
          <cell r="K883">
            <v>60068324</v>
          </cell>
          <cell r="L883">
            <v>175</v>
          </cell>
          <cell r="M883" t="str">
            <v>E2-ND-06-TSA-0152</v>
          </cell>
        </row>
        <row r="884">
          <cell r="A884">
            <v>60068331</v>
          </cell>
          <cell r="B884" t="str">
            <v>CR SPCC-SD 1.6x82xC</v>
          </cell>
          <cell r="C884">
            <v>60068331</v>
          </cell>
          <cell r="D884" t="str">
            <v>CR SPCC-SD</v>
          </cell>
          <cell r="E884" t="str">
            <v>CR</v>
          </cell>
          <cell r="F884" t="str">
            <v>SPCC-SD</v>
          </cell>
          <cell r="G884">
            <v>1.6</v>
          </cell>
          <cell r="H884">
            <v>82</v>
          </cell>
          <cell r="I884" t="str">
            <v>C</v>
          </cell>
          <cell r="J884" t="str">
            <v>CS01/7</v>
          </cell>
          <cell r="K884">
            <v>60068331</v>
          </cell>
          <cell r="L884">
            <v>214</v>
          </cell>
          <cell r="M884" t="str">
            <v>E2-ND-06-TSA-0152</v>
          </cell>
        </row>
        <row r="885">
          <cell r="A885">
            <v>60068401</v>
          </cell>
          <cell r="B885" t="str">
            <v>CR SPCC-SD 1.2x72xC</v>
          </cell>
          <cell r="C885">
            <v>60068401</v>
          </cell>
          <cell r="D885" t="str">
            <v>CR SPCC-SD</v>
          </cell>
          <cell r="E885" t="str">
            <v>CR</v>
          </cell>
          <cell r="F885" t="str">
            <v>SPCC-SD</v>
          </cell>
          <cell r="G885">
            <v>1.2</v>
          </cell>
          <cell r="H885">
            <v>72</v>
          </cell>
          <cell r="I885" t="str">
            <v>C</v>
          </cell>
          <cell r="J885" t="str">
            <v>CS01/4</v>
          </cell>
          <cell r="K885">
            <v>60068401</v>
          </cell>
          <cell r="L885">
            <v>216</v>
          </cell>
          <cell r="M885" t="str">
            <v>E1-NJ-06-TSA-0375</v>
          </cell>
        </row>
        <row r="886">
          <cell r="A886">
            <v>60068402</v>
          </cell>
          <cell r="B886" t="str">
            <v>CR SPCC-SD 1.2x72xC</v>
          </cell>
          <cell r="C886">
            <v>60068402</v>
          </cell>
          <cell r="D886" t="str">
            <v>CR SPCC-SD</v>
          </cell>
          <cell r="E886" t="str">
            <v>CR</v>
          </cell>
          <cell r="F886" t="str">
            <v>SPCC-SD</v>
          </cell>
          <cell r="G886">
            <v>1.2</v>
          </cell>
          <cell r="H886">
            <v>72</v>
          </cell>
          <cell r="I886" t="str">
            <v>C</v>
          </cell>
          <cell r="J886" t="str">
            <v>CS01/4</v>
          </cell>
          <cell r="K886">
            <v>60068402</v>
          </cell>
          <cell r="L886">
            <v>216</v>
          </cell>
          <cell r="M886" t="str">
            <v>E1-NJ-06-TSA-0375</v>
          </cell>
        </row>
        <row r="887">
          <cell r="A887">
            <v>60068403</v>
          </cell>
          <cell r="B887" t="str">
            <v>CR SPCC-SD 1.2x72xC</v>
          </cell>
          <cell r="C887">
            <v>60068403</v>
          </cell>
          <cell r="D887" t="str">
            <v>CR SPCC-SD</v>
          </cell>
          <cell r="E887" t="str">
            <v>CR</v>
          </cell>
          <cell r="F887" t="str">
            <v>SPCC-SD</v>
          </cell>
          <cell r="G887">
            <v>1.2</v>
          </cell>
          <cell r="H887">
            <v>72</v>
          </cell>
          <cell r="I887" t="str">
            <v>C</v>
          </cell>
          <cell r="J887" t="str">
            <v>CS01/4</v>
          </cell>
          <cell r="K887">
            <v>60068403</v>
          </cell>
          <cell r="L887">
            <v>216</v>
          </cell>
          <cell r="M887" t="str">
            <v>E1-NJ-06-TSA-0375</v>
          </cell>
        </row>
        <row r="888">
          <cell r="A888">
            <v>60068404</v>
          </cell>
          <cell r="B888" t="str">
            <v>CR SPCC-SD 1.2x72xC</v>
          </cell>
          <cell r="C888">
            <v>60068404</v>
          </cell>
          <cell r="D888" t="str">
            <v>CR SPCC-SD</v>
          </cell>
          <cell r="E888" t="str">
            <v>CR</v>
          </cell>
          <cell r="F888" t="str">
            <v>SPCC-SD</v>
          </cell>
          <cell r="G888">
            <v>1.2</v>
          </cell>
          <cell r="H888">
            <v>72</v>
          </cell>
          <cell r="I888" t="str">
            <v>C</v>
          </cell>
          <cell r="J888" t="str">
            <v>CS01/4</v>
          </cell>
          <cell r="K888">
            <v>60068404</v>
          </cell>
          <cell r="L888">
            <v>216</v>
          </cell>
          <cell r="M888" t="str">
            <v>E1-NJ-06-TSA-0375</v>
          </cell>
        </row>
        <row r="889">
          <cell r="A889">
            <v>60068405</v>
          </cell>
          <cell r="B889" t="str">
            <v>CR SPCC-SD 1.2x72xC</v>
          </cell>
          <cell r="C889">
            <v>60068405</v>
          </cell>
          <cell r="D889" t="str">
            <v>CR SPCC-SD</v>
          </cell>
          <cell r="E889" t="str">
            <v>CR</v>
          </cell>
          <cell r="F889" t="str">
            <v>SPCC-SD</v>
          </cell>
          <cell r="G889">
            <v>1.2</v>
          </cell>
          <cell r="H889">
            <v>72</v>
          </cell>
          <cell r="I889" t="str">
            <v>C</v>
          </cell>
          <cell r="J889" t="str">
            <v>CS01/4</v>
          </cell>
          <cell r="K889">
            <v>60068405</v>
          </cell>
          <cell r="L889">
            <v>216</v>
          </cell>
          <cell r="M889" t="str">
            <v>E1-NJ-06-TSA-0375</v>
          </cell>
        </row>
        <row r="890">
          <cell r="A890">
            <v>60068406</v>
          </cell>
          <cell r="B890" t="str">
            <v>CR SPCC-SD 1.2x72xC</v>
          </cell>
          <cell r="C890">
            <v>60068406</v>
          </cell>
          <cell r="D890" t="str">
            <v>CR SPCC-SD</v>
          </cell>
          <cell r="E890" t="str">
            <v>CR</v>
          </cell>
          <cell r="F890" t="str">
            <v>SPCC-SD</v>
          </cell>
          <cell r="G890">
            <v>1.2</v>
          </cell>
          <cell r="H890">
            <v>72</v>
          </cell>
          <cell r="I890" t="str">
            <v>C</v>
          </cell>
          <cell r="J890" t="str">
            <v>CS01/4</v>
          </cell>
          <cell r="K890">
            <v>60068406</v>
          </cell>
          <cell r="L890">
            <v>216</v>
          </cell>
          <cell r="M890" t="str">
            <v>E1-NJ-06-TSA-0375</v>
          </cell>
        </row>
        <row r="891">
          <cell r="A891">
            <v>60068410</v>
          </cell>
          <cell r="B891" t="str">
            <v>CR SPCC-SD 1.2x72xC</v>
          </cell>
          <cell r="C891">
            <v>60068410</v>
          </cell>
          <cell r="D891" t="str">
            <v>CR SPCC-SD</v>
          </cell>
          <cell r="E891" t="str">
            <v>CR</v>
          </cell>
          <cell r="F891" t="str">
            <v>SPCC-SD</v>
          </cell>
          <cell r="G891">
            <v>1.2</v>
          </cell>
          <cell r="H891">
            <v>72</v>
          </cell>
          <cell r="I891" t="str">
            <v>C</v>
          </cell>
          <cell r="J891" t="str">
            <v>CS01/4</v>
          </cell>
          <cell r="K891">
            <v>60068410</v>
          </cell>
          <cell r="L891">
            <v>216</v>
          </cell>
          <cell r="M891" t="str">
            <v>E1-NJ-06-TSA-0376</v>
          </cell>
        </row>
        <row r="892">
          <cell r="A892">
            <v>60068411</v>
          </cell>
          <cell r="B892" t="str">
            <v>CR SPCC-SD 1.2x72xC</v>
          </cell>
          <cell r="C892">
            <v>60068411</v>
          </cell>
          <cell r="D892" t="str">
            <v>CR SPCC-SD</v>
          </cell>
          <cell r="E892" t="str">
            <v>CR</v>
          </cell>
          <cell r="F892" t="str">
            <v>SPCC-SD</v>
          </cell>
          <cell r="G892">
            <v>1.2</v>
          </cell>
          <cell r="H892">
            <v>72</v>
          </cell>
          <cell r="I892" t="str">
            <v>C</v>
          </cell>
          <cell r="J892" t="str">
            <v>CS01/4</v>
          </cell>
          <cell r="K892">
            <v>60068411</v>
          </cell>
          <cell r="L892">
            <v>216</v>
          </cell>
          <cell r="M892" t="str">
            <v>E1-NJ-06-TSA-0376</v>
          </cell>
        </row>
        <row r="893">
          <cell r="A893">
            <v>60068421</v>
          </cell>
          <cell r="B893" t="str">
            <v>CR SPCC-SD 1.0x38xC</v>
          </cell>
          <cell r="C893">
            <v>60068421</v>
          </cell>
          <cell r="D893" t="str">
            <v>CR SPCC-SD</v>
          </cell>
          <cell r="E893" t="str">
            <v>CR</v>
          </cell>
          <cell r="F893" t="str">
            <v>SPCC-SD</v>
          </cell>
          <cell r="G893">
            <v>1</v>
          </cell>
          <cell r="H893">
            <v>38</v>
          </cell>
          <cell r="I893" t="str">
            <v>C</v>
          </cell>
          <cell r="J893" t="str">
            <v>CS01/4</v>
          </cell>
          <cell r="K893">
            <v>60068421</v>
          </cell>
          <cell r="L893">
            <v>112</v>
          </cell>
          <cell r="M893" t="str">
            <v>E1-ND-06-TSA-0362</v>
          </cell>
        </row>
        <row r="894">
          <cell r="A894">
            <v>60068510</v>
          </cell>
          <cell r="B894" t="str">
            <v>PO SPHC-DS 2.6x68xC</v>
          </cell>
          <cell r="C894">
            <v>60068510</v>
          </cell>
          <cell r="D894" t="str">
            <v>PO SPHC P/O</v>
          </cell>
          <cell r="E894" t="str">
            <v>PO</v>
          </cell>
          <cell r="F894" t="str">
            <v>SPHC-SD</v>
          </cell>
          <cell r="G894">
            <v>2.6</v>
          </cell>
          <cell r="H894">
            <v>68</v>
          </cell>
          <cell r="I894" t="str">
            <v>C</v>
          </cell>
          <cell r="J894" t="str">
            <v>CS01/6</v>
          </cell>
          <cell r="K894">
            <v>60068510</v>
          </cell>
          <cell r="L894">
            <v>184</v>
          </cell>
          <cell r="M894" t="str">
            <v>E2-ND-06-TSA-0154</v>
          </cell>
        </row>
        <row r="895">
          <cell r="A895">
            <v>60068511</v>
          </cell>
          <cell r="B895" t="str">
            <v>PO SPHC-DS 2.6x68xC</v>
          </cell>
          <cell r="C895">
            <v>60068511</v>
          </cell>
          <cell r="D895" t="str">
            <v>PO SPHC P/O</v>
          </cell>
          <cell r="E895" t="str">
            <v>PO</v>
          </cell>
          <cell r="F895" t="str">
            <v>SPHC-SD</v>
          </cell>
          <cell r="G895">
            <v>2.6</v>
          </cell>
          <cell r="H895">
            <v>68</v>
          </cell>
          <cell r="I895" t="str">
            <v>C</v>
          </cell>
          <cell r="J895" t="str">
            <v>CS01/6</v>
          </cell>
          <cell r="K895">
            <v>60068511</v>
          </cell>
          <cell r="L895">
            <v>184</v>
          </cell>
          <cell r="M895" t="str">
            <v>E2-ND-06-TSA-0154</v>
          </cell>
        </row>
        <row r="896">
          <cell r="A896">
            <v>60068512</v>
          </cell>
          <cell r="B896" t="str">
            <v>PO SPHC-DS 2.6x68xC</v>
          </cell>
          <cell r="C896">
            <v>60068512</v>
          </cell>
          <cell r="D896" t="str">
            <v>PO SPHC P/O</v>
          </cell>
          <cell r="E896" t="str">
            <v>PO</v>
          </cell>
          <cell r="F896" t="str">
            <v>SPHC-SD</v>
          </cell>
          <cell r="G896">
            <v>2.6</v>
          </cell>
          <cell r="H896">
            <v>68</v>
          </cell>
          <cell r="I896" t="str">
            <v>C</v>
          </cell>
          <cell r="J896" t="str">
            <v>CS01/6</v>
          </cell>
          <cell r="K896">
            <v>60068512</v>
          </cell>
          <cell r="L896">
            <v>184</v>
          </cell>
          <cell r="M896" t="str">
            <v>E2-ND-06-TSA-0154</v>
          </cell>
        </row>
        <row r="897">
          <cell r="A897">
            <v>60068688</v>
          </cell>
          <cell r="B897" t="str">
            <v>CR SPCC-SD 1.6x82xC</v>
          </cell>
          <cell r="C897">
            <v>60068688</v>
          </cell>
          <cell r="D897" t="str">
            <v>CR SPCC-SD</v>
          </cell>
          <cell r="E897" t="str">
            <v>CR</v>
          </cell>
          <cell r="F897" t="str">
            <v>SPCC-SD</v>
          </cell>
          <cell r="G897">
            <v>1.6</v>
          </cell>
          <cell r="H897">
            <v>82</v>
          </cell>
          <cell r="I897" t="str">
            <v>C</v>
          </cell>
          <cell r="J897" t="str">
            <v>CS01/7</v>
          </cell>
          <cell r="K897">
            <v>60068688</v>
          </cell>
          <cell r="L897">
            <v>253</v>
          </cell>
          <cell r="M897" t="str">
            <v>E2-ND-06-TSA-0152</v>
          </cell>
        </row>
        <row r="898">
          <cell r="A898">
            <v>60068689</v>
          </cell>
          <cell r="B898" t="str">
            <v>CR SPCC-SD 1.6x82xC</v>
          </cell>
          <cell r="C898">
            <v>60068689</v>
          </cell>
          <cell r="D898" t="str">
            <v>CR SPCC-SD</v>
          </cell>
          <cell r="E898" t="str">
            <v>CR</v>
          </cell>
          <cell r="F898" t="str">
            <v>SPCC-SD</v>
          </cell>
          <cell r="G898">
            <v>1.6</v>
          </cell>
          <cell r="H898">
            <v>82</v>
          </cell>
          <cell r="I898" t="str">
            <v>C</v>
          </cell>
          <cell r="J898" t="str">
            <v>CS01/7</v>
          </cell>
          <cell r="K898">
            <v>60068689</v>
          </cell>
          <cell r="L898">
            <v>253</v>
          </cell>
          <cell r="M898" t="str">
            <v>E2-ND-06-TSA-0152</v>
          </cell>
        </row>
        <row r="899">
          <cell r="A899">
            <v>60068691</v>
          </cell>
          <cell r="B899" t="str">
            <v>CR SPCC-SD 1.6x82xC</v>
          </cell>
          <cell r="C899">
            <v>60068691</v>
          </cell>
          <cell r="D899" t="str">
            <v>CR SPCC-SD</v>
          </cell>
          <cell r="E899" t="str">
            <v>CR</v>
          </cell>
          <cell r="F899" t="str">
            <v>SPCC-SD</v>
          </cell>
          <cell r="G899">
            <v>1.6</v>
          </cell>
          <cell r="H899">
            <v>82</v>
          </cell>
          <cell r="I899" t="str">
            <v>C</v>
          </cell>
          <cell r="J899" t="str">
            <v>CS01/7</v>
          </cell>
          <cell r="K899">
            <v>60068691</v>
          </cell>
          <cell r="L899">
            <v>255</v>
          </cell>
          <cell r="M899" t="str">
            <v>E2-ND-06-TSA-0152</v>
          </cell>
        </row>
        <row r="900">
          <cell r="A900">
            <v>60068692</v>
          </cell>
          <cell r="B900" t="str">
            <v>CR SPCC-SD 1.6x82xC</v>
          </cell>
          <cell r="C900">
            <v>60068692</v>
          </cell>
          <cell r="D900" t="str">
            <v>CR SPCC-SD</v>
          </cell>
          <cell r="E900" t="str">
            <v>CR</v>
          </cell>
          <cell r="F900" t="str">
            <v>SPCC-SD</v>
          </cell>
          <cell r="G900">
            <v>1.6</v>
          </cell>
          <cell r="H900">
            <v>82</v>
          </cell>
          <cell r="I900" t="str">
            <v>C</v>
          </cell>
          <cell r="J900" t="str">
            <v>CS01/7</v>
          </cell>
          <cell r="K900">
            <v>60068692</v>
          </cell>
          <cell r="L900">
            <v>255</v>
          </cell>
          <cell r="M900" t="str">
            <v>E2-ND-06-TSA-0152</v>
          </cell>
        </row>
        <row r="901">
          <cell r="A901">
            <v>60068912</v>
          </cell>
          <cell r="B901" t="str">
            <v>PO SPHC P/O 4.5x124xC</v>
          </cell>
          <cell r="C901">
            <v>60068912</v>
          </cell>
          <cell r="D901" t="str">
            <v>PO SPHC P/O</v>
          </cell>
          <cell r="E901" t="str">
            <v>PO</v>
          </cell>
          <cell r="F901" t="str">
            <v>SPHC P/O</v>
          </cell>
          <cell r="G901">
            <v>4.5</v>
          </cell>
          <cell r="H901">
            <v>124</v>
          </cell>
          <cell r="I901" t="str">
            <v>C</v>
          </cell>
          <cell r="J901" t="str">
            <v>CS01/12</v>
          </cell>
          <cell r="K901">
            <v>60068912</v>
          </cell>
          <cell r="L901">
            <v>1116</v>
          </cell>
          <cell r="M901" t="str">
            <v>E1-NJ06-TSA-0383</v>
          </cell>
        </row>
        <row r="902">
          <cell r="A902">
            <v>60068920</v>
          </cell>
          <cell r="B902" t="str">
            <v>PO SPHC P/O 4.5x124xC</v>
          </cell>
          <cell r="C902">
            <v>60068920</v>
          </cell>
          <cell r="D902" t="str">
            <v>PO SPHC P/O</v>
          </cell>
          <cell r="E902" t="str">
            <v>PO</v>
          </cell>
          <cell r="F902" t="str">
            <v>SPHC P/O</v>
          </cell>
          <cell r="G902">
            <v>4.5</v>
          </cell>
          <cell r="H902">
            <v>124</v>
          </cell>
          <cell r="I902" t="str">
            <v>C</v>
          </cell>
          <cell r="J902" t="str">
            <v>CS01/12</v>
          </cell>
          <cell r="K902">
            <v>60068920</v>
          </cell>
          <cell r="L902">
            <v>976</v>
          </cell>
          <cell r="M902" t="str">
            <v>E2-ND-06-TSA-0163</v>
          </cell>
        </row>
        <row r="903">
          <cell r="A903">
            <v>60068927</v>
          </cell>
          <cell r="B903" t="str">
            <v>PO SPHC P/O 4.5x124xC</v>
          </cell>
          <cell r="C903">
            <v>60068927</v>
          </cell>
          <cell r="D903" t="str">
            <v>PO SPHC P/O</v>
          </cell>
          <cell r="E903" t="str">
            <v>PO</v>
          </cell>
          <cell r="F903" t="str">
            <v>SPHC P/O</v>
          </cell>
          <cell r="G903">
            <v>4.5</v>
          </cell>
          <cell r="H903">
            <v>124</v>
          </cell>
          <cell r="I903" t="str">
            <v>C</v>
          </cell>
          <cell r="J903" t="str">
            <v>CS01/12</v>
          </cell>
          <cell r="K903">
            <v>60068927</v>
          </cell>
          <cell r="L903">
            <v>980</v>
          </cell>
          <cell r="M903" t="str">
            <v>E2-ND-06-TSA-0163</v>
          </cell>
        </row>
        <row r="904">
          <cell r="A904">
            <v>60068995</v>
          </cell>
          <cell r="C904">
            <v>60068995</v>
          </cell>
          <cell r="E904" t="str">
            <v>PO</v>
          </cell>
          <cell r="F904" t="str">
            <v>SPHC P/O</v>
          </cell>
          <cell r="G904">
            <v>4</v>
          </cell>
          <cell r="H904">
            <v>42</v>
          </cell>
          <cell r="I904" t="str">
            <v>C</v>
          </cell>
          <cell r="J904" t="str">
            <v>SEMI/C</v>
          </cell>
          <cell r="K904">
            <v>60068995</v>
          </cell>
          <cell r="L904">
            <v>135</v>
          </cell>
        </row>
        <row r="905">
          <cell r="A905">
            <v>60069011</v>
          </cell>
          <cell r="C905">
            <v>60069011</v>
          </cell>
          <cell r="E905" t="str">
            <v>PO</v>
          </cell>
          <cell r="F905" t="str">
            <v>SPHC P/O</v>
          </cell>
          <cell r="G905">
            <v>4</v>
          </cell>
          <cell r="H905">
            <v>42</v>
          </cell>
          <cell r="I905" t="str">
            <v>C</v>
          </cell>
          <cell r="J905" t="str">
            <v>SEMI/C</v>
          </cell>
          <cell r="K905">
            <v>60069011</v>
          </cell>
          <cell r="L905">
            <v>94</v>
          </cell>
        </row>
        <row r="906">
          <cell r="A906">
            <v>60069015</v>
          </cell>
          <cell r="C906">
            <v>60069015</v>
          </cell>
          <cell r="E906" t="str">
            <v>CR</v>
          </cell>
          <cell r="F906" t="str">
            <v>SPCC-SD</v>
          </cell>
          <cell r="G906">
            <v>0.4</v>
          </cell>
          <cell r="H906">
            <v>62</v>
          </cell>
          <cell r="I906" t="str">
            <v>C</v>
          </cell>
          <cell r="J906" t="str">
            <v>SEMI/C</v>
          </cell>
          <cell r="K906">
            <v>60069015</v>
          </cell>
          <cell r="L906">
            <v>26</v>
          </cell>
        </row>
        <row r="907">
          <cell r="A907">
            <v>60069017</v>
          </cell>
          <cell r="C907">
            <v>60069017</v>
          </cell>
          <cell r="E907" t="str">
            <v>CR</v>
          </cell>
          <cell r="F907" t="str">
            <v>SPCC-SD</v>
          </cell>
          <cell r="G907">
            <v>0.4</v>
          </cell>
          <cell r="H907">
            <v>62</v>
          </cell>
          <cell r="I907" t="str">
            <v>C</v>
          </cell>
          <cell r="J907" t="str">
            <v>SEMI/C</v>
          </cell>
          <cell r="K907">
            <v>60069017</v>
          </cell>
          <cell r="L907">
            <v>38</v>
          </cell>
        </row>
        <row r="908">
          <cell r="A908">
            <v>60069109</v>
          </cell>
          <cell r="C908">
            <v>60069109</v>
          </cell>
          <cell r="E908" t="str">
            <v>CR</v>
          </cell>
          <cell r="F908" t="str">
            <v>SPCC-SD</v>
          </cell>
          <cell r="G908">
            <v>1.2</v>
          </cell>
          <cell r="H908">
            <v>91</v>
          </cell>
          <cell r="I908" t="str">
            <v>C</v>
          </cell>
          <cell r="J908" t="str">
            <v>WIP</v>
          </cell>
          <cell r="K908">
            <v>60069109</v>
          </cell>
          <cell r="L908">
            <v>149</v>
          </cell>
        </row>
        <row r="909">
          <cell r="A909">
            <v>60069136</v>
          </cell>
          <cell r="C909">
            <v>60069136</v>
          </cell>
          <cell r="E909" t="str">
            <v>CR</v>
          </cell>
          <cell r="F909" t="str">
            <v>SPCC-SD</v>
          </cell>
          <cell r="G909">
            <v>2</v>
          </cell>
          <cell r="H909">
            <v>92</v>
          </cell>
          <cell r="I909" t="str">
            <v>C</v>
          </cell>
          <cell r="J909" t="str">
            <v>SEMI/C</v>
          </cell>
          <cell r="K909">
            <v>60069136</v>
          </cell>
          <cell r="L909">
            <v>336</v>
          </cell>
        </row>
        <row r="910">
          <cell r="A910">
            <v>60069140</v>
          </cell>
          <cell r="C910">
            <v>60069140</v>
          </cell>
          <cell r="E910" t="str">
            <v>CR</v>
          </cell>
          <cell r="F910" t="str">
            <v>SPCC-SD</v>
          </cell>
          <cell r="G910">
            <v>1.2</v>
          </cell>
          <cell r="H910">
            <v>55</v>
          </cell>
          <cell r="I910" t="str">
            <v>C</v>
          </cell>
          <cell r="J910" t="str">
            <v>CS01/6</v>
          </cell>
          <cell r="K910">
            <v>60069140</v>
          </cell>
          <cell r="L910">
            <v>161</v>
          </cell>
        </row>
        <row r="911">
          <cell r="A911">
            <v>60069141</v>
          </cell>
          <cell r="C911">
            <v>60069141</v>
          </cell>
          <cell r="E911" t="str">
            <v>CR</v>
          </cell>
          <cell r="F911" t="str">
            <v>SPCC-SD</v>
          </cell>
          <cell r="G911">
            <v>1.2</v>
          </cell>
          <cell r="H911">
            <v>55</v>
          </cell>
          <cell r="I911" t="str">
            <v>C</v>
          </cell>
          <cell r="J911" t="str">
            <v>CS01/6</v>
          </cell>
          <cell r="K911">
            <v>60069141</v>
          </cell>
          <cell r="L911">
            <v>161</v>
          </cell>
        </row>
        <row r="912">
          <cell r="A912">
            <v>60069142</v>
          </cell>
          <cell r="C912">
            <v>60069142</v>
          </cell>
          <cell r="E912" t="str">
            <v>CR</v>
          </cell>
          <cell r="F912" t="str">
            <v>SPCC-SD</v>
          </cell>
          <cell r="G912">
            <v>1.2</v>
          </cell>
          <cell r="H912">
            <v>55</v>
          </cell>
          <cell r="I912" t="str">
            <v>C</v>
          </cell>
          <cell r="J912" t="str">
            <v>CS01/6</v>
          </cell>
          <cell r="K912">
            <v>60069142</v>
          </cell>
          <cell r="L912">
            <v>161</v>
          </cell>
        </row>
        <row r="913">
          <cell r="A913">
            <v>60069143</v>
          </cell>
          <cell r="C913">
            <v>60069143</v>
          </cell>
          <cell r="E913" t="str">
            <v>CR</v>
          </cell>
          <cell r="F913" t="str">
            <v>SPCC-SD</v>
          </cell>
          <cell r="G913">
            <v>1.2</v>
          </cell>
          <cell r="H913">
            <v>55</v>
          </cell>
          <cell r="I913" t="str">
            <v>C</v>
          </cell>
          <cell r="J913" t="str">
            <v>CS01/6</v>
          </cell>
          <cell r="K913">
            <v>60069143</v>
          </cell>
          <cell r="L913">
            <v>161</v>
          </cell>
        </row>
        <row r="914">
          <cell r="A914">
            <v>60069223</v>
          </cell>
          <cell r="C914">
            <v>60069223</v>
          </cell>
          <cell r="E914" t="str">
            <v>PO</v>
          </cell>
          <cell r="F914" t="str">
            <v>SPHC P/O</v>
          </cell>
          <cell r="G914">
            <v>3.2</v>
          </cell>
          <cell r="H914">
            <v>89</v>
          </cell>
          <cell r="I914" t="str">
            <v>C</v>
          </cell>
          <cell r="J914" t="str">
            <v>CS01/6</v>
          </cell>
          <cell r="K914">
            <v>60069223</v>
          </cell>
          <cell r="L914">
            <v>305</v>
          </cell>
        </row>
        <row r="915">
          <cell r="A915">
            <v>60069224</v>
          </cell>
          <cell r="C915">
            <v>60069224</v>
          </cell>
          <cell r="E915" t="str">
            <v>PO</v>
          </cell>
          <cell r="F915" t="str">
            <v>SPHC P/O</v>
          </cell>
          <cell r="G915">
            <v>3.2</v>
          </cell>
          <cell r="H915">
            <v>89</v>
          </cell>
          <cell r="I915" t="str">
            <v>C</v>
          </cell>
          <cell r="J915" t="str">
            <v>CS01/6</v>
          </cell>
          <cell r="K915">
            <v>60069224</v>
          </cell>
          <cell r="L915">
            <v>305</v>
          </cell>
        </row>
        <row r="916">
          <cell r="A916">
            <v>60069235</v>
          </cell>
          <cell r="C916">
            <v>60069235</v>
          </cell>
          <cell r="E916" t="str">
            <v>PO</v>
          </cell>
          <cell r="F916" t="str">
            <v>SPHC P/O</v>
          </cell>
          <cell r="G916">
            <v>3.2</v>
          </cell>
          <cell r="H916">
            <v>89</v>
          </cell>
          <cell r="I916" t="str">
            <v>C</v>
          </cell>
          <cell r="J916" t="str">
            <v>CS01/6</v>
          </cell>
          <cell r="K916">
            <v>60069235</v>
          </cell>
          <cell r="L916">
            <v>310</v>
          </cell>
        </row>
        <row r="917">
          <cell r="A917">
            <v>60069236</v>
          </cell>
          <cell r="C917">
            <v>60069236</v>
          </cell>
          <cell r="E917" t="str">
            <v>PO</v>
          </cell>
          <cell r="F917" t="str">
            <v>SPHC P/O</v>
          </cell>
          <cell r="G917">
            <v>3.2</v>
          </cell>
          <cell r="H917">
            <v>89</v>
          </cell>
          <cell r="I917" t="str">
            <v>C</v>
          </cell>
          <cell r="J917" t="str">
            <v>CS01/6</v>
          </cell>
          <cell r="K917">
            <v>60069236</v>
          </cell>
          <cell r="L917">
            <v>310</v>
          </cell>
        </row>
        <row r="918">
          <cell r="A918">
            <v>60069252</v>
          </cell>
          <cell r="C918">
            <v>60069252</v>
          </cell>
          <cell r="E918" t="str">
            <v>CR</v>
          </cell>
          <cell r="F918" t="str">
            <v>SPCC-SD</v>
          </cell>
          <cell r="G918">
            <v>1.6</v>
          </cell>
          <cell r="H918">
            <v>39</v>
          </cell>
          <cell r="I918" t="str">
            <v>C</v>
          </cell>
          <cell r="J918" t="str">
            <v>CS01/6</v>
          </cell>
          <cell r="K918">
            <v>60069252</v>
          </cell>
          <cell r="L918">
            <v>104</v>
          </cell>
        </row>
        <row r="919">
          <cell r="A919">
            <v>60069333</v>
          </cell>
          <cell r="C919">
            <v>60069333</v>
          </cell>
          <cell r="E919" t="str">
            <v>PO</v>
          </cell>
          <cell r="F919" t="str">
            <v>SAPH440 P/O</v>
          </cell>
          <cell r="G919">
            <v>4</v>
          </cell>
          <cell r="H919">
            <v>75</v>
          </cell>
          <cell r="I919" t="str">
            <v>C</v>
          </cell>
          <cell r="J919" t="str">
            <v>CS01/1</v>
          </cell>
          <cell r="K919">
            <v>60069333</v>
          </cell>
          <cell r="L919">
            <v>578</v>
          </cell>
        </row>
        <row r="920">
          <cell r="A920">
            <v>60069334</v>
          </cell>
          <cell r="C920">
            <v>60069334</v>
          </cell>
          <cell r="E920" t="str">
            <v>PO</v>
          </cell>
          <cell r="F920" t="str">
            <v>SAPH440 P/O</v>
          </cell>
          <cell r="G920">
            <v>4</v>
          </cell>
          <cell r="H920">
            <v>75</v>
          </cell>
          <cell r="I920" t="str">
            <v>C</v>
          </cell>
          <cell r="J920" t="str">
            <v>CS01/1</v>
          </cell>
          <cell r="K920">
            <v>60069334</v>
          </cell>
          <cell r="L920">
            <v>578</v>
          </cell>
        </row>
        <row r="921">
          <cell r="A921">
            <v>60069392</v>
          </cell>
          <cell r="C921">
            <v>60069392</v>
          </cell>
          <cell r="E921" t="str">
            <v>CR</v>
          </cell>
          <cell r="F921" t="str">
            <v>SPCEN-SD</v>
          </cell>
          <cell r="G921">
            <v>0.7</v>
          </cell>
          <cell r="H921">
            <v>40</v>
          </cell>
          <cell r="I921" t="str">
            <v>C</v>
          </cell>
          <cell r="J921" t="str">
            <v>SEMI/C</v>
          </cell>
          <cell r="K921">
            <v>60069392</v>
          </cell>
          <cell r="L921">
            <v>231</v>
          </cell>
        </row>
        <row r="922">
          <cell r="A922">
            <v>60069395</v>
          </cell>
          <cell r="C922">
            <v>60069395</v>
          </cell>
          <cell r="E922" t="str">
            <v>CR</v>
          </cell>
          <cell r="F922" t="str">
            <v>SPCEN-SD</v>
          </cell>
          <cell r="G922">
            <v>0.7</v>
          </cell>
          <cell r="H922">
            <v>40</v>
          </cell>
          <cell r="I922" t="str">
            <v>C</v>
          </cell>
          <cell r="J922" t="str">
            <v>SEMI/C</v>
          </cell>
          <cell r="K922">
            <v>60069395</v>
          </cell>
          <cell r="L922">
            <v>307</v>
          </cell>
        </row>
        <row r="923">
          <cell r="A923">
            <v>60069398</v>
          </cell>
          <cell r="C923">
            <v>60069398</v>
          </cell>
          <cell r="E923" t="str">
            <v>CR</v>
          </cell>
          <cell r="F923" t="str">
            <v>SPCEN-SD</v>
          </cell>
          <cell r="G923">
            <v>0.7</v>
          </cell>
          <cell r="H923">
            <v>40</v>
          </cell>
          <cell r="I923" t="str">
            <v>C</v>
          </cell>
          <cell r="J923" t="str">
            <v>SEMI/C</v>
          </cell>
          <cell r="K923">
            <v>60069398</v>
          </cell>
          <cell r="L923">
            <v>312</v>
          </cell>
        </row>
        <row r="924">
          <cell r="A924">
            <v>60069492</v>
          </cell>
          <cell r="C924">
            <v>60069492</v>
          </cell>
          <cell r="E924" t="str">
            <v>CR</v>
          </cell>
          <cell r="F924" t="str">
            <v>SPCC-SD</v>
          </cell>
          <cell r="G924">
            <v>0.5</v>
          </cell>
          <cell r="H924">
            <v>70</v>
          </cell>
          <cell r="I924" t="str">
            <v>C</v>
          </cell>
          <cell r="J924" t="str">
            <v>CS01/4</v>
          </cell>
          <cell r="K924">
            <v>60069492</v>
          </cell>
          <cell r="L924">
            <v>66</v>
          </cell>
        </row>
        <row r="925">
          <cell r="A925">
            <v>60069494</v>
          </cell>
          <cell r="C925">
            <v>60069494</v>
          </cell>
          <cell r="E925" t="str">
            <v>CR</v>
          </cell>
          <cell r="F925" t="str">
            <v>SPCC-SD</v>
          </cell>
          <cell r="G925">
            <v>0.5</v>
          </cell>
          <cell r="H925">
            <v>70</v>
          </cell>
          <cell r="I925" t="str">
            <v>C</v>
          </cell>
          <cell r="J925" t="str">
            <v>CS01/4</v>
          </cell>
          <cell r="K925">
            <v>60069494</v>
          </cell>
          <cell r="L925">
            <v>95</v>
          </cell>
        </row>
        <row r="926">
          <cell r="A926">
            <v>60069506</v>
          </cell>
          <cell r="C926">
            <v>60069506</v>
          </cell>
          <cell r="E926" t="str">
            <v>CR</v>
          </cell>
          <cell r="F926" t="str">
            <v>SPCC-SD</v>
          </cell>
          <cell r="G926">
            <v>0.5</v>
          </cell>
          <cell r="H926">
            <v>70</v>
          </cell>
          <cell r="I926" t="str">
            <v>C</v>
          </cell>
          <cell r="J926" t="str">
            <v>CS01/4</v>
          </cell>
          <cell r="K926">
            <v>60069506</v>
          </cell>
          <cell r="L926">
            <v>94</v>
          </cell>
        </row>
        <row r="927">
          <cell r="A927">
            <v>60069530</v>
          </cell>
          <cell r="C927">
            <v>60069530</v>
          </cell>
          <cell r="E927" t="str">
            <v>CR</v>
          </cell>
          <cell r="F927" t="str">
            <v>SPCC-SD</v>
          </cell>
          <cell r="G927">
            <v>1.2</v>
          </cell>
          <cell r="H927">
            <v>55</v>
          </cell>
          <cell r="I927" t="str">
            <v>C</v>
          </cell>
          <cell r="J927" t="str">
            <v>CS01/4</v>
          </cell>
          <cell r="K927">
            <v>60069530</v>
          </cell>
          <cell r="L927">
            <v>201</v>
          </cell>
        </row>
        <row r="928">
          <cell r="A928">
            <v>60069531</v>
          </cell>
          <cell r="C928">
            <v>60069531</v>
          </cell>
          <cell r="E928" t="str">
            <v>CR</v>
          </cell>
          <cell r="F928" t="str">
            <v>SPCC-SD</v>
          </cell>
          <cell r="G928">
            <v>1.2</v>
          </cell>
          <cell r="H928">
            <v>55</v>
          </cell>
          <cell r="I928" t="str">
            <v>C</v>
          </cell>
          <cell r="J928" t="str">
            <v>CS01/4</v>
          </cell>
          <cell r="K928">
            <v>60069531</v>
          </cell>
          <cell r="L928">
            <v>201</v>
          </cell>
        </row>
        <row r="929">
          <cell r="A929">
            <v>60069532</v>
          </cell>
          <cell r="C929">
            <v>60069532</v>
          </cell>
          <cell r="E929" t="str">
            <v>CR</v>
          </cell>
          <cell r="F929" t="str">
            <v>SPCC-SD</v>
          </cell>
          <cell r="G929">
            <v>1.2</v>
          </cell>
          <cell r="H929">
            <v>55</v>
          </cell>
          <cell r="I929" t="str">
            <v>C</v>
          </cell>
          <cell r="J929" t="str">
            <v>CS01/4</v>
          </cell>
          <cell r="K929">
            <v>60069532</v>
          </cell>
          <cell r="L929">
            <v>201</v>
          </cell>
        </row>
        <row r="930">
          <cell r="A930">
            <v>60069606</v>
          </cell>
          <cell r="C930">
            <v>60069606</v>
          </cell>
          <cell r="E930" t="str">
            <v>CR</v>
          </cell>
          <cell r="F930" t="str">
            <v>SPCC-SD</v>
          </cell>
          <cell r="G930">
            <v>2.2999999999999998</v>
          </cell>
          <cell r="H930">
            <v>84</v>
          </cell>
          <cell r="I930" t="str">
            <v>C</v>
          </cell>
          <cell r="J930" t="str">
            <v>CS01/4</v>
          </cell>
          <cell r="K930">
            <v>60069606</v>
          </cell>
          <cell r="L930">
            <v>435</v>
          </cell>
        </row>
        <row r="931">
          <cell r="A931">
            <v>60069637</v>
          </cell>
          <cell r="C931">
            <v>60069637</v>
          </cell>
          <cell r="E931" t="str">
            <v>CR</v>
          </cell>
          <cell r="F931" t="str">
            <v>SPCC-SD</v>
          </cell>
          <cell r="G931">
            <v>0.8</v>
          </cell>
          <cell r="H931">
            <v>80</v>
          </cell>
          <cell r="I931" t="str">
            <v>C</v>
          </cell>
          <cell r="J931" t="str">
            <v>SEMI/C</v>
          </cell>
          <cell r="K931">
            <v>60069637</v>
          </cell>
          <cell r="L931">
            <v>119</v>
          </cell>
        </row>
        <row r="932">
          <cell r="A932">
            <v>60069874</v>
          </cell>
          <cell r="C932">
            <v>60069874</v>
          </cell>
          <cell r="E932" t="str">
            <v>CR</v>
          </cell>
          <cell r="F932" t="str">
            <v>SPCEN-SD</v>
          </cell>
          <cell r="G932">
            <v>2</v>
          </cell>
          <cell r="H932">
            <v>56</v>
          </cell>
          <cell r="I932" t="str">
            <v>C</v>
          </cell>
          <cell r="J932" t="str">
            <v>CS01/12</v>
          </cell>
          <cell r="K932">
            <v>60069874</v>
          </cell>
          <cell r="L932">
            <v>198</v>
          </cell>
        </row>
        <row r="933">
          <cell r="A933">
            <v>60070083</v>
          </cell>
          <cell r="C933">
            <v>60070083</v>
          </cell>
          <cell r="E933" t="str">
            <v>PO</v>
          </cell>
          <cell r="F933" t="str">
            <v>SAPH440 P/O</v>
          </cell>
          <cell r="G933">
            <v>4.5</v>
          </cell>
          <cell r="H933">
            <v>70</v>
          </cell>
          <cell r="I933" t="str">
            <v>C</v>
          </cell>
          <cell r="J933" t="str">
            <v>CS01/5</v>
          </cell>
          <cell r="K933">
            <v>60070083</v>
          </cell>
          <cell r="L933">
            <v>214</v>
          </cell>
        </row>
        <row r="934">
          <cell r="A934">
            <v>60070084</v>
          </cell>
          <cell r="C934">
            <v>60070084</v>
          </cell>
          <cell r="E934" t="str">
            <v>PO</v>
          </cell>
          <cell r="F934" t="str">
            <v>SAPH440 P/O</v>
          </cell>
          <cell r="G934">
            <v>4.5</v>
          </cell>
          <cell r="H934">
            <v>70</v>
          </cell>
          <cell r="I934" t="str">
            <v>C</v>
          </cell>
          <cell r="J934" t="str">
            <v>CS01/5</v>
          </cell>
          <cell r="K934">
            <v>60070084</v>
          </cell>
          <cell r="L934">
            <v>214</v>
          </cell>
        </row>
        <row r="935">
          <cell r="A935">
            <v>60070085</v>
          </cell>
          <cell r="C935">
            <v>60070085</v>
          </cell>
          <cell r="E935" t="str">
            <v>PO</v>
          </cell>
          <cell r="F935" t="str">
            <v>SAPH440 P/O</v>
          </cell>
          <cell r="G935">
            <v>4.5</v>
          </cell>
          <cell r="H935">
            <v>70</v>
          </cell>
          <cell r="I935" t="str">
            <v>C</v>
          </cell>
          <cell r="J935" t="str">
            <v>CS01/5</v>
          </cell>
          <cell r="K935">
            <v>60070085</v>
          </cell>
          <cell r="L935">
            <v>214</v>
          </cell>
        </row>
        <row r="936">
          <cell r="A936">
            <v>60070090</v>
          </cell>
          <cell r="C936">
            <v>60070090</v>
          </cell>
          <cell r="E936" t="str">
            <v>PO</v>
          </cell>
          <cell r="F936" t="str">
            <v>SAPH440 P/O</v>
          </cell>
          <cell r="G936">
            <v>4.5</v>
          </cell>
          <cell r="H936">
            <v>70</v>
          </cell>
          <cell r="I936" t="str">
            <v>C</v>
          </cell>
          <cell r="J936" t="str">
            <v>CS01/5</v>
          </cell>
          <cell r="K936">
            <v>60070090</v>
          </cell>
          <cell r="L936">
            <v>219</v>
          </cell>
        </row>
        <row r="937">
          <cell r="A937">
            <v>60070091</v>
          </cell>
          <cell r="C937">
            <v>60070091</v>
          </cell>
          <cell r="E937" t="str">
            <v>PO</v>
          </cell>
          <cell r="F937" t="str">
            <v>SAPH440 P/O</v>
          </cell>
          <cell r="G937">
            <v>4.5</v>
          </cell>
          <cell r="H937">
            <v>70</v>
          </cell>
          <cell r="I937" t="str">
            <v>C</v>
          </cell>
          <cell r="J937" t="str">
            <v>CS01/5</v>
          </cell>
          <cell r="K937">
            <v>60070091</v>
          </cell>
          <cell r="L937">
            <v>219</v>
          </cell>
        </row>
        <row r="938">
          <cell r="A938">
            <v>60070092</v>
          </cell>
          <cell r="C938">
            <v>60070092</v>
          </cell>
          <cell r="E938" t="str">
            <v>PO</v>
          </cell>
          <cell r="F938" t="str">
            <v>SAPH440 P/O</v>
          </cell>
          <cell r="G938">
            <v>4.5</v>
          </cell>
          <cell r="H938">
            <v>70</v>
          </cell>
          <cell r="I938" t="str">
            <v>C</v>
          </cell>
          <cell r="J938" t="str">
            <v>CS01/5</v>
          </cell>
          <cell r="K938">
            <v>60070092</v>
          </cell>
          <cell r="L938">
            <v>219</v>
          </cell>
        </row>
        <row r="939">
          <cell r="A939">
            <v>60070171</v>
          </cell>
          <cell r="C939">
            <v>60070171</v>
          </cell>
          <cell r="E939" t="str">
            <v>CR</v>
          </cell>
          <cell r="F939" t="str">
            <v>SPCC-SD</v>
          </cell>
          <cell r="G939">
            <v>1</v>
          </cell>
          <cell r="H939">
            <v>90</v>
          </cell>
          <cell r="I939" t="str">
            <v>C</v>
          </cell>
          <cell r="J939" t="str">
            <v>SEMI/C</v>
          </cell>
          <cell r="K939">
            <v>60070171</v>
          </cell>
          <cell r="L939">
            <v>121</v>
          </cell>
        </row>
        <row r="940">
          <cell r="A940">
            <v>60070567</v>
          </cell>
          <cell r="C940">
            <v>60070567</v>
          </cell>
          <cell r="E940" t="str">
            <v>CR</v>
          </cell>
          <cell r="F940" t="str">
            <v>SPCC-SD</v>
          </cell>
          <cell r="G940">
            <v>0.8</v>
          </cell>
          <cell r="H940">
            <v>55</v>
          </cell>
          <cell r="I940" t="str">
            <v>C</v>
          </cell>
          <cell r="J940" t="str">
            <v>SEMI/C</v>
          </cell>
          <cell r="K940">
            <v>60070567</v>
          </cell>
          <cell r="L940">
            <v>82</v>
          </cell>
        </row>
        <row r="941">
          <cell r="A941">
            <v>60070778</v>
          </cell>
          <cell r="C941">
            <v>60070778</v>
          </cell>
          <cell r="E941" t="str">
            <v>CR</v>
          </cell>
          <cell r="F941" t="str">
            <v>SPCC-SD</v>
          </cell>
          <cell r="G941">
            <v>3</v>
          </cell>
          <cell r="H941">
            <v>64</v>
          </cell>
          <cell r="I941" t="str">
            <v>C</v>
          </cell>
          <cell r="J941" t="str">
            <v>WIP</v>
          </cell>
          <cell r="K941">
            <v>60070778</v>
          </cell>
          <cell r="L941">
            <v>208</v>
          </cell>
        </row>
        <row r="942">
          <cell r="A942">
            <v>60071097</v>
          </cell>
          <cell r="C942">
            <v>60071097</v>
          </cell>
          <cell r="E942" t="str">
            <v>CR</v>
          </cell>
          <cell r="F942" t="str">
            <v>SPCC-SD</v>
          </cell>
          <cell r="G942">
            <v>0.8</v>
          </cell>
          <cell r="H942">
            <v>50</v>
          </cell>
          <cell r="I942" t="str">
            <v>C</v>
          </cell>
          <cell r="J942" t="str">
            <v>SEMI/C</v>
          </cell>
          <cell r="K942">
            <v>60071097</v>
          </cell>
          <cell r="L942">
            <v>341</v>
          </cell>
        </row>
        <row r="943">
          <cell r="A943">
            <v>60071265</v>
          </cell>
          <cell r="C943">
            <v>60071265</v>
          </cell>
          <cell r="E943" t="str">
            <v>CR</v>
          </cell>
          <cell r="F943" t="str">
            <v>SPCC-SD</v>
          </cell>
          <cell r="G943">
            <v>2.2999999999999998</v>
          </cell>
          <cell r="H943">
            <v>65</v>
          </cell>
          <cell r="I943" t="str">
            <v>C</v>
          </cell>
          <cell r="J943" t="str">
            <v>SEMI/C</v>
          </cell>
          <cell r="K943">
            <v>60071265</v>
          </cell>
          <cell r="L943">
            <v>196</v>
          </cell>
        </row>
        <row r="944">
          <cell r="A944">
            <v>60071276</v>
          </cell>
          <cell r="C944">
            <v>60071276</v>
          </cell>
          <cell r="E944" t="str">
            <v>CR</v>
          </cell>
          <cell r="F944" t="str">
            <v>SPCC-SD</v>
          </cell>
          <cell r="G944">
            <v>2.2999999999999998</v>
          </cell>
          <cell r="H944">
            <v>65</v>
          </cell>
          <cell r="I944" t="str">
            <v>C</v>
          </cell>
          <cell r="J944" t="str">
            <v>SEMI/C</v>
          </cell>
          <cell r="K944">
            <v>60071276</v>
          </cell>
          <cell r="L944">
            <v>198</v>
          </cell>
        </row>
        <row r="945">
          <cell r="A945">
            <v>60071297</v>
          </cell>
          <cell r="C945">
            <v>60071297</v>
          </cell>
          <cell r="E945" t="str">
            <v>CR</v>
          </cell>
          <cell r="F945" t="str">
            <v>SPCEN-SD</v>
          </cell>
          <cell r="G945">
            <v>1.2</v>
          </cell>
          <cell r="H945">
            <v>90</v>
          </cell>
          <cell r="I945" t="str">
            <v>C</v>
          </cell>
          <cell r="J945" t="str">
            <v>SEMI/C</v>
          </cell>
          <cell r="K945">
            <v>60071297</v>
          </cell>
          <cell r="L945">
            <v>245</v>
          </cell>
        </row>
        <row r="946">
          <cell r="A946">
            <v>60071383</v>
          </cell>
          <cell r="C946">
            <v>60071383</v>
          </cell>
          <cell r="E946" t="str">
            <v>CR</v>
          </cell>
          <cell r="F946" t="str">
            <v>SPCC-SD</v>
          </cell>
          <cell r="G946">
            <v>2</v>
          </cell>
          <cell r="H946">
            <v>89</v>
          </cell>
          <cell r="I946" t="str">
            <v>C</v>
          </cell>
          <cell r="J946" t="str">
            <v>SEMI/C</v>
          </cell>
          <cell r="K946">
            <v>60071383</v>
          </cell>
          <cell r="L946">
            <v>162</v>
          </cell>
        </row>
        <row r="947">
          <cell r="A947">
            <v>60071528</v>
          </cell>
          <cell r="C947">
            <v>60071528</v>
          </cell>
          <cell r="E947" t="str">
            <v>PO</v>
          </cell>
          <cell r="F947" t="str">
            <v>SPHC P/O</v>
          </cell>
          <cell r="G947">
            <v>2.6</v>
          </cell>
          <cell r="H947">
            <v>64.8</v>
          </cell>
          <cell r="I947" t="str">
            <v>C</v>
          </cell>
          <cell r="J947" t="str">
            <v>SEMI/C</v>
          </cell>
          <cell r="K947">
            <v>60071528</v>
          </cell>
          <cell r="L947">
            <v>456</v>
          </cell>
        </row>
        <row r="948">
          <cell r="A948">
            <v>60071529</v>
          </cell>
          <cell r="C948">
            <v>60071529</v>
          </cell>
          <cell r="E948" t="str">
            <v>PO</v>
          </cell>
          <cell r="F948" t="str">
            <v>SPHC P/O</v>
          </cell>
          <cell r="G948">
            <v>2.6</v>
          </cell>
          <cell r="H948">
            <v>64.8</v>
          </cell>
          <cell r="I948" t="str">
            <v>C</v>
          </cell>
          <cell r="J948" t="str">
            <v>SEMI/C</v>
          </cell>
          <cell r="K948">
            <v>60071529</v>
          </cell>
          <cell r="L948">
            <v>456</v>
          </cell>
        </row>
        <row r="949">
          <cell r="A949">
            <v>60071620</v>
          </cell>
          <cell r="C949">
            <v>60071620</v>
          </cell>
          <cell r="E949" t="str">
            <v>CR</v>
          </cell>
          <cell r="F949" t="str">
            <v>SPCC-SD</v>
          </cell>
          <cell r="G949">
            <v>1</v>
          </cell>
          <cell r="H949">
            <v>80</v>
          </cell>
          <cell r="I949" t="str">
            <v>C</v>
          </cell>
          <cell r="J949" t="str">
            <v>SEMI/C</v>
          </cell>
          <cell r="K949">
            <v>60071620</v>
          </cell>
          <cell r="L949">
            <v>296</v>
          </cell>
        </row>
        <row r="950">
          <cell r="A950">
            <v>60071625</v>
          </cell>
          <cell r="C950">
            <v>60071625</v>
          </cell>
          <cell r="E950" t="str">
            <v>CR</v>
          </cell>
          <cell r="F950" t="str">
            <v>SPCC-SD</v>
          </cell>
          <cell r="G950">
            <v>1</v>
          </cell>
          <cell r="H950">
            <v>80</v>
          </cell>
          <cell r="I950" t="str">
            <v>C</v>
          </cell>
          <cell r="J950" t="str">
            <v>SEMI/C</v>
          </cell>
          <cell r="K950">
            <v>60071625</v>
          </cell>
          <cell r="L950">
            <v>295</v>
          </cell>
        </row>
        <row r="951">
          <cell r="A951">
            <v>60071755</v>
          </cell>
          <cell r="C951">
            <v>60071755</v>
          </cell>
          <cell r="E951" t="str">
            <v>CR</v>
          </cell>
          <cell r="F951" t="str">
            <v>SPCC-SD</v>
          </cell>
          <cell r="G951">
            <v>1.4</v>
          </cell>
          <cell r="H951">
            <v>80</v>
          </cell>
          <cell r="I951" t="str">
            <v>C</v>
          </cell>
          <cell r="J951" t="str">
            <v>NG</v>
          </cell>
          <cell r="K951">
            <v>60071755</v>
          </cell>
          <cell r="L951">
            <v>293</v>
          </cell>
        </row>
        <row r="952">
          <cell r="A952">
            <v>60071756</v>
          </cell>
          <cell r="C952">
            <v>60071756</v>
          </cell>
          <cell r="E952" t="str">
            <v>CR</v>
          </cell>
          <cell r="F952" t="str">
            <v>SPCC-SD</v>
          </cell>
          <cell r="G952">
            <v>1.4</v>
          </cell>
          <cell r="H952">
            <v>80</v>
          </cell>
          <cell r="I952" t="str">
            <v>C</v>
          </cell>
          <cell r="J952" t="str">
            <v>NG</v>
          </cell>
          <cell r="K952">
            <v>60071756</v>
          </cell>
          <cell r="L952">
            <v>293</v>
          </cell>
        </row>
        <row r="953">
          <cell r="L953">
            <v>301614</v>
          </cell>
        </row>
      </sheetData>
      <sheetData sheetId="1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A"/>
      <sheetName val="ALL"/>
    </sheetNames>
    <sheetDataSet>
      <sheetData sheetId="0"/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"/>
      <sheetName val="Part List รวมล่าสุดกว่า"/>
      <sheetName val="ต้นฉับบ"/>
      <sheetName val="CPS HONDA TSGP -PTT"/>
      <sheetName val="CPS HONDA TSGP -PTT (2)"/>
      <sheetName val="PTT"/>
      <sheetName val="CPS HONDA TSI"/>
      <sheetName val="CPS HONDA BM"/>
      <sheetName val="CPS HONDA EAST"/>
      <sheetName val="CPS HONDA PS-PRO"/>
      <sheetName val="CPS HONDA CSP"/>
      <sheetName val="คิวพลัส"/>
      <sheetName val="TSGP3อภินัน"/>
      <sheetName val="ไทยสตีส"/>
      <sheetName val="BM"/>
      <sheetName val="5.5"/>
    </sheetNames>
    <sheetDataSet>
      <sheetData sheetId="0">
        <row r="1">
          <cell r="F1" t="str">
            <v>Material &amp; Purechasing Parts Forecast Monthly</v>
          </cell>
        </row>
        <row r="5">
          <cell r="F5" t="str">
            <v>Tel. 02-3258000  Ext. 296,420</v>
          </cell>
          <cell r="H5" t="str">
            <v>Mobile.</v>
          </cell>
        </row>
        <row r="7">
          <cell r="F7" t="str">
            <v>Fax. 02-3258099</v>
          </cell>
          <cell r="H7" t="str">
            <v>E-Mail</v>
          </cell>
        </row>
        <row r="9">
          <cell r="J9">
            <v>244485</v>
          </cell>
        </row>
        <row r="10">
          <cell r="F10" t="str">
            <v xml:space="preserve">Version. </v>
          </cell>
        </row>
        <row r="11">
          <cell r="F11" t="str">
            <v>1 คุณเอกลักษณ์</v>
          </cell>
          <cell r="G11" t="str">
            <v>Material Description</v>
          </cell>
          <cell r="H11" t="str">
            <v>Model</v>
          </cell>
          <cell r="I11" t="str">
            <v>RATIO</v>
          </cell>
          <cell r="J11">
            <v>46174</v>
          </cell>
          <cell r="K11" t="str">
            <v>6/PCS.</v>
          </cell>
          <cell r="L11">
            <v>46204</v>
          </cell>
          <cell r="M11" t="str">
            <v>7/PCS.</v>
          </cell>
          <cell r="N11">
            <v>46235</v>
          </cell>
          <cell r="O11" t="str">
            <v>8/PCS.</v>
          </cell>
          <cell r="P11">
            <v>46266</v>
          </cell>
          <cell r="Q11" t="str">
            <v>9/PCS.</v>
          </cell>
          <cell r="R11">
            <v>46296</v>
          </cell>
          <cell r="S11" t="str">
            <v>10/PCS.</v>
          </cell>
          <cell r="T11">
            <v>46327</v>
          </cell>
          <cell r="U11" t="str">
            <v>11/PCS.</v>
          </cell>
          <cell r="V11" t="str">
            <v>Unit</v>
          </cell>
        </row>
        <row r="12">
          <cell r="F12">
            <v>30000382</v>
          </cell>
          <cell r="G12" t="str">
            <v>STAY C CHAIN CASE (52133-KPH-9000-H1)</v>
          </cell>
          <cell r="H12" t="e">
            <v>#REF!</v>
          </cell>
          <cell r="I12">
            <v>122</v>
          </cell>
          <cell r="J12">
            <v>800</v>
          </cell>
          <cell r="K12">
            <v>6.557377049180328</v>
          </cell>
          <cell r="L12">
            <v>3100</v>
          </cell>
          <cell r="M12">
            <v>25.409836065573771</v>
          </cell>
          <cell r="N12">
            <v>1100</v>
          </cell>
          <cell r="O12">
            <v>9.0163934426229506</v>
          </cell>
          <cell r="P12">
            <v>1200</v>
          </cell>
          <cell r="Q12">
            <v>9.8360655737704921</v>
          </cell>
          <cell r="R12">
            <v>1200</v>
          </cell>
          <cell r="S12">
            <v>9.8360655737704921</v>
          </cell>
          <cell r="T12">
            <v>900</v>
          </cell>
          <cell r="U12">
            <v>7.3770491803278686</v>
          </cell>
          <cell r="V12" t="str">
            <v>PC</v>
          </cell>
        </row>
        <row r="13">
          <cell r="F13">
            <v>30000416</v>
          </cell>
          <cell r="G13" t="str">
            <v>PLATE B (53108-KWW-6000-22)</v>
          </cell>
          <cell r="I13">
            <v>152</v>
          </cell>
          <cell r="J13">
            <v>100</v>
          </cell>
          <cell r="K13">
            <v>0.65789473684210531</v>
          </cell>
          <cell r="L13">
            <v>27</v>
          </cell>
          <cell r="M13">
            <v>0.17763157894736842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 t="str">
            <v>PC</v>
          </cell>
        </row>
        <row r="14">
          <cell r="F14">
            <v>30000429</v>
          </cell>
          <cell r="G14" t="str">
            <v>CLAMPER (53115-KRS-6100-08)</v>
          </cell>
          <cell r="H14" t="str">
            <v>HONDA KRSK</v>
          </cell>
          <cell r="I14">
            <v>85</v>
          </cell>
          <cell r="J14">
            <v>200</v>
          </cell>
          <cell r="K14">
            <v>2.3529411764705883</v>
          </cell>
          <cell r="L14">
            <v>100</v>
          </cell>
          <cell r="M14">
            <v>1.1764705882352942</v>
          </cell>
          <cell r="N14">
            <v>100</v>
          </cell>
          <cell r="O14">
            <v>1.1764705882352942</v>
          </cell>
          <cell r="P14">
            <v>100</v>
          </cell>
          <cell r="Q14">
            <v>1.1764705882352942</v>
          </cell>
          <cell r="R14">
            <v>100</v>
          </cell>
          <cell r="S14">
            <v>1.1764705882352942</v>
          </cell>
          <cell r="T14">
            <v>100</v>
          </cell>
          <cell r="U14">
            <v>1.1764705882352942</v>
          </cell>
          <cell r="V14" t="str">
            <v>pc</v>
          </cell>
        </row>
        <row r="15">
          <cell r="F15">
            <v>30001525</v>
          </cell>
          <cell r="G15" t="str">
            <v>CLIP 3 X 80 (94591-18000)</v>
          </cell>
          <cell r="H15" t="str">
            <v>HONDA GEZA</v>
          </cell>
          <cell r="I15">
            <v>89</v>
          </cell>
          <cell r="J15">
            <v>0</v>
          </cell>
          <cell r="K15">
            <v>0</v>
          </cell>
          <cell r="L15">
            <v>2400</v>
          </cell>
          <cell r="M15">
            <v>26.966292134831459</v>
          </cell>
          <cell r="N15">
            <v>0</v>
          </cell>
          <cell r="O15">
            <v>0</v>
          </cell>
          <cell r="P15">
            <v>720</v>
          </cell>
          <cell r="Q15">
            <v>8.0898876404494384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 t="str">
            <v>PC</v>
          </cell>
        </row>
        <row r="16">
          <cell r="F16">
            <v>30002513</v>
          </cell>
          <cell r="G16" t="str">
            <v>PEDAL BRAKE (46500-KGH-9000-01)</v>
          </cell>
          <cell r="I16">
            <v>0</v>
          </cell>
          <cell r="J16">
            <v>0</v>
          </cell>
          <cell r="K16" t="e">
            <v>#DIV/0!</v>
          </cell>
          <cell r="L16">
            <v>12</v>
          </cell>
          <cell r="M16" t="e">
            <v>#DIV/0!</v>
          </cell>
          <cell r="O16" t="e">
            <v>#DIV/0!</v>
          </cell>
          <cell r="P16">
            <v>100</v>
          </cell>
          <cell r="Q16" t="e">
            <v>#DIV/0!</v>
          </cell>
          <cell r="R16">
            <v>100</v>
          </cell>
          <cell r="S16" t="e">
            <v>#DIV/0!</v>
          </cell>
          <cell r="U16" t="e">
            <v>#DIV/0!</v>
          </cell>
        </row>
        <row r="17">
          <cell r="F17">
            <v>30002165</v>
          </cell>
          <cell r="G17" t="str">
            <v>BRKT REGURATOR (5VV-F1287-00)</v>
          </cell>
          <cell r="I17">
            <v>36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 t="str">
            <v>PC</v>
          </cell>
        </row>
        <row r="18">
          <cell r="F18">
            <v>30002167</v>
          </cell>
          <cell r="G18" t="str">
            <v>STAY STOPPER (5VV-F149E-00)</v>
          </cell>
          <cell r="H18" t="str">
            <v>YAMAHA 5VV1</v>
          </cell>
          <cell r="I18">
            <v>25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>-</v>
          </cell>
          <cell r="U18" t="e">
            <v>#VALUE!</v>
          </cell>
          <cell r="V18" t="str">
            <v>PC</v>
          </cell>
        </row>
        <row r="19">
          <cell r="F19">
            <v>30002197</v>
          </cell>
          <cell r="G19" t="str">
            <v>BRKT (5YP-F116B-00)</v>
          </cell>
          <cell r="I19">
            <v>13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Q19">
            <v>0</v>
          </cell>
          <cell r="S19">
            <v>0</v>
          </cell>
          <cell r="U19">
            <v>0</v>
          </cell>
          <cell r="V19" t="str">
            <v>PC</v>
          </cell>
        </row>
        <row r="20">
          <cell r="F20">
            <v>30002198</v>
          </cell>
          <cell r="G20" t="str">
            <v>STAY MUFF 2 (5YP-F1446-00)</v>
          </cell>
          <cell r="I20">
            <v>35</v>
          </cell>
          <cell r="K20">
            <v>0</v>
          </cell>
          <cell r="L20">
            <v>0</v>
          </cell>
          <cell r="M20">
            <v>0</v>
          </cell>
          <cell r="O20">
            <v>0</v>
          </cell>
          <cell r="Q20">
            <v>0</v>
          </cell>
          <cell r="S20">
            <v>0</v>
          </cell>
          <cell r="U20">
            <v>0</v>
          </cell>
          <cell r="V20" t="str">
            <v>PC</v>
          </cell>
        </row>
        <row r="21">
          <cell r="F21">
            <v>30002199</v>
          </cell>
          <cell r="G21" t="str">
            <v>STAY ENGINE 3 (5YP-F1317-00)</v>
          </cell>
          <cell r="H21" t="str">
            <v>YAMAHA 5YP1</v>
          </cell>
          <cell r="I21">
            <v>30</v>
          </cell>
          <cell r="K21">
            <v>0</v>
          </cell>
          <cell r="L21">
            <v>0</v>
          </cell>
          <cell r="M21">
            <v>0</v>
          </cell>
          <cell r="O21">
            <v>0</v>
          </cell>
          <cell r="Q21">
            <v>0</v>
          </cell>
          <cell r="S21">
            <v>0</v>
          </cell>
          <cell r="U21">
            <v>0</v>
          </cell>
          <cell r="V21" t="str">
            <v>PC</v>
          </cell>
        </row>
        <row r="22">
          <cell r="F22">
            <v>30002402</v>
          </cell>
          <cell r="G22" t="str">
            <v>STAY MUFF 3 (5YP-F144F-00)</v>
          </cell>
          <cell r="I22">
            <v>41</v>
          </cell>
          <cell r="K22">
            <v>0</v>
          </cell>
          <cell r="L22">
            <v>0</v>
          </cell>
          <cell r="M22">
            <v>0</v>
          </cell>
          <cell r="O22">
            <v>0</v>
          </cell>
          <cell r="Q22">
            <v>0</v>
          </cell>
          <cell r="S22">
            <v>0</v>
          </cell>
          <cell r="U22">
            <v>0</v>
          </cell>
          <cell r="V22" t="str">
            <v>PC</v>
          </cell>
        </row>
        <row r="23">
          <cell r="F23">
            <v>30002516</v>
          </cell>
          <cell r="G23" t="str">
            <v>ARM TIE ROD (24701-KPP-900)</v>
          </cell>
          <cell r="H23" t="str">
            <v>HONDA KPPA</v>
          </cell>
          <cell r="I23">
            <v>60</v>
          </cell>
          <cell r="J23">
            <v>0</v>
          </cell>
          <cell r="K23">
            <v>0</v>
          </cell>
          <cell r="L23">
            <v>100</v>
          </cell>
          <cell r="M23">
            <v>1.6666666666666667</v>
          </cell>
          <cell r="N23">
            <v>100</v>
          </cell>
          <cell r="O23">
            <v>1.6666666666666667</v>
          </cell>
          <cell r="P23">
            <v>0</v>
          </cell>
          <cell r="Q23">
            <v>0</v>
          </cell>
          <cell r="R23">
            <v>100</v>
          </cell>
          <cell r="S23">
            <v>1.6666666666666667</v>
          </cell>
          <cell r="T23">
            <v>0</v>
          </cell>
          <cell r="U23">
            <v>0</v>
          </cell>
          <cell r="V23">
            <v>0</v>
          </cell>
        </row>
        <row r="24">
          <cell r="F24">
            <v>30002524</v>
          </cell>
          <cell r="G24" t="str">
            <v>STAY HELMET HOLDER (50206-GEZ-3002)</v>
          </cell>
          <cell r="I24">
            <v>23</v>
          </cell>
          <cell r="J24">
            <v>0</v>
          </cell>
          <cell r="K24">
            <v>0</v>
          </cell>
          <cell r="L24">
            <v>1080</v>
          </cell>
          <cell r="M24">
            <v>46.956521739130437</v>
          </cell>
          <cell r="N24">
            <v>0</v>
          </cell>
          <cell r="O24">
            <v>0</v>
          </cell>
          <cell r="P24">
            <v>648</v>
          </cell>
          <cell r="Q24">
            <v>28.173913043478262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F25">
            <v>30002525</v>
          </cell>
          <cell r="G25" t="str">
            <v>BRKT,L SEAT RIAL (50203-GEZ-3001)</v>
          </cell>
          <cell r="I25">
            <v>15</v>
          </cell>
          <cell r="J25">
            <v>0</v>
          </cell>
          <cell r="K25">
            <v>0</v>
          </cell>
          <cell r="L25">
            <v>1080</v>
          </cell>
          <cell r="M25">
            <v>72</v>
          </cell>
          <cell r="N25">
            <v>0</v>
          </cell>
          <cell r="O25">
            <v>0</v>
          </cell>
          <cell r="P25">
            <v>648</v>
          </cell>
          <cell r="Q25">
            <v>43.2</v>
          </cell>
          <cell r="R25">
            <v>0</v>
          </cell>
          <cell r="S25">
            <v>0</v>
          </cell>
          <cell r="U25">
            <v>0</v>
          </cell>
          <cell r="V25" t="str">
            <v>PC</v>
          </cell>
        </row>
        <row r="26">
          <cell r="F26">
            <v>30002526</v>
          </cell>
          <cell r="G26" t="str">
            <v>BRKT,R SEAT RIAL (50202-GEZ-3001)</v>
          </cell>
          <cell r="I26">
            <v>15</v>
          </cell>
          <cell r="J26">
            <v>0</v>
          </cell>
          <cell r="K26">
            <v>0</v>
          </cell>
          <cell r="L26">
            <v>1080</v>
          </cell>
          <cell r="M26">
            <v>72</v>
          </cell>
          <cell r="N26">
            <v>0</v>
          </cell>
          <cell r="O26">
            <v>0</v>
          </cell>
          <cell r="P26">
            <v>648</v>
          </cell>
          <cell r="Q26">
            <v>43.2</v>
          </cell>
          <cell r="R26">
            <v>0</v>
          </cell>
          <cell r="S26">
            <v>0</v>
          </cell>
          <cell r="U26">
            <v>0</v>
          </cell>
          <cell r="V26" t="str">
            <v>PC</v>
          </cell>
        </row>
        <row r="27">
          <cell r="F27">
            <v>30002535</v>
          </cell>
          <cell r="G27" t="str">
            <v>STAY TAIL LIGHT (50150-GEZ-6701-20)</v>
          </cell>
          <cell r="I27">
            <v>11</v>
          </cell>
          <cell r="J27">
            <v>0</v>
          </cell>
          <cell r="K27">
            <v>0</v>
          </cell>
          <cell r="L27">
            <v>1200</v>
          </cell>
          <cell r="M27">
            <v>109.09090909090909</v>
          </cell>
          <cell r="N27">
            <v>0</v>
          </cell>
          <cell r="O27">
            <v>0</v>
          </cell>
          <cell r="P27">
            <v>360</v>
          </cell>
          <cell r="Q27">
            <v>32.727272727272727</v>
          </cell>
          <cell r="R27">
            <v>0</v>
          </cell>
          <cell r="S27">
            <v>0</v>
          </cell>
          <cell r="U27">
            <v>0</v>
          </cell>
          <cell r="V27" t="str">
            <v>PC</v>
          </cell>
        </row>
        <row r="28">
          <cell r="F28">
            <v>30002537</v>
          </cell>
          <cell r="G28" t="str">
            <v>STIFFINER L PIVOT (50146-GEZ-3001)</v>
          </cell>
          <cell r="I28">
            <v>18</v>
          </cell>
          <cell r="J28">
            <v>0</v>
          </cell>
          <cell r="K28">
            <v>0</v>
          </cell>
          <cell r="L28">
            <v>1200</v>
          </cell>
          <cell r="M28">
            <v>66.666666666666671</v>
          </cell>
          <cell r="N28">
            <v>0</v>
          </cell>
          <cell r="O28">
            <v>0</v>
          </cell>
          <cell r="P28">
            <v>360</v>
          </cell>
          <cell r="Q28">
            <v>20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 t="str">
            <v>PC</v>
          </cell>
        </row>
        <row r="29">
          <cell r="F29">
            <v>30002538</v>
          </cell>
          <cell r="G29" t="str">
            <v>STAY (50136-GEZ-3001)</v>
          </cell>
          <cell r="I29">
            <v>15</v>
          </cell>
          <cell r="J29">
            <v>0</v>
          </cell>
          <cell r="K29">
            <v>0</v>
          </cell>
          <cell r="L29">
            <v>1200</v>
          </cell>
          <cell r="M29">
            <v>80</v>
          </cell>
          <cell r="N29">
            <v>0</v>
          </cell>
          <cell r="O29">
            <v>0</v>
          </cell>
          <cell r="P29">
            <v>360</v>
          </cell>
          <cell r="Q29">
            <v>24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 t="str">
            <v>PC</v>
          </cell>
        </row>
        <row r="30">
          <cell r="F30">
            <v>30002539</v>
          </cell>
          <cell r="G30" t="str">
            <v>STAY (50132-GEZ-3000)</v>
          </cell>
          <cell r="I30">
            <v>28</v>
          </cell>
          <cell r="J30">
            <v>0</v>
          </cell>
          <cell r="K30">
            <v>0</v>
          </cell>
          <cell r="L30">
            <v>1200</v>
          </cell>
          <cell r="M30">
            <v>42.857142857142854</v>
          </cell>
          <cell r="N30">
            <v>0</v>
          </cell>
          <cell r="O30">
            <v>0</v>
          </cell>
          <cell r="P30">
            <v>360</v>
          </cell>
          <cell r="Q30">
            <v>12.857142857142858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 t="str">
            <v>PC</v>
          </cell>
        </row>
        <row r="31">
          <cell r="F31">
            <v>30002542</v>
          </cell>
          <cell r="G31" t="str">
            <v>PLATE (50127-GEZ-3002) 2 Holes</v>
          </cell>
          <cell r="I31">
            <v>12</v>
          </cell>
          <cell r="J31">
            <v>0</v>
          </cell>
          <cell r="K31">
            <v>0</v>
          </cell>
          <cell r="L31">
            <v>1200</v>
          </cell>
          <cell r="M31">
            <v>100</v>
          </cell>
          <cell r="N31">
            <v>0</v>
          </cell>
          <cell r="O31">
            <v>0</v>
          </cell>
          <cell r="P31">
            <v>360</v>
          </cell>
          <cell r="Q31">
            <v>30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 t="str">
            <v>PC</v>
          </cell>
        </row>
        <row r="32">
          <cell r="F32">
            <v>30002544</v>
          </cell>
          <cell r="G32" t="str">
            <v>BRKT, L (50124-GEZ-3100)</v>
          </cell>
          <cell r="I32">
            <v>8</v>
          </cell>
          <cell r="J32">
            <v>0</v>
          </cell>
          <cell r="K32">
            <v>0</v>
          </cell>
          <cell r="L32">
            <v>1200</v>
          </cell>
          <cell r="M32">
            <v>150</v>
          </cell>
          <cell r="N32">
            <v>0</v>
          </cell>
          <cell r="O32">
            <v>0</v>
          </cell>
          <cell r="P32">
            <v>360</v>
          </cell>
          <cell r="Q32">
            <v>45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 t="str">
            <v>PC</v>
          </cell>
        </row>
        <row r="33">
          <cell r="F33">
            <v>30002545</v>
          </cell>
          <cell r="G33" t="str">
            <v>BRKT, R (50134-GEZ-3100)</v>
          </cell>
          <cell r="I33">
            <v>8</v>
          </cell>
          <cell r="J33">
            <v>0</v>
          </cell>
          <cell r="K33">
            <v>0</v>
          </cell>
          <cell r="L33">
            <v>1200</v>
          </cell>
          <cell r="M33">
            <v>150</v>
          </cell>
          <cell r="N33">
            <v>0</v>
          </cell>
          <cell r="O33">
            <v>0</v>
          </cell>
          <cell r="P33">
            <v>360</v>
          </cell>
          <cell r="Q33">
            <v>45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 t="str">
            <v>PC</v>
          </cell>
        </row>
        <row r="34">
          <cell r="F34">
            <v>30002551</v>
          </cell>
          <cell r="G34" t="str">
            <v>PLATE UPPER STOPPER (50500-KGH-9000-12)</v>
          </cell>
          <cell r="I34">
            <v>24</v>
          </cell>
          <cell r="J34">
            <v>100</v>
          </cell>
          <cell r="K34">
            <v>4.166666666666667</v>
          </cell>
          <cell r="M34">
            <v>0</v>
          </cell>
          <cell r="O34">
            <v>0</v>
          </cell>
          <cell r="Q34">
            <v>0</v>
          </cell>
          <cell r="S34">
            <v>0</v>
          </cell>
          <cell r="U34">
            <v>0</v>
          </cell>
          <cell r="V34" t="str">
            <v>PC</v>
          </cell>
        </row>
        <row r="35">
          <cell r="F35">
            <v>30002570</v>
          </cell>
          <cell r="G35" t="str">
            <v>PLATE, A (53108-KRS-6900-02)</v>
          </cell>
          <cell r="I35">
            <v>0</v>
          </cell>
          <cell r="K35" t="e">
            <v>#DIV/0!</v>
          </cell>
          <cell r="M35" t="e">
            <v>#DIV/0!</v>
          </cell>
          <cell r="O35" t="e">
            <v>#DIV/0!</v>
          </cell>
          <cell r="Q35" t="e">
            <v>#DIV/0!</v>
          </cell>
          <cell r="S35" t="e">
            <v>#DIV/0!</v>
          </cell>
          <cell r="U35" t="e">
            <v>#DIV/0!</v>
          </cell>
          <cell r="V35" t="str">
            <v>PC</v>
          </cell>
        </row>
        <row r="36">
          <cell r="F36">
            <v>30002572</v>
          </cell>
          <cell r="G36" t="str">
            <v>PATCH HANDLE PIPE (53116-KRS-6901)</v>
          </cell>
          <cell r="I36">
            <v>56</v>
          </cell>
          <cell r="J36">
            <v>400</v>
          </cell>
          <cell r="K36">
            <v>7.1428571428571432</v>
          </cell>
          <cell r="L36">
            <v>0</v>
          </cell>
          <cell r="M36">
            <v>0</v>
          </cell>
          <cell r="N36">
            <v>200</v>
          </cell>
          <cell r="O36">
            <v>3.5714285714285716</v>
          </cell>
          <cell r="P36">
            <v>200</v>
          </cell>
          <cell r="Q36">
            <v>3.5714285714285716</v>
          </cell>
          <cell r="R36">
            <v>400</v>
          </cell>
          <cell r="S36">
            <v>7.1428571428571432</v>
          </cell>
          <cell r="T36">
            <v>200</v>
          </cell>
          <cell r="U36">
            <v>3.5714285714285716</v>
          </cell>
          <cell r="V36" t="str">
            <v>PC</v>
          </cell>
        </row>
        <row r="37">
          <cell r="F37">
            <v>30002573</v>
          </cell>
          <cell r="G37" t="str">
            <v>STAY,L HANDLE COVER (53100-KEV-9000-04)</v>
          </cell>
          <cell r="I37">
            <v>36</v>
          </cell>
          <cell r="J37">
            <v>200</v>
          </cell>
          <cell r="K37">
            <v>5.5555555555555554</v>
          </cell>
          <cell r="L37">
            <v>0</v>
          </cell>
          <cell r="M37">
            <v>0</v>
          </cell>
          <cell r="N37">
            <v>100</v>
          </cell>
          <cell r="O37">
            <v>2.7777777777777777</v>
          </cell>
          <cell r="P37">
            <v>200</v>
          </cell>
          <cell r="Q37">
            <v>5.5555555555555554</v>
          </cell>
          <cell r="R37">
            <v>200</v>
          </cell>
          <cell r="S37">
            <v>5.5555555555555554</v>
          </cell>
          <cell r="T37">
            <v>100</v>
          </cell>
          <cell r="U37">
            <v>2.7777777777777777</v>
          </cell>
        </row>
        <row r="38">
          <cell r="F38">
            <v>30002574</v>
          </cell>
          <cell r="G38" t="str">
            <v>STAY,R HANDLE COVER (53100-KEV-9000-03)</v>
          </cell>
          <cell r="I38">
            <v>36</v>
          </cell>
          <cell r="J38">
            <v>200</v>
          </cell>
          <cell r="K38">
            <v>5.5555555555555554</v>
          </cell>
          <cell r="L38">
            <v>0</v>
          </cell>
          <cell r="M38">
            <v>0</v>
          </cell>
          <cell r="N38">
            <v>100</v>
          </cell>
          <cell r="O38">
            <v>2.7777777777777777</v>
          </cell>
          <cell r="P38">
            <v>200</v>
          </cell>
          <cell r="Q38">
            <v>5.5555555555555554</v>
          </cell>
          <cell r="R38">
            <v>200</v>
          </cell>
          <cell r="S38">
            <v>5.5555555555555554</v>
          </cell>
          <cell r="T38">
            <v>100</v>
          </cell>
          <cell r="U38">
            <v>2.7777777777777777</v>
          </cell>
          <cell r="V38" t="str">
            <v>PC</v>
          </cell>
        </row>
        <row r="39">
          <cell r="F39">
            <v>30002575</v>
          </cell>
          <cell r="G39" t="str">
            <v>BRKT MIRROR (53103-KEV-9000-H1)</v>
          </cell>
          <cell r="I39">
            <v>20</v>
          </cell>
          <cell r="J39">
            <v>200</v>
          </cell>
          <cell r="K39">
            <v>10</v>
          </cell>
          <cell r="L39">
            <v>0</v>
          </cell>
          <cell r="M39">
            <v>0</v>
          </cell>
          <cell r="N39">
            <v>100</v>
          </cell>
          <cell r="O39">
            <v>5</v>
          </cell>
          <cell r="P39">
            <v>200</v>
          </cell>
          <cell r="Q39">
            <v>10</v>
          </cell>
          <cell r="R39">
            <v>200</v>
          </cell>
          <cell r="S39">
            <v>10</v>
          </cell>
          <cell r="T39">
            <v>100</v>
          </cell>
          <cell r="U39">
            <v>5</v>
          </cell>
          <cell r="V39" t="str">
            <v>PC</v>
          </cell>
        </row>
        <row r="40">
          <cell r="F40">
            <v>30002576</v>
          </cell>
          <cell r="G40" t="str">
            <v>BRKT HANDLE (53100-KRS-6901-02)</v>
          </cell>
          <cell r="I40">
            <v>8</v>
          </cell>
          <cell r="J40">
            <v>200</v>
          </cell>
          <cell r="K40">
            <v>25</v>
          </cell>
          <cell r="L40">
            <v>0</v>
          </cell>
          <cell r="M40">
            <v>0</v>
          </cell>
          <cell r="N40">
            <v>100</v>
          </cell>
          <cell r="O40">
            <v>12.5</v>
          </cell>
          <cell r="P40">
            <v>200</v>
          </cell>
          <cell r="Q40">
            <v>25</v>
          </cell>
          <cell r="R40">
            <v>200</v>
          </cell>
          <cell r="S40">
            <v>25</v>
          </cell>
          <cell r="T40">
            <v>100</v>
          </cell>
          <cell r="U40">
            <v>12.5</v>
          </cell>
          <cell r="V40" t="str">
            <v>PC</v>
          </cell>
        </row>
        <row r="41">
          <cell r="F41">
            <v>30002587</v>
          </cell>
          <cell r="G41" t="str">
            <v>LEVER CAMSHAFT 2 (5YP-F5356-00)</v>
          </cell>
          <cell r="H41" t="str">
            <v>YAMAHA 5YP1</v>
          </cell>
          <cell r="I41">
            <v>40</v>
          </cell>
          <cell r="J41">
            <v>0</v>
          </cell>
          <cell r="K41">
            <v>0</v>
          </cell>
          <cell r="L41">
            <v>115</v>
          </cell>
          <cell r="M41">
            <v>2.875</v>
          </cell>
          <cell r="N41">
            <v>116</v>
          </cell>
          <cell r="O41">
            <v>2.9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 t="str">
            <v>PC</v>
          </cell>
        </row>
        <row r="42">
          <cell r="F42">
            <v>30002588</v>
          </cell>
          <cell r="G42" t="str">
            <v>PULLER CHAIN 2 (5TN-F538G-00)</v>
          </cell>
          <cell r="H42" t="str">
            <v>YAMAHA 5TN1</v>
          </cell>
          <cell r="I42">
            <v>26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Q42">
            <v>0</v>
          </cell>
          <cell r="R42">
            <v>0</v>
          </cell>
          <cell r="S42">
            <v>0</v>
          </cell>
          <cell r="U42">
            <v>0</v>
          </cell>
          <cell r="V42" t="str">
            <v>PC</v>
          </cell>
        </row>
        <row r="43">
          <cell r="F43">
            <v>30002589</v>
          </cell>
          <cell r="G43" t="str">
            <v>STAY,1</v>
          </cell>
          <cell r="I43">
            <v>20</v>
          </cell>
          <cell r="K43">
            <v>0</v>
          </cell>
          <cell r="M43">
            <v>0</v>
          </cell>
          <cell r="O43">
            <v>0</v>
          </cell>
          <cell r="Q43">
            <v>0</v>
          </cell>
          <cell r="R43">
            <v>1</v>
          </cell>
          <cell r="S43">
            <v>0.05</v>
          </cell>
          <cell r="U43">
            <v>0</v>
          </cell>
          <cell r="V43" t="str">
            <v>PC</v>
          </cell>
        </row>
        <row r="44">
          <cell r="F44">
            <v>30002592</v>
          </cell>
          <cell r="G44" t="str">
            <v>BRKT RR CUSHION 2 (5YP-F1382-00)</v>
          </cell>
          <cell r="I44">
            <v>27</v>
          </cell>
          <cell r="K44">
            <v>0</v>
          </cell>
          <cell r="L44">
            <v>0</v>
          </cell>
          <cell r="M44">
            <v>0</v>
          </cell>
          <cell r="O44">
            <v>0</v>
          </cell>
          <cell r="Q44">
            <v>0</v>
          </cell>
          <cell r="S44">
            <v>0</v>
          </cell>
          <cell r="U44">
            <v>0</v>
          </cell>
          <cell r="V44" t="str">
            <v>PC</v>
          </cell>
        </row>
        <row r="45">
          <cell r="F45">
            <v>30002596</v>
          </cell>
          <cell r="G45" t="str">
            <v>BRKT 2 (1P7-E4718-00-3)</v>
          </cell>
          <cell r="H45" t="str">
            <v>YAMAHA 1P71</v>
          </cell>
          <cell r="I45">
            <v>12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 t="str">
            <v>PC</v>
          </cell>
        </row>
        <row r="46">
          <cell r="F46">
            <v>30002597</v>
          </cell>
          <cell r="G46" t="str">
            <v>BRKT 1 (1P7-E4718-00-2)</v>
          </cell>
          <cell r="H46" t="str">
            <v>YAMAHA 1P71</v>
          </cell>
          <cell r="I46">
            <v>12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S46">
            <v>0</v>
          </cell>
          <cell r="U46">
            <v>0</v>
          </cell>
          <cell r="V46" t="str">
            <v>PC</v>
          </cell>
        </row>
        <row r="47">
          <cell r="F47">
            <v>30002668</v>
          </cell>
          <cell r="G47" t="str">
            <v>BRKT 1 (5YP-F134M-00)</v>
          </cell>
          <cell r="H47" t="str">
            <v>YAMAHA 5YP1</v>
          </cell>
          <cell r="I47">
            <v>16</v>
          </cell>
          <cell r="K47">
            <v>0</v>
          </cell>
          <cell r="L47">
            <v>0</v>
          </cell>
          <cell r="M47">
            <v>0</v>
          </cell>
          <cell r="O47">
            <v>0</v>
          </cell>
          <cell r="Q47">
            <v>0</v>
          </cell>
          <cell r="S47">
            <v>0</v>
          </cell>
          <cell r="U47">
            <v>0</v>
          </cell>
          <cell r="V47" t="str">
            <v>PC</v>
          </cell>
        </row>
        <row r="48">
          <cell r="F48">
            <v>30002688</v>
          </cell>
          <cell r="G48" t="str">
            <v>PLATE (5YP-F1329-00)</v>
          </cell>
          <cell r="I48">
            <v>50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O48">
            <v>0</v>
          </cell>
          <cell r="Q48">
            <v>0</v>
          </cell>
          <cell r="S48">
            <v>0</v>
          </cell>
          <cell r="U48">
            <v>0</v>
          </cell>
          <cell r="V48" t="str">
            <v>PC</v>
          </cell>
        </row>
        <row r="49">
          <cell r="F49">
            <v>30002689</v>
          </cell>
          <cell r="G49" t="str">
            <v>REINF (5YP-F1216-00)</v>
          </cell>
          <cell r="I49">
            <v>43</v>
          </cell>
          <cell r="K49">
            <v>0</v>
          </cell>
          <cell r="L49">
            <v>0</v>
          </cell>
          <cell r="M49">
            <v>0</v>
          </cell>
          <cell r="O49">
            <v>0</v>
          </cell>
          <cell r="Q49">
            <v>0</v>
          </cell>
          <cell r="S49">
            <v>0</v>
          </cell>
          <cell r="U49">
            <v>0</v>
          </cell>
          <cell r="V49" t="str">
            <v>PC</v>
          </cell>
        </row>
        <row r="50">
          <cell r="F50">
            <v>30002733</v>
          </cell>
          <cell r="G50" t="str">
            <v>PLATE (5YP-F1183-00)</v>
          </cell>
          <cell r="H50" t="str">
            <v>YAMAHA 5YP1</v>
          </cell>
          <cell r="I50">
            <v>12</v>
          </cell>
          <cell r="K50">
            <v>0</v>
          </cell>
          <cell r="L50">
            <v>0</v>
          </cell>
          <cell r="M50">
            <v>0</v>
          </cell>
          <cell r="O50">
            <v>0</v>
          </cell>
          <cell r="Q50">
            <v>0</v>
          </cell>
          <cell r="S50">
            <v>0</v>
          </cell>
          <cell r="U50">
            <v>0</v>
          </cell>
          <cell r="V50" t="str">
            <v>PC</v>
          </cell>
        </row>
        <row r="51">
          <cell r="F51">
            <v>30002853</v>
          </cell>
          <cell r="G51" t="str">
            <v>ARM (24701-KPP-9000)</v>
          </cell>
          <cell r="H51" t="str">
            <v>HONDA KPPA</v>
          </cell>
          <cell r="I51">
            <v>34</v>
          </cell>
          <cell r="J51">
            <v>0</v>
          </cell>
          <cell r="K51">
            <v>0</v>
          </cell>
          <cell r="L51">
            <v>100</v>
          </cell>
          <cell r="M51">
            <v>2.9411764705882355</v>
          </cell>
          <cell r="N51">
            <v>100</v>
          </cell>
          <cell r="O51">
            <v>2.9411764705882355</v>
          </cell>
          <cell r="P51">
            <v>0</v>
          </cell>
          <cell r="Q51">
            <v>0</v>
          </cell>
          <cell r="R51">
            <v>100</v>
          </cell>
          <cell r="S51">
            <v>2.9411764705882355</v>
          </cell>
          <cell r="T51">
            <v>0</v>
          </cell>
          <cell r="U51">
            <v>0</v>
          </cell>
          <cell r="V51" t="str">
            <v>PC</v>
          </cell>
        </row>
        <row r="52">
          <cell r="F52">
            <v>30003242</v>
          </cell>
          <cell r="G52" t="str">
            <v>BRKT REGULATOR 1 (4C9-F128A-00)</v>
          </cell>
          <cell r="H52" t="str">
            <v>YAMAHA 4C92</v>
          </cell>
          <cell r="I52">
            <v>27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 t="str">
            <v>PC</v>
          </cell>
        </row>
        <row r="53">
          <cell r="F53">
            <v>30007789</v>
          </cell>
          <cell r="G53" t="str">
            <v>BRACKET (11055-1130)</v>
          </cell>
          <cell r="H53" t="str">
            <v>KAWASAKI LX250S</v>
          </cell>
          <cell r="I53">
            <v>43</v>
          </cell>
          <cell r="J53">
            <v>100</v>
          </cell>
          <cell r="K53">
            <v>2.3255813953488373</v>
          </cell>
          <cell r="L53">
            <v>0</v>
          </cell>
          <cell r="M53">
            <v>0</v>
          </cell>
          <cell r="N53">
            <v>5</v>
          </cell>
          <cell r="O53">
            <v>0.11627906976744186</v>
          </cell>
          <cell r="P53">
            <v>62</v>
          </cell>
          <cell r="Q53">
            <v>1.441860465116279</v>
          </cell>
          <cell r="R53">
            <v>337</v>
          </cell>
          <cell r="S53">
            <v>7.8372093023255811</v>
          </cell>
          <cell r="T53">
            <v>1326</v>
          </cell>
          <cell r="U53">
            <v>30.837209302325583</v>
          </cell>
          <cell r="V53" t="str">
            <v>PC</v>
          </cell>
        </row>
        <row r="54">
          <cell r="F54">
            <v>30007800</v>
          </cell>
          <cell r="G54" t="str">
            <v>GUSSET COMP HANDLE (53100-KWB-6000-02)</v>
          </cell>
          <cell r="I54">
            <v>13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Q54">
            <v>0</v>
          </cell>
          <cell r="S54">
            <v>0</v>
          </cell>
          <cell r="U54">
            <v>0</v>
          </cell>
          <cell r="V54" t="str">
            <v>PC</v>
          </cell>
        </row>
        <row r="55">
          <cell r="F55">
            <v>30007912</v>
          </cell>
          <cell r="G55" t="str">
            <v>STAY,A PIVOT COVER (52132-KWB-6000-H1)</v>
          </cell>
          <cell r="I55" t="e">
            <v>#N/A</v>
          </cell>
          <cell r="J55">
            <v>0</v>
          </cell>
          <cell r="K55" t="e">
            <v>#N/A</v>
          </cell>
          <cell r="L55">
            <v>0</v>
          </cell>
          <cell r="M55" t="e">
            <v>#N/A</v>
          </cell>
          <cell r="N55">
            <v>0</v>
          </cell>
          <cell r="O55" t="e">
            <v>#N/A</v>
          </cell>
          <cell r="P55">
            <v>0</v>
          </cell>
          <cell r="Q55" t="e">
            <v>#N/A</v>
          </cell>
          <cell r="R55" t="str">
            <v>-</v>
          </cell>
          <cell r="S55" t="e">
            <v>#VALUE!</v>
          </cell>
          <cell r="T55">
            <v>0</v>
          </cell>
          <cell r="U55" t="e">
            <v>#N/A</v>
          </cell>
          <cell r="V55" t="str">
            <v>PC</v>
          </cell>
        </row>
        <row r="56">
          <cell r="F56">
            <v>30009364</v>
          </cell>
          <cell r="G56" t="str">
            <v>STAY SEAT CATCH (81205-KVB-T002-23)</v>
          </cell>
          <cell r="I56">
            <v>15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Q56">
            <v>0</v>
          </cell>
          <cell r="S56">
            <v>0</v>
          </cell>
          <cell r="U56">
            <v>0</v>
          </cell>
          <cell r="V56" t="str">
            <v>PC</v>
          </cell>
        </row>
        <row r="57">
          <cell r="F57">
            <v>30009369</v>
          </cell>
          <cell r="G57" t="str">
            <v>STAY UPPER (81205-KVB-T001-21)</v>
          </cell>
          <cell r="H57" t="str">
            <v>HONDA KVBM</v>
          </cell>
          <cell r="I57">
            <v>17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Q57">
            <v>0</v>
          </cell>
          <cell r="S57">
            <v>0</v>
          </cell>
          <cell r="U57">
            <v>0</v>
          </cell>
          <cell r="V57" t="str">
            <v>PC</v>
          </cell>
        </row>
        <row r="58">
          <cell r="F58">
            <v>30009371</v>
          </cell>
          <cell r="G58" t="str">
            <v>STAY SIDE (81205-0131-KVB-T000-22)</v>
          </cell>
          <cell r="I58">
            <v>52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Q58">
            <v>0</v>
          </cell>
          <cell r="S58">
            <v>0</v>
          </cell>
          <cell r="U58">
            <v>0</v>
          </cell>
          <cell r="V58" t="str">
            <v>PC</v>
          </cell>
        </row>
        <row r="59">
          <cell r="F59">
            <v>30009929</v>
          </cell>
          <cell r="G59" t="str">
            <v>GUSSET COMP HDL PIPE(53100-KWW-6000-02)</v>
          </cell>
          <cell r="H59" t="str">
            <v>HONDA KWWA</v>
          </cell>
          <cell r="I59">
            <v>13</v>
          </cell>
          <cell r="J59">
            <v>200</v>
          </cell>
          <cell r="K59">
            <v>15.384615384615385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 t="str">
            <v>PC</v>
          </cell>
        </row>
        <row r="60">
          <cell r="F60">
            <v>30010001</v>
          </cell>
          <cell r="G60" t="str">
            <v>STAY,R MAIN PS COVER (50162-KWW-A000-H1)</v>
          </cell>
          <cell r="I60">
            <v>32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 t="str">
            <v>PC</v>
          </cell>
        </row>
        <row r="61">
          <cell r="F61">
            <v>30010004</v>
          </cell>
          <cell r="G61" t="str">
            <v>STAY,L MAIN PS COVER (50163-KWW-A000-H1)</v>
          </cell>
          <cell r="I61">
            <v>32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 t="str">
            <v>PC</v>
          </cell>
        </row>
        <row r="62">
          <cell r="F62">
            <v>30010012</v>
          </cell>
          <cell r="G62" t="str">
            <v>STAY R CTR SIDE COVER(50156-KWW-6000-H1)</v>
          </cell>
          <cell r="I62">
            <v>108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 t="str">
            <v>PC</v>
          </cell>
        </row>
        <row r="63">
          <cell r="F63">
            <v>30010013</v>
          </cell>
          <cell r="G63" t="str">
            <v>STAY L CTR SIDE COVER(50157-KWW-6000-H1)</v>
          </cell>
          <cell r="I63">
            <v>108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 t="str">
            <v>PC</v>
          </cell>
        </row>
        <row r="64">
          <cell r="F64">
            <v>30010114</v>
          </cell>
          <cell r="G64" t="str">
            <v>BRKT (50P-F2163-00)</v>
          </cell>
          <cell r="H64" t="str">
            <v>YAMAHA 50P1</v>
          </cell>
          <cell r="I64">
            <v>20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 t="str">
            <v>PC</v>
          </cell>
        </row>
        <row r="65">
          <cell r="F65">
            <v>30010115</v>
          </cell>
          <cell r="G65" t="str">
            <v>BRKT (50P-F2164-00)</v>
          </cell>
          <cell r="H65" t="str">
            <v>YAMAHA 50P1</v>
          </cell>
          <cell r="I65" t="e">
            <v>#N/A</v>
          </cell>
          <cell r="J65">
            <v>0</v>
          </cell>
          <cell r="K65" t="e">
            <v>#N/A</v>
          </cell>
          <cell r="L65">
            <v>0</v>
          </cell>
          <cell r="M65" t="e">
            <v>#N/A</v>
          </cell>
          <cell r="N65">
            <v>0</v>
          </cell>
          <cell r="O65" t="e">
            <v>#N/A</v>
          </cell>
          <cell r="P65">
            <v>0</v>
          </cell>
          <cell r="Q65" t="e">
            <v>#N/A</v>
          </cell>
          <cell r="R65">
            <v>0</v>
          </cell>
          <cell r="S65" t="e">
            <v>#N/A</v>
          </cell>
          <cell r="T65">
            <v>0</v>
          </cell>
          <cell r="U65" t="e">
            <v>#N/A</v>
          </cell>
          <cell r="V65" t="str">
            <v>PC</v>
          </cell>
        </row>
        <row r="66">
          <cell r="F66">
            <v>30010116</v>
          </cell>
          <cell r="G66" t="str">
            <v>BRKT (50P-F2165-00)</v>
          </cell>
          <cell r="H66" t="str">
            <v>YAMAHA 50P1</v>
          </cell>
          <cell r="I66">
            <v>20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 t="str">
            <v>PC</v>
          </cell>
        </row>
        <row r="67">
          <cell r="F67">
            <v>30010117</v>
          </cell>
          <cell r="G67" t="str">
            <v>BRKT (50P-F2166-00)</v>
          </cell>
          <cell r="H67" t="str">
            <v>YAMAHA 50P1</v>
          </cell>
          <cell r="I67" t="e">
            <v>#N/A</v>
          </cell>
          <cell r="J67">
            <v>0</v>
          </cell>
          <cell r="K67" t="e">
            <v>#N/A</v>
          </cell>
          <cell r="L67">
            <v>0</v>
          </cell>
          <cell r="M67" t="e">
            <v>#N/A</v>
          </cell>
          <cell r="N67">
            <v>0</v>
          </cell>
          <cell r="O67" t="e">
            <v>#N/A</v>
          </cell>
          <cell r="P67">
            <v>0</v>
          </cell>
          <cell r="Q67" t="e">
            <v>#N/A</v>
          </cell>
          <cell r="R67">
            <v>0</v>
          </cell>
          <cell r="S67" t="e">
            <v>#N/A</v>
          </cell>
          <cell r="T67">
            <v>0</v>
          </cell>
          <cell r="U67" t="e">
            <v>#N/A</v>
          </cell>
          <cell r="V67" t="str">
            <v>PC</v>
          </cell>
        </row>
        <row r="68">
          <cell r="F68">
            <v>30013042</v>
          </cell>
          <cell r="G68" t="str">
            <v>STAY,G (64221-KPP-T000-32)</v>
          </cell>
          <cell r="I68">
            <v>29</v>
          </cell>
          <cell r="J68">
            <v>60</v>
          </cell>
          <cell r="K68">
            <v>2.0689655172413794</v>
          </cell>
          <cell r="L68">
            <v>30</v>
          </cell>
          <cell r="M68">
            <v>1.0344827586206897</v>
          </cell>
          <cell r="N68">
            <v>33</v>
          </cell>
          <cell r="O68">
            <v>1.1379310344827587</v>
          </cell>
          <cell r="P68">
            <v>40</v>
          </cell>
          <cell r="Q68">
            <v>1.3793103448275863</v>
          </cell>
          <cell r="R68">
            <v>31</v>
          </cell>
          <cell r="S68">
            <v>1.0689655172413792</v>
          </cell>
          <cell r="T68">
            <v>33</v>
          </cell>
          <cell r="U68">
            <v>1.1379310344827587</v>
          </cell>
          <cell r="V68" t="str">
            <v>PC</v>
          </cell>
        </row>
        <row r="69">
          <cell r="F69">
            <v>30013044</v>
          </cell>
          <cell r="G69" t="str">
            <v>STAY,F (64221-KPP-T000-31)</v>
          </cell>
          <cell r="I69">
            <v>29</v>
          </cell>
          <cell r="J69">
            <v>60</v>
          </cell>
          <cell r="K69">
            <v>2.0689655172413794</v>
          </cell>
          <cell r="L69">
            <v>30</v>
          </cell>
          <cell r="M69">
            <v>1.0344827586206897</v>
          </cell>
          <cell r="N69">
            <v>33</v>
          </cell>
          <cell r="O69">
            <v>1.1379310344827587</v>
          </cell>
          <cell r="P69">
            <v>40</v>
          </cell>
          <cell r="Q69">
            <v>1.3793103448275863</v>
          </cell>
          <cell r="R69">
            <v>31</v>
          </cell>
          <cell r="S69">
            <v>1.0689655172413792</v>
          </cell>
          <cell r="T69">
            <v>33</v>
          </cell>
          <cell r="U69">
            <v>1.1379310344827587</v>
          </cell>
          <cell r="V69" t="str">
            <v>PC</v>
          </cell>
        </row>
        <row r="70">
          <cell r="F70">
            <v>30013045</v>
          </cell>
          <cell r="G70" t="str">
            <v>STAY,E (64221-KPP-T000-30)</v>
          </cell>
          <cell r="I70">
            <v>33</v>
          </cell>
          <cell r="J70">
            <v>60</v>
          </cell>
          <cell r="K70">
            <v>1.8181818181818181</v>
          </cell>
          <cell r="L70">
            <v>30</v>
          </cell>
          <cell r="M70">
            <v>0.90909090909090906</v>
          </cell>
          <cell r="N70">
            <v>33</v>
          </cell>
          <cell r="O70">
            <v>1</v>
          </cell>
          <cell r="P70">
            <v>40</v>
          </cell>
          <cell r="Q70">
            <v>1.2121212121212122</v>
          </cell>
          <cell r="R70">
            <v>31</v>
          </cell>
          <cell r="S70">
            <v>0.93939393939393945</v>
          </cell>
          <cell r="T70">
            <v>33</v>
          </cell>
          <cell r="U70">
            <v>1</v>
          </cell>
          <cell r="V70" t="str">
            <v>PC</v>
          </cell>
        </row>
        <row r="71">
          <cell r="F71">
            <v>30013046</v>
          </cell>
          <cell r="G71" t="str">
            <v>STAY D (64221-KPP-T000-29)</v>
          </cell>
          <cell r="I71">
            <v>33</v>
          </cell>
          <cell r="J71">
            <v>60</v>
          </cell>
          <cell r="K71">
            <v>1.8181818181818181</v>
          </cell>
          <cell r="L71">
            <v>30</v>
          </cell>
          <cell r="M71">
            <v>0.90909090909090906</v>
          </cell>
          <cell r="N71">
            <v>33</v>
          </cell>
          <cell r="O71">
            <v>1</v>
          </cell>
          <cell r="P71">
            <v>40</v>
          </cell>
          <cell r="Q71">
            <v>1.2121212121212122</v>
          </cell>
          <cell r="R71">
            <v>31</v>
          </cell>
          <cell r="S71">
            <v>0.93939393939393945</v>
          </cell>
          <cell r="T71">
            <v>33</v>
          </cell>
          <cell r="U71">
            <v>1</v>
          </cell>
          <cell r="V71" t="str">
            <v>PC</v>
          </cell>
        </row>
        <row r="72">
          <cell r="F72">
            <v>30013047</v>
          </cell>
          <cell r="G72" t="str">
            <v>PATCH (64221-KPP-T000-28)</v>
          </cell>
          <cell r="I72">
            <v>54</v>
          </cell>
          <cell r="J72">
            <v>60</v>
          </cell>
          <cell r="K72">
            <v>1.1111111111111112</v>
          </cell>
          <cell r="L72">
            <v>30</v>
          </cell>
          <cell r="M72">
            <v>0.55555555555555558</v>
          </cell>
          <cell r="N72">
            <v>33</v>
          </cell>
          <cell r="O72">
            <v>0.61111111111111116</v>
          </cell>
          <cell r="P72">
            <v>40</v>
          </cell>
          <cell r="Q72">
            <v>0.7407407407407407</v>
          </cell>
          <cell r="R72">
            <v>31</v>
          </cell>
          <cell r="S72">
            <v>0.57407407407407407</v>
          </cell>
          <cell r="T72">
            <v>33</v>
          </cell>
          <cell r="U72">
            <v>0.61111111111111116</v>
          </cell>
          <cell r="V72" t="str">
            <v>PC</v>
          </cell>
        </row>
        <row r="73">
          <cell r="F73">
            <v>30013048</v>
          </cell>
          <cell r="G73" t="str">
            <v>STAY C (64221-KPP-T000-27)</v>
          </cell>
          <cell r="I73">
            <v>100</v>
          </cell>
          <cell r="J73">
            <v>60</v>
          </cell>
          <cell r="K73">
            <v>0.6</v>
          </cell>
          <cell r="L73">
            <v>30</v>
          </cell>
          <cell r="M73">
            <v>0.3</v>
          </cell>
          <cell r="N73">
            <v>33</v>
          </cell>
          <cell r="O73">
            <v>0.33</v>
          </cell>
          <cell r="P73">
            <v>40</v>
          </cell>
          <cell r="Q73">
            <v>0.4</v>
          </cell>
          <cell r="R73">
            <v>31</v>
          </cell>
          <cell r="S73">
            <v>0.31</v>
          </cell>
          <cell r="T73">
            <v>33</v>
          </cell>
          <cell r="U73">
            <v>0.33</v>
          </cell>
        </row>
        <row r="74">
          <cell r="F74">
            <v>30013050</v>
          </cell>
          <cell r="G74" t="str">
            <v>STAY,B (64221-KPP-T000-25)</v>
          </cell>
          <cell r="I74">
            <v>26</v>
          </cell>
          <cell r="J74">
            <v>60</v>
          </cell>
          <cell r="K74">
            <v>2.3076923076923075</v>
          </cell>
          <cell r="L74">
            <v>30</v>
          </cell>
          <cell r="M74">
            <v>1.1538461538461537</v>
          </cell>
          <cell r="N74">
            <v>33</v>
          </cell>
          <cell r="O74">
            <v>1.2692307692307692</v>
          </cell>
          <cell r="P74">
            <v>40</v>
          </cell>
          <cell r="Q74">
            <v>1.5384615384615385</v>
          </cell>
          <cell r="R74">
            <v>31</v>
          </cell>
          <cell r="S74">
            <v>1.1923076923076923</v>
          </cell>
          <cell r="T74">
            <v>33</v>
          </cell>
          <cell r="U74">
            <v>1.2692307692307692</v>
          </cell>
          <cell r="V74" t="str">
            <v>PC</v>
          </cell>
        </row>
        <row r="75">
          <cell r="F75">
            <v>30013051</v>
          </cell>
          <cell r="G75" t="str">
            <v>STAY A (64221-KPP-T000-24)</v>
          </cell>
          <cell r="I75">
            <v>26</v>
          </cell>
          <cell r="J75">
            <v>60</v>
          </cell>
          <cell r="K75">
            <v>2.3076923076923075</v>
          </cell>
          <cell r="L75">
            <v>30</v>
          </cell>
          <cell r="M75">
            <v>1.1538461538461537</v>
          </cell>
          <cell r="N75">
            <v>33</v>
          </cell>
          <cell r="O75">
            <v>1.2692307692307692</v>
          </cell>
          <cell r="P75">
            <v>40</v>
          </cell>
          <cell r="Q75">
            <v>1.5384615384615385</v>
          </cell>
          <cell r="R75">
            <v>31</v>
          </cell>
          <cell r="S75">
            <v>1.1923076923076923</v>
          </cell>
          <cell r="T75">
            <v>33</v>
          </cell>
          <cell r="U75">
            <v>1.2692307692307692</v>
          </cell>
          <cell r="V75" t="str">
            <v>PC</v>
          </cell>
        </row>
        <row r="76">
          <cell r="F76">
            <v>30013052</v>
          </cell>
          <cell r="G76" t="str">
            <v>PIPE M (64221-KPP-T000-23)</v>
          </cell>
          <cell r="I76">
            <v>1</v>
          </cell>
          <cell r="J76">
            <v>60</v>
          </cell>
          <cell r="K76">
            <v>60</v>
          </cell>
          <cell r="L76">
            <v>30</v>
          </cell>
          <cell r="M76">
            <v>30</v>
          </cell>
          <cell r="N76">
            <v>33</v>
          </cell>
          <cell r="O76">
            <v>33</v>
          </cell>
          <cell r="P76">
            <v>40</v>
          </cell>
          <cell r="Q76">
            <v>40</v>
          </cell>
          <cell r="R76">
            <v>31</v>
          </cell>
          <cell r="S76">
            <v>31</v>
          </cell>
          <cell r="T76">
            <v>33</v>
          </cell>
          <cell r="U76">
            <v>33</v>
          </cell>
          <cell r="V76" t="str">
            <v>PC</v>
          </cell>
        </row>
        <row r="77">
          <cell r="F77">
            <v>30013053</v>
          </cell>
          <cell r="G77" t="str">
            <v>PIPE,L (64221-KPP-T000-22)</v>
          </cell>
          <cell r="I77">
            <v>1</v>
          </cell>
          <cell r="J77">
            <v>60</v>
          </cell>
          <cell r="K77">
            <v>60</v>
          </cell>
          <cell r="L77">
            <v>30</v>
          </cell>
          <cell r="M77">
            <v>30</v>
          </cell>
          <cell r="N77">
            <v>33</v>
          </cell>
          <cell r="O77">
            <v>33</v>
          </cell>
          <cell r="P77">
            <v>40</v>
          </cell>
          <cell r="Q77">
            <v>40</v>
          </cell>
          <cell r="R77">
            <v>31</v>
          </cell>
          <cell r="S77">
            <v>31</v>
          </cell>
          <cell r="T77">
            <v>33</v>
          </cell>
          <cell r="U77">
            <v>33</v>
          </cell>
          <cell r="V77" t="str">
            <v>PC</v>
          </cell>
        </row>
        <row r="78">
          <cell r="F78">
            <v>30013054</v>
          </cell>
          <cell r="G78" t="str">
            <v>PIPE,R (64221-KPP-T000-21)</v>
          </cell>
          <cell r="I78">
            <v>1</v>
          </cell>
          <cell r="J78">
            <v>60</v>
          </cell>
          <cell r="K78">
            <v>60</v>
          </cell>
          <cell r="L78">
            <v>30</v>
          </cell>
          <cell r="M78">
            <v>30</v>
          </cell>
          <cell r="N78">
            <v>33</v>
          </cell>
          <cell r="O78">
            <v>33</v>
          </cell>
          <cell r="P78">
            <v>40</v>
          </cell>
          <cell r="Q78">
            <v>40</v>
          </cell>
          <cell r="R78">
            <v>31</v>
          </cell>
          <cell r="S78">
            <v>31</v>
          </cell>
          <cell r="T78">
            <v>33</v>
          </cell>
          <cell r="U78">
            <v>33</v>
          </cell>
          <cell r="V78" t="str">
            <v>PC</v>
          </cell>
        </row>
        <row r="79">
          <cell r="F79">
            <v>30013055</v>
          </cell>
          <cell r="G79" t="str">
            <v>BODY (64221-KPP-T000-20)</v>
          </cell>
          <cell r="I79">
            <v>13</v>
          </cell>
          <cell r="J79">
            <v>60</v>
          </cell>
          <cell r="K79">
            <v>4.615384615384615</v>
          </cell>
          <cell r="L79">
            <v>30</v>
          </cell>
          <cell r="M79">
            <v>2.3076923076923075</v>
          </cell>
          <cell r="N79">
            <v>33</v>
          </cell>
          <cell r="O79">
            <v>2.5384615384615383</v>
          </cell>
          <cell r="P79">
            <v>40</v>
          </cell>
          <cell r="Q79">
            <v>3.0769230769230771</v>
          </cell>
          <cell r="R79">
            <v>31</v>
          </cell>
          <cell r="S79">
            <v>2.3846153846153846</v>
          </cell>
          <cell r="T79">
            <v>33</v>
          </cell>
          <cell r="U79">
            <v>2.5384615384615383</v>
          </cell>
          <cell r="V79" t="str">
            <v>PC</v>
          </cell>
        </row>
        <row r="80">
          <cell r="F80">
            <v>30013126</v>
          </cell>
          <cell r="G80" t="str">
            <v>HOOK (27012-0172)</v>
          </cell>
          <cell r="H80" t="str">
            <v>KAWASAKI LX110C,D</v>
          </cell>
          <cell r="I80">
            <v>81</v>
          </cell>
          <cell r="J80">
            <v>1200</v>
          </cell>
          <cell r="K80">
            <v>14.814814814814815</v>
          </cell>
          <cell r="L80">
            <v>1630</v>
          </cell>
          <cell r="M80">
            <v>20.123456790123456</v>
          </cell>
          <cell r="N80">
            <v>1320</v>
          </cell>
          <cell r="O80">
            <v>16.296296296296298</v>
          </cell>
          <cell r="P80">
            <v>1410</v>
          </cell>
          <cell r="Q80">
            <v>17.407407407407408</v>
          </cell>
          <cell r="R80">
            <v>650</v>
          </cell>
          <cell r="S80">
            <v>8.0246913580246915</v>
          </cell>
          <cell r="T80">
            <v>1000</v>
          </cell>
          <cell r="U80">
            <v>12.345679012345679</v>
          </cell>
          <cell r="V80" t="str">
            <v>PC</v>
          </cell>
        </row>
        <row r="81">
          <cell r="F81">
            <v>30014292</v>
          </cell>
          <cell r="G81" t="str">
            <v>STAY,L MAIN PI SI CO(50163-KWW-6402-H1)</v>
          </cell>
          <cell r="H81" t="str">
            <v>HONDA KWWM</v>
          </cell>
          <cell r="I81">
            <v>32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 t="str">
            <v>PC</v>
          </cell>
        </row>
        <row r="82">
          <cell r="F82">
            <v>30014293</v>
          </cell>
          <cell r="G82" t="str">
            <v>STAY,R MAIN PI SI CO (50162-KWW-6402-H1)</v>
          </cell>
          <cell r="H82" t="str">
            <v>HONDA KWWM</v>
          </cell>
          <cell r="I82">
            <v>32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 t="str">
            <v>PC</v>
          </cell>
        </row>
        <row r="83">
          <cell r="F83">
            <v>30014294</v>
          </cell>
          <cell r="G83" t="str">
            <v>STAY,R CTR SIDE COVER(50156-KWW-6404-H1)</v>
          </cell>
          <cell r="H83" t="str">
            <v>HONDA KWWM</v>
          </cell>
          <cell r="I83">
            <v>100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 t="str">
            <v>PC</v>
          </cell>
        </row>
        <row r="84">
          <cell r="F84">
            <v>30014295</v>
          </cell>
          <cell r="G84" t="str">
            <v>STAY,L CTR SIDECOVER (50157-KWW-6402-H1)</v>
          </cell>
          <cell r="H84" t="str">
            <v>HONDA KWWM</v>
          </cell>
          <cell r="I84">
            <v>100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 t="str">
            <v>PC</v>
          </cell>
        </row>
        <row r="85">
          <cell r="F85">
            <v>30015301</v>
          </cell>
          <cell r="G85" t="str">
            <v>STAY,R H/L COMP (50310-KZL-9300-06)</v>
          </cell>
          <cell r="H85" t="str">
            <v>HONDA KZLH</v>
          </cell>
          <cell r="I85">
            <v>36</v>
          </cell>
          <cell r="J85">
            <v>0</v>
          </cell>
          <cell r="K85">
            <v>0</v>
          </cell>
          <cell r="L85">
            <v>3</v>
          </cell>
          <cell r="M85">
            <v>8.3333333333333329E-2</v>
          </cell>
          <cell r="N85">
            <v>1</v>
          </cell>
          <cell r="O85">
            <v>2.7777777777777776E-2</v>
          </cell>
          <cell r="P85">
            <v>4</v>
          </cell>
          <cell r="Q85">
            <v>0.1111111111111111</v>
          </cell>
          <cell r="R85">
            <v>3</v>
          </cell>
          <cell r="S85">
            <v>8.3333333333333329E-2</v>
          </cell>
          <cell r="T85">
            <v>3</v>
          </cell>
          <cell r="U85">
            <v>8.3333333333333329E-2</v>
          </cell>
          <cell r="V85" t="str">
            <v>PC</v>
          </cell>
        </row>
        <row r="86">
          <cell r="F86">
            <v>30015302</v>
          </cell>
          <cell r="G86" t="str">
            <v>STAY,L H/L COMP (50310-KZL-9300-07)</v>
          </cell>
          <cell r="H86" t="str">
            <v>HONDA KZLH</v>
          </cell>
          <cell r="I86">
            <v>30</v>
          </cell>
          <cell r="J86">
            <v>0</v>
          </cell>
          <cell r="K86">
            <v>0</v>
          </cell>
          <cell r="L86">
            <v>3</v>
          </cell>
          <cell r="M86">
            <v>0.1</v>
          </cell>
          <cell r="N86">
            <v>1</v>
          </cell>
          <cell r="O86">
            <v>3.3333333333333333E-2</v>
          </cell>
          <cell r="P86">
            <v>4</v>
          </cell>
          <cell r="Q86">
            <v>0.13333333333333333</v>
          </cell>
          <cell r="R86">
            <v>3</v>
          </cell>
          <cell r="S86">
            <v>0.1</v>
          </cell>
          <cell r="T86">
            <v>3</v>
          </cell>
          <cell r="U86">
            <v>0.1</v>
          </cell>
          <cell r="V86" t="str">
            <v>PC</v>
          </cell>
        </row>
        <row r="87">
          <cell r="F87">
            <v>30015323</v>
          </cell>
          <cell r="G87" t="str">
            <v>STAY LUGGAGE BOX FR (50175-KZL-9300-H1)</v>
          </cell>
          <cell r="I87">
            <v>1.44E-2</v>
          </cell>
          <cell r="J87">
            <v>0</v>
          </cell>
          <cell r="K87">
            <v>6.557377049180328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 t="str">
            <v>PC</v>
          </cell>
        </row>
        <row r="88">
          <cell r="F88" t="str">
            <v>30015326-1</v>
          </cell>
          <cell r="G88" t="str">
            <v>STAY,L SEAT CATCH (50157-KZL-9300-H1)</v>
          </cell>
          <cell r="H88" t="str">
            <v>HONDA KZRF</v>
          </cell>
          <cell r="I88">
            <v>23</v>
          </cell>
          <cell r="J88">
            <v>0</v>
          </cell>
          <cell r="K88">
            <v>0</v>
          </cell>
          <cell r="L88">
            <v>20</v>
          </cell>
          <cell r="M88">
            <v>0.86956521739130432</v>
          </cell>
          <cell r="N88">
            <v>0</v>
          </cell>
          <cell r="O88">
            <v>0</v>
          </cell>
          <cell r="P88">
            <v>20</v>
          </cell>
          <cell r="Q88">
            <v>0.86956521739130432</v>
          </cell>
          <cell r="R88">
            <v>20</v>
          </cell>
          <cell r="S88">
            <v>0.86956521739130432</v>
          </cell>
          <cell r="T88">
            <v>20</v>
          </cell>
          <cell r="U88">
            <v>0.86956521739130432</v>
          </cell>
          <cell r="V88" t="str">
            <v>PC</v>
          </cell>
        </row>
        <row r="89">
          <cell r="F89" t="str">
            <v>30016085-1</v>
          </cell>
          <cell r="G89" t="str">
            <v>SUB ASS'Y 3 (TC430-4213-3)</v>
          </cell>
          <cell r="H89" t="str">
            <v>KUBOTA E45C</v>
          </cell>
          <cell r="I89">
            <v>27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 t="str">
            <v>PC</v>
          </cell>
        </row>
        <row r="90">
          <cell r="F90" t="str">
            <v>30016086-1</v>
          </cell>
          <cell r="G90" t="str">
            <v>SUB ASS'Y 4(TC430-4213-4)</v>
          </cell>
          <cell r="H90" t="str">
            <v>KUBOTA E45C</v>
          </cell>
          <cell r="I90">
            <v>27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 t="str">
            <v>PC</v>
          </cell>
        </row>
        <row r="91">
          <cell r="F91" t="str">
            <v>30016087-1</v>
          </cell>
          <cell r="G91" t="str">
            <v>SUB ASS'Y 5 (TC430-5213-5)</v>
          </cell>
          <cell r="H91" t="str">
            <v>KUBOTA E45C</v>
          </cell>
          <cell r="I91">
            <v>45</v>
          </cell>
          <cell r="J91">
            <v>80</v>
          </cell>
          <cell r="K91">
            <v>1.7777777777777777</v>
          </cell>
          <cell r="L91">
            <v>28</v>
          </cell>
          <cell r="M91">
            <v>0.62222222222222223</v>
          </cell>
          <cell r="N91">
            <v>4</v>
          </cell>
          <cell r="O91">
            <v>8.8888888888888892E-2</v>
          </cell>
          <cell r="P91">
            <v>4</v>
          </cell>
          <cell r="Q91">
            <v>8.8888888888888892E-2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 t="str">
            <v>PC</v>
          </cell>
        </row>
        <row r="92">
          <cell r="F92" t="str">
            <v>30016087-2</v>
          </cell>
          <cell r="G92" t="str">
            <v>SUB ASS'Y 5 (TC430-5213-5)</v>
          </cell>
          <cell r="H92" t="str">
            <v>KUBOTA E45C</v>
          </cell>
          <cell r="I92">
            <v>17</v>
          </cell>
          <cell r="J92">
            <v>80</v>
          </cell>
          <cell r="K92">
            <v>4.7058823529411766</v>
          </cell>
          <cell r="L92">
            <v>28</v>
          </cell>
          <cell r="M92">
            <v>1.6470588235294117</v>
          </cell>
          <cell r="N92">
            <v>4</v>
          </cell>
          <cell r="O92">
            <v>0.23529411764705882</v>
          </cell>
          <cell r="P92">
            <v>4</v>
          </cell>
          <cell r="Q92">
            <v>0.23529411764705882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 t="str">
            <v>PC</v>
          </cell>
        </row>
        <row r="93">
          <cell r="F93" t="str">
            <v>30016087-3</v>
          </cell>
          <cell r="G93" t="str">
            <v>SUB ASS'Y 5 (TC430-5213-5)</v>
          </cell>
          <cell r="H93" t="str">
            <v>KUBOTA E45C</v>
          </cell>
          <cell r="I93">
            <v>40</v>
          </cell>
          <cell r="J93">
            <v>80</v>
          </cell>
          <cell r="K93">
            <v>2</v>
          </cell>
          <cell r="L93">
            <v>28</v>
          </cell>
          <cell r="M93">
            <v>0.7</v>
          </cell>
          <cell r="N93">
            <v>4</v>
          </cell>
          <cell r="O93">
            <v>0.1</v>
          </cell>
          <cell r="P93">
            <v>4</v>
          </cell>
          <cell r="Q93">
            <v>0.1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 t="str">
            <v>PC</v>
          </cell>
        </row>
        <row r="94">
          <cell r="F94" t="str">
            <v>30016091-1</v>
          </cell>
          <cell r="G94" t="str">
            <v>SUB ASS'Y 1.2 (TC430-1831-K1.2)</v>
          </cell>
          <cell r="H94" t="str">
            <v>KUBOTA E45C</v>
          </cell>
          <cell r="I94">
            <v>47</v>
          </cell>
          <cell r="J94">
            <v>80</v>
          </cell>
          <cell r="K94">
            <v>1.7021276595744681</v>
          </cell>
          <cell r="L94">
            <v>32</v>
          </cell>
          <cell r="M94">
            <v>0.68085106382978722</v>
          </cell>
          <cell r="N94">
            <v>54</v>
          </cell>
          <cell r="O94">
            <v>1.1489361702127661</v>
          </cell>
          <cell r="P94">
            <v>54</v>
          </cell>
          <cell r="Q94">
            <v>1.1489361702127661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 t="str">
            <v>PC</v>
          </cell>
        </row>
        <row r="95">
          <cell r="F95" t="str">
            <v>30016091-2</v>
          </cell>
          <cell r="G95" t="str">
            <v>SUB ASS'Y 1.2 (TC430-1831-K1.2)</v>
          </cell>
          <cell r="H95" t="str">
            <v>KUBOTA E45C</v>
          </cell>
          <cell r="I95">
            <v>13</v>
          </cell>
          <cell r="J95">
            <v>80</v>
          </cell>
          <cell r="K95">
            <v>6.1538461538461542</v>
          </cell>
          <cell r="L95">
            <v>32</v>
          </cell>
          <cell r="M95">
            <v>2.4615384615384617</v>
          </cell>
          <cell r="N95">
            <v>54</v>
          </cell>
          <cell r="O95">
            <v>4.1538461538461542</v>
          </cell>
          <cell r="P95">
            <v>54</v>
          </cell>
          <cell r="Q95">
            <v>4.1538461538461542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 t="str">
            <v>PC</v>
          </cell>
        </row>
        <row r="96">
          <cell r="F96" t="str">
            <v>30016093-2</v>
          </cell>
          <cell r="G96" t="str">
            <v>SUB ASS'Y 2.1 (TC430-1831-K2.1)</v>
          </cell>
          <cell r="H96" t="str">
            <v>KUBOTA E45C</v>
          </cell>
          <cell r="I96">
            <v>40</v>
          </cell>
          <cell r="J96">
            <v>80</v>
          </cell>
          <cell r="K96">
            <v>2</v>
          </cell>
          <cell r="L96">
            <v>32</v>
          </cell>
          <cell r="M96">
            <v>0.8</v>
          </cell>
          <cell r="N96">
            <v>54</v>
          </cell>
          <cell r="O96">
            <v>1.35</v>
          </cell>
          <cell r="P96">
            <v>54</v>
          </cell>
          <cell r="Q96">
            <v>1.35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 t="str">
            <v>PC</v>
          </cell>
        </row>
        <row r="97">
          <cell r="F97" t="str">
            <v>30016094-1</v>
          </cell>
          <cell r="G97" t="str">
            <v>SUB ASS'Y 2.1 (TC430-1831-K2.1)</v>
          </cell>
          <cell r="H97" t="str">
            <v>KUBOTA E45C</v>
          </cell>
          <cell r="I97">
            <v>40</v>
          </cell>
          <cell r="J97">
            <v>80</v>
          </cell>
          <cell r="K97">
            <v>2</v>
          </cell>
          <cell r="L97">
            <v>32</v>
          </cell>
          <cell r="M97">
            <v>0.8</v>
          </cell>
          <cell r="N97">
            <v>54</v>
          </cell>
          <cell r="O97">
            <v>1.35</v>
          </cell>
          <cell r="P97">
            <v>54</v>
          </cell>
          <cell r="Q97">
            <v>1.35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 t="str">
            <v>PC</v>
          </cell>
        </row>
        <row r="98">
          <cell r="F98" t="str">
            <v>30016094-2</v>
          </cell>
          <cell r="G98" t="str">
            <v>SUB ASSY 2.2</v>
          </cell>
          <cell r="H98" t="str">
            <v>KUBOTA E45C</v>
          </cell>
          <cell r="I98">
            <v>40</v>
          </cell>
          <cell r="J98">
            <v>80</v>
          </cell>
          <cell r="K98">
            <v>2</v>
          </cell>
          <cell r="L98">
            <v>32</v>
          </cell>
          <cell r="M98">
            <v>0.8</v>
          </cell>
          <cell r="N98">
            <v>54</v>
          </cell>
          <cell r="O98">
            <v>1.35</v>
          </cell>
          <cell r="P98">
            <v>54</v>
          </cell>
          <cell r="Q98">
            <v>1.35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 t="str">
            <v>PC</v>
          </cell>
        </row>
        <row r="99">
          <cell r="F99">
            <v>30016095</v>
          </cell>
          <cell r="G99" t="str">
            <v>SUB ASS'Y 2.3 (TC430-1831-K2.3)</v>
          </cell>
          <cell r="H99" t="str">
            <v>KUBOTA E45C</v>
          </cell>
          <cell r="I99">
            <v>37</v>
          </cell>
          <cell r="J99">
            <v>80</v>
          </cell>
          <cell r="K99">
            <v>2.1621621621621623</v>
          </cell>
          <cell r="L99">
            <v>32</v>
          </cell>
          <cell r="M99">
            <v>0.86486486486486491</v>
          </cell>
          <cell r="N99">
            <v>54</v>
          </cell>
          <cell r="O99">
            <v>1.4594594594594594</v>
          </cell>
          <cell r="P99">
            <v>54</v>
          </cell>
          <cell r="Q99">
            <v>1.4594594594594594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 t="str">
            <v>PC</v>
          </cell>
        </row>
        <row r="100">
          <cell r="F100">
            <v>30016215</v>
          </cell>
          <cell r="G100" t="str">
            <v>STAY,R SEAT CATCH (50146-KZR-6000-H1)</v>
          </cell>
          <cell r="H100" t="str">
            <v>HONDA KZRF</v>
          </cell>
          <cell r="I100">
            <v>23</v>
          </cell>
          <cell r="J100">
            <v>80</v>
          </cell>
          <cell r="K100">
            <v>3.4782608695652173</v>
          </cell>
          <cell r="L100">
            <v>32</v>
          </cell>
          <cell r="M100">
            <v>1.3913043478260869</v>
          </cell>
          <cell r="N100">
            <v>54</v>
          </cell>
          <cell r="O100">
            <v>2.347826086956522</v>
          </cell>
          <cell r="P100">
            <v>54</v>
          </cell>
          <cell r="Q100">
            <v>2.347826086956522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 t="str">
            <v>PC</v>
          </cell>
        </row>
        <row r="101">
          <cell r="F101" t="str">
            <v>30016236-1</v>
          </cell>
          <cell r="G101" t="str">
            <v>SUPPORT BONNET RR ASSY3-2(TC422-4213-K3)</v>
          </cell>
          <cell r="H101" t="str">
            <v>KUBOTA E40</v>
          </cell>
          <cell r="I101">
            <v>27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 t="str">
            <v>PC</v>
          </cell>
        </row>
        <row r="102">
          <cell r="F102" t="str">
            <v>30016236-2</v>
          </cell>
          <cell r="G102" t="str">
            <v>SUPPORT BONNET RR ASSY3-2(TC422-4213-K3)</v>
          </cell>
          <cell r="H102" t="str">
            <v>KUBOTA E40</v>
          </cell>
          <cell r="I102">
            <v>47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 t="str">
            <v>PC</v>
          </cell>
        </row>
        <row r="103">
          <cell r="F103" t="str">
            <v>30016236-3</v>
          </cell>
          <cell r="G103" t="str">
            <v>SUPPORT BONNET RR ASSY3-2(TC422-4213-K3)</v>
          </cell>
          <cell r="H103" t="str">
            <v>KUBOTA E40</v>
          </cell>
          <cell r="I103">
            <v>39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 t="str">
            <v>PC</v>
          </cell>
        </row>
        <row r="104">
          <cell r="F104" t="str">
            <v>30016237-1</v>
          </cell>
          <cell r="G104" t="str">
            <v>SUPPORT BONNET RR ASSY3-1(TC422-4213-K3)</v>
          </cell>
          <cell r="H104" t="str">
            <v>KUBOTA E40</v>
          </cell>
          <cell r="I104">
            <v>27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 t="str">
            <v>PC</v>
          </cell>
        </row>
        <row r="105">
          <cell r="F105" t="str">
            <v>30016237-2</v>
          </cell>
          <cell r="G105" t="str">
            <v>SUPPORT BONNET RR ASSY3-1(TC422-4213-K3)</v>
          </cell>
          <cell r="H105" t="str">
            <v>KUBOTA E40</v>
          </cell>
          <cell r="I105">
            <v>47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 t="str">
            <v>PC</v>
          </cell>
        </row>
        <row r="106">
          <cell r="F106" t="str">
            <v>30016237-3</v>
          </cell>
          <cell r="G106" t="str">
            <v>SUPPORT BONNET RR ASSY3-1(TC422-4213-K3)</v>
          </cell>
          <cell r="H106" t="str">
            <v>KUBOTA E40</v>
          </cell>
          <cell r="I106">
            <v>39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 t="str">
            <v>PC</v>
          </cell>
        </row>
        <row r="107">
          <cell r="F107">
            <v>30016664</v>
          </cell>
          <cell r="G107" t="str">
            <v>BRACKET (11056-1595)</v>
          </cell>
          <cell r="H107" t="str">
            <v>KAWASAKI 1015</v>
          </cell>
          <cell r="I107">
            <v>56</v>
          </cell>
          <cell r="J107">
            <v>800</v>
          </cell>
          <cell r="K107">
            <v>14.285714285714286</v>
          </cell>
          <cell r="L107">
            <v>980</v>
          </cell>
          <cell r="M107">
            <v>17.5</v>
          </cell>
          <cell r="N107">
            <v>980</v>
          </cell>
          <cell r="O107">
            <v>17.5</v>
          </cell>
          <cell r="P107">
            <v>600</v>
          </cell>
          <cell r="Q107">
            <v>10.714285714285714</v>
          </cell>
          <cell r="R107">
            <v>820</v>
          </cell>
          <cell r="S107">
            <v>14.642857142857142</v>
          </cell>
          <cell r="T107">
            <v>640</v>
          </cell>
          <cell r="U107">
            <v>11.428571428571429</v>
          </cell>
          <cell r="V107" t="str">
            <v>PC</v>
          </cell>
        </row>
        <row r="108">
          <cell r="F108">
            <v>30016669</v>
          </cell>
          <cell r="G108" t="str">
            <v>BRACKET (11056-1642)</v>
          </cell>
          <cell r="H108" t="str">
            <v>KAWASAKI EX250</v>
          </cell>
          <cell r="I108">
            <v>57</v>
          </cell>
          <cell r="J108">
            <v>800</v>
          </cell>
          <cell r="K108">
            <v>14.035087719298245</v>
          </cell>
          <cell r="L108">
            <v>980</v>
          </cell>
          <cell r="M108">
            <v>17.192982456140349</v>
          </cell>
          <cell r="N108">
            <v>980</v>
          </cell>
          <cell r="O108">
            <v>17.192982456140349</v>
          </cell>
          <cell r="P108">
            <v>600</v>
          </cell>
          <cell r="Q108">
            <v>10.526315789473685</v>
          </cell>
          <cell r="R108">
            <v>820</v>
          </cell>
          <cell r="S108">
            <v>14.385964912280702</v>
          </cell>
          <cell r="T108">
            <v>640</v>
          </cell>
          <cell r="U108">
            <v>11.228070175438596</v>
          </cell>
          <cell r="V108" t="str">
            <v>PC</v>
          </cell>
        </row>
        <row r="109">
          <cell r="F109">
            <v>30016792</v>
          </cell>
          <cell r="G109" t="str">
            <v>BRKT(11056-1646)</v>
          </cell>
          <cell r="H109" t="str">
            <v>KAWASAKI EX250</v>
          </cell>
          <cell r="I109">
            <v>38</v>
          </cell>
          <cell r="J109">
            <v>800</v>
          </cell>
          <cell r="K109">
            <v>21.05263157894737</v>
          </cell>
          <cell r="L109">
            <v>980</v>
          </cell>
          <cell r="M109">
            <v>25.789473684210527</v>
          </cell>
          <cell r="N109">
            <v>980</v>
          </cell>
          <cell r="O109">
            <v>25.789473684210527</v>
          </cell>
          <cell r="P109">
            <v>600</v>
          </cell>
          <cell r="Q109">
            <v>15.789473684210526</v>
          </cell>
          <cell r="R109">
            <v>820</v>
          </cell>
          <cell r="S109">
            <v>21.578947368421051</v>
          </cell>
          <cell r="T109">
            <v>640</v>
          </cell>
          <cell r="U109">
            <v>16.842105263157894</v>
          </cell>
          <cell r="V109" t="str">
            <v>PC</v>
          </cell>
        </row>
        <row r="110">
          <cell r="F110" t="str">
            <v>30017491-4</v>
          </cell>
          <cell r="G110" t="str">
            <v>SUB ASS'Y 1.3(MO) (TC430-1831-K1.3)</v>
          </cell>
          <cell r="H110" t="str">
            <v>KUBOTA E45C</v>
          </cell>
          <cell r="I110">
            <v>48</v>
          </cell>
          <cell r="J110">
            <v>80</v>
          </cell>
          <cell r="K110">
            <v>1.6666666666666667</v>
          </cell>
          <cell r="L110">
            <v>32</v>
          </cell>
          <cell r="M110">
            <v>0.66666666666666663</v>
          </cell>
          <cell r="N110">
            <v>54</v>
          </cell>
          <cell r="O110">
            <v>1.125</v>
          </cell>
          <cell r="P110">
            <v>54</v>
          </cell>
          <cell r="Q110">
            <v>1.125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 t="str">
            <v>PC</v>
          </cell>
        </row>
        <row r="111">
          <cell r="F111">
            <v>30017715</v>
          </cell>
          <cell r="G111" t="str">
            <v>GUSSET (32170-0889)</v>
          </cell>
          <cell r="H111" t="str">
            <v>KAWASAKI 1015</v>
          </cell>
          <cell r="I111">
            <v>16</v>
          </cell>
          <cell r="J111">
            <v>800</v>
          </cell>
          <cell r="K111">
            <v>50</v>
          </cell>
          <cell r="L111">
            <v>980</v>
          </cell>
          <cell r="M111">
            <v>61.25</v>
          </cell>
          <cell r="N111">
            <v>980</v>
          </cell>
          <cell r="O111">
            <v>61.25</v>
          </cell>
          <cell r="P111">
            <v>600</v>
          </cell>
          <cell r="Q111">
            <v>37.5</v>
          </cell>
          <cell r="R111">
            <v>820</v>
          </cell>
          <cell r="S111">
            <v>51.25</v>
          </cell>
          <cell r="T111">
            <v>640</v>
          </cell>
          <cell r="U111">
            <v>40</v>
          </cell>
          <cell r="V111" t="str">
            <v>PC</v>
          </cell>
        </row>
        <row r="112">
          <cell r="F112">
            <v>30018769</v>
          </cell>
          <cell r="G112" t="str">
            <v>BRACKET (11056-2235)</v>
          </cell>
          <cell r="H112" t="str">
            <v>KAWASAKI 1015</v>
          </cell>
          <cell r="I112">
            <v>52</v>
          </cell>
          <cell r="J112">
            <v>800</v>
          </cell>
          <cell r="K112">
            <v>15.384615384615385</v>
          </cell>
          <cell r="L112">
            <v>980</v>
          </cell>
          <cell r="M112">
            <v>18.846153846153847</v>
          </cell>
          <cell r="N112">
            <v>980</v>
          </cell>
          <cell r="O112">
            <v>18.846153846153847</v>
          </cell>
          <cell r="P112">
            <v>600</v>
          </cell>
          <cell r="Q112">
            <v>11.538461538461538</v>
          </cell>
          <cell r="R112">
            <v>820</v>
          </cell>
          <cell r="S112">
            <v>15.76923076923077</v>
          </cell>
          <cell r="T112">
            <v>640</v>
          </cell>
          <cell r="U112">
            <v>12.307692307692308</v>
          </cell>
          <cell r="V112" t="str">
            <v>PC</v>
          </cell>
        </row>
        <row r="113">
          <cell r="F113">
            <v>30019251</v>
          </cell>
          <cell r="G113" t="str">
            <v>STAY COMP COUPLER (61318-K20-9000-H1)</v>
          </cell>
          <cell r="H113" t="str">
            <v>HONDA K20A</v>
          </cell>
          <cell r="I113">
            <v>22</v>
          </cell>
          <cell r="J113">
            <v>0</v>
          </cell>
          <cell r="K113">
            <v>0</v>
          </cell>
          <cell r="L113">
            <v>11</v>
          </cell>
          <cell r="M113">
            <v>0.5</v>
          </cell>
          <cell r="N113">
            <v>13</v>
          </cell>
          <cell r="O113">
            <v>0.59090909090909094</v>
          </cell>
          <cell r="P113">
            <v>11</v>
          </cell>
          <cell r="Q113">
            <v>0.5</v>
          </cell>
          <cell r="R113">
            <v>11</v>
          </cell>
          <cell r="S113">
            <v>0.5</v>
          </cell>
          <cell r="T113">
            <v>11</v>
          </cell>
          <cell r="U113">
            <v>0.5</v>
          </cell>
          <cell r="V113" t="str">
            <v>PC</v>
          </cell>
        </row>
        <row r="114">
          <cell r="F114">
            <v>30019261</v>
          </cell>
          <cell r="G114" t="str">
            <v>PLATE R TOP COMP(61300-K20-9100-04)</v>
          </cell>
          <cell r="H114" t="str">
            <v>HONDA K20A</v>
          </cell>
          <cell r="I114">
            <v>31</v>
          </cell>
          <cell r="J114">
            <v>0</v>
          </cell>
          <cell r="K114">
            <v>0</v>
          </cell>
          <cell r="L114">
            <v>5</v>
          </cell>
          <cell r="M114">
            <v>0.16129032258064516</v>
          </cell>
          <cell r="N114">
            <v>8</v>
          </cell>
          <cell r="O114">
            <v>0.25806451612903225</v>
          </cell>
          <cell r="P114">
            <v>9</v>
          </cell>
          <cell r="Q114">
            <v>0.29032258064516131</v>
          </cell>
          <cell r="R114">
            <v>8</v>
          </cell>
          <cell r="S114">
            <v>0.25806451612903225</v>
          </cell>
          <cell r="T114">
            <v>8</v>
          </cell>
          <cell r="U114">
            <v>0.25806451612903225</v>
          </cell>
          <cell r="V114" t="str">
            <v>PC</v>
          </cell>
        </row>
        <row r="115">
          <cell r="F115">
            <v>30019280</v>
          </cell>
          <cell r="G115" t="str">
            <v>PLATE, R TOP COMP (61300-K20-9000-04)</v>
          </cell>
          <cell r="H115" t="str">
            <v>HONDA K20A</v>
          </cell>
          <cell r="I115">
            <v>31</v>
          </cell>
          <cell r="J115">
            <v>0</v>
          </cell>
          <cell r="K115">
            <v>0</v>
          </cell>
          <cell r="L115">
            <v>3</v>
          </cell>
          <cell r="M115">
            <v>9.6774193548387094E-2</v>
          </cell>
          <cell r="N115">
            <v>4</v>
          </cell>
          <cell r="O115">
            <v>0.12903225806451613</v>
          </cell>
          <cell r="P115">
            <v>3</v>
          </cell>
          <cell r="Q115">
            <v>9.6774193548387094E-2</v>
          </cell>
          <cell r="R115">
            <v>3</v>
          </cell>
          <cell r="S115">
            <v>9.6774193548387094E-2</v>
          </cell>
          <cell r="T115">
            <v>3</v>
          </cell>
          <cell r="U115">
            <v>9.6774193548387094E-2</v>
          </cell>
          <cell r="V115" t="str">
            <v>PC</v>
          </cell>
        </row>
        <row r="116">
          <cell r="F116" t="str">
            <v>30020436-3</v>
          </cell>
          <cell r="G116" t="str">
            <v>PLATE, R TOP COMP (61300-K20-9000-04)</v>
          </cell>
          <cell r="H116" t="str">
            <v>HONDA K20A</v>
          </cell>
          <cell r="I116">
            <v>32</v>
          </cell>
          <cell r="K116">
            <v>0</v>
          </cell>
          <cell r="M116">
            <v>0</v>
          </cell>
          <cell r="O116">
            <v>0</v>
          </cell>
          <cell r="Q116">
            <v>0</v>
          </cell>
          <cell r="S116">
            <v>0</v>
          </cell>
          <cell r="U116">
            <v>0</v>
          </cell>
          <cell r="V116" t="str">
            <v>PC</v>
          </cell>
        </row>
        <row r="117">
          <cell r="F117">
            <v>30022243</v>
          </cell>
          <cell r="G117" t="str">
            <v>STAY D CHAIN CASE (52134-KPH-9000-H1)</v>
          </cell>
          <cell r="I117">
            <v>2.3E-2</v>
          </cell>
          <cell r="J117">
            <v>1600</v>
          </cell>
          <cell r="K117">
            <v>36.799999999999997</v>
          </cell>
          <cell r="L117">
            <v>6200</v>
          </cell>
          <cell r="M117">
            <v>142.6</v>
          </cell>
          <cell r="N117">
            <v>2200</v>
          </cell>
          <cell r="O117">
            <v>50.6</v>
          </cell>
          <cell r="P117">
            <v>2400</v>
          </cell>
          <cell r="Q117">
            <v>55.199999999999996</v>
          </cell>
          <cell r="R117">
            <v>2400</v>
          </cell>
          <cell r="S117">
            <v>55.199999999999996</v>
          </cell>
          <cell r="T117">
            <v>2000</v>
          </cell>
          <cell r="U117">
            <v>46</v>
          </cell>
          <cell r="V117" t="str">
            <v>PC</v>
          </cell>
        </row>
        <row r="118">
          <cell r="F118">
            <v>30022422</v>
          </cell>
          <cell r="G118" t="str">
            <v>STAY MAIN PIPE SIDE COVER(50133-KPH-9000</v>
          </cell>
          <cell r="I118">
            <v>1.7299999999999999E-2</v>
          </cell>
          <cell r="J118">
            <v>0</v>
          </cell>
          <cell r="K118">
            <v>0</v>
          </cell>
          <cell r="L118">
            <v>40</v>
          </cell>
          <cell r="M118">
            <v>2312.1387283236995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 t="str">
            <v>PC</v>
          </cell>
        </row>
        <row r="119">
          <cell r="F119">
            <v>30022424</v>
          </cell>
          <cell r="G119" t="str">
            <v>STAY A/C (50124-KPH-9000-H1)</v>
          </cell>
          <cell r="I119">
            <v>7.0000000000000001E-3</v>
          </cell>
          <cell r="J119">
            <v>0</v>
          </cell>
          <cell r="K119">
            <v>0</v>
          </cell>
          <cell r="L119">
            <v>160</v>
          </cell>
          <cell r="M119">
            <v>1.1200000000000001</v>
          </cell>
          <cell r="N119">
            <v>120</v>
          </cell>
          <cell r="O119">
            <v>0.84</v>
          </cell>
          <cell r="P119">
            <v>80</v>
          </cell>
          <cell r="Q119">
            <v>0.56000000000000005</v>
          </cell>
          <cell r="R119">
            <v>120</v>
          </cell>
          <cell r="S119">
            <v>0.84</v>
          </cell>
          <cell r="T119">
            <v>160</v>
          </cell>
          <cell r="U119">
            <v>1.1200000000000001</v>
          </cell>
          <cell r="V119" t="str">
            <v>PC</v>
          </cell>
        </row>
        <row r="120">
          <cell r="F120">
            <v>30022432</v>
          </cell>
          <cell r="G120" t="str">
            <v>STAY WIRE HARNESS (50117-KFL-8500-H1)</v>
          </cell>
          <cell r="I120">
            <v>1.2E-2</v>
          </cell>
          <cell r="J120">
            <v>100</v>
          </cell>
          <cell r="K120">
            <v>1.2</v>
          </cell>
          <cell r="L120">
            <v>80</v>
          </cell>
          <cell r="M120">
            <v>0.96</v>
          </cell>
          <cell r="N120">
            <v>60</v>
          </cell>
          <cell r="O120">
            <v>0.72</v>
          </cell>
          <cell r="P120">
            <v>284</v>
          </cell>
          <cell r="Q120">
            <v>3.4079999999999999</v>
          </cell>
          <cell r="R120">
            <v>560</v>
          </cell>
          <cell r="S120">
            <v>6.72</v>
          </cell>
          <cell r="T120">
            <v>724</v>
          </cell>
          <cell r="U120">
            <v>8.6880000000000006</v>
          </cell>
          <cell r="V120" t="str">
            <v>PC</v>
          </cell>
        </row>
        <row r="121">
          <cell r="F121" t="str">
            <v>30022657-1</v>
          </cell>
          <cell r="G121" t="str">
            <v>SUPPORT FD LH SUB ASSY 2/TC620-2921-2-K2</v>
          </cell>
          <cell r="H121" t="str">
            <v>KUBOTA E50-B</v>
          </cell>
          <cell r="I121">
            <v>12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 t="str">
            <v xml:space="preserve"> -</v>
          </cell>
          <cell r="U121" t="e">
            <v>#VALUE!</v>
          </cell>
          <cell r="V121" t="str">
            <v>PC</v>
          </cell>
        </row>
        <row r="122">
          <cell r="F122" t="str">
            <v>30022657-2</v>
          </cell>
          <cell r="G122" t="str">
            <v>SUPPORT FD LH SUB ASSY 2/TC620-2921-2-K2</v>
          </cell>
          <cell r="H122" t="str">
            <v>KUBOTA E50-B</v>
          </cell>
          <cell r="I122">
            <v>8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 t="str">
            <v xml:space="preserve"> -</v>
          </cell>
          <cell r="U122" t="e">
            <v>#VALUE!</v>
          </cell>
          <cell r="V122" t="str">
            <v>PC</v>
          </cell>
        </row>
        <row r="123">
          <cell r="F123" t="str">
            <v>30022657-3</v>
          </cell>
          <cell r="G123" t="str">
            <v>SUPPORT FD LH SUB ASSY 2/TC620-2921-2-K2</v>
          </cell>
          <cell r="H123" t="str">
            <v>KUBOTA E50-B</v>
          </cell>
          <cell r="I123">
            <v>32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 t="str">
            <v xml:space="preserve"> -</v>
          </cell>
          <cell r="U123" t="e">
            <v>#VALUE!</v>
          </cell>
          <cell r="V123" t="str">
            <v>PC</v>
          </cell>
        </row>
        <row r="124">
          <cell r="F124" t="str">
            <v>30022658-1</v>
          </cell>
          <cell r="G124" t="str">
            <v>SUPPORT FD RH SUB ASSY 2/TC620-2922-1-K2</v>
          </cell>
          <cell r="H124" t="str">
            <v>KUBOTA E50-B</v>
          </cell>
          <cell r="I124">
            <v>12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 t="str">
            <v xml:space="preserve"> -</v>
          </cell>
          <cell r="U124" t="e">
            <v>#VALUE!</v>
          </cell>
          <cell r="V124" t="str">
            <v>PC</v>
          </cell>
        </row>
        <row r="125">
          <cell r="F125" t="str">
            <v>30022658-2</v>
          </cell>
          <cell r="G125" t="str">
            <v>SUPPORT FD RH SUB ASSY 2/TC620-2922-1-K2</v>
          </cell>
          <cell r="H125" t="str">
            <v>KUBOTA E50-B</v>
          </cell>
          <cell r="I125">
            <v>8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 t="str">
            <v xml:space="preserve"> -</v>
          </cell>
          <cell r="U125" t="e">
            <v>#VALUE!</v>
          </cell>
          <cell r="V125" t="str">
            <v>PC</v>
          </cell>
        </row>
        <row r="126">
          <cell r="F126">
            <v>30022951</v>
          </cell>
          <cell r="G126" t="str">
            <v>HOLDER (13280-0798)</v>
          </cell>
          <cell r="H126" t="str">
            <v>KAWASAKI KL650E</v>
          </cell>
          <cell r="I126">
            <v>45</v>
          </cell>
          <cell r="J126">
            <v>1200</v>
          </cell>
          <cell r="K126">
            <v>26.666666666666668</v>
          </cell>
          <cell r="L126">
            <v>2280</v>
          </cell>
          <cell r="M126">
            <v>50.666666666666664</v>
          </cell>
          <cell r="N126">
            <v>1045</v>
          </cell>
          <cell r="O126">
            <v>23.222222222222221</v>
          </cell>
          <cell r="P126">
            <v>1445</v>
          </cell>
          <cell r="Q126">
            <v>32.111111111111114</v>
          </cell>
          <cell r="R126">
            <v>2385</v>
          </cell>
          <cell r="S126">
            <v>53</v>
          </cell>
          <cell r="T126">
            <v>3150</v>
          </cell>
          <cell r="U126">
            <v>70</v>
          </cell>
          <cell r="V126" t="str">
            <v>PC</v>
          </cell>
        </row>
        <row r="127">
          <cell r="F127">
            <v>30023360</v>
          </cell>
          <cell r="G127" t="str">
            <v>BRACKET (11056-3941)</v>
          </cell>
          <cell r="H127" t="str">
            <v>KAWASAKI LE650C,D</v>
          </cell>
          <cell r="I127">
            <v>17</v>
          </cell>
          <cell r="J127">
            <v>400</v>
          </cell>
          <cell r="K127">
            <v>23.529411764705884</v>
          </cell>
          <cell r="L127">
            <v>420</v>
          </cell>
          <cell r="M127">
            <v>24.705882352941178</v>
          </cell>
          <cell r="N127">
            <v>620</v>
          </cell>
          <cell r="O127">
            <v>36.470588235294116</v>
          </cell>
          <cell r="P127">
            <v>540</v>
          </cell>
          <cell r="Q127">
            <v>31.764705882352942</v>
          </cell>
          <cell r="R127">
            <v>660</v>
          </cell>
          <cell r="S127">
            <v>38.823529411764703</v>
          </cell>
          <cell r="T127">
            <v>500</v>
          </cell>
          <cell r="U127">
            <v>29.411764705882351</v>
          </cell>
          <cell r="V127" t="str">
            <v>PC</v>
          </cell>
        </row>
        <row r="128">
          <cell r="F128">
            <v>30023361</v>
          </cell>
          <cell r="G128" t="str">
            <v>BRACKET (11056-3943)</v>
          </cell>
          <cell r="H128" t="str">
            <v>KAWASAKI LE650C,D</v>
          </cell>
          <cell r="I128">
            <v>26</v>
          </cell>
          <cell r="J128">
            <v>400</v>
          </cell>
          <cell r="K128">
            <v>15.384615384615385</v>
          </cell>
          <cell r="L128">
            <v>420</v>
          </cell>
          <cell r="M128">
            <v>16.153846153846153</v>
          </cell>
          <cell r="N128">
            <v>620</v>
          </cell>
          <cell r="O128">
            <v>23.846153846153847</v>
          </cell>
          <cell r="P128">
            <v>540</v>
          </cell>
          <cell r="Q128">
            <v>20.76923076923077</v>
          </cell>
          <cell r="R128">
            <v>660</v>
          </cell>
          <cell r="S128">
            <v>25.384615384615383</v>
          </cell>
          <cell r="T128">
            <v>500</v>
          </cell>
          <cell r="U128">
            <v>19.23076923076923</v>
          </cell>
          <cell r="V128" t="str">
            <v>PC</v>
          </cell>
        </row>
        <row r="129">
          <cell r="F129">
            <v>30023362</v>
          </cell>
          <cell r="G129" t="str">
            <v>BRACKET (11056-3956)</v>
          </cell>
          <cell r="H129" t="str">
            <v>KAWASAKI LE650C,D</v>
          </cell>
          <cell r="I129">
            <v>33</v>
          </cell>
          <cell r="J129">
            <v>400</v>
          </cell>
          <cell r="K129">
            <v>12.121212121212121</v>
          </cell>
          <cell r="L129">
            <v>420</v>
          </cell>
          <cell r="M129">
            <v>12.727272727272727</v>
          </cell>
          <cell r="N129">
            <v>620</v>
          </cell>
          <cell r="O129">
            <v>18.787878787878789</v>
          </cell>
          <cell r="P129">
            <v>540</v>
          </cell>
          <cell r="Q129">
            <v>16.363636363636363</v>
          </cell>
          <cell r="R129">
            <v>660</v>
          </cell>
          <cell r="S129">
            <v>20</v>
          </cell>
          <cell r="T129">
            <v>500</v>
          </cell>
          <cell r="U129">
            <v>15.151515151515152</v>
          </cell>
          <cell r="V129" t="str">
            <v>PC</v>
          </cell>
        </row>
        <row r="130">
          <cell r="F130" t="str">
            <v>30023392-1</v>
          </cell>
          <cell r="G130" t="str">
            <v>PLATE R/L COMP (50186-K33-D000-06)</v>
          </cell>
          <cell r="H130" t="str">
            <v>HONDA K33A</v>
          </cell>
          <cell r="I130">
            <v>18</v>
          </cell>
          <cell r="J130">
            <v>400</v>
          </cell>
          <cell r="K130">
            <v>22.222222222222221</v>
          </cell>
          <cell r="L130">
            <v>420</v>
          </cell>
          <cell r="M130">
            <v>23.333333333333332</v>
          </cell>
          <cell r="N130">
            <v>620</v>
          </cell>
          <cell r="O130">
            <v>34.444444444444443</v>
          </cell>
          <cell r="P130">
            <v>540</v>
          </cell>
          <cell r="Q130">
            <v>30</v>
          </cell>
          <cell r="R130">
            <v>660</v>
          </cell>
          <cell r="S130">
            <v>36.666666666666664</v>
          </cell>
          <cell r="T130">
            <v>500</v>
          </cell>
          <cell r="U130">
            <v>27.777777777777779</v>
          </cell>
          <cell r="V130" t="str">
            <v>PC</v>
          </cell>
        </row>
        <row r="131">
          <cell r="F131" t="str">
            <v>30023392-2</v>
          </cell>
          <cell r="G131" t="str">
            <v>PLATE R/L COMP (50186-K33-D000-06)</v>
          </cell>
          <cell r="H131" t="str">
            <v>HONDA K33A</v>
          </cell>
          <cell r="I131">
            <v>18</v>
          </cell>
          <cell r="J131">
            <v>400</v>
          </cell>
          <cell r="K131">
            <v>22.222222222222221</v>
          </cell>
          <cell r="L131">
            <v>420</v>
          </cell>
          <cell r="M131">
            <v>23.333333333333332</v>
          </cell>
          <cell r="N131">
            <v>620</v>
          </cell>
          <cell r="O131">
            <v>34.444444444444443</v>
          </cell>
          <cell r="P131">
            <v>540</v>
          </cell>
          <cell r="Q131">
            <v>30</v>
          </cell>
          <cell r="R131">
            <v>660</v>
          </cell>
          <cell r="S131">
            <v>36.666666666666664</v>
          </cell>
          <cell r="T131">
            <v>500</v>
          </cell>
          <cell r="U131">
            <v>27.777777777777779</v>
          </cell>
          <cell r="V131" t="str">
            <v>PC</v>
          </cell>
        </row>
        <row r="132">
          <cell r="F132" t="str">
            <v>30023392-4</v>
          </cell>
          <cell r="G132" t="str">
            <v>PLATE R/L COMP (50186-K33-D000-06)</v>
          </cell>
          <cell r="H132" t="str">
            <v>HONDA K33A</v>
          </cell>
          <cell r="I132">
            <v>27</v>
          </cell>
          <cell r="J132">
            <v>400</v>
          </cell>
          <cell r="K132">
            <v>14.814814814814815</v>
          </cell>
          <cell r="L132">
            <v>420</v>
          </cell>
          <cell r="M132">
            <v>15.555555555555555</v>
          </cell>
          <cell r="N132">
            <v>620</v>
          </cell>
          <cell r="O132">
            <v>22.962962962962962</v>
          </cell>
          <cell r="P132">
            <v>540</v>
          </cell>
          <cell r="Q132">
            <v>20</v>
          </cell>
          <cell r="R132">
            <v>660</v>
          </cell>
          <cell r="S132">
            <v>24.444444444444443</v>
          </cell>
          <cell r="T132">
            <v>500</v>
          </cell>
          <cell r="U132">
            <v>18.518518518518519</v>
          </cell>
          <cell r="V132" t="str">
            <v>PC</v>
          </cell>
        </row>
        <row r="133">
          <cell r="F133">
            <v>30023395</v>
          </cell>
          <cell r="G133" t="str">
            <v>PIPE R (50186-K33-D000-22)</v>
          </cell>
          <cell r="H133" t="str">
            <v>HONDA K33A</v>
          </cell>
          <cell r="I133" t="e">
            <v>#N/A</v>
          </cell>
          <cell r="J133">
            <v>0</v>
          </cell>
          <cell r="K133" t="e">
            <v>#N/A</v>
          </cell>
          <cell r="L133">
            <v>0</v>
          </cell>
          <cell r="M133" t="e">
            <v>#N/A</v>
          </cell>
          <cell r="N133">
            <v>0</v>
          </cell>
          <cell r="O133" t="e">
            <v>#N/A</v>
          </cell>
          <cell r="Q133" t="e">
            <v>#N/A</v>
          </cell>
          <cell r="S133" t="e">
            <v>#N/A</v>
          </cell>
          <cell r="U133" t="e">
            <v>#N/A</v>
          </cell>
          <cell r="V133" t="str">
            <v>PC</v>
          </cell>
        </row>
        <row r="134">
          <cell r="F134">
            <v>30023397</v>
          </cell>
          <cell r="G134" t="str">
            <v>PIPE L (50186-K33-D000-23)</v>
          </cell>
          <cell r="H134" t="str">
            <v>HONDA K33A</v>
          </cell>
          <cell r="I134" t="e">
            <v>#N/A</v>
          </cell>
          <cell r="J134">
            <v>0</v>
          </cell>
          <cell r="K134" t="e">
            <v>#N/A</v>
          </cell>
          <cell r="L134">
            <v>0</v>
          </cell>
          <cell r="M134" t="e">
            <v>#N/A</v>
          </cell>
          <cell r="N134">
            <v>0</v>
          </cell>
          <cell r="O134" t="e">
            <v>#N/A</v>
          </cell>
          <cell r="Q134" t="e">
            <v>#N/A</v>
          </cell>
          <cell r="S134" t="e">
            <v>#N/A</v>
          </cell>
          <cell r="U134" t="e">
            <v>#N/A</v>
          </cell>
          <cell r="V134" t="str">
            <v>PC</v>
          </cell>
        </row>
        <row r="135">
          <cell r="F135">
            <v>30023511</v>
          </cell>
          <cell r="G135" t="str">
            <v>PLATE (13272-1790)</v>
          </cell>
          <cell r="H135" t="str">
            <v>KAWASAKI LE650C,D</v>
          </cell>
          <cell r="I135">
            <v>35</v>
          </cell>
          <cell r="J135">
            <v>0</v>
          </cell>
          <cell r="K135">
            <v>0</v>
          </cell>
          <cell r="L135">
            <v>25</v>
          </cell>
          <cell r="M135">
            <v>0.7142857142857143</v>
          </cell>
          <cell r="N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V135" t="str">
            <v>PC</v>
          </cell>
        </row>
        <row r="136">
          <cell r="F136">
            <v>30023758</v>
          </cell>
          <cell r="G136" t="str">
            <v>PLATE (13272-1778)</v>
          </cell>
          <cell r="H136" t="str">
            <v>KAWASAKI EN650</v>
          </cell>
          <cell r="I136">
            <v>9</v>
          </cell>
          <cell r="J136">
            <v>200</v>
          </cell>
          <cell r="K136">
            <v>22.222222222222221</v>
          </cell>
          <cell r="L136">
            <v>300</v>
          </cell>
          <cell r="M136">
            <v>33.333333333333336</v>
          </cell>
          <cell r="N136">
            <v>420</v>
          </cell>
          <cell r="O136">
            <v>46.666666666666664</v>
          </cell>
          <cell r="P136">
            <v>490</v>
          </cell>
          <cell r="Q136">
            <v>54.444444444444443</v>
          </cell>
          <cell r="R136">
            <v>440</v>
          </cell>
          <cell r="S136">
            <v>48.888888888888886</v>
          </cell>
          <cell r="T136">
            <v>560</v>
          </cell>
          <cell r="U136">
            <v>62.222222222222221</v>
          </cell>
          <cell r="V136" t="str">
            <v>PC</v>
          </cell>
        </row>
        <row r="137">
          <cell r="F137">
            <v>30023759</v>
          </cell>
          <cell r="G137" t="str">
            <v>PLATE (13272-1777)</v>
          </cell>
          <cell r="H137" t="str">
            <v>KAWASAKI EN650</v>
          </cell>
          <cell r="I137">
            <v>9</v>
          </cell>
          <cell r="J137">
            <v>200</v>
          </cell>
          <cell r="K137">
            <v>22.222222222222221</v>
          </cell>
          <cell r="L137">
            <v>300</v>
          </cell>
          <cell r="M137">
            <v>33.333333333333336</v>
          </cell>
          <cell r="N137">
            <v>420</v>
          </cell>
          <cell r="O137">
            <v>46.666666666666664</v>
          </cell>
          <cell r="P137">
            <v>490</v>
          </cell>
          <cell r="Q137">
            <v>54.444444444444443</v>
          </cell>
          <cell r="R137">
            <v>440</v>
          </cell>
          <cell r="S137">
            <v>48.888888888888886</v>
          </cell>
          <cell r="T137">
            <v>560</v>
          </cell>
          <cell r="U137">
            <v>62.222222222222221</v>
          </cell>
          <cell r="V137" t="str">
            <v>PC</v>
          </cell>
        </row>
        <row r="138">
          <cell r="F138">
            <v>30023999</v>
          </cell>
          <cell r="G138" t="str">
            <v>BRKT LEVER SHIFT NO.3 (20032868)</v>
          </cell>
          <cell r="H138" t="str">
            <v>KUBOTAโอนย้าย Plant3</v>
          </cell>
          <cell r="I138">
            <v>50</v>
          </cell>
          <cell r="J138">
            <v>200</v>
          </cell>
          <cell r="K138">
            <v>4</v>
          </cell>
          <cell r="L138">
            <v>86</v>
          </cell>
          <cell r="M138">
            <v>1.72</v>
          </cell>
          <cell r="N138">
            <v>414</v>
          </cell>
          <cell r="O138">
            <v>8.2799999999999994</v>
          </cell>
          <cell r="P138">
            <v>389</v>
          </cell>
          <cell r="Q138">
            <v>7.78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 t="str">
            <v>PC</v>
          </cell>
        </row>
        <row r="139">
          <cell r="F139">
            <v>30024007</v>
          </cell>
          <cell r="G139" t="str">
            <v>BRKT LEVER SHIFT NO.4 (20032869)</v>
          </cell>
          <cell r="H139" t="str">
            <v>KUBOTAโอนย้าย Plant3</v>
          </cell>
          <cell r="I139">
            <v>50</v>
          </cell>
          <cell r="J139">
            <v>200</v>
          </cell>
          <cell r="K139">
            <v>4</v>
          </cell>
          <cell r="L139">
            <v>86</v>
          </cell>
          <cell r="M139">
            <v>1.72</v>
          </cell>
          <cell r="N139">
            <v>414</v>
          </cell>
          <cell r="O139">
            <v>8.2799999999999994</v>
          </cell>
          <cell r="P139">
            <v>389</v>
          </cell>
          <cell r="Q139">
            <v>7.78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 t="str">
            <v>PC</v>
          </cell>
        </row>
        <row r="140">
          <cell r="F140">
            <v>30024080</v>
          </cell>
          <cell r="G140" t="str">
            <v>PLATE R REAR (50186-K33-D000-29)</v>
          </cell>
          <cell r="H140" t="str">
            <v>HONDA K33A</v>
          </cell>
          <cell r="I140">
            <v>32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V140" t="str">
            <v>PC</v>
          </cell>
        </row>
        <row r="141">
          <cell r="F141">
            <v>30024081</v>
          </cell>
          <cell r="G141" t="str">
            <v>PLATE L REAR (50186-K33-D000-30)</v>
          </cell>
          <cell r="H141" t="str">
            <v>HONDA K33A</v>
          </cell>
          <cell r="I141">
            <v>32</v>
          </cell>
          <cell r="K141">
            <v>0</v>
          </cell>
          <cell r="M141">
            <v>0</v>
          </cell>
          <cell r="O141">
            <v>0</v>
          </cell>
          <cell r="Q141">
            <v>0</v>
          </cell>
          <cell r="S141">
            <v>0</v>
          </cell>
          <cell r="U141">
            <v>0</v>
          </cell>
          <cell r="V141" t="str">
            <v>PC</v>
          </cell>
        </row>
        <row r="142">
          <cell r="F142" t="str">
            <v>30024226-1</v>
          </cell>
          <cell r="G142" t="str">
            <v>STAY 3 (2BL-F122C-00)</v>
          </cell>
          <cell r="H142" t="str">
            <v>YAMAHA 2BL</v>
          </cell>
          <cell r="I142">
            <v>24</v>
          </cell>
          <cell r="J142">
            <v>14000</v>
          </cell>
          <cell r="K142">
            <v>583.33333333333337</v>
          </cell>
          <cell r="L142">
            <v>14086</v>
          </cell>
          <cell r="M142">
            <v>586.91666666666663</v>
          </cell>
          <cell r="N142">
            <v>14288</v>
          </cell>
          <cell r="O142">
            <v>595.33333333333337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 t="str">
            <v>PC</v>
          </cell>
        </row>
        <row r="143">
          <cell r="F143" t="str">
            <v>30024227-1</v>
          </cell>
          <cell r="G143" t="str">
            <v>STAY 4 (2BL-F122D-00)</v>
          </cell>
          <cell r="H143" t="str">
            <v>YAMAHA 2BL</v>
          </cell>
          <cell r="I143">
            <v>27</v>
          </cell>
          <cell r="J143">
            <v>14000</v>
          </cell>
          <cell r="K143">
            <v>518.51851851851848</v>
          </cell>
          <cell r="L143">
            <v>14086</v>
          </cell>
          <cell r="M143">
            <v>521.7037037037037</v>
          </cell>
          <cell r="N143">
            <v>14288</v>
          </cell>
          <cell r="O143">
            <v>529.18518518518522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 t="str">
            <v>PC</v>
          </cell>
        </row>
        <row r="144">
          <cell r="F144" t="str">
            <v>30024230-1</v>
          </cell>
          <cell r="G144" t="str">
            <v>BRKT ENG 1 (2BL-F1411-00)</v>
          </cell>
          <cell r="H144" t="str">
            <v>YAMAHA 2BL</v>
          </cell>
          <cell r="I144">
            <v>24</v>
          </cell>
          <cell r="J144">
            <v>14000</v>
          </cell>
          <cell r="K144">
            <v>583.33333333333337</v>
          </cell>
          <cell r="L144">
            <v>14086</v>
          </cell>
          <cell r="M144">
            <v>586.91666666666663</v>
          </cell>
          <cell r="N144">
            <v>14288</v>
          </cell>
          <cell r="O144">
            <v>595.33333333333337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 t="str">
            <v>PC</v>
          </cell>
        </row>
        <row r="145">
          <cell r="F145" t="str">
            <v>30024230-2</v>
          </cell>
          <cell r="G145" t="str">
            <v>BRKT ENG 1 (2BL-F1411-00)</v>
          </cell>
          <cell r="H145" t="str">
            <v>YAMAHA 2BL</v>
          </cell>
          <cell r="I145">
            <v>73</v>
          </cell>
          <cell r="J145">
            <v>14000</v>
          </cell>
          <cell r="K145">
            <v>191.78082191780823</v>
          </cell>
          <cell r="L145">
            <v>14086</v>
          </cell>
          <cell r="M145">
            <v>192.95890410958904</v>
          </cell>
          <cell r="N145">
            <v>14288</v>
          </cell>
          <cell r="O145">
            <v>195.72602739726028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 t="str">
            <v>PC</v>
          </cell>
        </row>
        <row r="146">
          <cell r="F146">
            <v>30024231</v>
          </cell>
          <cell r="G146" t="str">
            <v>BRKT ENG 2 (2BL-F1419-00)</v>
          </cell>
          <cell r="H146" t="str">
            <v>YAMAHA 2BL</v>
          </cell>
          <cell r="I146">
            <v>21</v>
          </cell>
          <cell r="J146">
            <v>14000</v>
          </cell>
          <cell r="K146">
            <v>666.66666666666663</v>
          </cell>
          <cell r="L146">
            <v>14086</v>
          </cell>
          <cell r="M146">
            <v>670.76190476190482</v>
          </cell>
          <cell r="N146">
            <v>14288</v>
          </cell>
          <cell r="O146">
            <v>680.38095238095241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 t="str">
            <v>PC</v>
          </cell>
        </row>
        <row r="147">
          <cell r="F147">
            <v>30024232</v>
          </cell>
          <cell r="G147" t="str">
            <v>BRKT 3 (2BL-F118U-00)</v>
          </cell>
          <cell r="H147" t="str">
            <v>YAMAHA 2BL</v>
          </cell>
          <cell r="I147">
            <v>71</v>
          </cell>
          <cell r="J147">
            <v>14000</v>
          </cell>
          <cell r="K147">
            <v>197.18309859154928</v>
          </cell>
          <cell r="L147">
            <v>14086</v>
          </cell>
          <cell r="M147">
            <v>198.3943661971831</v>
          </cell>
          <cell r="N147">
            <v>14288</v>
          </cell>
          <cell r="O147">
            <v>201.2394366197183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 t="str">
            <v>PC</v>
          </cell>
        </row>
        <row r="148">
          <cell r="F148">
            <v>30024233</v>
          </cell>
          <cell r="G148" t="str">
            <v>GUSSET 4 (2BL-F112E-00)</v>
          </cell>
          <cell r="H148" t="str">
            <v>YAMAHA 2BL</v>
          </cell>
          <cell r="I148">
            <v>34</v>
          </cell>
          <cell r="J148">
            <v>14000</v>
          </cell>
          <cell r="K148">
            <v>411.76470588235293</v>
          </cell>
          <cell r="L148">
            <v>14086</v>
          </cell>
          <cell r="M148">
            <v>414.29411764705884</v>
          </cell>
          <cell r="N148">
            <v>14288</v>
          </cell>
          <cell r="O148">
            <v>420.23529411764707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 t="str">
            <v>PC</v>
          </cell>
        </row>
        <row r="149">
          <cell r="F149">
            <v>30024234</v>
          </cell>
          <cell r="G149" t="str">
            <v>STAY L (50186-KPP-T000-20)</v>
          </cell>
          <cell r="H149" t="str">
            <v>HONDA K33A</v>
          </cell>
          <cell r="I149">
            <v>29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Q149">
            <v>0</v>
          </cell>
          <cell r="S149">
            <v>0</v>
          </cell>
          <cell r="U149">
            <v>0</v>
          </cell>
          <cell r="V149" t="str">
            <v>PC</v>
          </cell>
        </row>
        <row r="150">
          <cell r="F150">
            <v>30024235</v>
          </cell>
          <cell r="G150" t="str">
            <v>STAY R (50186-KPP-T000-21)</v>
          </cell>
          <cell r="H150" t="str">
            <v>HONDA K33A</v>
          </cell>
          <cell r="I150">
            <v>29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Q150">
            <v>0</v>
          </cell>
          <cell r="S150">
            <v>0</v>
          </cell>
          <cell r="U150">
            <v>0</v>
          </cell>
          <cell r="V150" t="str">
            <v>PC</v>
          </cell>
        </row>
        <row r="151">
          <cell r="F151" t="str">
            <v>30027383-1</v>
          </cell>
          <cell r="G151" t="str">
            <v>BRKT.,BRAKE PIPE 1 (2CM-F133H-00)(2CM4)</v>
          </cell>
          <cell r="H151" t="str">
            <v>YAMAHA 2CM4</v>
          </cell>
          <cell r="I151">
            <v>86</v>
          </cell>
          <cell r="J151">
            <v>100</v>
          </cell>
          <cell r="K151">
            <v>1.1627906976744187</v>
          </cell>
          <cell r="L151">
            <v>120</v>
          </cell>
          <cell r="M151">
            <v>1.3953488372093024</v>
          </cell>
          <cell r="N151">
            <v>150</v>
          </cell>
          <cell r="O151">
            <v>1.7441860465116279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 t="str">
            <v>PC</v>
          </cell>
        </row>
        <row r="152">
          <cell r="F152" t="str">
            <v>30027383-2</v>
          </cell>
          <cell r="G152" t="str">
            <v>BRKT.,BRAKE PIPE 1 (2CM-F133H-00)(2CM4)</v>
          </cell>
          <cell r="H152" t="str">
            <v>YAMAHA 2CM4</v>
          </cell>
          <cell r="I152">
            <v>30</v>
          </cell>
          <cell r="J152">
            <v>100</v>
          </cell>
          <cell r="K152">
            <v>3.3333333333333335</v>
          </cell>
          <cell r="L152">
            <v>120</v>
          </cell>
          <cell r="M152">
            <v>4</v>
          </cell>
          <cell r="N152">
            <v>150</v>
          </cell>
          <cell r="O152">
            <v>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 t="str">
            <v>PC</v>
          </cell>
        </row>
        <row r="153">
          <cell r="F153">
            <v>30028151</v>
          </cell>
          <cell r="G153" t="str">
            <v>BRACKET (32037-0368)</v>
          </cell>
          <cell r="H153" t="str">
            <v>KAWASAKI BR125A(9246</v>
          </cell>
          <cell r="I153">
            <v>12</v>
          </cell>
          <cell r="J153">
            <v>100</v>
          </cell>
          <cell r="K153">
            <v>8.3333333333333339</v>
          </cell>
          <cell r="L153">
            <v>190</v>
          </cell>
          <cell r="M153">
            <v>15.833333333333334</v>
          </cell>
          <cell r="N153">
            <v>110</v>
          </cell>
          <cell r="O153">
            <v>9.1666666666666661</v>
          </cell>
          <cell r="P153">
            <v>180</v>
          </cell>
          <cell r="Q153">
            <v>15</v>
          </cell>
          <cell r="R153">
            <v>190</v>
          </cell>
          <cell r="S153">
            <v>15.833333333333334</v>
          </cell>
          <cell r="T153">
            <v>240</v>
          </cell>
          <cell r="U153">
            <v>20</v>
          </cell>
          <cell r="V153" t="str">
            <v>PC</v>
          </cell>
        </row>
        <row r="154">
          <cell r="F154">
            <v>30028152</v>
          </cell>
          <cell r="G154" t="str">
            <v>BRACKET (32037-0369)</v>
          </cell>
          <cell r="H154" t="str">
            <v>KAWASAKI BR125A(9246</v>
          </cell>
          <cell r="I154">
            <v>12</v>
          </cell>
          <cell r="J154">
            <v>100</v>
          </cell>
          <cell r="K154">
            <v>8.3333333333333339</v>
          </cell>
          <cell r="L154">
            <v>190</v>
          </cell>
          <cell r="M154">
            <v>15.833333333333334</v>
          </cell>
          <cell r="N154">
            <v>110</v>
          </cell>
          <cell r="O154">
            <v>9.1666666666666661</v>
          </cell>
          <cell r="P154">
            <v>180</v>
          </cell>
          <cell r="Q154">
            <v>15</v>
          </cell>
          <cell r="R154">
            <v>190</v>
          </cell>
          <cell r="S154">
            <v>15.833333333333334</v>
          </cell>
          <cell r="T154">
            <v>240</v>
          </cell>
          <cell r="U154">
            <v>20</v>
          </cell>
          <cell r="V154" t="str">
            <v>PC</v>
          </cell>
        </row>
        <row r="155">
          <cell r="F155">
            <v>30028153</v>
          </cell>
          <cell r="G155" t="str">
            <v>BRACKET (11056-7628)</v>
          </cell>
          <cell r="H155" t="str">
            <v>KAWASAKI BR125A(9246</v>
          </cell>
          <cell r="I155">
            <v>54</v>
          </cell>
          <cell r="J155">
            <v>100</v>
          </cell>
          <cell r="K155">
            <v>1.8518518518518519</v>
          </cell>
          <cell r="L155">
            <v>190</v>
          </cell>
          <cell r="M155">
            <v>3.5185185185185186</v>
          </cell>
          <cell r="N155">
            <v>110</v>
          </cell>
          <cell r="O155">
            <v>2.0370370370370372</v>
          </cell>
          <cell r="P155">
            <v>180</v>
          </cell>
          <cell r="Q155">
            <v>3.3333333333333335</v>
          </cell>
          <cell r="R155">
            <v>190</v>
          </cell>
          <cell r="S155">
            <v>3.5185185185185186</v>
          </cell>
          <cell r="T155">
            <v>240</v>
          </cell>
          <cell r="U155">
            <v>4.4444444444444446</v>
          </cell>
          <cell r="V155" t="str">
            <v>PC</v>
          </cell>
        </row>
        <row r="156">
          <cell r="F156">
            <v>30028154</v>
          </cell>
          <cell r="G156" t="str">
            <v>GUSSET (32170-2199)</v>
          </cell>
          <cell r="H156" t="str">
            <v>KAWASAKI BR125A(9246</v>
          </cell>
          <cell r="I156">
            <v>21</v>
          </cell>
          <cell r="J156">
            <v>100</v>
          </cell>
          <cell r="K156">
            <v>4.7619047619047619</v>
          </cell>
          <cell r="L156">
            <v>190</v>
          </cell>
          <cell r="M156">
            <v>9.0476190476190474</v>
          </cell>
          <cell r="N156">
            <v>110</v>
          </cell>
          <cell r="O156">
            <v>5.2380952380952381</v>
          </cell>
          <cell r="P156">
            <v>180</v>
          </cell>
          <cell r="Q156">
            <v>8.5714285714285712</v>
          </cell>
          <cell r="R156">
            <v>190</v>
          </cell>
          <cell r="S156">
            <v>9.0476190476190474</v>
          </cell>
          <cell r="T156">
            <v>240</v>
          </cell>
          <cell r="U156">
            <v>11.428571428571429</v>
          </cell>
          <cell r="V156" t="str">
            <v>PC</v>
          </cell>
        </row>
        <row r="157">
          <cell r="F157">
            <v>30028988</v>
          </cell>
          <cell r="G157" t="str">
            <v>BRKT.,RR. CUSHION COMP LH (BB91)</v>
          </cell>
          <cell r="H157" t="str">
            <v>YAMAHA BB91</v>
          </cell>
          <cell r="I157">
            <v>29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 t="str">
            <v>PC</v>
          </cell>
        </row>
        <row r="158">
          <cell r="F158">
            <v>30028990</v>
          </cell>
          <cell r="G158" t="str">
            <v>STAY FENDER 1 (BB9-F1613-00)(BB91)</v>
          </cell>
          <cell r="H158" t="str">
            <v>YAMAHA BB91</v>
          </cell>
          <cell r="I158">
            <v>50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R158">
            <v>0</v>
          </cell>
          <cell r="S158">
            <v>0</v>
          </cell>
          <cell r="U158">
            <v>0</v>
          </cell>
          <cell r="V158" t="str">
            <v>PC</v>
          </cell>
        </row>
        <row r="159">
          <cell r="F159">
            <v>30028991</v>
          </cell>
          <cell r="G159" t="str">
            <v>BRKT., COIL (BB9-F1359-00)(BB91)</v>
          </cell>
          <cell r="H159" t="str">
            <v>YAMAHA BB91</v>
          </cell>
          <cell r="I159">
            <v>39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Q159">
            <v>0</v>
          </cell>
          <cell r="R159">
            <v>0</v>
          </cell>
          <cell r="S159">
            <v>0</v>
          </cell>
          <cell r="U159">
            <v>0</v>
          </cell>
          <cell r="V159" t="str">
            <v>PC</v>
          </cell>
        </row>
        <row r="160">
          <cell r="F160">
            <v>30028992</v>
          </cell>
          <cell r="G160" t="str">
            <v>STAY , 2 (BB9-F122B-00)(BB91)</v>
          </cell>
          <cell r="H160" t="str">
            <v>YAMAHA BB91</v>
          </cell>
          <cell r="I160">
            <v>112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R160">
            <v>0</v>
          </cell>
          <cell r="S160">
            <v>0</v>
          </cell>
          <cell r="U160">
            <v>0</v>
          </cell>
          <cell r="V160">
            <v>0</v>
          </cell>
        </row>
        <row r="161">
          <cell r="F161">
            <v>30028993</v>
          </cell>
          <cell r="G161" t="str">
            <v>STAY,FENDER 2 (BB9-F1614-00)(BB91)</v>
          </cell>
          <cell r="H161" t="str">
            <v>YAMAHA BB91</v>
          </cell>
          <cell r="I161">
            <v>30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Q161">
            <v>0</v>
          </cell>
          <cell r="R161">
            <v>0</v>
          </cell>
          <cell r="S161">
            <v>0</v>
          </cell>
          <cell r="U161">
            <v>0</v>
          </cell>
          <cell r="V161" t="str">
            <v>PC</v>
          </cell>
        </row>
        <row r="162">
          <cell r="F162">
            <v>30030849</v>
          </cell>
          <cell r="G162" t="str">
            <v>PLATE (PEDAL, BRAKE) NO.7 (E52-B)</v>
          </cell>
          <cell r="H162" t="str">
            <v>KUBOTA E52-B</v>
          </cell>
          <cell r="I162">
            <v>44</v>
          </cell>
          <cell r="J162">
            <v>50</v>
          </cell>
          <cell r="K162">
            <v>1.1363636363636365</v>
          </cell>
          <cell r="L162">
            <v>52</v>
          </cell>
          <cell r="M162">
            <v>1.1818181818181819</v>
          </cell>
          <cell r="N162">
            <v>196</v>
          </cell>
          <cell r="O162">
            <v>4.4545454545454541</v>
          </cell>
          <cell r="P162">
            <v>192</v>
          </cell>
          <cell r="Q162">
            <v>4.3636363636363633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 t="str">
            <v>PC</v>
          </cell>
        </row>
        <row r="163">
          <cell r="F163">
            <v>30030945</v>
          </cell>
          <cell r="G163" t="str">
            <v>BRACKET CASE (2ND) NO.1 (DC-105X)</v>
          </cell>
          <cell r="H163" t="str">
            <v>KUBOTA DC-105X</v>
          </cell>
          <cell r="I163">
            <v>1</v>
          </cell>
          <cell r="J163">
            <v>20</v>
          </cell>
          <cell r="K163">
            <v>20</v>
          </cell>
          <cell r="L163">
            <v>56</v>
          </cell>
          <cell r="M163">
            <v>56</v>
          </cell>
          <cell r="N163">
            <v>71</v>
          </cell>
          <cell r="O163">
            <v>71</v>
          </cell>
          <cell r="P163">
            <v>88</v>
          </cell>
          <cell r="Q163">
            <v>88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 t="str">
            <v>PC</v>
          </cell>
        </row>
        <row r="164">
          <cell r="F164">
            <v>30030949</v>
          </cell>
          <cell r="G164" t="str">
            <v>POST(STEERING) SUB ASS'Y 2 (E52-B)</v>
          </cell>
          <cell r="H164" t="str">
            <v>KUBOTA E52-B</v>
          </cell>
          <cell r="I164">
            <v>22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</row>
        <row r="165">
          <cell r="F165" t="str">
            <v>30030970-1</v>
          </cell>
          <cell r="G165" t="str">
            <v>BRACKET SUPPORT BONNET NO.12 SUB ASS'Y 5</v>
          </cell>
          <cell r="H165" t="str">
            <v>KUBOTA E60C</v>
          </cell>
          <cell r="I165">
            <v>24</v>
          </cell>
          <cell r="J165">
            <v>0</v>
          </cell>
          <cell r="K165">
            <v>0</v>
          </cell>
          <cell r="L165">
            <v>14</v>
          </cell>
          <cell r="M165">
            <v>0.58333333333333337</v>
          </cell>
          <cell r="N165">
            <v>48</v>
          </cell>
          <cell r="O165">
            <v>2</v>
          </cell>
          <cell r="P165">
            <v>48</v>
          </cell>
          <cell r="Q165">
            <v>2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 t="str">
            <v>PC</v>
          </cell>
        </row>
        <row r="166">
          <cell r="F166" t="str">
            <v>30030970-2</v>
          </cell>
          <cell r="G166" t="str">
            <v>BRACKET SUPPORT BONNET NO.12 SUB ASS'Y 5</v>
          </cell>
          <cell r="H166" t="str">
            <v>KUBOTA E60C</v>
          </cell>
          <cell r="I166">
            <v>47</v>
          </cell>
          <cell r="J166">
            <v>0</v>
          </cell>
          <cell r="K166">
            <v>0</v>
          </cell>
          <cell r="L166">
            <v>14</v>
          </cell>
          <cell r="M166">
            <v>0.2978723404255319</v>
          </cell>
          <cell r="N166">
            <v>48</v>
          </cell>
          <cell r="O166">
            <v>1.0212765957446808</v>
          </cell>
          <cell r="P166">
            <v>48</v>
          </cell>
          <cell r="Q166">
            <v>1.0212765957446808</v>
          </cell>
          <cell r="R166">
            <v>0</v>
          </cell>
          <cell r="S166">
            <v>0</v>
          </cell>
          <cell r="U166">
            <v>0</v>
          </cell>
          <cell r="V166" t="str">
            <v>PC</v>
          </cell>
        </row>
        <row r="167">
          <cell r="F167" t="str">
            <v>30030971-1</v>
          </cell>
          <cell r="G167" t="str">
            <v>BRACKET SUPPORT BONNET NO.12 SUB ASS'Y 6</v>
          </cell>
          <cell r="H167" t="str">
            <v>KUBOTA E60C</v>
          </cell>
          <cell r="I167">
            <v>24</v>
          </cell>
          <cell r="J167">
            <v>0</v>
          </cell>
          <cell r="K167">
            <v>0</v>
          </cell>
          <cell r="L167">
            <v>14</v>
          </cell>
          <cell r="M167">
            <v>0.58333333333333337</v>
          </cell>
          <cell r="N167">
            <v>48</v>
          </cell>
          <cell r="O167">
            <v>2</v>
          </cell>
          <cell r="P167">
            <v>48</v>
          </cell>
          <cell r="Q167">
            <v>2</v>
          </cell>
          <cell r="R167">
            <v>0</v>
          </cell>
          <cell r="S167">
            <v>0</v>
          </cell>
          <cell r="U167">
            <v>0</v>
          </cell>
          <cell r="V167" t="str">
            <v>PC</v>
          </cell>
        </row>
        <row r="168">
          <cell r="F168" t="str">
            <v>30030971-2</v>
          </cell>
          <cell r="G168" t="str">
            <v>BRACKET SUPPORT BONNET NO.12 SUB ASS'Y 6</v>
          </cell>
          <cell r="H168" t="str">
            <v>KUBOTA E60C</v>
          </cell>
          <cell r="I168">
            <v>47</v>
          </cell>
          <cell r="J168">
            <v>0</v>
          </cell>
          <cell r="K168">
            <v>0</v>
          </cell>
          <cell r="L168">
            <v>14</v>
          </cell>
          <cell r="M168">
            <v>0.2978723404255319</v>
          </cell>
          <cell r="N168">
            <v>48</v>
          </cell>
          <cell r="O168">
            <v>1.0212765957446808</v>
          </cell>
          <cell r="P168">
            <v>48</v>
          </cell>
          <cell r="Q168">
            <v>1.0212765957446808</v>
          </cell>
          <cell r="R168">
            <v>0</v>
          </cell>
          <cell r="S168">
            <v>0</v>
          </cell>
          <cell r="U168">
            <v>0</v>
          </cell>
          <cell r="V168" t="str">
            <v>PC</v>
          </cell>
        </row>
        <row r="169">
          <cell r="F169">
            <v>30030988</v>
          </cell>
          <cell r="G169" t="str">
            <v>BRACKET CASE(2ND)NO.1 SUB ASSY 1%DC-105X</v>
          </cell>
          <cell r="H169" t="str">
            <v>KUBOTA DC-105X</v>
          </cell>
          <cell r="I169">
            <v>1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U169">
            <v>0</v>
          </cell>
          <cell r="V169" t="str">
            <v>PC</v>
          </cell>
        </row>
        <row r="170">
          <cell r="F170" t="str">
            <v>30030989-1</v>
          </cell>
          <cell r="G170" t="str">
            <v>BRACKET CASE(2ND) SUB ASSY 2(DC-105X)</v>
          </cell>
          <cell r="H170" t="str">
            <v>KUBOTA DC-105X</v>
          </cell>
          <cell r="I170">
            <v>1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Q170">
            <v>0</v>
          </cell>
          <cell r="R170">
            <v>0</v>
          </cell>
          <cell r="S170">
            <v>0</v>
          </cell>
          <cell r="U170">
            <v>0</v>
          </cell>
          <cell r="V170" t="str">
            <v>PC</v>
          </cell>
        </row>
        <row r="171">
          <cell r="F171" t="str">
            <v>30030989-2</v>
          </cell>
          <cell r="G171" t="str">
            <v>BRACKET CASE(2ND) SUB ASSY 2(DC-105X)</v>
          </cell>
          <cell r="H171" t="str">
            <v>KUBOTA DC-105X</v>
          </cell>
          <cell r="I171">
            <v>30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Q171">
            <v>0</v>
          </cell>
          <cell r="R171">
            <v>0</v>
          </cell>
          <cell r="S171">
            <v>0</v>
          </cell>
          <cell r="U171">
            <v>0</v>
          </cell>
          <cell r="V171" t="str">
            <v>PC</v>
          </cell>
        </row>
        <row r="172">
          <cell r="F172">
            <v>30031001</v>
          </cell>
          <cell r="G172" t="str">
            <v>BRACKET CASE(2ND) SUB ASSY 3(DC-105X)</v>
          </cell>
          <cell r="H172" t="str">
            <v>KUBOTA DC-105X</v>
          </cell>
          <cell r="I172">
            <v>1</v>
          </cell>
          <cell r="J172">
            <v>20</v>
          </cell>
          <cell r="K172">
            <v>20</v>
          </cell>
          <cell r="L172">
            <v>56</v>
          </cell>
          <cell r="M172">
            <v>56</v>
          </cell>
          <cell r="N172">
            <v>71</v>
          </cell>
          <cell r="O172">
            <v>71</v>
          </cell>
          <cell r="P172">
            <v>88</v>
          </cell>
          <cell r="Q172">
            <v>88</v>
          </cell>
          <cell r="R172">
            <v>0</v>
          </cell>
          <cell r="S172">
            <v>0</v>
          </cell>
          <cell r="U172">
            <v>0</v>
          </cell>
          <cell r="V172" t="str">
            <v>PC</v>
          </cell>
        </row>
        <row r="173">
          <cell r="F173">
            <v>30031002</v>
          </cell>
          <cell r="G173" t="str">
            <v>BRACKET CASE(2ND) SUB ASSY 4(DC-105X)</v>
          </cell>
          <cell r="H173" t="str">
            <v>KUBOTA DC-105X</v>
          </cell>
          <cell r="I173">
            <v>1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U173">
            <v>0</v>
          </cell>
          <cell r="V173" t="str">
            <v>PC</v>
          </cell>
        </row>
        <row r="174">
          <cell r="F174">
            <v>30031003</v>
          </cell>
          <cell r="G174" t="str">
            <v>BRACKET CASE(2ND) NO.5 (DC-105X)</v>
          </cell>
          <cell r="H174" t="str">
            <v>KUBOTA DC-105X</v>
          </cell>
          <cell r="I174">
            <v>1</v>
          </cell>
          <cell r="J174">
            <v>20</v>
          </cell>
          <cell r="K174">
            <v>20</v>
          </cell>
          <cell r="L174">
            <v>56</v>
          </cell>
          <cell r="M174">
            <v>56</v>
          </cell>
          <cell r="N174">
            <v>71</v>
          </cell>
          <cell r="O174">
            <v>71</v>
          </cell>
          <cell r="P174">
            <v>88</v>
          </cell>
          <cell r="Q174">
            <v>88</v>
          </cell>
          <cell r="R174">
            <v>0</v>
          </cell>
          <cell r="S174">
            <v>0</v>
          </cell>
          <cell r="U174">
            <v>0</v>
          </cell>
          <cell r="V174" t="str">
            <v>PC</v>
          </cell>
        </row>
        <row r="175">
          <cell r="F175">
            <v>30031004</v>
          </cell>
          <cell r="G175" t="str">
            <v>BRACKET CASE(2ND)NO.6 SUB ASSY 5%DC-105X</v>
          </cell>
          <cell r="H175" t="str">
            <v>KUBOTA DC-105X</v>
          </cell>
          <cell r="I175">
            <v>1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Q175">
            <v>0</v>
          </cell>
          <cell r="S175">
            <v>0</v>
          </cell>
          <cell r="U175">
            <v>0</v>
          </cell>
          <cell r="V175" t="str">
            <v>PC</v>
          </cell>
        </row>
        <row r="176">
          <cell r="F176">
            <v>30031005</v>
          </cell>
          <cell r="G176" t="str">
            <v>BRACKET CASE(2ND)NO.6 SUB ASSY 5%DC-105X</v>
          </cell>
          <cell r="H176" t="str">
            <v>KUBOTA DC-105X</v>
          </cell>
          <cell r="I176">
            <v>7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Q176">
            <v>0</v>
          </cell>
          <cell r="S176">
            <v>0</v>
          </cell>
          <cell r="U176">
            <v>0</v>
          </cell>
          <cell r="V176" t="str">
            <v>PC</v>
          </cell>
        </row>
        <row r="177">
          <cell r="F177">
            <v>30031006</v>
          </cell>
          <cell r="G177" t="str">
            <v>BRACKET CASE(2ND) SUB ASSY 7(DC-105X)</v>
          </cell>
          <cell r="H177" t="str">
            <v>KUBOTA DC-105X</v>
          </cell>
          <cell r="I177">
            <v>21</v>
          </cell>
          <cell r="J177">
            <v>20</v>
          </cell>
          <cell r="K177">
            <v>0.95238095238095233</v>
          </cell>
          <cell r="L177">
            <v>56</v>
          </cell>
          <cell r="M177">
            <v>2.6666666666666665</v>
          </cell>
          <cell r="N177">
            <v>71</v>
          </cell>
          <cell r="O177">
            <v>3.3809523809523809</v>
          </cell>
          <cell r="P177">
            <v>88</v>
          </cell>
          <cell r="Q177">
            <v>4.1904761904761907</v>
          </cell>
          <cell r="R177">
            <v>0</v>
          </cell>
          <cell r="S177">
            <v>0</v>
          </cell>
          <cell r="U177">
            <v>0</v>
          </cell>
          <cell r="V177" t="str">
            <v>PC</v>
          </cell>
        </row>
        <row r="178">
          <cell r="F178">
            <v>30031021</v>
          </cell>
          <cell r="G178" t="str">
            <v>BRACKET COVER (2ND) NO.1 (DC-105X)</v>
          </cell>
          <cell r="H178" t="str">
            <v>KUBOTA DC-105X</v>
          </cell>
          <cell r="I178">
            <v>8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U178">
            <v>0</v>
          </cell>
          <cell r="V178" t="str">
            <v>PC</v>
          </cell>
        </row>
        <row r="179">
          <cell r="F179">
            <v>30031022</v>
          </cell>
          <cell r="G179" t="str">
            <v>BRACKET COVER (2ND) NO.2 (DC-105X)</v>
          </cell>
          <cell r="H179" t="str">
            <v>KUBOTA DC-105X</v>
          </cell>
          <cell r="I179">
            <v>12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U179">
            <v>0</v>
          </cell>
          <cell r="V179" t="str">
            <v>PC</v>
          </cell>
        </row>
        <row r="180">
          <cell r="F180">
            <v>30031536</v>
          </cell>
          <cell r="G180" t="str">
            <v>PIPE (32155-1140)</v>
          </cell>
          <cell r="H180" t="str">
            <v>KAWASAKI EX250J</v>
          </cell>
          <cell r="I180">
            <v>1</v>
          </cell>
          <cell r="J180">
            <v>800</v>
          </cell>
          <cell r="K180">
            <v>800</v>
          </cell>
          <cell r="L180">
            <v>980</v>
          </cell>
          <cell r="M180">
            <v>980</v>
          </cell>
          <cell r="N180">
            <v>980</v>
          </cell>
          <cell r="O180">
            <v>980</v>
          </cell>
          <cell r="P180">
            <v>600</v>
          </cell>
          <cell r="Q180">
            <v>600</v>
          </cell>
          <cell r="R180">
            <v>820</v>
          </cell>
          <cell r="S180">
            <v>820</v>
          </cell>
          <cell r="T180">
            <v>640</v>
          </cell>
          <cell r="U180">
            <v>640</v>
          </cell>
          <cell r="V180" t="str">
            <v>PC</v>
          </cell>
        </row>
        <row r="181">
          <cell r="F181">
            <v>30031538</v>
          </cell>
          <cell r="G181" t="str">
            <v>BRACKET MUFFLER(32069-1666)</v>
          </cell>
          <cell r="H181" t="str">
            <v>KAWASAKI</v>
          </cell>
          <cell r="I181">
            <v>110</v>
          </cell>
          <cell r="J181">
            <v>4500</v>
          </cell>
          <cell r="K181">
            <v>40.909090909090907</v>
          </cell>
          <cell r="L181">
            <v>5672</v>
          </cell>
          <cell r="M181">
            <v>51.563636363636363</v>
          </cell>
          <cell r="N181">
            <v>4688</v>
          </cell>
          <cell r="O181">
            <v>42.618181818181817</v>
          </cell>
          <cell r="P181">
            <v>4480</v>
          </cell>
          <cell r="Q181">
            <v>40.727272727272727</v>
          </cell>
          <cell r="R181">
            <v>3000</v>
          </cell>
          <cell r="S181">
            <v>27.272727272727273</v>
          </cell>
          <cell r="T181">
            <v>1920</v>
          </cell>
          <cell r="U181">
            <v>17.454545454545453</v>
          </cell>
          <cell r="V181" t="str">
            <v>PC</v>
          </cell>
        </row>
        <row r="182">
          <cell r="F182">
            <v>30031671</v>
          </cell>
          <cell r="G182" t="str">
            <v>LINER (2ND, 1)(5T124-6834-1)(DC-105X)</v>
          </cell>
          <cell r="H182" t="str">
            <v>KUBOTA DC-105X</v>
          </cell>
          <cell r="I182">
            <v>3</v>
          </cell>
          <cell r="K182">
            <v>0</v>
          </cell>
          <cell r="M182">
            <v>0</v>
          </cell>
          <cell r="O182">
            <v>0</v>
          </cell>
          <cell r="Q182">
            <v>0</v>
          </cell>
          <cell r="S182">
            <v>0</v>
          </cell>
          <cell r="U182">
            <v>0</v>
          </cell>
          <cell r="V182" t="str">
            <v>PC</v>
          </cell>
        </row>
        <row r="183">
          <cell r="F183">
            <v>30031672</v>
          </cell>
          <cell r="G183" t="str">
            <v>LINER (2ND, 2)(5T124-6835-1)(DC-105X)</v>
          </cell>
          <cell r="H183" t="str">
            <v>KUBOTA DC-105X</v>
          </cell>
          <cell r="I183">
            <v>2</v>
          </cell>
          <cell r="K183">
            <v>0</v>
          </cell>
          <cell r="M183">
            <v>0</v>
          </cell>
          <cell r="O183">
            <v>0</v>
          </cell>
          <cell r="Q183">
            <v>0</v>
          </cell>
          <cell r="S183">
            <v>0</v>
          </cell>
          <cell r="U183">
            <v>0</v>
          </cell>
          <cell r="V183" t="str">
            <v>PC</v>
          </cell>
        </row>
        <row r="184">
          <cell r="F184">
            <v>30031673</v>
          </cell>
          <cell r="G184" t="str">
            <v>LINER (2ND, 3)(5T124-6836-1)(DC-105X)</v>
          </cell>
          <cell r="H184" t="str">
            <v>KUBOTA DC-105X</v>
          </cell>
          <cell r="I184">
            <v>5</v>
          </cell>
          <cell r="J184">
            <v>20</v>
          </cell>
          <cell r="K184">
            <v>4</v>
          </cell>
          <cell r="L184">
            <v>56</v>
          </cell>
          <cell r="M184">
            <v>11.2</v>
          </cell>
          <cell r="N184">
            <v>71</v>
          </cell>
          <cell r="O184">
            <v>14.2</v>
          </cell>
          <cell r="P184">
            <v>88</v>
          </cell>
          <cell r="Q184">
            <v>17.600000000000001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 t="str">
            <v>PC</v>
          </cell>
        </row>
        <row r="185">
          <cell r="F185">
            <v>30031735</v>
          </cell>
          <cell r="G185" t="str">
            <v>PLATE (2ND)(5T124-6848-1-01)(DC-105X)</v>
          </cell>
          <cell r="H185" t="str">
            <v>KUBOTA DC-105X</v>
          </cell>
          <cell r="I185">
            <v>1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 t="str">
            <v>PC</v>
          </cell>
        </row>
        <row r="186">
          <cell r="F186">
            <v>30031737</v>
          </cell>
          <cell r="G186" t="str">
            <v>PLATE(2ND)NO.3(5T124-6848-2-03)(DC-105X)</v>
          </cell>
          <cell r="H186" t="str">
            <v>KUBOTA DC-105X</v>
          </cell>
          <cell r="I186">
            <v>1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Q186">
            <v>0</v>
          </cell>
          <cell r="S186">
            <v>0</v>
          </cell>
          <cell r="U186">
            <v>0</v>
          </cell>
          <cell r="V186" t="str">
            <v>PC</v>
          </cell>
        </row>
        <row r="187">
          <cell r="F187">
            <v>30031904</v>
          </cell>
          <cell r="G187" t="str">
            <v>BRKT, RR FOOTREST (BB9-F1153-00)</v>
          </cell>
          <cell r="H187" t="str">
            <v>YAMAHA BB91</v>
          </cell>
          <cell r="I187">
            <v>42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 t="str">
            <v>PC</v>
          </cell>
        </row>
        <row r="188">
          <cell r="F188">
            <v>30031905</v>
          </cell>
          <cell r="G188" t="str">
            <v>BRKT, RR FOOTREST (BB9-F1154-00)</v>
          </cell>
          <cell r="H188" t="str">
            <v>YAMAHA BB91</v>
          </cell>
          <cell r="I188">
            <v>42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Q188">
            <v>0</v>
          </cell>
          <cell r="R188">
            <v>0</v>
          </cell>
          <cell r="S188">
            <v>0</v>
          </cell>
          <cell r="U188">
            <v>0</v>
          </cell>
          <cell r="V188" t="str">
            <v>PC</v>
          </cell>
        </row>
        <row r="189">
          <cell r="F189">
            <v>30031946</v>
          </cell>
          <cell r="G189" t="str">
            <v>BRKT.,ENGINE 1 SUB  ASS'Y (BB81)</v>
          </cell>
          <cell r="H189" t="str">
            <v>YAMAHA BB81</v>
          </cell>
          <cell r="I189">
            <v>29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</row>
        <row r="190">
          <cell r="F190">
            <v>30031947</v>
          </cell>
          <cell r="G190" t="str">
            <v>BRKT.,ENGINE 2 (BB8-F194F-00)(BB81)</v>
          </cell>
          <cell r="H190" t="str">
            <v>YAMAHA BB81</v>
          </cell>
          <cell r="I190">
            <v>29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Q190">
            <v>0</v>
          </cell>
          <cell r="R190">
            <v>0</v>
          </cell>
          <cell r="S190">
            <v>0</v>
          </cell>
          <cell r="U190">
            <v>0</v>
          </cell>
          <cell r="V190" t="str">
            <v>PC</v>
          </cell>
        </row>
        <row r="191">
          <cell r="F191" t="str">
            <v>30031948-1</v>
          </cell>
          <cell r="G191" t="str">
            <v>BRKT.,BOX 1 (BB8-F133A-00)(BB81)</v>
          </cell>
          <cell r="H191" t="str">
            <v>YAMAHA BB81</v>
          </cell>
          <cell r="I191">
            <v>9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Q191">
            <v>0</v>
          </cell>
          <cell r="R191">
            <v>0</v>
          </cell>
          <cell r="S191">
            <v>0</v>
          </cell>
          <cell r="U191">
            <v>0</v>
          </cell>
          <cell r="V191" t="str">
            <v>PC</v>
          </cell>
        </row>
        <row r="192">
          <cell r="F192" t="str">
            <v>30031948-2</v>
          </cell>
          <cell r="G192" t="str">
            <v>BRKT.,BOX 1 (BB8-F133A-00)(BB81)</v>
          </cell>
          <cell r="H192" t="str">
            <v>YAMAHA BB81</v>
          </cell>
          <cell r="I192">
            <v>8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Q192">
            <v>0</v>
          </cell>
          <cell r="R192">
            <v>0</v>
          </cell>
          <cell r="S192">
            <v>0</v>
          </cell>
          <cell r="U192">
            <v>0</v>
          </cell>
          <cell r="V192" t="str">
            <v>PC</v>
          </cell>
        </row>
        <row r="193">
          <cell r="F193" t="str">
            <v>30031948-3</v>
          </cell>
          <cell r="G193" t="str">
            <v>BRKT.,BOX 1 (BB8-F133A-00)(BB81)</v>
          </cell>
          <cell r="H193" t="str">
            <v>YAMAHA BB81</v>
          </cell>
          <cell r="I193">
            <v>17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Q193">
            <v>0</v>
          </cell>
          <cell r="R193">
            <v>0</v>
          </cell>
          <cell r="S193">
            <v>0</v>
          </cell>
          <cell r="U193">
            <v>0</v>
          </cell>
          <cell r="V193" t="str">
            <v>PC</v>
          </cell>
        </row>
        <row r="194">
          <cell r="F194" t="str">
            <v>30031948-4</v>
          </cell>
          <cell r="G194" t="str">
            <v>BRKT.,BOX 1 (BB8-F133A-00)(BB81)</v>
          </cell>
          <cell r="H194" t="str">
            <v>YAMAHA BB81</v>
          </cell>
          <cell r="I194">
            <v>38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Q194">
            <v>0</v>
          </cell>
          <cell r="R194">
            <v>0</v>
          </cell>
          <cell r="S194">
            <v>0</v>
          </cell>
          <cell r="U194">
            <v>0</v>
          </cell>
          <cell r="V194" t="str">
            <v>PC</v>
          </cell>
        </row>
        <row r="195">
          <cell r="F195" t="str">
            <v>30031948-5</v>
          </cell>
          <cell r="G195" t="str">
            <v>BRKT.,BOX 1 (BB8-F133A-00)(BB81)</v>
          </cell>
          <cell r="H195" t="str">
            <v>YAMAHA BB81</v>
          </cell>
          <cell r="I195">
            <v>31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Q195">
            <v>0</v>
          </cell>
          <cell r="R195">
            <v>0</v>
          </cell>
          <cell r="S195">
            <v>0</v>
          </cell>
          <cell r="U195">
            <v>0</v>
          </cell>
          <cell r="V195" t="str">
            <v>PC</v>
          </cell>
        </row>
        <row r="196">
          <cell r="F196" t="str">
            <v>30031948-6</v>
          </cell>
          <cell r="G196" t="str">
            <v>BRKT.,BOX 1 (BB8-F133A-00)(BB81)</v>
          </cell>
          <cell r="H196" t="str">
            <v>YAMAHA BB81</v>
          </cell>
          <cell r="I196">
            <v>36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Q196">
            <v>0</v>
          </cell>
          <cell r="R196">
            <v>0</v>
          </cell>
          <cell r="S196">
            <v>0</v>
          </cell>
          <cell r="U196">
            <v>0</v>
          </cell>
          <cell r="V196" t="str">
            <v>PC</v>
          </cell>
        </row>
        <row r="197">
          <cell r="F197" t="str">
            <v>30031952-1</v>
          </cell>
          <cell r="G197" t="str">
            <v>BRKT.,SIDE STAND (BB8-F1458-00)(BB81)</v>
          </cell>
          <cell r="H197" t="str">
            <v>YAMAHA BB81</v>
          </cell>
          <cell r="I197">
            <v>18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Q197">
            <v>0</v>
          </cell>
          <cell r="R197">
            <v>0</v>
          </cell>
          <cell r="S197">
            <v>0</v>
          </cell>
          <cell r="U197">
            <v>0</v>
          </cell>
          <cell r="V197" t="str">
            <v>PC</v>
          </cell>
        </row>
        <row r="198">
          <cell r="F198" t="str">
            <v>30031952-2</v>
          </cell>
          <cell r="G198" t="str">
            <v>BRKT.,SIDE STAND (BB8-F1458-00)(BB81)</v>
          </cell>
          <cell r="H198" t="str">
            <v>YAMAHA BB81</v>
          </cell>
          <cell r="I198">
            <v>19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Q198">
            <v>0</v>
          </cell>
          <cell r="R198">
            <v>0</v>
          </cell>
          <cell r="S198">
            <v>0</v>
          </cell>
          <cell r="U198">
            <v>0</v>
          </cell>
          <cell r="V198" t="str">
            <v>PC</v>
          </cell>
        </row>
        <row r="199">
          <cell r="F199" t="str">
            <v>30031952-3</v>
          </cell>
          <cell r="G199" t="str">
            <v>BRKT.,SIDE STAND (BB8-F1458-00)(BB81)</v>
          </cell>
          <cell r="H199" t="str">
            <v>YAMAHA BB81</v>
          </cell>
          <cell r="I199">
            <v>35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Q199">
            <v>0</v>
          </cell>
          <cell r="R199">
            <v>0</v>
          </cell>
          <cell r="S199">
            <v>0</v>
          </cell>
          <cell r="U199">
            <v>0</v>
          </cell>
          <cell r="V199" t="str">
            <v>PC</v>
          </cell>
        </row>
        <row r="200">
          <cell r="F200" t="str">
            <v>30031952-4</v>
          </cell>
          <cell r="G200" t="str">
            <v>BRKT.,SIDE STAND (BB8-F1458-00)(BB81)</v>
          </cell>
          <cell r="H200" t="str">
            <v>YAMAHA BB81</v>
          </cell>
          <cell r="I200">
            <v>20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Q200">
            <v>0</v>
          </cell>
          <cell r="R200">
            <v>0</v>
          </cell>
          <cell r="S200">
            <v>0</v>
          </cell>
          <cell r="U200">
            <v>0</v>
          </cell>
          <cell r="V200" t="str">
            <v>PC</v>
          </cell>
        </row>
        <row r="201">
          <cell r="F201" t="str">
            <v>30031952-5</v>
          </cell>
          <cell r="G201" t="str">
            <v>BRKT.,SIDE STAND (BB8-F1458-00)(BB81)</v>
          </cell>
          <cell r="H201" t="str">
            <v>YAMAHA BB81</v>
          </cell>
          <cell r="I201">
            <v>50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Q201">
            <v>0</v>
          </cell>
          <cell r="R201">
            <v>0</v>
          </cell>
          <cell r="S201">
            <v>0</v>
          </cell>
          <cell r="U201">
            <v>0</v>
          </cell>
          <cell r="V201" t="str">
            <v>PC</v>
          </cell>
        </row>
        <row r="202">
          <cell r="F202" t="str">
            <v>30031952-6</v>
          </cell>
          <cell r="G202" t="str">
            <v>BRKT.,SIDE STAND (BB8-F1458-00)(BB81)</v>
          </cell>
          <cell r="H202" t="str">
            <v>YAMAHA BB81</v>
          </cell>
          <cell r="I202">
            <v>27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Q202">
            <v>0</v>
          </cell>
          <cell r="R202">
            <v>0</v>
          </cell>
          <cell r="S202">
            <v>0</v>
          </cell>
          <cell r="U202">
            <v>0</v>
          </cell>
          <cell r="V202" t="str">
            <v>PC</v>
          </cell>
        </row>
        <row r="203">
          <cell r="F203">
            <v>30031953</v>
          </cell>
          <cell r="G203" t="str">
            <v>BRKT.,RR FOOTREST (BB8-F1154-00)(BB81)</v>
          </cell>
          <cell r="H203" t="str">
            <v>YAMAHA BB81</v>
          </cell>
          <cell r="I203">
            <v>23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Q203">
            <v>0</v>
          </cell>
          <cell r="R203">
            <v>0</v>
          </cell>
          <cell r="S203">
            <v>0</v>
          </cell>
          <cell r="U203">
            <v>0</v>
          </cell>
          <cell r="V203" t="str">
            <v>PC</v>
          </cell>
        </row>
        <row r="204">
          <cell r="F204">
            <v>30031957</v>
          </cell>
          <cell r="G204" t="str">
            <v>STAY , 2 (BB8-F116E-00)(BB81)</v>
          </cell>
          <cell r="H204" t="str">
            <v>YAMAHA BB81</v>
          </cell>
          <cell r="I204">
            <v>40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Q204">
            <v>0</v>
          </cell>
          <cell r="R204">
            <v>0</v>
          </cell>
          <cell r="S204">
            <v>0</v>
          </cell>
          <cell r="U204">
            <v>0</v>
          </cell>
          <cell r="V204" t="str">
            <v>PC</v>
          </cell>
        </row>
        <row r="205">
          <cell r="F205">
            <v>30031991</v>
          </cell>
          <cell r="G205" t="str">
            <v>BRKT RR FOOTREST (BB8-F1153-00)(BB81)</v>
          </cell>
          <cell r="H205" t="str">
            <v>YAMAHA BB81</v>
          </cell>
          <cell r="I205">
            <v>23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Q205">
            <v>0</v>
          </cell>
          <cell r="R205">
            <v>0</v>
          </cell>
          <cell r="S205">
            <v>0</v>
          </cell>
          <cell r="U205">
            <v>0</v>
          </cell>
          <cell r="V205" t="str">
            <v>PC</v>
          </cell>
        </row>
        <row r="206">
          <cell r="F206">
            <v>30032060</v>
          </cell>
          <cell r="G206" t="str">
            <v>CROSS TUBE 1 (BB8-F1196-00)(BB81)</v>
          </cell>
          <cell r="H206" t="str">
            <v>YAMAHA BB81</v>
          </cell>
          <cell r="I206" t="e">
            <v>#N/A</v>
          </cell>
          <cell r="J206">
            <v>0</v>
          </cell>
          <cell r="K206" t="e">
            <v>#N/A</v>
          </cell>
          <cell r="L206">
            <v>0</v>
          </cell>
          <cell r="M206" t="e">
            <v>#N/A</v>
          </cell>
          <cell r="N206">
            <v>0</v>
          </cell>
          <cell r="O206" t="e">
            <v>#N/A</v>
          </cell>
          <cell r="Q206" t="e">
            <v>#N/A</v>
          </cell>
          <cell r="R206">
            <v>0</v>
          </cell>
          <cell r="S206" t="e">
            <v>#N/A</v>
          </cell>
          <cell r="U206" t="e">
            <v>#N/A</v>
          </cell>
          <cell r="V206" t="str">
            <v>PC</v>
          </cell>
        </row>
        <row r="207">
          <cell r="F207" t="str">
            <v>30032061-1</v>
          </cell>
          <cell r="G207" t="str">
            <v>GUSSET - ASSY (BB8-F113A-00-ASSY)(BB81)</v>
          </cell>
          <cell r="H207" t="str">
            <v>YAMAHA BB81</v>
          </cell>
          <cell r="I207">
            <v>5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Q207">
            <v>0</v>
          </cell>
          <cell r="R207">
            <v>0</v>
          </cell>
          <cell r="S207">
            <v>0</v>
          </cell>
          <cell r="U207">
            <v>0</v>
          </cell>
          <cell r="V207" t="str">
            <v>PC</v>
          </cell>
        </row>
        <row r="208">
          <cell r="F208" t="str">
            <v>30032061-2</v>
          </cell>
          <cell r="G208" t="str">
            <v>GUSSET - ASSY (BB8-F113A-00-ASSY)(BB81)</v>
          </cell>
          <cell r="H208" t="str">
            <v>YAMAHA BB81</v>
          </cell>
          <cell r="I208">
            <v>30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Q208">
            <v>0</v>
          </cell>
          <cell r="R208">
            <v>0</v>
          </cell>
          <cell r="S208">
            <v>0</v>
          </cell>
          <cell r="U208">
            <v>0</v>
          </cell>
          <cell r="V208" t="str">
            <v>PC</v>
          </cell>
        </row>
        <row r="209">
          <cell r="F209" t="str">
            <v>30032061-3</v>
          </cell>
          <cell r="G209" t="str">
            <v>GUSSET - ASSY (BB8-F113A-00-ASSY)(BB81)</v>
          </cell>
          <cell r="H209" t="str">
            <v>YAMAHA BB81</v>
          </cell>
          <cell r="I209">
            <v>30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Q209">
            <v>0</v>
          </cell>
          <cell r="R209">
            <v>0</v>
          </cell>
          <cell r="S209">
            <v>0</v>
          </cell>
          <cell r="U209">
            <v>0</v>
          </cell>
          <cell r="V209" t="str">
            <v>PC</v>
          </cell>
        </row>
        <row r="210">
          <cell r="F210" t="str">
            <v>30032061-4</v>
          </cell>
          <cell r="G210" t="str">
            <v>GUSSET - ASSY (BB8-F113A-00-ASSY)(BB81)</v>
          </cell>
          <cell r="H210" t="str">
            <v>YAMAHA BB81</v>
          </cell>
          <cell r="I210">
            <v>10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Q210">
            <v>0</v>
          </cell>
          <cell r="R210">
            <v>0</v>
          </cell>
          <cell r="S210">
            <v>0</v>
          </cell>
          <cell r="U210">
            <v>0</v>
          </cell>
          <cell r="V210" t="str">
            <v>PC</v>
          </cell>
        </row>
        <row r="211">
          <cell r="F211">
            <v>30032072</v>
          </cell>
          <cell r="G211" t="str">
            <v>BRKT REGULATOR (BB8-F1287-00)(BB81)</v>
          </cell>
          <cell r="H211" t="str">
            <v>YAMAHA BB81</v>
          </cell>
          <cell r="I211">
            <v>11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Q211">
            <v>0</v>
          </cell>
          <cell r="R211">
            <v>0</v>
          </cell>
          <cell r="S211">
            <v>0</v>
          </cell>
          <cell r="U211">
            <v>0</v>
          </cell>
          <cell r="V211" t="str">
            <v>PC</v>
          </cell>
        </row>
        <row r="212">
          <cell r="F212">
            <v>30032305</v>
          </cell>
          <cell r="G212" t="str">
            <v>NO.2 (TC750-4158-1-02)(E52B-4W)</v>
          </cell>
          <cell r="H212" t="str">
            <v>KUBOTA E52B-4W</v>
          </cell>
          <cell r="I212">
            <v>50</v>
          </cell>
          <cell r="J212">
            <v>30</v>
          </cell>
          <cell r="K212">
            <v>0.6</v>
          </cell>
          <cell r="L212">
            <v>60</v>
          </cell>
          <cell r="M212">
            <v>1.2</v>
          </cell>
          <cell r="N212">
            <v>180</v>
          </cell>
          <cell r="O212">
            <v>3.6</v>
          </cell>
          <cell r="P212">
            <v>150</v>
          </cell>
          <cell r="Q212">
            <v>3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 t="str">
            <v>PC</v>
          </cell>
        </row>
        <row r="213">
          <cell r="F213">
            <v>30032306</v>
          </cell>
          <cell r="G213" t="str">
            <v>NO.3 (TC750-4158-1-03)(E52B-4W)</v>
          </cell>
          <cell r="H213" t="str">
            <v>KUBOTA E52B-4W</v>
          </cell>
          <cell r="I213">
            <v>50</v>
          </cell>
          <cell r="J213">
            <v>30</v>
          </cell>
          <cell r="K213">
            <v>0.6</v>
          </cell>
          <cell r="L213">
            <v>60</v>
          </cell>
          <cell r="M213">
            <v>1.2</v>
          </cell>
          <cell r="N213">
            <v>180</v>
          </cell>
          <cell r="O213">
            <v>3.6</v>
          </cell>
          <cell r="P213">
            <v>150</v>
          </cell>
          <cell r="Q213">
            <v>3</v>
          </cell>
          <cell r="R213">
            <v>0</v>
          </cell>
          <cell r="S213">
            <v>0</v>
          </cell>
          <cell r="U213">
            <v>0</v>
          </cell>
          <cell r="V213" t="str">
            <v>PC</v>
          </cell>
        </row>
        <row r="214">
          <cell r="F214">
            <v>30032597</v>
          </cell>
          <cell r="G214" t="str">
            <v>BRKT PILLAR NO.2 (TC422-1831-2)(E60AB)</v>
          </cell>
          <cell r="H214" t="str">
            <v>KUBOTA E60AB</v>
          </cell>
          <cell r="I214">
            <v>13</v>
          </cell>
          <cell r="J214">
            <v>0</v>
          </cell>
          <cell r="K214">
            <v>0</v>
          </cell>
          <cell r="L214">
            <v>36</v>
          </cell>
          <cell r="M214">
            <v>2.7692307692307692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 t="str">
            <v>PC</v>
          </cell>
        </row>
        <row r="215">
          <cell r="F215" t="str">
            <v>30032599-1</v>
          </cell>
          <cell r="G215" t="str">
            <v>BRKT PILLAR (FRONT)SUB ASSY 2 (E60AB)</v>
          </cell>
          <cell r="H215" t="str">
            <v>KUBOTA E60AB</v>
          </cell>
          <cell r="I215">
            <v>18</v>
          </cell>
          <cell r="J215">
            <v>0</v>
          </cell>
          <cell r="K215">
            <v>0</v>
          </cell>
          <cell r="L215">
            <v>36</v>
          </cell>
          <cell r="M215">
            <v>2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 t="str">
            <v>PC</v>
          </cell>
        </row>
        <row r="216">
          <cell r="F216" t="str">
            <v>30032599-2</v>
          </cell>
          <cell r="G216" t="str">
            <v>BRKT PILLAR (FRONT)SUB ASSY 2 (E60AB)</v>
          </cell>
          <cell r="H216" t="str">
            <v>KUBOTA E60AB</v>
          </cell>
          <cell r="I216">
            <v>31</v>
          </cell>
          <cell r="J216">
            <v>0</v>
          </cell>
          <cell r="K216">
            <v>0</v>
          </cell>
          <cell r="L216">
            <v>36</v>
          </cell>
          <cell r="M216">
            <v>1.1612903225806452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U216">
            <v>0</v>
          </cell>
          <cell r="V216" t="str">
            <v>PC</v>
          </cell>
        </row>
        <row r="217">
          <cell r="F217">
            <v>30032607</v>
          </cell>
          <cell r="G217" t="str">
            <v>BRKT SUPPORT NO.6 (TC822-4568-2-19)E60AB</v>
          </cell>
          <cell r="H217" t="str">
            <v>KUBOTA E60AB</v>
          </cell>
          <cell r="I217">
            <v>36</v>
          </cell>
          <cell r="J217">
            <v>350</v>
          </cell>
          <cell r="K217">
            <v>9.7222222222222214</v>
          </cell>
          <cell r="L217">
            <v>384</v>
          </cell>
          <cell r="M217">
            <v>10.666666666666666</v>
          </cell>
          <cell r="N217">
            <v>480</v>
          </cell>
          <cell r="O217">
            <v>13.333333333333334</v>
          </cell>
          <cell r="P217">
            <v>480</v>
          </cell>
          <cell r="Q217">
            <v>13.333333333333334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 t="str">
            <v>PC</v>
          </cell>
        </row>
        <row r="218">
          <cell r="F218">
            <v>30032710</v>
          </cell>
          <cell r="G218" t="str">
            <v>STAY (61102-K87A-A000-20)(K87A&amp;MKGA)</v>
          </cell>
          <cell r="H218" t="str">
            <v>HONDA K87A &amp; MKGA</v>
          </cell>
          <cell r="I218">
            <v>7</v>
          </cell>
          <cell r="J218">
            <v>2200</v>
          </cell>
          <cell r="K218">
            <v>314.28571428571428</v>
          </cell>
          <cell r="L218">
            <v>806</v>
          </cell>
          <cell r="M218">
            <v>115.14285714285714</v>
          </cell>
          <cell r="N218">
            <v>1724</v>
          </cell>
          <cell r="O218">
            <v>246.28571428571428</v>
          </cell>
          <cell r="P218">
            <v>1003</v>
          </cell>
          <cell r="Q218">
            <v>143.28571428571428</v>
          </cell>
          <cell r="R218">
            <v>1458</v>
          </cell>
          <cell r="S218">
            <v>208.28571428571428</v>
          </cell>
          <cell r="T218">
            <v>3634</v>
          </cell>
          <cell r="U218">
            <v>519.14285714285711</v>
          </cell>
        </row>
        <row r="219">
          <cell r="F219">
            <v>30032743</v>
          </cell>
          <cell r="G219" t="str">
            <v>ROD GUARD NO.2 (TC822-4572-1-02)(E60AB)</v>
          </cell>
          <cell r="H219" t="str">
            <v>KUBOTA E60AB</v>
          </cell>
          <cell r="I219">
            <v>1</v>
          </cell>
          <cell r="J219">
            <v>400</v>
          </cell>
          <cell r="K219">
            <v>400</v>
          </cell>
          <cell r="L219">
            <v>400</v>
          </cell>
          <cell r="M219">
            <v>400</v>
          </cell>
          <cell r="N219">
            <v>460</v>
          </cell>
          <cell r="O219">
            <v>460</v>
          </cell>
          <cell r="P219">
            <v>500</v>
          </cell>
          <cell r="Q219">
            <v>500</v>
          </cell>
          <cell r="R219">
            <v>0</v>
          </cell>
          <cell r="S219">
            <v>0</v>
          </cell>
          <cell r="U219">
            <v>0</v>
          </cell>
          <cell r="V219" t="str">
            <v>PC</v>
          </cell>
        </row>
        <row r="220">
          <cell r="F220" t="str">
            <v>30032750-1</v>
          </cell>
          <cell r="G220" t="str">
            <v>SUPPORT (BONNET,REAR) SUB  ASSY 2(E60AB)</v>
          </cell>
          <cell r="H220" t="str">
            <v>KUBOTA E60AB</v>
          </cell>
          <cell r="I220">
            <v>22</v>
          </cell>
          <cell r="J220">
            <v>400</v>
          </cell>
          <cell r="K220">
            <v>18.181818181818183</v>
          </cell>
          <cell r="L220">
            <v>400</v>
          </cell>
          <cell r="M220">
            <v>18.181818181818183</v>
          </cell>
          <cell r="N220">
            <v>460</v>
          </cell>
          <cell r="O220">
            <v>20.90909090909091</v>
          </cell>
          <cell r="P220">
            <v>500</v>
          </cell>
          <cell r="Q220">
            <v>22.727272727272727</v>
          </cell>
          <cell r="R220">
            <v>0</v>
          </cell>
          <cell r="S220">
            <v>0</v>
          </cell>
          <cell r="U220">
            <v>0</v>
          </cell>
          <cell r="V220" t="str">
            <v>PC</v>
          </cell>
        </row>
        <row r="221">
          <cell r="F221" t="str">
            <v>30032750-2</v>
          </cell>
          <cell r="G221" t="str">
            <v>SUPPORT (BONNET,REAR) SUB  ASSY 2(E60AB)</v>
          </cell>
          <cell r="H221" t="str">
            <v>KUBOTA E60AB</v>
          </cell>
          <cell r="I221">
            <v>47</v>
          </cell>
          <cell r="J221">
            <v>400</v>
          </cell>
          <cell r="K221">
            <v>8.5106382978723403</v>
          </cell>
          <cell r="L221">
            <v>400</v>
          </cell>
          <cell r="M221">
            <v>8.5106382978723403</v>
          </cell>
          <cell r="N221">
            <v>460</v>
          </cell>
          <cell r="O221">
            <v>9.787234042553191</v>
          </cell>
          <cell r="P221">
            <v>500</v>
          </cell>
          <cell r="Q221">
            <v>10.638297872340425</v>
          </cell>
          <cell r="R221">
            <v>0</v>
          </cell>
          <cell r="S221">
            <v>0</v>
          </cell>
          <cell r="U221">
            <v>0</v>
          </cell>
          <cell r="V221" t="str">
            <v>PC</v>
          </cell>
        </row>
        <row r="222">
          <cell r="F222" t="str">
            <v>30032750-3</v>
          </cell>
          <cell r="G222" t="str">
            <v>SUPPORT (BONNET,REAR) SUB  ASSY 2(E60AB)</v>
          </cell>
          <cell r="H222" t="str">
            <v>KUBOTA E60AB</v>
          </cell>
          <cell r="I222">
            <v>39</v>
          </cell>
          <cell r="J222">
            <v>400</v>
          </cell>
          <cell r="K222">
            <v>10.256410256410257</v>
          </cell>
          <cell r="L222">
            <v>400</v>
          </cell>
          <cell r="M222">
            <v>10.256410256410257</v>
          </cell>
          <cell r="N222">
            <v>460</v>
          </cell>
          <cell r="O222">
            <v>11.794871794871796</v>
          </cell>
          <cell r="P222">
            <v>500</v>
          </cell>
          <cell r="Q222">
            <v>12.820512820512821</v>
          </cell>
          <cell r="R222">
            <v>0</v>
          </cell>
          <cell r="S222">
            <v>0</v>
          </cell>
          <cell r="U222">
            <v>0</v>
          </cell>
          <cell r="V222" t="str">
            <v>PC</v>
          </cell>
        </row>
        <row r="223">
          <cell r="F223" t="str">
            <v>30032751-1</v>
          </cell>
          <cell r="G223" t="str">
            <v>SUPPORT (BONNET,REAR) SUB  ASSY 3(E60AB)</v>
          </cell>
          <cell r="H223" t="str">
            <v>KUBOTA E60AB</v>
          </cell>
          <cell r="I223">
            <v>22</v>
          </cell>
          <cell r="J223">
            <v>400</v>
          </cell>
          <cell r="K223">
            <v>18.181818181818183</v>
          </cell>
          <cell r="L223">
            <v>400</v>
          </cell>
          <cell r="M223">
            <v>18.181818181818183</v>
          </cell>
          <cell r="N223">
            <v>460</v>
          </cell>
          <cell r="O223">
            <v>20.90909090909091</v>
          </cell>
          <cell r="P223">
            <v>500</v>
          </cell>
          <cell r="Q223">
            <v>22.727272727272727</v>
          </cell>
          <cell r="R223">
            <v>0</v>
          </cell>
          <cell r="S223">
            <v>0</v>
          </cell>
          <cell r="U223">
            <v>0</v>
          </cell>
          <cell r="V223" t="str">
            <v>PC</v>
          </cell>
        </row>
        <row r="224">
          <cell r="F224" t="str">
            <v>30032751-2</v>
          </cell>
          <cell r="G224" t="str">
            <v>SUPPORT (BONNET,REAR) SUB  ASSY 3(E60AB)</v>
          </cell>
          <cell r="H224" t="str">
            <v>KUBOTA E60AB</v>
          </cell>
          <cell r="I224">
            <v>47</v>
          </cell>
          <cell r="J224">
            <v>400</v>
          </cell>
          <cell r="K224">
            <v>8.5106382978723403</v>
          </cell>
          <cell r="L224">
            <v>400</v>
          </cell>
          <cell r="M224">
            <v>8.5106382978723403</v>
          </cell>
          <cell r="N224">
            <v>460</v>
          </cell>
          <cell r="O224">
            <v>9.787234042553191</v>
          </cell>
          <cell r="P224">
            <v>500</v>
          </cell>
          <cell r="Q224">
            <v>10.638297872340425</v>
          </cell>
          <cell r="R224">
            <v>0</v>
          </cell>
          <cell r="S224">
            <v>0</v>
          </cell>
          <cell r="U224">
            <v>0</v>
          </cell>
          <cell r="V224" t="str">
            <v>PC</v>
          </cell>
        </row>
        <row r="225">
          <cell r="F225" t="str">
            <v>30032751-3</v>
          </cell>
          <cell r="G225" t="str">
            <v>SUPPORT (BONNET,REAR) SUB  ASSY 3(E60AB)</v>
          </cell>
          <cell r="H225" t="str">
            <v>KUBOTA E60AB</v>
          </cell>
          <cell r="I225">
            <v>39</v>
          </cell>
          <cell r="J225">
            <v>400</v>
          </cell>
          <cell r="K225">
            <v>10.256410256410257</v>
          </cell>
          <cell r="L225">
            <v>400</v>
          </cell>
          <cell r="M225">
            <v>10.256410256410257</v>
          </cell>
          <cell r="N225">
            <v>460</v>
          </cell>
          <cell r="O225">
            <v>11.794871794871796</v>
          </cell>
          <cell r="P225">
            <v>500</v>
          </cell>
          <cell r="Q225">
            <v>12.820512820512821</v>
          </cell>
          <cell r="R225">
            <v>0</v>
          </cell>
          <cell r="S225">
            <v>0</v>
          </cell>
          <cell r="U225">
            <v>0</v>
          </cell>
          <cell r="V225" t="str">
            <v>PC</v>
          </cell>
        </row>
        <row r="226">
          <cell r="F226">
            <v>30032752</v>
          </cell>
          <cell r="G226" t="str">
            <v>ROD PEDAL (DIFF LOCK) NO.3 (E52A)</v>
          </cell>
          <cell r="H226" t="str">
            <v>KUBOTA E52A</v>
          </cell>
          <cell r="I226" t="e">
            <v>#N/A</v>
          </cell>
          <cell r="J226">
            <v>0</v>
          </cell>
          <cell r="K226" t="e">
            <v>#N/A</v>
          </cell>
          <cell r="L226">
            <v>0</v>
          </cell>
          <cell r="M226" t="e">
            <v>#N/A</v>
          </cell>
          <cell r="N226">
            <v>0</v>
          </cell>
          <cell r="O226" t="e">
            <v>#N/A</v>
          </cell>
          <cell r="P226">
            <v>0</v>
          </cell>
          <cell r="Q226" t="e">
            <v>#N/A</v>
          </cell>
          <cell r="R226">
            <v>0</v>
          </cell>
          <cell r="S226" t="e">
            <v>#N/A</v>
          </cell>
          <cell r="U226" t="e">
            <v>#N/A</v>
          </cell>
          <cell r="V226" t="str">
            <v>PC</v>
          </cell>
        </row>
        <row r="227">
          <cell r="F227">
            <v>30032753</v>
          </cell>
          <cell r="G227" t="str">
            <v>PEDAL (DIFF LOCK) SUB ASS'Y 1 (E52A)</v>
          </cell>
          <cell r="H227" t="str">
            <v>KUBOTA E52A</v>
          </cell>
          <cell r="I227">
            <v>39</v>
          </cell>
          <cell r="J227">
            <v>10</v>
          </cell>
          <cell r="K227">
            <v>0.25641025641025639</v>
          </cell>
          <cell r="L227">
            <v>14</v>
          </cell>
          <cell r="M227">
            <v>0.35897435897435898</v>
          </cell>
          <cell r="N227">
            <v>17</v>
          </cell>
          <cell r="O227">
            <v>0.4358974358974359</v>
          </cell>
          <cell r="P227">
            <v>27</v>
          </cell>
          <cell r="Q227">
            <v>0.69230769230769229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 t="str">
            <v>PC</v>
          </cell>
        </row>
        <row r="228">
          <cell r="F228">
            <v>30032774</v>
          </cell>
          <cell r="G228" t="str">
            <v>ROD LEVER (DT) NO.2 (E52A)</v>
          </cell>
          <cell r="H228" t="str">
            <v>KUBOTA E52A</v>
          </cell>
          <cell r="I228" t="e">
            <v>#N/A</v>
          </cell>
          <cell r="J228">
            <v>0</v>
          </cell>
          <cell r="K228" t="e">
            <v>#N/A</v>
          </cell>
          <cell r="L228">
            <v>0</v>
          </cell>
          <cell r="M228" t="e">
            <v>#N/A</v>
          </cell>
          <cell r="N228">
            <v>0</v>
          </cell>
          <cell r="O228" t="e">
            <v>#N/A</v>
          </cell>
          <cell r="P228">
            <v>0</v>
          </cell>
          <cell r="Q228" t="e">
            <v>#N/A</v>
          </cell>
          <cell r="R228">
            <v>0</v>
          </cell>
          <cell r="S228" t="e">
            <v>#N/A</v>
          </cell>
          <cell r="T228">
            <v>0</v>
          </cell>
          <cell r="U228" t="e">
            <v>#N/A</v>
          </cell>
          <cell r="V228" t="str">
            <v>PC</v>
          </cell>
        </row>
        <row r="229">
          <cell r="F229">
            <v>30032781</v>
          </cell>
          <cell r="G229" t="str">
            <v>SUPPORT FENDER SUB ASS'Y 1 (E60AB)</v>
          </cell>
          <cell r="H229" t="str">
            <v>KUBOTA E60AB</v>
          </cell>
          <cell r="I229">
            <v>1</v>
          </cell>
          <cell r="J229">
            <v>0</v>
          </cell>
          <cell r="K229">
            <v>0</v>
          </cell>
          <cell r="L229">
            <v>24</v>
          </cell>
          <cell r="M229">
            <v>24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 t="str">
            <v>PC</v>
          </cell>
        </row>
        <row r="230">
          <cell r="F230">
            <v>30033337</v>
          </cell>
          <cell r="G230" t="str">
            <v>BRACKET (11055-1230)(LX250S)</v>
          </cell>
          <cell r="H230" t="str">
            <v>KAWASAKI LX250S</v>
          </cell>
          <cell r="I230">
            <v>30</v>
          </cell>
          <cell r="J230">
            <v>0</v>
          </cell>
          <cell r="K230">
            <v>0</v>
          </cell>
          <cell r="L230">
            <v>4</v>
          </cell>
          <cell r="M230">
            <v>0.13333333333333333</v>
          </cell>
          <cell r="N230">
            <v>22</v>
          </cell>
          <cell r="O230">
            <v>0.73333333333333328</v>
          </cell>
          <cell r="P230">
            <v>19</v>
          </cell>
          <cell r="Q230">
            <v>0.6333333333333333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 t="str">
            <v>PC</v>
          </cell>
        </row>
        <row r="231">
          <cell r="F231">
            <v>30033376</v>
          </cell>
          <cell r="G231" t="str">
            <v>PIPE CROSS LOWER (32155-2490)(9246)</v>
          </cell>
          <cell r="H231" t="str">
            <v>KAWASAKI BR125A(9246</v>
          </cell>
          <cell r="I231">
            <v>1</v>
          </cell>
          <cell r="J231">
            <v>100</v>
          </cell>
          <cell r="K231">
            <v>100</v>
          </cell>
          <cell r="L231">
            <v>190</v>
          </cell>
          <cell r="M231">
            <v>190</v>
          </cell>
          <cell r="N231">
            <v>110</v>
          </cell>
          <cell r="O231">
            <v>110</v>
          </cell>
          <cell r="P231">
            <v>180</v>
          </cell>
          <cell r="Q231">
            <v>180</v>
          </cell>
          <cell r="R231">
            <v>190</v>
          </cell>
          <cell r="S231">
            <v>190</v>
          </cell>
          <cell r="T231">
            <v>240</v>
          </cell>
          <cell r="U231">
            <v>240</v>
          </cell>
          <cell r="V231" t="str">
            <v>PC</v>
          </cell>
        </row>
        <row r="232">
          <cell r="F232" t="str">
            <v>30033545-1</v>
          </cell>
          <cell r="G232" t="str">
            <v>BRKT PILLAR (FRONT)SUB ASSY 4 (E60AB)_Mo</v>
          </cell>
          <cell r="H232" t="str">
            <v>KUBOTA E60AB</v>
          </cell>
          <cell r="I232">
            <v>16</v>
          </cell>
          <cell r="J232">
            <v>0</v>
          </cell>
          <cell r="K232">
            <v>0</v>
          </cell>
          <cell r="L232">
            <v>36</v>
          </cell>
          <cell r="M232">
            <v>2.25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 t="str">
            <v>PC</v>
          </cell>
        </row>
        <row r="233">
          <cell r="F233" t="str">
            <v>30033545-2</v>
          </cell>
          <cell r="G233" t="str">
            <v>BRKT PILLAR (FRONT)SUB ASSY 4 (E60AB)_Mo</v>
          </cell>
          <cell r="H233" t="str">
            <v>KUBOTA E60AB</v>
          </cell>
          <cell r="I233">
            <v>51</v>
          </cell>
          <cell r="J233">
            <v>0</v>
          </cell>
          <cell r="K233">
            <v>0</v>
          </cell>
          <cell r="L233">
            <v>36</v>
          </cell>
          <cell r="M233">
            <v>0.70588235294117652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 t="str">
            <v>PC</v>
          </cell>
        </row>
        <row r="234">
          <cell r="F234" t="str">
            <v>30033697-1</v>
          </cell>
          <cell r="G234" t="str">
            <v>MBR.,2 LH SUB ASSY(J1B-F115E-00-1)(J1B1)</v>
          </cell>
          <cell r="H234" t="str">
            <v>YAMAHA J1B1</v>
          </cell>
          <cell r="I234">
            <v>16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U234">
            <v>0</v>
          </cell>
          <cell r="V234" t="str">
            <v>PC</v>
          </cell>
        </row>
        <row r="235">
          <cell r="F235" t="str">
            <v>30033698-1</v>
          </cell>
          <cell r="G235" t="str">
            <v>MBR.,2 RH SUB ASSY(J1B-F115E-00-2)(J1B1)</v>
          </cell>
          <cell r="H235" t="str">
            <v>YAMAHA J1B1</v>
          </cell>
          <cell r="I235">
            <v>16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Q235">
            <v>0</v>
          </cell>
          <cell r="R235">
            <v>0</v>
          </cell>
          <cell r="S235">
            <v>0</v>
          </cell>
          <cell r="U235">
            <v>0</v>
          </cell>
          <cell r="V235" t="str">
            <v>PC</v>
          </cell>
        </row>
        <row r="236">
          <cell r="F236">
            <v>30033702</v>
          </cell>
          <cell r="G236" t="str">
            <v>MBR., 1 (J1B-F2821-00-0)(J1B1)</v>
          </cell>
          <cell r="H236" t="str">
            <v>YAMAHA J1B1</v>
          </cell>
          <cell r="I236">
            <v>11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Q236">
            <v>0</v>
          </cell>
          <cell r="R236">
            <v>0</v>
          </cell>
          <cell r="S236">
            <v>0</v>
          </cell>
          <cell r="U236">
            <v>0</v>
          </cell>
          <cell r="V236" t="str">
            <v>PC</v>
          </cell>
        </row>
        <row r="237">
          <cell r="F237">
            <v>30033791</v>
          </cell>
          <cell r="G237" t="str">
            <v>BRACKET ENGINE (32190-0742)BR125A(9246)</v>
          </cell>
          <cell r="H237" t="str">
            <v>KAWASAKI BR125A(9246</v>
          </cell>
          <cell r="I237">
            <v>24</v>
          </cell>
          <cell r="J237">
            <v>100</v>
          </cell>
          <cell r="K237">
            <v>4.166666666666667</v>
          </cell>
          <cell r="L237">
            <v>190</v>
          </cell>
          <cell r="M237">
            <v>7.916666666666667</v>
          </cell>
          <cell r="N237">
            <v>110</v>
          </cell>
          <cell r="O237">
            <v>4.583333333333333</v>
          </cell>
          <cell r="P237">
            <v>180</v>
          </cell>
          <cell r="Q237">
            <v>7.5</v>
          </cell>
          <cell r="R237">
            <v>190</v>
          </cell>
          <cell r="S237">
            <v>7.916666666666667</v>
          </cell>
          <cell r="T237">
            <v>240</v>
          </cell>
          <cell r="U237">
            <v>10</v>
          </cell>
          <cell r="V237" t="str">
            <v>PC</v>
          </cell>
        </row>
        <row r="238">
          <cell r="F238">
            <v>30033792</v>
          </cell>
          <cell r="G238" t="str">
            <v>BRACKET ENGINE (32190-0743)BR125A(9246)</v>
          </cell>
          <cell r="H238" t="str">
            <v>KAWASAKI BR125A(9246</v>
          </cell>
          <cell r="I238">
            <v>23</v>
          </cell>
          <cell r="J238">
            <v>100</v>
          </cell>
          <cell r="K238">
            <v>4.3478260869565215</v>
          </cell>
          <cell r="L238">
            <v>190</v>
          </cell>
          <cell r="M238">
            <v>8.2608695652173907</v>
          </cell>
          <cell r="N238">
            <v>110</v>
          </cell>
          <cell r="O238">
            <v>4.7826086956521738</v>
          </cell>
          <cell r="P238">
            <v>180</v>
          </cell>
          <cell r="Q238">
            <v>7.8260869565217392</v>
          </cell>
          <cell r="R238">
            <v>190</v>
          </cell>
          <cell r="S238">
            <v>8.2608695652173907</v>
          </cell>
          <cell r="T238">
            <v>240</v>
          </cell>
          <cell r="U238">
            <v>10.434782608695652</v>
          </cell>
          <cell r="V238" t="str">
            <v>PC</v>
          </cell>
        </row>
        <row r="239">
          <cell r="F239">
            <v>30033914</v>
          </cell>
          <cell r="G239" t="str">
            <v>PLATE CASE (2ND) NO.7 (DC-105X)</v>
          </cell>
          <cell r="H239" t="str">
            <v>KUBOTA DC-105X</v>
          </cell>
          <cell r="I239">
            <v>7</v>
          </cell>
          <cell r="J239">
            <v>20</v>
          </cell>
          <cell r="K239">
            <v>2.8571428571428572</v>
          </cell>
          <cell r="L239">
            <v>56</v>
          </cell>
          <cell r="M239">
            <v>8</v>
          </cell>
          <cell r="N239">
            <v>71</v>
          </cell>
          <cell r="O239">
            <v>10.142857142857142</v>
          </cell>
          <cell r="P239">
            <v>88</v>
          </cell>
          <cell r="Q239">
            <v>12.571428571428571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 t="str">
            <v>PC</v>
          </cell>
        </row>
        <row r="240">
          <cell r="F240">
            <v>30034188</v>
          </cell>
          <cell r="G240" t="str">
            <v>BRACKET NO.7 (6C627-5121-1-07)(D35-TH)</v>
          </cell>
          <cell r="H240" t="str">
            <v>KUBOTA D35</v>
          </cell>
          <cell r="I240">
            <v>1</v>
          </cell>
          <cell r="J240">
            <v>300</v>
          </cell>
          <cell r="K240">
            <v>300</v>
          </cell>
          <cell r="L240">
            <v>301</v>
          </cell>
          <cell r="M240">
            <v>301</v>
          </cell>
          <cell r="N240">
            <v>381</v>
          </cell>
          <cell r="O240">
            <v>381</v>
          </cell>
          <cell r="P240">
            <v>387</v>
          </cell>
          <cell r="Q240">
            <v>387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 t="str">
            <v>PC</v>
          </cell>
        </row>
        <row r="241">
          <cell r="F241" t="str">
            <v>30034262-1</v>
          </cell>
          <cell r="G241" t="str">
            <v>BRACKET NO.8 SUB ASSY 2(6C626-5121-1-K2)</v>
          </cell>
          <cell r="H241" t="str">
            <v>KUBOTA D35</v>
          </cell>
          <cell r="I241">
            <v>32</v>
          </cell>
          <cell r="J241">
            <v>300</v>
          </cell>
          <cell r="K241">
            <v>9.375</v>
          </cell>
          <cell r="L241">
            <v>301</v>
          </cell>
          <cell r="M241">
            <v>9.40625</v>
          </cell>
          <cell r="N241">
            <v>381</v>
          </cell>
          <cell r="O241">
            <v>11.90625</v>
          </cell>
          <cell r="P241">
            <v>387</v>
          </cell>
          <cell r="Q241">
            <v>12.09375</v>
          </cell>
          <cell r="R241">
            <v>0</v>
          </cell>
          <cell r="S241">
            <v>0</v>
          </cell>
          <cell r="U241">
            <v>0</v>
          </cell>
          <cell r="V241" t="str">
            <v>PC</v>
          </cell>
        </row>
        <row r="242">
          <cell r="F242">
            <v>30034394</v>
          </cell>
          <cell r="G242" t="str">
            <v>PLATE BRACKET (BATTERY) NO.1(D35-IND)</v>
          </cell>
          <cell r="H242" t="str">
            <v>KUBOTA D35</v>
          </cell>
          <cell r="I242">
            <v>4</v>
          </cell>
          <cell r="J242">
            <v>300</v>
          </cell>
          <cell r="K242">
            <v>75</v>
          </cell>
          <cell r="L242">
            <v>300</v>
          </cell>
          <cell r="M242">
            <v>75</v>
          </cell>
          <cell r="N242">
            <v>376</v>
          </cell>
          <cell r="O242">
            <v>94</v>
          </cell>
          <cell r="P242">
            <v>394</v>
          </cell>
          <cell r="Q242">
            <v>98.5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 t="str">
            <v>PC</v>
          </cell>
        </row>
        <row r="243">
          <cell r="F243" t="str">
            <v>30034404-1</v>
          </cell>
          <cell r="G243" t="str">
            <v>PILLAR (CENTER) SUB ASSY 6 (D35-IND)NEW</v>
          </cell>
          <cell r="H243" t="str">
            <v>KUBOTA D35</v>
          </cell>
          <cell r="I243">
            <v>9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10</v>
          </cell>
          <cell r="O243">
            <v>1.1111111111111112</v>
          </cell>
          <cell r="P243">
            <v>14</v>
          </cell>
          <cell r="Q243">
            <v>1.5555555555555556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 t="str">
            <v>PC</v>
          </cell>
        </row>
        <row r="244">
          <cell r="F244">
            <v>30034442</v>
          </cell>
          <cell r="G244" t="str">
            <v>BRKT.,TANK FITTING (BB8-F1345-01)(BB81)</v>
          </cell>
          <cell r="H244" t="str">
            <v>YAMAHA BB81</v>
          </cell>
          <cell r="I244">
            <v>19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 t="str">
            <v>PC</v>
          </cell>
        </row>
        <row r="245">
          <cell r="F245">
            <v>30034443</v>
          </cell>
          <cell r="G245" t="str">
            <v>BRKT.,TANK FITTING (BB8-F1346-01)(BB81)</v>
          </cell>
          <cell r="H245" t="str">
            <v>YAMAHA BB81</v>
          </cell>
          <cell r="I245">
            <v>19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Q245">
            <v>0</v>
          </cell>
          <cell r="S245">
            <v>0</v>
          </cell>
          <cell r="U245">
            <v>0</v>
          </cell>
          <cell r="V245" t="str">
            <v>PC</v>
          </cell>
        </row>
        <row r="246">
          <cell r="F246">
            <v>30034768</v>
          </cell>
          <cell r="G246" t="str">
            <v>BRKT.,TANK FITTING (BB8-F1346-01)(BB81)</v>
          </cell>
          <cell r="H246" t="str">
            <v>YAMAHA BB81</v>
          </cell>
          <cell r="I246" t="e">
            <v>#N/A</v>
          </cell>
          <cell r="J246">
            <v>0</v>
          </cell>
          <cell r="K246" t="e">
            <v>#N/A</v>
          </cell>
          <cell r="L246">
            <v>0</v>
          </cell>
          <cell r="M246" t="e">
            <v>#N/A</v>
          </cell>
          <cell r="N246">
            <v>0</v>
          </cell>
          <cell r="O246" t="e">
            <v>#N/A</v>
          </cell>
          <cell r="P246">
            <v>0</v>
          </cell>
          <cell r="Q246" t="e">
            <v>#N/A</v>
          </cell>
          <cell r="R246">
            <v>0</v>
          </cell>
          <cell r="S246" t="e">
            <v>#N/A</v>
          </cell>
          <cell r="T246">
            <v>0</v>
          </cell>
          <cell r="U246" t="e">
            <v>#N/A</v>
          </cell>
          <cell r="V246" t="str">
            <v>PC</v>
          </cell>
        </row>
        <row r="247">
          <cell r="F247">
            <v>30034769</v>
          </cell>
          <cell r="G247" t="str">
            <v>BRKT.,TANK FITTING (BB8-F1346-01)(BB81)</v>
          </cell>
          <cell r="H247" t="str">
            <v>YAMAHA BB81</v>
          </cell>
          <cell r="I247" t="e">
            <v>#N/A</v>
          </cell>
          <cell r="J247">
            <v>0</v>
          </cell>
          <cell r="K247" t="e">
            <v>#N/A</v>
          </cell>
          <cell r="L247">
            <v>0</v>
          </cell>
          <cell r="M247" t="e">
            <v>#N/A</v>
          </cell>
          <cell r="N247">
            <v>0</v>
          </cell>
          <cell r="O247" t="e">
            <v>#N/A</v>
          </cell>
          <cell r="Q247" t="e">
            <v>#N/A</v>
          </cell>
          <cell r="S247" t="e">
            <v>#N/A</v>
          </cell>
          <cell r="U247" t="e">
            <v>#N/A</v>
          </cell>
          <cell r="V247" t="str">
            <v>PC</v>
          </cell>
        </row>
        <row r="248">
          <cell r="F248">
            <v>30034771</v>
          </cell>
          <cell r="G248" t="str">
            <v>BRKT.,FOOTREST 2 (J1E-F1148-00)(J1E1)</v>
          </cell>
          <cell r="H248" t="str">
            <v>YAMAHA J1E</v>
          </cell>
          <cell r="I248">
            <v>14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 t="str">
            <v>PC</v>
          </cell>
        </row>
        <row r="249">
          <cell r="F249">
            <v>30034772</v>
          </cell>
          <cell r="G249" t="str">
            <v>BRKT.,FOOTREST 3 (J1E-F144H-00)(J1E1)</v>
          </cell>
          <cell r="H249" t="str">
            <v>YAMAHA J1E</v>
          </cell>
          <cell r="I249">
            <v>10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 t="str">
            <v>PC</v>
          </cell>
        </row>
        <row r="250">
          <cell r="F250" t="str">
            <v>30034774-5</v>
          </cell>
          <cell r="G250" t="str">
            <v>MBR.,CROSS SUB ASSY (J1E-F2531-00-SUB)</v>
          </cell>
          <cell r="H250" t="str">
            <v>YAMAHA J1E</v>
          </cell>
          <cell r="I250">
            <v>28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U250">
            <v>0</v>
          </cell>
          <cell r="V250" t="str">
            <v>PC</v>
          </cell>
        </row>
        <row r="251">
          <cell r="F251">
            <v>30034775</v>
          </cell>
          <cell r="G251" t="str">
            <v>GUSSET (J1E-F252E-00-0)(J1E1)</v>
          </cell>
          <cell r="H251" t="str">
            <v>YAMAHA J1E</v>
          </cell>
          <cell r="I251">
            <v>12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 t="str">
            <v>PC</v>
          </cell>
        </row>
        <row r="252">
          <cell r="F252">
            <v>30034776</v>
          </cell>
          <cell r="G252" t="str">
            <v>GUSSET 2 (J1E-F252G-00-0)(J1E1)</v>
          </cell>
          <cell r="H252" t="str">
            <v>YAMAHA J1E</v>
          </cell>
          <cell r="I252">
            <v>42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Q252">
            <v>0</v>
          </cell>
          <cell r="R252">
            <v>0</v>
          </cell>
          <cell r="S252">
            <v>0</v>
          </cell>
          <cell r="U252">
            <v>0</v>
          </cell>
          <cell r="V252" t="str">
            <v>PC</v>
          </cell>
        </row>
        <row r="253">
          <cell r="F253">
            <v>30034777</v>
          </cell>
          <cell r="G253" t="str">
            <v>MBR., 2 (J1B-F115E-00-0)(J1B1)</v>
          </cell>
          <cell r="H253" t="str">
            <v>YAMAHA J1B1</v>
          </cell>
          <cell r="I253">
            <v>16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 t="str">
            <v>PC</v>
          </cell>
        </row>
        <row r="254">
          <cell r="F254">
            <v>30035009</v>
          </cell>
          <cell r="G254" t="str">
            <v>MBR., SIDE 3 (J1F-F2523-00)(J1F1)</v>
          </cell>
          <cell r="H254" t="str">
            <v>YAMAHA J1F</v>
          </cell>
          <cell r="I254" t="e">
            <v>#N/A</v>
          </cell>
          <cell r="J254">
            <v>0</v>
          </cell>
          <cell r="K254" t="e">
            <v>#N/A</v>
          </cell>
          <cell r="L254">
            <v>0</v>
          </cell>
          <cell r="M254" t="e">
            <v>#N/A</v>
          </cell>
          <cell r="N254">
            <v>0</v>
          </cell>
          <cell r="O254" t="e">
            <v>#N/A</v>
          </cell>
          <cell r="P254">
            <v>0</v>
          </cell>
          <cell r="Q254" t="e">
            <v>#N/A</v>
          </cell>
          <cell r="R254">
            <v>0</v>
          </cell>
          <cell r="S254" t="e">
            <v>#N/A</v>
          </cell>
          <cell r="T254">
            <v>0</v>
          </cell>
          <cell r="U254" t="e">
            <v>#N/A</v>
          </cell>
          <cell r="V254">
            <v>0</v>
          </cell>
        </row>
        <row r="255">
          <cell r="F255">
            <v>30035010</v>
          </cell>
          <cell r="G255" t="str">
            <v>MBR., SIDE 4 (J1F-F2524-00)(J1F1)</v>
          </cell>
          <cell r="H255" t="str">
            <v>YAMAHA J1F</v>
          </cell>
          <cell r="I255" t="e">
            <v>#N/A</v>
          </cell>
          <cell r="J255">
            <v>0</v>
          </cell>
          <cell r="K255" t="e">
            <v>#N/A</v>
          </cell>
          <cell r="L255">
            <v>0</v>
          </cell>
          <cell r="M255" t="e">
            <v>#N/A</v>
          </cell>
          <cell r="N255">
            <v>0</v>
          </cell>
          <cell r="O255" t="e">
            <v>#N/A</v>
          </cell>
          <cell r="Q255" t="e">
            <v>#N/A</v>
          </cell>
          <cell r="S255" t="e">
            <v>#N/A</v>
          </cell>
          <cell r="U255" t="e">
            <v>#N/A</v>
          </cell>
          <cell r="V255" t="str">
            <v>PC</v>
          </cell>
        </row>
        <row r="256">
          <cell r="F256" t="str">
            <v>30035275-1</v>
          </cell>
          <cell r="G256" t="str">
            <v>PILLAR(CENTER)SUB ASSY 9 (D35-IND)MODIFY</v>
          </cell>
          <cell r="H256" t="str">
            <v>KUBOTA D35</v>
          </cell>
          <cell r="I256">
            <v>25</v>
          </cell>
          <cell r="J256">
            <v>350</v>
          </cell>
          <cell r="K256">
            <v>14</v>
          </cell>
          <cell r="L256">
            <v>307</v>
          </cell>
          <cell r="M256">
            <v>12.28</v>
          </cell>
          <cell r="N256">
            <v>377</v>
          </cell>
          <cell r="O256">
            <v>15.08</v>
          </cell>
          <cell r="P256">
            <v>389</v>
          </cell>
          <cell r="Q256">
            <v>15.56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</row>
        <row r="257">
          <cell r="F257" t="str">
            <v>30035275-2</v>
          </cell>
          <cell r="G257" t="str">
            <v>PILLAR(CENTER)SUB ASSY 9 (D35-IND)MODIFY</v>
          </cell>
          <cell r="H257" t="str">
            <v>KUBOTA D35</v>
          </cell>
          <cell r="I257">
            <v>40</v>
          </cell>
          <cell r="J257">
            <v>350</v>
          </cell>
          <cell r="K257">
            <v>8.75</v>
          </cell>
          <cell r="L257">
            <v>307</v>
          </cell>
          <cell r="M257">
            <v>7.6749999999999998</v>
          </cell>
          <cell r="N257">
            <v>377</v>
          </cell>
          <cell r="O257">
            <v>9.4250000000000007</v>
          </cell>
          <cell r="P257">
            <v>389</v>
          </cell>
          <cell r="Q257">
            <v>9.7249999999999996</v>
          </cell>
          <cell r="R257">
            <v>0</v>
          </cell>
          <cell r="S257">
            <v>0</v>
          </cell>
          <cell r="U257">
            <v>0</v>
          </cell>
          <cell r="V257" t="str">
            <v>PC</v>
          </cell>
        </row>
        <row r="258">
          <cell r="F258" t="str">
            <v>30035647-1</v>
          </cell>
          <cell r="G258" t="str">
            <v>BRKT PILLAR(FRONT)SUB ASSY 2(E60A/B-VIP)</v>
          </cell>
          <cell r="H258" t="str">
            <v>KUBOTA E60A/B-VIP</v>
          </cell>
          <cell r="I258">
            <v>21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Q258">
            <v>0</v>
          </cell>
          <cell r="R258">
            <v>0</v>
          </cell>
          <cell r="S258">
            <v>0</v>
          </cell>
          <cell r="U258">
            <v>0</v>
          </cell>
          <cell r="V258" t="str">
            <v>PC</v>
          </cell>
        </row>
        <row r="259">
          <cell r="F259" t="str">
            <v>30035647-2</v>
          </cell>
          <cell r="G259" t="str">
            <v>BRKT PILLAR(FRONT)SUB ASSY 2(E60A/B-VIP)</v>
          </cell>
          <cell r="H259" t="str">
            <v>KUBOTA E60A/B-VIP</v>
          </cell>
          <cell r="I259">
            <v>68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Q259">
            <v>0</v>
          </cell>
          <cell r="S259">
            <v>0</v>
          </cell>
          <cell r="U259">
            <v>0</v>
          </cell>
          <cell r="V259" t="str">
            <v>PC</v>
          </cell>
        </row>
        <row r="260">
          <cell r="F260" t="str">
            <v>30035647-3</v>
          </cell>
          <cell r="G260" t="str">
            <v>BRKT PILLAR(FRONT)SUB ASSY 2(E60A/B-VIP)</v>
          </cell>
          <cell r="H260" t="str">
            <v>KUBOTA E60A/B-VIP</v>
          </cell>
          <cell r="I260">
            <v>31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Q260">
            <v>0</v>
          </cell>
          <cell r="S260">
            <v>0</v>
          </cell>
          <cell r="U260">
            <v>0</v>
          </cell>
          <cell r="V260" t="str">
            <v>PC</v>
          </cell>
        </row>
        <row r="261">
          <cell r="F261">
            <v>30036477</v>
          </cell>
          <cell r="G261" t="str">
            <v>ARM_24701-K0GA-9005-20</v>
          </cell>
          <cell r="H261" t="str">
            <v>HONDA K0GA</v>
          </cell>
          <cell r="I261">
            <v>15</v>
          </cell>
          <cell r="J261">
            <v>40</v>
          </cell>
          <cell r="K261">
            <v>2.6666666666666665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 t="str">
            <v>PC</v>
          </cell>
        </row>
        <row r="262">
          <cell r="F262">
            <v>30036478</v>
          </cell>
          <cell r="G262" t="str">
            <v>HINGE A,SEAT_77111-K0GA-9001-H1</v>
          </cell>
          <cell r="H262" t="str">
            <v>HONDA K0GA</v>
          </cell>
          <cell r="I262">
            <v>13</v>
          </cell>
          <cell r="J262">
            <v>800</v>
          </cell>
          <cell r="K262">
            <v>61.53846153846154</v>
          </cell>
          <cell r="L262">
            <v>1014</v>
          </cell>
          <cell r="M262">
            <v>78</v>
          </cell>
          <cell r="N262">
            <v>902</v>
          </cell>
          <cell r="O262">
            <v>69.384615384615387</v>
          </cell>
          <cell r="P262">
            <v>635</v>
          </cell>
          <cell r="Q262">
            <v>48.846153846153847</v>
          </cell>
          <cell r="R262">
            <v>751</v>
          </cell>
          <cell r="S262">
            <v>57.769230769230766</v>
          </cell>
          <cell r="T262">
            <v>809</v>
          </cell>
          <cell r="U262">
            <v>62.230769230769234</v>
          </cell>
          <cell r="V262" t="str">
            <v>PC</v>
          </cell>
        </row>
        <row r="263">
          <cell r="F263">
            <v>30036479</v>
          </cell>
          <cell r="G263" t="str">
            <v>HINGE B,SEAT_77112-K0GA-9002-H1</v>
          </cell>
          <cell r="H263" t="str">
            <v>HONDA K0GA</v>
          </cell>
          <cell r="I263">
            <v>14</v>
          </cell>
          <cell r="J263">
            <v>800</v>
          </cell>
          <cell r="K263">
            <v>57.142857142857146</v>
          </cell>
          <cell r="L263">
            <v>1014</v>
          </cell>
          <cell r="M263">
            <v>72.428571428571431</v>
          </cell>
          <cell r="N263">
            <v>902</v>
          </cell>
          <cell r="O263">
            <v>64.428571428571431</v>
          </cell>
          <cell r="P263">
            <v>635</v>
          </cell>
          <cell r="Q263">
            <v>45.357142857142854</v>
          </cell>
          <cell r="R263">
            <v>751</v>
          </cell>
          <cell r="S263">
            <v>53.642857142857146</v>
          </cell>
          <cell r="T263">
            <v>809</v>
          </cell>
          <cell r="U263">
            <v>57.785714285714285</v>
          </cell>
          <cell r="V263" t="str">
            <v>PC</v>
          </cell>
        </row>
        <row r="264">
          <cell r="F264">
            <v>30036805</v>
          </cell>
          <cell r="G264" t="str">
            <v>ARM_24701-K0GA-9603-20</v>
          </cell>
          <cell r="H264" t="str">
            <v>HONDA K0GA</v>
          </cell>
          <cell r="I264">
            <v>15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S264">
            <v>0</v>
          </cell>
          <cell r="U264">
            <v>0</v>
          </cell>
          <cell r="V264">
            <v>0</v>
          </cell>
        </row>
        <row r="265">
          <cell r="F265">
            <v>30037647</v>
          </cell>
          <cell r="G265" t="str">
            <v>PIPE(MODIFY)_32155-0159_LX250S</v>
          </cell>
          <cell r="H265" t="str">
            <v>KAWASAKI LX250S</v>
          </cell>
          <cell r="I265">
            <v>17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 t="str">
            <v>PC</v>
          </cell>
        </row>
        <row r="266">
          <cell r="F266" t="str">
            <v>30038013-1</v>
          </cell>
          <cell r="G266" t="str">
            <v>STEP,COMP(RH) SUB ASSY 2_TE022-8706-1-K2</v>
          </cell>
          <cell r="H266" t="str">
            <v>KUBOTA E52B(SHUTTLE)</v>
          </cell>
          <cell r="I266">
            <v>6</v>
          </cell>
          <cell r="J266">
            <v>90</v>
          </cell>
          <cell r="K266">
            <v>15</v>
          </cell>
          <cell r="L266">
            <v>70</v>
          </cell>
          <cell r="M266">
            <v>11.666666666666666</v>
          </cell>
          <cell r="N266">
            <v>80</v>
          </cell>
          <cell r="O266">
            <v>13.333333333333334</v>
          </cell>
          <cell r="P266">
            <v>80</v>
          </cell>
          <cell r="Q266">
            <v>13.333333333333334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 t="str">
            <v>PC</v>
          </cell>
        </row>
        <row r="267">
          <cell r="F267" t="str">
            <v>30038013-2</v>
          </cell>
          <cell r="G267" t="str">
            <v>STEP,COMP(RH) SUB ASSY 2_TE022-8706-1-K2</v>
          </cell>
          <cell r="H267" t="str">
            <v>KUBOTA E52B(SHUTTLE)</v>
          </cell>
          <cell r="I267">
            <v>112</v>
          </cell>
          <cell r="J267">
            <v>90</v>
          </cell>
          <cell r="K267">
            <v>0.8035714285714286</v>
          </cell>
          <cell r="L267">
            <v>70</v>
          </cell>
          <cell r="M267">
            <v>0.625</v>
          </cell>
          <cell r="N267">
            <v>80</v>
          </cell>
          <cell r="O267">
            <v>0.7142857142857143</v>
          </cell>
          <cell r="P267">
            <v>80</v>
          </cell>
          <cell r="Q267">
            <v>0.7142857142857143</v>
          </cell>
          <cell r="S267">
            <v>0</v>
          </cell>
          <cell r="U267">
            <v>0</v>
          </cell>
          <cell r="V267" t="str">
            <v>PC</v>
          </cell>
        </row>
        <row r="268">
          <cell r="F268">
            <v>30038014</v>
          </cell>
          <cell r="G268" t="str">
            <v>STEP,COMP(RH) SUB ASSY 3_TE022-8706-1-K3</v>
          </cell>
          <cell r="H268" t="str">
            <v>KUBOTA E52B(SHUTTLE)</v>
          </cell>
          <cell r="I268">
            <v>112</v>
          </cell>
          <cell r="J268">
            <v>90</v>
          </cell>
          <cell r="K268">
            <v>0.8035714285714286</v>
          </cell>
          <cell r="L268">
            <v>70</v>
          </cell>
          <cell r="M268">
            <v>0.625</v>
          </cell>
          <cell r="N268">
            <v>80</v>
          </cell>
          <cell r="O268">
            <v>0.7142857142857143</v>
          </cell>
          <cell r="P268">
            <v>80</v>
          </cell>
          <cell r="Q268">
            <v>0.7142857142857143</v>
          </cell>
          <cell r="S268">
            <v>0</v>
          </cell>
          <cell r="U268">
            <v>0</v>
          </cell>
          <cell r="V268" t="str">
            <v>PC</v>
          </cell>
        </row>
        <row r="269">
          <cell r="F269">
            <v>30038017</v>
          </cell>
          <cell r="G269" t="str">
            <v>PLATE STEP,COMP(RH) NO.4_TE022-8706-1-04</v>
          </cell>
          <cell r="H269" t="str">
            <v>KUBOTA E52B(SHUTTLE)</v>
          </cell>
          <cell r="I269">
            <v>112</v>
          </cell>
          <cell r="J269">
            <v>270</v>
          </cell>
          <cell r="K269">
            <v>2.4107142857142856</v>
          </cell>
          <cell r="L269">
            <v>210</v>
          </cell>
          <cell r="M269">
            <v>1.875</v>
          </cell>
          <cell r="N269">
            <v>240</v>
          </cell>
          <cell r="O269">
            <v>2.1428571428571428</v>
          </cell>
          <cell r="P269">
            <v>240</v>
          </cell>
          <cell r="Q269">
            <v>2.1428571428571428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 t="str">
            <v>PC</v>
          </cell>
        </row>
        <row r="270">
          <cell r="F270">
            <v>30038018</v>
          </cell>
          <cell r="G270" t="str">
            <v>PLATE STEP,COMP(RH) NO.5_TE022-8706-1-05</v>
          </cell>
          <cell r="H270" t="str">
            <v>KUBOTA E52B(SHUTTLE)</v>
          </cell>
          <cell r="I270">
            <v>12</v>
          </cell>
          <cell r="J270">
            <v>90</v>
          </cell>
          <cell r="K270">
            <v>7.5</v>
          </cell>
          <cell r="L270">
            <v>70</v>
          </cell>
          <cell r="M270">
            <v>5.833333333333333</v>
          </cell>
          <cell r="N270">
            <v>80</v>
          </cell>
          <cell r="O270">
            <v>6.666666666666667</v>
          </cell>
          <cell r="P270">
            <v>80</v>
          </cell>
          <cell r="Q270">
            <v>6.666666666666667</v>
          </cell>
          <cell r="S270">
            <v>0</v>
          </cell>
          <cell r="U270">
            <v>0</v>
          </cell>
          <cell r="V270" t="str">
            <v>PC</v>
          </cell>
        </row>
        <row r="271">
          <cell r="F271" t="str">
            <v>30038021-1</v>
          </cell>
          <cell r="G271" t="str">
            <v>STEP,COMP(LH) SUB ASSY 2_TE022-8707-1-K2</v>
          </cell>
          <cell r="H271" t="str">
            <v>KUBOTA E52B(SHUTTLE)</v>
          </cell>
          <cell r="I271">
            <v>41</v>
          </cell>
          <cell r="J271">
            <v>90</v>
          </cell>
          <cell r="K271">
            <v>2.1951219512195124</v>
          </cell>
          <cell r="L271">
            <v>70</v>
          </cell>
          <cell r="M271">
            <v>1.7073170731707317</v>
          </cell>
          <cell r="N271">
            <v>80</v>
          </cell>
          <cell r="O271">
            <v>1.9512195121951219</v>
          </cell>
          <cell r="P271">
            <v>80</v>
          </cell>
          <cell r="Q271">
            <v>1.9512195121951219</v>
          </cell>
          <cell r="S271">
            <v>0</v>
          </cell>
          <cell r="U271">
            <v>0</v>
          </cell>
          <cell r="V271" t="str">
            <v>PC</v>
          </cell>
        </row>
        <row r="272">
          <cell r="F272">
            <v>30038022</v>
          </cell>
          <cell r="G272" t="str">
            <v>PLATE STEP,COM(LH) NO.2_TE022-8707-1-02</v>
          </cell>
          <cell r="H272" t="str">
            <v>KUBOTA E52B(SHUTTLE)</v>
          </cell>
          <cell r="I272">
            <v>8</v>
          </cell>
          <cell r="J272">
            <v>90</v>
          </cell>
          <cell r="K272">
            <v>11.25</v>
          </cell>
          <cell r="L272">
            <v>70</v>
          </cell>
          <cell r="M272">
            <v>8.75</v>
          </cell>
          <cell r="N272">
            <v>80</v>
          </cell>
          <cell r="O272">
            <v>10</v>
          </cell>
          <cell r="P272">
            <v>80</v>
          </cell>
          <cell r="Q272">
            <v>10</v>
          </cell>
          <cell r="S272">
            <v>0</v>
          </cell>
          <cell r="U272">
            <v>0</v>
          </cell>
          <cell r="V272" t="str">
            <v>PC</v>
          </cell>
        </row>
        <row r="273">
          <cell r="F273">
            <v>30038024</v>
          </cell>
          <cell r="G273" t="str">
            <v>PLATE STEP,COM(LH) NO.5_TE022-8707-1-05</v>
          </cell>
          <cell r="H273" t="str">
            <v>KUBOTA E52B(SHUTTLE)</v>
          </cell>
          <cell r="I273">
            <v>12</v>
          </cell>
          <cell r="J273">
            <v>90</v>
          </cell>
          <cell r="K273">
            <v>7.5</v>
          </cell>
          <cell r="L273">
            <v>70</v>
          </cell>
          <cell r="M273">
            <v>5.833333333333333</v>
          </cell>
          <cell r="N273">
            <v>80</v>
          </cell>
          <cell r="O273">
            <v>6.666666666666667</v>
          </cell>
          <cell r="P273">
            <v>80</v>
          </cell>
          <cell r="Q273">
            <v>6.666666666666667</v>
          </cell>
          <cell r="S273">
            <v>0</v>
          </cell>
          <cell r="U273">
            <v>0</v>
          </cell>
          <cell r="V273" t="str">
            <v>PC</v>
          </cell>
        </row>
        <row r="274">
          <cell r="F274">
            <v>30038032</v>
          </cell>
          <cell r="G274" t="str">
            <v>COVER(FLOOR SEAT) ASSY 2_TE022-8753-1-K2</v>
          </cell>
          <cell r="H274" t="str">
            <v>KUBOTA E52B(SHUTTLE)</v>
          </cell>
          <cell r="I274">
            <v>11</v>
          </cell>
          <cell r="J274">
            <v>40</v>
          </cell>
          <cell r="K274">
            <v>3.6363636363636362</v>
          </cell>
          <cell r="L274">
            <v>40</v>
          </cell>
          <cell r="M274">
            <v>3.6363636363636362</v>
          </cell>
          <cell r="N274">
            <v>184</v>
          </cell>
          <cell r="O274">
            <v>16.727272727272727</v>
          </cell>
          <cell r="P274">
            <v>160</v>
          </cell>
          <cell r="Q274">
            <v>14.545454545454545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 t="str">
            <v>PC</v>
          </cell>
        </row>
        <row r="275">
          <cell r="F275">
            <v>30038033</v>
          </cell>
          <cell r="G275" t="str">
            <v>COVER(FLOOR SEAT) ASSY 3_TE022-8753-1-K3</v>
          </cell>
          <cell r="H275" t="str">
            <v>KUBOTA E52B(SHUTTLE)</v>
          </cell>
          <cell r="I275">
            <v>11</v>
          </cell>
          <cell r="J275">
            <v>40</v>
          </cell>
          <cell r="K275">
            <v>3.6363636363636362</v>
          </cell>
          <cell r="L275">
            <v>40</v>
          </cell>
          <cell r="M275">
            <v>3.6363636363636362</v>
          </cell>
          <cell r="N275">
            <v>184</v>
          </cell>
          <cell r="O275">
            <v>16.727272727272727</v>
          </cell>
          <cell r="P275">
            <v>160</v>
          </cell>
          <cell r="Q275">
            <v>14.545454545454545</v>
          </cell>
          <cell r="R275">
            <v>0</v>
          </cell>
          <cell r="S275">
            <v>0</v>
          </cell>
          <cell r="U275">
            <v>0</v>
          </cell>
          <cell r="V275" t="str">
            <v>PC</v>
          </cell>
        </row>
        <row r="276">
          <cell r="F276" t="str">
            <v>30039322-1</v>
          </cell>
          <cell r="G276" t="str">
            <v>BRKT CASE(2ND) Assy 2_5T124-6831-2-K2</v>
          </cell>
          <cell r="H276" t="str">
            <v>KUBOTA DC-105X</v>
          </cell>
          <cell r="I276">
            <v>1</v>
          </cell>
          <cell r="J276">
            <v>20</v>
          </cell>
          <cell r="K276">
            <v>20</v>
          </cell>
          <cell r="L276">
            <v>56</v>
          </cell>
          <cell r="M276">
            <v>56</v>
          </cell>
          <cell r="N276">
            <v>71</v>
          </cell>
          <cell r="O276">
            <v>71</v>
          </cell>
          <cell r="P276">
            <v>88</v>
          </cell>
          <cell r="Q276">
            <v>88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 t="str">
            <v>PC</v>
          </cell>
        </row>
        <row r="277">
          <cell r="F277" t="str">
            <v>30039322-2</v>
          </cell>
          <cell r="G277" t="str">
            <v>BRKT CASE(2ND) Assy 2_5T124-6831-2-K2</v>
          </cell>
          <cell r="H277" t="str">
            <v>KUBOTA DC-105X</v>
          </cell>
          <cell r="I277">
            <v>30</v>
          </cell>
          <cell r="J277">
            <v>20</v>
          </cell>
          <cell r="K277">
            <v>0.66666666666666663</v>
          </cell>
          <cell r="L277">
            <v>56</v>
          </cell>
          <cell r="M277">
            <v>1.8666666666666667</v>
          </cell>
          <cell r="N277">
            <v>71</v>
          </cell>
          <cell r="O277">
            <v>2.3666666666666667</v>
          </cell>
          <cell r="P277">
            <v>88</v>
          </cell>
          <cell r="Q277">
            <v>2.9333333333333331</v>
          </cell>
          <cell r="R277">
            <v>0</v>
          </cell>
          <cell r="S277">
            <v>0</v>
          </cell>
          <cell r="U277">
            <v>0</v>
          </cell>
          <cell r="V277" t="str">
            <v>PC</v>
          </cell>
        </row>
        <row r="278">
          <cell r="F278">
            <v>30039323</v>
          </cell>
          <cell r="G278" t="str">
            <v>BRKT CASE(2ND) Assy 4_5T124-6831-2-K4</v>
          </cell>
          <cell r="H278" t="str">
            <v>KUBOTA DC-105X</v>
          </cell>
          <cell r="I278">
            <v>1</v>
          </cell>
          <cell r="J278">
            <v>20</v>
          </cell>
          <cell r="K278">
            <v>20</v>
          </cell>
          <cell r="L278">
            <v>56</v>
          </cell>
          <cell r="M278">
            <v>56</v>
          </cell>
          <cell r="N278">
            <v>71</v>
          </cell>
          <cell r="O278">
            <v>71</v>
          </cell>
          <cell r="P278">
            <v>88</v>
          </cell>
          <cell r="Q278">
            <v>88</v>
          </cell>
          <cell r="R278">
            <v>0</v>
          </cell>
          <cell r="S278">
            <v>0</v>
          </cell>
          <cell r="U278">
            <v>0</v>
          </cell>
          <cell r="V278" t="str">
            <v>PC</v>
          </cell>
        </row>
        <row r="279">
          <cell r="F279">
            <v>30039324</v>
          </cell>
          <cell r="G279" t="str">
            <v>CASE(2ND)No.6 Assy 5_5T124-6831-2-06-K5</v>
          </cell>
          <cell r="H279" t="str">
            <v>KUBOTA DC-105X</v>
          </cell>
          <cell r="I279">
            <v>1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S279">
            <v>0</v>
          </cell>
          <cell r="U279">
            <v>0</v>
          </cell>
          <cell r="V279" t="str">
            <v>PC</v>
          </cell>
        </row>
        <row r="280">
          <cell r="F280">
            <v>30039431</v>
          </cell>
          <cell r="G280" t="str">
            <v>SUPPORT(STEERING)ASSY 3_TC750-6319-7-K3</v>
          </cell>
          <cell r="H280" t="str">
            <v>KUBOTA E52B(SHUTTLE)</v>
          </cell>
          <cell r="I280">
            <v>32</v>
          </cell>
          <cell r="J280">
            <v>50</v>
          </cell>
          <cell r="K280">
            <v>1.5625</v>
          </cell>
          <cell r="L280">
            <v>54</v>
          </cell>
          <cell r="M280">
            <v>1.6875</v>
          </cell>
          <cell r="N280">
            <v>195</v>
          </cell>
          <cell r="O280">
            <v>6.09375</v>
          </cell>
          <cell r="P280">
            <v>192</v>
          </cell>
          <cell r="Q280">
            <v>6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 t="str">
            <v>PC</v>
          </cell>
        </row>
        <row r="281">
          <cell r="F281">
            <v>30039638</v>
          </cell>
          <cell r="G281" t="str">
            <v>ROD PEDAL(DIFF LOCK)No.3_TE012-2843-1-03</v>
          </cell>
          <cell r="H281" t="str">
            <v>KUBOTA E52A(SHUTTLE)</v>
          </cell>
          <cell r="I281">
            <v>1</v>
          </cell>
          <cell r="J281">
            <v>10</v>
          </cell>
          <cell r="K281">
            <v>10</v>
          </cell>
          <cell r="L281">
            <v>14</v>
          </cell>
          <cell r="M281">
            <v>14</v>
          </cell>
          <cell r="N281">
            <v>17</v>
          </cell>
          <cell r="O281">
            <v>17</v>
          </cell>
          <cell r="P281">
            <v>27</v>
          </cell>
          <cell r="Q281">
            <v>27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 t="str">
            <v>PC</v>
          </cell>
        </row>
        <row r="282">
          <cell r="F282">
            <v>30039641</v>
          </cell>
          <cell r="G282" t="str">
            <v>ROD LEVER(DT)No.2_TE012-4153-1-02_E52A-</v>
          </cell>
          <cell r="H282" t="str">
            <v>KUBOTA E52A(SHUTTLE)</v>
          </cell>
          <cell r="I282">
            <v>1</v>
          </cell>
          <cell r="J282">
            <v>10</v>
          </cell>
          <cell r="K282">
            <v>10</v>
          </cell>
          <cell r="L282">
            <v>29</v>
          </cell>
          <cell r="M282">
            <v>29</v>
          </cell>
          <cell r="N282">
            <v>10</v>
          </cell>
          <cell r="O282">
            <v>10</v>
          </cell>
          <cell r="P282">
            <v>30</v>
          </cell>
          <cell r="Q282">
            <v>30</v>
          </cell>
          <cell r="R282">
            <v>0</v>
          </cell>
          <cell r="S282">
            <v>0</v>
          </cell>
          <cell r="U282">
            <v>0</v>
          </cell>
          <cell r="V282" t="str">
            <v>PC</v>
          </cell>
        </row>
        <row r="283">
          <cell r="F283">
            <v>30039650</v>
          </cell>
          <cell r="G283" t="str">
            <v>COVER(FLOOR SEAT)No.3_TE012-8753-1-03_</v>
          </cell>
          <cell r="H283" t="str">
            <v>KUBOTA E52A(SHUTTLE)</v>
          </cell>
          <cell r="I283">
            <v>10</v>
          </cell>
          <cell r="J283">
            <v>20</v>
          </cell>
          <cell r="K283">
            <v>2</v>
          </cell>
          <cell r="L283">
            <v>24</v>
          </cell>
          <cell r="M283">
            <v>2.4</v>
          </cell>
          <cell r="N283">
            <v>16</v>
          </cell>
          <cell r="O283">
            <v>1.6</v>
          </cell>
          <cell r="P283">
            <v>24</v>
          </cell>
          <cell r="Q283">
            <v>2.4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 t="str">
            <v>PC</v>
          </cell>
        </row>
        <row r="284">
          <cell r="F284">
            <v>30039651</v>
          </cell>
          <cell r="G284" t="str">
            <v>COVER(FLOOR SEAT)No.4_TE012-8753-1-04_</v>
          </cell>
          <cell r="H284" t="str">
            <v>KUBOTA E52A(SHUTTLE)</v>
          </cell>
          <cell r="I284">
            <v>27</v>
          </cell>
          <cell r="J284">
            <v>20</v>
          </cell>
          <cell r="K284">
            <v>0.7407407407407407</v>
          </cell>
          <cell r="L284">
            <v>24</v>
          </cell>
          <cell r="M284">
            <v>0.88888888888888884</v>
          </cell>
          <cell r="N284">
            <v>16</v>
          </cell>
          <cell r="O284">
            <v>0.59259259259259256</v>
          </cell>
          <cell r="P284">
            <v>24</v>
          </cell>
          <cell r="Q284">
            <v>0.88888888888888884</v>
          </cell>
          <cell r="R284">
            <v>0</v>
          </cell>
          <cell r="S284">
            <v>0</v>
          </cell>
          <cell r="U284">
            <v>0</v>
          </cell>
          <cell r="V284" t="str">
            <v>PC</v>
          </cell>
        </row>
        <row r="285">
          <cell r="F285">
            <v>30040067</v>
          </cell>
          <cell r="G285" t="str">
            <v>SHAFT(PEDAL)No.3_6C620-4231-1-03_D35-USA</v>
          </cell>
          <cell r="H285" t="str">
            <v>KUBOTA D35 USA</v>
          </cell>
          <cell r="I285">
            <v>80</v>
          </cell>
          <cell r="J285">
            <v>20</v>
          </cell>
          <cell r="K285">
            <v>0.25</v>
          </cell>
          <cell r="L285">
            <v>45</v>
          </cell>
          <cell r="M285">
            <v>0.5625</v>
          </cell>
          <cell r="N285">
            <v>35</v>
          </cell>
          <cell r="O285">
            <v>0.4375</v>
          </cell>
          <cell r="P285">
            <v>5</v>
          </cell>
          <cell r="Q285">
            <v>6.25E-2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 t="str">
            <v>PC</v>
          </cell>
        </row>
        <row r="286">
          <cell r="F286" t="str">
            <v>30040077-1</v>
          </cell>
          <cell r="G286" t="str">
            <v>PILLA(CENTER)Assy6_6C620-5422-1-K6_D35US</v>
          </cell>
          <cell r="H286" t="str">
            <v>KUBOTA D35 USA</v>
          </cell>
          <cell r="I286">
            <v>9</v>
          </cell>
          <cell r="J286">
            <v>60</v>
          </cell>
          <cell r="K286">
            <v>6.666666666666667</v>
          </cell>
          <cell r="L286">
            <v>120</v>
          </cell>
          <cell r="M286">
            <v>13.333333333333334</v>
          </cell>
          <cell r="N286">
            <v>48</v>
          </cell>
          <cell r="O286">
            <v>5.333333333333333</v>
          </cell>
          <cell r="P286">
            <v>48</v>
          </cell>
          <cell r="Q286">
            <v>5.333333333333333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 t="str">
            <v>PC</v>
          </cell>
        </row>
        <row r="287">
          <cell r="F287" t="str">
            <v>30040077-2</v>
          </cell>
          <cell r="G287" t="str">
            <v>PILLA(CENTER)Assy6_6C620-5422-1-K6_D35US</v>
          </cell>
          <cell r="H287" t="str">
            <v>KUBOTA D35 USA</v>
          </cell>
          <cell r="I287">
            <v>13</v>
          </cell>
          <cell r="J287">
            <v>60</v>
          </cell>
          <cell r="K287">
            <v>4.615384615384615</v>
          </cell>
          <cell r="L287">
            <v>120</v>
          </cell>
          <cell r="M287">
            <v>9.2307692307692299</v>
          </cell>
          <cell r="N287">
            <v>48</v>
          </cell>
          <cell r="O287">
            <v>3.6923076923076925</v>
          </cell>
          <cell r="P287">
            <v>48</v>
          </cell>
          <cell r="Q287">
            <v>3.6923076923076925</v>
          </cell>
          <cell r="R287">
            <v>0</v>
          </cell>
          <cell r="S287">
            <v>0</v>
          </cell>
          <cell r="U287">
            <v>0</v>
          </cell>
          <cell r="V287" t="str">
            <v>PC</v>
          </cell>
        </row>
        <row r="288">
          <cell r="F288">
            <v>30040079</v>
          </cell>
          <cell r="G288" t="str">
            <v>PILLAR(CENTE)No.25_6C620-5422-1-25D53USA</v>
          </cell>
          <cell r="H288" t="str">
            <v>KUBOTA D35 USA</v>
          </cell>
          <cell r="I288">
            <v>124</v>
          </cell>
          <cell r="J288">
            <v>60</v>
          </cell>
          <cell r="K288">
            <v>0.4838709677419355</v>
          </cell>
          <cell r="L288">
            <v>120</v>
          </cell>
          <cell r="M288">
            <v>0.967741935483871</v>
          </cell>
          <cell r="N288">
            <v>48</v>
          </cell>
          <cell r="O288">
            <v>0.38709677419354838</v>
          </cell>
          <cell r="P288">
            <v>48</v>
          </cell>
          <cell r="Q288">
            <v>0.38709677419354838</v>
          </cell>
          <cell r="R288">
            <v>0</v>
          </cell>
          <cell r="S288">
            <v>0</v>
          </cell>
          <cell r="U288">
            <v>0</v>
          </cell>
          <cell r="V288" t="str">
            <v>PC</v>
          </cell>
        </row>
        <row r="289">
          <cell r="F289">
            <v>30040080</v>
          </cell>
          <cell r="G289" t="str">
            <v>PILLAR(CENTE)No.32_6C620-5422-1-32_D35US</v>
          </cell>
          <cell r="H289" t="str">
            <v>KUBOTA D35 USA</v>
          </cell>
          <cell r="I289">
            <v>51</v>
          </cell>
          <cell r="J289">
            <v>60</v>
          </cell>
          <cell r="K289">
            <v>1.1764705882352942</v>
          </cell>
          <cell r="L289">
            <v>120</v>
          </cell>
          <cell r="M289">
            <v>2.3529411764705883</v>
          </cell>
          <cell r="N289">
            <v>48</v>
          </cell>
          <cell r="O289">
            <v>0.94117647058823528</v>
          </cell>
          <cell r="P289">
            <v>48</v>
          </cell>
          <cell r="Q289">
            <v>0.94117647058823528</v>
          </cell>
          <cell r="R289">
            <v>0</v>
          </cell>
          <cell r="S289">
            <v>0</v>
          </cell>
          <cell r="U289">
            <v>0</v>
          </cell>
          <cell r="V289" t="str">
            <v>PC</v>
          </cell>
        </row>
        <row r="290">
          <cell r="F290">
            <v>30040081</v>
          </cell>
          <cell r="G290" t="str">
            <v>PILLAR(CENTE)No.33_6C620-5422-1-33D35USA</v>
          </cell>
          <cell r="H290" t="str">
            <v>KUBOTA D35 USA</v>
          </cell>
          <cell r="I290">
            <v>54</v>
          </cell>
          <cell r="J290">
            <v>60</v>
          </cell>
          <cell r="K290">
            <v>1.1111111111111112</v>
          </cell>
          <cell r="L290">
            <v>120</v>
          </cell>
          <cell r="M290">
            <v>2.2222222222222223</v>
          </cell>
          <cell r="N290">
            <v>48</v>
          </cell>
          <cell r="O290">
            <v>0.88888888888888884</v>
          </cell>
          <cell r="P290">
            <v>48</v>
          </cell>
          <cell r="Q290">
            <v>0.88888888888888884</v>
          </cell>
          <cell r="R290">
            <v>0</v>
          </cell>
          <cell r="S290">
            <v>0</v>
          </cell>
          <cell r="U290">
            <v>0</v>
          </cell>
          <cell r="V290" t="str">
            <v>PC</v>
          </cell>
        </row>
        <row r="291">
          <cell r="F291">
            <v>30040852</v>
          </cell>
          <cell r="G291" t="str">
            <v>SUPPORT (STEERING) NO.5 SUB ASSY (E52-B)</v>
          </cell>
          <cell r="H291" t="str">
            <v>KUBOTA E52-B</v>
          </cell>
          <cell r="I291" t="e">
            <v>#N/A</v>
          </cell>
          <cell r="J291">
            <v>0</v>
          </cell>
          <cell r="K291" t="e">
            <v>#N/A</v>
          </cell>
          <cell r="L291">
            <v>0</v>
          </cell>
          <cell r="M291" t="e">
            <v>#N/A</v>
          </cell>
          <cell r="N291">
            <v>0</v>
          </cell>
          <cell r="O291" t="e">
            <v>#N/A</v>
          </cell>
          <cell r="P291">
            <v>0</v>
          </cell>
          <cell r="Q291" t="e">
            <v>#N/A</v>
          </cell>
          <cell r="R291">
            <v>0</v>
          </cell>
          <cell r="S291" t="e">
            <v>#N/A</v>
          </cell>
          <cell r="T291">
            <v>0</v>
          </cell>
          <cell r="U291" t="e">
            <v>#N/A</v>
          </cell>
          <cell r="V291" t="str">
            <v>PC</v>
          </cell>
        </row>
        <row r="292">
          <cell r="F292" t="str">
            <v>30040853-1</v>
          </cell>
          <cell r="G292" t="str">
            <v>PILLAR CENTERAssy6_6C626-5422-1-K6_D35TH</v>
          </cell>
          <cell r="H292" t="str">
            <v>KUBOTA D35</v>
          </cell>
          <cell r="I292">
            <v>9</v>
          </cell>
          <cell r="J292">
            <v>300</v>
          </cell>
          <cell r="K292">
            <v>33.333333333333336</v>
          </cell>
          <cell r="L292">
            <v>187</v>
          </cell>
          <cell r="M292">
            <v>20.777777777777779</v>
          </cell>
          <cell r="N292">
            <v>319</v>
          </cell>
          <cell r="O292">
            <v>35.444444444444443</v>
          </cell>
          <cell r="P292">
            <v>327</v>
          </cell>
          <cell r="Q292">
            <v>36.333333333333336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 t="str">
            <v>PC</v>
          </cell>
        </row>
        <row r="293">
          <cell r="F293" t="str">
            <v>30040853-2</v>
          </cell>
          <cell r="G293" t="str">
            <v>PILLAR CENTERAssy6_6C626-5422-1-K6_D35TH</v>
          </cell>
          <cell r="H293" t="str">
            <v>KUBOTA D35</v>
          </cell>
          <cell r="I293">
            <v>13</v>
          </cell>
          <cell r="J293">
            <v>300</v>
          </cell>
          <cell r="K293">
            <v>23.076923076923077</v>
          </cell>
          <cell r="L293">
            <v>187</v>
          </cell>
          <cell r="M293">
            <v>14.384615384615385</v>
          </cell>
          <cell r="N293">
            <v>319</v>
          </cell>
          <cell r="O293">
            <v>24.53846153846154</v>
          </cell>
          <cell r="P293">
            <v>60</v>
          </cell>
          <cell r="Q293">
            <v>4.615384615384615</v>
          </cell>
          <cell r="R293">
            <v>0</v>
          </cell>
          <cell r="S293">
            <v>0</v>
          </cell>
          <cell r="U293">
            <v>0</v>
          </cell>
          <cell r="V293" t="str">
            <v>PC</v>
          </cell>
        </row>
        <row r="294">
          <cell r="F294">
            <v>30041065</v>
          </cell>
          <cell r="G294" t="str">
            <v>PILLAR(CENTE)No.14_6C620-5422-2-14_D35US</v>
          </cell>
          <cell r="H294" t="str">
            <v>KUBOTA D35 USA</v>
          </cell>
          <cell r="I294">
            <v>31</v>
          </cell>
          <cell r="J294">
            <v>60</v>
          </cell>
          <cell r="K294">
            <v>1.935483870967742</v>
          </cell>
          <cell r="L294">
            <v>120</v>
          </cell>
          <cell r="M294">
            <v>3.870967741935484</v>
          </cell>
          <cell r="N294">
            <v>48</v>
          </cell>
          <cell r="O294">
            <v>1.5483870967741935</v>
          </cell>
          <cell r="P294">
            <v>48</v>
          </cell>
          <cell r="Q294">
            <v>1.5483870967741935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 t="str">
            <v>PC</v>
          </cell>
        </row>
        <row r="295">
          <cell r="F295">
            <v>30041279</v>
          </cell>
          <cell r="G295" t="str">
            <v>PIPE CROSS, ASSY _52111-MLAA-A002-H1-01</v>
          </cell>
          <cell r="H295" t="str">
            <v>HONDA MLAA</v>
          </cell>
          <cell r="I295">
            <v>1</v>
          </cell>
          <cell r="J295">
            <v>1300</v>
          </cell>
          <cell r="K295">
            <v>1300</v>
          </cell>
          <cell r="L295">
            <v>1100</v>
          </cell>
          <cell r="M295">
            <v>1100</v>
          </cell>
          <cell r="N295">
            <v>700</v>
          </cell>
          <cell r="O295">
            <v>700</v>
          </cell>
          <cell r="P295">
            <v>700</v>
          </cell>
          <cell r="Q295">
            <v>700</v>
          </cell>
          <cell r="R295">
            <v>700</v>
          </cell>
          <cell r="S295">
            <v>700</v>
          </cell>
          <cell r="T295">
            <v>700</v>
          </cell>
          <cell r="U295">
            <v>700</v>
          </cell>
          <cell r="V295">
            <v>0</v>
          </cell>
        </row>
        <row r="296">
          <cell r="F296">
            <v>30041854</v>
          </cell>
          <cell r="G296" t="str">
            <v>SUPPORT(FENDER BRIGE)NO.1SUB ASSY_E65AB</v>
          </cell>
          <cell r="H296" t="str">
            <v>KUBOTA E65ABC</v>
          </cell>
          <cell r="I296">
            <v>1</v>
          </cell>
          <cell r="J296">
            <v>400</v>
          </cell>
          <cell r="K296">
            <v>400</v>
          </cell>
          <cell r="L296">
            <v>320</v>
          </cell>
          <cell r="M296">
            <v>320</v>
          </cell>
          <cell r="N296">
            <v>440</v>
          </cell>
          <cell r="O296">
            <v>440</v>
          </cell>
          <cell r="P296">
            <v>480</v>
          </cell>
          <cell r="Q296">
            <v>480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 t="str">
            <v>PC</v>
          </cell>
        </row>
        <row r="297">
          <cell r="F297">
            <v>30043418</v>
          </cell>
          <cell r="G297" t="str">
            <v>LINER (2ND. 1)</v>
          </cell>
          <cell r="H297" t="str">
            <v>5T124-6834 MO พิมพ์ใหม่</v>
          </cell>
          <cell r="I297">
            <v>3</v>
          </cell>
          <cell r="J297">
            <v>20</v>
          </cell>
          <cell r="K297">
            <v>6.666666666666667</v>
          </cell>
          <cell r="L297">
            <v>56</v>
          </cell>
          <cell r="M297">
            <v>18.666666666666668</v>
          </cell>
          <cell r="N297">
            <v>71</v>
          </cell>
          <cell r="O297">
            <v>23.666666666666668</v>
          </cell>
          <cell r="P297">
            <v>88</v>
          </cell>
          <cell r="Q297">
            <v>29.333333333333332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 t="str">
            <v>PC</v>
          </cell>
        </row>
        <row r="298">
          <cell r="F298">
            <v>30043419</v>
          </cell>
          <cell r="G298" t="str">
            <v>LINER (2ND. 2)</v>
          </cell>
          <cell r="H298" t="str">
            <v>5T124-6835 MO พิมพ์ใหม่</v>
          </cell>
          <cell r="I298">
            <v>2</v>
          </cell>
          <cell r="J298">
            <v>20</v>
          </cell>
          <cell r="K298">
            <v>10</v>
          </cell>
          <cell r="L298">
            <v>56</v>
          </cell>
          <cell r="M298">
            <v>28</v>
          </cell>
          <cell r="N298">
            <v>71</v>
          </cell>
          <cell r="O298">
            <v>35.5</v>
          </cell>
          <cell r="P298">
            <v>88</v>
          </cell>
          <cell r="Q298">
            <v>44</v>
          </cell>
          <cell r="R298">
            <v>0</v>
          </cell>
          <cell r="S298">
            <v>0</v>
          </cell>
          <cell r="U298">
            <v>0</v>
          </cell>
          <cell r="V298" t="str">
            <v>PC</v>
          </cell>
        </row>
        <row r="299">
          <cell r="F299">
            <v>30043420</v>
          </cell>
          <cell r="G299" t="e">
            <v>#N/A</v>
          </cell>
          <cell r="H299" t="e">
            <v>#N/A</v>
          </cell>
          <cell r="I299">
            <v>39</v>
          </cell>
          <cell r="J299">
            <v>20</v>
          </cell>
          <cell r="K299">
            <v>0.51282051282051277</v>
          </cell>
          <cell r="L299">
            <v>56</v>
          </cell>
          <cell r="M299">
            <v>1.4358974358974359</v>
          </cell>
          <cell r="N299">
            <v>71</v>
          </cell>
          <cell r="O299">
            <v>1.8205128205128205</v>
          </cell>
          <cell r="P299">
            <v>88</v>
          </cell>
          <cell r="Q299">
            <v>2.2564102564102564</v>
          </cell>
          <cell r="R299">
            <v>0</v>
          </cell>
          <cell r="S299">
            <v>0</v>
          </cell>
          <cell r="U299">
            <v>0</v>
          </cell>
        </row>
        <row r="300">
          <cell r="F300" t="str">
            <v>30043421-1</v>
          </cell>
          <cell r="G300" t="str">
            <v>BRACKET CASE (2ND)</v>
          </cell>
          <cell r="H300" t="str">
            <v>NO.6 SUB ASSY 5 DC-105X</v>
          </cell>
          <cell r="I300">
            <v>1</v>
          </cell>
          <cell r="J300">
            <v>20</v>
          </cell>
          <cell r="K300">
            <v>20</v>
          </cell>
          <cell r="L300">
            <v>56</v>
          </cell>
          <cell r="M300">
            <v>56</v>
          </cell>
          <cell r="N300">
            <v>71</v>
          </cell>
          <cell r="O300">
            <v>71</v>
          </cell>
          <cell r="P300">
            <v>88</v>
          </cell>
          <cell r="Q300">
            <v>88</v>
          </cell>
          <cell r="R300">
            <v>0</v>
          </cell>
          <cell r="S300">
            <v>0</v>
          </cell>
          <cell r="U300">
            <v>0</v>
          </cell>
          <cell r="V300" t="str">
            <v>PC</v>
          </cell>
        </row>
        <row r="301">
          <cell r="F301" t="str">
            <v>30043421-2</v>
          </cell>
          <cell r="G301" t="str">
            <v>BRACKET CASE (2ND) NO.</v>
          </cell>
          <cell r="H301" t="str">
            <v>5T124-6831-2-13</v>
          </cell>
          <cell r="I301">
            <v>22</v>
          </cell>
          <cell r="J301">
            <v>20</v>
          </cell>
          <cell r="K301">
            <v>0.90909090909090906</v>
          </cell>
          <cell r="L301">
            <v>56</v>
          </cell>
          <cell r="M301">
            <v>2.5454545454545454</v>
          </cell>
          <cell r="N301">
            <v>71</v>
          </cell>
          <cell r="O301">
            <v>3.2272727272727271</v>
          </cell>
          <cell r="P301">
            <v>88</v>
          </cell>
          <cell r="Q301">
            <v>4</v>
          </cell>
          <cell r="R301">
            <v>0</v>
          </cell>
          <cell r="S301">
            <v>0</v>
          </cell>
          <cell r="U301">
            <v>0</v>
          </cell>
          <cell r="V301" t="str">
            <v>PC</v>
          </cell>
        </row>
        <row r="302">
          <cell r="F302" t="str">
            <v>30044963-1</v>
          </cell>
          <cell r="G302" t="str">
            <v>SUPPORT FD LH SUB ASSY 2/TC620-2921-3-K2</v>
          </cell>
          <cell r="H302" t="str">
            <v>KUBOTA E50-B</v>
          </cell>
          <cell r="I302">
            <v>12</v>
          </cell>
          <cell r="J302">
            <v>1100</v>
          </cell>
          <cell r="K302">
            <v>91.666666666666671</v>
          </cell>
          <cell r="L302">
            <v>1064</v>
          </cell>
          <cell r="M302">
            <v>88.666666666666671</v>
          </cell>
          <cell r="N302">
            <v>906</v>
          </cell>
          <cell r="O302">
            <v>75.5</v>
          </cell>
          <cell r="P302">
            <v>822</v>
          </cell>
          <cell r="Q302">
            <v>68.5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</row>
        <row r="303">
          <cell r="F303" t="str">
            <v>30044963-2</v>
          </cell>
          <cell r="G303" t="str">
            <v>SUPPORT FD LH SUB ASSY 2/TC620-2921-3-K2</v>
          </cell>
          <cell r="H303" t="str">
            <v>KUBOTA E50-B</v>
          </cell>
          <cell r="I303">
            <v>8</v>
          </cell>
          <cell r="J303">
            <v>1100</v>
          </cell>
          <cell r="K303">
            <v>137.5</v>
          </cell>
          <cell r="L303">
            <v>1064</v>
          </cell>
          <cell r="M303">
            <v>133</v>
          </cell>
          <cell r="N303">
            <v>906</v>
          </cell>
          <cell r="O303">
            <v>113.25</v>
          </cell>
          <cell r="P303">
            <v>822</v>
          </cell>
          <cell r="Q303">
            <v>102.75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 t="str">
            <v>PC</v>
          </cell>
        </row>
        <row r="304">
          <cell r="F304" t="str">
            <v>30044963-3</v>
          </cell>
          <cell r="G304" t="str">
            <v>SUPPORT FD LH SUB ASSY 2/TC620-2921-3-K2</v>
          </cell>
          <cell r="H304" t="str">
            <v>KUBOTA E50-B</v>
          </cell>
          <cell r="I304">
            <v>33</v>
          </cell>
          <cell r="J304">
            <v>1100</v>
          </cell>
          <cell r="K304">
            <v>33.333333333333336</v>
          </cell>
          <cell r="L304">
            <v>1064</v>
          </cell>
          <cell r="M304">
            <v>32.242424242424242</v>
          </cell>
          <cell r="N304">
            <v>906</v>
          </cell>
          <cell r="O304">
            <v>27.454545454545453</v>
          </cell>
          <cell r="P304">
            <v>822</v>
          </cell>
          <cell r="Q304">
            <v>24.90909090909091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 t="str">
            <v>PC</v>
          </cell>
        </row>
        <row r="305">
          <cell r="F305" t="str">
            <v>30044964-1</v>
          </cell>
          <cell r="G305" t="str">
            <v>SUPPORT FD RH SUB ASSY 2/TC620-2922-3-K2</v>
          </cell>
          <cell r="H305" t="str">
            <v>KUBOTA E50-B</v>
          </cell>
          <cell r="I305">
            <v>12</v>
          </cell>
          <cell r="J305">
            <v>1100</v>
          </cell>
          <cell r="K305">
            <v>91.666666666666671</v>
          </cell>
          <cell r="L305">
            <v>1064</v>
          </cell>
          <cell r="M305">
            <v>88.666666666666671</v>
          </cell>
          <cell r="N305">
            <v>906</v>
          </cell>
          <cell r="O305">
            <v>75.5</v>
          </cell>
          <cell r="P305">
            <v>822</v>
          </cell>
          <cell r="Q305">
            <v>68.5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 t="str">
            <v>PC</v>
          </cell>
        </row>
        <row r="306">
          <cell r="F306" t="str">
            <v>30044964-2</v>
          </cell>
          <cell r="G306" t="str">
            <v>SUPPORT FD RH SUB ASSY 2/TC620-2922-3-K2</v>
          </cell>
          <cell r="H306" t="str">
            <v>KUBOTA E50-B</v>
          </cell>
          <cell r="I306">
            <v>8</v>
          </cell>
          <cell r="J306">
            <v>1100</v>
          </cell>
          <cell r="K306">
            <v>137.5</v>
          </cell>
          <cell r="L306">
            <v>1064</v>
          </cell>
          <cell r="M306">
            <v>133</v>
          </cell>
          <cell r="N306">
            <v>906</v>
          </cell>
          <cell r="O306">
            <v>113.25</v>
          </cell>
          <cell r="P306">
            <v>822</v>
          </cell>
          <cell r="Q306">
            <v>102.75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 t="str">
            <v>PC</v>
          </cell>
        </row>
        <row r="307">
          <cell r="F307">
            <v>30045885</v>
          </cell>
          <cell r="G307" t="str">
            <v>BRKT BTRY BOX 1</v>
          </cell>
          <cell r="H307" t="str">
            <v>BCS-F1393-00</v>
          </cell>
          <cell r="I307">
            <v>12</v>
          </cell>
          <cell r="J307">
            <v>240</v>
          </cell>
          <cell r="K307">
            <v>20</v>
          </cell>
          <cell r="L307">
            <v>180</v>
          </cell>
          <cell r="M307">
            <v>15</v>
          </cell>
          <cell r="N307">
            <v>210</v>
          </cell>
          <cell r="O307">
            <v>17.5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</row>
        <row r="308">
          <cell r="F308" t="str">
            <v>30045891-1</v>
          </cell>
          <cell r="G308" t="str">
            <v>BRKT BRTY BOX 2 (COMMON BB8)</v>
          </cell>
          <cell r="H308" t="str">
            <v>BCS-F1394-00 SUB ASSY (BB8-F1394-00)</v>
          </cell>
          <cell r="I308">
            <v>8</v>
          </cell>
          <cell r="J308">
            <v>240</v>
          </cell>
          <cell r="K308">
            <v>30</v>
          </cell>
          <cell r="L308">
            <v>180</v>
          </cell>
          <cell r="M308">
            <v>22.5</v>
          </cell>
          <cell r="N308">
            <v>210</v>
          </cell>
          <cell r="O308">
            <v>26.25</v>
          </cell>
          <cell r="P308">
            <v>0</v>
          </cell>
          <cell r="Q308">
            <v>0</v>
          </cell>
          <cell r="S308">
            <v>0</v>
          </cell>
          <cell r="U308">
            <v>0</v>
          </cell>
          <cell r="V308">
            <v>0</v>
          </cell>
        </row>
        <row r="309">
          <cell r="F309" t="str">
            <v>30045891-2</v>
          </cell>
          <cell r="G309" t="str">
            <v>BRKT BTRY BOX 3 (COMMON BB8)</v>
          </cell>
          <cell r="H309" t="str">
            <v>BB8-F1395-00</v>
          </cell>
          <cell r="I309">
            <v>17</v>
          </cell>
          <cell r="J309">
            <v>240</v>
          </cell>
          <cell r="K309">
            <v>14.117647058823529</v>
          </cell>
          <cell r="L309">
            <v>180</v>
          </cell>
          <cell r="M309">
            <v>10.588235294117647</v>
          </cell>
          <cell r="N309">
            <v>210</v>
          </cell>
          <cell r="O309">
            <v>12.352941176470589</v>
          </cell>
          <cell r="P309">
            <v>0</v>
          </cell>
          <cell r="Q309">
            <v>0</v>
          </cell>
          <cell r="S309">
            <v>0</v>
          </cell>
          <cell r="U309">
            <v>0</v>
          </cell>
          <cell r="V309">
            <v>0</v>
          </cell>
        </row>
        <row r="310">
          <cell r="F310" t="str">
            <v>30045891-3</v>
          </cell>
          <cell r="G310" t="str">
            <v>BRKT TANK FITTING</v>
          </cell>
          <cell r="H310" t="str">
            <v>2CM-F1347-00</v>
          </cell>
          <cell r="I310">
            <v>36</v>
          </cell>
          <cell r="J310">
            <v>240</v>
          </cell>
          <cell r="K310">
            <v>6.666666666666667</v>
          </cell>
          <cell r="L310">
            <v>180</v>
          </cell>
          <cell r="M310">
            <v>5</v>
          </cell>
          <cell r="N310">
            <v>210</v>
          </cell>
          <cell r="O310">
            <v>5.833333333333333</v>
          </cell>
          <cell r="P310">
            <v>0</v>
          </cell>
          <cell r="Q310">
            <v>0</v>
          </cell>
          <cell r="S310">
            <v>0</v>
          </cell>
          <cell r="U310">
            <v>0</v>
          </cell>
          <cell r="V310">
            <v>0</v>
          </cell>
        </row>
        <row r="311">
          <cell r="F311" t="str">
            <v>30045891-4</v>
          </cell>
          <cell r="G311" t="str">
            <v>BRKT SEAT</v>
          </cell>
          <cell r="H311" t="str">
            <v>2CM-F1349-00</v>
          </cell>
          <cell r="I311">
            <v>31</v>
          </cell>
          <cell r="J311">
            <v>240</v>
          </cell>
          <cell r="K311">
            <v>7.741935483870968</v>
          </cell>
          <cell r="L311">
            <v>180</v>
          </cell>
          <cell r="M311">
            <v>5.806451612903226</v>
          </cell>
          <cell r="N311">
            <v>210</v>
          </cell>
          <cell r="O311">
            <v>6.774193548387097</v>
          </cell>
          <cell r="P311">
            <v>0</v>
          </cell>
          <cell r="Q311">
            <v>0</v>
          </cell>
          <cell r="S311">
            <v>0</v>
          </cell>
          <cell r="U311">
            <v>0</v>
          </cell>
          <cell r="V311">
            <v>0</v>
          </cell>
        </row>
        <row r="312">
          <cell r="F312" t="str">
            <v>30045891-5</v>
          </cell>
          <cell r="G312" t="e">
            <v>#N/A</v>
          </cell>
          <cell r="H312" t="e">
            <v>#N/A</v>
          </cell>
          <cell r="I312" t="e">
            <v>#N/A</v>
          </cell>
          <cell r="J312">
            <v>240</v>
          </cell>
          <cell r="K312" t="e">
            <v>#N/A</v>
          </cell>
          <cell r="L312">
            <v>180</v>
          </cell>
          <cell r="M312" t="e">
            <v>#N/A</v>
          </cell>
          <cell r="N312">
            <v>210</v>
          </cell>
          <cell r="O312" t="e">
            <v>#N/A</v>
          </cell>
          <cell r="P312">
            <v>0</v>
          </cell>
          <cell r="Q312" t="e">
            <v>#N/A</v>
          </cell>
          <cell r="S312" t="e">
            <v>#N/A</v>
          </cell>
          <cell r="U312" t="e">
            <v>#N/A</v>
          </cell>
          <cell r="V312">
            <v>0</v>
          </cell>
        </row>
        <row r="313">
          <cell r="F313" t="str">
            <v>30045893-1</v>
          </cell>
          <cell r="G313" t="str">
            <v>BRKT 4 (COMMON BB8)</v>
          </cell>
          <cell r="H313" t="str">
            <v>BB8-F118V-00</v>
          </cell>
          <cell r="I313">
            <v>17</v>
          </cell>
          <cell r="J313">
            <v>240</v>
          </cell>
          <cell r="K313">
            <v>14.117647058823529</v>
          </cell>
          <cell r="L313">
            <v>180</v>
          </cell>
          <cell r="M313">
            <v>10.588235294117647</v>
          </cell>
          <cell r="N313">
            <v>210</v>
          </cell>
          <cell r="O313">
            <v>12.352941176470589</v>
          </cell>
          <cell r="P313">
            <v>0</v>
          </cell>
          <cell r="Q313">
            <v>0</v>
          </cell>
          <cell r="S313">
            <v>0</v>
          </cell>
          <cell r="U313">
            <v>0</v>
          </cell>
          <cell r="V313">
            <v>0</v>
          </cell>
        </row>
        <row r="314">
          <cell r="F314" t="str">
            <v>30045893-2</v>
          </cell>
          <cell r="G314" t="str">
            <v>BRKT RH (COMMON BB8)</v>
          </cell>
          <cell r="H314" t="str">
            <v>BB8-F119V-00</v>
          </cell>
          <cell r="I314">
            <v>40</v>
          </cell>
          <cell r="J314">
            <v>240</v>
          </cell>
          <cell r="K314">
            <v>6</v>
          </cell>
          <cell r="L314">
            <v>180</v>
          </cell>
          <cell r="M314">
            <v>4.5</v>
          </cell>
          <cell r="N314">
            <v>210</v>
          </cell>
          <cell r="O314">
            <v>5.25</v>
          </cell>
          <cell r="P314">
            <v>0</v>
          </cell>
          <cell r="Q314">
            <v>0</v>
          </cell>
          <cell r="S314">
            <v>0</v>
          </cell>
          <cell r="U314">
            <v>0</v>
          </cell>
          <cell r="V314">
            <v>0</v>
          </cell>
        </row>
        <row r="315">
          <cell r="F315" t="str">
            <v>30045894-1</v>
          </cell>
          <cell r="G315" t="str">
            <v>STAY REAR (COMMON BB8)</v>
          </cell>
          <cell r="H315" t="str">
            <v>BB8-F116F-00</v>
          </cell>
          <cell r="I315">
            <v>10</v>
          </cell>
          <cell r="J315">
            <v>240</v>
          </cell>
          <cell r="K315">
            <v>24</v>
          </cell>
          <cell r="L315">
            <v>180</v>
          </cell>
          <cell r="M315">
            <v>18</v>
          </cell>
          <cell r="N315">
            <v>210</v>
          </cell>
          <cell r="O315">
            <v>21</v>
          </cell>
          <cell r="P315">
            <v>0</v>
          </cell>
          <cell r="Q315">
            <v>0</v>
          </cell>
          <cell r="S315">
            <v>0</v>
          </cell>
          <cell r="U315">
            <v>0</v>
          </cell>
          <cell r="V315">
            <v>0</v>
          </cell>
        </row>
        <row r="316">
          <cell r="F316" t="str">
            <v>30045894-2</v>
          </cell>
          <cell r="G316" t="str">
            <v>STAY REAR (COMMON BB8)</v>
          </cell>
          <cell r="H316" t="str">
            <v>BB8-F116K-00</v>
          </cell>
          <cell r="I316">
            <v>7</v>
          </cell>
          <cell r="J316">
            <v>240</v>
          </cell>
          <cell r="K316">
            <v>34.285714285714285</v>
          </cell>
          <cell r="L316">
            <v>180</v>
          </cell>
          <cell r="M316">
            <v>25.714285714285715</v>
          </cell>
          <cell r="N316">
            <v>210</v>
          </cell>
          <cell r="O316">
            <v>30</v>
          </cell>
          <cell r="P316">
            <v>0</v>
          </cell>
          <cell r="Q316">
            <v>0</v>
          </cell>
          <cell r="S316">
            <v>0</v>
          </cell>
          <cell r="U316">
            <v>0</v>
          </cell>
          <cell r="V316">
            <v>0</v>
          </cell>
        </row>
        <row r="317">
          <cell r="F317" t="str">
            <v>30045892-1</v>
          </cell>
          <cell r="G317" t="str">
            <v>BRKT SEAT 1 (COMMON BB8)</v>
          </cell>
          <cell r="H317" t="str">
            <v>BB8-F118U-00</v>
          </cell>
          <cell r="I317">
            <v>17</v>
          </cell>
          <cell r="J317">
            <v>240</v>
          </cell>
          <cell r="K317">
            <v>14.117647058823529</v>
          </cell>
          <cell r="L317">
            <v>180</v>
          </cell>
          <cell r="M317">
            <v>10.588235294117647</v>
          </cell>
          <cell r="N317">
            <v>210</v>
          </cell>
          <cell r="O317">
            <v>12.352941176470589</v>
          </cell>
          <cell r="P317">
            <v>0</v>
          </cell>
          <cell r="Q317">
            <v>0</v>
          </cell>
          <cell r="S317">
            <v>0</v>
          </cell>
          <cell r="U317">
            <v>0</v>
          </cell>
          <cell r="V317">
            <v>0</v>
          </cell>
        </row>
        <row r="318">
          <cell r="F318" t="str">
            <v>30045892-2</v>
          </cell>
          <cell r="G318" t="str">
            <v>BRKT RH (COMMON BB8)</v>
          </cell>
          <cell r="H318" t="str">
            <v>BB8-F119V-00</v>
          </cell>
          <cell r="I318">
            <v>40</v>
          </cell>
          <cell r="J318">
            <v>240</v>
          </cell>
          <cell r="K318">
            <v>6</v>
          </cell>
          <cell r="L318">
            <v>180</v>
          </cell>
          <cell r="M318">
            <v>4.5</v>
          </cell>
          <cell r="N318">
            <v>210</v>
          </cell>
          <cell r="O318">
            <v>5.25</v>
          </cell>
          <cell r="P318">
            <v>0</v>
          </cell>
          <cell r="Q318">
            <v>0</v>
          </cell>
          <cell r="S318">
            <v>0</v>
          </cell>
          <cell r="U318">
            <v>0</v>
          </cell>
          <cell r="V318">
            <v>0</v>
          </cell>
        </row>
        <row r="319">
          <cell r="F319" t="str">
            <v>30045893-1</v>
          </cell>
          <cell r="G319" t="str">
            <v>BRKT 4 (COMMON BB8)</v>
          </cell>
          <cell r="H319" t="str">
            <v>BB8-F118V-00</v>
          </cell>
          <cell r="I319">
            <v>17</v>
          </cell>
          <cell r="J319">
            <v>240</v>
          </cell>
          <cell r="K319">
            <v>14.117647058823529</v>
          </cell>
          <cell r="L319">
            <v>180</v>
          </cell>
          <cell r="M319">
            <v>10.588235294117647</v>
          </cell>
          <cell r="N319">
            <v>210</v>
          </cell>
          <cell r="O319">
            <v>12.352941176470589</v>
          </cell>
          <cell r="P319">
            <v>0</v>
          </cell>
          <cell r="Q319">
            <v>0</v>
          </cell>
          <cell r="S319">
            <v>0</v>
          </cell>
          <cell r="U319">
            <v>0</v>
          </cell>
          <cell r="V319">
            <v>0</v>
          </cell>
        </row>
        <row r="320">
          <cell r="F320" t="str">
            <v>30045893-2</v>
          </cell>
          <cell r="G320" t="str">
            <v>BRKT RH (COMMON BB8)</v>
          </cell>
          <cell r="H320" t="str">
            <v>BB8-F119V-00</v>
          </cell>
          <cell r="I320">
            <v>40</v>
          </cell>
          <cell r="J320">
            <v>240</v>
          </cell>
          <cell r="K320">
            <v>6</v>
          </cell>
          <cell r="L320">
            <v>180</v>
          </cell>
          <cell r="M320">
            <v>4.5</v>
          </cell>
          <cell r="N320">
            <v>210</v>
          </cell>
          <cell r="O320">
            <v>5.25</v>
          </cell>
          <cell r="P320">
            <v>0</v>
          </cell>
          <cell r="Q320">
            <v>0</v>
          </cell>
          <cell r="S320">
            <v>0</v>
          </cell>
          <cell r="U320">
            <v>0</v>
          </cell>
          <cell r="V320">
            <v>0</v>
          </cell>
        </row>
        <row r="321">
          <cell r="F321" t="str">
            <v>30045893-3</v>
          </cell>
          <cell r="G321" t="e">
            <v>#N/A</v>
          </cell>
          <cell r="H321" t="e">
            <v>#N/A</v>
          </cell>
          <cell r="I321" t="e">
            <v>#N/A</v>
          </cell>
          <cell r="J321">
            <v>240</v>
          </cell>
          <cell r="K321" t="e">
            <v>#N/A</v>
          </cell>
          <cell r="L321">
            <v>180</v>
          </cell>
          <cell r="M321" t="e">
            <v>#N/A</v>
          </cell>
          <cell r="N321">
            <v>210</v>
          </cell>
          <cell r="O321" t="e">
            <v>#N/A</v>
          </cell>
          <cell r="P321">
            <v>0</v>
          </cell>
          <cell r="Q321" t="e">
            <v>#N/A</v>
          </cell>
          <cell r="S321" t="e">
            <v>#N/A</v>
          </cell>
          <cell r="U321" t="e">
            <v>#N/A</v>
          </cell>
          <cell r="V321">
            <v>0</v>
          </cell>
        </row>
        <row r="322">
          <cell r="F322">
            <v>30048218</v>
          </cell>
          <cell r="G322" t="str">
            <v xml:space="preserve">LEVER   CHANGE  </v>
          </cell>
          <cell r="H322" t="str">
            <v>13156-0699A</v>
          </cell>
          <cell r="I322">
            <v>44</v>
          </cell>
          <cell r="J322">
            <v>200</v>
          </cell>
          <cell r="K322">
            <v>4.5454545454545459</v>
          </cell>
          <cell r="L322">
            <v>0</v>
          </cell>
          <cell r="M322">
            <v>0</v>
          </cell>
          <cell r="N322">
            <v>5</v>
          </cell>
          <cell r="O322">
            <v>0.11363636363636363</v>
          </cell>
          <cell r="P322">
            <v>85</v>
          </cell>
          <cell r="Q322">
            <v>1.9318181818181819</v>
          </cell>
          <cell r="R322">
            <v>480</v>
          </cell>
          <cell r="S322">
            <v>10.909090909090908</v>
          </cell>
          <cell r="T322">
            <v>685</v>
          </cell>
          <cell r="U322">
            <v>15.568181818181818</v>
          </cell>
          <cell r="V322">
            <v>0</v>
          </cell>
        </row>
        <row r="323">
          <cell r="F323" t="str">
            <v>30052096-1</v>
          </cell>
          <cell r="G323" t="str">
            <v>BRKT 7</v>
          </cell>
          <cell r="H323" t="str">
            <v>BVX-F116J-00</v>
          </cell>
          <cell r="I323">
            <v>11</v>
          </cell>
          <cell r="J323">
            <v>240</v>
          </cell>
          <cell r="K323">
            <v>21.818181818181817</v>
          </cell>
          <cell r="L323">
            <v>180</v>
          </cell>
          <cell r="M323">
            <v>16.363636363636363</v>
          </cell>
          <cell r="N323">
            <v>210</v>
          </cell>
          <cell r="O323">
            <v>19.09090909090909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</row>
        <row r="324">
          <cell r="F324" t="str">
            <v>30052096-2</v>
          </cell>
          <cell r="G324" t="str">
            <v>BRKT 8</v>
          </cell>
          <cell r="H324" t="str">
            <v>BVX-F116K-00</v>
          </cell>
          <cell r="I324">
            <v>6</v>
          </cell>
          <cell r="J324">
            <v>240</v>
          </cell>
          <cell r="K324">
            <v>40</v>
          </cell>
          <cell r="L324">
            <v>180</v>
          </cell>
          <cell r="M324">
            <v>30</v>
          </cell>
          <cell r="N324">
            <v>210</v>
          </cell>
          <cell r="O324">
            <v>35</v>
          </cell>
          <cell r="P324">
            <v>0</v>
          </cell>
          <cell r="Q324">
            <v>0</v>
          </cell>
          <cell r="R324">
            <v>1</v>
          </cell>
          <cell r="S324">
            <v>0.16666666666666666</v>
          </cell>
          <cell r="T324">
            <v>1</v>
          </cell>
          <cell r="U324">
            <v>0.16666666666666666</v>
          </cell>
          <cell r="V324">
            <v>0</v>
          </cell>
        </row>
        <row r="325">
          <cell r="F325" t="str">
            <v>30051556-2</v>
          </cell>
          <cell r="G325" t="str">
            <v>PLATE B TREAD BAR</v>
          </cell>
          <cell r="H325" t="str">
            <v>50500-KSSX-J300-20</v>
          </cell>
          <cell r="I325">
            <v>64</v>
          </cell>
          <cell r="J325">
            <v>27600</v>
          </cell>
          <cell r="K325">
            <v>431.25</v>
          </cell>
          <cell r="L325">
            <v>31360</v>
          </cell>
          <cell r="M325">
            <v>490</v>
          </cell>
          <cell r="N325">
            <v>13440</v>
          </cell>
          <cell r="O325">
            <v>210</v>
          </cell>
          <cell r="P325">
            <v>8960</v>
          </cell>
          <cell r="Q325">
            <v>140</v>
          </cell>
          <cell r="R325">
            <v>2</v>
          </cell>
          <cell r="S325">
            <v>3.125E-2</v>
          </cell>
          <cell r="T325">
            <v>2</v>
          </cell>
          <cell r="U325">
            <v>3.125E-2</v>
          </cell>
          <cell r="V325">
            <v>0</v>
          </cell>
        </row>
        <row r="326">
          <cell r="F326" t="str">
            <v>30045050-1</v>
          </cell>
          <cell r="G326" t="str">
            <v>STAY FR SEAT MT</v>
          </cell>
          <cell r="H326">
            <v>0</v>
          </cell>
          <cell r="I326">
            <v>24</v>
          </cell>
          <cell r="J326">
            <v>475</v>
          </cell>
          <cell r="K326">
            <v>19.791666666666668</v>
          </cell>
          <cell r="L326">
            <v>420</v>
          </cell>
          <cell r="M326">
            <v>17.5</v>
          </cell>
          <cell r="N326">
            <v>338</v>
          </cell>
          <cell r="O326">
            <v>14.083333333333334</v>
          </cell>
          <cell r="P326">
            <v>273</v>
          </cell>
          <cell r="Q326">
            <v>11.375</v>
          </cell>
          <cell r="R326">
            <v>427</v>
          </cell>
          <cell r="S326">
            <v>17.791666666666668</v>
          </cell>
          <cell r="T326">
            <v>608</v>
          </cell>
          <cell r="U326">
            <v>25.333333333333332</v>
          </cell>
          <cell r="V326">
            <v>0</v>
          </cell>
        </row>
        <row r="327">
          <cell r="F327" t="str">
            <v>30046853-1</v>
          </cell>
          <cell r="G327" t="str">
            <v>STAY R (COVER BATTERY)</v>
          </cell>
          <cell r="H327" t="str">
            <v>50195-K0BA-T002-20</v>
          </cell>
          <cell r="I327">
            <v>33</v>
          </cell>
          <cell r="J327">
            <v>5740</v>
          </cell>
          <cell r="K327">
            <v>173.93939393939394</v>
          </cell>
          <cell r="L327">
            <v>5766</v>
          </cell>
          <cell r="M327">
            <v>174.72727272727272</v>
          </cell>
          <cell r="N327">
            <v>4770</v>
          </cell>
          <cell r="O327">
            <v>144.54545454545453</v>
          </cell>
          <cell r="P327">
            <v>4630</v>
          </cell>
          <cell r="Q327">
            <v>140.30303030303031</v>
          </cell>
          <cell r="R327">
            <v>4588</v>
          </cell>
          <cell r="S327">
            <v>139.03030303030303</v>
          </cell>
          <cell r="T327">
            <v>4330</v>
          </cell>
          <cell r="U327">
            <v>131.21212121212122</v>
          </cell>
          <cell r="V327">
            <v>0</v>
          </cell>
        </row>
        <row r="328">
          <cell r="F328" t="str">
            <v>30036276-1</v>
          </cell>
          <cell r="G328" t="str">
            <v>STAY L FR AIR/C</v>
          </cell>
          <cell r="H328" t="str">
            <v>50157-K0FA-T000-H1</v>
          </cell>
          <cell r="I328">
            <v>23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5</v>
          </cell>
          <cell r="S328">
            <v>0.21739130434782608</v>
          </cell>
          <cell r="T328">
            <v>5</v>
          </cell>
          <cell r="U328">
            <v>0.21739130434782608</v>
          </cell>
          <cell r="V328">
            <v>0</v>
          </cell>
        </row>
        <row r="329">
          <cell r="K329" t="e">
            <v>#DIV/0!</v>
          </cell>
          <cell r="M329" t="e">
            <v>#DIV/0!</v>
          </cell>
          <cell r="O329" t="e">
            <v>#DIV/0!</v>
          </cell>
          <cell r="Q329" t="e">
            <v>#DIV/0!</v>
          </cell>
          <cell r="S329" t="e">
            <v>#DIV/0!</v>
          </cell>
          <cell r="U329" t="e">
            <v>#DIV/0!</v>
          </cell>
        </row>
        <row r="330">
          <cell r="F330">
            <v>73000467</v>
          </cell>
          <cell r="G330" t="str">
            <v>BRKT 6 (4D0-F139H-00-00-1I)(4D01)</v>
          </cell>
          <cell r="H330" t="str">
            <v>4D0-F139H-00-00-1I</v>
          </cell>
          <cell r="I330">
            <v>45</v>
          </cell>
          <cell r="J330">
            <v>0</v>
          </cell>
          <cell r="K330">
            <v>0</v>
          </cell>
          <cell r="M330">
            <v>0</v>
          </cell>
          <cell r="O330">
            <v>0</v>
          </cell>
          <cell r="Q330">
            <v>0</v>
          </cell>
          <cell r="S330">
            <v>0</v>
          </cell>
          <cell r="U330">
            <v>0</v>
          </cell>
          <cell r="V330" t="str">
            <v>PC</v>
          </cell>
        </row>
        <row r="331">
          <cell r="F331">
            <v>73000413</v>
          </cell>
          <cell r="G331" t="str">
            <v>BRKT BOX 1 (2S5-F133A-00-00-1I)(2S51)</v>
          </cell>
          <cell r="H331" t="str">
            <v>2S5-F133A-00-00-1I</v>
          </cell>
          <cell r="I331">
            <v>28</v>
          </cell>
          <cell r="K331">
            <v>0</v>
          </cell>
          <cell r="L331">
            <v>0</v>
          </cell>
          <cell r="M331">
            <v>0</v>
          </cell>
          <cell r="O331">
            <v>0</v>
          </cell>
          <cell r="Q331">
            <v>0</v>
          </cell>
          <cell r="S331">
            <v>0</v>
          </cell>
          <cell r="U331">
            <v>0</v>
          </cell>
          <cell r="V331" t="str">
            <v>PC</v>
          </cell>
        </row>
        <row r="332">
          <cell r="F332">
            <v>73000414</v>
          </cell>
          <cell r="G332" t="str">
            <v>BRKT BOX 1 (2S5-F133A-00-00-1I)(2S51)</v>
          </cell>
          <cell r="H332" t="str">
            <v>2S5-F133A-00-00-1I</v>
          </cell>
          <cell r="I332">
            <v>35</v>
          </cell>
          <cell r="J332">
            <v>3000</v>
          </cell>
          <cell r="K332">
            <v>85.714285714285708</v>
          </cell>
          <cell r="L332">
            <v>2500</v>
          </cell>
          <cell r="M332">
            <v>71.428571428571431</v>
          </cell>
          <cell r="N332">
            <v>2400</v>
          </cell>
          <cell r="O332">
            <v>68.571428571428569</v>
          </cell>
          <cell r="P332">
            <v>2500</v>
          </cell>
          <cell r="Q332">
            <v>71.428571428571431</v>
          </cell>
          <cell r="S332">
            <v>0</v>
          </cell>
          <cell r="U332">
            <v>0</v>
          </cell>
          <cell r="V332" t="str">
            <v>PC</v>
          </cell>
        </row>
        <row r="333">
          <cell r="F333">
            <v>73000469</v>
          </cell>
          <cell r="G333" t="str">
            <v>BRKT BOX 1 (4D0-F133A-00-00-1I)(4D01)</v>
          </cell>
          <cell r="H333" t="str">
            <v>4D0-F133A-00-00-1I</v>
          </cell>
          <cell r="I333">
            <v>11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 t="str">
            <v>PC</v>
          </cell>
        </row>
        <row r="334">
          <cell r="F334">
            <v>73000470</v>
          </cell>
          <cell r="G334" t="str">
            <v>REINF SEAT RAIL (4D0-F1131-00-00-1I)4D01</v>
          </cell>
          <cell r="H334" t="str">
            <v>4D0-F1131-00-00-1I</v>
          </cell>
          <cell r="I334">
            <v>24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 t="str">
            <v>PC</v>
          </cell>
        </row>
        <row r="335">
          <cell r="F335">
            <v>73000480</v>
          </cell>
          <cell r="G335" t="str">
            <v>BRKT AIR CLEANER 1 (5YP-F1147-00)(5YP1)</v>
          </cell>
          <cell r="H335" t="str">
            <v>5YP-F1147-00</v>
          </cell>
          <cell r="I335">
            <v>40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 t="str">
            <v>PC</v>
          </cell>
        </row>
        <row r="336">
          <cell r="F336">
            <v>73000484</v>
          </cell>
          <cell r="G336" t="str">
            <v>BRKT AIR CLEANER 2 (5YP-F1148-00)(5YP1)</v>
          </cell>
          <cell r="H336" t="str">
            <v>5YP-F1148-00</v>
          </cell>
          <cell r="I336">
            <v>30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 t="str">
            <v>PC</v>
          </cell>
        </row>
        <row r="337">
          <cell r="F337">
            <v>73000498</v>
          </cell>
          <cell r="G337" t="str">
            <v xml:space="preserve">BRKT., STOP SWITCH </v>
          </cell>
          <cell r="H337" t="str">
            <v>5YP-F1441-00</v>
          </cell>
          <cell r="I337">
            <v>30</v>
          </cell>
          <cell r="J337">
            <v>1</v>
          </cell>
          <cell r="K337">
            <v>3.3333333333333333E-2</v>
          </cell>
          <cell r="L337">
            <v>1</v>
          </cell>
          <cell r="M337">
            <v>3.3333333333333333E-2</v>
          </cell>
          <cell r="N337">
            <v>1</v>
          </cell>
          <cell r="O337">
            <v>3.3333333333333333E-2</v>
          </cell>
          <cell r="P337">
            <v>1</v>
          </cell>
          <cell r="Q337">
            <v>3.3333333333333333E-2</v>
          </cell>
          <cell r="R337">
            <v>1</v>
          </cell>
          <cell r="S337">
            <v>3.3333333333333333E-2</v>
          </cell>
          <cell r="T337">
            <v>1</v>
          </cell>
          <cell r="U337">
            <v>3.3333333333333333E-2</v>
          </cell>
          <cell r="V337" t="str">
            <v>PC</v>
          </cell>
        </row>
        <row r="338">
          <cell r="F338">
            <v>73000501</v>
          </cell>
          <cell r="G338" t="str">
            <v>STAY ENGINE 6 (5YP-F1319-00-00-1I)(5YP1)</v>
          </cell>
          <cell r="H338" t="str">
            <v>5YP-F1319-00-00-1I</v>
          </cell>
          <cell r="I338">
            <v>30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</row>
        <row r="339">
          <cell r="F339">
            <v>73000509</v>
          </cell>
          <cell r="G339" t="str">
            <v>PLATE SPRKT SIDE (41211-KPPA-9010)(KPPA)</v>
          </cell>
          <cell r="H339" t="str">
            <v>41211-KPPA-9010</v>
          </cell>
          <cell r="I339">
            <v>6</v>
          </cell>
          <cell r="J339">
            <v>0</v>
          </cell>
          <cell r="K339">
            <v>0</v>
          </cell>
          <cell r="L339">
            <v>200</v>
          </cell>
          <cell r="M339">
            <v>33.333333333333336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S339">
            <v>0</v>
          </cell>
          <cell r="U339">
            <v>0</v>
          </cell>
          <cell r="V339" t="str">
            <v>PC</v>
          </cell>
        </row>
        <row r="340">
          <cell r="F340">
            <v>73000661</v>
          </cell>
          <cell r="G340" t="str">
            <v>BRKT LEG SHIELD (4C9-F1368-00-00-1I)</v>
          </cell>
          <cell r="H340" t="str">
            <v>4C9-F1368-00-00-1I</v>
          </cell>
          <cell r="I340">
            <v>55</v>
          </cell>
          <cell r="J340">
            <v>0</v>
          </cell>
          <cell r="K340">
            <v>0</v>
          </cell>
          <cell r="M340">
            <v>0</v>
          </cell>
          <cell r="O340">
            <v>0</v>
          </cell>
          <cell r="Q340">
            <v>0</v>
          </cell>
          <cell r="S340">
            <v>0</v>
          </cell>
          <cell r="U340">
            <v>0</v>
          </cell>
          <cell r="V340" t="str">
            <v>PC</v>
          </cell>
        </row>
        <row r="341">
          <cell r="F341">
            <v>73000682</v>
          </cell>
          <cell r="G341" t="str">
            <v>BRKT LEG SHIELD (4C9-F1368-00-00-1I)</v>
          </cell>
          <cell r="H341" t="str">
            <v>4C9-F1368-00-00-1I</v>
          </cell>
          <cell r="I341">
            <v>28</v>
          </cell>
          <cell r="J341">
            <v>1</v>
          </cell>
          <cell r="K341">
            <v>3.5714285714285712E-2</v>
          </cell>
          <cell r="M341">
            <v>0</v>
          </cell>
          <cell r="O341">
            <v>0</v>
          </cell>
          <cell r="Q341">
            <v>0</v>
          </cell>
          <cell r="S341">
            <v>0</v>
          </cell>
          <cell r="U341">
            <v>0</v>
          </cell>
          <cell r="V341" t="str">
            <v>PC</v>
          </cell>
        </row>
        <row r="342">
          <cell r="F342">
            <v>73001076</v>
          </cell>
          <cell r="G342" t="str">
            <v>GUSSET COMP MAIN PIPE UPPER(KVBM)</v>
          </cell>
          <cell r="H342" t="str">
            <v>5010C-KVB-T000</v>
          </cell>
          <cell r="I342">
            <v>16</v>
          </cell>
          <cell r="J342">
            <v>0</v>
          </cell>
          <cell r="K342">
            <v>0</v>
          </cell>
          <cell r="M342">
            <v>0</v>
          </cell>
          <cell r="O342">
            <v>0</v>
          </cell>
          <cell r="Q342">
            <v>0</v>
          </cell>
          <cell r="S342">
            <v>0</v>
          </cell>
          <cell r="U342">
            <v>0</v>
          </cell>
          <cell r="V342" t="str">
            <v>PC</v>
          </cell>
        </row>
        <row r="343">
          <cell r="F343">
            <v>73001806</v>
          </cell>
          <cell r="G343" t="str">
            <v>BRKT 5 (4D0-F139G-00-00-80)(4D01)</v>
          </cell>
          <cell r="H343" t="str">
            <v>4D0-F139G-00-00-80</v>
          </cell>
          <cell r="I343">
            <v>52</v>
          </cell>
          <cell r="J343">
            <v>0</v>
          </cell>
          <cell r="K343">
            <v>0</v>
          </cell>
          <cell r="M343">
            <v>0</v>
          </cell>
          <cell r="O343">
            <v>0</v>
          </cell>
          <cell r="Q343">
            <v>0</v>
          </cell>
          <cell r="S343">
            <v>0</v>
          </cell>
          <cell r="U343">
            <v>0</v>
          </cell>
          <cell r="V343" t="str">
            <v>PC</v>
          </cell>
        </row>
        <row r="344">
          <cell r="F344" t="str">
            <v>73001943-1</v>
          </cell>
          <cell r="G344" t="str">
            <v>LEVER (13168-1728 2K)(LX250H)</v>
          </cell>
          <cell r="H344" t="str">
            <v>13168-1728 2K</v>
          </cell>
          <cell r="I344">
            <v>50</v>
          </cell>
          <cell r="J344">
            <v>450</v>
          </cell>
          <cell r="K344">
            <v>9</v>
          </cell>
          <cell r="L344">
            <v>420</v>
          </cell>
          <cell r="M344">
            <v>8.4</v>
          </cell>
          <cell r="N344">
            <v>390</v>
          </cell>
          <cell r="O344">
            <v>7.8</v>
          </cell>
          <cell r="P344">
            <v>420</v>
          </cell>
          <cell r="Q344">
            <v>8.4</v>
          </cell>
          <cell r="R344">
            <v>750</v>
          </cell>
          <cell r="S344">
            <v>15</v>
          </cell>
          <cell r="T344">
            <v>2040</v>
          </cell>
          <cell r="U344">
            <v>40.799999999999997</v>
          </cell>
          <cell r="V344" t="str">
            <v>PC</v>
          </cell>
        </row>
        <row r="345">
          <cell r="F345" t="str">
            <v>73001943-2</v>
          </cell>
          <cell r="G345" t="str">
            <v>LEVER (13168-1728 2K)(LX250H)</v>
          </cell>
          <cell r="H345" t="str">
            <v>13168-1728 2K</v>
          </cell>
          <cell r="I345">
            <v>45</v>
          </cell>
          <cell r="J345">
            <v>450</v>
          </cell>
          <cell r="K345">
            <v>10</v>
          </cell>
          <cell r="L345">
            <v>420</v>
          </cell>
          <cell r="M345">
            <v>9.3333333333333339</v>
          </cell>
          <cell r="N345">
            <v>390</v>
          </cell>
          <cell r="O345">
            <v>8.6666666666666661</v>
          </cell>
          <cell r="P345">
            <v>420</v>
          </cell>
          <cell r="Q345">
            <v>9.3333333333333339</v>
          </cell>
          <cell r="R345">
            <v>750</v>
          </cell>
          <cell r="S345">
            <v>16.666666666666668</v>
          </cell>
          <cell r="T345">
            <v>2040</v>
          </cell>
          <cell r="U345">
            <v>45.333333333333336</v>
          </cell>
          <cell r="V345" t="str">
            <v>PC</v>
          </cell>
        </row>
        <row r="346">
          <cell r="F346" t="str">
            <v>73001952-1</v>
          </cell>
          <cell r="G346" t="str">
            <v>BRACKET ENGINE (32190-1247 1A)(LX110A,B)</v>
          </cell>
          <cell r="H346" t="str">
            <v>32190-1247 1A</v>
          </cell>
          <cell r="I346">
            <v>8</v>
          </cell>
          <cell r="J346">
            <v>1150</v>
          </cell>
          <cell r="K346">
            <v>143.75</v>
          </cell>
          <cell r="L346">
            <v>1600</v>
          </cell>
          <cell r="M346">
            <v>200</v>
          </cell>
          <cell r="N346">
            <v>1350</v>
          </cell>
          <cell r="O346">
            <v>168.75</v>
          </cell>
          <cell r="P346">
            <v>1400</v>
          </cell>
          <cell r="Q346">
            <v>175</v>
          </cell>
          <cell r="R346">
            <v>650</v>
          </cell>
          <cell r="S346">
            <v>81.25</v>
          </cell>
          <cell r="T346">
            <v>1000</v>
          </cell>
          <cell r="U346">
            <v>125</v>
          </cell>
          <cell r="V346" t="str">
            <v>PC</v>
          </cell>
        </row>
        <row r="347">
          <cell r="F347" t="str">
            <v>73001952-2</v>
          </cell>
          <cell r="G347" t="str">
            <v>BRACKET ENGINE (32190-1247 1A)(LX110A,B)</v>
          </cell>
          <cell r="H347" t="str">
            <v>32190-1247 1A</v>
          </cell>
          <cell r="I347">
            <v>22</v>
          </cell>
          <cell r="J347">
            <v>1150</v>
          </cell>
          <cell r="K347">
            <v>52.272727272727273</v>
          </cell>
          <cell r="L347">
            <v>1600</v>
          </cell>
          <cell r="M347">
            <v>72.727272727272734</v>
          </cell>
          <cell r="N347">
            <v>1350</v>
          </cell>
          <cell r="O347">
            <v>61.363636363636367</v>
          </cell>
          <cell r="P347">
            <v>1400</v>
          </cell>
          <cell r="Q347">
            <v>63.636363636363633</v>
          </cell>
          <cell r="R347">
            <v>650</v>
          </cell>
          <cell r="S347">
            <v>29.545454545454547</v>
          </cell>
          <cell r="T347">
            <v>1000</v>
          </cell>
          <cell r="U347">
            <v>45.454545454545453</v>
          </cell>
          <cell r="V347" t="str">
            <v>PC</v>
          </cell>
        </row>
        <row r="348">
          <cell r="F348" t="str">
            <v>73001952-3</v>
          </cell>
          <cell r="G348" t="str">
            <v>BRACKET ENGINE (32190-1247 1A)(LX110A,B)</v>
          </cell>
          <cell r="H348" t="str">
            <v>32190-1247 1A</v>
          </cell>
          <cell r="I348">
            <v>24</v>
          </cell>
          <cell r="J348">
            <v>1150</v>
          </cell>
          <cell r="K348">
            <v>47.916666666666664</v>
          </cell>
          <cell r="L348">
            <v>1600</v>
          </cell>
          <cell r="M348">
            <v>66.666666666666671</v>
          </cell>
          <cell r="N348">
            <v>1350</v>
          </cell>
          <cell r="O348">
            <v>56.25</v>
          </cell>
          <cell r="P348">
            <v>1400</v>
          </cell>
          <cell r="Q348">
            <v>58.333333333333336</v>
          </cell>
          <cell r="R348">
            <v>650</v>
          </cell>
          <cell r="S348">
            <v>27.083333333333332</v>
          </cell>
          <cell r="T348">
            <v>1000</v>
          </cell>
          <cell r="U348">
            <v>41.666666666666664</v>
          </cell>
          <cell r="V348" t="str">
            <v>PC</v>
          </cell>
        </row>
        <row r="349">
          <cell r="F349">
            <v>73002185</v>
          </cell>
          <cell r="G349" t="str">
            <v>PLATE A CROSS (50124-KYJ-9000-H1)(KYJA)</v>
          </cell>
          <cell r="H349" t="str">
            <v>50124-KYJ-9000-H1</v>
          </cell>
          <cell r="I349">
            <v>20</v>
          </cell>
          <cell r="K349">
            <v>0</v>
          </cell>
          <cell r="V349" t="str">
            <v>PC</v>
          </cell>
        </row>
        <row r="350">
          <cell r="F350">
            <v>73003783</v>
          </cell>
          <cell r="G350" t="str">
            <v>BRKT RR FENDER 2 (5YP-F1262-00-00)(5YP1)</v>
          </cell>
          <cell r="H350" t="str">
            <v>5YP-F1262-00-00-80</v>
          </cell>
          <cell r="I350">
            <v>43</v>
          </cell>
          <cell r="K350">
            <v>0</v>
          </cell>
          <cell r="L350">
            <v>0</v>
          </cell>
          <cell r="V350" t="str">
            <v>PC</v>
          </cell>
        </row>
        <row r="351">
          <cell r="F351">
            <v>73003786</v>
          </cell>
          <cell r="G351" t="str">
            <v>BRKT TANK FITTING(5YP-F1348-00-00)(5YP1)</v>
          </cell>
          <cell r="H351" t="str">
            <v>5YP-F1348-00-00-80</v>
          </cell>
          <cell r="I351">
            <v>16</v>
          </cell>
          <cell r="K351">
            <v>0</v>
          </cell>
          <cell r="L351">
            <v>0</v>
          </cell>
          <cell r="V351" t="str">
            <v>PC</v>
          </cell>
        </row>
        <row r="352">
          <cell r="F352">
            <v>73003795</v>
          </cell>
          <cell r="G352" t="str">
            <v>BRKT FR FENDER(5YP-F1261-00-00-80)(5YP1)</v>
          </cell>
          <cell r="H352" t="str">
            <v>5YP-F1261-00-00-80</v>
          </cell>
          <cell r="I352">
            <v>43</v>
          </cell>
          <cell r="K352">
            <v>0</v>
          </cell>
          <cell r="L352">
            <v>0</v>
          </cell>
          <cell r="V352" t="str">
            <v>PC</v>
          </cell>
        </row>
        <row r="353">
          <cell r="F353">
            <v>73003816</v>
          </cell>
          <cell r="G353" t="str">
            <v>BRKT RADIATOR 1(5YP-F142K-00-00)(5YP1)</v>
          </cell>
          <cell r="H353" t="str">
            <v>5YP-F142K-00-00-80</v>
          </cell>
          <cell r="I353">
            <v>29</v>
          </cell>
          <cell r="K353">
            <v>0</v>
          </cell>
          <cell r="L353">
            <v>0</v>
          </cell>
          <cell r="V353" t="str">
            <v>PC</v>
          </cell>
        </row>
        <row r="354">
          <cell r="F354" t="str">
            <v>73013139-1</v>
          </cell>
          <cell r="G354" t="str">
            <v>BRKT, HORN (2CM-F1343-10)(2CM4)</v>
          </cell>
          <cell r="H354" t="str">
            <v>2CM-F1343-10</v>
          </cell>
          <cell r="I354">
            <v>36</v>
          </cell>
          <cell r="K354">
            <v>0</v>
          </cell>
          <cell r="V354" t="str">
            <v>PC</v>
          </cell>
        </row>
        <row r="355">
          <cell r="F355" t="str">
            <v>73013139-2</v>
          </cell>
          <cell r="G355" t="str">
            <v>BRKT, HORN (2CM-F1343-10)(2CM4)</v>
          </cell>
          <cell r="H355" t="str">
            <v>2CM-F1343-10</v>
          </cell>
          <cell r="I355">
            <v>19</v>
          </cell>
          <cell r="K355">
            <v>0</v>
          </cell>
          <cell r="V355" t="str">
            <v>PC</v>
          </cell>
        </row>
        <row r="356">
          <cell r="F356" t="str">
            <v>73013139-3</v>
          </cell>
          <cell r="G356" t="str">
            <v>BRKT, HORN (2CM-F1343-10)(2CM4)</v>
          </cell>
          <cell r="H356" t="str">
            <v>2CM-F1343-10</v>
          </cell>
          <cell r="I356">
            <v>29</v>
          </cell>
          <cell r="K356">
            <v>0</v>
          </cell>
          <cell r="V356" t="str">
            <v>PC</v>
          </cell>
        </row>
        <row r="357">
          <cell r="F357">
            <v>73013984</v>
          </cell>
          <cell r="G357" t="str">
            <v>BRKT., FOOTREST (BB9-F1447-00)(BB91)</v>
          </cell>
          <cell r="H357" t="str">
            <v>BB9-F1447-00-00-80</v>
          </cell>
          <cell r="I357">
            <v>18</v>
          </cell>
          <cell r="J357">
            <v>0</v>
          </cell>
          <cell r="K357">
            <v>0</v>
          </cell>
          <cell r="L357">
            <v>0</v>
          </cell>
          <cell r="N357">
            <v>0</v>
          </cell>
          <cell r="P357">
            <v>0</v>
          </cell>
          <cell r="R357">
            <v>0</v>
          </cell>
          <cell r="T357">
            <v>0</v>
          </cell>
          <cell r="V357" t="str">
            <v>PC</v>
          </cell>
        </row>
        <row r="358">
          <cell r="F358">
            <v>73013985</v>
          </cell>
          <cell r="G358" t="str">
            <v>BRKT., FOOTREST 2 (BB9-F1448-00)(BB91)</v>
          </cell>
          <cell r="H358" t="str">
            <v>BB9-F1448-00-00-80</v>
          </cell>
          <cell r="I358">
            <v>18</v>
          </cell>
          <cell r="J358">
            <v>0</v>
          </cell>
          <cell r="K358">
            <v>0</v>
          </cell>
          <cell r="L358">
            <v>0</v>
          </cell>
          <cell r="N358">
            <v>0</v>
          </cell>
          <cell r="R358">
            <v>0</v>
          </cell>
          <cell r="V358" t="str">
            <v>PC</v>
          </cell>
        </row>
        <row r="359">
          <cell r="F359" t="str">
            <v>73014699-1</v>
          </cell>
          <cell r="G359" t="str">
            <v>STAY , REAR (BB8-F116F-00-00-80)(BB81)</v>
          </cell>
          <cell r="H359" t="str">
            <v>BB8-F116F-00-00-80</v>
          </cell>
          <cell r="I359">
            <v>10</v>
          </cell>
          <cell r="J359" t="str">
            <v>-</v>
          </cell>
          <cell r="K359" t="e">
            <v>#VALUE!</v>
          </cell>
          <cell r="L359">
            <v>0</v>
          </cell>
          <cell r="N359">
            <v>0</v>
          </cell>
          <cell r="P359">
            <v>0</v>
          </cell>
          <cell r="R359">
            <v>0</v>
          </cell>
          <cell r="T359">
            <v>0</v>
          </cell>
          <cell r="V359" t="str">
            <v>PC</v>
          </cell>
        </row>
        <row r="360">
          <cell r="F360" t="str">
            <v>73014699-2</v>
          </cell>
          <cell r="G360" t="str">
            <v>STAY , REAR (BB8-F116F-00-00-80)(BB81)</v>
          </cell>
          <cell r="H360" t="str">
            <v>BB8-F116F-00-00-80</v>
          </cell>
          <cell r="I360">
            <v>7</v>
          </cell>
          <cell r="K360">
            <v>0</v>
          </cell>
          <cell r="V360" t="str">
            <v>PC</v>
          </cell>
        </row>
        <row r="361">
          <cell r="F361" t="str">
            <v>73014700-1</v>
          </cell>
          <cell r="G361" t="str">
            <v>BRKT., SEAT 1 (BB8-F1341-00-00-80)(BB81)</v>
          </cell>
          <cell r="H361" t="str">
            <v>BB8-F1341-00-00-80</v>
          </cell>
          <cell r="I361">
            <v>17</v>
          </cell>
          <cell r="K361">
            <v>0</v>
          </cell>
          <cell r="V361" t="str">
            <v>PC</v>
          </cell>
        </row>
        <row r="362">
          <cell r="F362" t="str">
            <v>73014700-2</v>
          </cell>
          <cell r="G362" t="str">
            <v>BRKT., SEAT 1 (BB8-F1341-00-00-80)(BB81)</v>
          </cell>
          <cell r="H362" t="str">
            <v>BB8-F1341-00-00-80</v>
          </cell>
          <cell r="I362">
            <v>40</v>
          </cell>
          <cell r="K362">
            <v>0</v>
          </cell>
          <cell r="V362" t="str">
            <v>PC</v>
          </cell>
        </row>
        <row r="363">
          <cell r="F363" t="str">
            <v>73014701-1</v>
          </cell>
          <cell r="G363" t="str">
            <v>BRKT.,SEAT 2 SUB ASSY (BB8-XF13H-00)BB81</v>
          </cell>
          <cell r="H363" t="str">
            <v>BB8-XF13H-00-00-80</v>
          </cell>
          <cell r="I363">
            <v>17</v>
          </cell>
          <cell r="K363">
            <v>0</v>
          </cell>
          <cell r="V363" t="str">
            <v>PC</v>
          </cell>
        </row>
        <row r="364">
          <cell r="F364" t="str">
            <v>73014701-2</v>
          </cell>
          <cell r="G364" t="str">
            <v>BRKT.,SEAT 2 SUB ASSY (BB8-XF13H-00)BB81</v>
          </cell>
          <cell r="H364" t="str">
            <v>BB8-XF13H-00-00-80</v>
          </cell>
          <cell r="I364">
            <v>40</v>
          </cell>
          <cell r="K364">
            <v>0</v>
          </cell>
          <cell r="V364" t="str">
            <v>PC</v>
          </cell>
        </row>
        <row r="365">
          <cell r="F365" t="str">
            <v>73014701-3</v>
          </cell>
          <cell r="G365" t="str">
            <v>BRKT.,SEAT 2 SUB ASSY (BB8-XF13H-00)BB81</v>
          </cell>
          <cell r="H365" t="str">
            <v>BB8-XF13H-00-00-80</v>
          </cell>
          <cell r="I365">
            <v>58</v>
          </cell>
          <cell r="K365">
            <v>0</v>
          </cell>
          <cell r="V365" t="str">
            <v>PC</v>
          </cell>
        </row>
        <row r="366">
          <cell r="F366">
            <v>73014736</v>
          </cell>
          <cell r="G366" t="str">
            <v>GUIDE WIRE 1 (BB9-F6131-00-C)(BB91)</v>
          </cell>
          <cell r="H366" t="str">
            <v>BB9-F6131-00-C</v>
          </cell>
          <cell r="K366" t="e">
            <v>#DIV/0!</v>
          </cell>
          <cell r="V366" t="str">
            <v>PC</v>
          </cell>
        </row>
        <row r="367">
          <cell r="F367">
            <v>73015935</v>
          </cell>
          <cell r="G367" t="str">
            <v>HOLDER,WIRE 1 (BB8-F1597-00)(BB81)</v>
          </cell>
          <cell r="H367" t="str">
            <v>BB8-F1597-00-00-80</v>
          </cell>
          <cell r="K367" t="e">
            <v>#DIV/0!</v>
          </cell>
          <cell r="V367" t="str">
            <v>PC</v>
          </cell>
        </row>
        <row r="368">
          <cell r="F368">
            <v>73016131</v>
          </cell>
          <cell r="G368" t="str">
            <v>CROSS TUBE  UPPER (2071163/2)(DS1)</v>
          </cell>
          <cell r="H368" t="str">
            <v>2071163/2</v>
          </cell>
          <cell r="I368">
            <v>1</v>
          </cell>
          <cell r="J368">
            <v>100</v>
          </cell>
          <cell r="K368">
            <v>100</v>
          </cell>
          <cell r="L368">
            <v>100</v>
          </cell>
          <cell r="M368">
            <v>1</v>
          </cell>
          <cell r="N368">
            <v>0</v>
          </cell>
          <cell r="O368">
            <v>0</v>
          </cell>
          <cell r="P368">
            <v>0</v>
          </cell>
          <cell r="Q368" t="e">
            <v>#DIV/0!</v>
          </cell>
          <cell r="R368">
            <v>0</v>
          </cell>
          <cell r="S368" t="e">
            <v>#DIV/0!</v>
          </cell>
          <cell r="T368">
            <v>0</v>
          </cell>
          <cell r="V368" t="str">
            <v>PC</v>
          </cell>
        </row>
        <row r="369">
          <cell r="F369" t="str">
            <v>73016237-1</v>
          </cell>
          <cell r="G369" t="str">
            <v>STAY (6C626-9165-2)(D35-IND)</v>
          </cell>
          <cell r="H369" t="str">
            <v>6C626-9165-2</v>
          </cell>
          <cell r="I369">
            <v>65</v>
          </cell>
          <cell r="K369">
            <v>0</v>
          </cell>
          <cell r="V369" t="str">
            <v>PC</v>
          </cell>
        </row>
        <row r="370">
          <cell r="F370" t="str">
            <v>73016237-2</v>
          </cell>
          <cell r="G370" t="str">
            <v>STAY (6C626-9165-2)(D35-IND)</v>
          </cell>
          <cell r="H370" t="str">
            <v>6C626-9165-2</v>
          </cell>
          <cell r="I370">
            <v>42</v>
          </cell>
          <cell r="K370">
            <v>0</v>
          </cell>
          <cell r="V370" t="str">
            <v>PC</v>
          </cell>
        </row>
        <row r="371">
          <cell r="F371" t="str">
            <v>73016237-3</v>
          </cell>
          <cell r="G371" t="str">
            <v>STAY (6C626-9165-2)(D35-IND)</v>
          </cell>
          <cell r="H371" t="str">
            <v>6C626-9165-2</v>
          </cell>
          <cell r="I371">
            <v>42</v>
          </cell>
          <cell r="K371">
            <v>0</v>
          </cell>
          <cell r="V371" t="str">
            <v>PC</v>
          </cell>
        </row>
        <row r="372">
          <cell r="F372" t="str">
            <v>73016237-4</v>
          </cell>
          <cell r="G372" t="str">
            <v>STAY (6C626-9165-2)(D35-IND)</v>
          </cell>
          <cell r="H372" t="str">
            <v>6C626-9165-2</v>
          </cell>
          <cell r="I372">
            <v>65</v>
          </cell>
          <cell r="K372">
            <v>0</v>
          </cell>
          <cell r="V372" t="str">
            <v>PC</v>
          </cell>
        </row>
        <row r="373">
          <cell r="F373" t="str">
            <v>73016237-5</v>
          </cell>
          <cell r="G373" t="str">
            <v>STAY (6C626-9165-2)(D35-IND)</v>
          </cell>
          <cell r="H373" t="str">
            <v>6C626-9165-2</v>
          </cell>
          <cell r="I373">
            <v>42</v>
          </cell>
          <cell r="K373">
            <v>0</v>
          </cell>
          <cell r="V373" t="str">
            <v>PC</v>
          </cell>
        </row>
        <row r="374">
          <cell r="F374" t="str">
            <v>73016237-6</v>
          </cell>
          <cell r="G374" t="str">
            <v>STAY (6C626-9165-2)(D35-IND)</v>
          </cell>
          <cell r="H374" t="str">
            <v>6C626-9165-2</v>
          </cell>
          <cell r="I374">
            <v>29</v>
          </cell>
          <cell r="K374">
            <v>0</v>
          </cell>
          <cell r="V374" t="str">
            <v>PC</v>
          </cell>
        </row>
        <row r="375">
          <cell r="F375">
            <v>73017110</v>
          </cell>
          <cell r="G375" t="str">
            <v>BRACKET, REAR MUDGUARD_2072776/1_CG7</v>
          </cell>
          <cell r="H375" t="str">
            <v>2072776/1</v>
          </cell>
          <cell r="I375">
            <v>69</v>
          </cell>
          <cell r="J375">
            <v>0</v>
          </cell>
          <cell r="K375">
            <v>0</v>
          </cell>
          <cell r="L375">
            <v>0</v>
          </cell>
          <cell r="N375">
            <v>0</v>
          </cell>
          <cell r="P375">
            <v>0</v>
          </cell>
          <cell r="R375">
            <v>0</v>
          </cell>
          <cell r="T375">
            <v>0</v>
          </cell>
          <cell r="V375" t="str">
            <v>PC</v>
          </cell>
        </row>
        <row r="376">
          <cell r="F376">
            <v>73017111</v>
          </cell>
          <cell r="G376" t="str">
            <v>BRKT.,EXPANSION TANK,FRONT_2072777/1_CG7</v>
          </cell>
          <cell r="H376" t="str">
            <v>2072777/1</v>
          </cell>
          <cell r="I376">
            <v>40</v>
          </cell>
          <cell r="J376">
            <v>400</v>
          </cell>
          <cell r="K376">
            <v>10</v>
          </cell>
          <cell r="L376">
            <v>200</v>
          </cell>
          <cell r="M376">
            <v>5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T376">
            <v>0</v>
          </cell>
          <cell r="V376" t="str">
            <v>PC</v>
          </cell>
        </row>
        <row r="377">
          <cell r="F377">
            <v>73017112</v>
          </cell>
          <cell r="G377" t="str">
            <v>MOUNT, TANK, REAR_2409895/2_CG7</v>
          </cell>
          <cell r="H377" t="str">
            <v>2409895/2</v>
          </cell>
          <cell r="I377">
            <v>27</v>
          </cell>
          <cell r="J377">
            <v>0</v>
          </cell>
          <cell r="K377">
            <v>0</v>
          </cell>
          <cell r="L377">
            <v>0</v>
          </cell>
          <cell r="N377">
            <v>0</v>
          </cell>
          <cell r="P377">
            <v>0</v>
          </cell>
          <cell r="R377">
            <v>0</v>
          </cell>
          <cell r="T377">
            <v>0</v>
          </cell>
          <cell r="V377" t="str">
            <v>PC</v>
          </cell>
        </row>
        <row r="378">
          <cell r="F378">
            <v>73017148</v>
          </cell>
          <cell r="G378" t="str">
            <v>BRACKET (11057-0354)(8098)</v>
          </cell>
          <cell r="H378" t="str">
            <v>11057-0354</v>
          </cell>
          <cell r="I378">
            <v>50</v>
          </cell>
          <cell r="J378">
            <v>0</v>
          </cell>
          <cell r="K378">
            <v>0</v>
          </cell>
          <cell r="L378">
            <v>0</v>
          </cell>
          <cell r="N378">
            <v>0</v>
          </cell>
          <cell r="P378">
            <v>0</v>
          </cell>
          <cell r="R378">
            <v>0</v>
          </cell>
          <cell r="T378">
            <v>0</v>
          </cell>
          <cell r="V378" t="str">
            <v>PC</v>
          </cell>
        </row>
        <row r="379">
          <cell r="F379">
            <v>73017150</v>
          </cell>
          <cell r="G379" t="str">
            <v>BRACKET (11057-0355)(8098)</v>
          </cell>
          <cell r="H379" t="str">
            <v>11057-0355</v>
          </cell>
          <cell r="I379">
            <v>106</v>
          </cell>
          <cell r="J379">
            <v>2060</v>
          </cell>
          <cell r="K379">
            <v>19.433962264150942</v>
          </cell>
          <cell r="L379">
            <v>2620</v>
          </cell>
          <cell r="M379">
            <v>24.716981132075471</v>
          </cell>
          <cell r="N379">
            <v>2200</v>
          </cell>
          <cell r="O379">
            <v>20.754716981132077</v>
          </cell>
          <cell r="P379">
            <v>2660</v>
          </cell>
          <cell r="Q379">
            <v>25.09433962264151</v>
          </cell>
          <cell r="R379">
            <v>3240</v>
          </cell>
          <cell r="S379">
            <v>30.566037735849058</v>
          </cell>
          <cell r="T379">
            <v>0</v>
          </cell>
          <cell r="U379">
            <v>0</v>
          </cell>
          <cell r="V379" t="str">
            <v>PC</v>
          </cell>
        </row>
        <row r="380">
          <cell r="F380">
            <v>73017184</v>
          </cell>
          <cell r="G380" t="str">
            <v>BRACKET (11057-0361)(8098)</v>
          </cell>
          <cell r="H380" t="str">
            <v>11057-0361</v>
          </cell>
          <cell r="I380">
            <v>28</v>
          </cell>
          <cell r="J380">
            <v>6000</v>
          </cell>
          <cell r="K380">
            <v>214.28571428571428</v>
          </cell>
          <cell r="L380">
            <v>5762</v>
          </cell>
          <cell r="M380">
            <v>205.78571428571428</v>
          </cell>
          <cell r="N380">
            <v>5622</v>
          </cell>
          <cell r="O380">
            <v>200.78571428571428</v>
          </cell>
          <cell r="P380">
            <v>6864</v>
          </cell>
          <cell r="Q380">
            <v>245.14285714285714</v>
          </cell>
          <cell r="R380">
            <v>5555</v>
          </cell>
          <cell r="S380">
            <v>198.39285714285714</v>
          </cell>
          <cell r="T380">
            <v>0</v>
          </cell>
          <cell r="U380">
            <v>0</v>
          </cell>
          <cell r="V380" t="str">
            <v>PC</v>
          </cell>
        </row>
        <row r="381">
          <cell r="F381" t="str">
            <v>73017233-1</v>
          </cell>
          <cell r="G381" t="str">
            <v>BRACKET SHOCK ABSORBER(32037-0377)MODIFY</v>
          </cell>
          <cell r="H381" t="str">
            <v>32037-0377</v>
          </cell>
          <cell r="I381">
            <v>18</v>
          </cell>
          <cell r="J381">
            <v>3600</v>
          </cell>
          <cell r="K381">
            <v>200</v>
          </cell>
          <cell r="L381">
            <v>2970</v>
          </cell>
          <cell r="M381">
            <v>165</v>
          </cell>
          <cell r="N381">
            <v>3410</v>
          </cell>
          <cell r="O381">
            <v>189.44444444444446</v>
          </cell>
          <cell r="P381">
            <v>2882</v>
          </cell>
          <cell r="Q381">
            <v>160.11111111111111</v>
          </cell>
          <cell r="R381">
            <v>3056</v>
          </cell>
          <cell r="S381">
            <v>169.77777777777777</v>
          </cell>
          <cell r="T381">
            <v>0</v>
          </cell>
          <cell r="U381">
            <v>0</v>
          </cell>
          <cell r="V381">
            <v>0</v>
          </cell>
        </row>
        <row r="382">
          <cell r="F382" t="str">
            <v>73017233-2</v>
          </cell>
          <cell r="G382" t="str">
            <v>BRACKET SHOCK ABSORBER(32037-0377)MODIFY</v>
          </cell>
          <cell r="H382" t="str">
            <v>32037-0377</v>
          </cell>
          <cell r="I382">
            <v>172</v>
          </cell>
          <cell r="J382">
            <v>3600</v>
          </cell>
          <cell r="K382">
            <v>20.930232558139537</v>
          </cell>
          <cell r="L382">
            <v>2970</v>
          </cell>
          <cell r="M382">
            <v>17.267441860465116</v>
          </cell>
          <cell r="N382">
            <v>3410</v>
          </cell>
          <cell r="O382">
            <v>19.825581395348838</v>
          </cell>
          <cell r="P382">
            <v>2882</v>
          </cell>
          <cell r="Q382">
            <v>16.755813953488371</v>
          </cell>
          <cell r="R382">
            <v>3056</v>
          </cell>
          <cell r="S382">
            <v>17.767441860465116</v>
          </cell>
          <cell r="T382">
            <v>0</v>
          </cell>
          <cell r="U382">
            <v>0</v>
          </cell>
          <cell r="V382" t="str">
            <v>PC</v>
          </cell>
        </row>
        <row r="383">
          <cell r="F383" t="str">
            <v>73017233-3</v>
          </cell>
          <cell r="G383" t="str">
            <v>BRACKET SHOCK ABSORBER(32037-0377)MODIFY</v>
          </cell>
          <cell r="H383" t="str">
            <v>32037-0377</v>
          </cell>
          <cell r="I383">
            <v>77</v>
          </cell>
          <cell r="J383">
            <v>3600</v>
          </cell>
          <cell r="K383">
            <v>46.753246753246756</v>
          </cell>
          <cell r="L383">
            <v>2970</v>
          </cell>
          <cell r="M383">
            <v>38.571428571428569</v>
          </cell>
          <cell r="N383">
            <v>3410</v>
          </cell>
          <cell r="O383">
            <v>44.285714285714285</v>
          </cell>
          <cell r="P383">
            <v>2882</v>
          </cell>
          <cell r="Q383">
            <v>37.428571428571431</v>
          </cell>
          <cell r="R383">
            <v>3056</v>
          </cell>
          <cell r="S383">
            <v>39.688311688311686</v>
          </cell>
          <cell r="T383">
            <v>0</v>
          </cell>
          <cell r="U383">
            <v>0</v>
          </cell>
          <cell r="V383" t="str">
            <v>PC</v>
          </cell>
        </row>
        <row r="384">
          <cell r="F384">
            <v>73017252</v>
          </cell>
          <cell r="G384" t="str">
            <v>GUSSET (32170-2195)(8982)</v>
          </cell>
          <cell r="H384" t="str">
            <v>32170-2195</v>
          </cell>
          <cell r="I384">
            <v>18</v>
          </cell>
          <cell r="J384">
            <v>840</v>
          </cell>
          <cell r="K384">
            <v>46.666666666666664</v>
          </cell>
          <cell r="L384">
            <v>740</v>
          </cell>
          <cell r="M384">
            <v>41.111111111111114</v>
          </cell>
          <cell r="N384">
            <v>680</v>
          </cell>
          <cell r="O384">
            <v>37.777777777777779</v>
          </cell>
          <cell r="P384">
            <v>880</v>
          </cell>
          <cell r="Q384">
            <v>48.888888888888886</v>
          </cell>
          <cell r="R384">
            <v>1380</v>
          </cell>
          <cell r="S384">
            <v>76.666666666666671</v>
          </cell>
          <cell r="T384">
            <v>0</v>
          </cell>
          <cell r="U384">
            <v>0</v>
          </cell>
        </row>
        <row r="385">
          <cell r="F385">
            <v>73017253</v>
          </cell>
          <cell r="G385" t="str">
            <v>GUSSET (32170-2205)(8982)</v>
          </cell>
          <cell r="H385" t="str">
            <v>32170-2205</v>
          </cell>
          <cell r="I385">
            <v>21</v>
          </cell>
          <cell r="J385">
            <v>400</v>
          </cell>
          <cell r="K385">
            <v>19.047619047619047</v>
          </cell>
          <cell r="L385">
            <v>400</v>
          </cell>
          <cell r="M385">
            <v>19.047619047619047</v>
          </cell>
          <cell r="N385">
            <v>300</v>
          </cell>
          <cell r="O385">
            <v>14.285714285714286</v>
          </cell>
          <cell r="P385">
            <v>400</v>
          </cell>
          <cell r="Q385">
            <v>19.047619047619047</v>
          </cell>
          <cell r="R385">
            <v>700</v>
          </cell>
          <cell r="S385">
            <v>33.333333333333336</v>
          </cell>
          <cell r="T385">
            <v>0</v>
          </cell>
          <cell r="U385">
            <v>0</v>
          </cell>
          <cell r="V385" t="str">
            <v>PC</v>
          </cell>
        </row>
        <row r="386">
          <cell r="F386">
            <v>73017258</v>
          </cell>
          <cell r="G386" t="str">
            <v>PIPE (32155-2336)(8098)</v>
          </cell>
          <cell r="H386" t="str">
            <v>32155-2336</v>
          </cell>
          <cell r="I386">
            <v>17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22</v>
          </cell>
          <cell r="O386">
            <v>1.2941176470588236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 t="str">
            <v>PC</v>
          </cell>
        </row>
        <row r="387">
          <cell r="F387">
            <v>73017267</v>
          </cell>
          <cell r="G387" t="str">
            <v>PIPE LOWER CROSS (32155-2290)(3478)</v>
          </cell>
          <cell r="H387" t="str">
            <v>32155-2290</v>
          </cell>
          <cell r="I387">
            <v>23</v>
          </cell>
          <cell r="J387">
            <v>1380</v>
          </cell>
          <cell r="K387">
            <v>60</v>
          </cell>
          <cell r="L387">
            <v>1500</v>
          </cell>
          <cell r="M387">
            <v>65.217391304347828</v>
          </cell>
          <cell r="N387">
            <v>2460</v>
          </cell>
          <cell r="O387">
            <v>106.95652173913044</v>
          </cell>
          <cell r="P387">
            <v>3180</v>
          </cell>
          <cell r="Q387">
            <v>138.2608695652174</v>
          </cell>
          <cell r="R387">
            <v>2940</v>
          </cell>
          <cell r="S387">
            <v>127.82608695652173</v>
          </cell>
          <cell r="T387">
            <v>0</v>
          </cell>
          <cell r="U387">
            <v>0</v>
          </cell>
          <cell r="V387">
            <v>0</v>
          </cell>
        </row>
        <row r="388">
          <cell r="F388">
            <v>73017268</v>
          </cell>
          <cell r="G388" t="str">
            <v>PIPE SUB CROSS (32155-2287)(3478)</v>
          </cell>
          <cell r="H388" t="str">
            <v>32155-2287</v>
          </cell>
          <cell r="I388">
            <v>24</v>
          </cell>
          <cell r="J388">
            <v>3600</v>
          </cell>
          <cell r="K388">
            <v>150</v>
          </cell>
          <cell r="L388">
            <v>2970</v>
          </cell>
          <cell r="M388">
            <v>123.75</v>
          </cell>
          <cell r="N388">
            <v>3410</v>
          </cell>
          <cell r="O388">
            <v>142.08333333333334</v>
          </cell>
          <cell r="P388">
            <v>2882</v>
          </cell>
          <cell r="Q388">
            <v>120.08333333333333</v>
          </cell>
          <cell r="R388">
            <v>3056</v>
          </cell>
          <cell r="S388">
            <v>127.33333333333333</v>
          </cell>
          <cell r="T388">
            <v>0</v>
          </cell>
          <cell r="U388">
            <v>0</v>
          </cell>
          <cell r="V388" t="str">
            <v>PC</v>
          </cell>
        </row>
        <row r="389">
          <cell r="F389" t="str">
            <v>73021008-1</v>
          </cell>
          <cell r="G389" t="str">
            <v>MOUNT TANK REAR</v>
          </cell>
          <cell r="H389" t="str">
            <v>2409998/2</v>
          </cell>
          <cell r="I389">
            <v>27</v>
          </cell>
          <cell r="J389">
            <v>2100</v>
          </cell>
          <cell r="K389">
            <v>77.777777777777771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</row>
        <row r="390">
          <cell r="F390">
            <v>73003289</v>
          </cell>
          <cell r="G390" t="str">
            <v>STAY MUFF 1-2</v>
          </cell>
          <cell r="H390" t="str">
            <v>Y50P-E4781-1000-3050</v>
          </cell>
          <cell r="I390">
            <v>28</v>
          </cell>
          <cell r="J390">
            <v>1</v>
          </cell>
          <cell r="K390">
            <v>3.5714285714285712E-2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</row>
        <row r="391">
          <cell r="K391" t="e">
            <v>#DIV/0!</v>
          </cell>
        </row>
        <row r="392">
          <cell r="K392" t="e">
            <v>#DIV/0!</v>
          </cell>
        </row>
        <row r="393">
          <cell r="K393" t="e">
            <v>#DIV/0!</v>
          </cell>
        </row>
        <row r="394">
          <cell r="F394" t="str">
            <v>2 คุณเกตุวริน</v>
          </cell>
          <cell r="G394" t="str">
            <v>TSGP 3  นครนายก (1430)</v>
          </cell>
          <cell r="K394" t="e">
            <v>#DIV/0!</v>
          </cell>
        </row>
        <row r="395">
          <cell r="F395">
            <v>73014605</v>
          </cell>
          <cell r="G395" t="e">
            <v>#N/A</v>
          </cell>
          <cell r="H395" t="e">
            <v>#N/A</v>
          </cell>
          <cell r="K395" t="e">
            <v>#DIV/0!</v>
          </cell>
        </row>
        <row r="396">
          <cell r="F396">
            <v>73014604</v>
          </cell>
          <cell r="G396" t="e">
            <v>#N/A</v>
          </cell>
          <cell r="H396" t="e">
            <v>#N/A</v>
          </cell>
          <cell r="J396">
            <v>0</v>
          </cell>
          <cell r="K396" t="e">
            <v>#DIV/0!</v>
          </cell>
          <cell r="L396">
            <v>0</v>
          </cell>
          <cell r="N396">
            <v>0</v>
          </cell>
          <cell r="P396">
            <v>0</v>
          </cell>
          <cell r="R396">
            <v>0</v>
          </cell>
          <cell r="T396">
            <v>0</v>
          </cell>
        </row>
        <row r="397">
          <cell r="F397">
            <v>73016002</v>
          </cell>
          <cell r="G397" t="str">
            <v>CLEVIS</v>
          </cell>
          <cell r="H397" t="str">
            <v>EF-725T(Y704)</v>
          </cell>
          <cell r="I397">
            <v>78</v>
          </cell>
          <cell r="J397">
            <v>0</v>
          </cell>
          <cell r="K397">
            <v>0</v>
          </cell>
          <cell r="L397">
            <v>10</v>
          </cell>
          <cell r="M397">
            <v>0.12820512820512819</v>
          </cell>
          <cell r="N397">
            <v>10</v>
          </cell>
          <cell r="O397">
            <v>0.12820512820512819</v>
          </cell>
          <cell r="P397">
            <v>20</v>
          </cell>
          <cell r="Q397">
            <v>0.25641025641025639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</row>
        <row r="398">
          <cell r="F398" t="str">
            <v>73016662-1</v>
          </cell>
          <cell r="G398" t="str">
            <v>BRACKET TANK COVER A</v>
          </cell>
          <cell r="H398" t="str">
            <v>EF-725T(Y704)</v>
          </cell>
          <cell r="I398">
            <v>23</v>
          </cell>
          <cell r="J398">
            <v>0</v>
          </cell>
          <cell r="K398">
            <v>0</v>
          </cell>
          <cell r="L398">
            <v>10</v>
          </cell>
          <cell r="M398">
            <v>0.43478260869565216</v>
          </cell>
          <cell r="N398">
            <v>10</v>
          </cell>
          <cell r="O398">
            <v>0.43478260869565216</v>
          </cell>
          <cell r="P398">
            <v>20</v>
          </cell>
          <cell r="Q398">
            <v>0.86956521739130432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</row>
        <row r="399">
          <cell r="F399" t="str">
            <v>73016662-2</v>
          </cell>
          <cell r="G399" t="str">
            <v>BRACKET TANK COVER B</v>
          </cell>
          <cell r="H399" t="str">
            <v>1A8929-04830</v>
          </cell>
          <cell r="I399">
            <v>23</v>
          </cell>
          <cell r="J399">
            <v>0</v>
          </cell>
          <cell r="K399">
            <v>0</v>
          </cell>
          <cell r="L399">
            <v>10</v>
          </cell>
          <cell r="M399">
            <v>0.43478260869565216</v>
          </cell>
          <cell r="N399">
            <v>10</v>
          </cell>
          <cell r="O399">
            <v>0.43478260869565216</v>
          </cell>
          <cell r="P399">
            <v>20</v>
          </cell>
          <cell r="Q399">
            <v>0.86956521739130432</v>
          </cell>
          <cell r="R399">
            <v>0</v>
          </cell>
          <cell r="S399">
            <v>0</v>
          </cell>
          <cell r="U399">
            <v>0</v>
          </cell>
        </row>
        <row r="400">
          <cell r="F400">
            <v>73016663</v>
          </cell>
          <cell r="G400" t="str">
            <v>SUPPORT REVERSER</v>
          </cell>
          <cell r="H400" t="str">
            <v>1A8292-21190</v>
          </cell>
          <cell r="I400">
            <v>11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20</v>
          </cell>
          <cell r="O400">
            <v>1.8181818181818181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U400">
            <v>0</v>
          </cell>
        </row>
        <row r="401">
          <cell r="F401">
            <v>73016667</v>
          </cell>
          <cell r="G401" t="str">
            <v>COVER SIDE</v>
          </cell>
          <cell r="H401" t="str">
            <v>EF-725T(Y704)</v>
          </cell>
          <cell r="I401">
            <v>1</v>
          </cell>
          <cell r="J401">
            <v>0</v>
          </cell>
          <cell r="K401">
            <v>0</v>
          </cell>
          <cell r="L401">
            <v>20</v>
          </cell>
          <cell r="M401">
            <v>20</v>
          </cell>
          <cell r="N401">
            <v>20</v>
          </cell>
          <cell r="O401">
            <v>20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U401">
            <v>0</v>
          </cell>
        </row>
        <row r="402">
          <cell r="F402">
            <v>73016935</v>
          </cell>
          <cell r="G402" t="str">
            <v>PLATE PILL FOOTREST L.</v>
          </cell>
          <cell r="H402">
            <v>10023445</v>
          </cell>
          <cell r="I402">
            <v>14</v>
          </cell>
          <cell r="J402">
            <v>120</v>
          </cell>
          <cell r="K402">
            <v>8.5714285714285712</v>
          </cell>
          <cell r="L402">
            <v>0</v>
          </cell>
          <cell r="M402">
            <v>0</v>
          </cell>
          <cell r="N402">
            <v>120</v>
          </cell>
          <cell r="O402">
            <v>8.5714285714285712</v>
          </cell>
          <cell r="P402">
            <v>0</v>
          </cell>
          <cell r="Q402">
            <v>0</v>
          </cell>
          <cell r="R402">
            <v>120</v>
          </cell>
          <cell r="S402">
            <v>8.5714285714285712</v>
          </cell>
          <cell r="T402">
            <v>120</v>
          </cell>
          <cell r="U402">
            <v>8.5714285714285712</v>
          </cell>
        </row>
        <row r="403">
          <cell r="F403" t="str">
            <v>73016310/73017893</v>
          </cell>
          <cell r="G403" t="str">
            <v>BRACKET SEAT LOCK</v>
          </cell>
          <cell r="H403" t="str">
            <v>41131-45H00</v>
          </cell>
          <cell r="I403">
            <v>11</v>
          </cell>
          <cell r="J403">
            <v>4680</v>
          </cell>
          <cell r="K403">
            <v>425.45454545454544</v>
          </cell>
          <cell r="L403">
            <v>4440</v>
          </cell>
          <cell r="M403">
            <v>403.63636363636363</v>
          </cell>
          <cell r="N403">
            <v>4560</v>
          </cell>
          <cell r="O403">
            <v>414.54545454545456</v>
          </cell>
          <cell r="P403">
            <v>5040</v>
          </cell>
          <cell r="Q403">
            <v>458.18181818181819</v>
          </cell>
          <cell r="R403">
            <v>5160</v>
          </cell>
          <cell r="S403">
            <v>469.09090909090907</v>
          </cell>
          <cell r="T403">
            <v>5280</v>
          </cell>
          <cell r="U403">
            <v>480</v>
          </cell>
        </row>
        <row r="404">
          <cell r="F404" t="str">
            <v>73017893-1</v>
          </cell>
          <cell r="G404" t="e">
            <v>#N/A</v>
          </cell>
          <cell r="H404" t="e">
            <v>#N/A</v>
          </cell>
          <cell r="I404">
            <v>11</v>
          </cell>
          <cell r="J404">
            <v>4681</v>
          </cell>
          <cell r="K404">
            <v>425.54545454545456</v>
          </cell>
          <cell r="L404">
            <v>4441</v>
          </cell>
          <cell r="M404">
            <v>403.72727272727275</v>
          </cell>
          <cell r="N404">
            <v>4561</v>
          </cell>
          <cell r="O404">
            <v>414.63636363636363</v>
          </cell>
          <cell r="P404">
            <v>5041</v>
          </cell>
          <cell r="Q404">
            <v>458.27272727272725</v>
          </cell>
          <cell r="R404">
            <v>5161</v>
          </cell>
          <cell r="S404">
            <v>469.18181818181819</v>
          </cell>
          <cell r="T404">
            <v>5281</v>
          </cell>
          <cell r="U404">
            <v>480.09090909090907</v>
          </cell>
        </row>
        <row r="405">
          <cell r="F405">
            <v>73018597</v>
          </cell>
          <cell r="G405" t="str">
            <v>BRACKET SEAT LOCK</v>
          </cell>
          <cell r="H405" t="str">
            <v>41131-45H00</v>
          </cell>
          <cell r="I405">
            <v>50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</row>
        <row r="406">
          <cell r="F406" t="str">
            <v>73019569-1</v>
          </cell>
          <cell r="G406" t="str">
            <v>PLATE HINGE</v>
          </cell>
          <cell r="H406" t="str">
            <v>1A8330-61311</v>
          </cell>
          <cell r="I406">
            <v>7</v>
          </cell>
          <cell r="K406">
            <v>0</v>
          </cell>
          <cell r="M406">
            <v>0</v>
          </cell>
          <cell r="O406">
            <v>0</v>
          </cell>
          <cell r="Q406">
            <v>0</v>
          </cell>
          <cell r="S406">
            <v>0</v>
          </cell>
          <cell r="U406">
            <v>0</v>
          </cell>
        </row>
        <row r="407">
          <cell r="F407" t="str">
            <v>73019569-2</v>
          </cell>
          <cell r="G407" t="e">
            <v>#N/A</v>
          </cell>
          <cell r="H407" t="e">
            <v>#N/A</v>
          </cell>
          <cell r="K407" t="e">
            <v>#DIV/0!</v>
          </cell>
          <cell r="M407" t="e">
            <v>#DIV/0!</v>
          </cell>
          <cell r="O407" t="e">
            <v>#DIV/0!</v>
          </cell>
          <cell r="Q407" t="e">
            <v>#DIV/0!</v>
          </cell>
          <cell r="S407" t="e">
            <v>#DIV/0!</v>
          </cell>
          <cell r="U407" t="e">
            <v>#DIV/0!</v>
          </cell>
        </row>
        <row r="408">
          <cell r="F408" t="str">
            <v>73019569-3</v>
          </cell>
          <cell r="G408" t="str">
            <v>PLATE SUPPORT</v>
          </cell>
          <cell r="H408" t="str">
            <v>1A8330-61330</v>
          </cell>
          <cell r="I408">
            <v>40</v>
          </cell>
          <cell r="K408">
            <v>0</v>
          </cell>
          <cell r="M408">
            <v>0</v>
          </cell>
          <cell r="O408">
            <v>0</v>
          </cell>
          <cell r="Q408">
            <v>0</v>
          </cell>
          <cell r="S408">
            <v>0</v>
          </cell>
          <cell r="U408">
            <v>0</v>
          </cell>
        </row>
        <row r="409">
          <cell r="F409" t="str">
            <v>73019569-4</v>
          </cell>
          <cell r="G409" t="e">
            <v>#N/A</v>
          </cell>
          <cell r="H409" t="e">
            <v>#N/A</v>
          </cell>
          <cell r="K409" t="e">
            <v>#DIV/0!</v>
          </cell>
          <cell r="M409" t="e">
            <v>#DIV/0!</v>
          </cell>
          <cell r="O409" t="e">
            <v>#DIV/0!</v>
          </cell>
          <cell r="Q409" t="e">
            <v>#DIV/0!</v>
          </cell>
          <cell r="S409" t="e">
            <v>#DIV/0!</v>
          </cell>
          <cell r="U409" t="e">
            <v>#DIV/0!</v>
          </cell>
        </row>
        <row r="410">
          <cell r="F410" t="str">
            <v>73019569-5</v>
          </cell>
          <cell r="G410" t="e">
            <v>#N/A</v>
          </cell>
          <cell r="H410" t="e">
            <v>#N/A</v>
          </cell>
          <cell r="K410" t="e">
            <v>#DIV/0!</v>
          </cell>
          <cell r="M410" t="e">
            <v>#DIV/0!</v>
          </cell>
          <cell r="O410" t="e">
            <v>#DIV/0!</v>
          </cell>
          <cell r="Q410" t="e">
            <v>#DIV/0!</v>
          </cell>
          <cell r="S410" t="e">
            <v>#DIV/0!</v>
          </cell>
          <cell r="U410" t="e">
            <v>#DIV/0!</v>
          </cell>
        </row>
        <row r="411">
          <cell r="F411" t="str">
            <v>73019569-6</v>
          </cell>
          <cell r="G411" t="str">
            <v>STAY</v>
          </cell>
          <cell r="H411" t="str">
            <v>1A8330-61370</v>
          </cell>
          <cell r="I411">
            <v>51</v>
          </cell>
          <cell r="K411">
            <v>0</v>
          </cell>
          <cell r="M411">
            <v>0</v>
          </cell>
          <cell r="O411">
            <v>0</v>
          </cell>
          <cell r="Q411">
            <v>0</v>
          </cell>
          <cell r="S411">
            <v>0</v>
          </cell>
          <cell r="U411">
            <v>0</v>
          </cell>
        </row>
        <row r="412">
          <cell r="F412" t="str">
            <v>73019569-8</v>
          </cell>
          <cell r="G412" t="str">
            <v>STAY</v>
          </cell>
          <cell r="H412" t="str">
            <v>1A8330-61340</v>
          </cell>
          <cell r="I412">
            <v>56</v>
          </cell>
          <cell r="K412">
            <v>0</v>
          </cell>
          <cell r="M412">
            <v>0</v>
          </cell>
          <cell r="O412">
            <v>0</v>
          </cell>
          <cell r="Q412">
            <v>0</v>
          </cell>
          <cell r="S412">
            <v>0</v>
          </cell>
          <cell r="U412">
            <v>0</v>
          </cell>
        </row>
        <row r="413">
          <cell r="F413">
            <v>73017327</v>
          </cell>
          <cell r="G413" t="str">
            <v>PLATE PILL FOOTREST L.</v>
          </cell>
          <cell r="H413">
            <v>10023445</v>
          </cell>
          <cell r="I413">
            <v>14</v>
          </cell>
          <cell r="J413">
            <v>4440</v>
          </cell>
          <cell r="K413">
            <v>317.14285714285717</v>
          </cell>
          <cell r="L413">
            <v>4440</v>
          </cell>
          <cell r="M413">
            <v>317.14285714285717</v>
          </cell>
          <cell r="N413">
            <v>5040</v>
          </cell>
          <cell r="O413">
            <v>360</v>
          </cell>
          <cell r="P413">
            <v>5040</v>
          </cell>
          <cell r="Q413">
            <v>360</v>
          </cell>
          <cell r="R413">
            <v>5040</v>
          </cell>
          <cell r="S413">
            <v>360</v>
          </cell>
          <cell r="T413">
            <v>0</v>
          </cell>
          <cell r="U413">
            <v>0</v>
          </cell>
        </row>
        <row r="414">
          <cell r="F414" t="str">
            <v>73018928-1</v>
          </cell>
          <cell r="G414" t="str">
            <v>BRKT</v>
          </cell>
          <cell r="H414" t="str">
            <v>50201-MLAA-A003-20</v>
          </cell>
          <cell r="I414">
            <v>5</v>
          </cell>
          <cell r="J414">
            <v>560</v>
          </cell>
          <cell r="K414">
            <v>112</v>
          </cell>
          <cell r="L414">
            <v>560</v>
          </cell>
          <cell r="M414">
            <v>112</v>
          </cell>
          <cell r="N414">
            <v>480</v>
          </cell>
          <cell r="O414">
            <v>96</v>
          </cell>
          <cell r="P414">
            <v>878</v>
          </cell>
          <cell r="Q414">
            <v>175.6</v>
          </cell>
          <cell r="S414">
            <v>0</v>
          </cell>
          <cell r="U414">
            <v>0</v>
          </cell>
        </row>
        <row r="415">
          <cell r="F415" t="str">
            <v>73018928-2</v>
          </cell>
          <cell r="G415" t="e">
            <v>#N/A</v>
          </cell>
          <cell r="H415" t="e">
            <v>#N/A</v>
          </cell>
          <cell r="I415">
            <v>1</v>
          </cell>
          <cell r="J415">
            <v>560</v>
          </cell>
          <cell r="K415">
            <v>560</v>
          </cell>
          <cell r="L415">
            <v>560</v>
          </cell>
          <cell r="M415">
            <v>560</v>
          </cell>
          <cell r="N415">
            <v>480</v>
          </cell>
          <cell r="O415">
            <v>480</v>
          </cell>
          <cell r="P415">
            <v>878</v>
          </cell>
          <cell r="Q415">
            <v>878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</row>
        <row r="416">
          <cell r="F416" t="str">
            <v>73018928-3</v>
          </cell>
          <cell r="G416" t="e">
            <v>#N/A</v>
          </cell>
          <cell r="H416" t="e">
            <v>#N/A</v>
          </cell>
          <cell r="I416">
            <v>1</v>
          </cell>
          <cell r="J416">
            <v>560</v>
          </cell>
          <cell r="K416">
            <v>560</v>
          </cell>
          <cell r="L416">
            <v>560</v>
          </cell>
          <cell r="M416">
            <v>560</v>
          </cell>
          <cell r="N416">
            <v>480</v>
          </cell>
          <cell r="O416">
            <v>480</v>
          </cell>
          <cell r="P416">
            <v>878</v>
          </cell>
          <cell r="Q416">
            <v>878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</row>
        <row r="417">
          <cell r="F417" t="str">
            <v>73018928-4</v>
          </cell>
          <cell r="G417" t="e">
            <v>#N/A</v>
          </cell>
          <cell r="H417" t="e">
            <v>#N/A</v>
          </cell>
          <cell r="I417">
            <v>1</v>
          </cell>
          <cell r="J417">
            <v>560</v>
          </cell>
          <cell r="K417">
            <v>560</v>
          </cell>
          <cell r="L417">
            <v>560</v>
          </cell>
          <cell r="M417">
            <v>560</v>
          </cell>
          <cell r="N417">
            <v>480</v>
          </cell>
          <cell r="O417">
            <v>480</v>
          </cell>
          <cell r="P417">
            <v>878</v>
          </cell>
          <cell r="Q417">
            <v>878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</row>
        <row r="418">
          <cell r="F418" t="str">
            <v>73018928-5</v>
          </cell>
          <cell r="G418" t="e">
            <v>#N/A</v>
          </cell>
          <cell r="H418" t="e">
            <v>#N/A</v>
          </cell>
          <cell r="I418">
            <v>1</v>
          </cell>
          <cell r="J418">
            <v>560</v>
          </cell>
          <cell r="K418">
            <v>560</v>
          </cell>
          <cell r="L418">
            <v>560</v>
          </cell>
          <cell r="M418">
            <v>560</v>
          </cell>
          <cell r="N418">
            <v>480</v>
          </cell>
          <cell r="O418">
            <v>480</v>
          </cell>
          <cell r="P418">
            <v>878</v>
          </cell>
          <cell r="Q418">
            <v>878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</row>
        <row r="419">
          <cell r="F419" t="str">
            <v>73018928-6</v>
          </cell>
          <cell r="G419" t="e">
            <v>#N/A</v>
          </cell>
          <cell r="H419" t="e">
            <v>#N/A</v>
          </cell>
          <cell r="I419">
            <v>162</v>
          </cell>
          <cell r="J419">
            <v>560</v>
          </cell>
          <cell r="K419">
            <v>3.4567901234567899</v>
          </cell>
          <cell r="L419">
            <v>560</v>
          </cell>
          <cell r="M419">
            <v>3.4567901234567899</v>
          </cell>
          <cell r="N419">
            <v>480</v>
          </cell>
          <cell r="O419">
            <v>2.9629629629629628</v>
          </cell>
          <cell r="P419">
            <v>878</v>
          </cell>
          <cell r="Q419">
            <v>5.4197530864197532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</row>
        <row r="420">
          <cell r="F420" t="str">
            <v>73018996-1</v>
          </cell>
          <cell r="G420" t="e">
            <v>#N/A</v>
          </cell>
          <cell r="H420" t="e">
            <v>#N/A</v>
          </cell>
          <cell r="J420">
            <v>40</v>
          </cell>
          <cell r="K420" t="e">
            <v>#DIV/0!</v>
          </cell>
          <cell r="L420">
            <v>40</v>
          </cell>
          <cell r="M420" t="e">
            <v>#DIV/0!</v>
          </cell>
          <cell r="N420">
            <v>30</v>
          </cell>
          <cell r="O420" t="e">
            <v>#DIV/0!</v>
          </cell>
          <cell r="P420">
            <v>40</v>
          </cell>
          <cell r="Q420" t="e">
            <v>#DIV/0!</v>
          </cell>
          <cell r="R420">
            <v>40</v>
          </cell>
          <cell r="S420" t="e">
            <v>#DIV/0!</v>
          </cell>
          <cell r="T420">
            <v>40</v>
          </cell>
          <cell r="U420" t="e">
            <v>#DIV/0!</v>
          </cell>
        </row>
        <row r="421">
          <cell r="F421" t="str">
            <v>73018996-2</v>
          </cell>
          <cell r="G421" t="e">
            <v>#N/A</v>
          </cell>
          <cell r="H421" t="e">
            <v>#N/A</v>
          </cell>
          <cell r="J421">
            <v>40</v>
          </cell>
          <cell r="K421" t="e">
            <v>#DIV/0!</v>
          </cell>
          <cell r="L421">
            <v>40</v>
          </cell>
          <cell r="M421" t="e">
            <v>#DIV/0!</v>
          </cell>
          <cell r="N421">
            <v>30</v>
          </cell>
          <cell r="O421" t="e">
            <v>#DIV/0!</v>
          </cell>
          <cell r="P421">
            <v>40</v>
          </cell>
          <cell r="Q421" t="e">
            <v>#DIV/0!</v>
          </cell>
          <cell r="R421">
            <v>40</v>
          </cell>
          <cell r="S421" t="e">
            <v>#DIV/0!</v>
          </cell>
          <cell r="T421">
            <v>40</v>
          </cell>
          <cell r="U421" t="e">
            <v>#DIV/0!</v>
          </cell>
        </row>
        <row r="422">
          <cell r="F422" t="str">
            <v>73018996-3</v>
          </cell>
          <cell r="G422" t="str">
            <v>GUSSET R INNER</v>
          </cell>
          <cell r="H422" t="str">
            <v>50180-K2FA-N000-21</v>
          </cell>
          <cell r="I422">
            <v>13</v>
          </cell>
          <cell r="J422">
            <v>40</v>
          </cell>
          <cell r="K422">
            <v>3.0769230769230771</v>
          </cell>
          <cell r="L422">
            <v>40</v>
          </cell>
          <cell r="M422">
            <v>3.0769230769230771</v>
          </cell>
          <cell r="N422">
            <v>30</v>
          </cell>
          <cell r="O422">
            <v>2.3076923076923075</v>
          </cell>
          <cell r="P422">
            <v>40</v>
          </cell>
          <cell r="Q422">
            <v>3.0769230769230771</v>
          </cell>
          <cell r="R422">
            <v>40</v>
          </cell>
          <cell r="S422">
            <v>3.0769230769230771</v>
          </cell>
          <cell r="T422">
            <v>40</v>
          </cell>
          <cell r="U422">
            <v>3.0769230769230771</v>
          </cell>
        </row>
        <row r="423">
          <cell r="F423" t="str">
            <v>73018996-4</v>
          </cell>
          <cell r="G423" t="str">
            <v>GUSSET L INNER</v>
          </cell>
          <cell r="H423" t="str">
            <v>50180-K2FA-N000-22</v>
          </cell>
          <cell r="I423">
            <v>16</v>
          </cell>
          <cell r="J423">
            <v>40</v>
          </cell>
          <cell r="K423">
            <v>2.5</v>
          </cell>
          <cell r="L423">
            <v>40</v>
          </cell>
          <cell r="M423">
            <v>2.5</v>
          </cell>
          <cell r="N423">
            <v>30</v>
          </cell>
          <cell r="O423">
            <v>1.875</v>
          </cell>
          <cell r="P423">
            <v>40</v>
          </cell>
          <cell r="Q423">
            <v>2.5</v>
          </cell>
          <cell r="R423">
            <v>40</v>
          </cell>
          <cell r="S423">
            <v>2.5</v>
          </cell>
          <cell r="T423">
            <v>40</v>
          </cell>
          <cell r="U423">
            <v>2.5</v>
          </cell>
        </row>
        <row r="424">
          <cell r="F424" t="str">
            <v>73018996-5</v>
          </cell>
          <cell r="G424" t="str">
            <v>STAY R ECU</v>
          </cell>
          <cell r="H424" t="str">
            <v>50180-K2FA-N000-23</v>
          </cell>
          <cell r="I424">
            <v>40</v>
          </cell>
          <cell r="J424">
            <v>40</v>
          </cell>
          <cell r="K424">
            <v>1</v>
          </cell>
          <cell r="L424">
            <v>40</v>
          </cell>
          <cell r="M424">
            <v>1</v>
          </cell>
          <cell r="N424">
            <v>30</v>
          </cell>
          <cell r="O424">
            <v>0.75</v>
          </cell>
          <cell r="P424">
            <v>40</v>
          </cell>
          <cell r="Q424">
            <v>1</v>
          </cell>
          <cell r="R424">
            <v>40</v>
          </cell>
          <cell r="S424">
            <v>1</v>
          </cell>
          <cell r="T424">
            <v>40</v>
          </cell>
          <cell r="U424">
            <v>1</v>
          </cell>
        </row>
        <row r="425">
          <cell r="F425" t="str">
            <v>73018996-6</v>
          </cell>
          <cell r="G425" t="str">
            <v>STAY L ECU</v>
          </cell>
          <cell r="H425" t="str">
            <v>50180-K2FA-N000-24</v>
          </cell>
          <cell r="I425">
            <v>40</v>
          </cell>
          <cell r="J425">
            <v>40</v>
          </cell>
          <cell r="K425">
            <v>1</v>
          </cell>
          <cell r="L425">
            <v>40</v>
          </cell>
          <cell r="M425">
            <v>1</v>
          </cell>
          <cell r="N425">
            <v>30</v>
          </cell>
          <cell r="O425">
            <v>0.75</v>
          </cell>
          <cell r="P425">
            <v>40</v>
          </cell>
          <cell r="Q425">
            <v>1</v>
          </cell>
          <cell r="R425">
            <v>40</v>
          </cell>
          <cell r="S425">
            <v>1</v>
          </cell>
          <cell r="T425">
            <v>40</v>
          </cell>
          <cell r="U425">
            <v>1</v>
          </cell>
        </row>
        <row r="426">
          <cell r="F426">
            <v>73016249</v>
          </cell>
          <cell r="G426" t="e">
            <v>#N/A</v>
          </cell>
          <cell r="H426" t="e">
            <v>#N/A</v>
          </cell>
          <cell r="K426" t="e">
            <v>#DIV/0!</v>
          </cell>
        </row>
        <row r="427">
          <cell r="F427">
            <v>73012105</v>
          </cell>
          <cell r="G427" t="e">
            <v>#N/A</v>
          </cell>
          <cell r="H427" t="e">
            <v>#N/A</v>
          </cell>
          <cell r="K427" t="e">
            <v>#DIV/0!</v>
          </cell>
        </row>
        <row r="428">
          <cell r="F428" t="str">
            <v>73021307-1</v>
          </cell>
          <cell r="G428" t="str">
            <v>PLATE HING   (HING ASSY HOOD)</v>
          </cell>
          <cell r="H428" t="str">
            <v>1A8330-61311</v>
          </cell>
          <cell r="I428">
            <v>7</v>
          </cell>
          <cell r="J428">
            <v>120</v>
          </cell>
          <cell r="K428">
            <v>17.142857142857142</v>
          </cell>
          <cell r="L428">
            <v>84</v>
          </cell>
          <cell r="M428">
            <v>12</v>
          </cell>
          <cell r="N428">
            <v>144</v>
          </cell>
          <cell r="O428">
            <v>20.571428571428573</v>
          </cell>
          <cell r="P428">
            <v>96</v>
          </cell>
          <cell r="Q428">
            <v>13.714285714285714</v>
          </cell>
          <cell r="R428">
            <v>72</v>
          </cell>
          <cell r="S428">
            <v>10.285714285714286</v>
          </cell>
          <cell r="T428">
            <v>0</v>
          </cell>
          <cell r="U428">
            <v>0</v>
          </cell>
        </row>
        <row r="429">
          <cell r="F429" t="str">
            <v>73021307-3</v>
          </cell>
          <cell r="G429" t="str">
            <v>PLATE SUPPORT</v>
          </cell>
          <cell r="H429" t="str">
            <v>1A8330-61330</v>
          </cell>
          <cell r="I429">
            <v>40</v>
          </cell>
          <cell r="J429">
            <v>120</v>
          </cell>
          <cell r="K429">
            <v>3</v>
          </cell>
          <cell r="L429">
            <v>84</v>
          </cell>
          <cell r="M429">
            <v>2.1</v>
          </cell>
          <cell r="N429">
            <v>144</v>
          </cell>
          <cell r="O429">
            <v>3.6</v>
          </cell>
          <cell r="P429">
            <v>96</v>
          </cell>
          <cell r="Q429">
            <v>2.4</v>
          </cell>
          <cell r="R429">
            <v>72</v>
          </cell>
          <cell r="S429">
            <v>1.8</v>
          </cell>
          <cell r="T429">
            <v>0</v>
          </cell>
          <cell r="U429">
            <v>0</v>
          </cell>
          <cell r="V429">
            <v>0</v>
          </cell>
        </row>
        <row r="430">
          <cell r="F430" t="str">
            <v>73021307-6</v>
          </cell>
          <cell r="G430" t="str">
            <v>STAY</v>
          </cell>
          <cell r="H430" t="str">
            <v>1A8330-61370</v>
          </cell>
          <cell r="I430">
            <v>51</v>
          </cell>
          <cell r="J430">
            <v>120</v>
          </cell>
          <cell r="K430">
            <v>2.3529411764705883</v>
          </cell>
          <cell r="L430">
            <v>84</v>
          </cell>
          <cell r="M430">
            <v>1.6470588235294117</v>
          </cell>
          <cell r="N430">
            <v>144</v>
          </cell>
          <cell r="O430">
            <v>2.8235294117647061</v>
          </cell>
          <cell r="P430">
            <v>96</v>
          </cell>
          <cell r="Q430">
            <v>1.8823529411764706</v>
          </cell>
          <cell r="R430">
            <v>72</v>
          </cell>
          <cell r="S430">
            <v>1.411764705882353</v>
          </cell>
          <cell r="T430">
            <v>0</v>
          </cell>
          <cell r="U430">
            <v>0</v>
          </cell>
          <cell r="V430">
            <v>0</v>
          </cell>
        </row>
        <row r="431">
          <cell r="F431" t="str">
            <v>73021307-8</v>
          </cell>
          <cell r="G431" t="str">
            <v>STAY</v>
          </cell>
          <cell r="H431" t="str">
            <v>1A8330-61340</v>
          </cell>
          <cell r="I431">
            <v>56</v>
          </cell>
          <cell r="J431">
            <v>120</v>
          </cell>
          <cell r="K431">
            <v>2.1428571428571428</v>
          </cell>
          <cell r="L431">
            <v>84</v>
          </cell>
          <cell r="M431">
            <v>1.5</v>
          </cell>
          <cell r="N431">
            <v>144</v>
          </cell>
          <cell r="O431">
            <v>2.5714285714285716</v>
          </cell>
          <cell r="P431">
            <v>96</v>
          </cell>
          <cell r="Q431">
            <v>1.7142857142857142</v>
          </cell>
          <cell r="R431">
            <v>72</v>
          </cell>
          <cell r="S431">
            <v>1.2857142857142858</v>
          </cell>
          <cell r="T431">
            <v>0</v>
          </cell>
          <cell r="U431">
            <v>0</v>
          </cell>
          <cell r="V431">
            <v>0</v>
          </cell>
        </row>
        <row r="432">
          <cell r="K432" t="e">
            <v>#DIV/0!</v>
          </cell>
        </row>
        <row r="433">
          <cell r="K433" t="e">
            <v>#DIV/0!</v>
          </cell>
        </row>
        <row r="434">
          <cell r="F434">
            <v>3</v>
          </cell>
          <cell r="G434" t="str">
            <v>TSGP  1430 คุณลักษมี</v>
          </cell>
          <cell r="K434" t="e">
            <v>#DIV/0!</v>
          </cell>
        </row>
        <row r="435">
          <cell r="F435">
            <v>30013152</v>
          </cell>
          <cell r="G435" t="str">
            <v>BRKT C (HM)</v>
          </cell>
          <cell r="H435" t="str">
            <v xml:space="preserve"> </v>
          </cell>
          <cell r="J435">
            <v>0</v>
          </cell>
          <cell r="K435" t="e">
            <v>#DIV/0!</v>
          </cell>
          <cell r="L435">
            <v>0</v>
          </cell>
          <cell r="N435">
            <v>0</v>
          </cell>
          <cell r="P435">
            <v>8</v>
          </cell>
          <cell r="R435">
            <v>0</v>
          </cell>
          <cell r="T435">
            <v>0</v>
          </cell>
        </row>
        <row r="436">
          <cell r="F436">
            <v>30046849</v>
          </cell>
          <cell r="G436" t="e">
            <v>#N/A</v>
          </cell>
          <cell r="H436" t="e">
            <v>#N/A</v>
          </cell>
          <cell r="J436">
            <v>6260</v>
          </cell>
          <cell r="K436" t="e">
            <v>#DIV/0!</v>
          </cell>
          <cell r="L436">
            <v>5366</v>
          </cell>
          <cell r="N436">
            <v>4770</v>
          </cell>
          <cell r="P436">
            <v>4630</v>
          </cell>
          <cell r="R436">
            <v>4588</v>
          </cell>
          <cell r="T436">
            <v>4330</v>
          </cell>
        </row>
        <row r="437">
          <cell r="F437">
            <v>30046850</v>
          </cell>
          <cell r="G437" t="str">
            <v>PITCH FR SUB PIPE</v>
          </cell>
          <cell r="H437" t="str">
            <v>50161-K0BA-T001-H1</v>
          </cell>
          <cell r="I437">
            <v>22</v>
          </cell>
          <cell r="J437">
            <v>6260</v>
          </cell>
          <cell r="K437">
            <v>284.54545454545456</v>
          </cell>
          <cell r="L437">
            <v>5366</v>
          </cell>
          <cell r="M437">
            <v>243.90909090909091</v>
          </cell>
          <cell r="N437">
            <v>4770</v>
          </cell>
          <cell r="O437">
            <v>216.81818181818181</v>
          </cell>
          <cell r="P437">
            <v>4630</v>
          </cell>
          <cell r="Q437">
            <v>210.45454545454547</v>
          </cell>
          <cell r="R437">
            <v>4588</v>
          </cell>
          <cell r="S437">
            <v>208.54545454545453</v>
          </cell>
          <cell r="T437">
            <v>4330</v>
          </cell>
          <cell r="U437">
            <v>196.81818181818181</v>
          </cell>
        </row>
        <row r="438">
          <cell r="F438" t="str">
            <v>30046850-1</v>
          </cell>
          <cell r="G438" t="str">
            <v>PITCH FR SUB PIPE</v>
          </cell>
          <cell r="H438" t="str">
            <v>50161-K0BA-T001-H2</v>
          </cell>
          <cell r="I438">
            <v>22</v>
          </cell>
          <cell r="J438">
            <v>6260</v>
          </cell>
          <cell r="K438">
            <v>284.54545454545456</v>
          </cell>
          <cell r="L438">
            <v>5366</v>
          </cell>
          <cell r="M438">
            <v>243.90909090909091</v>
          </cell>
          <cell r="N438">
            <v>4770</v>
          </cell>
          <cell r="O438">
            <v>216.81818181818181</v>
          </cell>
          <cell r="P438">
            <v>4630</v>
          </cell>
          <cell r="Q438">
            <v>210.45454545454547</v>
          </cell>
          <cell r="R438">
            <v>4588</v>
          </cell>
          <cell r="S438">
            <v>208.54545454545453</v>
          </cell>
          <cell r="T438">
            <v>4330</v>
          </cell>
          <cell r="U438">
            <v>196.81818181818181</v>
          </cell>
        </row>
        <row r="439">
          <cell r="F439" t="str">
            <v>30046850-2</v>
          </cell>
          <cell r="G439" t="str">
            <v>PITCH FR SUB PIPE</v>
          </cell>
          <cell r="H439" t="str">
            <v>50161-K0BA-T001-H3</v>
          </cell>
          <cell r="I439">
            <v>22</v>
          </cell>
          <cell r="J439">
            <v>6260</v>
          </cell>
          <cell r="K439">
            <v>284.54545454545456</v>
          </cell>
          <cell r="L439">
            <v>5366</v>
          </cell>
          <cell r="M439">
            <v>243.90909090909091</v>
          </cell>
          <cell r="N439">
            <v>4770</v>
          </cell>
          <cell r="O439">
            <v>216.81818181818181</v>
          </cell>
          <cell r="P439">
            <v>4630</v>
          </cell>
          <cell r="Q439">
            <v>210.45454545454547</v>
          </cell>
          <cell r="R439">
            <v>4588</v>
          </cell>
          <cell r="S439">
            <v>208.54545454545453</v>
          </cell>
          <cell r="T439">
            <v>4330</v>
          </cell>
          <cell r="U439">
            <v>196.81818181818181</v>
          </cell>
        </row>
        <row r="440">
          <cell r="F440">
            <v>30046851</v>
          </cell>
          <cell r="G440" t="str">
            <v>STAY A HOSE CLAMPER</v>
          </cell>
          <cell r="H440" t="str">
            <v>50169-K0BA-T001-H1</v>
          </cell>
          <cell r="I440">
            <v>112</v>
          </cell>
          <cell r="J440">
            <v>12520</v>
          </cell>
          <cell r="K440">
            <v>111.78571428571429</v>
          </cell>
          <cell r="L440">
            <v>10732</v>
          </cell>
          <cell r="M440">
            <v>95.821428571428569</v>
          </cell>
          <cell r="N440">
            <v>9540</v>
          </cell>
          <cell r="O440">
            <v>85.178571428571431</v>
          </cell>
          <cell r="P440">
            <v>9260</v>
          </cell>
          <cell r="Q440">
            <v>82.678571428571431</v>
          </cell>
          <cell r="R440">
            <v>9176</v>
          </cell>
          <cell r="S440">
            <v>81.928571428571431</v>
          </cell>
          <cell r="T440">
            <v>8660</v>
          </cell>
          <cell r="U440">
            <v>77.321428571428569</v>
          </cell>
        </row>
        <row r="441">
          <cell r="F441">
            <v>30046852</v>
          </cell>
          <cell r="G441" t="str">
            <v>STAY R L WETER HOSE RR</v>
          </cell>
          <cell r="H441" t="str">
            <v>50223/24-K1BA-T001-H1</v>
          </cell>
          <cell r="I441">
            <v>78</v>
          </cell>
          <cell r="J441">
            <v>6260</v>
          </cell>
          <cell r="K441">
            <v>80.256410256410263</v>
          </cell>
          <cell r="L441">
            <v>5366</v>
          </cell>
          <cell r="M441">
            <v>68.794871794871796</v>
          </cell>
          <cell r="N441">
            <v>4770</v>
          </cell>
          <cell r="O441">
            <v>61.153846153846153</v>
          </cell>
          <cell r="P441">
            <v>4630</v>
          </cell>
          <cell r="Q441">
            <v>59.358974358974358</v>
          </cell>
          <cell r="R441">
            <v>4588</v>
          </cell>
          <cell r="S441">
            <v>58.820512820512818</v>
          </cell>
          <cell r="T441">
            <v>4330</v>
          </cell>
          <cell r="U441">
            <v>55.512820512820511</v>
          </cell>
        </row>
        <row r="442">
          <cell r="F442">
            <v>30046853</v>
          </cell>
          <cell r="G442" t="e">
            <v>#N/A</v>
          </cell>
          <cell r="H442" t="e">
            <v>#N/A</v>
          </cell>
          <cell r="I442">
            <v>33</v>
          </cell>
          <cell r="J442">
            <v>6260</v>
          </cell>
          <cell r="K442">
            <v>189.69696969696969</v>
          </cell>
          <cell r="L442">
            <v>5366</v>
          </cell>
          <cell r="M442">
            <v>162.60606060606059</v>
          </cell>
          <cell r="N442">
            <v>4770</v>
          </cell>
          <cell r="O442">
            <v>144.54545454545453</v>
          </cell>
          <cell r="P442">
            <v>4630</v>
          </cell>
          <cell r="Q442">
            <v>140.30303030303031</v>
          </cell>
          <cell r="R442">
            <v>4588</v>
          </cell>
          <cell r="S442">
            <v>139.03030303030303</v>
          </cell>
          <cell r="T442">
            <v>4330</v>
          </cell>
          <cell r="U442">
            <v>131.21212121212122</v>
          </cell>
        </row>
        <row r="443">
          <cell r="F443">
            <v>30046854</v>
          </cell>
          <cell r="G443" t="str">
            <v>CLIP HARNESS</v>
          </cell>
          <cell r="H443" t="str">
            <v>50128-GFM-9000-H1</v>
          </cell>
          <cell r="I443">
            <v>69</v>
          </cell>
          <cell r="J443">
            <v>6260</v>
          </cell>
          <cell r="K443">
            <v>90.724637681159422</v>
          </cell>
          <cell r="L443">
            <v>5366</v>
          </cell>
          <cell r="M443">
            <v>77.768115942028984</v>
          </cell>
          <cell r="N443">
            <v>4770</v>
          </cell>
          <cell r="O443">
            <v>69.130434782608702</v>
          </cell>
          <cell r="P443">
            <v>4630</v>
          </cell>
          <cell r="Q443">
            <v>67.101449275362313</v>
          </cell>
          <cell r="R443">
            <v>4588</v>
          </cell>
          <cell r="S443">
            <v>66.492753623188406</v>
          </cell>
          <cell r="T443">
            <v>4330</v>
          </cell>
          <cell r="U443">
            <v>62.753623188405797</v>
          </cell>
        </row>
        <row r="444">
          <cell r="F444">
            <v>30003261</v>
          </cell>
          <cell r="G444" t="str">
            <v>WASHER PLAIN 7 MM (Cr+3)</v>
          </cell>
          <cell r="H444" t="str">
            <v>90502-155-0000</v>
          </cell>
          <cell r="I444">
            <v>127</v>
          </cell>
          <cell r="J444">
            <v>3088</v>
          </cell>
          <cell r="K444">
            <v>24.314960629921259</v>
          </cell>
          <cell r="L444">
            <v>4206</v>
          </cell>
          <cell r="M444">
            <v>33.118110236220474</v>
          </cell>
          <cell r="N444">
            <v>3264</v>
          </cell>
          <cell r="O444">
            <v>25.700787401574804</v>
          </cell>
          <cell r="P444">
            <v>3272</v>
          </cell>
          <cell r="Q444">
            <v>25.763779527559056</v>
          </cell>
          <cell r="R444">
            <v>3760</v>
          </cell>
          <cell r="S444">
            <v>29.606299212598426</v>
          </cell>
          <cell r="T444">
            <v>3908</v>
          </cell>
          <cell r="U444">
            <v>30.771653543307085</v>
          </cell>
        </row>
        <row r="445">
          <cell r="F445">
            <v>30013151</v>
          </cell>
          <cell r="G445" t="str">
            <v>BRKT B (31614-Z5T-W100-21)</v>
          </cell>
          <cell r="H445" t="str">
            <v>31614-Z5T-W100-21</v>
          </cell>
          <cell r="I445">
            <v>64</v>
          </cell>
          <cell r="J445">
            <v>600</v>
          </cell>
          <cell r="K445">
            <v>9.375</v>
          </cell>
          <cell r="L445">
            <v>560</v>
          </cell>
          <cell r="M445">
            <v>8.75</v>
          </cell>
          <cell r="N445">
            <v>534</v>
          </cell>
          <cell r="O445">
            <v>8.34375</v>
          </cell>
          <cell r="P445">
            <v>396</v>
          </cell>
          <cell r="Q445">
            <v>6.1875</v>
          </cell>
          <cell r="R445">
            <v>180</v>
          </cell>
          <cell r="S445">
            <v>2.8125</v>
          </cell>
          <cell r="T445">
            <v>220</v>
          </cell>
          <cell r="U445">
            <v>3.4375</v>
          </cell>
        </row>
        <row r="446">
          <cell r="F446">
            <v>30013153</v>
          </cell>
          <cell r="G446" t="str">
            <v>BRKT B</v>
          </cell>
          <cell r="H446" t="str">
            <v>31614-Z5TZ-W100-22</v>
          </cell>
          <cell r="I446">
            <v>40</v>
          </cell>
          <cell r="J446">
            <v>600</v>
          </cell>
          <cell r="K446">
            <v>15</v>
          </cell>
          <cell r="L446">
            <v>560</v>
          </cell>
          <cell r="M446">
            <v>14</v>
          </cell>
          <cell r="N446">
            <v>534</v>
          </cell>
          <cell r="O446">
            <v>13.35</v>
          </cell>
          <cell r="P446">
            <v>396</v>
          </cell>
          <cell r="Q446">
            <v>9.9</v>
          </cell>
          <cell r="R446">
            <v>180</v>
          </cell>
          <cell r="S446">
            <v>4.5</v>
          </cell>
          <cell r="T446">
            <v>220</v>
          </cell>
          <cell r="U446">
            <v>5.5</v>
          </cell>
        </row>
        <row r="447">
          <cell r="F447">
            <v>30013847</v>
          </cell>
          <cell r="G447" t="str">
            <v>STAY CTR SIDE COVER</v>
          </cell>
          <cell r="H447" t="str">
            <v>50147-KYJA-9001-H1</v>
          </cell>
          <cell r="I447">
            <v>116</v>
          </cell>
          <cell r="J447">
            <v>0</v>
          </cell>
          <cell r="K447">
            <v>0</v>
          </cell>
          <cell r="M447">
            <v>0</v>
          </cell>
          <cell r="O447">
            <v>0</v>
          </cell>
          <cell r="Q447">
            <v>0</v>
          </cell>
          <cell r="S447">
            <v>0</v>
          </cell>
          <cell r="U447">
            <v>0</v>
          </cell>
        </row>
        <row r="448">
          <cell r="F448">
            <v>30014135</v>
          </cell>
          <cell r="G448" t="str">
            <v>CLIP B FUEL HOSE</v>
          </cell>
          <cell r="H448" t="str">
            <v>50122-MF2-3000</v>
          </cell>
          <cell r="J448">
            <v>0</v>
          </cell>
          <cell r="K448" t="e">
            <v>#DIV/0!</v>
          </cell>
          <cell r="L448">
            <v>0</v>
          </cell>
          <cell r="N448">
            <v>0</v>
          </cell>
          <cell r="P448">
            <v>0</v>
          </cell>
          <cell r="R448">
            <v>0</v>
          </cell>
          <cell r="T448">
            <v>0</v>
          </cell>
        </row>
        <row r="449">
          <cell r="F449">
            <v>30014166</v>
          </cell>
          <cell r="G449" t="e">
            <v>#N/A</v>
          </cell>
          <cell r="H449" t="e">
            <v>#N/A</v>
          </cell>
          <cell r="K449" t="e">
            <v>#DIV/0!</v>
          </cell>
        </row>
        <row r="450">
          <cell r="F450">
            <v>30018871</v>
          </cell>
          <cell r="G450" t="e">
            <v>#N/A</v>
          </cell>
          <cell r="H450" t="e">
            <v>#N/A</v>
          </cell>
          <cell r="I450">
            <v>1</v>
          </cell>
          <cell r="J450">
            <v>19</v>
          </cell>
          <cell r="K450">
            <v>19</v>
          </cell>
          <cell r="L450">
            <v>26</v>
          </cell>
          <cell r="M450">
            <v>26</v>
          </cell>
          <cell r="N450">
            <v>27</v>
          </cell>
          <cell r="O450">
            <v>27</v>
          </cell>
          <cell r="P450">
            <v>29</v>
          </cell>
          <cell r="Q450">
            <v>29</v>
          </cell>
          <cell r="R450">
            <v>29</v>
          </cell>
          <cell r="S450">
            <v>29</v>
          </cell>
          <cell r="T450">
            <v>33</v>
          </cell>
          <cell r="U450">
            <v>33</v>
          </cell>
        </row>
        <row r="451">
          <cell r="F451">
            <v>30018872</v>
          </cell>
          <cell r="G451" t="e">
            <v>#N/A</v>
          </cell>
          <cell r="H451" t="e">
            <v>#N/A</v>
          </cell>
          <cell r="I451">
            <v>1</v>
          </cell>
          <cell r="J451">
            <v>9.5</v>
          </cell>
          <cell r="K451">
            <v>9.5</v>
          </cell>
          <cell r="L451">
            <v>13</v>
          </cell>
          <cell r="M451">
            <v>13</v>
          </cell>
          <cell r="N451">
            <v>13.5</v>
          </cell>
          <cell r="O451">
            <v>13.5</v>
          </cell>
          <cell r="P451">
            <v>14.5</v>
          </cell>
          <cell r="Q451">
            <v>14.5</v>
          </cell>
          <cell r="R451">
            <v>14.5</v>
          </cell>
          <cell r="S451">
            <v>14.5</v>
          </cell>
          <cell r="T451">
            <v>16.5</v>
          </cell>
          <cell r="U451">
            <v>16.5</v>
          </cell>
        </row>
        <row r="452">
          <cell r="F452">
            <v>30018873</v>
          </cell>
          <cell r="G452" t="str">
            <v>STAY R MIRROR</v>
          </cell>
          <cell r="H452" t="str">
            <v>64221-MGZA-J001-24</v>
          </cell>
          <cell r="I452">
            <v>24</v>
          </cell>
          <cell r="J452">
            <v>7</v>
          </cell>
          <cell r="K452">
            <v>0.29166666666666669</v>
          </cell>
          <cell r="L452">
            <v>2</v>
          </cell>
          <cell r="M452">
            <v>8.3333333333333329E-2</v>
          </cell>
          <cell r="N452">
            <v>7</v>
          </cell>
          <cell r="O452">
            <v>0.29166666666666669</v>
          </cell>
          <cell r="P452">
            <v>6</v>
          </cell>
          <cell r="Q452">
            <v>0.25</v>
          </cell>
          <cell r="R452">
            <v>9</v>
          </cell>
          <cell r="S452">
            <v>0.375</v>
          </cell>
          <cell r="T452">
            <v>0</v>
          </cell>
          <cell r="U452">
            <v>0</v>
          </cell>
        </row>
        <row r="453">
          <cell r="F453">
            <v>30018874</v>
          </cell>
          <cell r="G453" t="str">
            <v>STAY L MIRROR</v>
          </cell>
          <cell r="H453" t="str">
            <v>64221-MGZA-J001-25</v>
          </cell>
          <cell r="I453">
            <v>24</v>
          </cell>
          <cell r="J453">
            <v>7</v>
          </cell>
          <cell r="K453">
            <v>0.29166666666666669</v>
          </cell>
          <cell r="L453">
            <v>2</v>
          </cell>
          <cell r="M453">
            <v>8.3333333333333329E-2</v>
          </cell>
          <cell r="N453">
            <v>7</v>
          </cell>
          <cell r="O453">
            <v>0.29166666666666669</v>
          </cell>
          <cell r="P453">
            <v>6</v>
          </cell>
          <cell r="Q453">
            <v>0.25</v>
          </cell>
          <cell r="R453">
            <v>9</v>
          </cell>
          <cell r="S453">
            <v>0.375</v>
          </cell>
          <cell r="T453">
            <v>0</v>
          </cell>
          <cell r="U453">
            <v>0</v>
          </cell>
        </row>
        <row r="454">
          <cell r="F454">
            <v>30019292</v>
          </cell>
          <cell r="G454" t="str">
            <v>PLATE</v>
          </cell>
          <cell r="H454" t="str">
            <v>17507-KPB-7700-H1</v>
          </cell>
          <cell r="I454">
            <v>82</v>
          </cell>
          <cell r="J454">
            <v>126</v>
          </cell>
          <cell r="K454">
            <v>1.5365853658536586</v>
          </cell>
          <cell r="L454">
            <v>1250</v>
          </cell>
          <cell r="M454">
            <v>15.24390243902439</v>
          </cell>
          <cell r="N454">
            <v>700</v>
          </cell>
          <cell r="O454">
            <v>8.536585365853659</v>
          </cell>
          <cell r="P454">
            <v>650</v>
          </cell>
          <cell r="Q454">
            <v>7.9268292682926829</v>
          </cell>
          <cell r="R454">
            <v>650</v>
          </cell>
          <cell r="S454">
            <v>7.9268292682926829</v>
          </cell>
          <cell r="T454">
            <v>0</v>
          </cell>
          <cell r="U454">
            <v>0</v>
          </cell>
        </row>
        <row r="455">
          <cell r="F455">
            <v>30020039</v>
          </cell>
          <cell r="G455" t="e">
            <v>#N/A</v>
          </cell>
          <cell r="H455" t="e">
            <v>#N/A</v>
          </cell>
          <cell r="J455">
            <v>0</v>
          </cell>
          <cell r="K455" t="e">
            <v>#DIV/0!</v>
          </cell>
          <cell r="L455">
            <v>0</v>
          </cell>
          <cell r="M455" t="e">
            <v>#DIV/0!</v>
          </cell>
          <cell r="N455">
            <v>0</v>
          </cell>
          <cell r="O455" t="e">
            <v>#DIV/0!</v>
          </cell>
          <cell r="Q455" t="e">
            <v>#DIV/0!</v>
          </cell>
          <cell r="S455" t="e">
            <v>#DIV/0!</v>
          </cell>
          <cell r="U455" t="e">
            <v>#DIV/0!</v>
          </cell>
        </row>
        <row r="456">
          <cell r="F456">
            <v>30020040</v>
          </cell>
          <cell r="G456" t="e">
            <v>#N/A</v>
          </cell>
          <cell r="H456" t="e">
            <v>#N/A</v>
          </cell>
          <cell r="J456">
            <v>0</v>
          </cell>
          <cell r="K456" t="e">
            <v>#DIV/0!</v>
          </cell>
          <cell r="L456">
            <v>0</v>
          </cell>
          <cell r="M456" t="e">
            <v>#DIV/0!</v>
          </cell>
          <cell r="N456">
            <v>0</v>
          </cell>
          <cell r="O456" t="e">
            <v>#DIV/0!</v>
          </cell>
          <cell r="Q456" t="e">
            <v>#DIV/0!</v>
          </cell>
          <cell r="S456" t="e">
            <v>#DIV/0!</v>
          </cell>
          <cell r="U456" t="e">
            <v>#DIV/0!</v>
          </cell>
        </row>
        <row r="457">
          <cell r="F457">
            <v>30020044</v>
          </cell>
          <cell r="G457" t="e">
            <v>#N/A</v>
          </cell>
          <cell r="H457" t="e">
            <v>#N/A</v>
          </cell>
          <cell r="J457">
            <v>0</v>
          </cell>
          <cell r="K457" t="e">
            <v>#DIV/0!</v>
          </cell>
          <cell r="L457">
            <v>0</v>
          </cell>
          <cell r="M457" t="e">
            <v>#DIV/0!</v>
          </cell>
          <cell r="N457">
            <v>0</v>
          </cell>
          <cell r="O457" t="e">
            <v>#DIV/0!</v>
          </cell>
          <cell r="Q457" t="e">
            <v>#DIV/0!</v>
          </cell>
          <cell r="S457" t="e">
            <v>#DIV/0!</v>
          </cell>
          <cell r="U457" t="e">
            <v>#DIV/0!</v>
          </cell>
        </row>
        <row r="458">
          <cell r="F458">
            <v>30020060</v>
          </cell>
          <cell r="G458" t="e">
            <v>#N/A</v>
          </cell>
          <cell r="H458" t="e">
            <v>#N/A</v>
          </cell>
          <cell r="J458">
            <v>0</v>
          </cell>
          <cell r="K458" t="e">
            <v>#DIV/0!</v>
          </cell>
          <cell r="L458">
            <v>0</v>
          </cell>
          <cell r="M458" t="e">
            <v>#DIV/0!</v>
          </cell>
          <cell r="N458">
            <v>0</v>
          </cell>
          <cell r="O458" t="e">
            <v>#DIV/0!</v>
          </cell>
          <cell r="Q458" t="e">
            <v>#DIV/0!</v>
          </cell>
          <cell r="S458" t="e">
            <v>#DIV/0!</v>
          </cell>
          <cell r="U458" t="e">
            <v>#DIV/0!</v>
          </cell>
        </row>
        <row r="459">
          <cell r="F459">
            <v>30020818</v>
          </cell>
          <cell r="G459" t="e">
            <v>#N/A</v>
          </cell>
          <cell r="H459" t="e">
            <v>#N/A</v>
          </cell>
          <cell r="J459">
            <v>0</v>
          </cell>
          <cell r="K459" t="e">
            <v>#DIV/0!</v>
          </cell>
          <cell r="L459">
            <v>10</v>
          </cell>
          <cell r="M459" t="e">
            <v>#DIV/0!</v>
          </cell>
          <cell r="N459">
            <v>20</v>
          </cell>
          <cell r="O459" t="e">
            <v>#DIV/0!</v>
          </cell>
          <cell r="P459">
            <v>0</v>
          </cell>
          <cell r="Q459" t="e">
            <v>#DIV/0!</v>
          </cell>
          <cell r="R459">
            <v>0</v>
          </cell>
          <cell r="S459" t="e">
            <v>#DIV/0!</v>
          </cell>
          <cell r="T459">
            <v>0</v>
          </cell>
          <cell r="U459" t="e">
            <v>#DIV/0!</v>
          </cell>
        </row>
        <row r="460">
          <cell r="F460">
            <v>30020962</v>
          </cell>
          <cell r="G460" t="str">
            <v>ARM</v>
          </cell>
          <cell r="H460" t="str">
            <v>24701-K26A-9002-22</v>
          </cell>
          <cell r="I460">
            <v>29</v>
          </cell>
          <cell r="J460">
            <v>878</v>
          </cell>
          <cell r="K460">
            <v>30.275862068965516</v>
          </cell>
          <cell r="L460">
            <v>496</v>
          </cell>
          <cell r="M460">
            <v>17.103448275862068</v>
          </cell>
          <cell r="N460">
            <v>555</v>
          </cell>
          <cell r="O460">
            <v>19.137931034482758</v>
          </cell>
          <cell r="P460">
            <v>591</v>
          </cell>
          <cell r="Q460">
            <v>20.379310344827587</v>
          </cell>
          <cell r="R460">
            <v>600</v>
          </cell>
          <cell r="S460">
            <v>20.689655172413794</v>
          </cell>
          <cell r="T460">
            <v>0</v>
          </cell>
          <cell r="U460">
            <v>0</v>
          </cell>
        </row>
        <row r="461">
          <cell r="F461">
            <v>30020965</v>
          </cell>
          <cell r="G461" t="str">
            <v>PATCH COSS</v>
          </cell>
          <cell r="H461">
            <v>0</v>
          </cell>
          <cell r="I461">
            <v>21</v>
          </cell>
          <cell r="J461">
            <v>1564</v>
          </cell>
          <cell r="K461">
            <v>74.476190476190482</v>
          </cell>
          <cell r="L461">
            <v>856</v>
          </cell>
          <cell r="M461">
            <v>40.761904761904759</v>
          </cell>
          <cell r="N461">
            <v>986</v>
          </cell>
          <cell r="O461">
            <v>46.952380952380949</v>
          </cell>
          <cell r="P461">
            <v>1064</v>
          </cell>
          <cell r="Q461">
            <v>50.666666666666664</v>
          </cell>
          <cell r="R461">
            <v>1076</v>
          </cell>
          <cell r="S461">
            <v>51.238095238095241</v>
          </cell>
          <cell r="T461">
            <v>0</v>
          </cell>
          <cell r="U461">
            <v>0</v>
          </cell>
        </row>
        <row r="462">
          <cell r="F462">
            <v>30024525</v>
          </cell>
          <cell r="G462" t="str">
            <v>STAY PILLION STEP BRKT</v>
          </cell>
          <cell r="H462" t="str">
            <v>50165-KWNJ-7100-H1</v>
          </cell>
          <cell r="I462">
            <v>24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</row>
        <row r="463">
          <cell r="F463">
            <v>30029208</v>
          </cell>
          <cell r="G463" t="e">
            <v>#N/A</v>
          </cell>
          <cell r="H463" t="e">
            <v>#N/A</v>
          </cell>
          <cell r="K463" t="e">
            <v>#DIV/0!</v>
          </cell>
          <cell r="L463">
            <v>0</v>
          </cell>
          <cell r="M463" t="e">
            <v>#DIV/0!</v>
          </cell>
          <cell r="O463" t="e">
            <v>#DIV/0!</v>
          </cell>
          <cell r="Q463" t="e">
            <v>#DIV/0!</v>
          </cell>
          <cell r="S463" t="e">
            <v>#DIV/0!</v>
          </cell>
          <cell r="U463" t="e">
            <v>#DIV/0!</v>
          </cell>
        </row>
        <row r="464">
          <cell r="F464">
            <v>30030649</v>
          </cell>
          <cell r="G464" t="str">
            <v>BRKT R SCREEN STAY</v>
          </cell>
          <cell r="H464" t="str">
            <v>64223-MJWA-J802-H1</v>
          </cell>
          <cell r="I464">
            <v>20</v>
          </cell>
          <cell r="J464">
            <v>12</v>
          </cell>
          <cell r="K464">
            <v>0.6</v>
          </cell>
          <cell r="L464">
            <v>7</v>
          </cell>
          <cell r="M464">
            <v>0.35</v>
          </cell>
          <cell r="N464">
            <v>13</v>
          </cell>
          <cell r="O464">
            <v>0.65</v>
          </cell>
          <cell r="P464">
            <v>10</v>
          </cell>
          <cell r="Q464">
            <v>0.5</v>
          </cell>
          <cell r="R464">
            <v>10</v>
          </cell>
          <cell r="S464">
            <v>0.5</v>
          </cell>
          <cell r="T464">
            <v>0</v>
          </cell>
          <cell r="U464">
            <v>0</v>
          </cell>
        </row>
        <row r="465">
          <cell r="F465">
            <v>30030650</v>
          </cell>
          <cell r="G465" t="str">
            <v>BRKT L SCREEN STAY</v>
          </cell>
          <cell r="H465" t="str">
            <v>64223-MJWA-J802-H1</v>
          </cell>
          <cell r="I465">
            <v>20</v>
          </cell>
          <cell r="J465">
            <v>12</v>
          </cell>
          <cell r="K465">
            <v>0.6</v>
          </cell>
          <cell r="L465">
            <v>7</v>
          </cell>
          <cell r="M465">
            <v>0.35</v>
          </cell>
          <cell r="N465">
            <v>13</v>
          </cell>
          <cell r="O465">
            <v>0.65</v>
          </cell>
          <cell r="P465">
            <v>10</v>
          </cell>
          <cell r="Q465">
            <v>0.5</v>
          </cell>
          <cell r="R465">
            <v>10</v>
          </cell>
          <cell r="S465">
            <v>0.5</v>
          </cell>
          <cell r="T465">
            <v>0</v>
          </cell>
          <cell r="U465">
            <v>0</v>
          </cell>
        </row>
        <row r="466">
          <cell r="F466" t="str">
            <v>30030651-1</v>
          </cell>
          <cell r="G466" t="e">
            <v>#N/A</v>
          </cell>
          <cell r="H466" t="e">
            <v>#N/A</v>
          </cell>
          <cell r="I466">
            <v>12</v>
          </cell>
          <cell r="J466">
            <v>12</v>
          </cell>
          <cell r="K466">
            <v>1</v>
          </cell>
          <cell r="L466">
            <v>7</v>
          </cell>
          <cell r="M466">
            <v>0.58333333333333337</v>
          </cell>
          <cell r="N466">
            <v>13</v>
          </cell>
          <cell r="O466">
            <v>1.0833333333333333</v>
          </cell>
          <cell r="P466">
            <v>10</v>
          </cell>
          <cell r="Q466">
            <v>0.83333333333333337</v>
          </cell>
          <cell r="R466">
            <v>10</v>
          </cell>
          <cell r="S466">
            <v>0.83333333333333337</v>
          </cell>
          <cell r="T466">
            <v>0</v>
          </cell>
          <cell r="U466">
            <v>0</v>
          </cell>
        </row>
        <row r="467">
          <cell r="F467">
            <v>30030652</v>
          </cell>
          <cell r="G467" t="str">
            <v>STAY HEAD LIGHT</v>
          </cell>
          <cell r="H467" t="str">
            <v>64228-MJWA-J800-H1</v>
          </cell>
          <cell r="I467">
            <v>47</v>
          </cell>
          <cell r="J467">
            <v>132</v>
          </cell>
          <cell r="K467">
            <v>2.8085106382978724</v>
          </cell>
          <cell r="L467">
            <v>166</v>
          </cell>
          <cell r="M467">
            <v>3.5319148936170213</v>
          </cell>
          <cell r="N467">
            <v>110</v>
          </cell>
          <cell r="O467">
            <v>2.3404255319148937</v>
          </cell>
          <cell r="P467">
            <v>104</v>
          </cell>
          <cell r="Q467">
            <v>2.2127659574468086</v>
          </cell>
          <cell r="R467">
            <v>106</v>
          </cell>
          <cell r="S467">
            <v>2.2553191489361701</v>
          </cell>
          <cell r="T467">
            <v>0</v>
          </cell>
          <cell r="U467">
            <v>0</v>
          </cell>
        </row>
        <row r="468">
          <cell r="F468">
            <v>30030993</v>
          </cell>
          <cell r="G468" t="e">
            <v>#N/A</v>
          </cell>
          <cell r="H468" t="e">
            <v>#N/A</v>
          </cell>
          <cell r="I468">
            <v>6.0000000000000001E-3</v>
          </cell>
          <cell r="J468">
            <v>13244</v>
          </cell>
          <cell r="K468">
            <v>79.463999999999999</v>
          </cell>
          <cell r="L468">
            <v>8337</v>
          </cell>
          <cell r="M468">
            <v>50.021999999999998</v>
          </cell>
          <cell r="N468">
            <v>7760</v>
          </cell>
          <cell r="O468">
            <v>46.56</v>
          </cell>
          <cell r="P468">
            <v>7212</v>
          </cell>
          <cell r="Q468">
            <v>43.271999999999998</v>
          </cell>
          <cell r="R468">
            <v>9241</v>
          </cell>
          <cell r="S468">
            <v>55.445999999999998</v>
          </cell>
          <cell r="T468">
            <v>0</v>
          </cell>
          <cell r="U468">
            <v>0</v>
          </cell>
        </row>
        <row r="469">
          <cell r="F469">
            <v>30031027</v>
          </cell>
          <cell r="G469" t="str">
            <v>STAY D HARNESS</v>
          </cell>
          <cell r="H469" t="str">
            <v>50159-K20J-T200-H1</v>
          </cell>
          <cell r="I469">
            <v>52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10</v>
          </cell>
          <cell r="O469">
            <v>0.19230769230769232</v>
          </cell>
          <cell r="P469">
            <v>7212</v>
          </cell>
          <cell r="Q469">
            <v>138.69230769230768</v>
          </cell>
          <cell r="R469">
            <v>10</v>
          </cell>
          <cell r="S469">
            <v>0.19230769230769232</v>
          </cell>
          <cell r="T469">
            <v>0</v>
          </cell>
          <cell r="U469">
            <v>0</v>
          </cell>
        </row>
        <row r="470">
          <cell r="F470">
            <v>30031378</v>
          </cell>
          <cell r="G470" t="e">
            <v>#N/A</v>
          </cell>
          <cell r="H470" t="e">
            <v>#N/A</v>
          </cell>
          <cell r="K470" t="e">
            <v>#DIV/0!</v>
          </cell>
          <cell r="M470" t="e">
            <v>#DIV/0!</v>
          </cell>
          <cell r="N470">
            <v>0</v>
          </cell>
          <cell r="O470" t="e">
            <v>#DIV/0!</v>
          </cell>
          <cell r="P470">
            <v>0</v>
          </cell>
          <cell r="Q470" t="e">
            <v>#DIV/0!</v>
          </cell>
          <cell r="S470" t="e">
            <v>#DIV/0!</v>
          </cell>
          <cell r="U470" t="e">
            <v>#DIV/0!</v>
          </cell>
          <cell r="V470">
            <v>0</v>
          </cell>
        </row>
        <row r="471">
          <cell r="F471">
            <v>30031381</v>
          </cell>
          <cell r="G471" t="e">
            <v>#N/A</v>
          </cell>
          <cell r="H471" t="e">
            <v>#N/A</v>
          </cell>
          <cell r="K471" t="e">
            <v>#DIV/0!</v>
          </cell>
          <cell r="M471" t="e">
            <v>#DIV/0!</v>
          </cell>
          <cell r="O471" t="e">
            <v>#DIV/0!</v>
          </cell>
          <cell r="Q471" t="e">
            <v>#DIV/0!</v>
          </cell>
          <cell r="S471" t="e">
            <v>#DIV/0!</v>
          </cell>
          <cell r="U471" t="e">
            <v>#DIV/0!</v>
          </cell>
        </row>
        <row r="472">
          <cell r="F472">
            <v>30032472</v>
          </cell>
          <cell r="G472" t="str">
            <v>HOLDER SPEED CHANGE LEVER</v>
          </cell>
          <cell r="H472" t="str">
            <v>62735-38104</v>
          </cell>
          <cell r="I472">
            <v>1</v>
          </cell>
          <cell r="J472">
            <v>2350</v>
          </cell>
          <cell r="K472">
            <v>2350</v>
          </cell>
          <cell r="L472">
            <v>2550</v>
          </cell>
          <cell r="M472">
            <v>2550</v>
          </cell>
          <cell r="N472">
            <v>2275</v>
          </cell>
          <cell r="O472">
            <v>2275</v>
          </cell>
          <cell r="P472">
            <v>2650</v>
          </cell>
          <cell r="Q472">
            <v>2650</v>
          </cell>
          <cell r="R472">
            <v>2775</v>
          </cell>
          <cell r="S472">
            <v>2775</v>
          </cell>
          <cell r="U472">
            <v>0</v>
          </cell>
        </row>
        <row r="473">
          <cell r="F473">
            <v>30033038</v>
          </cell>
          <cell r="G473" t="str">
            <v>STAY L FR BRAKE HOSE</v>
          </cell>
          <cell r="H473">
            <v>0</v>
          </cell>
          <cell r="I473">
            <v>49</v>
          </cell>
          <cell r="J473">
            <v>1799</v>
          </cell>
          <cell r="K473">
            <v>36.714285714285715</v>
          </cell>
          <cell r="L473">
            <v>1576</v>
          </cell>
          <cell r="M473">
            <v>32.163265306122447</v>
          </cell>
          <cell r="N473">
            <v>1208</v>
          </cell>
          <cell r="O473">
            <v>24.653061224489797</v>
          </cell>
          <cell r="P473">
            <v>1059</v>
          </cell>
          <cell r="Q473">
            <v>21.612244897959183</v>
          </cell>
          <cell r="R473">
            <v>1501</v>
          </cell>
          <cell r="S473">
            <v>30.632653061224488</v>
          </cell>
          <cell r="T473">
            <v>0</v>
          </cell>
          <cell r="U473">
            <v>0</v>
          </cell>
        </row>
        <row r="474">
          <cell r="F474">
            <v>30033388</v>
          </cell>
          <cell r="G474" t="str">
            <v>ARM</v>
          </cell>
          <cell r="H474" t="str">
            <v>46501-K87A-A000-21</v>
          </cell>
          <cell r="I474">
            <v>18</v>
          </cell>
          <cell r="J474">
            <v>1546</v>
          </cell>
          <cell r="K474">
            <v>85.888888888888886</v>
          </cell>
          <cell r="L474">
            <v>2279</v>
          </cell>
          <cell r="M474">
            <v>126.61111111111111</v>
          </cell>
          <cell r="N474">
            <v>811</v>
          </cell>
          <cell r="O474">
            <v>45.055555555555557</v>
          </cell>
          <cell r="P474">
            <v>1724</v>
          </cell>
          <cell r="Q474">
            <v>95.777777777777771</v>
          </cell>
          <cell r="R474">
            <v>11</v>
          </cell>
          <cell r="S474">
            <v>0.61111111111111116</v>
          </cell>
          <cell r="T474">
            <v>0</v>
          </cell>
          <cell r="U474">
            <v>0</v>
          </cell>
        </row>
        <row r="475">
          <cell r="F475">
            <v>30033390</v>
          </cell>
          <cell r="G475" t="str">
            <v>HOOK STOP SPRING</v>
          </cell>
          <cell r="H475" t="str">
            <v>46501-K87A-A000-21</v>
          </cell>
          <cell r="I475">
            <v>76</v>
          </cell>
          <cell r="J475">
            <v>1546</v>
          </cell>
          <cell r="K475">
            <v>20.342105263157894</v>
          </cell>
          <cell r="L475">
            <v>2279</v>
          </cell>
          <cell r="M475">
            <v>29.986842105263158</v>
          </cell>
          <cell r="N475">
            <v>811</v>
          </cell>
          <cell r="O475">
            <v>10.671052631578947</v>
          </cell>
          <cell r="P475">
            <v>1724</v>
          </cell>
          <cell r="Q475">
            <v>22.684210526315791</v>
          </cell>
          <cell r="R475">
            <v>11</v>
          </cell>
          <cell r="S475">
            <v>0.14473684210526316</v>
          </cell>
          <cell r="T475">
            <v>0</v>
          </cell>
          <cell r="U475">
            <v>0</v>
          </cell>
        </row>
        <row r="476">
          <cell r="F476">
            <v>30033738</v>
          </cell>
          <cell r="G476" t="str">
            <v>PLATE L</v>
          </cell>
          <cell r="H476" t="str">
            <v>EF-725T(Y704)</v>
          </cell>
          <cell r="I476">
            <v>10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16</v>
          </cell>
          <cell r="O476">
            <v>1.6</v>
          </cell>
          <cell r="P476">
            <v>16</v>
          </cell>
          <cell r="Q476">
            <v>1.6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</row>
        <row r="477">
          <cell r="F477">
            <v>30033739</v>
          </cell>
          <cell r="G477" t="str">
            <v>PLATE R</v>
          </cell>
          <cell r="H477" t="str">
            <v>EF-725T(Y704)</v>
          </cell>
          <cell r="I477">
            <v>10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16</v>
          </cell>
          <cell r="O477">
            <v>1.6</v>
          </cell>
          <cell r="P477">
            <v>16</v>
          </cell>
          <cell r="Q477">
            <v>1.6</v>
          </cell>
          <cell r="S477">
            <v>0</v>
          </cell>
          <cell r="U477">
            <v>0</v>
          </cell>
        </row>
        <row r="478">
          <cell r="F478">
            <v>30033740</v>
          </cell>
          <cell r="G478" t="str">
            <v>STEP SUB</v>
          </cell>
          <cell r="H478" t="str">
            <v>EF-725T(Y704)</v>
          </cell>
          <cell r="I478">
            <v>1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32</v>
          </cell>
          <cell r="O478">
            <v>32</v>
          </cell>
          <cell r="P478">
            <v>32</v>
          </cell>
          <cell r="Q478">
            <v>32</v>
          </cell>
          <cell r="S478">
            <v>0</v>
          </cell>
          <cell r="U478">
            <v>0</v>
          </cell>
        </row>
        <row r="479">
          <cell r="F479" t="str">
            <v>30033744-1</v>
          </cell>
          <cell r="G479" t="str">
            <v>BRACKET TANK COVER A</v>
          </cell>
          <cell r="H479" t="str">
            <v>EF-725T(Y704)</v>
          </cell>
          <cell r="I479">
            <v>33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U479">
            <v>0</v>
          </cell>
        </row>
        <row r="480">
          <cell r="F480" t="str">
            <v>30033744-2</v>
          </cell>
          <cell r="G480" t="str">
            <v>BRACKET TANK COVER C</v>
          </cell>
          <cell r="H480" t="str">
            <v>EF-725T(Y704)</v>
          </cell>
          <cell r="I480">
            <v>22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S480">
            <v>0</v>
          </cell>
          <cell r="U480">
            <v>0</v>
          </cell>
        </row>
        <row r="481">
          <cell r="F481" t="str">
            <v>30033744-3</v>
          </cell>
          <cell r="G481" t="str">
            <v>BRACKET LICENSE</v>
          </cell>
          <cell r="H481" t="str">
            <v>EF-725T(Y704)</v>
          </cell>
          <cell r="I481">
            <v>10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S481">
            <v>0</v>
          </cell>
          <cell r="U481">
            <v>0</v>
          </cell>
        </row>
        <row r="482">
          <cell r="F482">
            <v>30033764</v>
          </cell>
          <cell r="G482" t="str">
            <v>PLATE LOWER</v>
          </cell>
          <cell r="H482" t="str">
            <v>EF-725T(Y704)</v>
          </cell>
          <cell r="I482">
            <v>27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S482">
            <v>0</v>
          </cell>
          <cell r="U482">
            <v>0</v>
          </cell>
        </row>
        <row r="483">
          <cell r="F483">
            <v>30033845</v>
          </cell>
          <cell r="G483" t="str">
            <v>BRACKET TANK L</v>
          </cell>
          <cell r="H483" t="str">
            <v>EF-725T(Y704)</v>
          </cell>
          <cell r="I483">
            <v>12</v>
          </cell>
          <cell r="J483">
            <v>0</v>
          </cell>
          <cell r="K483">
            <v>0</v>
          </cell>
          <cell r="L483">
            <v>20</v>
          </cell>
          <cell r="M483">
            <v>1.6666666666666667</v>
          </cell>
          <cell r="N483">
            <v>0</v>
          </cell>
          <cell r="O483">
            <v>0</v>
          </cell>
          <cell r="P483">
            <v>20</v>
          </cell>
          <cell r="Q483">
            <v>1.6666666666666667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</row>
        <row r="484">
          <cell r="F484">
            <v>30033846</v>
          </cell>
          <cell r="G484" t="str">
            <v>BRACKET TANK R</v>
          </cell>
          <cell r="H484" t="str">
            <v>EF-725T(Y704)</v>
          </cell>
          <cell r="I484">
            <v>12</v>
          </cell>
          <cell r="J484">
            <v>0</v>
          </cell>
          <cell r="K484">
            <v>0</v>
          </cell>
          <cell r="L484">
            <v>20</v>
          </cell>
          <cell r="M484">
            <v>1.6666666666666667</v>
          </cell>
          <cell r="N484">
            <v>0</v>
          </cell>
          <cell r="O484">
            <v>0</v>
          </cell>
          <cell r="P484">
            <v>20</v>
          </cell>
          <cell r="Q484">
            <v>1.6666666666666667</v>
          </cell>
          <cell r="S484">
            <v>0</v>
          </cell>
          <cell r="U484">
            <v>0</v>
          </cell>
        </row>
        <row r="485">
          <cell r="F485" t="str">
            <v>30034400-1</v>
          </cell>
          <cell r="G485" t="e">
            <v>#N/A</v>
          </cell>
          <cell r="H485" t="e">
            <v>#N/A</v>
          </cell>
          <cell r="J485">
            <v>0</v>
          </cell>
          <cell r="K485" t="e">
            <v>#DIV/0!</v>
          </cell>
          <cell r="L485">
            <v>40</v>
          </cell>
          <cell r="M485" t="e">
            <v>#DIV/0!</v>
          </cell>
          <cell r="N485">
            <v>0</v>
          </cell>
          <cell r="O485" t="e">
            <v>#DIV/0!</v>
          </cell>
          <cell r="P485">
            <v>0</v>
          </cell>
          <cell r="Q485" t="e">
            <v>#DIV/0!</v>
          </cell>
          <cell r="R485">
            <v>0</v>
          </cell>
          <cell r="S485" t="e">
            <v>#DIV/0!</v>
          </cell>
          <cell r="T485">
            <v>0</v>
          </cell>
          <cell r="U485" t="e">
            <v>#DIV/0!</v>
          </cell>
        </row>
        <row r="486">
          <cell r="F486" t="str">
            <v>30034400-2</v>
          </cell>
          <cell r="G486" t="str">
            <v>PLATE B TREAD BAR</v>
          </cell>
          <cell r="H486" t="str">
            <v>50500-KSSX-J300-20</v>
          </cell>
          <cell r="I486">
            <v>63</v>
          </cell>
          <cell r="J486">
            <v>0</v>
          </cell>
          <cell r="K486">
            <v>0</v>
          </cell>
          <cell r="L486">
            <v>40</v>
          </cell>
          <cell r="M486">
            <v>0.63492063492063489</v>
          </cell>
          <cell r="N486">
            <v>0</v>
          </cell>
          <cell r="O486">
            <v>0</v>
          </cell>
          <cell r="Q486">
            <v>0</v>
          </cell>
          <cell r="S486">
            <v>0</v>
          </cell>
          <cell r="U486">
            <v>0</v>
          </cell>
        </row>
        <row r="487">
          <cell r="F487" t="str">
            <v>30035044-1</v>
          </cell>
          <cell r="G487" t="str">
            <v>PLATE BASE</v>
          </cell>
          <cell r="H487" t="str">
            <v>64343-K94A-T000-H1</v>
          </cell>
          <cell r="I487">
            <v>12</v>
          </cell>
          <cell r="J487">
            <v>12</v>
          </cell>
          <cell r="K487">
            <v>1</v>
          </cell>
          <cell r="L487">
            <v>9</v>
          </cell>
          <cell r="M487">
            <v>0.75</v>
          </cell>
          <cell r="N487">
            <v>21</v>
          </cell>
          <cell r="O487">
            <v>1.75</v>
          </cell>
          <cell r="P487">
            <v>20</v>
          </cell>
          <cell r="Q487">
            <v>1.6666666666666667</v>
          </cell>
          <cell r="R487">
            <v>23</v>
          </cell>
          <cell r="S487">
            <v>1.9166666666666667</v>
          </cell>
          <cell r="T487">
            <v>0</v>
          </cell>
          <cell r="U487">
            <v>0</v>
          </cell>
        </row>
        <row r="488">
          <cell r="F488" t="str">
            <v>30035044-2</v>
          </cell>
          <cell r="G488" t="e">
            <v>#N/A</v>
          </cell>
          <cell r="H488" t="e">
            <v>#N/A</v>
          </cell>
          <cell r="I488">
            <v>1</v>
          </cell>
          <cell r="J488">
            <v>12</v>
          </cell>
          <cell r="K488">
            <v>12</v>
          </cell>
          <cell r="L488">
            <v>9</v>
          </cell>
          <cell r="M488">
            <v>9</v>
          </cell>
          <cell r="N488">
            <v>21</v>
          </cell>
          <cell r="O488">
            <v>21</v>
          </cell>
          <cell r="P488">
            <v>20</v>
          </cell>
          <cell r="Q488">
            <v>20</v>
          </cell>
          <cell r="R488">
            <v>23</v>
          </cell>
          <cell r="S488">
            <v>23</v>
          </cell>
          <cell r="T488">
            <v>0</v>
          </cell>
          <cell r="U488">
            <v>0</v>
          </cell>
        </row>
        <row r="489">
          <cell r="F489" t="str">
            <v>30035048/30035049-1</v>
          </cell>
          <cell r="G489" t="str">
            <v>STAY COUPLER (ใช้ R+L)</v>
          </cell>
          <cell r="H489" t="str">
            <v>61348-K94A-T000-H1</v>
          </cell>
          <cell r="I489">
            <v>2</v>
          </cell>
          <cell r="J489">
            <v>24</v>
          </cell>
          <cell r="K489">
            <v>12</v>
          </cell>
          <cell r="L489">
            <v>18</v>
          </cell>
          <cell r="M489">
            <v>9</v>
          </cell>
          <cell r="N489">
            <v>42</v>
          </cell>
          <cell r="O489">
            <v>21</v>
          </cell>
          <cell r="P489">
            <v>40</v>
          </cell>
          <cell r="Q489">
            <v>20</v>
          </cell>
          <cell r="R489">
            <v>46</v>
          </cell>
          <cell r="S489">
            <v>23</v>
          </cell>
          <cell r="T489">
            <v>0</v>
          </cell>
          <cell r="U489">
            <v>0</v>
          </cell>
        </row>
        <row r="490">
          <cell r="F490" t="str">
            <v>30035048/30035049-3</v>
          </cell>
          <cell r="G490" t="e">
            <v>#N/A</v>
          </cell>
          <cell r="H490" t="e">
            <v>#N/A</v>
          </cell>
          <cell r="I490">
            <v>2</v>
          </cell>
          <cell r="J490">
            <v>24</v>
          </cell>
          <cell r="K490">
            <v>12</v>
          </cell>
          <cell r="L490">
            <v>18</v>
          </cell>
          <cell r="M490">
            <v>9</v>
          </cell>
          <cell r="N490">
            <v>42</v>
          </cell>
          <cell r="O490">
            <v>21</v>
          </cell>
          <cell r="P490">
            <v>40</v>
          </cell>
          <cell r="Q490">
            <v>20</v>
          </cell>
          <cell r="R490">
            <v>46</v>
          </cell>
          <cell r="S490">
            <v>23</v>
          </cell>
          <cell r="T490">
            <v>0</v>
          </cell>
          <cell r="U490">
            <v>0</v>
          </cell>
        </row>
        <row r="491">
          <cell r="F491" t="str">
            <v>30035048-2</v>
          </cell>
          <cell r="G491" t="str">
            <v>STAY R COWL FR</v>
          </cell>
          <cell r="H491" t="str">
            <v>61346-K94AT000-H1</v>
          </cell>
          <cell r="I491">
            <v>42</v>
          </cell>
          <cell r="J491">
            <v>24</v>
          </cell>
          <cell r="K491">
            <v>0.5714285714285714</v>
          </cell>
          <cell r="L491">
            <v>18</v>
          </cell>
          <cell r="M491">
            <v>0.42857142857142855</v>
          </cell>
          <cell r="N491">
            <v>42</v>
          </cell>
          <cell r="O491">
            <v>1</v>
          </cell>
          <cell r="P491">
            <v>40</v>
          </cell>
          <cell r="Q491">
            <v>0.95238095238095233</v>
          </cell>
          <cell r="R491">
            <v>46</v>
          </cell>
          <cell r="S491">
            <v>1.0952380952380953</v>
          </cell>
          <cell r="T491">
            <v>0</v>
          </cell>
          <cell r="U491">
            <v>0</v>
          </cell>
        </row>
        <row r="492">
          <cell r="F492" t="str">
            <v>30035049-2</v>
          </cell>
          <cell r="G492" t="str">
            <v>STAY L COWL FR</v>
          </cell>
          <cell r="H492" t="str">
            <v>50500-KSSX-J301-24</v>
          </cell>
          <cell r="I492">
            <v>42</v>
          </cell>
          <cell r="J492">
            <v>24</v>
          </cell>
          <cell r="K492">
            <v>0.5714285714285714</v>
          </cell>
          <cell r="L492">
            <v>18</v>
          </cell>
          <cell r="M492">
            <v>0.42857142857142855</v>
          </cell>
          <cell r="N492">
            <v>42</v>
          </cell>
          <cell r="O492">
            <v>1</v>
          </cell>
          <cell r="P492">
            <v>40</v>
          </cell>
          <cell r="Q492">
            <v>0.95238095238095233</v>
          </cell>
          <cell r="R492">
            <v>46</v>
          </cell>
          <cell r="S492">
            <v>1.0952380952380953</v>
          </cell>
          <cell r="T492">
            <v>0</v>
          </cell>
          <cell r="U492">
            <v>0</v>
          </cell>
        </row>
        <row r="493">
          <cell r="F493">
            <v>30035052</v>
          </cell>
          <cell r="G493" t="str">
            <v>ARM</v>
          </cell>
          <cell r="H493" t="str">
            <v>24711-K94A-T0001-21</v>
          </cell>
          <cell r="I493">
            <v>52</v>
          </cell>
          <cell r="J493">
            <v>429</v>
          </cell>
          <cell r="K493">
            <v>8.25</v>
          </cell>
          <cell r="L493">
            <v>879</v>
          </cell>
          <cell r="M493">
            <v>16.903846153846153</v>
          </cell>
          <cell r="N493">
            <v>900</v>
          </cell>
          <cell r="O493">
            <v>17.307692307692307</v>
          </cell>
          <cell r="P493">
            <v>408</v>
          </cell>
          <cell r="Q493">
            <v>7.8461538461538458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</row>
        <row r="494">
          <cell r="F494">
            <v>30035054</v>
          </cell>
          <cell r="G494" t="str">
            <v>ARM</v>
          </cell>
          <cell r="H494" t="str">
            <v>24701-K94A-T000-20</v>
          </cell>
          <cell r="I494">
            <v>20</v>
          </cell>
          <cell r="J494">
            <v>439</v>
          </cell>
          <cell r="K494">
            <v>21.95</v>
          </cell>
          <cell r="L494">
            <v>930</v>
          </cell>
          <cell r="M494">
            <v>46.5</v>
          </cell>
          <cell r="N494">
            <v>971</v>
          </cell>
          <cell r="O494">
            <v>48.55</v>
          </cell>
          <cell r="P494">
            <v>482</v>
          </cell>
          <cell r="Q494">
            <v>24.1</v>
          </cell>
          <cell r="R494">
            <v>40</v>
          </cell>
          <cell r="S494">
            <v>2</v>
          </cell>
          <cell r="T494">
            <v>0</v>
          </cell>
          <cell r="U494">
            <v>0</v>
          </cell>
        </row>
        <row r="495">
          <cell r="F495">
            <v>30035316</v>
          </cell>
          <cell r="G495" t="str">
            <v>PLATE PILL RIDER HANDLE</v>
          </cell>
          <cell r="H495" t="str">
            <v>41375-2200</v>
          </cell>
          <cell r="I495">
            <v>14</v>
          </cell>
          <cell r="J495">
            <v>360</v>
          </cell>
          <cell r="K495">
            <v>25.714285714285715</v>
          </cell>
          <cell r="L495">
            <v>360</v>
          </cell>
          <cell r="M495">
            <v>25.714285714285715</v>
          </cell>
          <cell r="N495">
            <v>360</v>
          </cell>
          <cell r="O495">
            <v>25.714285714285715</v>
          </cell>
          <cell r="P495">
            <v>120</v>
          </cell>
          <cell r="Q495">
            <v>8.5714285714285712</v>
          </cell>
          <cell r="R495">
            <v>360</v>
          </cell>
          <cell r="S495">
            <v>25.714285714285715</v>
          </cell>
          <cell r="T495">
            <v>0</v>
          </cell>
          <cell r="U495">
            <v>0</v>
          </cell>
        </row>
        <row r="496">
          <cell r="F496">
            <v>30035317</v>
          </cell>
          <cell r="G496" t="str">
            <v>BRACKET SEAT LOCK</v>
          </cell>
          <cell r="H496" t="str">
            <v>41131-45H00</v>
          </cell>
          <cell r="I496">
            <v>11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</row>
        <row r="497">
          <cell r="F497">
            <v>30035698</v>
          </cell>
          <cell r="G497" t="str">
            <v>CLIP B FUEL HOSE</v>
          </cell>
          <cell r="H497" t="str">
            <v>50122-MF2-3000</v>
          </cell>
          <cell r="I497">
            <v>19</v>
          </cell>
          <cell r="J497">
            <v>35054</v>
          </cell>
          <cell r="K497">
            <v>1844.9473684210527</v>
          </cell>
          <cell r="L497">
            <v>32264</v>
          </cell>
          <cell r="M497">
            <v>1698.1052631578948</v>
          </cell>
          <cell r="N497">
            <v>31612</v>
          </cell>
          <cell r="O497">
            <v>1663.7894736842106</v>
          </cell>
          <cell r="P497">
            <v>28662</v>
          </cell>
          <cell r="Q497">
            <v>1508.5263157894738</v>
          </cell>
          <cell r="R497">
            <v>28398</v>
          </cell>
          <cell r="S497">
            <v>1494.6315789473683</v>
          </cell>
          <cell r="T497">
            <v>32588</v>
          </cell>
          <cell r="U497">
            <v>1715.1578947368421</v>
          </cell>
        </row>
        <row r="498">
          <cell r="F498">
            <v>30035699</v>
          </cell>
          <cell r="G498" t="str">
            <v>GUSSET FR INNER</v>
          </cell>
          <cell r="H498" t="str">
            <v>50197-K97F-T004-H1</v>
          </cell>
          <cell r="I498">
            <v>46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40</v>
          </cell>
          <cell r="O498">
            <v>0.86956521739130432</v>
          </cell>
          <cell r="P498">
            <v>40</v>
          </cell>
          <cell r="Q498">
            <v>0.86956521739130432</v>
          </cell>
          <cell r="R498">
            <v>40</v>
          </cell>
          <cell r="S498">
            <v>0.86956521739130432</v>
          </cell>
          <cell r="T498">
            <v>0</v>
          </cell>
          <cell r="U498">
            <v>0</v>
          </cell>
        </row>
        <row r="499">
          <cell r="F499">
            <v>30035700</v>
          </cell>
          <cell r="G499" t="str">
            <v>GUSSET FR UPPER</v>
          </cell>
          <cell r="H499" t="str">
            <v>50146-K97F-T004-H1</v>
          </cell>
          <cell r="I499">
            <v>66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40</v>
          </cell>
          <cell r="O499">
            <v>0.60606060606060608</v>
          </cell>
          <cell r="P499">
            <v>40</v>
          </cell>
          <cell r="Q499">
            <v>0.60606060606060608</v>
          </cell>
          <cell r="R499">
            <v>40</v>
          </cell>
          <cell r="S499">
            <v>0.60606060606060608</v>
          </cell>
          <cell r="T499">
            <v>0</v>
          </cell>
          <cell r="U499">
            <v>0</v>
          </cell>
        </row>
        <row r="500">
          <cell r="F500">
            <v>30035702</v>
          </cell>
          <cell r="G500" t="str">
            <v>GUSSET R FR MID SIZE</v>
          </cell>
          <cell r="H500" t="str">
            <v>50125-K97F-T000-H1</v>
          </cell>
          <cell r="I500">
            <v>22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20</v>
          </cell>
          <cell r="O500">
            <v>0.90909090909090906</v>
          </cell>
          <cell r="P500">
            <v>20</v>
          </cell>
          <cell r="Q500">
            <v>0.90909090909090906</v>
          </cell>
          <cell r="R500">
            <v>20</v>
          </cell>
          <cell r="S500">
            <v>0.90909090909090906</v>
          </cell>
          <cell r="T500">
            <v>0</v>
          </cell>
          <cell r="U500">
            <v>0</v>
          </cell>
        </row>
        <row r="501">
          <cell r="F501">
            <v>30035703</v>
          </cell>
          <cell r="G501" t="str">
            <v>PATCH R SUB PIPE FR</v>
          </cell>
          <cell r="H501" t="str">
            <v>50155-K97F-T002-H1</v>
          </cell>
          <cell r="I501">
            <v>24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20</v>
          </cell>
          <cell r="O501">
            <v>0.83333333333333337</v>
          </cell>
          <cell r="P501">
            <v>20</v>
          </cell>
          <cell r="Q501">
            <v>0.83333333333333337</v>
          </cell>
          <cell r="R501">
            <v>20</v>
          </cell>
          <cell r="S501">
            <v>0.83333333333333337</v>
          </cell>
          <cell r="T501">
            <v>0</v>
          </cell>
          <cell r="U501">
            <v>0</v>
          </cell>
        </row>
        <row r="502">
          <cell r="F502">
            <v>30035705</v>
          </cell>
          <cell r="G502" t="str">
            <v>STAY A COUPLER</v>
          </cell>
          <cell r="H502" t="str">
            <v>50184-K97F-T003-H1</v>
          </cell>
          <cell r="I502">
            <v>49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20</v>
          </cell>
          <cell r="O502">
            <v>0.40816326530612246</v>
          </cell>
          <cell r="P502">
            <v>20</v>
          </cell>
          <cell r="Q502">
            <v>0.40816326530612246</v>
          </cell>
          <cell r="R502">
            <v>20</v>
          </cell>
          <cell r="S502">
            <v>0.40816326530612246</v>
          </cell>
          <cell r="T502">
            <v>0</v>
          </cell>
          <cell r="U502">
            <v>0</v>
          </cell>
        </row>
        <row r="503">
          <cell r="F503" t="str">
            <v>30035708-1</v>
          </cell>
          <cell r="G503" t="str">
            <v>STAY R</v>
          </cell>
          <cell r="H503" t="str">
            <v>50147-K97F-T000-H1</v>
          </cell>
          <cell r="I503">
            <v>22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20</v>
          </cell>
          <cell r="O503">
            <v>0.90909090909090906</v>
          </cell>
          <cell r="P503">
            <v>20</v>
          </cell>
          <cell r="Q503">
            <v>0.90909090909090906</v>
          </cell>
          <cell r="R503">
            <v>20</v>
          </cell>
          <cell r="S503">
            <v>0.90909090909090906</v>
          </cell>
          <cell r="T503">
            <v>0</v>
          </cell>
          <cell r="U503">
            <v>0</v>
          </cell>
        </row>
        <row r="504">
          <cell r="F504">
            <v>30035718</v>
          </cell>
          <cell r="G504" t="str">
            <v>GUSSET L</v>
          </cell>
          <cell r="H504" t="str">
            <v>50126-K97F-T000-H1</v>
          </cell>
          <cell r="I504">
            <v>22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20</v>
          </cell>
          <cell r="O504">
            <v>0.90909090909090906</v>
          </cell>
          <cell r="P504">
            <v>20</v>
          </cell>
          <cell r="Q504">
            <v>0.90909090909090906</v>
          </cell>
          <cell r="R504">
            <v>20</v>
          </cell>
          <cell r="S504">
            <v>0.90909090909090906</v>
          </cell>
          <cell r="T504">
            <v>0</v>
          </cell>
          <cell r="U504">
            <v>0</v>
          </cell>
        </row>
        <row r="505">
          <cell r="F505">
            <v>30035719</v>
          </cell>
          <cell r="G505" t="str">
            <v>PATCH L SUB PIPE FR</v>
          </cell>
          <cell r="H505" t="str">
            <v>50156-K97F-T002-H1</v>
          </cell>
          <cell r="I505">
            <v>24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20</v>
          </cell>
          <cell r="O505">
            <v>0.83333333333333337</v>
          </cell>
          <cell r="P505">
            <v>20</v>
          </cell>
          <cell r="Q505">
            <v>0.83333333333333337</v>
          </cell>
          <cell r="R505">
            <v>20</v>
          </cell>
          <cell r="S505">
            <v>0.83333333333333337</v>
          </cell>
          <cell r="T505">
            <v>0</v>
          </cell>
          <cell r="U505">
            <v>0</v>
          </cell>
        </row>
        <row r="506">
          <cell r="F506" t="str">
            <v>30035722-1</v>
          </cell>
          <cell r="G506" t="str">
            <v>STAY L</v>
          </cell>
          <cell r="H506" t="str">
            <v>50148-K97F-T000-H1</v>
          </cell>
          <cell r="I506">
            <v>22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20</v>
          </cell>
          <cell r="O506">
            <v>0.90909090909090906</v>
          </cell>
          <cell r="P506">
            <v>20</v>
          </cell>
          <cell r="Q506">
            <v>0.90909090909090906</v>
          </cell>
          <cell r="R506">
            <v>20</v>
          </cell>
          <cell r="S506">
            <v>0.90909090909090906</v>
          </cell>
          <cell r="T506">
            <v>0</v>
          </cell>
          <cell r="U506">
            <v>0</v>
          </cell>
        </row>
        <row r="507">
          <cell r="F507">
            <v>30035783</v>
          </cell>
          <cell r="G507" t="str">
            <v>ARM</v>
          </cell>
          <cell r="H507" t="str">
            <v>24711-KOAA-E102-21</v>
          </cell>
          <cell r="I507">
            <v>50</v>
          </cell>
          <cell r="J507">
            <v>12</v>
          </cell>
          <cell r="K507">
            <v>0.24</v>
          </cell>
          <cell r="L507">
            <v>24</v>
          </cell>
          <cell r="M507">
            <v>0.48</v>
          </cell>
          <cell r="N507">
            <v>36</v>
          </cell>
          <cell r="O507">
            <v>0.72</v>
          </cell>
          <cell r="P507">
            <v>36</v>
          </cell>
          <cell r="Q507">
            <v>0.72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</row>
        <row r="508">
          <cell r="F508">
            <v>30036268</v>
          </cell>
          <cell r="G508" t="str">
            <v>CLAMP CABLE</v>
          </cell>
          <cell r="H508" t="str">
            <v>50191-GAV-7000-H1</v>
          </cell>
          <cell r="I508">
            <v>69</v>
          </cell>
          <cell r="J508">
            <v>6</v>
          </cell>
          <cell r="K508">
            <v>8.6956521739130432E-2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10</v>
          </cell>
          <cell r="Q508">
            <v>0.14492753623188406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</row>
        <row r="509">
          <cell r="F509">
            <v>30036276</v>
          </cell>
          <cell r="G509" t="str">
            <v>STAY L FR AIR/C</v>
          </cell>
          <cell r="H509" t="str">
            <v>50157-K0FA-T000-H1</v>
          </cell>
          <cell r="I509">
            <v>23</v>
          </cell>
          <cell r="J509">
            <v>1305</v>
          </cell>
          <cell r="K509">
            <v>56.739130434782609</v>
          </cell>
          <cell r="L509">
            <v>949</v>
          </cell>
          <cell r="M509">
            <v>41.260869565217391</v>
          </cell>
          <cell r="N509">
            <v>1456</v>
          </cell>
          <cell r="O509">
            <v>63.304347826086953</v>
          </cell>
          <cell r="P509">
            <v>982</v>
          </cell>
          <cell r="Q509">
            <v>42.695652173913047</v>
          </cell>
          <cell r="R509">
            <v>943</v>
          </cell>
          <cell r="S509">
            <v>41</v>
          </cell>
          <cell r="T509">
            <v>0</v>
          </cell>
          <cell r="U509">
            <v>0</v>
          </cell>
        </row>
        <row r="510">
          <cell r="F510">
            <v>30036280</v>
          </cell>
          <cell r="G510" t="str">
            <v>STAY HARNESS CLIP</v>
          </cell>
          <cell r="H510" t="str">
            <v>50161-KOFA-T000-H1</v>
          </cell>
          <cell r="I510">
            <v>47</v>
          </cell>
          <cell r="J510">
            <v>1305</v>
          </cell>
          <cell r="K510">
            <v>27.76595744680851</v>
          </cell>
          <cell r="L510">
            <v>949</v>
          </cell>
          <cell r="M510">
            <v>20.191489361702128</v>
          </cell>
          <cell r="N510">
            <v>1456</v>
          </cell>
          <cell r="O510">
            <v>30.978723404255319</v>
          </cell>
          <cell r="P510">
            <v>982</v>
          </cell>
          <cell r="Q510">
            <v>20.893617021276597</v>
          </cell>
          <cell r="R510">
            <v>943</v>
          </cell>
          <cell r="S510">
            <v>20.063829787234042</v>
          </cell>
          <cell r="T510">
            <v>0</v>
          </cell>
          <cell r="U510">
            <v>0</v>
          </cell>
        </row>
        <row r="511">
          <cell r="F511">
            <v>30036282</v>
          </cell>
          <cell r="G511" t="str">
            <v>STAY IGN COIL</v>
          </cell>
          <cell r="H511" t="str">
            <v>50143-K0FA-T000-H1</v>
          </cell>
          <cell r="I511">
            <v>23</v>
          </cell>
          <cell r="J511">
            <v>1305</v>
          </cell>
          <cell r="K511">
            <v>56.739130434782609</v>
          </cell>
          <cell r="L511">
            <v>949</v>
          </cell>
          <cell r="M511">
            <v>41.260869565217391</v>
          </cell>
          <cell r="N511">
            <v>1456</v>
          </cell>
          <cell r="O511">
            <v>63.304347826086953</v>
          </cell>
          <cell r="P511">
            <v>982</v>
          </cell>
          <cell r="Q511">
            <v>42.695652173913047</v>
          </cell>
          <cell r="R511">
            <v>943</v>
          </cell>
          <cell r="S511">
            <v>41</v>
          </cell>
          <cell r="T511">
            <v>0</v>
          </cell>
          <cell r="U511">
            <v>0</v>
          </cell>
        </row>
        <row r="512">
          <cell r="F512">
            <v>30036285</v>
          </cell>
          <cell r="G512" t="str">
            <v>STAY FR ABS</v>
          </cell>
          <cell r="H512" t="str">
            <v>50156-K0FA-T000-H1</v>
          </cell>
          <cell r="I512">
            <v>78</v>
          </cell>
          <cell r="J512">
            <v>1305</v>
          </cell>
          <cell r="K512">
            <v>16.73076923076923</v>
          </cell>
          <cell r="L512">
            <v>949</v>
          </cell>
          <cell r="M512">
            <v>12.166666666666666</v>
          </cell>
          <cell r="N512">
            <v>1456</v>
          </cell>
          <cell r="O512">
            <v>18.666666666666668</v>
          </cell>
          <cell r="P512">
            <v>972</v>
          </cell>
          <cell r="Q512">
            <v>12.461538461538462</v>
          </cell>
          <cell r="R512">
            <v>934</v>
          </cell>
          <cell r="S512">
            <v>11.974358974358974</v>
          </cell>
          <cell r="T512">
            <v>0</v>
          </cell>
          <cell r="U512">
            <v>0</v>
          </cell>
        </row>
        <row r="513">
          <cell r="F513" t="str">
            <v>30037445-1</v>
          </cell>
          <cell r="G513" t="str">
            <v>BRACKET SUB COMP "BRKT"</v>
          </cell>
          <cell r="H513" t="str">
            <v>64242-MKPA-J802-H1</v>
          </cell>
          <cell r="I513">
            <v>9</v>
          </cell>
          <cell r="J513">
            <v>54</v>
          </cell>
          <cell r="K513">
            <v>6</v>
          </cell>
          <cell r="L513">
            <v>76</v>
          </cell>
          <cell r="M513">
            <v>8.4444444444444446</v>
          </cell>
          <cell r="N513">
            <v>42</v>
          </cell>
          <cell r="O513">
            <v>4.666666666666667</v>
          </cell>
          <cell r="P513">
            <v>42</v>
          </cell>
          <cell r="Q513">
            <v>4.666666666666667</v>
          </cell>
          <cell r="R513">
            <v>43</v>
          </cell>
          <cell r="S513">
            <v>4.7777777777777777</v>
          </cell>
          <cell r="T513">
            <v>0</v>
          </cell>
          <cell r="U513">
            <v>0</v>
          </cell>
        </row>
        <row r="514">
          <cell r="F514" t="str">
            <v>30037445-2</v>
          </cell>
          <cell r="G514" t="str">
            <v>BRACKET SUB COMP "BRKT"</v>
          </cell>
          <cell r="H514" t="str">
            <v>64221-MKPA-J800-22</v>
          </cell>
          <cell r="I514">
            <v>31</v>
          </cell>
          <cell r="J514">
            <v>54</v>
          </cell>
          <cell r="K514">
            <v>1.7419354838709677</v>
          </cell>
          <cell r="L514">
            <v>76</v>
          </cell>
          <cell r="M514">
            <v>2.4516129032258065</v>
          </cell>
          <cell r="N514">
            <v>42</v>
          </cell>
          <cell r="O514">
            <v>1.3548387096774193</v>
          </cell>
          <cell r="P514">
            <v>42</v>
          </cell>
          <cell r="Q514">
            <v>1.3548387096774193</v>
          </cell>
          <cell r="R514">
            <v>43</v>
          </cell>
          <cell r="S514">
            <v>1.3870967741935485</v>
          </cell>
          <cell r="T514">
            <v>0</v>
          </cell>
          <cell r="U514">
            <v>0</v>
          </cell>
          <cell r="V514">
            <v>0</v>
          </cell>
        </row>
        <row r="515">
          <cell r="F515">
            <v>30037447</v>
          </cell>
          <cell r="G515" t="str">
            <v>STAY A METER PANEL</v>
          </cell>
          <cell r="H515" t="str">
            <v>64222-MKPA-JE04-H1</v>
          </cell>
          <cell r="I515">
            <v>11</v>
          </cell>
          <cell r="J515">
            <v>54</v>
          </cell>
          <cell r="K515">
            <v>4.9090909090909092</v>
          </cell>
          <cell r="L515">
            <v>76</v>
          </cell>
          <cell r="M515">
            <v>6.9090909090909092</v>
          </cell>
          <cell r="N515">
            <v>42</v>
          </cell>
          <cell r="O515">
            <v>3.8181818181818183</v>
          </cell>
          <cell r="P515">
            <v>42</v>
          </cell>
          <cell r="Q515">
            <v>3.8181818181818183</v>
          </cell>
          <cell r="R515">
            <v>43</v>
          </cell>
          <cell r="S515">
            <v>3.9090909090909092</v>
          </cell>
          <cell r="T515">
            <v>0</v>
          </cell>
          <cell r="U515">
            <v>0</v>
          </cell>
        </row>
        <row r="516">
          <cell r="F516">
            <v>30039726</v>
          </cell>
          <cell r="G516" t="str">
            <v>GUSSET FR INNER</v>
          </cell>
          <cell r="H516" t="str">
            <v>50197-K0WA-N000-H1</v>
          </cell>
          <cell r="I516">
            <v>45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</row>
        <row r="517">
          <cell r="F517">
            <v>30039733</v>
          </cell>
          <cell r="G517" t="str">
            <v>GUSSET R FR MID SIDE</v>
          </cell>
          <cell r="H517" t="str">
            <v>50125-K97-B000-H1</v>
          </cell>
          <cell r="I517">
            <v>22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</row>
        <row r="518">
          <cell r="F518">
            <v>30039734</v>
          </cell>
          <cell r="G518" t="str">
            <v>GUSSET L FR MID SIDE</v>
          </cell>
          <cell r="H518" t="str">
            <v>50126-K97-B000-H1</v>
          </cell>
          <cell r="I518">
            <v>22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</row>
        <row r="519">
          <cell r="F519">
            <v>30039735</v>
          </cell>
          <cell r="G519" t="str">
            <v>STAY R F TANK FR</v>
          </cell>
          <cell r="H519" t="str">
            <v>50147-K0WA-N000-H1</v>
          </cell>
          <cell r="I519">
            <v>22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</row>
        <row r="520">
          <cell r="F520">
            <v>30039736</v>
          </cell>
          <cell r="G520" t="str">
            <v>STAY L F TANK FR</v>
          </cell>
          <cell r="H520" t="str">
            <v>50148-K0WA-N000-H2</v>
          </cell>
          <cell r="I520">
            <v>22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</row>
        <row r="521">
          <cell r="F521" t="str">
            <v>73018597/30040247</v>
          </cell>
          <cell r="G521" t="str">
            <v>PLATE IGNITION COIL RR</v>
          </cell>
          <cell r="H521" t="str">
            <v>41289-45H00</v>
          </cell>
          <cell r="I521">
            <v>50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</row>
        <row r="522">
          <cell r="F522">
            <v>30040672</v>
          </cell>
          <cell r="G522" t="str">
            <v>STAY RETURN SPG</v>
          </cell>
          <cell r="H522" t="str">
            <v>46500-K2EA-T000-21</v>
          </cell>
          <cell r="I522">
            <v>1</v>
          </cell>
          <cell r="J522">
            <v>977</v>
          </cell>
          <cell r="K522">
            <v>977</v>
          </cell>
          <cell r="L522">
            <v>1006</v>
          </cell>
          <cell r="M522">
            <v>1006</v>
          </cell>
          <cell r="N522">
            <v>632</v>
          </cell>
          <cell r="O522">
            <v>632</v>
          </cell>
          <cell r="P522">
            <v>932</v>
          </cell>
          <cell r="Q522">
            <v>932</v>
          </cell>
          <cell r="R522">
            <v>926</v>
          </cell>
          <cell r="S522">
            <v>926</v>
          </cell>
          <cell r="T522">
            <v>0</v>
          </cell>
          <cell r="U522">
            <v>0</v>
          </cell>
        </row>
        <row r="523">
          <cell r="F523">
            <v>30040673</v>
          </cell>
          <cell r="G523" t="str">
            <v>STAY STOP SW SPG</v>
          </cell>
          <cell r="H523" t="str">
            <v>46500-K2EA-T000-22</v>
          </cell>
          <cell r="I523">
            <v>1.51</v>
          </cell>
          <cell r="J523">
            <v>977</v>
          </cell>
          <cell r="K523">
            <v>647.0198675496689</v>
          </cell>
          <cell r="L523">
            <v>1006</v>
          </cell>
          <cell r="M523">
            <v>666.22516556291396</v>
          </cell>
          <cell r="N523">
            <v>632</v>
          </cell>
          <cell r="O523">
            <v>418.54304635761588</v>
          </cell>
          <cell r="P523">
            <v>932</v>
          </cell>
          <cell r="Q523">
            <v>617.21854304635758</v>
          </cell>
          <cell r="R523">
            <v>926</v>
          </cell>
          <cell r="S523">
            <v>613.24503311258275</v>
          </cell>
          <cell r="T523">
            <v>0</v>
          </cell>
          <cell r="U523">
            <v>0</v>
          </cell>
        </row>
        <row r="524">
          <cell r="F524">
            <v>30040677</v>
          </cell>
          <cell r="G524" t="str">
            <v>STAY R</v>
          </cell>
          <cell r="H524" t="str">
            <v>64100-K2EA-T001-21</v>
          </cell>
          <cell r="I524">
            <v>1.3</v>
          </cell>
          <cell r="J524">
            <v>977</v>
          </cell>
          <cell r="K524">
            <v>751.53846153846155</v>
          </cell>
          <cell r="L524">
            <v>1006</v>
          </cell>
          <cell r="M524">
            <v>773.84615384615381</v>
          </cell>
          <cell r="N524">
            <v>632</v>
          </cell>
          <cell r="O524">
            <v>486.15384615384613</v>
          </cell>
          <cell r="P524">
            <v>932</v>
          </cell>
          <cell r="Q524">
            <v>716.92307692307691</v>
          </cell>
          <cell r="R524">
            <v>926</v>
          </cell>
          <cell r="S524">
            <v>712.30769230769226</v>
          </cell>
          <cell r="T524">
            <v>0</v>
          </cell>
          <cell r="U524">
            <v>0</v>
          </cell>
        </row>
        <row r="525">
          <cell r="F525">
            <v>30040679</v>
          </cell>
          <cell r="G525" t="str">
            <v>STAY L</v>
          </cell>
          <cell r="H525" t="str">
            <v>64200-K2EA-T001-21</v>
          </cell>
          <cell r="I525">
            <v>1.3</v>
          </cell>
          <cell r="J525">
            <v>929</v>
          </cell>
          <cell r="K525">
            <v>714.61538461538464</v>
          </cell>
          <cell r="L525">
            <v>1006</v>
          </cell>
          <cell r="M525">
            <v>773.84615384615381</v>
          </cell>
          <cell r="N525">
            <v>632</v>
          </cell>
          <cell r="O525">
            <v>486.15384615384613</v>
          </cell>
          <cell r="P525">
            <v>932</v>
          </cell>
          <cell r="Q525">
            <v>716.92307692307691</v>
          </cell>
          <cell r="R525">
            <v>926</v>
          </cell>
          <cell r="S525">
            <v>712.30769230769226</v>
          </cell>
          <cell r="T525">
            <v>0</v>
          </cell>
          <cell r="U525">
            <v>0</v>
          </cell>
        </row>
        <row r="526">
          <cell r="F526" t="str">
            <v>30040688-1</v>
          </cell>
          <cell r="G526" t="str">
            <v>STAY R/L FR OUTER</v>
          </cell>
          <cell r="H526" t="str">
            <v>81200-K2EA-T001-30</v>
          </cell>
          <cell r="I526">
            <v>14</v>
          </cell>
          <cell r="J526">
            <v>968</v>
          </cell>
          <cell r="K526">
            <v>69.142857142857139</v>
          </cell>
          <cell r="L526">
            <v>1006</v>
          </cell>
          <cell r="M526">
            <v>71.857142857142861</v>
          </cell>
          <cell r="N526">
            <v>632</v>
          </cell>
          <cell r="O526">
            <v>45.142857142857146</v>
          </cell>
          <cell r="P526">
            <v>932</v>
          </cell>
          <cell r="Q526">
            <v>66.571428571428569</v>
          </cell>
          <cell r="R526">
            <v>926</v>
          </cell>
          <cell r="S526">
            <v>66.142857142857139</v>
          </cell>
          <cell r="T526">
            <v>0</v>
          </cell>
          <cell r="U526">
            <v>0</v>
          </cell>
        </row>
        <row r="527">
          <cell r="F527" t="str">
            <v>30040688-2</v>
          </cell>
          <cell r="G527" t="str">
            <v>STAY R FR OUTER</v>
          </cell>
          <cell r="H527" t="str">
            <v>81200-K2EA-T001-32</v>
          </cell>
          <cell r="I527">
            <v>12</v>
          </cell>
          <cell r="J527">
            <v>968</v>
          </cell>
          <cell r="K527">
            <v>80.666666666666671</v>
          </cell>
          <cell r="L527">
            <v>1006</v>
          </cell>
          <cell r="M527">
            <v>83.833333333333329</v>
          </cell>
          <cell r="N527">
            <v>632</v>
          </cell>
          <cell r="O527">
            <v>52.666666666666664</v>
          </cell>
          <cell r="P527">
            <v>932</v>
          </cell>
          <cell r="Q527">
            <v>77.666666666666671</v>
          </cell>
          <cell r="R527">
            <v>926</v>
          </cell>
          <cell r="S527">
            <v>77.166666666666671</v>
          </cell>
          <cell r="T527">
            <v>0</v>
          </cell>
          <cell r="U527">
            <v>0</v>
          </cell>
        </row>
        <row r="528">
          <cell r="F528" t="str">
            <v>30040688-3</v>
          </cell>
          <cell r="G528" t="e">
            <v>#N/A</v>
          </cell>
          <cell r="H528" t="e">
            <v>#N/A</v>
          </cell>
          <cell r="J528">
            <v>968</v>
          </cell>
          <cell r="K528" t="e">
            <v>#DIV/0!</v>
          </cell>
          <cell r="L528">
            <v>1006</v>
          </cell>
          <cell r="M528" t="e">
            <v>#DIV/0!</v>
          </cell>
          <cell r="N528">
            <v>632</v>
          </cell>
          <cell r="O528" t="e">
            <v>#DIV/0!</v>
          </cell>
          <cell r="P528">
            <v>932</v>
          </cell>
          <cell r="Q528" t="e">
            <v>#DIV/0!</v>
          </cell>
          <cell r="R528">
            <v>926</v>
          </cell>
          <cell r="S528" t="e">
            <v>#DIV/0!</v>
          </cell>
          <cell r="T528">
            <v>0</v>
          </cell>
          <cell r="U528" t="e">
            <v>#DIV/0!</v>
          </cell>
        </row>
        <row r="529">
          <cell r="F529" t="str">
            <v>30040689-1</v>
          </cell>
          <cell r="G529" t="str">
            <v>STAY L FR OUTER</v>
          </cell>
          <cell r="H529" t="str">
            <v>81200-K2EA-T001-31</v>
          </cell>
          <cell r="I529">
            <v>14</v>
          </cell>
          <cell r="J529">
            <v>968</v>
          </cell>
          <cell r="K529">
            <v>69.142857142857139</v>
          </cell>
          <cell r="L529">
            <v>1006</v>
          </cell>
          <cell r="M529">
            <v>71.857142857142861</v>
          </cell>
          <cell r="N529">
            <v>632</v>
          </cell>
          <cell r="O529">
            <v>45.142857142857146</v>
          </cell>
          <cell r="P529">
            <v>932</v>
          </cell>
          <cell r="Q529">
            <v>66.571428571428569</v>
          </cell>
          <cell r="R529">
            <v>926</v>
          </cell>
          <cell r="S529">
            <v>66.142857142857139</v>
          </cell>
          <cell r="T529">
            <v>0</v>
          </cell>
          <cell r="U529">
            <v>0</v>
          </cell>
        </row>
        <row r="530">
          <cell r="F530" t="str">
            <v>30040689-2</v>
          </cell>
          <cell r="G530" t="str">
            <v>STAY L FR OUTER</v>
          </cell>
          <cell r="H530" t="str">
            <v>81200-K2EA-T001-33</v>
          </cell>
          <cell r="J530">
            <v>968</v>
          </cell>
          <cell r="K530" t="e">
            <v>#DIV/0!</v>
          </cell>
          <cell r="L530">
            <v>1006</v>
          </cell>
          <cell r="M530" t="e">
            <v>#DIV/0!</v>
          </cell>
          <cell r="N530">
            <v>632</v>
          </cell>
          <cell r="O530" t="e">
            <v>#DIV/0!</v>
          </cell>
          <cell r="P530">
            <v>932</v>
          </cell>
          <cell r="Q530" t="e">
            <v>#DIV/0!</v>
          </cell>
          <cell r="R530">
            <v>926</v>
          </cell>
          <cell r="S530" t="e">
            <v>#DIV/0!</v>
          </cell>
          <cell r="T530">
            <v>0</v>
          </cell>
          <cell r="U530" t="e">
            <v>#DIV/0!</v>
          </cell>
        </row>
        <row r="531">
          <cell r="F531">
            <v>30040691</v>
          </cell>
          <cell r="G531" t="str">
            <v>GUSSET R RR SIDE</v>
          </cell>
          <cell r="H531" t="str">
            <v>81200-K2EA-T001-36</v>
          </cell>
          <cell r="I531">
            <v>29</v>
          </cell>
          <cell r="J531">
            <v>1014</v>
          </cell>
          <cell r="K531">
            <v>34.96551724137931</v>
          </cell>
          <cell r="L531">
            <v>632</v>
          </cell>
          <cell r="M531">
            <v>21.793103448275861</v>
          </cell>
          <cell r="N531">
            <v>932</v>
          </cell>
          <cell r="O531">
            <v>32.137931034482762</v>
          </cell>
          <cell r="P531">
            <v>926</v>
          </cell>
          <cell r="Q531">
            <v>31.931034482758619</v>
          </cell>
          <cell r="R531">
            <v>808</v>
          </cell>
          <cell r="S531">
            <v>27.862068965517242</v>
          </cell>
          <cell r="T531">
            <v>978</v>
          </cell>
          <cell r="U531">
            <v>33.724137931034484</v>
          </cell>
        </row>
        <row r="532">
          <cell r="F532">
            <v>30040692</v>
          </cell>
          <cell r="G532" t="str">
            <v>GUSSET L RR SIDE</v>
          </cell>
          <cell r="H532" t="str">
            <v>81200-K2EA-T001-37</v>
          </cell>
          <cell r="I532">
            <v>29</v>
          </cell>
          <cell r="J532">
            <v>1014</v>
          </cell>
          <cell r="K532">
            <v>34.96551724137931</v>
          </cell>
          <cell r="L532">
            <v>632</v>
          </cell>
          <cell r="M532">
            <v>21.793103448275861</v>
          </cell>
          <cell r="N532">
            <v>932</v>
          </cell>
          <cell r="O532">
            <v>32.137931034482762</v>
          </cell>
          <cell r="P532">
            <v>926</v>
          </cell>
          <cell r="Q532">
            <v>31.931034482758619</v>
          </cell>
          <cell r="R532">
            <v>808</v>
          </cell>
          <cell r="S532">
            <v>27.862068965517242</v>
          </cell>
          <cell r="T532">
            <v>978</v>
          </cell>
          <cell r="U532">
            <v>33.724137931034484</v>
          </cell>
        </row>
        <row r="533">
          <cell r="F533">
            <v>30040694</v>
          </cell>
          <cell r="G533" t="e">
            <v>#N/A</v>
          </cell>
          <cell r="H533" t="e">
            <v>#N/A</v>
          </cell>
          <cell r="J533">
            <v>1936</v>
          </cell>
          <cell r="K533" t="e">
            <v>#DIV/0!</v>
          </cell>
          <cell r="L533">
            <v>2012</v>
          </cell>
          <cell r="M533" t="e">
            <v>#DIV/0!</v>
          </cell>
          <cell r="N533">
            <v>1264</v>
          </cell>
          <cell r="O533" t="e">
            <v>#DIV/0!</v>
          </cell>
          <cell r="P533">
            <v>1864</v>
          </cell>
          <cell r="Q533" t="e">
            <v>#DIV/0!</v>
          </cell>
          <cell r="R533">
            <v>1852</v>
          </cell>
          <cell r="S533" t="e">
            <v>#DIV/0!</v>
          </cell>
          <cell r="T533">
            <v>0</v>
          </cell>
          <cell r="U533" t="e">
            <v>#DIV/0!</v>
          </cell>
        </row>
        <row r="534">
          <cell r="F534">
            <v>30040909</v>
          </cell>
          <cell r="G534" t="str">
            <v>CLIP B FUEL HOSE</v>
          </cell>
          <cell r="H534" t="str">
            <v>K97F</v>
          </cell>
          <cell r="I534">
            <v>82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</row>
        <row r="535">
          <cell r="F535">
            <v>30040911</v>
          </cell>
          <cell r="G535" t="str">
            <v>STAY A COUPLER</v>
          </cell>
          <cell r="H535" t="str">
            <v>50184-K97F-T003-H1</v>
          </cell>
          <cell r="I535">
            <v>49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</row>
        <row r="536">
          <cell r="F536">
            <v>30040912</v>
          </cell>
          <cell r="G536" t="str">
            <v>GUSSET FR UPPER</v>
          </cell>
          <cell r="H536" t="str">
            <v>50146-K97F-T004-H1</v>
          </cell>
          <cell r="I536">
            <v>66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S536">
            <v>0</v>
          </cell>
          <cell r="U536">
            <v>0</v>
          </cell>
        </row>
        <row r="537">
          <cell r="F537">
            <v>30040913</v>
          </cell>
          <cell r="G537" t="str">
            <v>PATCH R SUB PIPE FR</v>
          </cell>
          <cell r="H537" t="str">
            <v>50155-K97F-T002-H1</v>
          </cell>
          <cell r="I537">
            <v>24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S537">
            <v>0</v>
          </cell>
          <cell r="U537">
            <v>0</v>
          </cell>
        </row>
        <row r="538">
          <cell r="F538">
            <v>30040916</v>
          </cell>
          <cell r="G538" t="str">
            <v>PATCH L SUB PIPE FR</v>
          </cell>
          <cell r="H538" t="str">
            <v>50156-K97F-T002-H1</v>
          </cell>
          <cell r="I538">
            <v>24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S538">
            <v>0</v>
          </cell>
          <cell r="U538">
            <v>0</v>
          </cell>
        </row>
        <row r="539">
          <cell r="F539" t="str">
            <v>30041189-1</v>
          </cell>
          <cell r="G539" t="str">
            <v>GUSSET</v>
          </cell>
          <cell r="H539" t="str">
            <v>50120-K1BA-T002-20</v>
          </cell>
          <cell r="I539">
            <v>8</v>
          </cell>
          <cell r="J539">
            <v>5820</v>
          </cell>
          <cell r="K539">
            <v>727.5</v>
          </cell>
          <cell r="L539">
            <v>4794</v>
          </cell>
          <cell r="M539">
            <v>599.25</v>
          </cell>
          <cell r="N539">
            <v>4126</v>
          </cell>
          <cell r="O539">
            <v>515.75</v>
          </cell>
          <cell r="P539">
            <v>3952</v>
          </cell>
          <cell r="Q539">
            <v>494</v>
          </cell>
          <cell r="R539">
            <v>3484</v>
          </cell>
          <cell r="S539">
            <v>435.5</v>
          </cell>
          <cell r="T539">
            <v>0</v>
          </cell>
          <cell r="U539">
            <v>0</v>
          </cell>
        </row>
        <row r="540">
          <cell r="F540" t="str">
            <v>30041189-2</v>
          </cell>
          <cell r="G540" t="str">
            <v>PLATE (GUSSET HEAD PIPE SUB)</v>
          </cell>
          <cell r="H540" t="str">
            <v>50120-K40-F000-21</v>
          </cell>
          <cell r="I540">
            <v>26</v>
          </cell>
          <cell r="J540">
            <v>5820</v>
          </cell>
          <cell r="K540">
            <v>223.84615384615384</v>
          </cell>
          <cell r="L540">
            <v>4794</v>
          </cell>
          <cell r="M540">
            <v>184.38461538461539</v>
          </cell>
          <cell r="N540">
            <v>4126</v>
          </cell>
          <cell r="O540">
            <v>158.69230769230768</v>
          </cell>
          <cell r="P540">
            <v>3952</v>
          </cell>
          <cell r="Q540">
            <v>152</v>
          </cell>
          <cell r="R540">
            <v>3484</v>
          </cell>
          <cell r="S540">
            <v>134</v>
          </cell>
          <cell r="T540">
            <v>0</v>
          </cell>
          <cell r="U540">
            <v>0</v>
          </cell>
        </row>
        <row r="541">
          <cell r="F541" t="str">
            <v>30041189-3</v>
          </cell>
          <cell r="G541" t="str">
            <v>STAY A (EART-CABLE)</v>
          </cell>
          <cell r="H541" t="str">
            <v>50181-KOBA-T002-20</v>
          </cell>
          <cell r="I541">
            <v>19</v>
          </cell>
          <cell r="J541">
            <v>5820</v>
          </cell>
          <cell r="K541">
            <v>306.31578947368422</v>
          </cell>
          <cell r="L541">
            <v>4794</v>
          </cell>
          <cell r="M541">
            <v>252.31578947368422</v>
          </cell>
          <cell r="N541">
            <v>4126</v>
          </cell>
          <cell r="O541">
            <v>217.15789473684211</v>
          </cell>
          <cell r="P541">
            <v>3952</v>
          </cell>
          <cell r="Q541">
            <v>208</v>
          </cell>
          <cell r="R541">
            <v>3484</v>
          </cell>
          <cell r="S541">
            <v>183.36842105263159</v>
          </cell>
          <cell r="T541">
            <v>0</v>
          </cell>
          <cell r="U541">
            <v>0</v>
          </cell>
        </row>
        <row r="542">
          <cell r="F542">
            <v>30041190</v>
          </cell>
          <cell r="G542" t="str">
            <v>GUSSET FR MAIN LOWER PIPE</v>
          </cell>
          <cell r="H542" t="str">
            <v>50154-K1BA-T000-H1</v>
          </cell>
          <cell r="I542">
            <v>20</v>
          </cell>
          <cell r="J542">
            <v>5820</v>
          </cell>
          <cell r="K542">
            <v>291</v>
          </cell>
          <cell r="L542">
            <v>4794</v>
          </cell>
          <cell r="M542">
            <v>239.7</v>
          </cell>
          <cell r="N542">
            <v>4126</v>
          </cell>
          <cell r="O542">
            <v>206.3</v>
          </cell>
          <cell r="P542">
            <v>3952</v>
          </cell>
          <cell r="Q542">
            <v>197.6</v>
          </cell>
          <cell r="R542">
            <v>3484</v>
          </cell>
          <cell r="S542">
            <v>174.2</v>
          </cell>
          <cell r="T542">
            <v>0</v>
          </cell>
          <cell r="U542">
            <v>0</v>
          </cell>
        </row>
        <row r="543">
          <cell r="F543" t="str">
            <v>30041190-1</v>
          </cell>
          <cell r="H543" t="str">
            <v>50154-K1BA-T000-H1</v>
          </cell>
          <cell r="I543">
            <v>20</v>
          </cell>
          <cell r="J543">
            <v>7420</v>
          </cell>
          <cell r="K543">
            <v>371</v>
          </cell>
          <cell r="L543">
            <v>6260</v>
          </cell>
          <cell r="M543">
            <v>313</v>
          </cell>
          <cell r="N543">
            <v>5366</v>
          </cell>
          <cell r="O543">
            <v>268.3</v>
          </cell>
          <cell r="P543">
            <v>4770</v>
          </cell>
          <cell r="Q543">
            <v>238.5</v>
          </cell>
          <cell r="R543">
            <v>4630</v>
          </cell>
          <cell r="S543">
            <v>231.5</v>
          </cell>
          <cell r="T543">
            <v>4588</v>
          </cell>
          <cell r="U543">
            <v>229.4</v>
          </cell>
        </row>
        <row r="544">
          <cell r="F544" t="str">
            <v>30041190-2</v>
          </cell>
          <cell r="G544" t="str">
            <v>GUSSET FR MAIN LOWER PIPE</v>
          </cell>
          <cell r="H544" t="str">
            <v>50154-K1BA-T000-H1</v>
          </cell>
          <cell r="I544">
            <v>20</v>
          </cell>
          <cell r="J544">
            <v>7420</v>
          </cell>
          <cell r="K544">
            <v>371</v>
          </cell>
          <cell r="L544">
            <v>6260</v>
          </cell>
          <cell r="M544">
            <v>313</v>
          </cell>
          <cell r="N544">
            <v>5366</v>
          </cell>
          <cell r="O544">
            <v>268.3</v>
          </cell>
          <cell r="P544">
            <v>4770</v>
          </cell>
          <cell r="Q544">
            <v>238.5</v>
          </cell>
          <cell r="R544">
            <v>4630</v>
          </cell>
          <cell r="S544">
            <v>231.5</v>
          </cell>
          <cell r="T544">
            <v>4588</v>
          </cell>
          <cell r="U544">
            <v>229.4</v>
          </cell>
        </row>
        <row r="545">
          <cell r="F545" t="str">
            <v>30041190-3</v>
          </cell>
          <cell r="G545" t="str">
            <v>GUSSET RR MAIN LOWER PIPE</v>
          </cell>
          <cell r="H545" t="str">
            <v>50155-K1BA-T001-H1</v>
          </cell>
          <cell r="I545">
            <v>18</v>
          </cell>
          <cell r="J545">
            <v>7420</v>
          </cell>
          <cell r="K545">
            <v>412.22222222222223</v>
          </cell>
          <cell r="L545">
            <v>6260</v>
          </cell>
          <cell r="M545">
            <v>347.77777777777777</v>
          </cell>
          <cell r="N545">
            <v>5366</v>
          </cell>
          <cell r="O545">
            <v>298.11111111111109</v>
          </cell>
          <cell r="P545">
            <v>4770</v>
          </cell>
          <cell r="Q545">
            <v>265</v>
          </cell>
          <cell r="R545">
            <v>4630</v>
          </cell>
          <cell r="S545">
            <v>257.22222222222223</v>
          </cell>
          <cell r="T545">
            <v>4588</v>
          </cell>
          <cell r="U545">
            <v>254.88888888888889</v>
          </cell>
        </row>
        <row r="546">
          <cell r="F546" t="str">
            <v>30041194-1</v>
          </cell>
          <cell r="G546" t="e">
            <v>#N/A</v>
          </cell>
          <cell r="H546" t="e">
            <v>#N/A</v>
          </cell>
          <cell r="J546">
            <v>7420</v>
          </cell>
          <cell r="K546" t="e">
            <v>#DIV/0!</v>
          </cell>
          <cell r="L546">
            <v>6260</v>
          </cell>
          <cell r="M546" t="e">
            <v>#DIV/0!</v>
          </cell>
          <cell r="N546">
            <v>5366</v>
          </cell>
          <cell r="O546" t="e">
            <v>#DIV/0!</v>
          </cell>
          <cell r="P546">
            <v>4770</v>
          </cell>
          <cell r="Q546" t="e">
            <v>#DIV/0!</v>
          </cell>
          <cell r="R546">
            <v>4630</v>
          </cell>
          <cell r="S546" t="e">
            <v>#DIV/0!</v>
          </cell>
          <cell r="T546">
            <v>4588</v>
          </cell>
          <cell r="U546" t="e">
            <v>#DIV/0!</v>
          </cell>
        </row>
        <row r="547">
          <cell r="F547" t="str">
            <v>30041194-2</v>
          </cell>
          <cell r="G547" t="str">
            <v>PITCH FR SUB PIPE</v>
          </cell>
          <cell r="H547" t="str">
            <v>50161-K0BA-T001-H1</v>
          </cell>
          <cell r="I547">
            <v>22</v>
          </cell>
          <cell r="J547">
            <v>6336</v>
          </cell>
          <cell r="K547">
            <v>288</v>
          </cell>
          <cell r="L547">
            <v>4206</v>
          </cell>
          <cell r="M547">
            <v>191.18181818181819</v>
          </cell>
          <cell r="N547">
            <v>4541</v>
          </cell>
          <cell r="O547">
            <v>206.40909090909091</v>
          </cell>
          <cell r="P547">
            <v>5982</v>
          </cell>
          <cell r="Q547">
            <v>271.90909090909093</v>
          </cell>
          <cell r="S547">
            <v>0</v>
          </cell>
          <cell r="T547">
            <v>4588</v>
          </cell>
          <cell r="U547">
            <v>208.54545454545453</v>
          </cell>
        </row>
        <row r="548">
          <cell r="F548" t="str">
            <v>30041194-3</v>
          </cell>
          <cell r="G548" t="str">
            <v>PITCH FR SUB PIPE</v>
          </cell>
          <cell r="H548" t="str">
            <v>50161-K0BA-T001-H1</v>
          </cell>
          <cell r="J548">
            <v>6336</v>
          </cell>
          <cell r="K548" t="e">
            <v>#DIV/0!</v>
          </cell>
          <cell r="L548">
            <v>4206</v>
          </cell>
          <cell r="M548" t="e">
            <v>#DIV/0!</v>
          </cell>
          <cell r="N548">
            <v>4541</v>
          </cell>
          <cell r="O548" t="e">
            <v>#DIV/0!</v>
          </cell>
          <cell r="P548">
            <v>5982</v>
          </cell>
          <cell r="Q548" t="e">
            <v>#DIV/0!</v>
          </cell>
          <cell r="R548">
            <v>0</v>
          </cell>
          <cell r="S548" t="e">
            <v>#DIV/0!</v>
          </cell>
          <cell r="T548">
            <v>4588</v>
          </cell>
          <cell r="U548" t="e">
            <v>#DIV/0!</v>
          </cell>
        </row>
        <row r="549">
          <cell r="F549" t="str">
            <v>30041194-4</v>
          </cell>
          <cell r="G549" t="str">
            <v>STAY (FUEL FEED HOSE)</v>
          </cell>
          <cell r="H549" t="str">
            <v>50164-K0BA-T001-20</v>
          </cell>
          <cell r="I549">
            <v>30</v>
          </cell>
          <cell r="J549">
            <v>6336</v>
          </cell>
          <cell r="K549">
            <v>211.2</v>
          </cell>
          <cell r="L549">
            <v>4206</v>
          </cell>
          <cell r="M549">
            <v>140.19999999999999</v>
          </cell>
          <cell r="N549">
            <v>4541</v>
          </cell>
          <cell r="O549">
            <v>151.36666666666667</v>
          </cell>
          <cell r="P549">
            <v>5982</v>
          </cell>
          <cell r="Q549">
            <v>199.4</v>
          </cell>
          <cell r="R549">
            <v>0</v>
          </cell>
          <cell r="S549">
            <v>0</v>
          </cell>
          <cell r="T549">
            <v>4588</v>
          </cell>
          <cell r="U549">
            <v>152.93333333333334</v>
          </cell>
        </row>
        <row r="550">
          <cell r="F550" t="str">
            <v>30041194-5</v>
          </cell>
          <cell r="G550" t="e">
            <v>#N/A</v>
          </cell>
          <cell r="H550" t="e">
            <v>#N/A</v>
          </cell>
          <cell r="J550">
            <v>6336</v>
          </cell>
          <cell r="K550" t="e">
            <v>#DIV/0!</v>
          </cell>
          <cell r="L550">
            <v>4206</v>
          </cell>
          <cell r="M550" t="e">
            <v>#DIV/0!</v>
          </cell>
          <cell r="N550">
            <v>4541</v>
          </cell>
          <cell r="O550" t="e">
            <v>#DIV/0!</v>
          </cell>
          <cell r="P550">
            <v>5982</v>
          </cell>
          <cell r="Q550" t="e">
            <v>#DIV/0!</v>
          </cell>
          <cell r="R550">
            <v>0</v>
          </cell>
          <cell r="S550" t="e">
            <v>#DIV/0!</v>
          </cell>
          <cell r="T550">
            <v>4588</v>
          </cell>
          <cell r="U550" t="e">
            <v>#DIV/0!</v>
          </cell>
        </row>
        <row r="551">
          <cell r="F551" t="str">
            <v>30041194-6</v>
          </cell>
          <cell r="G551" t="str">
            <v>STAY L (COVER BATTERY)</v>
          </cell>
          <cell r="H551" t="str">
            <v>50196-K0BA-T002-20</v>
          </cell>
          <cell r="I551">
            <v>33</v>
          </cell>
          <cell r="J551">
            <v>6336</v>
          </cell>
          <cell r="K551">
            <v>192</v>
          </cell>
          <cell r="L551">
            <v>4206</v>
          </cell>
          <cell r="M551">
            <v>127.45454545454545</v>
          </cell>
          <cell r="N551">
            <v>4541</v>
          </cell>
          <cell r="O551">
            <v>137.60606060606059</v>
          </cell>
          <cell r="P551">
            <v>5982</v>
          </cell>
          <cell r="Q551">
            <v>181.27272727272728</v>
          </cell>
          <cell r="R551">
            <v>0</v>
          </cell>
          <cell r="S551">
            <v>0</v>
          </cell>
          <cell r="T551">
            <v>4588</v>
          </cell>
          <cell r="U551">
            <v>139.03030303030303</v>
          </cell>
        </row>
        <row r="552">
          <cell r="F552" t="str">
            <v>30041194-7</v>
          </cell>
          <cell r="G552" t="str">
            <v>CLAMP CABLE</v>
          </cell>
          <cell r="H552" t="str">
            <v>50191-GAV-7000-H1</v>
          </cell>
          <cell r="I552">
            <v>70</v>
          </cell>
          <cell r="J552">
            <v>6336</v>
          </cell>
          <cell r="K552">
            <v>90.51428571428572</v>
          </cell>
          <cell r="L552">
            <v>4206</v>
          </cell>
          <cell r="M552">
            <v>60.085714285714289</v>
          </cell>
          <cell r="N552">
            <v>4541</v>
          </cell>
          <cell r="O552">
            <v>64.871428571428567</v>
          </cell>
          <cell r="P552">
            <v>5982</v>
          </cell>
          <cell r="Q552">
            <v>85.457142857142856</v>
          </cell>
          <cell r="R552">
            <v>0</v>
          </cell>
          <cell r="S552">
            <v>0</v>
          </cell>
          <cell r="T552">
            <v>4588</v>
          </cell>
          <cell r="U552">
            <v>65.542857142857144</v>
          </cell>
        </row>
        <row r="553">
          <cell r="F553" t="str">
            <v>30041194-10</v>
          </cell>
          <cell r="G553" t="str">
            <v>STAY R L WETER HOSE RR</v>
          </cell>
          <cell r="H553" t="str">
            <v>50223/24-K1BA-T001-H1</v>
          </cell>
          <cell r="I553">
            <v>78</v>
          </cell>
          <cell r="J553">
            <v>6336</v>
          </cell>
          <cell r="K553">
            <v>81.230769230769226</v>
          </cell>
          <cell r="L553">
            <v>4206</v>
          </cell>
          <cell r="M553">
            <v>53.92307692307692</v>
          </cell>
          <cell r="N553">
            <v>4541</v>
          </cell>
          <cell r="O553">
            <v>58.217948717948715</v>
          </cell>
          <cell r="P553">
            <v>5982</v>
          </cell>
          <cell r="Q553">
            <v>76.692307692307693</v>
          </cell>
          <cell r="R553">
            <v>0</v>
          </cell>
          <cell r="S553">
            <v>0</v>
          </cell>
          <cell r="T553">
            <v>4588</v>
          </cell>
          <cell r="U553">
            <v>58.820512820512818</v>
          </cell>
        </row>
        <row r="554">
          <cell r="F554" t="str">
            <v>30041200-1</v>
          </cell>
          <cell r="G554" t="str">
            <v>STAY</v>
          </cell>
          <cell r="H554" t="str">
            <v>50329-K1BA-T002-20</v>
          </cell>
          <cell r="I554">
            <v>18</v>
          </cell>
          <cell r="J554">
            <v>96</v>
          </cell>
          <cell r="K554">
            <v>5.333333333333333</v>
          </cell>
          <cell r="L554">
            <v>198</v>
          </cell>
          <cell r="M554">
            <v>11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</row>
        <row r="555">
          <cell r="F555" t="str">
            <v>30041200-2</v>
          </cell>
          <cell r="G555" t="str">
            <v>STAY COUPLER</v>
          </cell>
          <cell r="H555" t="str">
            <v>50198-MCT-3000</v>
          </cell>
          <cell r="I555">
            <v>156</v>
          </cell>
          <cell r="J555">
            <v>96</v>
          </cell>
          <cell r="K555">
            <v>0.61538461538461542</v>
          </cell>
          <cell r="L555">
            <v>198</v>
          </cell>
          <cell r="M555">
            <v>1.2692307692307692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</row>
        <row r="556">
          <cell r="F556" t="str">
            <v>30041201-1</v>
          </cell>
          <cell r="G556" t="str">
            <v>STAY R/L</v>
          </cell>
          <cell r="H556" t="str">
            <v>50313-K0BA-T002-20</v>
          </cell>
          <cell r="I556">
            <v>45</v>
          </cell>
          <cell r="J556">
            <v>11880</v>
          </cell>
          <cell r="K556">
            <v>264</v>
          </cell>
          <cell r="L556">
            <v>9964</v>
          </cell>
          <cell r="M556">
            <v>221.42222222222222</v>
          </cell>
          <cell r="N556">
            <v>8232</v>
          </cell>
          <cell r="O556">
            <v>182.93333333333334</v>
          </cell>
          <cell r="P556">
            <v>7784</v>
          </cell>
          <cell r="Q556">
            <v>172.97777777777779</v>
          </cell>
          <cell r="R556">
            <v>6948</v>
          </cell>
          <cell r="S556">
            <v>154.4</v>
          </cell>
          <cell r="T556">
            <v>0</v>
          </cell>
          <cell r="U556">
            <v>0</v>
          </cell>
        </row>
        <row r="557">
          <cell r="F557">
            <v>30041236</v>
          </cell>
          <cell r="G557" t="e">
            <v>#N/A</v>
          </cell>
          <cell r="H557" t="e">
            <v>#N/A</v>
          </cell>
          <cell r="J557">
            <v>16</v>
          </cell>
          <cell r="K557" t="e">
            <v>#DIV/0!</v>
          </cell>
          <cell r="L557">
            <v>0</v>
          </cell>
          <cell r="M557" t="e">
            <v>#DIV/0!</v>
          </cell>
          <cell r="N557">
            <v>0</v>
          </cell>
          <cell r="O557" t="e">
            <v>#DIV/0!</v>
          </cell>
          <cell r="P557">
            <v>0</v>
          </cell>
          <cell r="Q557" t="e">
            <v>#DIV/0!</v>
          </cell>
          <cell r="R557">
            <v>0</v>
          </cell>
          <cell r="S557" t="e">
            <v>#DIV/0!</v>
          </cell>
          <cell r="T557">
            <v>0</v>
          </cell>
          <cell r="U557" t="e">
            <v>#DIV/0!</v>
          </cell>
        </row>
        <row r="558">
          <cell r="F558" t="str">
            <v>30041291-1</v>
          </cell>
          <cell r="G558" t="str">
            <v>PLATE COMP R PIVOT (PLATE R OUT)</v>
          </cell>
          <cell r="H558" t="str">
            <v>50117-MLAA-A003-20</v>
          </cell>
          <cell r="I558">
            <v>6</v>
          </cell>
          <cell r="J558">
            <v>660</v>
          </cell>
          <cell r="K558">
            <v>110</v>
          </cell>
          <cell r="L558">
            <v>2200</v>
          </cell>
          <cell r="M558">
            <v>366.66666666666669</v>
          </cell>
          <cell r="N558">
            <v>660</v>
          </cell>
          <cell r="O558">
            <v>110</v>
          </cell>
          <cell r="P558">
            <v>2107</v>
          </cell>
          <cell r="Q558">
            <v>351.16666666666669</v>
          </cell>
          <cell r="R558">
            <v>671</v>
          </cell>
          <cell r="S558">
            <v>111.83333333333333</v>
          </cell>
          <cell r="T558">
            <v>0</v>
          </cell>
          <cell r="U558">
            <v>0</v>
          </cell>
        </row>
        <row r="559">
          <cell r="F559" t="str">
            <v>30041291-2</v>
          </cell>
          <cell r="G559" t="e">
            <v>#N/A</v>
          </cell>
          <cell r="H559" t="e">
            <v>#N/A</v>
          </cell>
          <cell r="I559">
            <v>6</v>
          </cell>
          <cell r="J559">
            <v>660</v>
          </cell>
          <cell r="K559">
            <v>110</v>
          </cell>
          <cell r="L559">
            <v>2200</v>
          </cell>
          <cell r="M559">
            <v>366.66666666666669</v>
          </cell>
          <cell r="N559">
            <v>660</v>
          </cell>
          <cell r="O559">
            <v>110</v>
          </cell>
          <cell r="P559">
            <v>2107</v>
          </cell>
          <cell r="Q559">
            <v>351.16666666666669</v>
          </cell>
          <cell r="R559">
            <v>671</v>
          </cell>
          <cell r="S559">
            <v>111.83333333333333</v>
          </cell>
          <cell r="T559">
            <v>0</v>
          </cell>
          <cell r="U559">
            <v>0</v>
          </cell>
        </row>
        <row r="560">
          <cell r="F560" t="str">
            <v>30041292-1</v>
          </cell>
          <cell r="G560" t="e">
            <v>#N/A</v>
          </cell>
          <cell r="H560" t="e">
            <v>#N/A</v>
          </cell>
          <cell r="J560">
            <v>660</v>
          </cell>
          <cell r="K560" t="e">
            <v>#DIV/0!</v>
          </cell>
          <cell r="L560">
            <v>2200</v>
          </cell>
          <cell r="M560" t="e">
            <v>#DIV/0!</v>
          </cell>
          <cell r="N560">
            <v>660</v>
          </cell>
          <cell r="O560" t="e">
            <v>#DIV/0!</v>
          </cell>
          <cell r="P560">
            <v>2107</v>
          </cell>
          <cell r="Q560" t="e">
            <v>#DIV/0!</v>
          </cell>
          <cell r="R560">
            <v>671</v>
          </cell>
          <cell r="S560" t="e">
            <v>#DIV/0!</v>
          </cell>
          <cell r="T560">
            <v>0</v>
          </cell>
          <cell r="U560" t="e">
            <v>#DIV/0!</v>
          </cell>
        </row>
        <row r="561">
          <cell r="F561" t="str">
            <v>30041292-2</v>
          </cell>
          <cell r="G561" t="str">
            <v>PLATE COMP R PIVOT (PLATE R IN)</v>
          </cell>
          <cell r="H561" t="str">
            <v>50117-MLAA-A003-21</v>
          </cell>
          <cell r="J561">
            <v>660</v>
          </cell>
          <cell r="K561" t="e">
            <v>#DIV/0!</v>
          </cell>
          <cell r="L561">
            <v>2200</v>
          </cell>
          <cell r="M561" t="e">
            <v>#DIV/0!</v>
          </cell>
          <cell r="N561">
            <v>660</v>
          </cell>
          <cell r="O561" t="e">
            <v>#DIV/0!</v>
          </cell>
          <cell r="P561">
            <v>2107</v>
          </cell>
          <cell r="Q561" t="e">
            <v>#DIV/0!</v>
          </cell>
          <cell r="R561">
            <v>671</v>
          </cell>
          <cell r="S561" t="e">
            <v>#DIV/0!</v>
          </cell>
          <cell r="T561">
            <v>0</v>
          </cell>
          <cell r="U561" t="e">
            <v>#DIV/0!</v>
          </cell>
        </row>
        <row r="562">
          <cell r="F562">
            <v>30041301</v>
          </cell>
          <cell r="G562" t="e">
            <v>#N/A</v>
          </cell>
          <cell r="H562" t="e">
            <v>#N/A</v>
          </cell>
          <cell r="J562">
            <v>660</v>
          </cell>
          <cell r="K562" t="e">
            <v>#DIV/0!</v>
          </cell>
          <cell r="L562">
            <v>2200</v>
          </cell>
          <cell r="M562" t="e">
            <v>#DIV/0!</v>
          </cell>
          <cell r="N562">
            <v>660</v>
          </cell>
          <cell r="O562" t="e">
            <v>#DIV/0!</v>
          </cell>
          <cell r="P562">
            <v>2107</v>
          </cell>
          <cell r="Q562" t="e">
            <v>#DIV/0!</v>
          </cell>
          <cell r="R562">
            <v>671</v>
          </cell>
          <cell r="S562" t="e">
            <v>#DIV/0!</v>
          </cell>
          <cell r="T562">
            <v>0</v>
          </cell>
          <cell r="U562" t="e">
            <v>#DIV/0!</v>
          </cell>
        </row>
        <row r="563">
          <cell r="F563">
            <v>30041302</v>
          </cell>
          <cell r="G563" t="e">
            <v>#N/A</v>
          </cell>
          <cell r="H563" t="e">
            <v>#N/A</v>
          </cell>
          <cell r="J563">
            <v>660</v>
          </cell>
          <cell r="K563" t="e">
            <v>#DIV/0!</v>
          </cell>
          <cell r="L563">
            <v>2200</v>
          </cell>
          <cell r="M563" t="e">
            <v>#DIV/0!</v>
          </cell>
          <cell r="N563">
            <v>660</v>
          </cell>
          <cell r="O563" t="e">
            <v>#DIV/0!</v>
          </cell>
          <cell r="P563">
            <v>2107</v>
          </cell>
          <cell r="Q563" t="e">
            <v>#DIV/0!</v>
          </cell>
          <cell r="R563">
            <v>671</v>
          </cell>
          <cell r="S563" t="e">
            <v>#DIV/0!</v>
          </cell>
          <cell r="T563">
            <v>0</v>
          </cell>
          <cell r="U563" t="e">
            <v>#DIV/0!</v>
          </cell>
        </row>
        <row r="564">
          <cell r="F564" t="str">
            <v>30041579-1</v>
          </cell>
          <cell r="G564" t="str">
            <v>STAY SIDE</v>
          </cell>
          <cell r="H564" t="str">
            <v>81100-K1MA-T0001-30</v>
          </cell>
          <cell r="I564">
            <v>36</v>
          </cell>
          <cell r="J564">
            <v>3620</v>
          </cell>
          <cell r="K564">
            <v>100.55555555555556</v>
          </cell>
          <cell r="L564">
            <v>4410</v>
          </cell>
          <cell r="M564">
            <v>122.5</v>
          </cell>
          <cell r="N564">
            <v>2864</v>
          </cell>
          <cell r="O564">
            <v>79.555555555555557</v>
          </cell>
          <cell r="P564">
            <v>2994</v>
          </cell>
          <cell r="Q564">
            <v>83.166666666666671</v>
          </cell>
          <cell r="R564">
            <v>2932</v>
          </cell>
          <cell r="S564">
            <v>81.444444444444443</v>
          </cell>
          <cell r="T564">
            <v>0</v>
          </cell>
          <cell r="U564">
            <v>0</v>
          </cell>
        </row>
        <row r="565">
          <cell r="F565">
            <v>30041668</v>
          </cell>
          <cell r="G565" t="str">
            <v>STAY HARNESS</v>
          </cell>
          <cell r="H565" t="str">
            <v>53100-K1A-N000-26</v>
          </cell>
          <cell r="I565">
            <v>146</v>
          </cell>
          <cell r="J565">
            <v>220</v>
          </cell>
          <cell r="K565">
            <v>1.5068493150684932</v>
          </cell>
          <cell r="L565">
            <v>111</v>
          </cell>
          <cell r="M565">
            <v>0.76027397260273977</v>
          </cell>
          <cell r="N565">
            <v>231</v>
          </cell>
          <cell r="O565">
            <v>1.5821917808219179</v>
          </cell>
          <cell r="P565">
            <v>245</v>
          </cell>
          <cell r="Q565">
            <v>1.678082191780822</v>
          </cell>
          <cell r="R565">
            <v>231</v>
          </cell>
          <cell r="S565">
            <v>1.5821917808219179</v>
          </cell>
          <cell r="T565">
            <v>0</v>
          </cell>
          <cell r="U565">
            <v>0</v>
          </cell>
        </row>
        <row r="566">
          <cell r="F566" t="str">
            <v>30041673-1</v>
          </cell>
          <cell r="G566" t="e">
            <v>#N/A</v>
          </cell>
          <cell r="H566" t="e">
            <v>#N/A</v>
          </cell>
          <cell r="J566">
            <v>782</v>
          </cell>
          <cell r="K566" t="e">
            <v>#DIV/0!</v>
          </cell>
          <cell r="L566">
            <v>398</v>
          </cell>
          <cell r="M566" t="e">
            <v>#DIV/0!</v>
          </cell>
          <cell r="N566">
            <v>483</v>
          </cell>
          <cell r="O566" t="e">
            <v>#DIV/0!</v>
          </cell>
          <cell r="P566">
            <v>522</v>
          </cell>
          <cell r="Q566" t="e">
            <v>#DIV/0!</v>
          </cell>
          <cell r="R566">
            <v>760</v>
          </cell>
          <cell r="S566" t="e">
            <v>#DIV/0!</v>
          </cell>
          <cell r="T566">
            <v>0</v>
          </cell>
          <cell r="U566" t="e">
            <v>#DIV/0!</v>
          </cell>
        </row>
        <row r="567">
          <cell r="F567" t="str">
            <v>30041673-2</v>
          </cell>
          <cell r="G567" t="str">
            <v>BRKT CUSH</v>
          </cell>
          <cell r="H567" t="str">
            <v>52115-K26P-G001-H1</v>
          </cell>
          <cell r="I567">
            <v>18</v>
          </cell>
          <cell r="J567">
            <v>782</v>
          </cell>
          <cell r="K567">
            <v>43.444444444444443</v>
          </cell>
          <cell r="L567">
            <v>398</v>
          </cell>
          <cell r="M567">
            <v>22.111111111111111</v>
          </cell>
          <cell r="N567">
            <v>483</v>
          </cell>
          <cell r="O567">
            <v>26.833333333333332</v>
          </cell>
          <cell r="P567">
            <v>522</v>
          </cell>
          <cell r="Q567">
            <v>29</v>
          </cell>
          <cell r="R567">
            <v>760</v>
          </cell>
          <cell r="S567">
            <v>42.222222222222221</v>
          </cell>
          <cell r="T567">
            <v>0</v>
          </cell>
          <cell r="U567">
            <v>0</v>
          </cell>
        </row>
        <row r="568">
          <cell r="F568" t="str">
            <v>30041673-3</v>
          </cell>
          <cell r="G568" t="str">
            <v>PATCH CUSH</v>
          </cell>
          <cell r="H568" t="str">
            <v>52114-K26P-9000-H1</v>
          </cell>
          <cell r="I568">
            <v>13</v>
          </cell>
          <cell r="J568">
            <v>782</v>
          </cell>
          <cell r="K568">
            <v>60.153846153846153</v>
          </cell>
          <cell r="L568">
            <v>398</v>
          </cell>
          <cell r="M568">
            <v>30.615384615384617</v>
          </cell>
          <cell r="N568">
            <v>483</v>
          </cell>
          <cell r="O568">
            <v>37.153846153846153</v>
          </cell>
          <cell r="P568">
            <v>522</v>
          </cell>
          <cell r="Q568">
            <v>40.153846153846153</v>
          </cell>
          <cell r="R568">
            <v>760</v>
          </cell>
          <cell r="S568">
            <v>58.46153846153846</v>
          </cell>
          <cell r="T568">
            <v>0</v>
          </cell>
          <cell r="U568">
            <v>0</v>
          </cell>
        </row>
        <row r="569">
          <cell r="F569">
            <v>30041718</v>
          </cell>
          <cell r="G569" t="str">
            <v>PLATE R FR HANGER</v>
          </cell>
          <cell r="H569" t="str">
            <v>50114-K1TA-E100-H1</v>
          </cell>
          <cell r="I569">
            <v>30</v>
          </cell>
          <cell r="J569">
            <v>1734</v>
          </cell>
          <cell r="K569">
            <v>57.8</v>
          </cell>
          <cell r="L569">
            <v>1576</v>
          </cell>
          <cell r="M569">
            <v>52.533333333333331</v>
          </cell>
          <cell r="N569">
            <v>1208</v>
          </cell>
          <cell r="O569">
            <v>40.266666666666666</v>
          </cell>
          <cell r="P569">
            <v>1059</v>
          </cell>
          <cell r="Q569">
            <v>35.299999999999997</v>
          </cell>
          <cell r="R569">
            <v>1501</v>
          </cell>
          <cell r="S569">
            <v>50.033333333333331</v>
          </cell>
          <cell r="T569">
            <v>0</v>
          </cell>
          <cell r="U569">
            <v>0</v>
          </cell>
        </row>
        <row r="570">
          <cell r="F570">
            <v>30041719</v>
          </cell>
          <cell r="G570" t="str">
            <v>PLATE L FR HANGER</v>
          </cell>
          <cell r="H570" t="str">
            <v>50115-K1TA-E100-H1</v>
          </cell>
          <cell r="I570">
            <v>30</v>
          </cell>
          <cell r="J570">
            <v>1734</v>
          </cell>
          <cell r="K570">
            <v>57.8</v>
          </cell>
          <cell r="L570">
            <v>1576</v>
          </cell>
          <cell r="M570">
            <v>52.533333333333331</v>
          </cell>
          <cell r="N570">
            <v>1208</v>
          </cell>
          <cell r="O570">
            <v>40.266666666666666</v>
          </cell>
          <cell r="P570">
            <v>1059</v>
          </cell>
          <cell r="Q570">
            <v>35.299999999999997</v>
          </cell>
          <cell r="R570">
            <v>1501</v>
          </cell>
          <cell r="S570">
            <v>50.033333333333331</v>
          </cell>
          <cell r="T570">
            <v>0</v>
          </cell>
          <cell r="U570">
            <v>0</v>
          </cell>
        </row>
        <row r="571">
          <cell r="F571">
            <v>30041720</v>
          </cell>
          <cell r="G571" t="str">
            <v>STAY UNDER COWL</v>
          </cell>
          <cell r="H571" t="str">
            <v>50192-K1TA-E100-H1</v>
          </cell>
          <cell r="J571">
            <v>3468</v>
          </cell>
          <cell r="K571" t="e">
            <v>#DIV/0!</v>
          </cell>
          <cell r="L571">
            <v>3152</v>
          </cell>
          <cell r="M571" t="e">
            <v>#DIV/0!</v>
          </cell>
          <cell r="N571">
            <v>2416</v>
          </cell>
          <cell r="O571" t="e">
            <v>#DIV/0!</v>
          </cell>
          <cell r="P571">
            <v>2118</v>
          </cell>
          <cell r="Q571" t="e">
            <v>#DIV/0!</v>
          </cell>
          <cell r="R571">
            <v>3002</v>
          </cell>
          <cell r="S571" t="e">
            <v>#DIV/0!</v>
          </cell>
          <cell r="T571">
            <v>0</v>
          </cell>
          <cell r="U571" t="e">
            <v>#DIV/0!</v>
          </cell>
        </row>
        <row r="572">
          <cell r="F572" t="str">
            <v>30041720-1</v>
          </cell>
          <cell r="G572" t="str">
            <v>STAY UNDER COWL</v>
          </cell>
          <cell r="H572" t="str">
            <v>50192-K1TA-E100-H1</v>
          </cell>
          <cell r="I572">
            <v>34</v>
          </cell>
          <cell r="J572">
            <v>3468</v>
          </cell>
          <cell r="K572">
            <v>102</v>
          </cell>
          <cell r="L572">
            <v>3152</v>
          </cell>
          <cell r="M572">
            <v>92.705882352941174</v>
          </cell>
          <cell r="N572">
            <v>2416</v>
          </cell>
          <cell r="O572">
            <v>71.058823529411768</v>
          </cell>
          <cell r="P572">
            <v>2118</v>
          </cell>
          <cell r="Q572">
            <v>62.294117647058826</v>
          </cell>
          <cell r="R572">
            <v>3002</v>
          </cell>
          <cell r="S572">
            <v>88.294117647058826</v>
          </cell>
          <cell r="T572">
            <v>1</v>
          </cell>
          <cell r="U572">
            <v>2.9411764705882353E-2</v>
          </cell>
        </row>
        <row r="573">
          <cell r="F573" t="str">
            <v>30041805-1</v>
          </cell>
          <cell r="G573" t="e">
            <v>#N/A</v>
          </cell>
          <cell r="H573" t="e">
            <v>#N/A</v>
          </cell>
          <cell r="I573">
            <v>68</v>
          </cell>
          <cell r="J573">
            <v>69</v>
          </cell>
          <cell r="K573">
            <v>1.0147058823529411</v>
          </cell>
          <cell r="L573">
            <v>398</v>
          </cell>
          <cell r="M573">
            <v>5.8529411764705879</v>
          </cell>
          <cell r="N573">
            <v>483</v>
          </cell>
          <cell r="O573">
            <v>7.1029411764705879</v>
          </cell>
          <cell r="P573">
            <v>522</v>
          </cell>
          <cell r="Q573">
            <v>7.6764705882352944</v>
          </cell>
          <cell r="R573">
            <v>581</v>
          </cell>
          <cell r="S573">
            <v>8.5441176470588243</v>
          </cell>
          <cell r="T573">
            <v>0</v>
          </cell>
          <cell r="U573">
            <v>0</v>
          </cell>
        </row>
        <row r="574">
          <cell r="F574" t="str">
            <v>30041805-2</v>
          </cell>
          <cell r="G574" t="str">
            <v>PLATE</v>
          </cell>
          <cell r="H574" t="str">
            <v>50102-K26-9000-21</v>
          </cell>
          <cell r="I574">
            <v>26</v>
          </cell>
          <cell r="J574">
            <v>69</v>
          </cell>
          <cell r="K574">
            <v>2.6538461538461537</v>
          </cell>
          <cell r="L574">
            <v>398</v>
          </cell>
          <cell r="M574">
            <v>15.307692307692308</v>
          </cell>
          <cell r="N574">
            <v>483</v>
          </cell>
          <cell r="O574">
            <v>18.576923076923077</v>
          </cell>
          <cell r="P574">
            <v>522</v>
          </cell>
          <cell r="Q574">
            <v>20.076923076923077</v>
          </cell>
          <cell r="R574">
            <v>581</v>
          </cell>
          <cell r="S574">
            <v>22.346153846153847</v>
          </cell>
          <cell r="T574">
            <v>0</v>
          </cell>
          <cell r="U574">
            <v>0</v>
          </cell>
        </row>
        <row r="575">
          <cell r="F575" t="str">
            <v>30041807-1</v>
          </cell>
          <cell r="G575" t="str">
            <v>STAY R TANK FR ( STAY R )</v>
          </cell>
          <cell r="H575" t="str">
            <v>50141-K26P-G002-20</v>
          </cell>
          <cell r="I575">
            <v>17</v>
          </cell>
          <cell r="J575">
            <v>69</v>
          </cell>
          <cell r="K575">
            <v>4.0588235294117645</v>
          </cell>
          <cell r="L575">
            <v>398</v>
          </cell>
          <cell r="M575">
            <v>23.411764705882351</v>
          </cell>
          <cell r="N575">
            <v>483</v>
          </cell>
          <cell r="O575">
            <v>28.411764705882351</v>
          </cell>
          <cell r="P575">
            <v>522</v>
          </cell>
          <cell r="Q575">
            <v>30.705882352941178</v>
          </cell>
          <cell r="R575">
            <v>581</v>
          </cell>
          <cell r="S575">
            <v>34.176470588235297</v>
          </cell>
          <cell r="T575">
            <v>0</v>
          </cell>
          <cell r="U575">
            <v>0</v>
          </cell>
        </row>
        <row r="576">
          <cell r="F576" t="str">
            <v>30041808-1</v>
          </cell>
          <cell r="G576" t="str">
            <v>STAY L TANK FR ( STAYLR )</v>
          </cell>
          <cell r="H576" t="str">
            <v>50142-K26P-G002-20</v>
          </cell>
          <cell r="I576">
            <v>24</v>
          </cell>
          <cell r="J576">
            <v>69</v>
          </cell>
          <cell r="K576">
            <v>2.875</v>
          </cell>
          <cell r="L576">
            <v>398</v>
          </cell>
          <cell r="M576">
            <v>16.583333333333332</v>
          </cell>
          <cell r="N576">
            <v>483</v>
          </cell>
          <cell r="O576">
            <v>20.125</v>
          </cell>
          <cell r="P576">
            <v>522</v>
          </cell>
          <cell r="Q576">
            <v>21.75</v>
          </cell>
          <cell r="R576">
            <v>581</v>
          </cell>
          <cell r="S576">
            <v>24.208333333333332</v>
          </cell>
          <cell r="T576">
            <v>0</v>
          </cell>
          <cell r="U576">
            <v>0</v>
          </cell>
        </row>
        <row r="577">
          <cell r="F577" t="str">
            <v>30041811-1</v>
          </cell>
          <cell r="G577" t="str">
            <v>STAY IGN COIL ( STAY )</v>
          </cell>
          <cell r="H577" t="str">
            <v>50134-K26P-G004-20</v>
          </cell>
          <cell r="I577">
            <v>15</v>
          </cell>
          <cell r="J577">
            <v>69</v>
          </cell>
          <cell r="K577">
            <v>4.5999999999999996</v>
          </cell>
          <cell r="L577">
            <v>398</v>
          </cell>
          <cell r="M577">
            <v>26.533333333333335</v>
          </cell>
          <cell r="N577">
            <v>483</v>
          </cell>
          <cell r="O577">
            <v>32.200000000000003</v>
          </cell>
          <cell r="P577">
            <v>522</v>
          </cell>
          <cell r="Q577">
            <v>34.799999999999997</v>
          </cell>
          <cell r="R577">
            <v>581</v>
          </cell>
          <cell r="S577">
            <v>38.733333333333334</v>
          </cell>
          <cell r="T577">
            <v>0</v>
          </cell>
          <cell r="U577">
            <v>0</v>
          </cell>
        </row>
        <row r="578">
          <cell r="F578" t="str">
            <v>30041811-2</v>
          </cell>
          <cell r="G578" t="str">
            <v>PLATE HARNESS</v>
          </cell>
          <cell r="H578" t="str">
            <v>50134-K26P-G001-21</v>
          </cell>
          <cell r="I578">
            <v>94</v>
          </cell>
          <cell r="J578">
            <v>69</v>
          </cell>
          <cell r="K578">
            <v>0.73404255319148937</v>
          </cell>
          <cell r="L578">
            <v>398</v>
          </cell>
          <cell r="M578">
            <v>4.2340425531914896</v>
          </cell>
          <cell r="N578">
            <v>483</v>
          </cell>
          <cell r="O578">
            <v>5.1382978723404253</v>
          </cell>
          <cell r="P578">
            <v>522</v>
          </cell>
          <cell r="Q578">
            <v>5.5531914893617023</v>
          </cell>
          <cell r="R578">
            <v>581</v>
          </cell>
          <cell r="S578">
            <v>6.1808510638297873</v>
          </cell>
          <cell r="T578">
            <v>0</v>
          </cell>
          <cell r="U578">
            <v>0</v>
          </cell>
        </row>
        <row r="579">
          <cell r="F579" t="str">
            <v>30041961-1</v>
          </cell>
          <cell r="G579" t="str">
            <v>STAY FLOOR MID</v>
          </cell>
          <cell r="H579" t="str">
            <v>50126-K1ZA-J102-H1</v>
          </cell>
          <cell r="I579">
            <v>20</v>
          </cell>
          <cell r="J579">
            <v>13254</v>
          </cell>
          <cell r="K579">
            <v>662.7</v>
          </cell>
          <cell r="L579">
            <v>13792</v>
          </cell>
          <cell r="M579">
            <v>689.6</v>
          </cell>
          <cell r="N579">
            <v>11772</v>
          </cell>
          <cell r="O579">
            <v>588.6</v>
          </cell>
          <cell r="P579">
            <v>10982</v>
          </cell>
          <cell r="Q579">
            <v>549.1</v>
          </cell>
          <cell r="R579">
            <v>11258</v>
          </cell>
          <cell r="S579">
            <v>562.9</v>
          </cell>
          <cell r="T579">
            <v>0</v>
          </cell>
          <cell r="U579">
            <v>0</v>
          </cell>
        </row>
        <row r="580">
          <cell r="F580" t="str">
            <v>30041963-1</v>
          </cell>
          <cell r="G580" t="str">
            <v>STAY L FLOOR RR</v>
          </cell>
          <cell r="H580" t="str">
            <v>50129-K1ZA-J101-H1</v>
          </cell>
          <cell r="I580">
            <v>30</v>
          </cell>
          <cell r="J580">
            <v>13254</v>
          </cell>
          <cell r="K580">
            <v>441.8</v>
          </cell>
          <cell r="L580">
            <v>13792</v>
          </cell>
          <cell r="M580">
            <v>459.73333333333335</v>
          </cell>
          <cell r="N580">
            <v>11772</v>
          </cell>
          <cell r="O580">
            <v>392.4</v>
          </cell>
          <cell r="P580">
            <v>10982</v>
          </cell>
          <cell r="Q580">
            <v>366.06666666666666</v>
          </cell>
          <cell r="R580">
            <v>11258</v>
          </cell>
          <cell r="S580">
            <v>375.26666666666665</v>
          </cell>
          <cell r="T580">
            <v>0</v>
          </cell>
          <cell r="U580">
            <v>0</v>
          </cell>
        </row>
        <row r="581">
          <cell r="F581" t="str">
            <v>30041964-1</v>
          </cell>
          <cell r="G581" t="str">
            <v>STAY R FLOOR MID</v>
          </cell>
          <cell r="H581" t="str">
            <v>50126-K1ZA-J102-H1</v>
          </cell>
          <cell r="I581">
            <v>20</v>
          </cell>
          <cell r="J581">
            <v>13254</v>
          </cell>
          <cell r="K581">
            <v>662.7</v>
          </cell>
          <cell r="L581">
            <v>13792</v>
          </cell>
          <cell r="M581">
            <v>689.6</v>
          </cell>
          <cell r="N581">
            <v>11772</v>
          </cell>
          <cell r="O581">
            <v>588.6</v>
          </cell>
          <cell r="P581">
            <v>10982</v>
          </cell>
          <cell r="Q581">
            <v>549.1</v>
          </cell>
          <cell r="R581">
            <v>11258</v>
          </cell>
          <cell r="S581">
            <v>562.9</v>
          </cell>
          <cell r="T581">
            <v>0</v>
          </cell>
          <cell r="U581">
            <v>0</v>
          </cell>
        </row>
        <row r="582">
          <cell r="F582" t="str">
            <v>30041964-2</v>
          </cell>
          <cell r="G582" t="e">
            <v>#N/A</v>
          </cell>
          <cell r="H582" t="e">
            <v>#N/A</v>
          </cell>
          <cell r="J582">
            <v>13254</v>
          </cell>
          <cell r="K582" t="e">
            <v>#DIV/0!</v>
          </cell>
          <cell r="L582">
            <v>13792</v>
          </cell>
          <cell r="M582" t="e">
            <v>#DIV/0!</v>
          </cell>
          <cell r="N582">
            <v>11772</v>
          </cell>
          <cell r="O582" t="e">
            <v>#DIV/0!</v>
          </cell>
          <cell r="P582">
            <v>10982</v>
          </cell>
          <cell r="Q582" t="e">
            <v>#DIV/0!</v>
          </cell>
          <cell r="R582">
            <v>11258</v>
          </cell>
          <cell r="S582" t="e">
            <v>#DIV/0!</v>
          </cell>
          <cell r="T582">
            <v>0</v>
          </cell>
          <cell r="U582" t="e">
            <v>#DIV/0!</v>
          </cell>
        </row>
        <row r="583">
          <cell r="F583" t="str">
            <v>30041964-3</v>
          </cell>
          <cell r="G583" t="str">
            <v>STAY</v>
          </cell>
          <cell r="H583" t="str">
            <v>50151-K1ZA-J103-20</v>
          </cell>
          <cell r="I583">
            <v>59</v>
          </cell>
          <cell r="J583">
            <v>13254</v>
          </cell>
          <cell r="K583">
            <v>224.64406779661016</v>
          </cell>
          <cell r="L583">
            <v>13792</v>
          </cell>
          <cell r="M583">
            <v>233.76271186440678</v>
          </cell>
          <cell r="N583">
            <v>11772</v>
          </cell>
          <cell r="O583">
            <v>199.52542372881356</v>
          </cell>
          <cell r="P583">
            <v>10982</v>
          </cell>
          <cell r="Q583">
            <v>186.13559322033899</v>
          </cell>
          <cell r="R583">
            <v>11258</v>
          </cell>
          <cell r="S583">
            <v>190.81355932203391</v>
          </cell>
          <cell r="T583">
            <v>0</v>
          </cell>
          <cell r="U583">
            <v>0</v>
          </cell>
        </row>
        <row r="584">
          <cell r="F584" t="str">
            <v>30041965-1</v>
          </cell>
          <cell r="G584" t="str">
            <v>STAY R FLOOR RR</v>
          </cell>
          <cell r="H584" t="str">
            <v>50128-K1ZA-J101-H1</v>
          </cell>
          <cell r="I584">
            <v>23</v>
          </cell>
          <cell r="J584">
            <v>12797</v>
          </cell>
          <cell r="K584">
            <v>556.39130434782612</v>
          </cell>
          <cell r="L584">
            <v>11572</v>
          </cell>
          <cell r="M584">
            <v>503.13043478260869</v>
          </cell>
          <cell r="N584">
            <v>10682</v>
          </cell>
          <cell r="O584">
            <v>464.43478260869563</v>
          </cell>
          <cell r="P584">
            <v>11058</v>
          </cell>
          <cell r="Q584">
            <v>480.78260869565219</v>
          </cell>
          <cell r="R584">
            <v>10642</v>
          </cell>
          <cell r="S584">
            <v>462.69565217391306</v>
          </cell>
          <cell r="T584">
            <v>12026</v>
          </cell>
          <cell r="U584">
            <v>522.86956521739125</v>
          </cell>
        </row>
        <row r="585">
          <cell r="F585" t="str">
            <v>30042019-1</v>
          </cell>
          <cell r="G585" t="str">
            <v xml:space="preserve">STAY </v>
          </cell>
          <cell r="H585" t="str">
            <v>50121-MLAA-A001-20</v>
          </cell>
          <cell r="I585">
            <v>1.76</v>
          </cell>
          <cell r="J585">
            <v>660</v>
          </cell>
          <cell r="K585">
            <v>375</v>
          </cell>
          <cell r="L585">
            <v>2200</v>
          </cell>
          <cell r="M585">
            <v>1250</v>
          </cell>
          <cell r="N585">
            <v>660</v>
          </cell>
          <cell r="O585">
            <v>375</v>
          </cell>
          <cell r="P585">
            <v>2107</v>
          </cell>
          <cell r="Q585">
            <v>1197.159090909091</v>
          </cell>
          <cell r="R585">
            <v>671</v>
          </cell>
          <cell r="S585">
            <v>381.25</v>
          </cell>
          <cell r="T585">
            <v>0</v>
          </cell>
          <cell r="U585">
            <v>0</v>
          </cell>
        </row>
        <row r="586">
          <cell r="F586" t="str">
            <v>30042553-1</v>
          </cell>
          <cell r="G586" t="e">
            <v>#N/A</v>
          </cell>
          <cell r="H586" t="e">
            <v>#N/A</v>
          </cell>
          <cell r="J586">
            <v>1305</v>
          </cell>
          <cell r="K586" t="e">
            <v>#DIV/0!</v>
          </cell>
          <cell r="L586">
            <v>949</v>
          </cell>
          <cell r="M586" t="e">
            <v>#DIV/0!</v>
          </cell>
          <cell r="N586">
            <v>1456</v>
          </cell>
          <cell r="O586" t="e">
            <v>#DIV/0!</v>
          </cell>
          <cell r="P586">
            <v>982</v>
          </cell>
          <cell r="Q586" t="e">
            <v>#DIV/0!</v>
          </cell>
          <cell r="R586">
            <v>934</v>
          </cell>
          <cell r="S586" t="e">
            <v>#DIV/0!</v>
          </cell>
          <cell r="T586">
            <v>0</v>
          </cell>
          <cell r="U586" t="e">
            <v>#DIV/0!</v>
          </cell>
        </row>
        <row r="587">
          <cell r="F587" t="str">
            <v>30042553-2</v>
          </cell>
          <cell r="G587" t="str">
            <v>PLATE</v>
          </cell>
          <cell r="H587" t="str">
            <v>50102-K26-9000-21</v>
          </cell>
          <cell r="I587">
            <v>26</v>
          </cell>
          <cell r="J587">
            <v>967</v>
          </cell>
          <cell r="K587">
            <v>37.192307692307693</v>
          </cell>
          <cell r="L587">
            <v>1456</v>
          </cell>
          <cell r="M587">
            <v>56</v>
          </cell>
          <cell r="N587">
            <v>982</v>
          </cell>
          <cell r="O587">
            <v>37.769230769230766</v>
          </cell>
          <cell r="P587">
            <v>934</v>
          </cell>
          <cell r="Q587">
            <v>35.92307692307692</v>
          </cell>
          <cell r="R587">
            <v>990</v>
          </cell>
          <cell r="S587">
            <v>38.07692307692308</v>
          </cell>
          <cell r="T587">
            <v>1063</v>
          </cell>
          <cell r="U587">
            <v>40.884615384615387</v>
          </cell>
        </row>
        <row r="588">
          <cell r="F588">
            <v>30045275</v>
          </cell>
          <cell r="G588" t="e">
            <v>#N/A</v>
          </cell>
          <cell r="H588" t="e">
            <v>#N/A</v>
          </cell>
          <cell r="J588">
            <v>0</v>
          </cell>
          <cell r="K588" t="e">
            <v>#DIV/0!</v>
          </cell>
          <cell r="L588">
            <v>0</v>
          </cell>
          <cell r="M588" t="e">
            <v>#DIV/0!</v>
          </cell>
          <cell r="N588">
            <v>0</v>
          </cell>
          <cell r="O588" t="e">
            <v>#DIV/0!</v>
          </cell>
          <cell r="P588">
            <v>0</v>
          </cell>
          <cell r="Q588" t="e">
            <v>#DIV/0!</v>
          </cell>
          <cell r="R588">
            <v>0</v>
          </cell>
          <cell r="S588" t="e">
            <v>#DIV/0!</v>
          </cell>
          <cell r="T588">
            <v>0</v>
          </cell>
          <cell r="U588" t="e">
            <v>#DIV/0!</v>
          </cell>
        </row>
        <row r="589">
          <cell r="F589">
            <v>30045276</v>
          </cell>
          <cell r="G589" t="str">
            <v>STAY FR COVER</v>
          </cell>
          <cell r="H589" t="str">
            <v>64223-KYZ-9000-H1</v>
          </cell>
          <cell r="J589">
            <v>0</v>
          </cell>
          <cell r="K589" t="e">
            <v>#DIV/0!</v>
          </cell>
          <cell r="L589">
            <v>0</v>
          </cell>
          <cell r="M589" t="e">
            <v>#DIV/0!</v>
          </cell>
          <cell r="N589">
            <v>0</v>
          </cell>
          <cell r="O589" t="e">
            <v>#DIV/0!</v>
          </cell>
          <cell r="P589">
            <v>0</v>
          </cell>
          <cell r="Q589" t="e">
            <v>#DIV/0!</v>
          </cell>
          <cell r="R589">
            <v>0</v>
          </cell>
          <cell r="S589" t="e">
            <v>#DIV/0!</v>
          </cell>
          <cell r="T589">
            <v>0</v>
          </cell>
          <cell r="U589" t="e">
            <v>#DIV/0!</v>
          </cell>
        </row>
        <row r="590">
          <cell r="F590">
            <v>30045277</v>
          </cell>
          <cell r="G590" t="str">
            <v>STAY AIR C CASE</v>
          </cell>
          <cell r="H590" t="str">
            <v>64225-KYZ-9000-H1</v>
          </cell>
          <cell r="I590">
            <v>26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</row>
        <row r="591">
          <cell r="F591">
            <v>30045278</v>
          </cell>
          <cell r="G591" t="str">
            <v>STAY HARNESS</v>
          </cell>
          <cell r="H591" t="str">
            <v>64220-KYZ-9000-H1</v>
          </cell>
          <cell r="I591">
            <v>100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</row>
        <row r="592">
          <cell r="F592" t="str">
            <v>30037129-1</v>
          </cell>
          <cell r="G592" t="str">
            <v>STAY BASE SUB COMP (STAY)</v>
          </cell>
          <cell r="H592" t="str">
            <v>64222-KYZ-T000-20</v>
          </cell>
          <cell r="I592">
            <v>28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U592">
            <v>0</v>
          </cell>
        </row>
        <row r="593">
          <cell r="F593">
            <v>30037570</v>
          </cell>
          <cell r="G593" t="str">
            <v>STAY COMP SW</v>
          </cell>
          <cell r="H593" t="str">
            <v>50111-K58M-TC00-H1</v>
          </cell>
          <cell r="I593">
            <v>14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R593">
            <v>0</v>
          </cell>
          <cell r="S593">
            <v>0</v>
          </cell>
          <cell r="U593">
            <v>0</v>
          </cell>
        </row>
        <row r="594">
          <cell r="F594">
            <v>30033736</v>
          </cell>
          <cell r="G594" t="str">
            <v>PLATE REINFORECMENT</v>
          </cell>
          <cell r="H594" t="str">
            <v>EF-725T(Y704)</v>
          </cell>
          <cell r="I594">
            <v>11</v>
          </cell>
          <cell r="J594">
            <v>40</v>
          </cell>
          <cell r="K594">
            <v>3.6363636363636362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100</v>
          </cell>
          <cell r="S594">
            <v>9.0909090909090917</v>
          </cell>
          <cell r="T594">
            <v>0</v>
          </cell>
          <cell r="U594">
            <v>0</v>
          </cell>
        </row>
        <row r="595">
          <cell r="F595">
            <v>30033737</v>
          </cell>
          <cell r="G595" t="str">
            <v>BRACKET ASSY FENDER</v>
          </cell>
          <cell r="H595" t="str">
            <v>EF-725T(Y704)</v>
          </cell>
          <cell r="I595">
            <v>11</v>
          </cell>
          <cell r="J595">
            <v>40</v>
          </cell>
          <cell r="K595">
            <v>3.6363636363636362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100</v>
          </cell>
          <cell r="S595">
            <v>9.0909090909090917</v>
          </cell>
          <cell r="T595">
            <v>0</v>
          </cell>
          <cell r="U595">
            <v>0</v>
          </cell>
        </row>
        <row r="596">
          <cell r="F596" t="str">
            <v>30031000-1</v>
          </cell>
          <cell r="G596" t="str">
            <v>BRACKET CUSH</v>
          </cell>
          <cell r="H596">
            <v>0</v>
          </cell>
          <cell r="I596">
            <v>18</v>
          </cell>
          <cell r="J596">
            <v>0</v>
          </cell>
          <cell r="K596">
            <v>0</v>
          </cell>
          <cell r="L596">
            <v>30</v>
          </cell>
          <cell r="M596">
            <v>1.6666666666666667</v>
          </cell>
          <cell r="N596">
            <v>10</v>
          </cell>
          <cell r="O596">
            <v>0.55555555555555558</v>
          </cell>
          <cell r="P596">
            <v>10</v>
          </cell>
          <cell r="Q596">
            <v>0.55555555555555558</v>
          </cell>
          <cell r="R596">
            <v>10</v>
          </cell>
          <cell r="S596">
            <v>0.55555555555555558</v>
          </cell>
          <cell r="T596">
            <v>0</v>
          </cell>
          <cell r="U596">
            <v>0</v>
          </cell>
        </row>
        <row r="597">
          <cell r="F597" t="str">
            <v>30031000-2</v>
          </cell>
          <cell r="G597" t="str">
            <v>PLATE CUSH</v>
          </cell>
          <cell r="H597">
            <v>0</v>
          </cell>
          <cell r="I597">
            <v>13</v>
          </cell>
          <cell r="J597">
            <v>0</v>
          </cell>
          <cell r="K597">
            <v>0</v>
          </cell>
          <cell r="L597">
            <v>30</v>
          </cell>
          <cell r="M597">
            <v>2.3076923076923075</v>
          </cell>
          <cell r="N597">
            <v>10</v>
          </cell>
          <cell r="O597">
            <v>0.76923076923076927</v>
          </cell>
          <cell r="P597">
            <v>10</v>
          </cell>
          <cell r="Q597">
            <v>0.76923076923076927</v>
          </cell>
          <cell r="R597">
            <v>10</v>
          </cell>
          <cell r="S597">
            <v>0.76923076923076927</v>
          </cell>
          <cell r="T597">
            <v>0</v>
          </cell>
          <cell r="U597">
            <v>0</v>
          </cell>
        </row>
        <row r="598">
          <cell r="F598">
            <v>30031753</v>
          </cell>
          <cell r="G598" t="str">
            <v>ARM</v>
          </cell>
          <cell r="H598" t="str">
            <v>24701-K26H-B002-22</v>
          </cell>
          <cell r="I598">
            <v>35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</row>
        <row r="599">
          <cell r="F599">
            <v>30012894</v>
          </cell>
          <cell r="G599" t="e">
            <v>#N/A</v>
          </cell>
          <cell r="H599" t="e">
            <v>#N/A</v>
          </cell>
          <cell r="K599" t="e">
            <v>#DIV/0!</v>
          </cell>
          <cell r="M599" t="e">
            <v>#DIV/0!</v>
          </cell>
          <cell r="O599" t="e">
            <v>#DIV/0!</v>
          </cell>
          <cell r="Q599" t="e">
            <v>#DIV/0!</v>
          </cell>
          <cell r="S599" t="e">
            <v>#DIV/0!</v>
          </cell>
          <cell r="U599" t="e">
            <v>#DIV/0!</v>
          </cell>
        </row>
        <row r="600">
          <cell r="F600">
            <v>30040670</v>
          </cell>
          <cell r="G600" t="str">
            <v xml:space="preserve">STAY </v>
          </cell>
          <cell r="H600" t="str">
            <v>64150-K2EA-T001-21</v>
          </cell>
          <cell r="K600" t="e">
            <v>#DIV/0!</v>
          </cell>
          <cell r="M600" t="e">
            <v>#DIV/0!</v>
          </cell>
          <cell r="O600" t="e">
            <v>#DIV/0!</v>
          </cell>
          <cell r="Q600" t="e">
            <v>#DIV/0!</v>
          </cell>
          <cell r="S600" t="e">
            <v>#DIV/0!</v>
          </cell>
          <cell r="U600" t="e">
            <v>#DIV/0!</v>
          </cell>
        </row>
        <row r="601">
          <cell r="F601" t="str">
            <v>30041192-1 / 30046849</v>
          </cell>
          <cell r="G601" t="e">
            <v>#N/A</v>
          </cell>
          <cell r="H601" t="e">
            <v>#N/A</v>
          </cell>
          <cell r="J601">
            <v>7420</v>
          </cell>
          <cell r="K601" t="e">
            <v>#DIV/0!</v>
          </cell>
          <cell r="L601">
            <v>6260</v>
          </cell>
          <cell r="M601" t="e">
            <v>#DIV/0!</v>
          </cell>
          <cell r="N601">
            <v>5366</v>
          </cell>
          <cell r="O601" t="e">
            <v>#DIV/0!</v>
          </cell>
          <cell r="P601">
            <v>4770</v>
          </cell>
          <cell r="Q601" t="e">
            <v>#DIV/0!</v>
          </cell>
          <cell r="R601">
            <v>4630</v>
          </cell>
          <cell r="S601" t="e">
            <v>#DIV/0!</v>
          </cell>
          <cell r="T601">
            <v>0</v>
          </cell>
          <cell r="U601" t="e">
            <v>#DIV/0!</v>
          </cell>
        </row>
        <row r="602">
          <cell r="F602" t="str">
            <v>30041192-2</v>
          </cell>
          <cell r="G602" t="str">
            <v>PITCH FR SUB PIPE</v>
          </cell>
          <cell r="H602" t="str">
            <v>50161-K0BA-T001-H1</v>
          </cell>
          <cell r="J602">
            <v>7420</v>
          </cell>
          <cell r="K602" t="e">
            <v>#DIV/0!</v>
          </cell>
          <cell r="L602">
            <v>6260</v>
          </cell>
          <cell r="M602" t="e">
            <v>#DIV/0!</v>
          </cell>
          <cell r="N602">
            <v>5366</v>
          </cell>
          <cell r="O602" t="e">
            <v>#DIV/0!</v>
          </cell>
          <cell r="P602">
            <v>4770</v>
          </cell>
          <cell r="Q602" t="e">
            <v>#DIV/0!</v>
          </cell>
          <cell r="R602">
            <v>4630</v>
          </cell>
          <cell r="S602" t="e">
            <v>#DIV/0!</v>
          </cell>
          <cell r="U602" t="e">
            <v>#DIV/0!</v>
          </cell>
        </row>
        <row r="603">
          <cell r="F603" t="str">
            <v>30041192-3</v>
          </cell>
          <cell r="G603" t="str">
            <v>STAY A HOSE CLAMPER</v>
          </cell>
          <cell r="H603" t="str">
            <v>50169-K0BA-T001-H1</v>
          </cell>
          <cell r="J603">
            <v>7420</v>
          </cell>
          <cell r="K603" t="e">
            <v>#DIV/0!</v>
          </cell>
          <cell r="L603">
            <v>6260</v>
          </cell>
          <cell r="M603" t="e">
            <v>#DIV/0!</v>
          </cell>
          <cell r="N603">
            <v>5366</v>
          </cell>
          <cell r="O603" t="e">
            <v>#DIV/0!</v>
          </cell>
          <cell r="P603">
            <v>4770</v>
          </cell>
          <cell r="Q603" t="e">
            <v>#DIV/0!</v>
          </cell>
          <cell r="R603">
            <v>4630</v>
          </cell>
          <cell r="S603" t="e">
            <v>#DIV/0!</v>
          </cell>
          <cell r="U603" t="e">
            <v>#DIV/0!</v>
          </cell>
        </row>
        <row r="604">
          <cell r="F604" t="str">
            <v>30041192-4</v>
          </cell>
          <cell r="G604" t="str">
            <v>STAY R L WETER HOSE RR</v>
          </cell>
          <cell r="H604" t="str">
            <v>50223/24-K1BA-T001-H1</v>
          </cell>
          <cell r="J604">
            <v>7420</v>
          </cell>
          <cell r="K604" t="e">
            <v>#DIV/0!</v>
          </cell>
          <cell r="L604">
            <v>6260</v>
          </cell>
          <cell r="M604" t="e">
            <v>#DIV/0!</v>
          </cell>
          <cell r="N604">
            <v>5366</v>
          </cell>
          <cell r="O604" t="e">
            <v>#DIV/0!</v>
          </cell>
          <cell r="P604">
            <v>4770</v>
          </cell>
          <cell r="Q604" t="e">
            <v>#DIV/0!</v>
          </cell>
          <cell r="R604">
            <v>4630</v>
          </cell>
          <cell r="S604" t="e">
            <v>#DIV/0!</v>
          </cell>
          <cell r="U604" t="e">
            <v>#DIV/0!</v>
          </cell>
        </row>
        <row r="605">
          <cell r="F605" t="str">
            <v>30041192-5</v>
          </cell>
          <cell r="G605" t="str">
            <v>STAY R (COVER BATTERY)</v>
          </cell>
          <cell r="H605" t="str">
            <v>50195-K0BA-T002-20</v>
          </cell>
          <cell r="I605">
            <v>33</v>
          </cell>
          <cell r="J605">
            <v>7420</v>
          </cell>
          <cell r="K605">
            <v>224.84848484848484</v>
          </cell>
          <cell r="L605">
            <v>6260</v>
          </cell>
          <cell r="M605">
            <v>189.69696969696969</v>
          </cell>
          <cell r="N605">
            <v>5366</v>
          </cell>
          <cell r="O605">
            <v>162.60606060606059</v>
          </cell>
          <cell r="P605">
            <v>4770</v>
          </cell>
          <cell r="Q605">
            <v>144.54545454545453</v>
          </cell>
          <cell r="R605">
            <v>4630</v>
          </cell>
          <cell r="S605">
            <v>140.30303030303031</v>
          </cell>
          <cell r="U605">
            <v>0</v>
          </cell>
        </row>
        <row r="606">
          <cell r="F606" t="str">
            <v>30041192-6</v>
          </cell>
          <cell r="G606" t="str">
            <v>CLIP HARNESS</v>
          </cell>
          <cell r="H606" t="str">
            <v>50128-GFM-900-H1</v>
          </cell>
          <cell r="J606">
            <v>7420</v>
          </cell>
          <cell r="K606" t="e">
            <v>#DIV/0!</v>
          </cell>
          <cell r="L606">
            <v>6260</v>
          </cell>
          <cell r="M606" t="e">
            <v>#DIV/0!</v>
          </cell>
          <cell r="N606">
            <v>5366</v>
          </cell>
          <cell r="O606" t="e">
            <v>#DIV/0!</v>
          </cell>
          <cell r="P606">
            <v>4770</v>
          </cell>
          <cell r="Q606" t="e">
            <v>#DIV/0!</v>
          </cell>
          <cell r="R606">
            <v>4630</v>
          </cell>
          <cell r="S606" t="e">
            <v>#DIV/0!</v>
          </cell>
          <cell r="U606" t="e">
            <v>#DIV/0!</v>
          </cell>
        </row>
        <row r="607">
          <cell r="F607" t="str">
            <v>30041192-7</v>
          </cell>
          <cell r="G607" t="e">
            <v>#N/A</v>
          </cell>
          <cell r="H607" t="e">
            <v>#N/A</v>
          </cell>
          <cell r="J607">
            <v>7420</v>
          </cell>
          <cell r="K607" t="e">
            <v>#DIV/0!</v>
          </cell>
          <cell r="L607">
            <v>6260</v>
          </cell>
          <cell r="M607" t="e">
            <v>#DIV/0!</v>
          </cell>
          <cell r="N607">
            <v>5366</v>
          </cell>
          <cell r="O607" t="e">
            <v>#DIV/0!</v>
          </cell>
          <cell r="P607">
            <v>4770</v>
          </cell>
          <cell r="Q607" t="e">
            <v>#DIV/0!</v>
          </cell>
          <cell r="R607">
            <v>4630</v>
          </cell>
          <cell r="S607" t="e">
            <v>#DIV/0!</v>
          </cell>
          <cell r="U607" t="e">
            <v>#DIV/0!</v>
          </cell>
        </row>
        <row r="608">
          <cell r="F608">
            <v>30021188</v>
          </cell>
          <cell r="G608" t="e">
            <v>#N/A</v>
          </cell>
          <cell r="H608" t="e">
            <v>#N/A</v>
          </cell>
          <cell r="K608" t="e">
            <v>#DIV/0!</v>
          </cell>
          <cell r="M608" t="e">
            <v>#DIV/0!</v>
          </cell>
          <cell r="O608" t="e">
            <v>#DIV/0!</v>
          </cell>
          <cell r="Q608" t="e">
            <v>#DIV/0!</v>
          </cell>
          <cell r="R608">
            <v>4630</v>
          </cell>
          <cell r="S608" t="e">
            <v>#DIV/0!</v>
          </cell>
          <cell r="U608" t="e">
            <v>#DIV/0!</v>
          </cell>
        </row>
        <row r="609">
          <cell r="F609">
            <v>30023999</v>
          </cell>
          <cell r="G609" t="str">
            <v>BRKT LEVER SHIFT NO.3</v>
          </cell>
          <cell r="H609" t="str">
            <v>TC422-2472-4</v>
          </cell>
          <cell r="I609">
            <v>50</v>
          </cell>
          <cell r="K609">
            <v>0</v>
          </cell>
          <cell r="M609">
            <v>0</v>
          </cell>
          <cell r="O609">
            <v>0</v>
          </cell>
          <cell r="Q609">
            <v>0</v>
          </cell>
          <cell r="R609">
            <v>4630</v>
          </cell>
          <cell r="S609">
            <v>92.6</v>
          </cell>
          <cell r="U609">
            <v>0</v>
          </cell>
        </row>
        <row r="610">
          <cell r="F610">
            <v>30024007</v>
          </cell>
          <cell r="G610" t="str">
            <v>BRKT LEVER SHIFT NO.4</v>
          </cell>
          <cell r="H610" t="str">
            <v>TC620-2472-1-5</v>
          </cell>
          <cell r="I610">
            <v>50</v>
          </cell>
          <cell r="K610">
            <v>0</v>
          </cell>
          <cell r="M610">
            <v>0</v>
          </cell>
          <cell r="O610">
            <v>0</v>
          </cell>
          <cell r="Q610">
            <v>0</v>
          </cell>
          <cell r="R610">
            <v>4630</v>
          </cell>
          <cell r="S610">
            <v>92.6</v>
          </cell>
          <cell r="U610">
            <v>0</v>
          </cell>
        </row>
        <row r="611">
          <cell r="F611">
            <v>30029118</v>
          </cell>
          <cell r="G611" t="e">
            <v>#N/A</v>
          </cell>
          <cell r="H611" t="e">
            <v>#N/A</v>
          </cell>
          <cell r="J611">
            <v>0</v>
          </cell>
          <cell r="K611" t="e">
            <v>#DIV/0!</v>
          </cell>
          <cell r="L611">
            <v>30</v>
          </cell>
          <cell r="M611" t="e">
            <v>#DIV/0!</v>
          </cell>
          <cell r="N611">
            <v>10</v>
          </cell>
          <cell r="O611" t="e">
            <v>#DIV/0!</v>
          </cell>
          <cell r="P611">
            <v>10</v>
          </cell>
          <cell r="Q611" t="e">
            <v>#DIV/0!</v>
          </cell>
          <cell r="R611">
            <v>10</v>
          </cell>
          <cell r="S611" t="e">
            <v>#DIV/0!</v>
          </cell>
          <cell r="T611">
            <v>0</v>
          </cell>
          <cell r="U611" t="e">
            <v>#DIV/0!</v>
          </cell>
        </row>
        <row r="612">
          <cell r="F612">
            <v>30029119</v>
          </cell>
          <cell r="G612" t="e">
            <v>#N/A</v>
          </cell>
          <cell r="H612" t="e">
            <v>#N/A</v>
          </cell>
          <cell r="J612">
            <v>0</v>
          </cell>
          <cell r="K612" t="e">
            <v>#DIV/0!</v>
          </cell>
          <cell r="L612">
            <v>30</v>
          </cell>
          <cell r="M612" t="e">
            <v>#DIV/0!</v>
          </cell>
          <cell r="N612">
            <v>10</v>
          </cell>
          <cell r="O612" t="e">
            <v>#DIV/0!</v>
          </cell>
          <cell r="P612">
            <v>10</v>
          </cell>
          <cell r="Q612" t="e">
            <v>#DIV/0!</v>
          </cell>
          <cell r="R612">
            <v>10</v>
          </cell>
          <cell r="S612" t="e">
            <v>#DIV/0!</v>
          </cell>
          <cell r="T612">
            <v>0</v>
          </cell>
          <cell r="U612" t="e">
            <v>#DIV/0!</v>
          </cell>
        </row>
        <row r="613">
          <cell r="F613">
            <v>30036287</v>
          </cell>
          <cell r="G613" t="str">
            <v>ARM</v>
          </cell>
          <cell r="H613" t="str">
            <v>24701-K0FA-T003-20</v>
          </cell>
          <cell r="I613">
            <v>36</v>
          </cell>
          <cell r="J613">
            <v>0</v>
          </cell>
          <cell r="K613">
            <v>0</v>
          </cell>
          <cell r="L613">
            <v>30</v>
          </cell>
          <cell r="M613">
            <v>0.83333333333333337</v>
          </cell>
          <cell r="O613">
            <v>0</v>
          </cell>
          <cell r="Q613">
            <v>0</v>
          </cell>
          <cell r="S613">
            <v>0</v>
          </cell>
          <cell r="U613">
            <v>0</v>
          </cell>
        </row>
        <row r="614">
          <cell r="F614">
            <v>30002556</v>
          </cell>
          <cell r="G614" t="str">
            <v xml:space="preserve">ARM </v>
          </cell>
          <cell r="H614" t="str">
            <v>2470B-KPH-9700</v>
          </cell>
          <cell r="I614">
            <v>23</v>
          </cell>
          <cell r="K614">
            <v>0</v>
          </cell>
          <cell r="L614">
            <v>30</v>
          </cell>
          <cell r="M614">
            <v>1.3043478260869565</v>
          </cell>
          <cell r="O614">
            <v>0</v>
          </cell>
          <cell r="Q614">
            <v>0</v>
          </cell>
          <cell r="S614">
            <v>0</v>
          </cell>
          <cell r="U614">
            <v>0</v>
          </cell>
        </row>
        <row r="615">
          <cell r="F615" t="str">
            <v>30041072-2</v>
          </cell>
          <cell r="G615" t="str">
            <v>STAY A,R</v>
          </cell>
          <cell r="H615" t="str">
            <v>81200-KOWF-J001-21</v>
          </cell>
          <cell r="I615">
            <v>20</v>
          </cell>
          <cell r="K615">
            <v>0</v>
          </cell>
          <cell r="L615">
            <v>30</v>
          </cell>
          <cell r="M615">
            <v>1.5</v>
          </cell>
          <cell r="O615">
            <v>0</v>
          </cell>
          <cell r="Q615">
            <v>0</v>
          </cell>
          <cell r="S615">
            <v>0</v>
          </cell>
          <cell r="U615">
            <v>0</v>
          </cell>
        </row>
        <row r="616">
          <cell r="F616" t="str">
            <v>30041072-3</v>
          </cell>
          <cell r="G616" t="str">
            <v>STAY A,L</v>
          </cell>
          <cell r="H616" t="str">
            <v>81200-KOWF-J001-22</v>
          </cell>
          <cell r="I616">
            <v>20</v>
          </cell>
          <cell r="K616">
            <v>0</v>
          </cell>
          <cell r="L616">
            <v>30</v>
          </cell>
          <cell r="M616">
            <v>1.5</v>
          </cell>
          <cell r="O616">
            <v>0</v>
          </cell>
          <cell r="Q616">
            <v>0</v>
          </cell>
          <cell r="S616">
            <v>0</v>
          </cell>
          <cell r="U616">
            <v>0</v>
          </cell>
        </row>
        <row r="617">
          <cell r="F617" t="str">
            <v>30041072-4</v>
          </cell>
          <cell r="G617" t="str">
            <v>STAY B,R</v>
          </cell>
          <cell r="H617" t="str">
            <v>81200-KOWF-J001-23</v>
          </cell>
          <cell r="K617" t="e">
            <v>#DIV/0!</v>
          </cell>
          <cell r="L617">
            <v>30</v>
          </cell>
          <cell r="M617" t="e">
            <v>#DIV/0!</v>
          </cell>
          <cell r="O617" t="e">
            <v>#DIV/0!</v>
          </cell>
          <cell r="Q617" t="e">
            <v>#DIV/0!</v>
          </cell>
          <cell r="S617" t="e">
            <v>#DIV/0!</v>
          </cell>
          <cell r="U617" t="e">
            <v>#DIV/0!</v>
          </cell>
        </row>
        <row r="618">
          <cell r="F618" t="str">
            <v>30041072-5</v>
          </cell>
          <cell r="G618" t="str">
            <v>STAY B,L</v>
          </cell>
          <cell r="H618" t="str">
            <v>81200-KOWF-J001-24</v>
          </cell>
          <cell r="K618" t="e">
            <v>#DIV/0!</v>
          </cell>
          <cell r="L618">
            <v>30</v>
          </cell>
          <cell r="M618" t="e">
            <v>#DIV/0!</v>
          </cell>
          <cell r="O618" t="e">
            <v>#DIV/0!</v>
          </cell>
          <cell r="Q618" t="e">
            <v>#DIV/0!</v>
          </cell>
          <cell r="S618" t="e">
            <v>#DIV/0!</v>
          </cell>
          <cell r="U618" t="e">
            <v>#DIV/0!</v>
          </cell>
        </row>
        <row r="619">
          <cell r="F619" t="str">
            <v>30041072-6</v>
          </cell>
          <cell r="G619" t="str">
            <v>STAY C</v>
          </cell>
          <cell r="H619" t="str">
            <v>81200-KOWF-J001-25</v>
          </cell>
          <cell r="I619">
            <v>18</v>
          </cell>
          <cell r="K619">
            <v>0</v>
          </cell>
          <cell r="L619">
            <v>30</v>
          </cell>
          <cell r="M619">
            <v>1.6666666666666667</v>
          </cell>
          <cell r="O619">
            <v>0</v>
          </cell>
          <cell r="Q619">
            <v>0</v>
          </cell>
          <cell r="S619">
            <v>0</v>
          </cell>
          <cell r="U619">
            <v>0</v>
          </cell>
        </row>
        <row r="620">
          <cell r="F620" t="str">
            <v>30041072-7</v>
          </cell>
          <cell r="G620" t="str">
            <v>STAY D</v>
          </cell>
          <cell r="H620" t="str">
            <v>81200-KOWF-J001-26</v>
          </cell>
          <cell r="K620" t="e">
            <v>#DIV/0!</v>
          </cell>
          <cell r="L620">
            <v>30</v>
          </cell>
          <cell r="M620" t="e">
            <v>#DIV/0!</v>
          </cell>
          <cell r="O620" t="e">
            <v>#DIV/0!</v>
          </cell>
          <cell r="Q620" t="e">
            <v>#DIV/0!</v>
          </cell>
          <cell r="S620" t="e">
            <v>#DIV/0!</v>
          </cell>
          <cell r="U620" t="e">
            <v>#DIV/0!</v>
          </cell>
        </row>
        <row r="621">
          <cell r="F621" t="str">
            <v>30044948-1</v>
          </cell>
          <cell r="G621" t="str">
            <v xml:space="preserve">GUSSET </v>
          </cell>
          <cell r="H621">
            <v>0</v>
          </cell>
          <cell r="I621">
            <v>8</v>
          </cell>
          <cell r="J621">
            <v>1600</v>
          </cell>
          <cell r="K621">
            <v>200</v>
          </cell>
          <cell r="L621">
            <v>1466</v>
          </cell>
          <cell r="M621">
            <v>183.25</v>
          </cell>
          <cell r="N621">
            <v>1240</v>
          </cell>
          <cell r="O621">
            <v>155</v>
          </cell>
          <cell r="P621">
            <v>818</v>
          </cell>
          <cell r="Q621">
            <v>102.25</v>
          </cell>
          <cell r="R621">
            <v>1146</v>
          </cell>
          <cell r="S621">
            <v>143.25</v>
          </cell>
          <cell r="T621">
            <v>0</v>
          </cell>
          <cell r="U621">
            <v>0</v>
          </cell>
        </row>
        <row r="622">
          <cell r="F622" t="str">
            <v>30044948-2</v>
          </cell>
          <cell r="G622" t="str">
            <v>PLATE</v>
          </cell>
          <cell r="H622">
            <v>0</v>
          </cell>
          <cell r="I622">
            <v>26</v>
          </cell>
          <cell r="J622">
            <v>1600</v>
          </cell>
          <cell r="K622">
            <v>61.53846153846154</v>
          </cell>
          <cell r="L622">
            <v>1466</v>
          </cell>
          <cell r="M622">
            <v>56.384615384615387</v>
          </cell>
          <cell r="N622">
            <v>1240</v>
          </cell>
          <cell r="O622">
            <v>47.692307692307693</v>
          </cell>
          <cell r="P622">
            <v>818</v>
          </cell>
          <cell r="Q622">
            <v>31.46153846153846</v>
          </cell>
          <cell r="R622">
            <v>1146</v>
          </cell>
          <cell r="S622">
            <v>44.07692307692308</v>
          </cell>
          <cell r="T622">
            <v>0</v>
          </cell>
          <cell r="U622">
            <v>0</v>
          </cell>
        </row>
        <row r="623">
          <cell r="F623" t="str">
            <v>30044948-3</v>
          </cell>
          <cell r="G623" t="str">
            <v>STAY G HARNESS</v>
          </cell>
          <cell r="H623" t="str">
            <v>50181-K2LA-0001-H1</v>
          </cell>
          <cell r="I623">
            <v>31</v>
          </cell>
          <cell r="J623">
            <v>1600</v>
          </cell>
          <cell r="K623">
            <v>51.612903225806448</v>
          </cell>
          <cell r="L623">
            <v>1466</v>
          </cell>
          <cell r="M623">
            <v>47.29032258064516</v>
          </cell>
          <cell r="N623">
            <v>1240</v>
          </cell>
          <cell r="O623">
            <v>40</v>
          </cell>
          <cell r="P623">
            <v>818</v>
          </cell>
          <cell r="Q623">
            <v>26.387096774193548</v>
          </cell>
          <cell r="R623">
            <v>1146</v>
          </cell>
          <cell r="S623">
            <v>36.967741935483872</v>
          </cell>
          <cell r="T623">
            <v>0</v>
          </cell>
          <cell r="U623">
            <v>0</v>
          </cell>
        </row>
        <row r="624">
          <cell r="F624">
            <v>30045048</v>
          </cell>
          <cell r="G624" t="str">
            <v>STAY R SEAT MT</v>
          </cell>
          <cell r="H624">
            <v>0</v>
          </cell>
          <cell r="I624">
            <v>21</v>
          </cell>
          <cell r="J624">
            <v>475</v>
          </cell>
          <cell r="K624">
            <v>22.61904761904762</v>
          </cell>
          <cell r="L624">
            <v>420</v>
          </cell>
          <cell r="M624">
            <v>20</v>
          </cell>
          <cell r="N624">
            <v>338</v>
          </cell>
          <cell r="O624">
            <v>16.095238095238095</v>
          </cell>
          <cell r="P624">
            <v>273</v>
          </cell>
          <cell r="Q624">
            <v>13</v>
          </cell>
          <cell r="R624">
            <v>427</v>
          </cell>
          <cell r="S624">
            <v>20.333333333333332</v>
          </cell>
          <cell r="T624">
            <v>608</v>
          </cell>
          <cell r="U624">
            <v>28.952380952380953</v>
          </cell>
        </row>
        <row r="625">
          <cell r="F625">
            <v>30045049</v>
          </cell>
          <cell r="G625" t="str">
            <v>STAY L SEAT MT</v>
          </cell>
          <cell r="H625">
            <v>0</v>
          </cell>
          <cell r="I625">
            <v>21</v>
          </cell>
          <cell r="J625">
            <v>475</v>
          </cell>
          <cell r="K625">
            <v>22.61904761904762</v>
          </cell>
          <cell r="L625">
            <v>420</v>
          </cell>
          <cell r="M625">
            <v>20</v>
          </cell>
          <cell r="N625">
            <v>338</v>
          </cell>
          <cell r="O625">
            <v>16.095238095238095</v>
          </cell>
          <cell r="P625">
            <v>273</v>
          </cell>
          <cell r="Q625">
            <v>13</v>
          </cell>
          <cell r="R625">
            <v>427</v>
          </cell>
          <cell r="S625">
            <v>20.333333333333332</v>
          </cell>
          <cell r="T625">
            <v>608</v>
          </cell>
          <cell r="U625">
            <v>28.952380952380953</v>
          </cell>
        </row>
        <row r="626">
          <cell r="F626" t="str">
            <v>30045039-1</v>
          </cell>
          <cell r="G626" t="str">
            <v>STAY ABS</v>
          </cell>
          <cell r="H626" t="str">
            <v>50116-K2WA-J102-H1</v>
          </cell>
          <cell r="I626">
            <v>29</v>
          </cell>
          <cell r="J626">
            <v>475</v>
          </cell>
          <cell r="K626">
            <v>16.379310344827587</v>
          </cell>
          <cell r="L626">
            <v>460</v>
          </cell>
          <cell r="M626">
            <v>15.862068965517242</v>
          </cell>
          <cell r="N626">
            <v>420</v>
          </cell>
          <cell r="O626">
            <v>14.482758620689655</v>
          </cell>
          <cell r="P626">
            <v>338</v>
          </cell>
          <cell r="Q626">
            <v>11.655172413793103</v>
          </cell>
          <cell r="R626">
            <v>273</v>
          </cell>
          <cell r="S626">
            <v>9.4137931034482758</v>
          </cell>
          <cell r="T626">
            <v>0</v>
          </cell>
          <cell r="U626">
            <v>0</v>
          </cell>
        </row>
        <row r="627">
          <cell r="F627">
            <v>30045050</v>
          </cell>
          <cell r="G627" t="e">
            <v>#N/A</v>
          </cell>
          <cell r="H627" t="e">
            <v>#N/A</v>
          </cell>
          <cell r="I627">
            <v>24</v>
          </cell>
          <cell r="J627">
            <v>475</v>
          </cell>
          <cell r="K627">
            <v>19.791666666666668</v>
          </cell>
          <cell r="L627">
            <v>460</v>
          </cell>
          <cell r="M627">
            <v>19.166666666666668</v>
          </cell>
          <cell r="N627">
            <v>420</v>
          </cell>
          <cell r="O627">
            <v>17.5</v>
          </cell>
          <cell r="P627">
            <v>338</v>
          </cell>
          <cell r="Q627">
            <v>14.083333333333334</v>
          </cell>
          <cell r="R627">
            <v>273</v>
          </cell>
          <cell r="S627">
            <v>11.375</v>
          </cell>
          <cell r="T627">
            <v>0</v>
          </cell>
          <cell r="U627">
            <v>0</v>
          </cell>
        </row>
        <row r="628">
          <cell r="F628">
            <v>30050144</v>
          </cell>
          <cell r="G628" t="e">
            <v>#N/A</v>
          </cell>
          <cell r="H628" t="e">
            <v>#N/A</v>
          </cell>
          <cell r="J628">
            <v>475</v>
          </cell>
          <cell r="K628" t="e">
            <v>#DIV/0!</v>
          </cell>
          <cell r="L628">
            <v>460</v>
          </cell>
          <cell r="M628" t="e">
            <v>#DIV/0!</v>
          </cell>
          <cell r="N628">
            <v>420</v>
          </cell>
          <cell r="O628" t="e">
            <v>#DIV/0!</v>
          </cell>
          <cell r="P628">
            <v>338</v>
          </cell>
          <cell r="Q628" t="e">
            <v>#DIV/0!</v>
          </cell>
          <cell r="R628">
            <v>273</v>
          </cell>
          <cell r="S628" t="e">
            <v>#DIV/0!</v>
          </cell>
          <cell r="T628">
            <v>0</v>
          </cell>
          <cell r="U628" t="e">
            <v>#DIV/0!</v>
          </cell>
        </row>
        <row r="629">
          <cell r="F629" t="str">
            <v>30050144-1</v>
          </cell>
          <cell r="G629" t="str">
            <v>STAY R COWL FR COMP</v>
          </cell>
          <cell r="H629" t="str">
            <v>K98K</v>
          </cell>
          <cell r="I629">
            <v>42</v>
          </cell>
          <cell r="J629">
            <v>431</v>
          </cell>
          <cell r="K629">
            <v>10.261904761904763</v>
          </cell>
          <cell r="L629">
            <v>876</v>
          </cell>
          <cell r="M629">
            <v>20.857142857142858</v>
          </cell>
          <cell r="N629">
            <v>900</v>
          </cell>
          <cell r="O629">
            <v>21.428571428571427</v>
          </cell>
          <cell r="P629">
            <v>408</v>
          </cell>
          <cell r="Q629">
            <v>9.7142857142857135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</row>
        <row r="630">
          <cell r="F630" t="str">
            <v>30050143-1</v>
          </cell>
          <cell r="G630" t="str">
            <v>STAY L  COWL FR COMP</v>
          </cell>
          <cell r="H630" t="str">
            <v>K98K</v>
          </cell>
          <cell r="I630">
            <v>42</v>
          </cell>
          <cell r="J630">
            <v>431</v>
          </cell>
          <cell r="K630">
            <v>10.261904761904763</v>
          </cell>
          <cell r="L630">
            <v>876</v>
          </cell>
          <cell r="M630">
            <v>20.857142857142858</v>
          </cell>
          <cell r="N630">
            <v>900</v>
          </cell>
          <cell r="O630">
            <v>21.428571428571427</v>
          </cell>
          <cell r="P630">
            <v>408</v>
          </cell>
          <cell r="Q630">
            <v>9.7142857142857135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</row>
        <row r="631">
          <cell r="F631">
            <v>30049888</v>
          </cell>
          <cell r="G631" t="e">
            <v>#N/A</v>
          </cell>
          <cell r="H631" t="e">
            <v>#N/A</v>
          </cell>
          <cell r="J631">
            <v>27347</v>
          </cell>
          <cell r="K631" t="e">
            <v>#DIV/0!</v>
          </cell>
          <cell r="L631">
            <v>27966</v>
          </cell>
          <cell r="M631" t="e">
            <v>#DIV/0!</v>
          </cell>
          <cell r="N631">
            <v>27938</v>
          </cell>
          <cell r="O631" t="e">
            <v>#DIV/0!</v>
          </cell>
          <cell r="P631">
            <v>24822</v>
          </cell>
          <cell r="Q631" t="e">
            <v>#DIV/0!</v>
          </cell>
          <cell r="R631">
            <v>25886</v>
          </cell>
          <cell r="S631" t="e">
            <v>#DIV/0!</v>
          </cell>
          <cell r="T631">
            <v>0</v>
          </cell>
          <cell r="U631" t="e">
            <v>#DIV/0!</v>
          </cell>
        </row>
        <row r="632">
          <cell r="F632" t="str">
            <v>30046426-1</v>
          </cell>
          <cell r="G632" t="str">
            <v>BRACKET</v>
          </cell>
          <cell r="H632" t="str">
            <v>11057-7902A</v>
          </cell>
          <cell r="I632">
            <v>44</v>
          </cell>
          <cell r="J632">
            <v>27348</v>
          </cell>
          <cell r="K632">
            <v>621.5454545454545</v>
          </cell>
          <cell r="L632">
            <v>27967</v>
          </cell>
          <cell r="M632">
            <v>635.61363636363637</v>
          </cell>
          <cell r="N632">
            <v>27939</v>
          </cell>
          <cell r="O632">
            <v>634.97727272727275</v>
          </cell>
          <cell r="P632">
            <v>24823</v>
          </cell>
          <cell r="Q632">
            <v>564.15909090909088</v>
          </cell>
          <cell r="R632">
            <v>25887</v>
          </cell>
          <cell r="S632">
            <v>588.34090909090912</v>
          </cell>
          <cell r="T632">
            <v>1</v>
          </cell>
          <cell r="U632">
            <v>2.2727272727272728E-2</v>
          </cell>
        </row>
        <row r="633">
          <cell r="F633" t="str">
            <v>30046426-2</v>
          </cell>
          <cell r="G633" t="str">
            <v>BRACKET</v>
          </cell>
          <cell r="H633" t="str">
            <v>11057-7903B</v>
          </cell>
          <cell r="I633">
            <v>19</v>
          </cell>
          <cell r="J633">
            <v>27349</v>
          </cell>
          <cell r="K633">
            <v>1439.421052631579</v>
          </cell>
          <cell r="L633">
            <v>27968</v>
          </cell>
          <cell r="M633">
            <v>1472</v>
          </cell>
          <cell r="N633">
            <v>27940</v>
          </cell>
          <cell r="O633">
            <v>1470.5263157894738</v>
          </cell>
          <cell r="P633">
            <v>24824</v>
          </cell>
          <cell r="Q633">
            <v>1306.5263157894738</v>
          </cell>
          <cell r="R633">
            <v>25888</v>
          </cell>
          <cell r="S633">
            <v>1362.5263157894738</v>
          </cell>
          <cell r="T633">
            <v>2</v>
          </cell>
          <cell r="U633">
            <v>0.10526315789473684</v>
          </cell>
        </row>
        <row r="634">
          <cell r="G634" t="e">
            <v>#N/A</v>
          </cell>
          <cell r="H634" t="e">
            <v>#N/A</v>
          </cell>
          <cell r="K634" t="e">
            <v>#DIV/0!</v>
          </cell>
          <cell r="M634" t="e">
            <v>#DIV/0!</v>
          </cell>
          <cell r="O634" t="e">
            <v>#DIV/0!</v>
          </cell>
          <cell r="Q634" t="e">
            <v>#DIV/0!</v>
          </cell>
          <cell r="S634" t="e">
            <v>#DIV/0!</v>
          </cell>
          <cell r="U634" t="e">
            <v>#DIV/0!</v>
          </cell>
        </row>
        <row r="635">
          <cell r="F635">
            <v>3.1</v>
          </cell>
          <cell r="G635" t="str">
            <v>ไทยสแตนดาร์ด</v>
          </cell>
          <cell r="K635" t="e">
            <v>#DIV/0!</v>
          </cell>
          <cell r="M635" t="e">
            <v>#DIV/0!</v>
          </cell>
          <cell r="O635" t="e">
            <v>#DIV/0!</v>
          </cell>
          <cell r="Q635" t="e">
            <v>#DIV/0!</v>
          </cell>
          <cell r="S635" t="e">
            <v>#DIV/0!</v>
          </cell>
          <cell r="U635" t="e">
            <v>#DIV/0!</v>
          </cell>
        </row>
        <row r="636">
          <cell r="F636" t="str">
            <v>30037119-1</v>
          </cell>
          <cell r="G636" t="str">
            <v>STAY REGULATOR (PLATE)</v>
          </cell>
          <cell r="H636" t="str">
            <v>50156-K73K-V400-20</v>
          </cell>
          <cell r="K636" t="e">
            <v>#DIV/0!</v>
          </cell>
          <cell r="M636" t="e">
            <v>#DIV/0!</v>
          </cell>
          <cell r="O636" t="e">
            <v>#DIV/0!</v>
          </cell>
          <cell r="Q636" t="e">
            <v>#DIV/0!</v>
          </cell>
          <cell r="S636" t="e">
            <v>#DIV/0!</v>
          </cell>
          <cell r="U636" t="e">
            <v>#DIV/0!</v>
          </cell>
        </row>
        <row r="637">
          <cell r="F637" t="str">
            <v>30037120-1</v>
          </cell>
          <cell r="G637" t="str">
            <v>STAY IGN COIL SUB COMP (STAY IGN COIL)</v>
          </cell>
          <cell r="H637" t="str">
            <v>50157-K73L9000-H1-1</v>
          </cell>
          <cell r="K637" t="e">
            <v>#DIV/0!</v>
          </cell>
          <cell r="M637" t="e">
            <v>#DIV/0!</v>
          </cell>
          <cell r="O637" t="e">
            <v>#DIV/0!</v>
          </cell>
          <cell r="Q637" t="e">
            <v>#DIV/0!</v>
          </cell>
          <cell r="S637" t="e">
            <v>#DIV/0!</v>
          </cell>
          <cell r="U637" t="e">
            <v>#DIV/0!</v>
          </cell>
        </row>
        <row r="638">
          <cell r="F638" t="str">
            <v>30037121-1</v>
          </cell>
          <cell r="G638" t="str">
            <v>STAY COMP HORN (STAY HORN)</v>
          </cell>
          <cell r="H638" t="str">
            <v>50158-K73L-T600-20</v>
          </cell>
          <cell r="K638" t="e">
            <v>#DIV/0!</v>
          </cell>
          <cell r="M638" t="e">
            <v>#DIV/0!</v>
          </cell>
          <cell r="O638" t="e">
            <v>#DIV/0!</v>
          </cell>
          <cell r="Q638" t="e">
            <v>#DIV/0!</v>
          </cell>
          <cell r="S638" t="e">
            <v>#DIV/0!</v>
          </cell>
          <cell r="U638" t="e">
            <v>#DIV/0!</v>
          </cell>
        </row>
        <row r="639">
          <cell r="F639" t="str">
            <v>30037125-1</v>
          </cell>
          <cell r="G639" t="str">
            <v>STAY COMP R SIDE COVER (PLATE)</v>
          </cell>
          <cell r="H639" t="str">
            <v>50133-K73KV400-20</v>
          </cell>
          <cell r="K639" t="e">
            <v>#DIV/0!</v>
          </cell>
          <cell r="M639" t="e">
            <v>#DIV/0!</v>
          </cell>
          <cell r="O639" t="e">
            <v>#DIV/0!</v>
          </cell>
          <cell r="Q639" t="e">
            <v>#DIV/0!</v>
          </cell>
          <cell r="S639" t="e">
            <v>#DIV/0!</v>
          </cell>
          <cell r="U639" t="e">
            <v>#DIV/0!</v>
          </cell>
        </row>
        <row r="640">
          <cell r="F640" t="str">
            <v>30036272-1</v>
          </cell>
          <cell r="G640" t="e">
            <v>#N/A</v>
          </cell>
          <cell r="H640" t="e">
            <v>#N/A</v>
          </cell>
          <cell r="K640" t="e">
            <v>#DIV/0!</v>
          </cell>
          <cell r="M640" t="e">
            <v>#DIV/0!</v>
          </cell>
          <cell r="O640" t="e">
            <v>#DIV/0!</v>
          </cell>
          <cell r="Q640" t="e">
            <v>#DIV/0!</v>
          </cell>
          <cell r="S640" t="e">
            <v>#DIV/0!</v>
          </cell>
          <cell r="U640" t="e">
            <v>#DIV/0!</v>
          </cell>
        </row>
        <row r="641">
          <cell r="F641" t="str">
            <v>30036272-2</v>
          </cell>
          <cell r="G641" t="str">
            <v>PLATE</v>
          </cell>
          <cell r="H641" t="str">
            <v>50102-K26-9000-21</v>
          </cell>
          <cell r="K641" t="e">
            <v>#DIV/0!</v>
          </cell>
          <cell r="M641" t="e">
            <v>#DIV/0!</v>
          </cell>
          <cell r="O641" t="e">
            <v>#DIV/0!</v>
          </cell>
          <cell r="Q641" t="e">
            <v>#DIV/0!</v>
          </cell>
          <cell r="S641" t="e">
            <v>#DIV/0!</v>
          </cell>
          <cell r="U641" t="e">
            <v>#DIV/0!</v>
          </cell>
        </row>
        <row r="642">
          <cell r="F642">
            <v>30035147</v>
          </cell>
          <cell r="G642" t="str">
            <v>BRACKET COVER TOP 1</v>
          </cell>
          <cell r="H642" t="str">
            <v>1W071-4176-10-02</v>
          </cell>
          <cell r="J642">
            <v>0</v>
          </cell>
          <cell r="K642" t="e">
            <v>#DIV/0!</v>
          </cell>
          <cell r="L642">
            <v>0</v>
          </cell>
          <cell r="M642" t="e">
            <v>#DIV/0!</v>
          </cell>
          <cell r="N642">
            <v>0</v>
          </cell>
          <cell r="O642" t="e">
            <v>#DIV/0!</v>
          </cell>
          <cell r="Q642" t="e">
            <v>#DIV/0!</v>
          </cell>
          <cell r="S642" t="e">
            <v>#DIV/0!</v>
          </cell>
          <cell r="U642" t="e">
            <v>#DIV/0!</v>
          </cell>
        </row>
        <row r="643">
          <cell r="F643" t="str">
            <v>30034300-1</v>
          </cell>
          <cell r="G643" t="str">
            <v>PLATE A STOPPER</v>
          </cell>
          <cell r="H643" t="str">
            <v>50500-KSSX-J301-24</v>
          </cell>
          <cell r="K643" t="e">
            <v>#DIV/0!</v>
          </cell>
          <cell r="M643" t="e">
            <v>#DIV/0!</v>
          </cell>
          <cell r="O643" t="e">
            <v>#DIV/0!</v>
          </cell>
          <cell r="Q643" t="e">
            <v>#DIV/0!</v>
          </cell>
          <cell r="S643" t="e">
            <v>#DIV/0!</v>
          </cell>
          <cell r="U643" t="e">
            <v>#DIV/0!</v>
          </cell>
        </row>
        <row r="644">
          <cell r="F644" t="str">
            <v>30034300-2</v>
          </cell>
          <cell r="G644" t="str">
            <v>PLATE B STOPPER</v>
          </cell>
          <cell r="H644" t="str">
            <v>50500-KSSX-J302-25</v>
          </cell>
          <cell r="K644" t="e">
            <v>#DIV/0!</v>
          </cell>
          <cell r="M644" t="e">
            <v>#DIV/0!</v>
          </cell>
          <cell r="O644" t="e">
            <v>#DIV/0!</v>
          </cell>
          <cell r="Q644" t="e">
            <v>#DIV/0!</v>
          </cell>
          <cell r="S644" t="e">
            <v>#DIV/0!</v>
          </cell>
          <cell r="U644" t="e">
            <v>#DIV/0!</v>
          </cell>
        </row>
        <row r="645">
          <cell r="F645" t="str">
            <v>30015971-2</v>
          </cell>
          <cell r="G645" t="str">
            <v>STAY AIR/C</v>
          </cell>
          <cell r="H645" t="str">
            <v>50155-KYZA-9001-H2</v>
          </cell>
          <cell r="J645">
            <v>0</v>
          </cell>
          <cell r="K645" t="e">
            <v>#DIV/0!</v>
          </cell>
          <cell r="L645">
            <v>0</v>
          </cell>
          <cell r="M645" t="e">
            <v>#DIV/0!</v>
          </cell>
          <cell r="N645">
            <v>0</v>
          </cell>
          <cell r="O645" t="e">
            <v>#DIV/0!</v>
          </cell>
          <cell r="Q645" t="e">
            <v>#DIV/0!</v>
          </cell>
          <cell r="R645">
            <v>0</v>
          </cell>
          <cell r="S645" t="e">
            <v>#DIV/0!</v>
          </cell>
          <cell r="U645" t="e">
            <v>#DIV/0!</v>
          </cell>
        </row>
        <row r="646">
          <cell r="F646" t="str">
            <v>30015971-1</v>
          </cell>
          <cell r="G646" t="str">
            <v>STAY AIR/C (X2)</v>
          </cell>
          <cell r="H646" t="str">
            <v>50155-KYZA-9001-H2</v>
          </cell>
          <cell r="J646">
            <v>0</v>
          </cell>
          <cell r="K646" t="e">
            <v>#DIV/0!</v>
          </cell>
          <cell r="L646">
            <v>0</v>
          </cell>
          <cell r="M646" t="e">
            <v>#DIV/0!</v>
          </cell>
          <cell r="N646">
            <v>0</v>
          </cell>
          <cell r="O646" t="e">
            <v>#DIV/0!</v>
          </cell>
          <cell r="Q646" t="e">
            <v>#DIV/0!</v>
          </cell>
          <cell r="R646">
            <v>0</v>
          </cell>
          <cell r="S646" t="e">
            <v>#DIV/0!</v>
          </cell>
          <cell r="U646" t="e">
            <v>#DIV/0!</v>
          </cell>
        </row>
        <row r="647">
          <cell r="F647">
            <v>30015982</v>
          </cell>
          <cell r="G647" t="e">
            <v>#REF!</v>
          </cell>
          <cell r="H647" t="str">
            <v>50125-KYZA-9001-H1</v>
          </cell>
          <cell r="J647">
            <v>0</v>
          </cell>
          <cell r="K647" t="e">
            <v>#DIV/0!</v>
          </cell>
          <cell r="L647">
            <v>0</v>
          </cell>
          <cell r="M647" t="e">
            <v>#DIV/0!</v>
          </cell>
          <cell r="N647">
            <v>0</v>
          </cell>
          <cell r="O647" t="e">
            <v>#DIV/0!</v>
          </cell>
          <cell r="Q647" t="e">
            <v>#DIV/0!</v>
          </cell>
          <cell r="R647">
            <v>0</v>
          </cell>
          <cell r="S647" t="e">
            <v>#DIV/0!</v>
          </cell>
          <cell r="U647" t="e">
            <v>#DIV/0!</v>
          </cell>
        </row>
        <row r="648">
          <cell r="F648">
            <v>30042157</v>
          </cell>
          <cell r="G648" t="str">
            <v>STAY FR COVER</v>
          </cell>
          <cell r="H648" t="str">
            <v>50115-K2JA-T100-H1</v>
          </cell>
          <cell r="K648" t="e">
            <v>#DIV/0!</v>
          </cell>
          <cell r="M648" t="e">
            <v>#DIV/0!</v>
          </cell>
          <cell r="O648" t="e">
            <v>#DIV/0!</v>
          </cell>
          <cell r="Q648" t="e">
            <v>#DIV/0!</v>
          </cell>
          <cell r="S648" t="e">
            <v>#DIV/0!</v>
          </cell>
          <cell r="U648" t="e">
            <v>#DIV/0!</v>
          </cell>
        </row>
        <row r="649">
          <cell r="F649" t="str">
            <v>30041965-1</v>
          </cell>
          <cell r="G649" t="str">
            <v>STAY R FLOOR RR</v>
          </cell>
          <cell r="H649" t="str">
            <v>50128-K1ZA-J101-H1</v>
          </cell>
          <cell r="K649" t="e">
            <v>#DIV/0!</v>
          </cell>
          <cell r="M649" t="e">
            <v>#DIV/0!</v>
          </cell>
          <cell r="O649" t="e">
            <v>#DIV/0!</v>
          </cell>
          <cell r="Q649" t="e">
            <v>#DIV/0!</v>
          </cell>
          <cell r="S649" t="e">
            <v>#DIV/0!</v>
          </cell>
          <cell r="U649" t="e">
            <v>#DIV/0!</v>
          </cell>
        </row>
        <row r="650">
          <cell r="F650" t="str">
            <v>30041962-1</v>
          </cell>
          <cell r="G650" t="str">
            <v>STAY HORN</v>
          </cell>
          <cell r="H650" t="str">
            <v>50143-K1ZA-J101-H1</v>
          </cell>
          <cell r="I650">
            <v>45</v>
          </cell>
          <cell r="J650">
            <v>12797</v>
          </cell>
          <cell r="K650">
            <v>284.37777777777779</v>
          </cell>
          <cell r="L650">
            <v>11572</v>
          </cell>
          <cell r="M650">
            <v>257.15555555555557</v>
          </cell>
          <cell r="N650">
            <v>10682</v>
          </cell>
          <cell r="O650">
            <v>237.37777777777777</v>
          </cell>
          <cell r="P650">
            <v>11058</v>
          </cell>
          <cell r="Q650">
            <v>245.73333333333332</v>
          </cell>
          <cell r="R650">
            <v>10642</v>
          </cell>
          <cell r="S650">
            <v>236.48888888888888</v>
          </cell>
          <cell r="T650">
            <v>12026</v>
          </cell>
          <cell r="U650">
            <v>267.24444444444447</v>
          </cell>
        </row>
        <row r="651">
          <cell r="F651" t="str">
            <v>30040723-1</v>
          </cell>
          <cell r="G651" t="str">
            <v>STAY A</v>
          </cell>
          <cell r="H651" t="str">
            <v>51605-K2EA-T000-21</v>
          </cell>
          <cell r="K651" t="e">
            <v>#DIV/0!</v>
          </cell>
          <cell r="M651" t="e">
            <v>#DIV/0!</v>
          </cell>
          <cell r="O651" t="e">
            <v>#DIV/0!</v>
          </cell>
          <cell r="Q651" t="e">
            <v>#DIV/0!</v>
          </cell>
          <cell r="S651" t="e">
            <v>#DIV/0!</v>
          </cell>
          <cell r="U651" t="e">
            <v>#DIV/0!</v>
          </cell>
        </row>
        <row r="652">
          <cell r="F652" t="str">
            <v>30040723-2</v>
          </cell>
          <cell r="G652" t="str">
            <v>STAY B</v>
          </cell>
          <cell r="H652" t="str">
            <v>51605-K2EA-T000-22</v>
          </cell>
          <cell r="K652" t="e">
            <v>#DIV/0!</v>
          </cell>
          <cell r="M652" t="e">
            <v>#DIV/0!</v>
          </cell>
          <cell r="O652" t="e">
            <v>#DIV/0!</v>
          </cell>
          <cell r="Q652" t="e">
            <v>#DIV/0!</v>
          </cell>
          <cell r="S652" t="e">
            <v>#DIV/0!</v>
          </cell>
          <cell r="U652" t="e">
            <v>#DIV/0!</v>
          </cell>
        </row>
        <row r="653">
          <cell r="F653">
            <v>30040724</v>
          </cell>
          <cell r="G653" t="str">
            <v>STAY STOPPER R</v>
          </cell>
          <cell r="H653" t="str">
            <v>51605-K2EA-T000-23</v>
          </cell>
          <cell r="K653" t="e">
            <v>#DIV/0!</v>
          </cell>
          <cell r="O653" t="e">
            <v>#DIV/0!</v>
          </cell>
          <cell r="Q653" t="e">
            <v>#DIV/0!</v>
          </cell>
          <cell r="S653" t="e">
            <v>#DIV/0!</v>
          </cell>
          <cell r="U653" t="e">
            <v>#DIV/0!</v>
          </cell>
        </row>
        <row r="654">
          <cell r="F654">
            <v>30040725</v>
          </cell>
          <cell r="G654" t="str">
            <v>STAY STOPPER L</v>
          </cell>
          <cell r="H654" t="str">
            <v>51605-K2EA-T000-23</v>
          </cell>
          <cell r="K654" t="e">
            <v>#DIV/0!</v>
          </cell>
          <cell r="O654" t="e">
            <v>#DIV/0!</v>
          </cell>
          <cell r="Q654" t="e">
            <v>#DIV/0!</v>
          </cell>
          <cell r="S654" t="e">
            <v>#DIV/0!</v>
          </cell>
          <cell r="U654" t="e">
            <v>#DIV/0!</v>
          </cell>
        </row>
        <row r="655">
          <cell r="F655">
            <v>30040726</v>
          </cell>
          <cell r="G655" t="str">
            <v>STOPPER MOUNT RUBBER</v>
          </cell>
          <cell r="H655" t="str">
            <v>51605-K2EA-T000-24</v>
          </cell>
          <cell r="K655" t="e">
            <v>#DIV/0!</v>
          </cell>
          <cell r="O655" t="e">
            <v>#DIV/0!</v>
          </cell>
          <cell r="Q655" t="e">
            <v>#DIV/0!</v>
          </cell>
          <cell r="S655" t="e">
            <v>#DIV/0!</v>
          </cell>
          <cell r="U655" t="e">
            <v>#DIV/0!</v>
          </cell>
        </row>
        <row r="656">
          <cell r="G656">
            <v>0</v>
          </cell>
          <cell r="H656">
            <v>0</v>
          </cell>
          <cell r="K656" t="e">
            <v>#DIV/0!</v>
          </cell>
          <cell r="O656" t="e">
            <v>#DIV/0!</v>
          </cell>
          <cell r="Q656" t="e">
            <v>#DIV/0!</v>
          </cell>
          <cell r="S656" t="e">
            <v>#DIV/0!</v>
          </cell>
          <cell r="U656" t="e">
            <v>#DIV/0!</v>
          </cell>
        </row>
        <row r="657">
          <cell r="K657" t="e">
            <v>#DIV/0!</v>
          </cell>
          <cell r="O657" t="e">
            <v>#DIV/0!</v>
          </cell>
          <cell r="Q657" t="e">
            <v>#DIV/0!</v>
          </cell>
          <cell r="U657" t="e">
            <v>#DIV/0!</v>
          </cell>
        </row>
        <row r="658">
          <cell r="K658" t="e">
            <v>#DIV/0!</v>
          </cell>
          <cell r="O658" t="e">
            <v>#DIV/0!</v>
          </cell>
          <cell r="U658" t="e">
            <v>#DIV/0!</v>
          </cell>
        </row>
        <row r="659">
          <cell r="J659">
            <v>0</v>
          </cell>
          <cell r="K659" t="e">
            <v>#DIV/0!</v>
          </cell>
          <cell r="L659">
            <v>0</v>
          </cell>
          <cell r="N659">
            <v>0</v>
          </cell>
          <cell r="P659">
            <v>0</v>
          </cell>
          <cell r="U659" t="e">
            <v>#DIV/0!</v>
          </cell>
        </row>
        <row r="660">
          <cell r="F660">
            <v>4</v>
          </cell>
          <cell r="G660" t="str">
            <v>GPSP 1410 คุณนิสา</v>
          </cell>
          <cell r="K660" t="e">
            <v>#DIV/0!</v>
          </cell>
          <cell r="U660" t="e">
            <v>#DIV/0!</v>
          </cell>
        </row>
        <row r="661">
          <cell r="F661" t="str">
            <v>30020165-4</v>
          </cell>
          <cell r="G661" t="e">
            <v>#N/A</v>
          </cell>
          <cell r="H661" t="e">
            <v>#N/A</v>
          </cell>
          <cell r="I661">
            <v>220</v>
          </cell>
          <cell r="J661">
            <v>450</v>
          </cell>
          <cell r="K661">
            <v>2.0454545454545454</v>
          </cell>
          <cell r="L661">
            <v>700</v>
          </cell>
          <cell r="N661">
            <v>700</v>
          </cell>
          <cell r="P661">
            <v>700</v>
          </cell>
          <cell r="R661">
            <v>600</v>
          </cell>
          <cell r="T661">
            <v>600</v>
          </cell>
          <cell r="U661">
            <v>2.7272727272727271</v>
          </cell>
        </row>
        <row r="662">
          <cell r="F662" t="str">
            <v>30020165-1</v>
          </cell>
          <cell r="G662" t="str">
            <v>STAY C CHAIN CASE</v>
          </cell>
          <cell r="H662" t="str">
            <v>52135-KYZG-V000-H1</v>
          </cell>
          <cell r="J662">
            <v>450</v>
          </cell>
          <cell r="K662" t="e">
            <v>#DIV/0!</v>
          </cell>
          <cell r="L662">
            <v>700</v>
          </cell>
          <cell r="N662">
            <v>700</v>
          </cell>
          <cell r="P662">
            <v>700</v>
          </cell>
          <cell r="R662">
            <v>600</v>
          </cell>
          <cell r="T662">
            <v>600</v>
          </cell>
          <cell r="U662" t="e">
            <v>#DIV/0!</v>
          </cell>
        </row>
        <row r="663">
          <cell r="F663" t="str">
            <v>30020165-2</v>
          </cell>
          <cell r="G663" t="str">
            <v>BRKT R  CUSH</v>
          </cell>
          <cell r="H663" t="str">
            <v>52115-KYZJ-9000-H1</v>
          </cell>
          <cell r="I663">
            <v>19</v>
          </cell>
          <cell r="J663">
            <v>450</v>
          </cell>
          <cell r="K663">
            <v>23.684210526315791</v>
          </cell>
          <cell r="L663">
            <v>700</v>
          </cell>
          <cell r="N663">
            <v>700</v>
          </cell>
          <cell r="P663">
            <v>700</v>
          </cell>
          <cell r="R663">
            <v>600</v>
          </cell>
          <cell r="T663">
            <v>600</v>
          </cell>
        </row>
        <row r="664">
          <cell r="F664" t="str">
            <v>30020165-3</v>
          </cell>
          <cell r="G664" t="e">
            <v>#N/A</v>
          </cell>
          <cell r="H664" t="e">
            <v>#N/A</v>
          </cell>
          <cell r="J664">
            <v>450</v>
          </cell>
          <cell r="K664" t="e">
            <v>#DIV/0!</v>
          </cell>
          <cell r="L664">
            <v>700</v>
          </cell>
          <cell r="N664">
            <v>700</v>
          </cell>
          <cell r="P664">
            <v>700</v>
          </cell>
          <cell r="R664">
            <v>600</v>
          </cell>
          <cell r="T664">
            <v>600</v>
          </cell>
        </row>
        <row r="665">
          <cell r="F665" t="str">
            <v>30020166-2</v>
          </cell>
          <cell r="G665" t="e">
            <v>#N/A</v>
          </cell>
          <cell r="H665" t="e">
            <v>#N/A</v>
          </cell>
          <cell r="I665">
            <v>19</v>
          </cell>
          <cell r="J665">
            <v>450</v>
          </cell>
          <cell r="K665">
            <v>23.684210526315791</v>
          </cell>
          <cell r="L665">
            <v>700</v>
          </cell>
          <cell r="N665">
            <v>700</v>
          </cell>
          <cell r="P665">
            <v>700</v>
          </cell>
          <cell r="R665">
            <v>600</v>
          </cell>
          <cell r="T665">
            <v>600</v>
          </cell>
        </row>
        <row r="666">
          <cell r="F666" t="str">
            <v>30020166-3</v>
          </cell>
          <cell r="G666" t="e">
            <v>#N/A</v>
          </cell>
          <cell r="H666" t="e">
            <v>#N/A</v>
          </cell>
          <cell r="J666">
            <v>450</v>
          </cell>
          <cell r="K666" t="e">
            <v>#DIV/0!</v>
          </cell>
          <cell r="L666">
            <v>700</v>
          </cell>
          <cell r="N666">
            <v>700</v>
          </cell>
          <cell r="P666">
            <v>700</v>
          </cell>
          <cell r="R666">
            <v>600</v>
          </cell>
          <cell r="T666">
            <v>600</v>
          </cell>
        </row>
        <row r="667">
          <cell r="F667" t="str">
            <v>30020166-4</v>
          </cell>
          <cell r="G667" t="e">
            <v>#N/A</v>
          </cell>
          <cell r="H667" t="e">
            <v>#N/A</v>
          </cell>
          <cell r="I667">
            <v>220</v>
          </cell>
          <cell r="J667">
            <v>450</v>
          </cell>
          <cell r="K667">
            <v>2.0454545454545454</v>
          </cell>
          <cell r="L667">
            <v>700</v>
          </cell>
          <cell r="N667">
            <v>700</v>
          </cell>
          <cell r="P667">
            <v>700</v>
          </cell>
          <cell r="R667">
            <v>600</v>
          </cell>
          <cell r="T667">
            <v>600</v>
          </cell>
        </row>
        <row r="668">
          <cell r="F668">
            <v>30018678</v>
          </cell>
          <cell r="G668" t="e">
            <v>#N/A</v>
          </cell>
          <cell r="H668" t="e">
            <v>#N/A</v>
          </cell>
          <cell r="I668">
            <v>46</v>
          </cell>
          <cell r="K668">
            <v>0</v>
          </cell>
        </row>
        <row r="669">
          <cell r="F669">
            <v>30018680</v>
          </cell>
          <cell r="G669" t="str">
            <v>STAY CHAIN CASE A, STAY CHAIN SLIDER</v>
          </cell>
          <cell r="H669" t="str">
            <v>52171-MGZA-J000-H1</v>
          </cell>
          <cell r="I669">
            <v>46</v>
          </cell>
          <cell r="K669">
            <v>0</v>
          </cell>
        </row>
        <row r="670">
          <cell r="F670">
            <v>30007798</v>
          </cell>
          <cell r="G670" t="str">
            <v>PATCH SWING ARM CORSS</v>
          </cell>
          <cell r="H670" t="str">
            <v>52113-KWBA-6000-H1</v>
          </cell>
          <cell r="I670">
            <v>20</v>
          </cell>
          <cell r="J670">
            <v>0</v>
          </cell>
          <cell r="K670">
            <v>0</v>
          </cell>
          <cell r="L670">
            <v>0</v>
          </cell>
          <cell r="N670">
            <v>0</v>
          </cell>
          <cell r="V670">
            <v>0</v>
          </cell>
        </row>
        <row r="671">
          <cell r="F671" t="str">
            <v>30029483-2</v>
          </cell>
          <cell r="G671" t="str">
            <v>STAY R END PIECE(PIPE R SWING ARM)</v>
          </cell>
          <cell r="H671" t="str">
            <v>52151-KWWM-6400-H1</v>
          </cell>
          <cell r="I671">
            <v>17</v>
          </cell>
          <cell r="K671">
            <v>0</v>
          </cell>
        </row>
        <row r="672">
          <cell r="F672" t="str">
            <v>30029484-2</v>
          </cell>
          <cell r="G672" t="str">
            <v>STAY L END PIECE(PIPE L SWING ARM)</v>
          </cell>
          <cell r="H672" t="str">
            <v>52126-KWWM-6400-H1</v>
          </cell>
          <cell r="K672" t="e">
            <v>#DIV/0!</v>
          </cell>
        </row>
        <row r="673">
          <cell r="F673">
            <v>30048197</v>
          </cell>
          <cell r="G673" t="e">
            <v>#N/A</v>
          </cell>
          <cell r="H673" t="e">
            <v>#N/A</v>
          </cell>
          <cell r="I673">
            <v>1</v>
          </cell>
          <cell r="J673">
            <v>25000</v>
          </cell>
          <cell r="K673">
            <v>25000</v>
          </cell>
          <cell r="L673">
            <v>21000</v>
          </cell>
          <cell r="M673">
            <v>21000</v>
          </cell>
          <cell r="N673">
            <v>14000</v>
          </cell>
          <cell r="O673">
            <v>14000</v>
          </cell>
          <cell r="P673">
            <v>16000</v>
          </cell>
          <cell r="Q673">
            <v>16000</v>
          </cell>
          <cell r="R673">
            <v>15600</v>
          </cell>
          <cell r="S673">
            <v>15600</v>
          </cell>
          <cell r="T673">
            <v>19500</v>
          </cell>
          <cell r="U673">
            <v>19500</v>
          </cell>
        </row>
        <row r="674">
          <cell r="F674" t="str">
            <v>30048197-2</v>
          </cell>
          <cell r="G674" t="e">
            <v>#N/A</v>
          </cell>
          <cell r="H674" t="e">
            <v>#N/A</v>
          </cell>
          <cell r="I674">
            <v>17</v>
          </cell>
          <cell r="J674">
            <v>25600</v>
          </cell>
          <cell r="K674">
            <v>1505.8823529411766</v>
          </cell>
          <cell r="L674">
            <v>21000</v>
          </cell>
          <cell r="M674">
            <v>1235.2941176470588</v>
          </cell>
          <cell r="N674">
            <v>14000</v>
          </cell>
          <cell r="O674">
            <v>823.52941176470586</v>
          </cell>
          <cell r="P674">
            <v>16000</v>
          </cell>
          <cell r="Q674">
            <v>941.17647058823525</v>
          </cell>
          <cell r="R674">
            <v>15600</v>
          </cell>
          <cell r="S674">
            <v>917.64705882352939</v>
          </cell>
          <cell r="T674">
            <v>19500</v>
          </cell>
          <cell r="U674">
            <v>1147.0588235294117</v>
          </cell>
        </row>
        <row r="675">
          <cell r="F675" t="str">
            <v>30048197-3</v>
          </cell>
          <cell r="G675" t="e">
            <v>#N/A</v>
          </cell>
          <cell r="H675" t="e">
            <v>#N/A</v>
          </cell>
          <cell r="I675">
            <v>130</v>
          </cell>
          <cell r="J675">
            <v>25000</v>
          </cell>
          <cell r="K675">
            <v>192.30769230769232</v>
          </cell>
          <cell r="L675">
            <v>21000</v>
          </cell>
          <cell r="M675">
            <v>161.53846153846155</v>
          </cell>
          <cell r="N675">
            <v>14000</v>
          </cell>
          <cell r="O675">
            <v>107.69230769230769</v>
          </cell>
          <cell r="P675">
            <v>16000</v>
          </cell>
          <cell r="Q675">
            <v>123.07692307692308</v>
          </cell>
          <cell r="R675">
            <v>15600</v>
          </cell>
          <cell r="S675">
            <v>120</v>
          </cell>
          <cell r="T675">
            <v>19500</v>
          </cell>
          <cell r="U675">
            <v>150</v>
          </cell>
        </row>
        <row r="676">
          <cell r="F676">
            <v>30048198</v>
          </cell>
          <cell r="G676" t="e">
            <v>#N/A</v>
          </cell>
          <cell r="H676" t="e">
            <v>#N/A</v>
          </cell>
          <cell r="I676">
            <v>2.3E-2</v>
          </cell>
          <cell r="J676">
            <v>25000</v>
          </cell>
          <cell r="K676">
            <v>575</v>
          </cell>
          <cell r="L676">
            <v>21000</v>
          </cell>
          <cell r="M676">
            <v>483</v>
          </cell>
          <cell r="N676">
            <v>14000</v>
          </cell>
          <cell r="O676">
            <v>322</v>
          </cell>
          <cell r="P676">
            <v>16000</v>
          </cell>
          <cell r="Q676">
            <v>368</v>
          </cell>
          <cell r="R676">
            <v>15600</v>
          </cell>
          <cell r="S676">
            <v>358.8</v>
          </cell>
          <cell r="T676">
            <v>19500</v>
          </cell>
          <cell r="U676">
            <v>448.5</v>
          </cell>
        </row>
        <row r="677">
          <cell r="F677" t="str">
            <v>30048198-2</v>
          </cell>
          <cell r="G677" t="e">
            <v>#N/A</v>
          </cell>
          <cell r="H677" t="e">
            <v>#N/A</v>
          </cell>
          <cell r="I677">
            <v>14</v>
          </cell>
          <cell r="J677">
            <v>25600</v>
          </cell>
          <cell r="K677">
            <v>1828.5714285714287</v>
          </cell>
          <cell r="L677">
            <v>21000</v>
          </cell>
          <cell r="M677">
            <v>1500</v>
          </cell>
          <cell r="N677">
            <v>14000</v>
          </cell>
          <cell r="O677">
            <v>1000</v>
          </cell>
          <cell r="P677">
            <v>16000</v>
          </cell>
          <cell r="Q677">
            <v>1142.8571428571429</v>
          </cell>
          <cell r="R677">
            <v>15600</v>
          </cell>
          <cell r="S677">
            <v>1114.2857142857142</v>
          </cell>
          <cell r="T677">
            <v>19500</v>
          </cell>
          <cell r="U677">
            <v>1392.8571428571429</v>
          </cell>
        </row>
        <row r="678">
          <cell r="F678" t="str">
            <v>30048198-3</v>
          </cell>
          <cell r="G678" t="e">
            <v>#N/A</v>
          </cell>
          <cell r="H678" t="e">
            <v>#N/A</v>
          </cell>
          <cell r="I678">
            <v>2.3E-2</v>
          </cell>
          <cell r="J678">
            <v>50000</v>
          </cell>
          <cell r="K678">
            <v>1150</v>
          </cell>
          <cell r="L678">
            <v>42000</v>
          </cell>
          <cell r="M678">
            <v>966</v>
          </cell>
          <cell r="N678">
            <v>28000</v>
          </cell>
          <cell r="O678">
            <v>644</v>
          </cell>
          <cell r="P678">
            <v>32000</v>
          </cell>
          <cell r="Q678">
            <v>736</v>
          </cell>
          <cell r="R678">
            <v>31200</v>
          </cell>
          <cell r="S678">
            <v>717.6</v>
          </cell>
          <cell r="T678">
            <v>39000</v>
          </cell>
          <cell r="U678">
            <v>897</v>
          </cell>
        </row>
        <row r="679">
          <cell r="F679" t="str">
            <v>30048198-4</v>
          </cell>
          <cell r="G679" t="e">
            <v>#N/A</v>
          </cell>
          <cell r="H679" t="e">
            <v>#N/A</v>
          </cell>
          <cell r="I679">
            <v>122</v>
          </cell>
          <cell r="J679">
            <v>25000</v>
          </cell>
          <cell r="K679">
            <v>204.91803278688525</v>
          </cell>
          <cell r="L679">
            <v>21000</v>
          </cell>
          <cell r="M679">
            <v>172.13114754098362</v>
          </cell>
          <cell r="N679">
            <v>14000</v>
          </cell>
          <cell r="O679">
            <v>114.75409836065573</v>
          </cell>
          <cell r="P679">
            <v>26000</v>
          </cell>
          <cell r="Q679">
            <v>213.11475409836066</v>
          </cell>
          <cell r="R679">
            <v>15600</v>
          </cell>
          <cell r="S679">
            <v>127.8688524590164</v>
          </cell>
          <cell r="T679">
            <v>19500</v>
          </cell>
          <cell r="U679">
            <v>159.8360655737705</v>
          </cell>
        </row>
        <row r="680">
          <cell r="F680">
            <v>30048498</v>
          </cell>
          <cell r="G680" t="e">
            <v>#N/A</v>
          </cell>
          <cell r="H680" t="e">
            <v>#N/A</v>
          </cell>
          <cell r="J680">
            <v>25000</v>
          </cell>
          <cell r="K680" t="e">
            <v>#DIV/0!</v>
          </cell>
          <cell r="L680">
            <v>21000</v>
          </cell>
          <cell r="M680" t="e">
            <v>#DIV/0!</v>
          </cell>
          <cell r="N680">
            <v>14000</v>
          </cell>
          <cell r="O680" t="e">
            <v>#DIV/0!</v>
          </cell>
          <cell r="P680">
            <v>16000</v>
          </cell>
          <cell r="Q680" t="e">
            <v>#DIV/0!</v>
          </cell>
          <cell r="R680">
            <v>15600</v>
          </cell>
          <cell r="S680" t="e">
            <v>#DIV/0!</v>
          </cell>
          <cell r="T680">
            <v>19500</v>
          </cell>
          <cell r="U680" t="e">
            <v>#DIV/0!</v>
          </cell>
        </row>
        <row r="681">
          <cell r="F681">
            <v>30029548</v>
          </cell>
          <cell r="G681" t="e">
            <v>#N/A</v>
          </cell>
          <cell r="H681" t="e">
            <v>#N/A</v>
          </cell>
          <cell r="J681">
            <v>200</v>
          </cell>
          <cell r="K681" t="e">
            <v>#DIV/0!</v>
          </cell>
          <cell r="L681">
            <v>200</v>
          </cell>
          <cell r="M681" t="e">
            <v>#DIV/0!</v>
          </cell>
          <cell r="N681">
            <v>100</v>
          </cell>
          <cell r="O681" t="e">
            <v>#DIV/0!</v>
          </cell>
          <cell r="P681">
            <v>100</v>
          </cell>
          <cell r="Q681" t="e">
            <v>#DIV/0!</v>
          </cell>
          <cell r="R681">
            <v>200</v>
          </cell>
          <cell r="S681" t="e">
            <v>#DIV/0!</v>
          </cell>
          <cell r="T681">
            <v>100</v>
          </cell>
          <cell r="U681" t="e">
            <v>#DIV/0!</v>
          </cell>
        </row>
        <row r="682">
          <cell r="F682">
            <v>30031945</v>
          </cell>
          <cell r="G682" t="e">
            <v>#N/A</v>
          </cell>
          <cell r="H682" t="e">
            <v>#N/A</v>
          </cell>
          <cell r="J682">
            <v>0</v>
          </cell>
          <cell r="K682" t="e">
            <v>#DIV/0!</v>
          </cell>
          <cell r="L682">
            <v>0</v>
          </cell>
          <cell r="M682" t="e">
            <v>#DIV/0!</v>
          </cell>
          <cell r="N682">
            <v>0</v>
          </cell>
          <cell r="O682" t="e">
            <v>#DIV/0!</v>
          </cell>
          <cell r="P682">
            <v>0</v>
          </cell>
          <cell r="Q682" t="e">
            <v>#DIV/0!</v>
          </cell>
          <cell r="R682">
            <v>0</v>
          </cell>
          <cell r="S682" t="e">
            <v>#DIV/0!</v>
          </cell>
          <cell r="U682" t="e">
            <v>#DIV/0!</v>
          </cell>
        </row>
        <row r="683">
          <cell r="F683">
            <v>30032503</v>
          </cell>
          <cell r="G683" t="str">
            <v>PLATE GUIDE 3</v>
          </cell>
          <cell r="H683" t="str">
            <v>1FP-F2343-00</v>
          </cell>
          <cell r="I683">
            <v>78</v>
          </cell>
          <cell r="J683">
            <v>4000</v>
          </cell>
          <cell r="K683">
            <v>51.282051282051285</v>
          </cell>
          <cell r="L683">
            <v>4000</v>
          </cell>
          <cell r="M683">
            <v>51.282051282051285</v>
          </cell>
          <cell r="N683">
            <v>3000</v>
          </cell>
          <cell r="O683">
            <v>38.46153846153846</v>
          </cell>
          <cell r="P683">
            <v>2000</v>
          </cell>
          <cell r="Q683">
            <v>25.641025641025642</v>
          </cell>
          <cell r="S683">
            <v>0</v>
          </cell>
          <cell r="U683">
            <v>0</v>
          </cell>
        </row>
        <row r="684">
          <cell r="F684">
            <v>30032504</v>
          </cell>
          <cell r="G684" t="str">
            <v>PLATE GUIDE 3</v>
          </cell>
          <cell r="H684" t="str">
            <v>1FP-F2343-10</v>
          </cell>
          <cell r="I684">
            <v>94</v>
          </cell>
          <cell r="J684">
            <v>4000</v>
          </cell>
          <cell r="K684">
            <v>42.553191489361701</v>
          </cell>
          <cell r="L684">
            <v>4000</v>
          </cell>
          <cell r="M684">
            <v>42.553191489361701</v>
          </cell>
          <cell r="N684">
            <v>3000</v>
          </cell>
          <cell r="O684">
            <v>31.914893617021278</v>
          </cell>
          <cell r="P684">
            <v>2000</v>
          </cell>
          <cell r="Q684">
            <v>21.276595744680851</v>
          </cell>
          <cell r="S684">
            <v>0</v>
          </cell>
          <cell r="U684">
            <v>0</v>
          </cell>
        </row>
        <row r="685">
          <cell r="F685" t="str">
            <v>30035337-2</v>
          </cell>
          <cell r="G685" t="str">
            <v>STAY (PIPE R SWINGARM COMP)</v>
          </cell>
          <cell r="H685" t="str">
            <v>52121-KPWP-7100-H1</v>
          </cell>
          <cell r="I685">
            <v>18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100</v>
          </cell>
          <cell r="Q685">
            <v>5.5555555555555554</v>
          </cell>
          <cell r="R685">
            <v>0</v>
          </cell>
          <cell r="S685">
            <v>0</v>
          </cell>
          <cell r="U685">
            <v>0</v>
          </cell>
        </row>
        <row r="686">
          <cell r="F686" t="str">
            <v>30035338-2</v>
          </cell>
          <cell r="G686" t="str">
            <v>STAY (PIPE L SWINGARM COMP)</v>
          </cell>
          <cell r="H686" t="str">
            <v>52121-KPWP-7100-H1</v>
          </cell>
          <cell r="I686">
            <v>18</v>
          </cell>
          <cell r="J686">
            <v>0</v>
          </cell>
          <cell r="K686">
            <v>0</v>
          </cell>
          <cell r="L686">
            <v>0</v>
          </cell>
          <cell r="N686">
            <v>0</v>
          </cell>
          <cell r="P686">
            <v>100</v>
          </cell>
          <cell r="R686">
            <v>0</v>
          </cell>
          <cell r="U686">
            <v>0</v>
          </cell>
        </row>
        <row r="687">
          <cell r="F687">
            <v>30035339</v>
          </cell>
          <cell r="G687" t="e">
            <v>#N/A</v>
          </cell>
          <cell r="H687" t="e">
            <v>#N/A</v>
          </cell>
          <cell r="K687" t="e">
            <v>#DIV/0!</v>
          </cell>
        </row>
        <row r="688">
          <cell r="F688">
            <v>30035340</v>
          </cell>
          <cell r="G688" t="e">
            <v>#N/A</v>
          </cell>
          <cell r="H688" t="e">
            <v>#N/A</v>
          </cell>
          <cell r="K688" t="e">
            <v>#DIV/0!</v>
          </cell>
        </row>
        <row r="689">
          <cell r="F689">
            <v>30035672</v>
          </cell>
          <cell r="G689" t="e">
            <v>#N/A</v>
          </cell>
          <cell r="H689" t="e">
            <v>#N/A</v>
          </cell>
          <cell r="K689" t="e">
            <v>#DIV/0!</v>
          </cell>
        </row>
        <row r="690">
          <cell r="F690">
            <v>30035673</v>
          </cell>
          <cell r="G690" t="e">
            <v>#N/A</v>
          </cell>
          <cell r="H690" t="e">
            <v>#N/A</v>
          </cell>
          <cell r="K690" t="e">
            <v>#DIV/0!</v>
          </cell>
        </row>
        <row r="691">
          <cell r="F691">
            <v>30037087</v>
          </cell>
          <cell r="G691" t="e">
            <v>#N/A</v>
          </cell>
          <cell r="H691" t="e">
            <v>#N/A</v>
          </cell>
          <cell r="J691">
            <v>400</v>
          </cell>
          <cell r="K691" t="e">
            <v>#DIV/0!</v>
          </cell>
          <cell r="L691">
            <v>400</v>
          </cell>
          <cell r="N691">
            <v>0</v>
          </cell>
          <cell r="P691">
            <v>0</v>
          </cell>
          <cell r="R691">
            <v>0</v>
          </cell>
        </row>
        <row r="692">
          <cell r="F692">
            <v>30037093</v>
          </cell>
          <cell r="G692" t="str">
            <v>STAY FUEL TANK</v>
          </cell>
          <cell r="H692" t="str">
            <v>B7D-F4118-00</v>
          </cell>
          <cell r="I692">
            <v>51</v>
          </cell>
          <cell r="J692">
            <v>600</v>
          </cell>
          <cell r="K692">
            <v>11.764705882352942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U692">
            <v>0</v>
          </cell>
        </row>
        <row r="693">
          <cell r="F693" t="str">
            <v>30041279-1</v>
          </cell>
          <cell r="G693" t="e">
            <v>#N/A</v>
          </cell>
          <cell r="H693" t="e">
            <v>#N/A</v>
          </cell>
          <cell r="I693">
            <v>1</v>
          </cell>
          <cell r="J693">
            <v>1300</v>
          </cell>
          <cell r="K693">
            <v>1300</v>
          </cell>
          <cell r="L693">
            <v>1100</v>
          </cell>
          <cell r="M693">
            <v>1100</v>
          </cell>
          <cell r="N693">
            <v>700</v>
          </cell>
          <cell r="O693">
            <v>700</v>
          </cell>
          <cell r="P693">
            <v>700</v>
          </cell>
          <cell r="Q693">
            <v>700</v>
          </cell>
          <cell r="R693">
            <v>700</v>
          </cell>
          <cell r="S693">
            <v>700</v>
          </cell>
          <cell r="T693">
            <v>700</v>
          </cell>
          <cell r="U693">
            <v>700</v>
          </cell>
        </row>
        <row r="694">
          <cell r="F694" t="str">
            <v>30041279-3</v>
          </cell>
          <cell r="G694" t="str">
            <v>STAY RR BRAKE HOSE</v>
          </cell>
          <cell r="H694" t="str">
            <v>5224-MLAA-A000-H1</v>
          </cell>
          <cell r="I694">
            <v>118</v>
          </cell>
          <cell r="J694">
            <v>1300</v>
          </cell>
          <cell r="K694">
            <v>11.016949152542374</v>
          </cell>
          <cell r="L694">
            <v>1100</v>
          </cell>
          <cell r="M694">
            <v>9.3220338983050848</v>
          </cell>
          <cell r="N694">
            <v>700</v>
          </cell>
          <cell r="O694">
            <v>5.9322033898305087</v>
          </cell>
          <cell r="P694">
            <v>700</v>
          </cell>
          <cell r="Q694">
            <v>5.9322033898305087</v>
          </cell>
          <cell r="R694">
            <v>700</v>
          </cell>
          <cell r="S694">
            <v>5.9322033898305087</v>
          </cell>
          <cell r="U694">
            <v>0</v>
          </cell>
        </row>
        <row r="695">
          <cell r="F695">
            <v>30007676</v>
          </cell>
          <cell r="G695" t="str">
            <v>STAY BRK RETURN SPRING</v>
          </cell>
          <cell r="H695" t="str">
            <v>52146-KWBA-6001-H1</v>
          </cell>
          <cell r="I695">
            <v>126</v>
          </cell>
          <cell r="J695">
            <v>0</v>
          </cell>
          <cell r="K695">
            <v>0</v>
          </cell>
          <cell r="M695">
            <v>0</v>
          </cell>
          <cell r="N695">
            <v>100</v>
          </cell>
          <cell r="O695">
            <v>0.79365079365079361</v>
          </cell>
          <cell r="P695">
            <v>0</v>
          </cell>
          <cell r="Q695">
            <v>0</v>
          </cell>
          <cell r="S695">
            <v>0</v>
          </cell>
          <cell r="U695">
            <v>0</v>
          </cell>
          <cell r="V695" t="str">
            <v>ตกรายการนี้</v>
          </cell>
        </row>
        <row r="696">
          <cell r="F696">
            <v>30022416</v>
          </cell>
          <cell r="G696" t="str">
            <v>STAY BRK RETURN SPRING</v>
          </cell>
          <cell r="H696" t="str">
            <v>52146-KWBA-6001-H1</v>
          </cell>
          <cell r="K696" t="e">
            <v>#DIV/0!</v>
          </cell>
        </row>
        <row r="697">
          <cell r="F697">
            <v>30020965</v>
          </cell>
          <cell r="G697" t="str">
            <v>PATCH COSS</v>
          </cell>
          <cell r="H697">
            <v>0</v>
          </cell>
          <cell r="I697">
            <v>21</v>
          </cell>
          <cell r="J697">
            <v>900</v>
          </cell>
          <cell r="K697">
            <v>42.857142857142854</v>
          </cell>
          <cell r="L697">
            <v>900</v>
          </cell>
          <cell r="M697">
            <v>42.857142857142854</v>
          </cell>
          <cell r="N697">
            <v>900</v>
          </cell>
          <cell r="O697">
            <v>42.857142857142854</v>
          </cell>
          <cell r="P697">
            <v>900</v>
          </cell>
          <cell r="Q697">
            <v>42.857142857142854</v>
          </cell>
          <cell r="R697">
            <v>900</v>
          </cell>
          <cell r="S697">
            <v>42.857142857142854</v>
          </cell>
          <cell r="T697">
            <v>900</v>
          </cell>
          <cell r="U697">
            <v>42.857142857142854</v>
          </cell>
        </row>
        <row r="698">
          <cell r="F698">
            <v>30048216</v>
          </cell>
          <cell r="G698" t="str">
            <v>PIPE R SWINGARM ASSY</v>
          </cell>
          <cell r="H698" t="str">
            <v>52121-K3GA-7100-H1</v>
          </cell>
          <cell r="I698">
            <v>1</v>
          </cell>
          <cell r="J698">
            <v>3000</v>
          </cell>
          <cell r="K698">
            <v>3000</v>
          </cell>
          <cell r="L698">
            <v>5000</v>
          </cell>
          <cell r="N698">
            <v>8000</v>
          </cell>
          <cell r="P698">
            <v>18000</v>
          </cell>
          <cell r="R698">
            <v>15000</v>
          </cell>
          <cell r="T698">
            <v>18000</v>
          </cell>
        </row>
        <row r="699">
          <cell r="F699" t="str">
            <v>30048216-2</v>
          </cell>
          <cell r="G699" t="str">
            <v>PIPE R SWINGARM ASSY</v>
          </cell>
          <cell r="H699" t="str">
            <v>52121-K3GA-7100-H2</v>
          </cell>
          <cell r="I699">
            <v>18</v>
          </cell>
          <cell r="J699">
            <v>3000</v>
          </cell>
          <cell r="K699">
            <v>166.66666666666666</v>
          </cell>
          <cell r="L699">
            <v>5000</v>
          </cell>
          <cell r="M699">
            <v>277.77777777777777</v>
          </cell>
          <cell r="N699">
            <v>8000</v>
          </cell>
          <cell r="O699">
            <v>444.44444444444446</v>
          </cell>
          <cell r="P699">
            <v>18000</v>
          </cell>
          <cell r="Q699">
            <v>1000</v>
          </cell>
          <cell r="R699">
            <v>15000</v>
          </cell>
          <cell r="S699">
            <v>833.33333333333337</v>
          </cell>
          <cell r="T699">
            <v>18000</v>
          </cell>
          <cell r="U699">
            <v>1000</v>
          </cell>
        </row>
        <row r="700">
          <cell r="F700" t="str">
            <v>30048216-3</v>
          </cell>
          <cell r="G700" t="str">
            <v>PIPE R SWINGARM ASSY</v>
          </cell>
          <cell r="H700" t="str">
            <v>52121-K3GA-7100-H3</v>
          </cell>
          <cell r="I700">
            <v>130</v>
          </cell>
          <cell r="J700">
            <v>3000</v>
          </cell>
          <cell r="K700">
            <v>23.076923076923077</v>
          </cell>
          <cell r="L700">
            <v>5000</v>
          </cell>
          <cell r="M700">
            <v>38.46153846153846</v>
          </cell>
          <cell r="N700">
            <v>8000</v>
          </cell>
          <cell r="O700">
            <v>61.53846153846154</v>
          </cell>
          <cell r="P700">
            <v>18000</v>
          </cell>
          <cell r="Q700">
            <v>138.46153846153845</v>
          </cell>
          <cell r="R700">
            <v>15000</v>
          </cell>
          <cell r="S700">
            <v>115.38461538461539</v>
          </cell>
          <cell r="T700">
            <v>18000</v>
          </cell>
          <cell r="U700">
            <v>138.46153846153845</v>
          </cell>
        </row>
        <row r="701">
          <cell r="F701" t="str">
            <v>30048217-2</v>
          </cell>
          <cell r="G701" t="str">
            <v>PIPE L SWINGARM ASSY</v>
          </cell>
          <cell r="H701" t="str">
            <v>52121-K3GA-9000-01</v>
          </cell>
          <cell r="I701">
            <v>18</v>
          </cell>
          <cell r="J701">
            <v>3000</v>
          </cell>
          <cell r="K701">
            <v>166.66666666666666</v>
          </cell>
          <cell r="L701">
            <v>5000</v>
          </cell>
          <cell r="M701">
            <v>277.77777777777777</v>
          </cell>
          <cell r="N701">
            <v>8000</v>
          </cell>
          <cell r="O701">
            <v>444.44444444444446</v>
          </cell>
          <cell r="P701">
            <v>18000</v>
          </cell>
          <cell r="Q701">
            <v>1000</v>
          </cell>
          <cell r="R701">
            <v>15000</v>
          </cell>
          <cell r="S701">
            <v>833.33333333333337</v>
          </cell>
          <cell r="T701">
            <v>18000</v>
          </cell>
          <cell r="U701">
            <v>1000</v>
          </cell>
        </row>
        <row r="702">
          <cell r="F702" t="str">
            <v>30048217-3</v>
          </cell>
          <cell r="G702" t="str">
            <v>PIPE L SWINGARM ASSY</v>
          </cell>
          <cell r="H702" t="str">
            <v>52121-K3GA-9000-02</v>
          </cell>
          <cell r="I702">
            <v>2.3E-2</v>
          </cell>
          <cell r="J702">
            <v>6000</v>
          </cell>
          <cell r="K702">
            <v>138</v>
          </cell>
          <cell r="L702">
            <v>10000</v>
          </cell>
          <cell r="M702">
            <v>230</v>
          </cell>
          <cell r="N702">
            <v>16000</v>
          </cell>
          <cell r="O702">
            <v>368</v>
          </cell>
          <cell r="P702">
            <v>36000</v>
          </cell>
          <cell r="Q702">
            <v>828</v>
          </cell>
          <cell r="R702">
            <v>30000</v>
          </cell>
          <cell r="S702">
            <v>690</v>
          </cell>
          <cell r="T702">
            <v>36000</v>
          </cell>
          <cell r="U702">
            <v>828</v>
          </cell>
        </row>
        <row r="703">
          <cell r="F703" t="str">
            <v>30048217-4</v>
          </cell>
          <cell r="G703" t="str">
            <v>PIPE L SWINGARM ASSY</v>
          </cell>
          <cell r="H703" t="str">
            <v>52121-K3GA-9000-03</v>
          </cell>
          <cell r="I703">
            <v>122</v>
          </cell>
          <cell r="J703">
            <v>6000</v>
          </cell>
          <cell r="K703">
            <v>49.180327868852459</v>
          </cell>
          <cell r="L703">
            <v>10000</v>
          </cell>
          <cell r="M703">
            <v>81.967213114754102</v>
          </cell>
          <cell r="N703">
            <v>16000</v>
          </cell>
          <cell r="O703">
            <v>131.14754098360655</v>
          </cell>
          <cell r="P703">
            <v>36000</v>
          </cell>
          <cell r="Q703">
            <v>295.08196721311475</v>
          </cell>
          <cell r="R703">
            <v>30000</v>
          </cell>
          <cell r="S703">
            <v>245.90163934426229</v>
          </cell>
          <cell r="T703">
            <v>36000</v>
          </cell>
          <cell r="U703">
            <v>295.08196721311475</v>
          </cell>
        </row>
        <row r="704">
          <cell r="F704" t="str">
            <v>30048217-5</v>
          </cell>
          <cell r="G704" t="str">
            <v>PIPE L SWINGARM ASSY</v>
          </cell>
          <cell r="H704" t="str">
            <v>52121-K3GA-9000-04</v>
          </cell>
          <cell r="I704">
            <v>53</v>
          </cell>
          <cell r="J704">
            <v>6000</v>
          </cell>
          <cell r="K704">
            <v>113.20754716981132</v>
          </cell>
          <cell r="L704">
            <v>10000</v>
          </cell>
          <cell r="M704">
            <v>188.67924528301887</v>
          </cell>
          <cell r="N704">
            <v>16000</v>
          </cell>
          <cell r="O704">
            <v>141.33333333333334</v>
          </cell>
          <cell r="P704">
            <v>36000</v>
          </cell>
          <cell r="Q704">
            <v>679.24528301886789</v>
          </cell>
          <cell r="R704">
            <v>30000</v>
          </cell>
          <cell r="S704">
            <v>566.03773584905662</v>
          </cell>
          <cell r="T704">
            <v>36000</v>
          </cell>
          <cell r="U704">
            <v>679.24528301886789</v>
          </cell>
        </row>
        <row r="705">
          <cell r="F705" t="str">
            <v>30051566-2</v>
          </cell>
          <cell r="G705" t="str">
            <v>PIPE L SWINGARM COMP</v>
          </cell>
          <cell r="H705" t="str">
            <v>5211A-K2JG-TH01</v>
          </cell>
          <cell r="I705">
            <v>17</v>
          </cell>
          <cell r="J705">
            <v>17000</v>
          </cell>
          <cell r="K705">
            <v>1000</v>
          </cell>
          <cell r="L705">
            <v>14000</v>
          </cell>
          <cell r="M705">
            <v>823.52941176470586</v>
          </cell>
          <cell r="N705">
            <v>13000</v>
          </cell>
          <cell r="O705">
            <v>764.70588235294122</v>
          </cell>
          <cell r="P705">
            <v>16000</v>
          </cell>
          <cell r="Q705">
            <v>941.17647058823525</v>
          </cell>
          <cell r="R705">
            <v>13500</v>
          </cell>
          <cell r="S705">
            <v>794.11764705882354</v>
          </cell>
          <cell r="T705">
            <v>15000</v>
          </cell>
          <cell r="U705">
            <v>882.35294117647061</v>
          </cell>
        </row>
        <row r="706">
          <cell r="F706" t="str">
            <v>30051566-3</v>
          </cell>
          <cell r="G706" t="str">
            <v>PIPE L SWINGARM COMP</v>
          </cell>
          <cell r="H706" t="str">
            <v>5211A-K2JG-TH02</v>
          </cell>
          <cell r="I706">
            <v>130</v>
          </cell>
          <cell r="J706">
            <v>17000</v>
          </cell>
          <cell r="K706">
            <v>130.76923076923077</v>
          </cell>
          <cell r="L706">
            <v>14000</v>
          </cell>
          <cell r="M706">
            <v>107.69230769230769</v>
          </cell>
          <cell r="N706">
            <v>13000</v>
          </cell>
          <cell r="O706">
            <v>100</v>
          </cell>
          <cell r="P706">
            <v>16000</v>
          </cell>
          <cell r="Q706">
            <v>123.07692307692308</v>
          </cell>
          <cell r="R706">
            <v>13500</v>
          </cell>
          <cell r="S706">
            <v>103.84615384615384</v>
          </cell>
          <cell r="T706">
            <v>15000</v>
          </cell>
          <cell r="U706">
            <v>115.38461538461539</v>
          </cell>
        </row>
        <row r="707">
          <cell r="F707" t="str">
            <v>30051567-2</v>
          </cell>
          <cell r="G707" t="str">
            <v>PIPE L SWINGARM COMP</v>
          </cell>
          <cell r="H707" t="str">
            <v>5211A-K2JG-TH01</v>
          </cell>
          <cell r="I707">
            <v>14</v>
          </cell>
          <cell r="J707">
            <v>17000</v>
          </cell>
          <cell r="K707">
            <v>1214.2857142857142</v>
          </cell>
          <cell r="L707">
            <v>14000</v>
          </cell>
          <cell r="M707">
            <v>1000</v>
          </cell>
          <cell r="N707">
            <v>13000</v>
          </cell>
          <cell r="O707">
            <v>928.57142857142856</v>
          </cell>
          <cell r="P707">
            <v>16000</v>
          </cell>
          <cell r="Q707">
            <v>1142.8571428571429</v>
          </cell>
          <cell r="R707">
            <v>13500</v>
          </cell>
          <cell r="S707">
            <v>964.28571428571433</v>
          </cell>
          <cell r="T707">
            <v>15000</v>
          </cell>
          <cell r="U707">
            <v>1071.4285714285713</v>
          </cell>
        </row>
        <row r="708">
          <cell r="F708" t="str">
            <v>30051567-3</v>
          </cell>
          <cell r="G708" t="str">
            <v>PIPE L SWINGARM COMP</v>
          </cell>
          <cell r="H708" t="str">
            <v>5211A-K2JG-TH02</v>
          </cell>
          <cell r="I708">
            <v>2.3E-2</v>
          </cell>
          <cell r="J708">
            <v>34000</v>
          </cell>
          <cell r="K708">
            <v>782</v>
          </cell>
          <cell r="L708">
            <v>28000</v>
          </cell>
          <cell r="M708">
            <v>644</v>
          </cell>
          <cell r="N708">
            <v>26000</v>
          </cell>
          <cell r="O708">
            <v>598</v>
          </cell>
          <cell r="P708">
            <v>32000</v>
          </cell>
          <cell r="Q708">
            <v>736</v>
          </cell>
          <cell r="R708">
            <v>27000</v>
          </cell>
          <cell r="S708">
            <v>621</v>
          </cell>
          <cell r="T708">
            <v>30000</v>
          </cell>
          <cell r="U708">
            <v>690</v>
          </cell>
        </row>
        <row r="709">
          <cell r="F709" t="str">
            <v>30051567-4</v>
          </cell>
          <cell r="G709" t="str">
            <v>PIPE L SWINGARM COMP</v>
          </cell>
          <cell r="H709" t="str">
            <v>5211A-K2JG-TH03</v>
          </cell>
          <cell r="I709">
            <v>122</v>
          </cell>
          <cell r="J709">
            <v>34000</v>
          </cell>
          <cell r="K709">
            <v>278.68852459016392</v>
          </cell>
          <cell r="L709">
            <v>28000</v>
          </cell>
          <cell r="M709">
            <v>229.50819672131146</v>
          </cell>
          <cell r="N709">
            <v>26000</v>
          </cell>
          <cell r="O709">
            <v>93.294117647058826</v>
          </cell>
          <cell r="P709">
            <v>32000</v>
          </cell>
          <cell r="Q709">
            <v>262.29508196721309</v>
          </cell>
          <cell r="R709">
            <v>27000</v>
          </cell>
          <cell r="S709">
            <v>221.31147540983608</v>
          </cell>
          <cell r="T709">
            <v>30000</v>
          </cell>
          <cell r="U709">
            <v>245.90163934426229</v>
          </cell>
        </row>
        <row r="710">
          <cell r="F710">
            <v>30048196</v>
          </cell>
          <cell r="G710" t="str">
            <v>PATCH SWINGARM CROSS</v>
          </cell>
          <cell r="H710" t="str">
            <v>52113-KWBA-6000-H1</v>
          </cell>
          <cell r="I710">
            <v>20</v>
          </cell>
          <cell r="J710">
            <v>34000</v>
          </cell>
          <cell r="K710">
            <v>1700</v>
          </cell>
          <cell r="L710">
            <v>28000</v>
          </cell>
          <cell r="M710">
            <v>1400</v>
          </cell>
          <cell r="N710">
            <v>26000</v>
          </cell>
          <cell r="O710">
            <v>15.294117647058824</v>
          </cell>
          <cell r="P710">
            <v>32000</v>
          </cell>
          <cell r="Q710">
            <v>1600</v>
          </cell>
          <cell r="R710">
            <v>27000</v>
          </cell>
          <cell r="S710">
            <v>1350</v>
          </cell>
          <cell r="T710">
            <v>30000</v>
          </cell>
          <cell r="U710">
            <v>1500</v>
          </cell>
        </row>
        <row r="711">
          <cell r="F711">
            <v>30051568</v>
          </cell>
          <cell r="G711" t="str">
            <v>PATCH SWINGARM CROSS</v>
          </cell>
          <cell r="H711" t="str">
            <v>52113-KWBA-6000-H2</v>
          </cell>
          <cell r="I711">
            <v>20</v>
          </cell>
          <cell r="J711">
            <v>34000</v>
          </cell>
          <cell r="K711">
            <v>1700</v>
          </cell>
          <cell r="L711">
            <v>28000</v>
          </cell>
          <cell r="M711">
            <v>1400</v>
          </cell>
          <cell r="N711">
            <v>26000</v>
          </cell>
          <cell r="O711">
            <v>1300</v>
          </cell>
          <cell r="P711">
            <v>32000</v>
          </cell>
          <cell r="Q711">
            <v>1600</v>
          </cell>
          <cell r="R711">
            <v>27000</v>
          </cell>
          <cell r="S711">
            <v>1350</v>
          </cell>
          <cell r="T711">
            <v>30000</v>
          </cell>
          <cell r="U711">
            <v>1500</v>
          </cell>
        </row>
        <row r="712">
          <cell r="K712" t="e">
            <v>#DIV/0!</v>
          </cell>
        </row>
        <row r="713">
          <cell r="F713">
            <v>5</v>
          </cell>
          <cell r="G713" t="str">
            <v>NEWSOMTHAI</v>
          </cell>
          <cell r="K713" t="e">
            <v>#DIV/0!</v>
          </cell>
        </row>
        <row r="714">
          <cell r="F714" t="str">
            <v>N078</v>
          </cell>
          <cell r="G714" t="str">
            <v>BRACKET HARN</v>
          </cell>
          <cell r="H714" t="str">
            <v>27556S0080-BL</v>
          </cell>
          <cell r="I714">
            <v>32</v>
          </cell>
          <cell r="K714">
            <v>0</v>
          </cell>
        </row>
        <row r="715">
          <cell r="F715" t="str">
            <v>N060</v>
          </cell>
          <cell r="G715" t="str">
            <v>CLEVIS</v>
          </cell>
          <cell r="H715" t="str">
            <v>20204744630-BL</v>
          </cell>
          <cell r="I715">
            <v>49</v>
          </cell>
          <cell r="J715">
            <v>0</v>
          </cell>
          <cell r="K715">
            <v>0</v>
          </cell>
          <cell r="L715">
            <v>0</v>
          </cell>
          <cell r="N715">
            <v>0</v>
          </cell>
        </row>
        <row r="716">
          <cell r="G716" t="str">
            <v>BRACKET</v>
          </cell>
          <cell r="H716" t="str">
            <v>2110561659-BL</v>
          </cell>
          <cell r="K716" t="e">
            <v>#DIV/0!</v>
          </cell>
        </row>
        <row r="717">
          <cell r="F717" t="str">
            <v>N074</v>
          </cell>
          <cell r="G717" t="str">
            <v>BRACKET COMP</v>
          </cell>
          <cell r="H717" t="str">
            <v>2110570311-BL</v>
          </cell>
          <cell r="I717">
            <v>22</v>
          </cell>
          <cell r="K717">
            <v>0</v>
          </cell>
        </row>
        <row r="718">
          <cell r="F718" t="str">
            <v>N041</v>
          </cell>
          <cell r="G718" t="str">
            <v>BRACKET</v>
          </cell>
          <cell r="H718" t="str">
            <v>2110571352-3 BL</v>
          </cell>
          <cell r="I718">
            <v>26</v>
          </cell>
          <cell r="K718">
            <v>0</v>
          </cell>
        </row>
        <row r="719">
          <cell r="F719" t="str">
            <v>N042</v>
          </cell>
          <cell r="G719" t="str">
            <v>BRACKET,RDTR SUPPORT UPPER R</v>
          </cell>
          <cell r="H719" t="str">
            <v>21786184M00-1-BL</v>
          </cell>
          <cell r="I719">
            <v>17</v>
          </cell>
          <cell r="J719">
            <v>0</v>
          </cell>
          <cell r="K719">
            <v>0</v>
          </cell>
          <cell r="L719">
            <v>0</v>
          </cell>
        </row>
        <row r="720">
          <cell r="F720" t="str">
            <v>N039</v>
          </cell>
          <cell r="G720" t="str">
            <v>PLATE</v>
          </cell>
          <cell r="H720" t="str">
            <v>220Y4341162-02-BL</v>
          </cell>
          <cell r="I720">
            <v>35</v>
          </cell>
          <cell r="J720">
            <v>0</v>
          </cell>
          <cell r="K720">
            <v>0</v>
          </cell>
          <cell r="L720">
            <v>0</v>
          </cell>
          <cell r="N720">
            <v>0</v>
          </cell>
          <cell r="P720">
            <v>0</v>
          </cell>
        </row>
        <row r="721">
          <cell r="F721" t="str">
            <v>N049</v>
          </cell>
          <cell r="G721" t="e">
            <v>#N/A</v>
          </cell>
          <cell r="H721" t="e">
            <v>#N/A</v>
          </cell>
          <cell r="J721">
            <v>0</v>
          </cell>
          <cell r="K721" t="e">
            <v>#DIV/0!</v>
          </cell>
          <cell r="L721">
            <v>0</v>
          </cell>
          <cell r="N721">
            <v>0</v>
          </cell>
          <cell r="P721">
            <v>0</v>
          </cell>
        </row>
        <row r="722">
          <cell r="F722" t="str">
            <v>N037</v>
          </cell>
          <cell r="G722" t="str">
            <v>PLATE</v>
          </cell>
          <cell r="H722" t="str">
            <v>220Y4341173-02-BL (1173-6)</v>
          </cell>
          <cell r="I722">
            <v>32</v>
          </cell>
          <cell r="J722">
            <v>0</v>
          </cell>
          <cell r="K722">
            <v>0</v>
          </cell>
          <cell r="L722">
            <v>0</v>
          </cell>
        </row>
        <row r="723">
          <cell r="F723" t="str">
            <v>N066</v>
          </cell>
          <cell r="G723" t="str">
            <v>PLATE</v>
          </cell>
          <cell r="H723" t="str">
            <v>220Y4341173-05</v>
          </cell>
          <cell r="I723">
            <v>126</v>
          </cell>
          <cell r="J723">
            <v>0</v>
          </cell>
          <cell r="K723">
            <v>0</v>
          </cell>
          <cell r="L723">
            <v>0</v>
          </cell>
        </row>
        <row r="724">
          <cell r="F724" t="str">
            <v>N048</v>
          </cell>
          <cell r="G724" t="str">
            <v>BRACKET - TANK</v>
          </cell>
          <cell r="H724" t="str">
            <v>2320520144-2</v>
          </cell>
          <cell r="I724">
            <v>20</v>
          </cell>
          <cell r="J724">
            <v>0</v>
          </cell>
          <cell r="K724">
            <v>0</v>
          </cell>
          <cell r="L724">
            <v>0</v>
          </cell>
          <cell r="N724">
            <v>0</v>
          </cell>
          <cell r="P724">
            <v>0</v>
          </cell>
        </row>
        <row r="725">
          <cell r="F725" t="str">
            <v>N064</v>
          </cell>
          <cell r="G725" t="str">
            <v>GUSSET</v>
          </cell>
          <cell r="H725" t="str">
            <v>2321700218A-BL</v>
          </cell>
          <cell r="I725">
            <v>17</v>
          </cell>
          <cell r="K725">
            <v>0</v>
          </cell>
        </row>
        <row r="726">
          <cell r="F726" t="str">
            <v>N044</v>
          </cell>
          <cell r="G726" t="str">
            <v>LIVER SHIFT&amp;SELECT</v>
          </cell>
          <cell r="H726" t="str">
            <v>23332611038005-2 B;L</v>
          </cell>
          <cell r="I726">
            <v>22</v>
          </cell>
          <cell r="K726">
            <v>0</v>
          </cell>
        </row>
        <row r="727">
          <cell r="G727" t="str">
            <v>BRACKRT BTRY CABLE AUTO MT</v>
          </cell>
          <cell r="H727" t="str">
            <v>23380176M10</v>
          </cell>
          <cell r="J727">
            <v>0</v>
          </cell>
          <cell r="K727" t="e">
            <v>#DIV/0!</v>
          </cell>
          <cell r="L727">
            <v>0</v>
          </cell>
          <cell r="N727">
            <v>0</v>
          </cell>
        </row>
        <row r="728">
          <cell r="F728" t="str">
            <v>N050</v>
          </cell>
          <cell r="G728" t="str">
            <v>BRACKRT BTRY CABLE AUTO MT</v>
          </cell>
          <cell r="H728" t="str">
            <v>23380176M10-1</v>
          </cell>
          <cell r="J728">
            <v>0</v>
          </cell>
          <cell r="K728" t="e">
            <v>#DIV/0!</v>
          </cell>
          <cell r="L728">
            <v>0</v>
          </cell>
        </row>
        <row r="729">
          <cell r="F729" t="str">
            <v>N040</v>
          </cell>
          <cell r="G729" t="str">
            <v>BRACKET CRANKCASE</v>
          </cell>
          <cell r="H729" t="str">
            <v>24118112J10-BL</v>
          </cell>
          <cell r="I729">
            <v>17</v>
          </cell>
          <cell r="K729">
            <v>0</v>
          </cell>
        </row>
        <row r="730">
          <cell r="F730" t="str">
            <v>N030</v>
          </cell>
          <cell r="G730" t="str">
            <v>PLATE SWING STOP RR</v>
          </cell>
          <cell r="H730" t="str">
            <v>24118612J00-BL</v>
          </cell>
          <cell r="I730">
            <v>32</v>
          </cell>
          <cell r="K730">
            <v>0</v>
          </cell>
        </row>
        <row r="731">
          <cell r="F731" t="str">
            <v>N010</v>
          </cell>
          <cell r="G731" t="e">
            <v>#N/A</v>
          </cell>
          <cell r="H731" t="e">
            <v>#N/A</v>
          </cell>
          <cell r="J731">
            <v>0</v>
          </cell>
          <cell r="K731" t="e">
            <v>#DIV/0!</v>
          </cell>
          <cell r="L731">
            <v>0</v>
          </cell>
          <cell r="N731">
            <v>0</v>
          </cell>
          <cell r="P731">
            <v>0</v>
          </cell>
        </row>
        <row r="732">
          <cell r="F732" t="str">
            <v>N012</v>
          </cell>
          <cell r="G732" t="e">
            <v>#N/A</v>
          </cell>
          <cell r="H732" t="e">
            <v>#N/A</v>
          </cell>
          <cell r="J732">
            <v>0</v>
          </cell>
          <cell r="K732" t="e">
            <v>#DIV/0!</v>
          </cell>
          <cell r="L732">
            <v>0</v>
          </cell>
        </row>
        <row r="733">
          <cell r="F733" t="str">
            <v>N071</v>
          </cell>
          <cell r="G733" t="str">
            <v>OUTER</v>
          </cell>
          <cell r="H733" t="str">
            <v>243008812-BL</v>
          </cell>
          <cell r="I733">
            <v>8</v>
          </cell>
          <cell r="J733">
            <v>0</v>
          </cell>
          <cell r="K733">
            <v>0</v>
          </cell>
          <cell r="L733">
            <v>0</v>
          </cell>
          <cell r="N733">
            <v>0</v>
          </cell>
          <cell r="P733">
            <v>0</v>
          </cell>
        </row>
        <row r="734">
          <cell r="G734" t="str">
            <v>HOOK RETURN SPRING</v>
          </cell>
          <cell r="H734" t="str">
            <v>24313116H00</v>
          </cell>
          <cell r="K734" t="e">
            <v>#DIV/0!</v>
          </cell>
          <cell r="L734">
            <v>0</v>
          </cell>
        </row>
        <row r="735">
          <cell r="F735" t="str">
            <v>N015</v>
          </cell>
          <cell r="G735" t="str">
            <v>HOOK BRAKE REDAL  RETURN SPRING</v>
          </cell>
          <cell r="H735" t="str">
            <v>24313145H40</v>
          </cell>
          <cell r="I735">
            <v>186</v>
          </cell>
          <cell r="J735">
            <v>0</v>
          </cell>
          <cell r="K735">
            <v>0</v>
          </cell>
          <cell r="L735">
            <v>0</v>
          </cell>
        </row>
        <row r="736">
          <cell r="F736" t="str">
            <v>N016</v>
          </cell>
          <cell r="G736" t="str">
            <v>HOOK STOP SWITCH</v>
          </cell>
          <cell r="H736" t="str">
            <v>24313416H00</v>
          </cell>
          <cell r="K736" t="e">
            <v>#DIV/0!</v>
          </cell>
        </row>
        <row r="737">
          <cell r="F737" t="str">
            <v>n038</v>
          </cell>
          <cell r="G737" t="str">
            <v>PLATE</v>
          </cell>
          <cell r="H737" t="str">
            <v>250503K04A9001-21-BL</v>
          </cell>
          <cell r="I737">
            <v>23</v>
          </cell>
          <cell r="J737">
            <v>0</v>
          </cell>
          <cell r="K737">
            <v>0</v>
          </cell>
          <cell r="L737">
            <v>0</v>
          </cell>
          <cell r="N737">
            <v>0</v>
          </cell>
        </row>
        <row r="738">
          <cell r="F738" t="str">
            <v>N043</v>
          </cell>
          <cell r="G738" t="e">
            <v>#N/A</v>
          </cell>
          <cell r="H738" t="e">
            <v>#N/A</v>
          </cell>
          <cell r="J738">
            <v>0</v>
          </cell>
          <cell r="K738" t="e">
            <v>#DIV/0!</v>
          </cell>
          <cell r="L738">
            <v>0</v>
          </cell>
          <cell r="N738">
            <v>0</v>
          </cell>
          <cell r="P738">
            <v>0</v>
          </cell>
        </row>
        <row r="739">
          <cell r="F739" t="str">
            <v>N018</v>
          </cell>
          <cell r="G739" t="e">
            <v>#N/A</v>
          </cell>
          <cell r="H739" t="e">
            <v>#N/A</v>
          </cell>
          <cell r="J739">
            <v>0</v>
          </cell>
          <cell r="K739" t="e">
            <v>#DIV/0!</v>
          </cell>
          <cell r="L739">
            <v>0</v>
          </cell>
          <cell r="N739">
            <v>0</v>
          </cell>
          <cell r="P739">
            <v>0</v>
          </cell>
        </row>
        <row r="740">
          <cell r="F740" t="str">
            <v>N019</v>
          </cell>
          <cell r="G740" t="e">
            <v>#N/A</v>
          </cell>
          <cell r="H740" t="e">
            <v>#N/A</v>
          </cell>
          <cell r="J740">
            <v>0</v>
          </cell>
          <cell r="K740" t="e">
            <v>#DIV/0!</v>
          </cell>
          <cell r="L740">
            <v>0</v>
          </cell>
        </row>
        <row r="741">
          <cell r="F741" t="str">
            <v>N020</v>
          </cell>
          <cell r="G741" t="str">
            <v>BRACKET HORN</v>
          </cell>
          <cell r="H741" t="str">
            <v>251-864-45H00</v>
          </cell>
          <cell r="I741">
            <v>35</v>
          </cell>
          <cell r="J741">
            <v>0</v>
          </cell>
          <cell r="K741">
            <v>0</v>
          </cell>
          <cell r="L741">
            <v>0</v>
          </cell>
          <cell r="N741">
            <v>0</v>
          </cell>
        </row>
        <row r="742">
          <cell r="F742" t="str">
            <v>N021</v>
          </cell>
          <cell r="G742" t="e">
            <v>#N/A</v>
          </cell>
          <cell r="H742" t="e">
            <v>#N/A</v>
          </cell>
          <cell r="J742">
            <v>0</v>
          </cell>
          <cell r="K742" t="e">
            <v>#DIV/0!</v>
          </cell>
          <cell r="L742">
            <v>0</v>
          </cell>
        </row>
        <row r="743">
          <cell r="F743" t="str">
            <v>N036</v>
          </cell>
          <cell r="G743" t="str">
            <v>BRACKET SET ACTUTOR</v>
          </cell>
          <cell r="H743" t="str">
            <v>25601984M00-BL</v>
          </cell>
          <cell r="I743">
            <v>9</v>
          </cell>
          <cell r="J743">
            <v>0</v>
          </cell>
          <cell r="K743">
            <v>0</v>
          </cell>
          <cell r="L743">
            <v>0</v>
          </cell>
          <cell r="N743">
            <v>0</v>
          </cell>
          <cell r="P743">
            <v>0</v>
          </cell>
        </row>
        <row r="744">
          <cell r="F744" t="str">
            <v>N024</v>
          </cell>
          <cell r="G744" t="e">
            <v>#N/A</v>
          </cell>
          <cell r="H744" t="e">
            <v>#N/A</v>
          </cell>
          <cell r="J744">
            <v>0</v>
          </cell>
          <cell r="K744" t="e">
            <v>#DIV/0!</v>
          </cell>
          <cell r="L744">
            <v>0</v>
          </cell>
        </row>
        <row r="745">
          <cell r="F745" t="str">
            <v>N027</v>
          </cell>
          <cell r="G745" t="str">
            <v>PLATE STOPPER</v>
          </cell>
          <cell r="H745" t="str">
            <v>25617109G10</v>
          </cell>
          <cell r="J745">
            <v>0</v>
          </cell>
          <cell r="K745" t="e">
            <v>#DIV/0!</v>
          </cell>
          <cell r="L745">
            <v>0</v>
          </cell>
          <cell r="N745">
            <v>0</v>
          </cell>
          <cell r="P745">
            <v>0</v>
          </cell>
        </row>
        <row r="746">
          <cell r="F746" t="str">
            <v>N033</v>
          </cell>
          <cell r="G746" t="str">
            <v>REINF HANDLE BAR L&amp;R</v>
          </cell>
          <cell r="H746" t="str">
            <v>25618222100-BL</v>
          </cell>
          <cell r="I746">
            <v>24</v>
          </cell>
          <cell r="K746">
            <v>0</v>
          </cell>
        </row>
        <row r="747">
          <cell r="F747" t="str">
            <v>N053</v>
          </cell>
          <cell r="G747" t="str">
            <v>BRACKET KEY LOCK</v>
          </cell>
          <cell r="H747" t="str">
            <v>27559S0328-2-BL (328-3)</v>
          </cell>
          <cell r="I747">
            <v>24</v>
          </cell>
          <cell r="K747">
            <v>0</v>
          </cell>
        </row>
        <row r="748">
          <cell r="F748" t="str">
            <v>N054</v>
          </cell>
          <cell r="G748" t="e">
            <v>#N/A</v>
          </cell>
          <cell r="H748" t="e">
            <v>#N/A</v>
          </cell>
          <cell r="K748" t="e">
            <v>#DIV/0!</v>
          </cell>
        </row>
        <row r="749">
          <cell r="F749" t="str">
            <v>N075</v>
          </cell>
          <cell r="G749" t="str">
            <v>BRACKET SPPORT (2840)</v>
          </cell>
          <cell r="H749" t="str">
            <v>2898058820-BL</v>
          </cell>
          <cell r="I749">
            <v>33</v>
          </cell>
          <cell r="K749">
            <v>0</v>
          </cell>
        </row>
        <row r="750">
          <cell r="F750" t="str">
            <v>N073</v>
          </cell>
          <cell r="G750" t="str">
            <v>BRACKET HOOK TOWING RR</v>
          </cell>
          <cell r="H750" t="str">
            <v>28981074340-5 BL</v>
          </cell>
          <cell r="I750">
            <v>8</v>
          </cell>
          <cell r="K750">
            <v>0</v>
          </cell>
        </row>
        <row r="751">
          <cell r="F751" t="str">
            <v>n056</v>
          </cell>
          <cell r="G751" t="str">
            <v>CLEVIS</v>
          </cell>
          <cell r="H751" t="str">
            <v>2F01G1610FJ-BL</v>
          </cell>
          <cell r="I751">
            <v>54</v>
          </cell>
          <cell r="K751">
            <v>0</v>
          </cell>
        </row>
        <row r="752">
          <cell r="F752" t="str">
            <v>N061</v>
          </cell>
          <cell r="G752" t="str">
            <v>CLEVIS</v>
          </cell>
          <cell r="H752" t="str">
            <v>2F01G1611HP-BL</v>
          </cell>
          <cell r="I752">
            <v>53</v>
          </cell>
          <cell r="K752">
            <v>0</v>
          </cell>
        </row>
        <row r="753">
          <cell r="F753" t="str">
            <v>N057</v>
          </cell>
          <cell r="G753" t="str">
            <v>CLEVIS</v>
          </cell>
          <cell r="H753" t="str">
            <v>2F01G1611KA-BL</v>
          </cell>
          <cell r="I753">
            <v>54</v>
          </cell>
          <cell r="K753">
            <v>0</v>
          </cell>
        </row>
        <row r="754">
          <cell r="F754" t="str">
            <v>N072</v>
          </cell>
          <cell r="G754" t="str">
            <v>CLEVIS</v>
          </cell>
          <cell r="H754" t="str">
            <v>2F01G1611KC-BL</v>
          </cell>
          <cell r="I754">
            <v>54</v>
          </cell>
          <cell r="K754">
            <v>0</v>
          </cell>
        </row>
        <row r="755">
          <cell r="F755" t="str">
            <v>N070</v>
          </cell>
          <cell r="G755" t="str">
            <v>BRACKET (S08)</v>
          </cell>
          <cell r="H755" t="str">
            <v>2GX2765SPV39DS08-1-BL</v>
          </cell>
          <cell r="J755">
            <v>15</v>
          </cell>
          <cell r="K755" t="e">
            <v>#DIV/0!</v>
          </cell>
        </row>
        <row r="756">
          <cell r="F756" t="str">
            <v>NST001</v>
          </cell>
          <cell r="G756" t="str">
            <v>BAR SS400 OD 6X388.9</v>
          </cell>
          <cell r="H756" t="str">
            <v>32310R0603889</v>
          </cell>
          <cell r="J756">
            <v>0</v>
          </cell>
          <cell r="K756" t="e">
            <v>#DIV/0!</v>
          </cell>
          <cell r="L756">
            <v>0</v>
          </cell>
        </row>
        <row r="757">
          <cell r="K757" t="e">
            <v>#DIV/0!</v>
          </cell>
        </row>
        <row r="758">
          <cell r="F758" t="str">
            <v>N029</v>
          </cell>
          <cell r="G758" t="str">
            <v>BRACKET LOW</v>
          </cell>
          <cell r="H758" t="str">
            <v>27557S0173-2BL (173-4)</v>
          </cell>
          <cell r="I758">
            <v>52</v>
          </cell>
          <cell r="K758">
            <v>0</v>
          </cell>
        </row>
        <row r="759">
          <cell r="F759" t="str">
            <v>N034</v>
          </cell>
          <cell r="G759" t="str">
            <v>BRACKET LOW</v>
          </cell>
          <cell r="H759" t="str">
            <v>27557S0173-1-BL (173-3)</v>
          </cell>
          <cell r="I759">
            <v>9</v>
          </cell>
          <cell r="K759">
            <v>0</v>
          </cell>
        </row>
        <row r="760">
          <cell r="F760" t="str">
            <v>N032</v>
          </cell>
          <cell r="G760" t="str">
            <v>COVER SPEED SENSOR</v>
          </cell>
          <cell r="H760" t="str">
            <v>23499420G00-BL</v>
          </cell>
          <cell r="I760">
            <v>28</v>
          </cell>
          <cell r="K760">
            <v>0</v>
          </cell>
        </row>
        <row r="761">
          <cell r="F761" t="str">
            <v>N035</v>
          </cell>
          <cell r="G761" t="str">
            <v>BRACKET MOUNT A</v>
          </cell>
          <cell r="H761" t="str">
            <v>27904S0590-BL</v>
          </cell>
          <cell r="K761" t="e">
            <v>#DIV/0!</v>
          </cell>
        </row>
        <row r="762">
          <cell r="F762" t="str">
            <v>N045</v>
          </cell>
          <cell r="G762" t="str">
            <v>CLAMP BRAKE HOSE LOWER</v>
          </cell>
          <cell r="H762" t="str">
            <v>25924520G00-BL</v>
          </cell>
          <cell r="I762">
            <v>65</v>
          </cell>
          <cell r="K762">
            <v>0</v>
          </cell>
        </row>
        <row r="763">
          <cell r="F763" t="str">
            <v>N046</v>
          </cell>
          <cell r="G763" t="str">
            <v>PLATE CENTER STAND PIVOT L</v>
          </cell>
          <cell r="H763" t="str">
            <v>24227609J00-2BL</v>
          </cell>
          <cell r="I763">
            <v>30</v>
          </cell>
          <cell r="K763">
            <v>0</v>
          </cell>
        </row>
        <row r="764">
          <cell r="F764" t="str">
            <v>N047</v>
          </cell>
          <cell r="G764" t="str">
            <v>BRACKET คืนพิมพ์</v>
          </cell>
          <cell r="H764" t="str">
            <v>2110511728-BL</v>
          </cell>
          <cell r="K764" t="e">
            <v>#DIV/0!</v>
          </cell>
        </row>
        <row r="765">
          <cell r="F765" t="str">
            <v>N051</v>
          </cell>
          <cell r="G765" t="str">
            <v>PLATE CENTER STAND PIVOT L</v>
          </cell>
          <cell r="H765" t="str">
            <v>24227609J00-2BL</v>
          </cell>
          <cell r="I765">
            <v>30</v>
          </cell>
          <cell r="K765">
            <v>0</v>
          </cell>
        </row>
        <row r="766">
          <cell r="F766" t="str">
            <v>N052</v>
          </cell>
          <cell r="G766" t="str">
            <v>COVER UNDER</v>
          </cell>
          <cell r="H766" t="str">
            <v>28982789570-BL</v>
          </cell>
          <cell r="I766">
            <v>15</v>
          </cell>
          <cell r="K766">
            <v>0</v>
          </cell>
        </row>
        <row r="767">
          <cell r="F767" t="str">
            <v>N064</v>
          </cell>
          <cell r="G767" t="str">
            <v>GUSSET</v>
          </cell>
          <cell r="H767" t="str">
            <v>2321702198-1 BL</v>
          </cell>
          <cell r="I767">
            <v>17</v>
          </cell>
          <cell r="J767">
            <v>0</v>
          </cell>
          <cell r="K767">
            <v>0</v>
          </cell>
        </row>
        <row r="768">
          <cell r="F768" t="str">
            <v>N065</v>
          </cell>
          <cell r="G768" t="str">
            <v>GUSSET</v>
          </cell>
          <cell r="H768" t="str">
            <v>2321701943D</v>
          </cell>
          <cell r="K768" t="e">
            <v>#DIV/0!</v>
          </cell>
        </row>
        <row r="769">
          <cell r="F769" t="str">
            <v>N067</v>
          </cell>
          <cell r="G769" t="str">
            <v>BRACKET MOUNT B</v>
          </cell>
          <cell r="H769" t="str">
            <v>27904S0757-BL</v>
          </cell>
          <cell r="K769" t="e">
            <v>#DIV/0!</v>
          </cell>
        </row>
        <row r="770">
          <cell r="F770" t="str">
            <v>N069</v>
          </cell>
          <cell r="G770" t="str">
            <v>PLATE</v>
          </cell>
          <cell r="H770" t="str">
            <v>1132711052-BL</v>
          </cell>
          <cell r="K770" t="e">
            <v>#DIV/0!</v>
          </cell>
        </row>
        <row r="771">
          <cell r="F771" t="str">
            <v>N076</v>
          </cell>
          <cell r="G771" t="str">
            <v>BRACKET ACTUTOR</v>
          </cell>
          <cell r="H771" t="str">
            <v>25616184M50-1BL</v>
          </cell>
          <cell r="I771">
            <v>8</v>
          </cell>
          <cell r="K771">
            <v>0</v>
          </cell>
        </row>
        <row r="772">
          <cell r="F772" t="str">
            <v>N077</v>
          </cell>
          <cell r="G772" t="str">
            <v>COVER FR BRAKE DISC DUST</v>
          </cell>
          <cell r="H772" t="str">
            <v>25532184M00-BL</v>
          </cell>
          <cell r="I772">
            <v>6</v>
          </cell>
          <cell r="K772">
            <v>0</v>
          </cell>
        </row>
        <row r="773">
          <cell r="K773" t="e">
            <v>#DIV/0!</v>
          </cell>
        </row>
        <row r="774">
          <cell r="K774" t="e">
            <v>#DIV/0!</v>
          </cell>
        </row>
        <row r="775">
          <cell r="K775" t="e">
            <v>#DIV/0!</v>
          </cell>
        </row>
        <row r="776">
          <cell r="K776" t="e">
            <v>#DIV/0!</v>
          </cell>
        </row>
        <row r="777">
          <cell r="K777" t="e">
            <v>#DIV/0!</v>
          </cell>
        </row>
        <row r="778">
          <cell r="K778" t="e">
            <v>#DIV/0!</v>
          </cell>
        </row>
        <row r="779">
          <cell r="F779">
            <v>6</v>
          </cell>
          <cell r="G779" t="str">
            <v>TS INTERSEAT</v>
          </cell>
          <cell r="K779" t="e">
            <v>#DIV/0!</v>
          </cell>
        </row>
        <row r="780">
          <cell r="F780">
            <v>30033800</v>
          </cell>
          <cell r="G780" t="str">
            <v>STAY A, PILLION SEAT (K87A P)</v>
          </cell>
          <cell r="H780" t="str">
            <v>K87A</v>
          </cell>
          <cell r="I780">
            <v>24</v>
          </cell>
          <cell r="J780">
            <v>2000</v>
          </cell>
          <cell r="K780">
            <v>83.333333333333329</v>
          </cell>
          <cell r="L780">
            <v>1000</v>
          </cell>
          <cell r="M780">
            <v>41.666666666666664</v>
          </cell>
          <cell r="N780">
            <v>1500</v>
          </cell>
          <cell r="O780">
            <v>62.5</v>
          </cell>
          <cell r="P780">
            <v>0</v>
          </cell>
          <cell r="R780">
            <v>0</v>
          </cell>
        </row>
        <row r="781">
          <cell r="F781">
            <v>30033801</v>
          </cell>
          <cell r="G781" t="str">
            <v>STAY B, PILLION SEAT (K87A P)</v>
          </cell>
          <cell r="H781" t="str">
            <v>K87A</v>
          </cell>
          <cell r="I781">
            <v>18</v>
          </cell>
          <cell r="J781">
            <v>2000</v>
          </cell>
          <cell r="K781">
            <v>111.11111111111111</v>
          </cell>
          <cell r="L781">
            <v>1000</v>
          </cell>
          <cell r="M781">
            <v>55.555555555555557</v>
          </cell>
          <cell r="N781">
            <v>1500</v>
          </cell>
          <cell r="O781">
            <v>83.333333333333329</v>
          </cell>
          <cell r="P781">
            <v>0</v>
          </cell>
          <cell r="R781">
            <v>0</v>
          </cell>
        </row>
        <row r="782">
          <cell r="F782">
            <v>30010512</v>
          </cell>
          <cell r="G782" t="str">
            <v xml:space="preserve">BRACKET SEAT </v>
          </cell>
          <cell r="H782" t="str">
            <v>4110/4111</v>
          </cell>
          <cell r="I782">
            <v>35</v>
          </cell>
          <cell r="J782">
            <v>3000</v>
          </cell>
          <cell r="K782">
            <v>85.714285714285708</v>
          </cell>
          <cell r="L782">
            <v>2500</v>
          </cell>
          <cell r="M782">
            <v>71.428571428571431</v>
          </cell>
          <cell r="N782">
            <v>2400</v>
          </cell>
          <cell r="O782">
            <v>68.571428571428569</v>
          </cell>
          <cell r="P782">
            <v>2500</v>
          </cell>
          <cell r="Q782">
            <v>71.428571428571431</v>
          </cell>
          <cell r="R782">
            <v>0</v>
          </cell>
          <cell r="T782">
            <v>0</v>
          </cell>
        </row>
        <row r="783">
          <cell r="F783">
            <v>30014504</v>
          </cell>
          <cell r="G783" t="str">
            <v>BRACKET SEAT FRONT (2121)</v>
          </cell>
          <cell r="H783">
            <v>0</v>
          </cell>
          <cell r="I783">
            <v>25</v>
          </cell>
          <cell r="K783">
            <v>0</v>
          </cell>
        </row>
        <row r="784">
          <cell r="F784">
            <v>30014505</v>
          </cell>
          <cell r="G784" t="str">
            <v>BRACKET SEAT FRONT (2121)</v>
          </cell>
          <cell r="H784">
            <v>0</v>
          </cell>
          <cell r="I784">
            <v>48</v>
          </cell>
          <cell r="K784">
            <v>0</v>
          </cell>
        </row>
        <row r="785">
          <cell r="F785">
            <v>30009524</v>
          </cell>
          <cell r="G785" t="str">
            <v>HING SEAT (KWBA)</v>
          </cell>
          <cell r="H785" t="str">
            <v>KWBA</v>
          </cell>
          <cell r="I785">
            <v>15</v>
          </cell>
          <cell r="K785">
            <v>0</v>
          </cell>
          <cell r="L785">
            <v>0</v>
          </cell>
        </row>
        <row r="786">
          <cell r="F786">
            <v>30015909</v>
          </cell>
          <cell r="G786" t="e">
            <v>#N/A</v>
          </cell>
          <cell r="H786" t="e">
            <v>#N/A</v>
          </cell>
          <cell r="I786">
            <v>15</v>
          </cell>
          <cell r="K786">
            <v>0</v>
          </cell>
        </row>
        <row r="787">
          <cell r="F787">
            <v>30032958</v>
          </cell>
          <cell r="G787" t="str">
            <v>BRACKET SEAT (0397)</v>
          </cell>
          <cell r="H787" t="str">
            <v>3478F</v>
          </cell>
          <cell r="I787">
            <v>44</v>
          </cell>
          <cell r="J787">
            <v>0</v>
          </cell>
          <cell r="K787">
            <v>0</v>
          </cell>
          <cell r="L787">
            <v>1300</v>
          </cell>
          <cell r="M787">
            <v>29.545454545454547</v>
          </cell>
          <cell r="N787">
            <v>1600</v>
          </cell>
          <cell r="O787">
            <v>36.363636363636367</v>
          </cell>
          <cell r="P787">
            <v>0</v>
          </cell>
          <cell r="Q787">
            <v>0</v>
          </cell>
          <cell r="R787">
            <v>0</v>
          </cell>
          <cell r="T787">
            <v>0</v>
          </cell>
        </row>
        <row r="788">
          <cell r="F788" t="str">
            <v>30032961-1</v>
          </cell>
          <cell r="G788" t="str">
            <v>BRACKET SEAT 0414</v>
          </cell>
          <cell r="H788" t="str">
            <v>3478R</v>
          </cell>
          <cell r="I788">
            <v>23</v>
          </cell>
          <cell r="J788">
            <v>0</v>
          </cell>
          <cell r="K788">
            <v>0</v>
          </cell>
          <cell r="L788">
            <v>1300</v>
          </cell>
          <cell r="M788">
            <v>56.521739130434781</v>
          </cell>
          <cell r="N788">
            <v>1600</v>
          </cell>
          <cell r="O788">
            <v>69.565217391304344</v>
          </cell>
          <cell r="P788">
            <v>0</v>
          </cell>
          <cell r="Q788">
            <v>0</v>
          </cell>
          <cell r="R788">
            <v>0</v>
          </cell>
          <cell r="T788">
            <v>0</v>
          </cell>
        </row>
        <row r="789">
          <cell r="F789" t="str">
            <v>30032961-2</v>
          </cell>
          <cell r="G789" t="str">
            <v>BRACKET SEAT 0414(x2)</v>
          </cell>
          <cell r="H789" t="str">
            <v>3478R</v>
          </cell>
          <cell r="I789">
            <v>47</v>
          </cell>
          <cell r="J789">
            <v>0</v>
          </cell>
          <cell r="K789">
            <v>0</v>
          </cell>
          <cell r="L789">
            <v>1300</v>
          </cell>
          <cell r="M789">
            <v>27.659574468085108</v>
          </cell>
          <cell r="N789">
            <v>1600</v>
          </cell>
          <cell r="O789">
            <v>34.042553191489361</v>
          </cell>
          <cell r="P789">
            <v>0</v>
          </cell>
          <cell r="Q789">
            <v>0</v>
          </cell>
          <cell r="R789">
            <v>0</v>
          </cell>
          <cell r="T789">
            <v>0</v>
          </cell>
        </row>
        <row r="790">
          <cell r="F790">
            <v>30032964</v>
          </cell>
          <cell r="G790" t="str">
            <v>BRACKET SEAT 0399</v>
          </cell>
          <cell r="H790" t="str">
            <v>3478R</v>
          </cell>
          <cell r="I790">
            <v>47</v>
          </cell>
          <cell r="J790">
            <v>0</v>
          </cell>
          <cell r="K790">
            <v>0</v>
          </cell>
          <cell r="L790">
            <v>1300</v>
          </cell>
          <cell r="M790">
            <v>27.659574468085108</v>
          </cell>
          <cell r="N790">
            <v>1600</v>
          </cell>
          <cell r="O790">
            <v>34.042553191489361</v>
          </cell>
          <cell r="P790">
            <v>0</v>
          </cell>
          <cell r="Q790">
            <v>0</v>
          </cell>
          <cell r="R790">
            <v>0</v>
          </cell>
          <cell r="T790">
            <v>0</v>
          </cell>
        </row>
        <row r="791">
          <cell r="F791">
            <v>30036774</v>
          </cell>
          <cell r="G791" t="str">
            <v>HOOK R P SEAT</v>
          </cell>
          <cell r="H791" t="str">
            <v>77306-K0AA-E100</v>
          </cell>
          <cell r="I791">
            <v>37</v>
          </cell>
          <cell r="J791">
            <v>200</v>
          </cell>
          <cell r="K791">
            <v>5.4054054054054053</v>
          </cell>
          <cell r="L791">
            <v>150</v>
          </cell>
          <cell r="M791">
            <v>4.0540540540540544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</row>
        <row r="792">
          <cell r="F792">
            <v>30036775</v>
          </cell>
          <cell r="G792" t="str">
            <v>HOOK L P SEAT</v>
          </cell>
          <cell r="H792" t="str">
            <v>77307-K0AA-E101</v>
          </cell>
          <cell r="I792">
            <v>37</v>
          </cell>
          <cell r="J792">
            <v>200</v>
          </cell>
          <cell r="K792">
            <v>5.4054054054054053</v>
          </cell>
          <cell r="L792">
            <v>150</v>
          </cell>
          <cell r="M792">
            <v>4.0540540540540544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</row>
        <row r="793">
          <cell r="F793">
            <v>30053551</v>
          </cell>
          <cell r="G793" t="str">
            <v>PLATE,SEAT SET</v>
          </cell>
          <cell r="H793" t="e">
            <v>#N/A</v>
          </cell>
          <cell r="I793">
            <v>39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R793">
            <v>0</v>
          </cell>
        </row>
        <row r="794">
          <cell r="F794">
            <v>7</v>
          </cell>
          <cell r="G794" t="str">
            <v xml:space="preserve">ประสานมิตร โอโตพาร์ท </v>
          </cell>
          <cell r="K794" t="e">
            <v>#DIV/0!</v>
          </cell>
          <cell r="M794" t="e">
            <v>#DIV/0!</v>
          </cell>
          <cell r="O794" t="e">
            <v>#DIV/0!</v>
          </cell>
        </row>
        <row r="795">
          <cell r="F795">
            <v>30006710</v>
          </cell>
          <cell r="G795" t="str">
            <v>PLATE PLN FTRT R.L KB</v>
          </cell>
          <cell r="H795">
            <v>0</v>
          </cell>
          <cell r="I795">
            <v>1.2999999999999999E-2</v>
          </cell>
          <cell r="J795">
            <v>20000</v>
          </cell>
          <cell r="K795">
            <v>260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</row>
        <row r="796">
          <cell r="F796">
            <v>30006709</v>
          </cell>
          <cell r="G796" t="str">
            <v>REINF PLN FTRT R.L KB</v>
          </cell>
          <cell r="H796">
            <v>0</v>
          </cell>
          <cell r="I796">
            <v>1.0999999999999999E-2</v>
          </cell>
          <cell r="J796">
            <v>20000</v>
          </cell>
          <cell r="K796">
            <v>220</v>
          </cell>
          <cell r="M796">
            <v>0</v>
          </cell>
          <cell r="N796">
            <v>0</v>
          </cell>
          <cell r="O796">
            <v>0</v>
          </cell>
        </row>
        <row r="797">
          <cell r="F797">
            <v>8</v>
          </cell>
          <cell r="G797" t="str">
            <v xml:space="preserve">ไม่ผลิตแล้ว บ้านโพ </v>
          </cell>
          <cell r="K797" t="e">
            <v>#DIV/0!</v>
          </cell>
        </row>
        <row r="798">
          <cell r="F798">
            <v>73013806</v>
          </cell>
          <cell r="G798" t="e">
            <v>#N/A</v>
          </cell>
          <cell r="H798" t="e">
            <v>#N/A</v>
          </cell>
          <cell r="K798" t="e">
            <v>#DIV/0!</v>
          </cell>
        </row>
        <row r="799">
          <cell r="F799">
            <v>9</v>
          </cell>
          <cell r="G799" t="str">
            <v>ไทยซัมมิตโอโตโมทีป โรงงาน1</v>
          </cell>
          <cell r="K799" t="e">
            <v>#DIV/0!</v>
          </cell>
        </row>
        <row r="800">
          <cell r="F800" t="str">
            <v>30021653-1</v>
          </cell>
          <cell r="G800" t="str">
            <v>REINF T/GATE STRIKER</v>
          </cell>
          <cell r="H800">
            <v>8982003950</v>
          </cell>
          <cell r="I800">
            <v>7</v>
          </cell>
          <cell r="K800">
            <v>0</v>
          </cell>
          <cell r="V800">
            <v>0</v>
          </cell>
        </row>
        <row r="801">
          <cell r="F801" t="str">
            <v>30021653-2</v>
          </cell>
          <cell r="G801" t="str">
            <v>PLATE STRIKER</v>
          </cell>
          <cell r="H801">
            <v>8981999130</v>
          </cell>
          <cell r="I801">
            <v>16</v>
          </cell>
          <cell r="K801">
            <v>0</v>
          </cell>
        </row>
        <row r="802">
          <cell r="F802" t="str">
            <v>30021689/30024777</v>
          </cell>
          <cell r="G802" t="str">
            <v>BRACKET</v>
          </cell>
          <cell r="H802" t="str">
            <v>8982114660-01</v>
          </cell>
          <cell r="I802">
            <v>33</v>
          </cell>
          <cell r="K802">
            <v>0</v>
          </cell>
        </row>
        <row r="803">
          <cell r="F803">
            <v>30021693</v>
          </cell>
          <cell r="G803" t="str">
            <v>BRACKET;DRIVER BELT LAP ANCHOR,LH</v>
          </cell>
          <cell r="H803">
            <v>8982161390</v>
          </cell>
          <cell r="I803">
            <v>17</v>
          </cell>
          <cell r="K803">
            <v>0</v>
          </cell>
        </row>
        <row r="804">
          <cell r="F804">
            <v>30021694</v>
          </cell>
          <cell r="G804" t="str">
            <v>BRACKET</v>
          </cell>
          <cell r="H804" t="str">
            <v>8982114660-01</v>
          </cell>
          <cell r="I804">
            <v>17</v>
          </cell>
          <cell r="K804">
            <v>0</v>
          </cell>
        </row>
        <row r="805">
          <cell r="F805">
            <v>30024777</v>
          </cell>
          <cell r="G805" t="e">
            <v>#N/A</v>
          </cell>
          <cell r="H805" t="e">
            <v>#N/A</v>
          </cell>
          <cell r="I805">
            <v>33</v>
          </cell>
          <cell r="K805">
            <v>0</v>
          </cell>
        </row>
        <row r="806">
          <cell r="F806">
            <v>73014521</v>
          </cell>
          <cell r="G806" t="str">
            <v>INSULATOR DRIVE SHAFT HEAT NO.1(SPOT BOLT)</v>
          </cell>
          <cell r="H806" t="str">
            <v>43498-02040</v>
          </cell>
          <cell r="I806">
            <v>0.39100000000000001</v>
          </cell>
          <cell r="J806">
            <v>0</v>
          </cell>
          <cell r="K806">
            <v>0</v>
          </cell>
          <cell r="V806">
            <v>0</v>
          </cell>
        </row>
        <row r="807">
          <cell r="F807">
            <v>73014522</v>
          </cell>
          <cell r="G807" t="str">
            <v>INSULATOR DRIVE SHAFT HEAT NO.1</v>
          </cell>
          <cell r="H807" t="str">
            <v>43498-02060</v>
          </cell>
          <cell r="I807">
            <v>0.39400000000000002</v>
          </cell>
          <cell r="J807">
            <v>0</v>
          </cell>
          <cell r="K807">
            <v>0</v>
          </cell>
        </row>
        <row r="808">
          <cell r="K808" t="e">
            <v>#DIV/0!</v>
          </cell>
        </row>
        <row r="809">
          <cell r="K809" t="e">
            <v>#DIV/0!</v>
          </cell>
        </row>
        <row r="810">
          <cell r="F810">
            <v>10</v>
          </cell>
          <cell r="G810" t="str">
            <v>ไทยซัมมิตโอโตโมทีป โรงงาน2</v>
          </cell>
          <cell r="K810" t="e">
            <v>#DIV/0!</v>
          </cell>
        </row>
        <row r="811">
          <cell r="F811">
            <v>30012252</v>
          </cell>
          <cell r="G811" t="str">
            <v>REINF CROSS MBR RR SEAT</v>
          </cell>
          <cell r="H811">
            <v>0</v>
          </cell>
          <cell r="I811">
            <v>1500</v>
          </cell>
          <cell r="J811">
            <v>0</v>
          </cell>
          <cell r="K811">
            <v>0</v>
          </cell>
          <cell r="L811">
            <v>0</v>
          </cell>
          <cell r="N811">
            <v>0</v>
          </cell>
          <cell r="P811">
            <v>0</v>
          </cell>
          <cell r="R811">
            <v>0</v>
          </cell>
          <cell r="T811">
            <v>0</v>
          </cell>
        </row>
        <row r="812">
          <cell r="F812">
            <v>30012263</v>
          </cell>
          <cell r="G812" t="str">
            <v>REINF ANCH BELT RR INR</v>
          </cell>
          <cell r="H812">
            <v>0</v>
          </cell>
          <cell r="I812">
            <v>5200</v>
          </cell>
          <cell r="J812">
            <v>0</v>
          </cell>
          <cell r="K812">
            <v>0</v>
          </cell>
          <cell r="L812">
            <v>0</v>
          </cell>
          <cell r="N812">
            <v>0</v>
          </cell>
          <cell r="P812">
            <v>0</v>
          </cell>
          <cell r="R812">
            <v>0</v>
          </cell>
        </row>
        <row r="813">
          <cell r="F813">
            <v>30012272</v>
          </cell>
          <cell r="G813" t="str">
            <v>ANCH-SEAT BELT,CTR PLR RH</v>
          </cell>
          <cell r="H813" t="str">
            <v>76582 1HHOA</v>
          </cell>
          <cell r="I813">
            <v>370</v>
          </cell>
          <cell r="J813">
            <v>0</v>
          </cell>
          <cell r="K813">
            <v>0</v>
          </cell>
          <cell r="L813">
            <v>0</v>
          </cell>
          <cell r="N813">
            <v>0</v>
          </cell>
          <cell r="P813">
            <v>0</v>
          </cell>
          <cell r="R813">
            <v>0</v>
          </cell>
        </row>
        <row r="814">
          <cell r="F814">
            <v>73013672</v>
          </cell>
          <cell r="G814" t="str">
            <v>BRKT CLOSING PLATE,FR SIDE RR LH</v>
          </cell>
          <cell r="H814" t="str">
            <v>751E7 1HJOA</v>
          </cell>
          <cell r="I814">
            <v>900</v>
          </cell>
          <cell r="J814">
            <v>0</v>
          </cell>
          <cell r="K814">
            <v>0</v>
          </cell>
          <cell r="L814">
            <v>0</v>
          </cell>
          <cell r="N814">
            <v>0</v>
          </cell>
          <cell r="P814">
            <v>0</v>
          </cell>
          <cell r="R814">
            <v>0</v>
          </cell>
        </row>
        <row r="815">
          <cell r="F815">
            <v>11</v>
          </cell>
          <cell r="G815" t="str">
            <v>ชัยยุทธ์การประดิษ</v>
          </cell>
          <cell r="K815" t="e">
            <v>#DIV/0!</v>
          </cell>
        </row>
        <row r="816">
          <cell r="F816" t="str">
            <v>11056-1596-1</v>
          </cell>
          <cell r="G816" t="e">
            <v>#N/A</v>
          </cell>
          <cell r="H816" t="e">
            <v>#N/A</v>
          </cell>
          <cell r="I816">
            <v>30</v>
          </cell>
          <cell r="J816">
            <v>0</v>
          </cell>
          <cell r="K816">
            <v>0</v>
          </cell>
          <cell r="L816">
            <v>0</v>
          </cell>
          <cell r="N816">
            <v>0</v>
          </cell>
          <cell r="P816">
            <v>0</v>
          </cell>
          <cell r="R816">
            <v>0</v>
          </cell>
          <cell r="T816">
            <v>0</v>
          </cell>
        </row>
        <row r="817">
          <cell r="F817" t="str">
            <v>11056-1603</v>
          </cell>
          <cell r="G817" t="e">
            <v>#N/A</v>
          </cell>
          <cell r="H817" t="e">
            <v>#N/A</v>
          </cell>
          <cell r="J817">
            <v>0</v>
          </cell>
          <cell r="K817" t="e">
            <v>#DIV/0!</v>
          </cell>
          <cell r="L817">
            <v>0</v>
          </cell>
          <cell r="N817">
            <v>0</v>
          </cell>
          <cell r="P817">
            <v>0</v>
          </cell>
          <cell r="R817">
            <v>0</v>
          </cell>
          <cell r="T817">
            <v>0</v>
          </cell>
        </row>
        <row r="818">
          <cell r="F818" t="str">
            <v>32170-0862</v>
          </cell>
          <cell r="G818" t="e">
            <v>#N/A</v>
          </cell>
          <cell r="H818" t="e">
            <v>#N/A</v>
          </cell>
          <cell r="I818">
            <v>50</v>
          </cell>
          <cell r="J818">
            <v>0</v>
          </cell>
          <cell r="K818">
            <v>0</v>
          </cell>
          <cell r="L818">
            <v>0</v>
          </cell>
          <cell r="N818">
            <v>0</v>
          </cell>
          <cell r="P818">
            <v>0</v>
          </cell>
          <cell r="R818">
            <v>0</v>
          </cell>
          <cell r="T818">
            <v>0</v>
          </cell>
        </row>
        <row r="819">
          <cell r="F819" t="str">
            <v>13091-1293</v>
          </cell>
          <cell r="G819" t="e">
            <v>#N/A</v>
          </cell>
          <cell r="H819" t="e">
            <v>#N/A</v>
          </cell>
          <cell r="J819">
            <v>0</v>
          </cell>
          <cell r="K819" t="e">
            <v>#DIV/0!</v>
          </cell>
          <cell r="L819">
            <v>0</v>
          </cell>
          <cell r="N819">
            <v>0</v>
          </cell>
        </row>
        <row r="820">
          <cell r="F820" t="str">
            <v>32155-5005</v>
          </cell>
          <cell r="G820" t="e">
            <v>#N/A</v>
          </cell>
          <cell r="H820" t="e">
            <v>#N/A</v>
          </cell>
          <cell r="I820">
            <v>84</v>
          </cell>
          <cell r="J820">
            <v>0</v>
          </cell>
          <cell r="K820">
            <v>0</v>
          </cell>
          <cell r="L820">
            <v>0</v>
          </cell>
          <cell r="N820">
            <v>0</v>
          </cell>
        </row>
        <row r="821">
          <cell r="F821" t="str">
            <v>32155-5006</v>
          </cell>
          <cell r="G821" t="e">
            <v>#N/A</v>
          </cell>
          <cell r="H821" t="e">
            <v>#N/A</v>
          </cell>
          <cell r="J821">
            <v>0</v>
          </cell>
          <cell r="K821" t="e">
            <v>#DIV/0!</v>
          </cell>
          <cell r="L821">
            <v>0</v>
          </cell>
          <cell r="N821">
            <v>0</v>
          </cell>
        </row>
        <row r="822">
          <cell r="F822" t="str">
            <v>32155-5008</v>
          </cell>
          <cell r="G822" t="e">
            <v>#N/A</v>
          </cell>
          <cell r="H822" t="e">
            <v>#N/A</v>
          </cell>
          <cell r="I822">
            <v>84</v>
          </cell>
          <cell r="J822">
            <v>0</v>
          </cell>
          <cell r="K822">
            <v>0</v>
          </cell>
          <cell r="L822">
            <v>0</v>
          </cell>
          <cell r="N822">
            <v>0</v>
          </cell>
        </row>
        <row r="823">
          <cell r="F823" t="str">
            <v>32155-5009</v>
          </cell>
          <cell r="G823" t="e">
            <v>#N/A</v>
          </cell>
          <cell r="H823" t="e">
            <v>#N/A</v>
          </cell>
          <cell r="J823">
            <v>0</v>
          </cell>
          <cell r="K823" t="e">
            <v>#DIV/0!</v>
          </cell>
          <cell r="L823">
            <v>0</v>
          </cell>
          <cell r="N823">
            <v>0</v>
          </cell>
        </row>
        <row r="824">
          <cell r="F824" t="str">
            <v>11056-4239</v>
          </cell>
          <cell r="G824" t="str">
            <v>BRACKET</v>
          </cell>
          <cell r="H824" t="str">
            <v>11056-2644-1</v>
          </cell>
          <cell r="I824">
            <v>19</v>
          </cell>
          <cell r="J824">
            <v>0</v>
          </cell>
          <cell r="K824">
            <v>0</v>
          </cell>
          <cell r="L824">
            <v>0</v>
          </cell>
          <cell r="N824">
            <v>0</v>
          </cell>
        </row>
        <row r="825">
          <cell r="F825" t="str">
            <v>14044-0562</v>
          </cell>
          <cell r="G825" t="str">
            <v>HOLDER-CABLE</v>
          </cell>
          <cell r="H825">
            <v>0</v>
          </cell>
          <cell r="I825">
            <v>34</v>
          </cell>
          <cell r="J825">
            <v>0</v>
          </cell>
          <cell r="K825">
            <v>0</v>
          </cell>
          <cell r="L825">
            <v>0</v>
          </cell>
          <cell r="N825">
            <v>0</v>
          </cell>
          <cell r="P825">
            <v>0</v>
          </cell>
          <cell r="R825">
            <v>0</v>
          </cell>
        </row>
        <row r="826">
          <cell r="F826" t="str">
            <v>14044-0563</v>
          </cell>
          <cell r="G826" t="str">
            <v>HOLDER-CABLE</v>
          </cell>
          <cell r="H826">
            <v>0</v>
          </cell>
          <cell r="I826">
            <v>132</v>
          </cell>
          <cell r="J826">
            <v>0</v>
          </cell>
          <cell r="K826">
            <v>0</v>
          </cell>
          <cell r="L826">
            <v>0</v>
          </cell>
          <cell r="N826">
            <v>0</v>
          </cell>
          <cell r="R826">
            <v>0</v>
          </cell>
        </row>
        <row r="827">
          <cell r="F827" t="str">
            <v>14044-0562-1</v>
          </cell>
          <cell r="G827" t="e">
            <v>#N/A</v>
          </cell>
          <cell r="H827" t="e">
            <v>#N/A</v>
          </cell>
          <cell r="I827">
            <v>34</v>
          </cell>
          <cell r="J827">
            <v>0</v>
          </cell>
          <cell r="K827">
            <v>0</v>
          </cell>
          <cell r="L827">
            <v>0</v>
          </cell>
          <cell r="N827">
            <v>0</v>
          </cell>
          <cell r="R827">
            <v>0</v>
          </cell>
        </row>
        <row r="828">
          <cell r="F828" t="str">
            <v>14044-0563</v>
          </cell>
          <cell r="G828" t="str">
            <v>HOLDER-CABLE</v>
          </cell>
          <cell r="H828">
            <v>0</v>
          </cell>
          <cell r="I828">
            <v>132</v>
          </cell>
          <cell r="J828">
            <v>0</v>
          </cell>
          <cell r="K828">
            <v>0</v>
          </cell>
          <cell r="L828">
            <v>0</v>
          </cell>
          <cell r="N828">
            <v>0</v>
          </cell>
          <cell r="R828">
            <v>0</v>
          </cell>
        </row>
        <row r="829">
          <cell r="F829" t="str">
            <v>50134-K26-B000-20</v>
          </cell>
          <cell r="G829" t="e">
            <v>#N/A</v>
          </cell>
          <cell r="H829" t="e">
            <v>#N/A</v>
          </cell>
          <cell r="J829">
            <v>0</v>
          </cell>
          <cell r="K829" t="e">
            <v>#DIV/0!</v>
          </cell>
          <cell r="L829">
            <v>0</v>
          </cell>
          <cell r="N829">
            <v>0</v>
          </cell>
          <cell r="P829">
            <v>0</v>
          </cell>
        </row>
        <row r="830">
          <cell r="F830" t="str">
            <v>50159-K26-B000-20</v>
          </cell>
          <cell r="G830" t="e">
            <v>#N/A</v>
          </cell>
          <cell r="H830" t="e">
            <v>#N/A</v>
          </cell>
          <cell r="J830">
            <v>0</v>
          </cell>
          <cell r="K830" t="e">
            <v>#DIV/0!</v>
          </cell>
          <cell r="L830">
            <v>0</v>
          </cell>
          <cell r="N830">
            <v>0</v>
          </cell>
          <cell r="R830">
            <v>0</v>
          </cell>
        </row>
        <row r="831">
          <cell r="K831" t="e">
            <v>#DIV/0!</v>
          </cell>
        </row>
        <row r="832">
          <cell r="F832">
            <v>12</v>
          </cell>
          <cell r="G832" t="str">
            <v>TSGP1 (1410) คุณสมเดช  คุณกันนิกา</v>
          </cell>
          <cell r="K832" t="e">
            <v>#DIV/0!</v>
          </cell>
        </row>
        <row r="833">
          <cell r="F833">
            <v>30032985</v>
          </cell>
          <cell r="G833" t="e">
            <v>#N/A</v>
          </cell>
          <cell r="H833" t="e">
            <v>#N/A</v>
          </cell>
          <cell r="K833" t="e">
            <v>#DIV/0!</v>
          </cell>
          <cell r="N833">
            <v>100</v>
          </cell>
          <cell r="O833" t="e">
            <v>#DIV/0!</v>
          </cell>
        </row>
        <row r="834">
          <cell r="F834" t="str">
            <v>30032464-2</v>
          </cell>
          <cell r="G834" t="str">
            <v>END 1</v>
          </cell>
          <cell r="H834" t="str">
            <v>1FP-F2174-00</v>
          </cell>
          <cell r="I834">
            <v>18</v>
          </cell>
          <cell r="J834">
            <v>8400</v>
          </cell>
          <cell r="K834">
            <v>466.66666666666669</v>
          </cell>
          <cell r="L834">
            <v>6000</v>
          </cell>
          <cell r="M834">
            <v>333.33333333333331</v>
          </cell>
          <cell r="N834">
            <v>4600</v>
          </cell>
          <cell r="O834">
            <v>255.55555555555554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</row>
        <row r="835">
          <cell r="F835" t="str">
            <v>30032464-3</v>
          </cell>
          <cell r="G835" t="str">
            <v>BRKT RR CUSHION 1</v>
          </cell>
          <cell r="H835" t="str">
            <v>1FC-F213E-00</v>
          </cell>
          <cell r="I835">
            <v>20</v>
          </cell>
          <cell r="J835">
            <v>8400</v>
          </cell>
          <cell r="K835">
            <v>420</v>
          </cell>
          <cell r="L835">
            <v>6000</v>
          </cell>
          <cell r="M835">
            <v>300</v>
          </cell>
          <cell r="N835">
            <v>4600</v>
          </cell>
          <cell r="O835">
            <v>230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</row>
        <row r="836">
          <cell r="F836" t="str">
            <v>30032464-4</v>
          </cell>
          <cell r="G836" t="str">
            <v>STAY 3</v>
          </cell>
          <cell r="H836" t="str">
            <v>1FC-F2133-00</v>
          </cell>
          <cell r="I836">
            <v>37</v>
          </cell>
          <cell r="J836">
            <v>8400</v>
          </cell>
          <cell r="K836">
            <v>227.02702702702703</v>
          </cell>
          <cell r="L836">
            <v>6000</v>
          </cell>
          <cell r="M836">
            <v>162.16216216216216</v>
          </cell>
          <cell r="N836">
            <v>4600</v>
          </cell>
          <cell r="O836">
            <v>124.32432432432432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</row>
        <row r="837">
          <cell r="F837" t="str">
            <v>30032465-2</v>
          </cell>
          <cell r="G837" t="str">
            <v>END 2</v>
          </cell>
          <cell r="H837" t="str">
            <v>1FP-F2175-00</v>
          </cell>
          <cell r="I837">
            <v>18</v>
          </cell>
          <cell r="J837">
            <v>8400</v>
          </cell>
          <cell r="K837">
            <v>466.66666666666669</v>
          </cell>
          <cell r="L837">
            <v>6000</v>
          </cell>
          <cell r="M837">
            <v>333.33333333333331</v>
          </cell>
          <cell r="N837">
            <v>4600</v>
          </cell>
          <cell r="O837">
            <v>255.55555555555554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</row>
        <row r="838">
          <cell r="F838" t="str">
            <v>30032465-3</v>
          </cell>
          <cell r="G838" t="str">
            <v>BRKT RR CUSHION 2</v>
          </cell>
          <cell r="H838" t="str">
            <v>1FC-F213F-00</v>
          </cell>
          <cell r="I838">
            <v>20</v>
          </cell>
          <cell r="J838">
            <v>8400</v>
          </cell>
          <cell r="K838">
            <v>420</v>
          </cell>
          <cell r="L838">
            <v>6000</v>
          </cell>
          <cell r="M838">
            <v>300</v>
          </cell>
          <cell r="N838">
            <v>4600</v>
          </cell>
          <cell r="O838">
            <v>230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</row>
        <row r="839">
          <cell r="F839">
            <v>30021465</v>
          </cell>
          <cell r="G839" t="e">
            <v>#N/A</v>
          </cell>
          <cell r="H839" t="e">
            <v>#N/A</v>
          </cell>
          <cell r="I839">
            <v>1</v>
          </cell>
          <cell r="J839">
            <v>1100</v>
          </cell>
          <cell r="K839">
            <v>1100</v>
          </cell>
          <cell r="L839">
            <v>1100</v>
          </cell>
          <cell r="M839">
            <v>1100</v>
          </cell>
          <cell r="N839">
            <v>600</v>
          </cell>
          <cell r="O839">
            <v>600</v>
          </cell>
          <cell r="P839">
            <v>600</v>
          </cell>
          <cell r="Q839">
            <v>600</v>
          </cell>
          <cell r="R839">
            <v>600</v>
          </cell>
          <cell r="S839">
            <v>600</v>
          </cell>
          <cell r="T839">
            <v>600</v>
          </cell>
          <cell r="U839">
            <v>600</v>
          </cell>
          <cell r="V839">
            <v>600</v>
          </cell>
        </row>
        <row r="840">
          <cell r="F840">
            <v>30021464</v>
          </cell>
          <cell r="G840" t="e">
            <v>#N/A</v>
          </cell>
          <cell r="H840" t="e">
            <v>#N/A</v>
          </cell>
          <cell r="I840">
            <v>1</v>
          </cell>
          <cell r="J840">
            <v>3000</v>
          </cell>
          <cell r="K840">
            <v>3000</v>
          </cell>
          <cell r="L840">
            <v>3000</v>
          </cell>
          <cell r="M840">
            <v>3000</v>
          </cell>
          <cell r="N840">
            <v>2500</v>
          </cell>
          <cell r="O840">
            <v>2500</v>
          </cell>
          <cell r="P840">
            <v>2500</v>
          </cell>
          <cell r="Q840">
            <v>2500</v>
          </cell>
          <cell r="R840">
            <v>2500</v>
          </cell>
          <cell r="S840">
            <v>2500</v>
          </cell>
          <cell r="T840">
            <v>2500</v>
          </cell>
          <cell r="U840">
            <v>2500</v>
          </cell>
        </row>
        <row r="841">
          <cell r="F841">
            <v>30021460</v>
          </cell>
          <cell r="G841" t="e">
            <v>#N/A</v>
          </cell>
          <cell r="H841" t="e">
            <v>#N/A</v>
          </cell>
          <cell r="I841">
            <v>1</v>
          </cell>
          <cell r="J841">
            <v>500</v>
          </cell>
          <cell r="K841">
            <v>500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</row>
        <row r="842">
          <cell r="F842">
            <v>30021459</v>
          </cell>
          <cell r="G842" t="e">
            <v>#N/A</v>
          </cell>
          <cell r="H842" t="e">
            <v>#N/A</v>
          </cell>
          <cell r="J842">
            <v>0</v>
          </cell>
          <cell r="K842" t="e">
            <v>#DIV/0!</v>
          </cell>
          <cell r="L842">
            <v>0</v>
          </cell>
          <cell r="N842">
            <v>0</v>
          </cell>
          <cell r="P842">
            <v>0</v>
          </cell>
          <cell r="R842">
            <v>0</v>
          </cell>
          <cell r="V842">
            <v>0</v>
          </cell>
        </row>
        <row r="843">
          <cell r="F843">
            <v>30021461</v>
          </cell>
          <cell r="G843" t="e">
            <v>#N/A</v>
          </cell>
          <cell r="H843" t="e">
            <v>#N/A</v>
          </cell>
          <cell r="J843">
            <v>0</v>
          </cell>
          <cell r="K843" t="e">
            <v>#DIV/0!</v>
          </cell>
          <cell r="L843">
            <v>0</v>
          </cell>
          <cell r="N843">
            <v>0</v>
          </cell>
          <cell r="P843">
            <v>0</v>
          </cell>
          <cell r="R843">
            <v>0</v>
          </cell>
          <cell r="T843">
            <v>0</v>
          </cell>
        </row>
        <row r="844">
          <cell r="F844">
            <v>30021462</v>
          </cell>
          <cell r="G844" t="e">
            <v>#N/A</v>
          </cell>
          <cell r="H844" t="e">
            <v>#N/A</v>
          </cell>
          <cell r="J844">
            <v>0</v>
          </cell>
          <cell r="K844" t="e">
            <v>#DIV/0!</v>
          </cell>
          <cell r="L844">
            <v>0</v>
          </cell>
        </row>
        <row r="845">
          <cell r="F845">
            <v>30021409</v>
          </cell>
          <cell r="G845" t="e">
            <v>#N/A</v>
          </cell>
          <cell r="H845" t="e">
            <v>#N/A</v>
          </cell>
          <cell r="J845">
            <v>100</v>
          </cell>
          <cell r="K845" t="e">
            <v>#DIV/0!</v>
          </cell>
          <cell r="L845">
            <v>0</v>
          </cell>
          <cell r="N845">
            <v>0</v>
          </cell>
          <cell r="P845">
            <v>0</v>
          </cell>
          <cell r="R845">
            <v>100</v>
          </cell>
          <cell r="T845">
            <v>0</v>
          </cell>
        </row>
        <row r="846">
          <cell r="F846">
            <v>30021411</v>
          </cell>
          <cell r="G846" t="e">
            <v>#N/A</v>
          </cell>
          <cell r="H846" t="e">
            <v>#N/A</v>
          </cell>
          <cell r="J846">
            <v>0</v>
          </cell>
          <cell r="K846" t="e">
            <v>#DIV/0!</v>
          </cell>
          <cell r="L846">
            <v>0</v>
          </cell>
          <cell r="N846">
            <v>0</v>
          </cell>
          <cell r="P846">
            <v>0</v>
          </cell>
          <cell r="R846">
            <v>0</v>
          </cell>
          <cell r="T846">
            <v>0</v>
          </cell>
        </row>
        <row r="847">
          <cell r="F847">
            <v>30021412</v>
          </cell>
          <cell r="G847" t="e">
            <v>#N/A</v>
          </cell>
          <cell r="H847" t="e">
            <v>#N/A</v>
          </cell>
          <cell r="J847">
            <v>0</v>
          </cell>
          <cell r="K847" t="e">
            <v>#DIV/0!</v>
          </cell>
          <cell r="L847">
            <v>0</v>
          </cell>
          <cell r="N847">
            <v>0</v>
          </cell>
          <cell r="P847">
            <v>0</v>
          </cell>
          <cell r="R847">
            <v>0</v>
          </cell>
          <cell r="T847">
            <v>0</v>
          </cell>
        </row>
        <row r="848">
          <cell r="F848">
            <v>30022315</v>
          </cell>
          <cell r="G848" t="e">
            <v>#N/A</v>
          </cell>
          <cell r="H848" t="e">
            <v>#N/A</v>
          </cell>
          <cell r="J848">
            <v>0</v>
          </cell>
          <cell r="K848" t="e">
            <v>#DIV/0!</v>
          </cell>
          <cell r="L848">
            <v>0</v>
          </cell>
        </row>
        <row r="849">
          <cell r="F849">
            <v>30021471</v>
          </cell>
          <cell r="G849" t="e">
            <v>#N/A</v>
          </cell>
          <cell r="H849" t="e">
            <v>#N/A</v>
          </cell>
          <cell r="J849">
            <v>0</v>
          </cell>
          <cell r="K849" t="e">
            <v>#DIV/0!</v>
          </cell>
          <cell r="L849">
            <v>0</v>
          </cell>
        </row>
        <row r="850">
          <cell r="F850">
            <v>30021469</v>
          </cell>
          <cell r="G850" t="e">
            <v>#N/A</v>
          </cell>
          <cell r="H850" t="e">
            <v>#N/A</v>
          </cell>
          <cell r="J850">
            <v>0</v>
          </cell>
          <cell r="K850" t="e">
            <v>#DIV/0!</v>
          </cell>
          <cell r="L850">
            <v>0</v>
          </cell>
        </row>
        <row r="851">
          <cell r="F851">
            <v>30021470</v>
          </cell>
          <cell r="G851" t="e">
            <v>#N/A</v>
          </cell>
          <cell r="H851" t="e">
            <v>#N/A</v>
          </cell>
          <cell r="J851">
            <v>0</v>
          </cell>
          <cell r="K851" t="e">
            <v>#DIV/0!</v>
          </cell>
          <cell r="L851">
            <v>0</v>
          </cell>
        </row>
        <row r="852">
          <cell r="F852">
            <v>30020747</v>
          </cell>
          <cell r="G852" t="e">
            <v>#N/A</v>
          </cell>
          <cell r="H852" t="e">
            <v>#N/A</v>
          </cell>
          <cell r="J852">
            <v>600</v>
          </cell>
          <cell r="K852" t="e">
            <v>#DIV/0!</v>
          </cell>
          <cell r="L852">
            <v>1000</v>
          </cell>
          <cell r="N852">
            <v>1000</v>
          </cell>
          <cell r="P852">
            <v>1000</v>
          </cell>
          <cell r="R852">
            <v>800</v>
          </cell>
          <cell r="T852">
            <v>0</v>
          </cell>
        </row>
        <row r="853">
          <cell r="F853">
            <v>30020748</v>
          </cell>
          <cell r="G853" t="e">
            <v>#N/A</v>
          </cell>
          <cell r="H853" t="e">
            <v>#N/A</v>
          </cell>
          <cell r="J853">
            <v>600</v>
          </cell>
          <cell r="K853" t="e">
            <v>#DIV/0!</v>
          </cell>
          <cell r="L853">
            <v>1000</v>
          </cell>
          <cell r="N853">
            <v>1000</v>
          </cell>
          <cell r="P853">
            <v>1000</v>
          </cell>
          <cell r="R853">
            <v>800</v>
          </cell>
          <cell r="T853">
            <v>0</v>
          </cell>
        </row>
        <row r="854">
          <cell r="F854">
            <v>30020743</v>
          </cell>
          <cell r="G854" t="e">
            <v>#N/A</v>
          </cell>
          <cell r="H854" t="e">
            <v>#N/A</v>
          </cell>
          <cell r="J854">
            <v>600</v>
          </cell>
          <cell r="K854" t="e">
            <v>#DIV/0!</v>
          </cell>
          <cell r="L854">
            <v>1000</v>
          </cell>
          <cell r="N854">
            <v>1000</v>
          </cell>
          <cell r="P854">
            <v>1000</v>
          </cell>
          <cell r="R854">
            <v>800</v>
          </cell>
          <cell r="T854">
            <v>0</v>
          </cell>
        </row>
        <row r="855">
          <cell r="F855">
            <v>30020745</v>
          </cell>
          <cell r="G855" t="e">
            <v>#N/A</v>
          </cell>
          <cell r="H855" t="e">
            <v>#N/A</v>
          </cell>
          <cell r="J855">
            <v>600</v>
          </cell>
          <cell r="K855" t="e">
            <v>#DIV/0!</v>
          </cell>
          <cell r="L855">
            <v>1000</v>
          </cell>
          <cell r="N855">
            <v>1000</v>
          </cell>
          <cell r="P855">
            <v>1000</v>
          </cell>
          <cell r="R855">
            <v>800</v>
          </cell>
          <cell r="T855">
            <v>0</v>
          </cell>
        </row>
        <row r="856">
          <cell r="F856">
            <v>30020749</v>
          </cell>
          <cell r="G856" t="e">
            <v>#N/A</v>
          </cell>
          <cell r="H856" t="e">
            <v>#N/A</v>
          </cell>
          <cell r="J856">
            <v>600</v>
          </cell>
          <cell r="K856" t="e">
            <v>#DIV/0!</v>
          </cell>
          <cell r="L856">
            <v>1000</v>
          </cell>
          <cell r="N856">
            <v>1000</v>
          </cell>
          <cell r="P856">
            <v>1000</v>
          </cell>
          <cell r="R856">
            <v>800</v>
          </cell>
          <cell r="T856">
            <v>0</v>
          </cell>
        </row>
        <row r="857">
          <cell r="F857">
            <v>30022164</v>
          </cell>
          <cell r="G857" t="e">
            <v>#N/A</v>
          </cell>
          <cell r="H857" t="e">
            <v>#N/A</v>
          </cell>
          <cell r="J857">
            <v>0</v>
          </cell>
          <cell r="K857" t="e">
            <v>#DIV/0!</v>
          </cell>
          <cell r="L857">
            <v>0</v>
          </cell>
          <cell r="N857">
            <v>0</v>
          </cell>
          <cell r="P857">
            <v>0</v>
          </cell>
          <cell r="R857">
            <v>0</v>
          </cell>
        </row>
        <row r="858">
          <cell r="F858">
            <v>30022163</v>
          </cell>
          <cell r="G858" t="e">
            <v>#N/A</v>
          </cell>
          <cell r="H858" t="e">
            <v>#N/A</v>
          </cell>
          <cell r="J858">
            <v>0</v>
          </cell>
          <cell r="K858" t="e">
            <v>#DIV/0!</v>
          </cell>
        </row>
        <row r="859">
          <cell r="F859">
            <v>30032985</v>
          </cell>
          <cell r="G859" t="e">
            <v>#N/A</v>
          </cell>
          <cell r="H859" t="e">
            <v>#N/A</v>
          </cell>
          <cell r="J859">
            <v>0</v>
          </cell>
          <cell r="K859" t="e">
            <v>#DIV/0!</v>
          </cell>
          <cell r="L859">
            <v>0</v>
          </cell>
          <cell r="N859">
            <v>0</v>
          </cell>
          <cell r="P859">
            <v>100</v>
          </cell>
          <cell r="R859">
            <v>0</v>
          </cell>
          <cell r="T859">
            <v>0</v>
          </cell>
        </row>
        <row r="860">
          <cell r="F860">
            <v>30020809</v>
          </cell>
          <cell r="G860" t="e">
            <v>#N/A</v>
          </cell>
          <cell r="H860" t="e">
            <v>#N/A</v>
          </cell>
          <cell r="J860">
            <v>0</v>
          </cell>
          <cell r="K860" t="e">
            <v>#DIV/0!</v>
          </cell>
          <cell r="L860">
            <v>200</v>
          </cell>
          <cell r="N860">
            <v>0</v>
          </cell>
          <cell r="P860">
            <v>0</v>
          </cell>
          <cell r="R860">
            <v>0</v>
          </cell>
        </row>
        <row r="861">
          <cell r="F861">
            <v>30020741</v>
          </cell>
          <cell r="G861" t="e">
            <v>#N/A</v>
          </cell>
          <cell r="H861" t="e">
            <v>#N/A</v>
          </cell>
          <cell r="J861">
            <v>0</v>
          </cell>
          <cell r="K861" t="e">
            <v>#DIV/0!</v>
          </cell>
          <cell r="L861">
            <v>0</v>
          </cell>
          <cell r="N861">
            <v>0</v>
          </cell>
          <cell r="P861">
            <v>100</v>
          </cell>
          <cell r="R861">
            <v>0</v>
          </cell>
        </row>
        <row r="862">
          <cell r="F862">
            <v>30020742</v>
          </cell>
          <cell r="G862" t="e">
            <v>#N/A</v>
          </cell>
          <cell r="H862" t="e">
            <v>#N/A</v>
          </cell>
          <cell r="J862">
            <v>0</v>
          </cell>
          <cell r="K862" t="e">
            <v>#DIV/0!</v>
          </cell>
          <cell r="L862">
            <v>0</v>
          </cell>
          <cell r="N862">
            <v>0</v>
          </cell>
          <cell r="P862">
            <v>100</v>
          </cell>
          <cell r="R862">
            <v>0</v>
          </cell>
        </row>
        <row r="863">
          <cell r="F863" t="str">
            <v>30021420-2</v>
          </cell>
          <cell r="G863" t="str">
            <v>END 1</v>
          </cell>
          <cell r="H863" t="str">
            <v>5OP-F2171-00</v>
          </cell>
          <cell r="J863">
            <v>0</v>
          </cell>
          <cell r="K863" t="e">
            <v>#DIV/0!</v>
          </cell>
          <cell r="L863">
            <v>0</v>
          </cell>
          <cell r="N863">
            <v>0</v>
          </cell>
          <cell r="P863">
            <v>0</v>
          </cell>
          <cell r="R863">
            <v>0</v>
          </cell>
        </row>
        <row r="864">
          <cell r="F864">
            <v>30021439</v>
          </cell>
          <cell r="G864" t="e">
            <v>#N/A</v>
          </cell>
          <cell r="H864" t="e">
            <v>#N/A</v>
          </cell>
          <cell r="K864" t="e">
            <v>#DIV/0!</v>
          </cell>
        </row>
        <row r="865">
          <cell r="F865">
            <v>30021440</v>
          </cell>
          <cell r="G865" t="e">
            <v>#N/A</v>
          </cell>
          <cell r="H865" t="e">
            <v>#N/A</v>
          </cell>
          <cell r="I865">
            <v>24</v>
          </cell>
          <cell r="K865">
            <v>0</v>
          </cell>
        </row>
        <row r="866">
          <cell r="F866">
            <v>30020031</v>
          </cell>
          <cell r="G866" t="e">
            <v>#N/A</v>
          </cell>
          <cell r="H866" t="e">
            <v>#N/A</v>
          </cell>
          <cell r="K866" t="e">
            <v>#DIV/0!</v>
          </cell>
        </row>
        <row r="867">
          <cell r="F867">
            <v>30020032</v>
          </cell>
          <cell r="G867" t="e">
            <v>#N/A</v>
          </cell>
          <cell r="H867" t="e">
            <v>#N/A</v>
          </cell>
          <cell r="K867" t="e">
            <v>#DIV/0!</v>
          </cell>
        </row>
        <row r="868">
          <cell r="F868">
            <v>30021456</v>
          </cell>
          <cell r="G868" t="e">
            <v>#N/A</v>
          </cell>
          <cell r="H868" t="e">
            <v>#N/A</v>
          </cell>
          <cell r="K868" t="e">
            <v>#DIV/0!</v>
          </cell>
        </row>
        <row r="869">
          <cell r="F869">
            <v>30023728</v>
          </cell>
          <cell r="G869" t="e">
            <v>#N/A</v>
          </cell>
          <cell r="H869" t="e">
            <v>#N/A</v>
          </cell>
          <cell r="K869" t="e">
            <v>#DIV/0!</v>
          </cell>
        </row>
        <row r="870">
          <cell r="F870">
            <v>30023729</v>
          </cell>
          <cell r="G870" t="e">
            <v>#N/A</v>
          </cell>
          <cell r="H870" t="e">
            <v>#N/A</v>
          </cell>
          <cell r="K870" t="e">
            <v>#DIV/0!</v>
          </cell>
        </row>
        <row r="871">
          <cell r="F871">
            <v>13</v>
          </cell>
          <cell r="G871" t="str">
            <v>เอส วาย เอส</v>
          </cell>
          <cell r="K871" t="e">
            <v>#DIV/0!</v>
          </cell>
        </row>
        <row r="872">
          <cell r="F872" t="str">
            <v>SYS046</v>
          </cell>
          <cell r="G872" t="str">
            <v>HOOK MAIN STAND SPRING</v>
          </cell>
          <cell r="H872" t="str">
            <v>50523-KWW-C001</v>
          </cell>
          <cell r="J872">
            <v>0</v>
          </cell>
          <cell r="K872" t="e">
            <v>#DIV/0!</v>
          </cell>
          <cell r="L872">
            <v>0</v>
          </cell>
          <cell r="N872">
            <v>0</v>
          </cell>
          <cell r="P872">
            <v>0</v>
          </cell>
          <cell r="R872">
            <v>0</v>
          </cell>
          <cell r="T872">
            <v>0</v>
          </cell>
        </row>
        <row r="873">
          <cell r="F873" t="str">
            <v>SYS048</v>
          </cell>
          <cell r="G873" t="str">
            <v>CLAMPER B FR BRAKE HOSE</v>
          </cell>
          <cell r="H873" t="str">
            <v>45157-K26-9000</v>
          </cell>
          <cell r="I873">
            <v>12</v>
          </cell>
          <cell r="J873">
            <v>0</v>
          </cell>
          <cell r="K873">
            <v>0</v>
          </cell>
          <cell r="L873">
            <v>0</v>
          </cell>
          <cell r="N873">
            <v>0</v>
          </cell>
          <cell r="P873">
            <v>0</v>
          </cell>
          <cell r="R873">
            <v>0</v>
          </cell>
        </row>
        <row r="874">
          <cell r="F874" t="str">
            <v>SYS049</v>
          </cell>
          <cell r="G874" t="str">
            <v>CLAMPER RR BRAKE HOSE</v>
          </cell>
          <cell r="H874" t="str">
            <v>43155-K15-9000</v>
          </cell>
          <cell r="J874">
            <v>0</v>
          </cell>
          <cell r="K874" t="e">
            <v>#DIV/0!</v>
          </cell>
          <cell r="L874">
            <v>0</v>
          </cell>
          <cell r="N874">
            <v>0</v>
          </cell>
          <cell r="P874">
            <v>0</v>
          </cell>
          <cell r="R874">
            <v>0</v>
          </cell>
        </row>
        <row r="875">
          <cell r="F875" t="str">
            <v>SYS050</v>
          </cell>
          <cell r="G875" t="str">
            <v>COVER OIL FILTER</v>
          </cell>
          <cell r="H875" t="str">
            <v>15441-K26A-9000</v>
          </cell>
          <cell r="I875">
            <v>16</v>
          </cell>
          <cell r="K875">
            <v>0</v>
          </cell>
        </row>
        <row r="876">
          <cell r="G876" t="str">
            <v>STAY RR L UNDER COWL</v>
          </cell>
          <cell r="H876" t="str">
            <v>64326-MGZ-J000</v>
          </cell>
          <cell r="J876">
            <v>0</v>
          </cell>
          <cell r="K876" t="e">
            <v>#DIV/0!</v>
          </cell>
          <cell r="L876">
            <v>0</v>
          </cell>
          <cell r="N876">
            <v>0</v>
          </cell>
          <cell r="P876">
            <v>0</v>
          </cell>
          <cell r="R876">
            <v>0</v>
          </cell>
          <cell r="T876">
            <v>0</v>
          </cell>
        </row>
        <row r="877">
          <cell r="F877" t="str">
            <v>SYS052</v>
          </cell>
          <cell r="G877" t="str">
            <v>STAY RR L UNDER COWL</v>
          </cell>
          <cell r="H877" t="str">
            <v>61325-KZZA-9000-20</v>
          </cell>
          <cell r="I877">
            <v>23</v>
          </cell>
          <cell r="J877">
            <v>0</v>
          </cell>
          <cell r="K877">
            <v>0</v>
          </cell>
          <cell r="L877">
            <v>0</v>
          </cell>
          <cell r="N877">
            <v>0</v>
          </cell>
        </row>
        <row r="878">
          <cell r="G878" t="str">
            <v>STAY FR FUEL TANK</v>
          </cell>
          <cell r="H878" t="str">
            <v>50128-KPW-9000-H1</v>
          </cell>
          <cell r="K878" t="e">
            <v>#DIV/0!</v>
          </cell>
        </row>
        <row r="879">
          <cell r="F879" t="str">
            <v>SYS007</v>
          </cell>
          <cell r="G879" t="e">
            <v>#N/A</v>
          </cell>
          <cell r="H879" t="e">
            <v>#N/A</v>
          </cell>
          <cell r="K879" t="e">
            <v>#DIV/0!</v>
          </cell>
        </row>
        <row r="880">
          <cell r="F880" t="str">
            <v>sys030</v>
          </cell>
          <cell r="G880" t="str">
            <v>STAY R/L  "STAY FR TOP"</v>
          </cell>
          <cell r="K880" t="e">
            <v>#DIV/0!</v>
          </cell>
        </row>
        <row r="881">
          <cell r="F881" t="str">
            <v>SYS029</v>
          </cell>
          <cell r="G881" t="str">
            <v>STAY HORN "STAY FR TOP"</v>
          </cell>
          <cell r="K881" t="e">
            <v>#DIV/0!</v>
          </cell>
        </row>
        <row r="882">
          <cell r="F882" t="str">
            <v>SYS042</v>
          </cell>
          <cell r="G882" t="str">
            <v>PLATE COMP RR ROPE HOOK</v>
          </cell>
          <cell r="H882" t="str">
            <v>80117-K20A-9000</v>
          </cell>
          <cell r="I882">
            <v>21</v>
          </cell>
          <cell r="K882">
            <v>0</v>
          </cell>
        </row>
        <row r="883">
          <cell r="F883" t="str">
            <v>SYS058-1</v>
          </cell>
          <cell r="G883" t="str">
            <v>BAND A INSULATOR</v>
          </cell>
          <cell r="H883" t="str">
            <v>16217-MJE-D000</v>
          </cell>
          <cell r="J883">
            <v>0</v>
          </cell>
          <cell r="K883" t="e">
            <v>#DIV/0!</v>
          </cell>
          <cell r="L883">
            <v>0</v>
          </cell>
          <cell r="N883">
            <v>0</v>
          </cell>
          <cell r="P883">
            <v>0</v>
          </cell>
          <cell r="R883">
            <v>0</v>
          </cell>
        </row>
        <row r="884">
          <cell r="F884" t="str">
            <v>SYS058-2</v>
          </cell>
          <cell r="G884" t="str">
            <v>COLLAR (A)  16217-MJE-D000</v>
          </cell>
          <cell r="H884" t="str">
            <v>16222-MJEA-D000-H1</v>
          </cell>
          <cell r="I884">
            <v>240</v>
          </cell>
          <cell r="J884">
            <v>0</v>
          </cell>
          <cell r="K884">
            <v>0</v>
          </cell>
          <cell r="L884">
            <v>0</v>
          </cell>
          <cell r="N884">
            <v>0</v>
          </cell>
          <cell r="P884">
            <v>0</v>
          </cell>
          <cell r="R884">
            <v>0</v>
          </cell>
        </row>
        <row r="885">
          <cell r="F885" t="str">
            <v>SYS059-1</v>
          </cell>
          <cell r="G885" t="str">
            <v>BAND B INSULATOR</v>
          </cell>
          <cell r="H885" t="str">
            <v>16221-MJEA-D000</v>
          </cell>
          <cell r="J885">
            <v>0</v>
          </cell>
          <cell r="K885" t="e">
            <v>#DIV/0!</v>
          </cell>
          <cell r="L885">
            <v>0</v>
          </cell>
          <cell r="N885">
            <v>0</v>
          </cell>
          <cell r="P885">
            <v>0</v>
          </cell>
          <cell r="R885">
            <v>0</v>
          </cell>
        </row>
        <row r="886">
          <cell r="F886" t="str">
            <v>SYS059-2</v>
          </cell>
          <cell r="G886" t="str">
            <v>COLLAR (B)  16221-MJEA-D000</v>
          </cell>
          <cell r="H886" t="str">
            <v>16223-MJEA-D000-H1</v>
          </cell>
          <cell r="I886">
            <v>240</v>
          </cell>
          <cell r="J886">
            <v>0</v>
          </cell>
          <cell r="K886">
            <v>0</v>
          </cell>
          <cell r="L886">
            <v>0</v>
          </cell>
          <cell r="N886">
            <v>0</v>
          </cell>
          <cell r="P886">
            <v>0</v>
          </cell>
          <cell r="R886">
            <v>0</v>
          </cell>
        </row>
        <row r="887">
          <cell r="F887" t="str">
            <v>SYS057</v>
          </cell>
          <cell r="G887" t="str">
            <v>STAY RES TANK</v>
          </cell>
          <cell r="H887" t="str">
            <v>19102-MJE-D000</v>
          </cell>
          <cell r="J887">
            <v>0</v>
          </cell>
          <cell r="K887" t="e">
            <v>#DIV/0!</v>
          </cell>
          <cell r="L887">
            <v>0</v>
          </cell>
          <cell r="N887">
            <v>0</v>
          </cell>
          <cell r="P887">
            <v>0</v>
          </cell>
          <cell r="R887">
            <v>0</v>
          </cell>
          <cell r="T887">
            <v>0</v>
          </cell>
        </row>
        <row r="888">
          <cell r="F888" t="str">
            <v>SYS060</v>
          </cell>
          <cell r="G888" t="str">
            <v>PLATE CHIN GUIDE</v>
          </cell>
          <cell r="H888" t="str">
            <v>11356-MJE-D000</v>
          </cell>
          <cell r="I888">
            <v>10</v>
          </cell>
          <cell r="K888">
            <v>0</v>
          </cell>
          <cell r="L888">
            <v>0</v>
          </cell>
          <cell r="N888">
            <v>0</v>
          </cell>
          <cell r="P888">
            <v>0</v>
          </cell>
          <cell r="R888">
            <v>0</v>
          </cell>
        </row>
        <row r="889">
          <cell r="F889" t="str">
            <v>SYS061</v>
          </cell>
          <cell r="G889" t="str">
            <v>CLAMP PULSE GEN CRD</v>
          </cell>
          <cell r="H889" t="str">
            <v>11334-MJE-D000</v>
          </cell>
          <cell r="I889">
            <v>43</v>
          </cell>
          <cell r="J889">
            <v>0</v>
          </cell>
          <cell r="K889">
            <v>0</v>
          </cell>
          <cell r="L889">
            <v>0</v>
          </cell>
          <cell r="N889">
            <v>0</v>
          </cell>
          <cell r="P889">
            <v>0</v>
          </cell>
          <cell r="R889">
            <v>0</v>
          </cell>
          <cell r="T889">
            <v>0</v>
          </cell>
          <cell r="V889">
            <v>0</v>
          </cell>
        </row>
        <row r="890">
          <cell r="F890" t="str">
            <v>SYS062</v>
          </cell>
          <cell r="G890" t="str">
            <v>CLAMP ACG CORD</v>
          </cell>
          <cell r="H890" t="str">
            <v>11333-MJE-D000</v>
          </cell>
          <cell r="I890">
            <v>58</v>
          </cell>
          <cell r="K890">
            <v>0</v>
          </cell>
          <cell r="L890">
            <v>0</v>
          </cell>
        </row>
        <row r="891">
          <cell r="F891" t="str">
            <v>SYS063</v>
          </cell>
          <cell r="G891" t="str">
            <v>BRKT CUSH RR (SUP BRKT CUSH)</v>
          </cell>
          <cell r="H891" t="str">
            <v>50100-K26A-9000</v>
          </cell>
          <cell r="J891">
            <v>0</v>
          </cell>
          <cell r="K891" t="e">
            <v>#DIV/0!</v>
          </cell>
          <cell r="L891">
            <v>0</v>
          </cell>
          <cell r="N891">
            <v>0</v>
          </cell>
          <cell r="P891">
            <v>0</v>
          </cell>
          <cell r="R891">
            <v>0</v>
          </cell>
          <cell r="T891">
            <v>0</v>
          </cell>
        </row>
        <row r="892">
          <cell r="F892" t="str">
            <v>SYS064</v>
          </cell>
          <cell r="G892" t="str">
            <v>PLATE (SUP BRKT CUSH)</v>
          </cell>
          <cell r="H892" t="str">
            <v>60100-K26A-9000</v>
          </cell>
          <cell r="J892">
            <v>0</v>
          </cell>
          <cell r="K892" t="e">
            <v>#DIV/0!</v>
          </cell>
          <cell r="L892">
            <v>0</v>
          </cell>
          <cell r="N892">
            <v>0</v>
          </cell>
          <cell r="P892">
            <v>0</v>
          </cell>
          <cell r="R892">
            <v>0</v>
          </cell>
        </row>
        <row r="893">
          <cell r="F893" t="str">
            <v>SYS066</v>
          </cell>
          <cell r="G893" t="str">
            <v>GUSSET, (RH+LH)</v>
          </cell>
          <cell r="H893" t="str">
            <v>81350-KVSP-J402-(27+28)</v>
          </cell>
          <cell r="J893">
            <v>0</v>
          </cell>
          <cell r="K893" t="e">
            <v>#DIV/0!</v>
          </cell>
          <cell r="L893">
            <v>0</v>
          </cell>
          <cell r="N893">
            <v>0</v>
          </cell>
          <cell r="P893">
            <v>0</v>
          </cell>
          <cell r="R893">
            <v>0</v>
          </cell>
          <cell r="V893" t="str">
            <v>.</v>
          </cell>
        </row>
        <row r="894">
          <cell r="F894" t="str">
            <v>SYS067</v>
          </cell>
          <cell r="G894" t="str">
            <v>PATCH</v>
          </cell>
          <cell r="H894" t="str">
            <v>81350-KVSP-J400-34</v>
          </cell>
          <cell r="J894">
            <v>0</v>
          </cell>
          <cell r="K894" t="e">
            <v>#DIV/0!</v>
          </cell>
          <cell r="L894">
            <v>0</v>
          </cell>
          <cell r="N894">
            <v>0</v>
          </cell>
          <cell r="P894">
            <v>0</v>
          </cell>
          <cell r="R894">
            <v>0</v>
          </cell>
          <cell r="T894">
            <v>0</v>
          </cell>
          <cell r="V894" t="str">
            <v>.</v>
          </cell>
        </row>
        <row r="895">
          <cell r="F895" t="str">
            <v>SYS049-1</v>
          </cell>
          <cell r="G895" t="str">
            <v>STAY RR FUEL TANK</v>
          </cell>
          <cell r="H895" t="str">
            <v>17560-K87-A000-H1</v>
          </cell>
          <cell r="J895">
            <v>0</v>
          </cell>
          <cell r="K895" t="e">
            <v>#DIV/0!</v>
          </cell>
          <cell r="L895">
            <v>0</v>
          </cell>
          <cell r="N895">
            <v>0</v>
          </cell>
          <cell r="P895">
            <v>0</v>
          </cell>
          <cell r="R895">
            <v>0</v>
          </cell>
        </row>
        <row r="896">
          <cell r="F896" t="str">
            <v>SYS049-2</v>
          </cell>
          <cell r="G896" t="str">
            <v>STAY RR FUEL TANK</v>
          </cell>
          <cell r="H896" t="str">
            <v>17560-K87-A000-H1</v>
          </cell>
          <cell r="I896">
            <v>66</v>
          </cell>
          <cell r="J896">
            <v>0</v>
          </cell>
          <cell r="K896">
            <v>0</v>
          </cell>
          <cell r="L896">
            <v>0</v>
          </cell>
          <cell r="N896">
            <v>0</v>
          </cell>
          <cell r="P896">
            <v>0</v>
          </cell>
          <cell r="R896">
            <v>0</v>
          </cell>
        </row>
        <row r="897">
          <cell r="F897" t="str">
            <v>SYS048-2+SYS049-2</v>
          </cell>
          <cell r="G897" t="str">
            <v>STAY RR FUEL TANK</v>
          </cell>
          <cell r="H897" t="str">
            <v>17560-MKGA-A000-H1</v>
          </cell>
          <cell r="I897">
            <v>66</v>
          </cell>
          <cell r="J897">
            <v>0</v>
          </cell>
          <cell r="K897">
            <v>0</v>
          </cell>
          <cell r="L897">
            <v>0</v>
          </cell>
          <cell r="N897">
            <v>0</v>
          </cell>
          <cell r="P897">
            <v>0</v>
          </cell>
          <cell r="R897">
            <v>0</v>
          </cell>
        </row>
        <row r="898">
          <cell r="F898" t="str">
            <v>SYS048-1</v>
          </cell>
          <cell r="G898" t="str">
            <v>STAY RR FUEL TANK</v>
          </cell>
          <cell r="H898" t="str">
            <v>17560-MKGA-A000-H1</v>
          </cell>
          <cell r="I898">
            <v>12</v>
          </cell>
          <cell r="J898">
            <v>0</v>
          </cell>
          <cell r="K898">
            <v>0</v>
          </cell>
          <cell r="L898">
            <v>0</v>
          </cell>
          <cell r="N898">
            <v>0</v>
          </cell>
          <cell r="P898">
            <v>0</v>
          </cell>
          <cell r="R898">
            <v>0</v>
          </cell>
        </row>
        <row r="899">
          <cell r="F899" t="str">
            <v>SYS001</v>
          </cell>
          <cell r="G899" t="str">
            <v>WASHER "COLLAR"</v>
          </cell>
          <cell r="H899" t="str">
            <v>90502-KPW-9000</v>
          </cell>
          <cell r="I899">
            <v>108</v>
          </cell>
          <cell r="J899">
            <v>0</v>
          </cell>
          <cell r="K899">
            <v>0</v>
          </cell>
          <cell r="L899">
            <v>0</v>
          </cell>
          <cell r="N899">
            <v>0</v>
          </cell>
          <cell r="P899">
            <v>0</v>
          </cell>
          <cell r="R899">
            <v>0</v>
          </cell>
        </row>
        <row r="900">
          <cell r="F900" t="str">
            <v>SYS082-1</v>
          </cell>
          <cell r="G900" t="str">
            <v>BRACKET  ( 64221-K2JH-T800-20)</v>
          </cell>
          <cell r="H900" t="str">
            <v>64221-K2JA-T100-20</v>
          </cell>
          <cell r="J900">
            <v>0</v>
          </cell>
          <cell r="K900" t="e">
            <v>#DIV/0!</v>
          </cell>
          <cell r="L900">
            <v>0</v>
          </cell>
          <cell r="N900">
            <v>0</v>
          </cell>
          <cell r="P900">
            <v>0</v>
          </cell>
          <cell r="R900">
            <v>0</v>
          </cell>
          <cell r="T900">
            <v>0</v>
          </cell>
          <cell r="V900">
            <v>0</v>
          </cell>
        </row>
        <row r="901">
          <cell r="F901" t="str">
            <v>SYS082-2</v>
          </cell>
          <cell r="G901" t="str">
            <v>STAY   ( 64221-K2JH-T800-21)</v>
          </cell>
          <cell r="H901" t="str">
            <v>64221-K2JA-T102-21</v>
          </cell>
          <cell r="J901">
            <v>0</v>
          </cell>
          <cell r="K901" t="e">
            <v>#DIV/0!</v>
          </cell>
          <cell r="L901">
            <v>0</v>
          </cell>
          <cell r="N901">
            <v>0</v>
          </cell>
          <cell r="P901">
            <v>0</v>
          </cell>
          <cell r="R901">
            <v>0</v>
          </cell>
          <cell r="T901">
            <v>0</v>
          </cell>
          <cell r="V901">
            <v>0</v>
          </cell>
        </row>
        <row r="902">
          <cell r="F902" t="str">
            <v>SYS082-5</v>
          </cell>
          <cell r="G902" t="str">
            <v>STAY   ( 64221-K2JH-T800-24)</v>
          </cell>
          <cell r="H902" t="str">
            <v>64221-K2JA-T102-24</v>
          </cell>
          <cell r="J902">
            <v>0</v>
          </cell>
          <cell r="K902" t="e">
            <v>#DIV/0!</v>
          </cell>
          <cell r="L902">
            <v>0</v>
          </cell>
          <cell r="N902">
            <v>0</v>
          </cell>
          <cell r="P902">
            <v>0</v>
          </cell>
          <cell r="R902">
            <v>0</v>
          </cell>
          <cell r="T902">
            <v>0</v>
          </cell>
          <cell r="V902">
            <v>0</v>
          </cell>
        </row>
        <row r="903">
          <cell r="F903" t="str">
            <v>SYS055</v>
          </cell>
          <cell r="G903" t="str">
            <v>STAY FR FUEL TANK</v>
          </cell>
          <cell r="H903" t="str">
            <v>50126-KPW-9000-H1</v>
          </cell>
          <cell r="I903">
            <v>18</v>
          </cell>
          <cell r="K903">
            <v>0</v>
          </cell>
        </row>
        <row r="904">
          <cell r="F904" t="str">
            <v>SYS033</v>
          </cell>
          <cell r="G904" t="e">
            <v>#N/A</v>
          </cell>
          <cell r="H904" t="e">
            <v>#N/A</v>
          </cell>
          <cell r="K904" t="e">
            <v>#DIV/0!</v>
          </cell>
        </row>
        <row r="905">
          <cell r="F905" t="str">
            <v>SYS047</v>
          </cell>
          <cell r="G905" t="e">
            <v>#N/A</v>
          </cell>
          <cell r="H905" t="e">
            <v>#N/A</v>
          </cell>
          <cell r="K905" t="e">
            <v>#DIV/0!</v>
          </cell>
        </row>
        <row r="906">
          <cell r="F906" t="str">
            <v>SYS080+081-1</v>
          </cell>
          <cell r="G906" t="str">
            <v>BRKT "STAY FR TOP"</v>
          </cell>
          <cell r="H906">
            <v>0</v>
          </cell>
          <cell r="I906">
            <v>14</v>
          </cell>
          <cell r="K906">
            <v>0</v>
          </cell>
          <cell r="L906">
            <v>0</v>
          </cell>
          <cell r="N906">
            <v>0</v>
          </cell>
          <cell r="P906">
            <v>0</v>
          </cell>
          <cell r="R906">
            <v>0</v>
          </cell>
          <cell r="T906">
            <v>0</v>
          </cell>
        </row>
        <row r="907">
          <cell r="K907" t="e">
            <v>#DIV/0!</v>
          </cell>
        </row>
        <row r="908">
          <cell r="K908" t="e">
            <v>#DIV/0!</v>
          </cell>
        </row>
        <row r="909">
          <cell r="K909" t="e">
            <v>#DIV/0!</v>
          </cell>
        </row>
        <row r="910">
          <cell r="F910">
            <v>14</v>
          </cell>
          <cell r="G910" t="str">
            <v>วายเอสเอส  ไม่ต้องทำ ซื้อ csp ที่เดียว</v>
          </cell>
          <cell r="K910" t="e">
            <v>#DIV/0!</v>
          </cell>
        </row>
        <row r="911">
          <cell r="F911" t="str">
            <v>YSS031</v>
          </cell>
          <cell r="G911" t="str">
            <v>STEEL CUP 19/30.5</v>
          </cell>
          <cell r="H911" t="str">
            <v>2A47-181-01</v>
          </cell>
          <cell r="I911">
            <v>76</v>
          </cell>
          <cell r="K911">
            <v>0</v>
          </cell>
        </row>
        <row r="912">
          <cell r="F912" t="str">
            <v>YSS032</v>
          </cell>
          <cell r="G912" t="str">
            <v>STEEL CUP 24/35</v>
          </cell>
          <cell r="H912" t="str">
            <v>2A47-190-00</v>
          </cell>
          <cell r="I912">
            <v>54</v>
          </cell>
          <cell r="K912">
            <v>0</v>
          </cell>
        </row>
        <row r="913">
          <cell r="F913" t="str">
            <v>YSS003</v>
          </cell>
          <cell r="G913" t="str">
            <v>STEEL CUP 31.6 MM.</v>
          </cell>
          <cell r="H913" t="str">
            <v>2A47-152-03</v>
          </cell>
          <cell r="I913">
            <v>27</v>
          </cell>
          <cell r="K913">
            <v>0</v>
          </cell>
        </row>
        <row r="914">
          <cell r="F914" t="str">
            <v>YSS008</v>
          </cell>
          <cell r="G914" t="str">
            <v>STEEL FORK 33*28*32*M10 MM NO BUR</v>
          </cell>
          <cell r="H914" t="str">
            <v>2A25-779-02</v>
          </cell>
          <cell r="I914">
            <v>41</v>
          </cell>
          <cell r="K914">
            <v>0</v>
          </cell>
        </row>
        <row r="915">
          <cell r="F915" t="str">
            <v>YSS007</v>
          </cell>
          <cell r="G915" t="str">
            <v>STEEL FORK 20*28*32*M8*1.25 BUR</v>
          </cell>
          <cell r="H915" t="str">
            <v>2A25-727-03</v>
          </cell>
          <cell r="I915">
            <v>41</v>
          </cell>
          <cell r="K915">
            <v>0</v>
          </cell>
        </row>
        <row r="916">
          <cell r="F916" t="str">
            <v>YSS010</v>
          </cell>
          <cell r="G916" t="str">
            <v>STEEL FORK 48*28*32*10 MM NO BUR</v>
          </cell>
          <cell r="H916" t="str">
            <v>2A25-725-01</v>
          </cell>
          <cell r="I916">
            <v>41</v>
          </cell>
          <cell r="K916">
            <v>0</v>
          </cell>
        </row>
        <row r="917">
          <cell r="F917" t="str">
            <v>YSS035</v>
          </cell>
          <cell r="G917" t="str">
            <v>STEEL FORK 20*28*32*M10*1.25BUR</v>
          </cell>
          <cell r="H917" t="str">
            <v>2A25-726-02</v>
          </cell>
          <cell r="I917">
            <v>41</v>
          </cell>
          <cell r="K917">
            <v>0</v>
          </cell>
        </row>
        <row r="918">
          <cell r="F918" t="str">
            <v>YSS034</v>
          </cell>
          <cell r="G918" t="str">
            <v>STEEL FORK 20*28*32*10 MM./MTO.</v>
          </cell>
          <cell r="H918" t="str">
            <v>2A25-728-00</v>
          </cell>
          <cell r="K918" t="e">
            <v>#DIV/0!</v>
          </cell>
        </row>
        <row r="919">
          <cell r="F919" t="str">
            <v>YSS011-1</v>
          </cell>
          <cell r="G919" t="str">
            <v>SIDE BRACKET FORK 35*38 60 FOR VD222</v>
          </cell>
          <cell r="H919" t="str">
            <v>2A25-101-03</v>
          </cell>
          <cell r="I919">
            <v>19</v>
          </cell>
          <cell r="K919">
            <v>0</v>
          </cell>
        </row>
        <row r="920">
          <cell r="F920" t="str">
            <v>YSS011-3</v>
          </cell>
          <cell r="G920" t="str">
            <v>SIDE BRACKET FORK 35*38 60 FOR VD222</v>
          </cell>
          <cell r="H920" t="str">
            <v>2A25-103-01</v>
          </cell>
          <cell r="I920">
            <v>19</v>
          </cell>
          <cell r="K920">
            <v>0</v>
          </cell>
        </row>
        <row r="921">
          <cell r="F921" t="str">
            <v>2A25-722-01</v>
          </cell>
          <cell r="G921" t="str">
            <v>SIDE BRACKET FORK 22*27*31*M10*1.25 BUR</v>
          </cell>
          <cell r="H921" t="str">
            <v>2A25-722-01</v>
          </cell>
          <cell r="I921">
            <v>4.21</v>
          </cell>
          <cell r="K921">
            <v>0</v>
          </cell>
        </row>
        <row r="922">
          <cell r="F922" t="str">
            <v>YSS032</v>
          </cell>
          <cell r="G922" t="str">
            <v>STEEL CUP 24/42</v>
          </cell>
          <cell r="H922" t="str">
            <v>2A47-184-04</v>
          </cell>
          <cell r="I922">
            <v>54</v>
          </cell>
          <cell r="K922">
            <v>0</v>
          </cell>
        </row>
        <row r="923">
          <cell r="F923" t="str">
            <v>YSS002-1</v>
          </cell>
          <cell r="G923" t="str">
            <v>STEEL CUP 30.1 MM.</v>
          </cell>
          <cell r="H923" t="str">
            <v>2A47-151-06</v>
          </cell>
          <cell r="I923">
            <v>27</v>
          </cell>
          <cell r="K923">
            <v>0</v>
          </cell>
        </row>
        <row r="924">
          <cell r="F924" t="str">
            <v>YSS008-1</v>
          </cell>
          <cell r="G924" t="str">
            <v>STEEL FORK 33*28*32*12 MM NO BUR</v>
          </cell>
          <cell r="H924" t="str">
            <v>2A25-740-00</v>
          </cell>
          <cell r="I924">
            <v>41</v>
          </cell>
          <cell r="K924">
            <v>0</v>
          </cell>
        </row>
        <row r="925">
          <cell r="F925" t="str">
            <v>YSS009</v>
          </cell>
          <cell r="G925" t="str">
            <v>STEEL FORK 36*28*32*M10*1.25  BUR</v>
          </cell>
          <cell r="H925" t="str">
            <v>2A25-200-00</v>
          </cell>
          <cell r="K925" t="e">
            <v>#DIV/0!</v>
          </cell>
        </row>
        <row r="926">
          <cell r="F926" t="str">
            <v>YSS012-1</v>
          </cell>
          <cell r="G926" t="str">
            <v>SIDE BRKT FORT 23*28/38*8.5/60</v>
          </cell>
          <cell r="H926" t="str">
            <v>2A25-101-03</v>
          </cell>
          <cell r="I926">
            <v>18</v>
          </cell>
          <cell r="K926">
            <v>0</v>
          </cell>
        </row>
        <row r="927">
          <cell r="F927" t="str">
            <v>YSS011-1</v>
          </cell>
          <cell r="G927" t="str">
            <v>SIDE BRKT MAIN 27*28/38*8.5*35*6</v>
          </cell>
          <cell r="H927" t="str">
            <v>2A25-101-03</v>
          </cell>
          <cell r="I927">
            <v>19</v>
          </cell>
          <cell r="K927">
            <v>0</v>
          </cell>
        </row>
        <row r="928">
          <cell r="F928">
            <v>15</v>
          </cell>
          <cell r="G928" t="str">
            <v>วายเอสเอส  ไม่ต้องทำ ซื้อ csp ที่เดียว</v>
          </cell>
          <cell r="K928" t="e">
            <v>#DIV/0!</v>
          </cell>
        </row>
        <row r="929">
          <cell r="F929" t="str">
            <v>YSS014</v>
          </cell>
          <cell r="G929" t="e">
            <v>#N/A</v>
          </cell>
          <cell r="H929" t="e">
            <v>#N/A</v>
          </cell>
          <cell r="J929">
            <v>0</v>
          </cell>
          <cell r="K929" t="e">
            <v>#DIV/0!</v>
          </cell>
          <cell r="L929">
            <v>0</v>
          </cell>
        </row>
        <row r="930">
          <cell r="F930" t="str">
            <v>YSS046</v>
          </cell>
          <cell r="G930" t="str">
            <v>COVER DREAM SUPPER 26*50*95 CHOME</v>
          </cell>
          <cell r="H930" t="str">
            <v>2A40-010-10</v>
          </cell>
          <cell r="I930">
            <v>6</v>
          </cell>
          <cell r="K930">
            <v>0</v>
          </cell>
        </row>
        <row r="931">
          <cell r="F931" t="str">
            <v>YSS045</v>
          </cell>
          <cell r="G931" t="e">
            <v>#N/A</v>
          </cell>
          <cell r="H931" t="e">
            <v>#N/A</v>
          </cell>
          <cell r="J931">
            <v>0</v>
          </cell>
          <cell r="K931" t="e">
            <v>#DIV/0!</v>
          </cell>
          <cell r="L931">
            <v>0</v>
          </cell>
          <cell r="N931">
            <v>0</v>
          </cell>
          <cell r="P931">
            <v>0</v>
          </cell>
          <cell r="R931">
            <v>0</v>
          </cell>
        </row>
        <row r="932">
          <cell r="F932" t="str">
            <v>YSS015</v>
          </cell>
          <cell r="G932" t="e">
            <v>#N/A</v>
          </cell>
          <cell r="H932" t="e">
            <v>#N/A</v>
          </cell>
          <cell r="J932">
            <v>0</v>
          </cell>
          <cell r="K932" t="e">
            <v>#DIV/0!</v>
          </cell>
          <cell r="L932">
            <v>0</v>
          </cell>
          <cell r="N932">
            <v>0</v>
          </cell>
          <cell r="P932">
            <v>0</v>
          </cell>
          <cell r="R932">
            <v>0</v>
          </cell>
          <cell r="T932">
            <v>0</v>
          </cell>
        </row>
        <row r="933">
          <cell r="F933" t="str">
            <v>2A40-016-84</v>
          </cell>
          <cell r="G933" t="e">
            <v>#N/A</v>
          </cell>
          <cell r="H933" t="e">
            <v>#N/A</v>
          </cell>
          <cell r="I933">
            <v>10</v>
          </cell>
          <cell r="J933">
            <v>0</v>
          </cell>
          <cell r="K933">
            <v>0</v>
          </cell>
          <cell r="L933">
            <v>0</v>
          </cell>
        </row>
        <row r="934">
          <cell r="F934" t="str">
            <v>YSS029</v>
          </cell>
          <cell r="G934" t="str">
            <v>COVER FRESH 46*58*95/19.5 สีบรอนด์ทอง</v>
          </cell>
          <cell r="H934" t="str">
            <v>2A40-018-33</v>
          </cell>
          <cell r="I934">
            <v>7</v>
          </cell>
          <cell r="K934">
            <v>0</v>
          </cell>
        </row>
        <row r="935">
          <cell r="F935" t="str">
            <v>YSS016</v>
          </cell>
          <cell r="G935" t="e">
            <v>#N/A</v>
          </cell>
          <cell r="H935" t="e">
            <v>#N/A</v>
          </cell>
          <cell r="J935">
            <v>0</v>
          </cell>
          <cell r="K935" t="e">
            <v>#DIV/0!</v>
          </cell>
          <cell r="L935">
            <v>0</v>
          </cell>
          <cell r="N935">
            <v>0</v>
          </cell>
        </row>
        <row r="936">
          <cell r="F936" t="str">
            <v>YSS025</v>
          </cell>
          <cell r="G936" t="e">
            <v>#N/A</v>
          </cell>
          <cell r="H936" t="e">
            <v>#N/A</v>
          </cell>
          <cell r="J936">
            <v>0</v>
          </cell>
          <cell r="K936" t="e">
            <v>#DIV/0!</v>
          </cell>
          <cell r="L936">
            <v>0</v>
          </cell>
          <cell r="N936">
            <v>0</v>
          </cell>
          <cell r="P936">
            <v>0</v>
          </cell>
          <cell r="R936">
            <v>0</v>
          </cell>
        </row>
        <row r="937">
          <cell r="F937" t="str">
            <v>YSS018</v>
          </cell>
          <cell r="G937" t="e">
            <v>#N/A</v>
          </cell>
          <cell r="H937" t="e">
            <v>#N/A</v>
          </cell>
          <cell r="J937">
            <v>0</v>
          </cell>
          <cell r="K937" t="e">
            <v>#DIV/0!</v>
          </cell>
          <cell r="L937">
            <v>0</v>
          </cell>
          <cell r="N937">
            <v>0</v>
          </cell>
          <cell r="P937">
            <v>0</v>
          </cell>
          <cell r="R937">
            <v>0</v>
          </cell>
        </row>
        <row r="938">
          <cell r="F938" t="str">
            <v>YSS026</v>
          </cell>
          <cell r="G938" t="e">
            <v>#N/A</v>
          </cell>
          <cell r="H938" t="e">
            <v>#N/A</v>
          </cell>
          <cell r="J938">
            <v>0</v>
          </cell>
          <cell r="K938" t="e">
            <v>#DIV/0!</v>
          </cell>
          <cell r="L938">
            <v>0</v>
          </cell>
          <cell r="N938">
            <v>0</v>
          </cell>
          <cell r="P938">
            <v>0</v>
          </cell>
          <cell r="R938">
            <v>0</v>
          </cell>
        </row>
        <row r="939">
          <cell r="F939" t="str">
            <v>YSS019</v>
          </cell>
          <cell r="G939" t="str">
            <v>TOP COVER CELA 46*130/19.5/160*0.6 CHROME</v>
          </cell>
          <cell r="H939" t="str">
            <v>2A40-051-13</v>
          </cell>
          <cell r="I939">
            <v>7</v>
          </cell>
          <cell r="K939">
            <v>0</v>
          </cell>
        </row>
        <row r="940">
          <cell r="F940" t="str">
            <v>YSS020</v>
          </cell>
          <cell r="G940" t="e">
            <v>#N/A</v>
          </cell>
          <cell r="H940" t="e">
            <v>#N/A</v>
          </cell>
          <cell r="J940">
            <v>0</v>
          </cell>
          <cell r="K940" t="e">
            <v>#DIV/0!</v>
          </cell>
          <cell r="L940">
            <v>0</v>
          </cell>
        </row>
        <row r="941">
          <cell r="F941" t="str">
            <v>YSS021</v>
          </cell>
          <cell r="G941" t="str">
            <v>ปลอกล่างชุบ CELA 38*125/26/144</v>
          </cell>
          <cell r="H941" t="str">
            <v>2A40-104-10</v>
          </cell>
          <cell r="I941">
            <v>8</v>
          </cell>
          <cell r="K941">
            <v>0</v>
          </cell>
        </row>
        <row r="942">
          <cell r="F942" t="str">
            <v>YSS022</v>
          </cell>
          <cell r="G942" t="e">
            <v>#N/A</v>
          </cell>
          <cell r="H942" t="e">
            <v>#N/A</v>
          </cell>
          <cell r="J942">
            <v>0</v>
          </cell>
          <cell r="K942" t="e">
            <v>#DIV/0!</v>
          </cell>
          <cell r="L942">
            <v>0</v>
          </cell>
          <cell r="N942">
            <v>0</v>
          </cell>
          <cell r="P942">
            <v>0</v>
          </cell>
          <cell r="R942">
            <v>0</v>
          </cell>
        </row>
        <row r="943">
          <cell r="F943" t="str">
            <v>YSS030</v>
          </cell>
          <cell r="G943" t="e">
            <v>#N/A</v>
          </cell>
          <cell r="H943" t="e">
            <v>#N/A</v>
          </cell>
          <cell r="K943" t="e">
            <v>#DIV/0!</v>
          </cell>
        </row>
        <row r="944">
          <cell r="F944" t="str">
            <v>YSS023</v>
          </cell>
          <cell r="G944" t="str">
            <v>BOTTOM COVER FR-80 38*120/22/144 CHROME</v>
          </cell>
          <cell r="H944" t="str">
            <v>2A40-156-11</v>
          </cell>
          <cell r="I944">
            <v>8</v>
          </cell>
          <cell r="K944">
            <v>0</v>
          </cell>
        </row>
        <row r="945">
          <cell r="F945" t="str">
            <v>YSS024</v>
          </cell>
          <cell r="G945" t="e">
            <v>#N/A</v>
          </cell>
          <cell r="H945" t="e">
            <v>#N/A</v>
          </cell>
          <cell r="J945">
            <v>0</v>
          </cell>
          <cell r="K945" t="e">
            <v>#DIV/0!</v>
          </cell>
          <cell r="L945">
            <v>0</v>
          </cell>
          <cell r="N945">
            <v>0</v>
          </cell>
          <cell r="P945">
            <v>0</v>
          </cell>
          <cell r="R945">
            <v>0</v>
          </cell>
        </row>
        <row r="946">
          <cell r="F946" t="str">
            <v>YSS006</v>
          </cell>
          <cell r="G946" t="e">
            <v>#N/A</v>
          </cell>
          <cell r="H946" t="e">
            <v>#N/A</v>
          </cell>
          <cell r="J946">
            <v>0</v>
          </cell>
          <cell r="K946" t="e">
            <v>#DIV/0!</v>
          </cell>
          <cell r="L946">
            <v>0</v>
          </cell>
          <cell r="N946">
            <v>0</v>
          </cell>
          <cell r="P946">
            <v>0</v>
          </cell>
          <cell r="R946">
            <v>0</v>
          </cell>
        </row>
        <row r="947">
          <cell r="G947" t="e">
            <v>#N/A</v>
          </cell>
          <cell r="H947" t="e">
            <v>#N/A</v>
          </cell>
          <cell r="K947" t="e">
            <v>#DIV/0!</v>
          </cell>
        </row>
        <row r="948">
          <cell r="G948" t="e">
            <v>#N/A</v>
          </cell>
          <cell r="H948" t="e">
            <v>#N/A</v>
          </cell>
          <cell r="K948" t="e">
            <v>#DIV/0!</v>
          </cell>
        </row>
        <row r="949">
          <cell r="G949" t="e">
            <v>#N/A</v>
          </cell>
          <cell r="H949" t="e">
            <v>#N/A</v>
          </cell>
          <cell r="K949" t="e">
            <v>#DIV/0!</v>
          </cell>
        </row>
        <row r="950">
          <cell r="K950" t="e">
            <v>#DIV/0!</v>
          </cell>
        </row>
        <row r="951">
          <cell r="F951" t="str">
            <v>R008-1</v>
          </cell>
          <cell r="I951">
            <v>19</v>
          </cell>
          <cell r="K951">
            <v>0</v>
          </cell>
        </row>
        <row r="952">
          <cell r="F952" t="str">
            <v>R009-1</v>
          </cell>
          <cell r="I952">
            <v>19</v>
          </cell>
          <cell r="K952">
            <v>0</v>
          </cell>
        </row>
        <row r="953">
          <cell r="F953" t="str">
            <v>R009-2</v>
          </cell>
          <cell r="I953">
            <v>18</v>
          </cell>
          <cell r="K953">
            <v>0</v>
          </cell>
        </row>
        <row r="954">
          <cell r="F954" t="str">
            <v>R008-2</v>
          </cell>
          <cell r="I954">
            <v>18</v>
          </cell>
          <cell r="K954">
            <v>0</v>
          </cell>
        </row>
        <row r="955">
          <cell r="F955" t="str">
            <v>r004</v>
          </cell>
          <cell r="I955">
            <v>41</v>
          </cell>
          <cell r="K955">
            <v>0</v>
          </cell>
        </row>
        <row r="956">
          <cell r="F956" t="str">
            <v>R023</v>
          </cell>
          <cell r="I956">
            <v>41</v>
          </cell>
          <cell r="K956">
            <v>0</v>
          </cell>
        </row>
        <row r="957">
          <cell r="F957" t="str">
            <v>r001</v>
          </cell>
          <cell r="I957">
            <v>41</v>
          </cell>
          <cell r="K957">
            <v>0</v>
          </cell>
        </row>
        <row r="958">
          <cell r="F958" t="str">
            <v>R020</v>
          </cell>
          <cell r="I958">
            <v>41</v>
          </cell>
          <cell r="K958">
            <v>0</v>
          </cell>
        </row>
        <row r="959">
          <cell r="F959" t="str">
            <v>R024</v>
          </cell>
          <cell r="I959">
            <v>41</v>
          </cell>
          <cell r="K959">
            <v>0</v>
          </cell>
        </row>
        <row r="960">
          <cell r="F960" t="str">
            <v>R007</v>
          </cell>
          <cell r="I960">
            <v>41</v>
          </cell>
          <cell r="K960">
            <v>0</v>
          </cell>
        </row>
        <row r="961">
          <cell r="F961" t="str">
            <v>R021</v>
          </cell>
          <cell r="I961">
            <v>41</v>
          </cell>
          <cell r="K961">
            <v>0</v>
          </cell>
        </row>
        <row r="962">
          <cell r="F962" t="str">
            <v>R028</v>
          </cell>
          <cell r="I962">
            <v>41</v>
          </cell>
          <cell r="K962">
            <v>0</v>
          </cell>
        </row>
        <row r="963">
          <cell r="F963" t="str">
            <v>R019</v>
          </cell>
          <cell r="I963">
            <v>27</v>
          </cell>
          <cell r="K963">
            <v>0</v>
          </cell>
        </row>
        <row r="964">
          <cell r="F964" t="str">
            <v>R011</v>
          </cell>
          <cell r="I964">
            <v>27</v>
          </cell>
          <cell r="K964">
            <v>0</v>
          </cell>
        </row>
        <row r="965">
          <cell r="F965" t="str">
            <v>R012</v>
          </cell>
          <cell r="I965">
            <v>76</v>
          </cell>
          <cell r="K965">
            <v>0</v>
          </cell>
        </row>
        <row r="966">
          <cell r="F966" t="str">
            <v>R015</v>
          </cell>
          <cell r="I966">
            <v>54</v>
          </cell>
          <cell r="K966">
            <v>0</v>
          </cell>
        </row>
        <row r="967">
          <cell r="F967" t="str">
            <v>R018</v>
          </cell>
          <cell r="I967">
            <v>15</v>
          </cell>
          <cell r="K967">
            <v>0</v>
          </cell>
        </row>
        <row r="968">
          <cell r="K968" t="e">
            <v>#DIV/0!</v>
          </cell>
        </row>
        <row r="969">
          <cell r="K969" t="e">
            <v>#DIV/0!</v>
          </cell>
        </row>
        <row r="970">
          <cell r="K970" t="e">
            <v>#DIV/0!</v>
          </cell>
        </row>
        <row r="971">
          <cell r="K971" t="e">
            <v>#DIV/0!</v>
          </cell>
        </row>
        <row r="972">
          <cell r="K972" t="e">
            <v>#DIV/0!</v>
          </cell>
        </row>
        <row r="973">
          <cell r="F973">
            <v>16</v>
          </cell>
          <cell r="G973" t="str">
            <v>คืนงานลูกค้าแล้ว</v>
          </cell>
          <cell r="K973" t="e">
            <v>#DIV/0!</v>
          </cell>
        </row>
        <row r="974">
          <cell r="F974" t="str">
            <v>RN-01-2581-04S01</v>
          </cell>
          <cell r="G974" t="str">
            <v>O-RING (EXHUAST)</v>
          </cell>
          <cell r="H974" t="str">
            <v>B1-2W-000137 125810400</v>
          </cell>
          <cell r="I974">
            <v>1</v>
          </cell>
          <cell r="K974">
            <v>0</v>
          </cell>
        </row>
        <row r="975">
          <cell r="F975" t="str">
            <v>RN-01-2581-03S01</v>
          </cell>
          <cell r="G975" t="str">
            <v>O-RING (CONDENSER)</v>
          </cell>
          <cell r="H975" t="str">
            <v>B1-2W-000138-125810302</v>
          </cell>
          <cell r="I975">
            <v>1</v>
          </cell>
          <cell r="K975">
            <v>0</v>
          </cell>
        </row>
        <row r="976">
          <cell r="F976">
            <v>17</v>
          </cell>
          <cell r="G976" t="str">
            <v>คืนงานลูกค้าแล้ว</v>
          </cell>
          <cell r="K976" t="e">
            <v>#DIV/0!</v>
          </cell>
        </row>
        <row r="977">
          <cell r="F977" t="str">
            <v>T912100160</v>
          </cell>
          <cell r="G977" t="str">
            <v>BRKT CLIP HARNESS</v>
          </cell>
          <cell r="H977" t="str">
            <v>550801-029A</v>
          </cell>
          <cell r="I977">
            <v>40</v>
          </cell>
          <cell r="K977">
            <v>0</v>
          </cell>
        </row>
        <row r="978">
          <cell r="F978" t="str">
            <v>T911100390</v>
          </cell>
          <cell r="G978" t="str">
            <v>BRLT CLIP NYLON TUBE</v>
          </cell>
          <cell r="H978" t="str">
            <v>551004-029A</v>
          </cell>
          <cell r="I978">
            <v>15</v>
          </cell>
          <cell r="K978">
            <v>0</v>
          </cell>
        </row>
        <row r="979">
          <cell r="F979" t="str">
            <v>T910100010</v>
          </cell>
          <cell r="G979" t="str">
            <v>PLATE MUD FLAP INNER</v>
          </cell>
          <cell r="H979" t="str">
            <v>550203-0460</v>
          </cell>
          <cell r="I979">
            <v>1</v>
          </cell>
          <cell r="K979">
            <v>0</v>
          </cell>
        </row>
        <row r="980">
          <cell r="F980" t="str">
            <v>T911100830</v>
          </cell>
          <cell r="G980" t="str">
            <v>STAY SIDE GUARD</v>
          </cell>
          <cell r="H980" t="str">
            <v>550808-057A</v>
          </cell>
          <cell r="I980">
            <v>1</v>
          </cell>
          <cell r="K980">
            <v>0</v>
          </cell>
        </row>
        <row r="981">
          <cell r="F981" t="str">
            <v>t911100090</v>
          </cell>
          <cell r="G981" t="str">
            <v>BRKT CUSHION RUBBER,FT</v>
          </cell>
          <cell r="H981" t="str">
            <v>550708-044A</v>
          </cell>
          <cell r="I981">
            <v>30</v>
          </cell>
          <cell r="K981">
            <v>0</v>
          </cell>
        </row>
        <row r="982">
          <cell r="K982" t="e">
            <v>#DIV/0!</v>
          </cell>
        </row>
      </sheetData>
      <sheetData sheetId="1">
        <row r="1">
          <cell r="A1" t="str">
            <v>MAT'L NO.</v>
          </cell>
          <cell r="B1" t="str">
            <v>DESCRIPTION</v>
          </cell>
          <cell r="C1" t="str">
            <v>T</v>
          </cell>
          <cell r="D1" t="str">
            <v>W</v>
          </cell>
          <cell r="E1" t="str">
            <v>L</v>
          </cell>
          <cell r="F1" t="str">
            <v>น้ำหนัก/</v>
          </cell>
          <cell r="G1" t="str">
            <v>RATIO</v>
          </cell>
          <cell r="H1" t="str">
            <v>MAT'L NO.</v>
          </cell>
          <cell r="I1" t="str">
            <v>SPEC.</v>
          </cell>
          <cell r="J1" t="str">
            <v>PART  NAME</v>
          </cell>
          <cell r="K1" t="str">
            <v>PART  NUMBER</v>
          </cell>
          <cell r="L1" t="str">
            <v>MODEL</v>
          </cell>
          <cell r="M1" t="str">
            <v>RATIO</v>
          </cell>
          <cell r="N1" t="str">
            <v>Q' TY/</v>
          </cell>
          <cell r="O1" t="str">
            <v>Q' TY/</v>
          </cell>
          <cell r="P1" t="str">
            <v>บรรจุ/</v>
          </cell>
          <cell r="R1" t="str">
            <v>ข้อมูลจาก ฝ่ายเสนอราคา</v>
          </cell>
        </row>
        <row r="2">
          <cell r="F2" t="str">
            <v>แผ่น-ชิ้น</v>
          </cell>
          <cell r="N2" t="str">
            <v>KG.</v>
          </cell>
          <cell r="O2" t="str">
            <v>PCS.</v>
          </cell>
          <cell r="P2" t="str">
            <v>แพ็ค</v>
          </cell>
          <cell r="R2" t="str">
            <v>Size</v>
          </cell>
        </row>
        <row r="3">
          <cell r="A3" t="str">
            <v>งานซื้อผ่าน TSGP</v>
          </cell>
          <cell r="B3" t="str">
            <v>TSA/T</v>
          </cell>
          <cell r="J3">
            <v>2751.3513513513512</v>
          </cell>
        </row>
        <row r="4">
          <cell r="A4">
            <v>30012252</v>
          </cell>
          <cell r="B4" t="str">
            <v>1.6 x 122 x Coil</v>
          </cell>
          <cell r="C4">
            <v>1.6</v>
          </cell>
          <cell r="D4">
            <v>122</v>
          </cell>
          <cell r="E4" t="str">
            <v>Coil</v>
          </cell>
          <cell r="F4">
            <v>10000</v>
          </cell>
          <cell r="G4">
            <v>1500</v>
          </cell>
          <cell r="H4">
            <v>77000572</v>
          </cell>
          <cell r="I4" t="str">
            <v>SP781-440BQ</v>
          </cell>
          <cell r="J4" t="str">
            <v>REINF CROSS MBR RR SEAT</v>
          </cell>
          <cell r="L4" t="str">
            <v>T</v>
          </cell>
          <cell r="M4">
            <v>0.15</v>
          </cell>
          <cell r="R4">
            <v>77000572</v>
          </cell>
        </row>
        <row r="5">
          <cell r="A5">
            <v>30012263</v>
          </cell>
          <cell r="B5" t="str">
            <v>2.0 x 130 x Coil</v>
          </cell>
          <cell r="C5">
            <v>2</v>
          </cell>
          <cell r="D5">
            <v>130</v>
          </cell>
          <cell r="E5" t="str">
            <v>Coil</v>
          </cell>
          <cell r="F5">
            <v>20000</v>
          </cell>
          <cell r="G5">
            <v>5200</v>
          </cell>
          <cell r="H5">
            <v>77000574</v>
          </cell>
          <cell r="I5" t="str">
            <v>SP791-440Q</v>
          </cell>
          <cell r="J5" t="str">
            <v>REINF ANCH BELT RR INR</v>
          </cell>
          <cell r="L5" t="str">
            <v>T</v>
          </cell>
          <cell r="M5">
            <v>0.26</v>
          </cell>
          <cell r="R5">
            <v>77000574</v>
          </cell>
        </row>
        <row r="6">
          <cell r="A6">
            <v>30012272</v>
          </cell>
          <cell r="B6" t="str">
            <v>2.3 x 267 x Coil</v>
          </cell>
          <cell r="C6">
            <v>2.2999999999999998</v>
          </cell>
          <cell r="D6">
            <v>267</v>
          </cell>
          <cell r="E6" t="str">
            <v>Coil</v>
          </cell>
          <cell r="F6">
            <v>2000</v>
          </cell>
          <cell r="G6">
            <v>370</v>
          </cell>
          <cell r="H6">
            <v>77000576</v>
          </cell>
          <cell r="I6" t="str">
            <v>SP221PQ</v>
          </cell>
          <cell r="J6" t="str">
            <v>ANCH-SEAT BELT,CTR PLR RH</v>
          </cell>
          <cell r="K6" t="str">
            <v>76582 1HHOA</v>
          </cell>
          <cell r="L6" t="str">
            <v>T</v>
          </cell>
          <cell r="M6">
            <v>0.185</v>
          </cell>
          <cell r="R6">
            <v>77000576</v>
          </cell>
        </row>
        <row r="7">
          <cell r="A7" t="str">
            <v>30018062/73013672</v>
          </cell>
          <cell r="B7" t="str">
            <v>2.6 x 166 x Coil</v>
          </cell>
          <cell r="C7">
            <v>2.6</v>
          </cell>
          <cell r="D7">
            <v>166</v>
          </cell>
          <cell r="E7" t="str">
            <v>Coil</v>
          </cell>
          <cell r="F7">
            <v>10000</v>
          </cell>
          <cell r="G7">
            <v>900</v>
          </cell>
          <cell r="H7">
            <v>77000577</v>
          </cell>
          <cell r="I7" t="str">
            <v>SP231-440PQ</v>
          </cell>
          <cell r="J7" t="str">
            <v>BRKT CLOSING PLATE,FR SIDE RR LH</v>
          </cell>
          <cell r="K7" t="str">
            <v>751E7 1HJOA</v>
          </cell>
          <cell r="L7" t="str">
            <v>T</v>
          </cell>
          <cell r="M7">
            <v>0.09</v>
          </cell>
          <cell r="R7">
            <v>77000577</v>
          </cell>
        </row>
        <row r="8">
          <cell r="A8">
            <v>73013672</v>
          </cell>
          <cell r="B8" t="str">
            <v>2.6 x 166 x Coil</v>
          </cell>
          <cell r="C8">
            <v>2.6</v>
          </cell>
          <cell r="D8">
            <v>166</v>
          </cell>
          <cell r="E8" t="str">
            <v>Coil</v>
          </cell>
          <cell r="F8">
            <v>5000</v>
          </cell>
          <cell r="G8">
            <v>0.09</v>
          </cell>
          <cell r="H8">
            <v>77000577</v>
          </cell>
          <cell r="I8" t="str">
            <v>SP231-440PQ</v>
          </cell>
          <cell r="J8" t="str">
            <v>BRKT CLOSING PLATE,FR SIDE RR LH</v>
          </cell>
          <cell r="K8" t="str">
            <v>751E7 1HJOA</v>
          </cell>
          <cell r="L8" t="str">
            <v>W02A</v>
          </cell>
          <cell r="M8" t="str">
            <v>SP231-440PQ</v>
          </cell>
          <cell r="N8" t="str">
            <v>BRKT CLOSING PLATE,FR SIDE RR LH</v>
          </cell>
          <cell r="O8" t="str">
            <v>751E7 1HJOA</v>
          </cell>
          <cell r="P8" t="str">
            <v>W02A</v>
          </cell>
          <cell r="Q8" t="str">
            <v>posco</v>
          </cell>
        </row>
        <row r="10">
          <cell r="A10" t="str">
            <v>RF10</v>
          </cell>
          <cell r="I10" t="str">
            <v>SPFH590</v>
          </cell>
          <cell r="J10" t="str">
            <v>BRACKET;DRIVER BELT LAP ANCHOR,RH</v>
          </cell>
          <cell r="K10">
            <v>8982161880</v>
          </cell>
          <cell r="L10" t="str">
            <v>RF10</v>
          </cell>
        </row>
        <row r="11">
          <cell r="A11">
            <v>30021693</v>
          </cell>
          <cell r="B11" t="str">
            <v>3.5 x 160 x 1219</v>
          </cell>
          <cell r="C11">
            <v>3.5</v>
          </cell>
          <cell r="D11">
            <v>160</v>
          </cell>
          <cell r="E11">
            <v>1219</v>
          </cell>
          <cell r="F11">
            <v>5.3587239999999996</v>
          </cell>
          <cell r="G11">
            <v>17</v>
          </cell>
          <cell r="H11">
            <v>50013842</v>
          </cell>
          <cell r="I11" t="str">
            <v>SPFH590</v>
          </cell>
          <cell r="J11" t="str">
            <v>BRACKET;DRIVER BELT LAP ANCHOR,LH</v>
          </cell>
          <cell r="K11">
            <v>8982161390</v>
          </cell>
          <cell r="L11" t="str">
            <v>RF10</v>
          </cell>
          <cell r="M11" t="str">
            <v>SPFH590</v>
          </cell>
          <cell r="N11" t="str">
            <v>BRACKET;DRIVER BELT LAP ANCHOR,RH</v>
          </cell>
          <cell r="O11">
            <v>8982161880</v>
          </cell>
          <cell r="P11" t="str">
            <v>RF10</v>
          </cell>
          <cell r="Q11" t="str">
            <v>เปิดผ่าน k. ชาติชาย</v>
          </cell>
        </row>
        <row r="12">
          <cell r="A12">
            <v>30021694</v>
          </cell>
          <cell r="B12" t="str">
            <v>3.5 x 160 x 1219</v>
          </cell>
          <cell r="C12">
            <v>3.5</v>
          </cell>
          <cell r="D12">
            <v>160</v>
          </cell>
          <cell r="E12">
            <v>1219</v>
          </cell>
          <cell r="F12">
            <v>5.3587239999999996</v>
          </cell>
          <cell r="G12">
            <v>17</v>
          </cell>
          <cell r="H12">
            <v>50013842</v>
          </cell>
          <cell r="I12" t="str">
            <v>JSH270C</v>
          </cell>
          <cell r="J12" t="str">
            <v>BRACKET</v>
          </cell>
          <cell r="K12" t="str">
            <v>8982114660-01</v>
          </cell>
          <cell r="L12" t="str">
            <v>RF10</v>
          </cell>
          <cell r="M12" t="str">
            <v>SPFH590</v>
          </cell>
          <cell r="N12" t="str">
            <v>BRACKET;DRIVER BELT LAP ANCHOR,LH</v>
          </cell>
          <cell r="O12">
            <v>8982161390</v>
          </cell>
          <cell r="P12" t="str">
            <v>RF10</v>
          </cell>
          <cell r="Q12" t="str">
            <v>เปิดผ่าน k. ชาติชาย</v>
          </cell>
        </row>
        <row r="13">
          <cell r="A13">
            <v>30021434</v>
          </cell>
          <cell r="B13" t="str">
            <v>4.0 x 129 x 1219</v>
          </cell>
          <cell r="C13">
            <v>4</v>
          </cell>
          <cell r="D13">
            <v>129</v>
          </cell>
          <cell r="E13">
            <v>1219</v>
          </cell>
          <cell r="F13">
            <v>4.9376813999999998</v>
          </cell>
          <cell r="H13">
            <v>50014383</v>
          </cell>
          <cell r="I13" t="str">
            <v>JSH270C</v>
          </cell>
          <cell r="J13" t="str">
            <v>BRACKET</v>
          </cell>
          <cell r="K13" t="str">
            <v>8982114660-01</v>
          </cell>
          <cell r="L13" t="str">
            <v>RF10</v>
          </cell>
          <cell r="M13">
            <v>17</v>
          </cell>
          <cell r="N13">
            <v>0</v>
          </cell>
          <cell r="O13">
            <v>229.51</v>
          </cell>
        </row>
        <row r="14">
          <cell r="A14" t="str">
            <v>30021689/30024777</v>
          </cell>
          <cell r="B14" t="str">
            <v>2.0 x 139 x 1219</v>
          </cell>
          <cell r="C14">
            <v>2</v>
          </cell>
          <cell r="D14">
            <v>139</v>
          </cell>
          <cell r="E14">
            <v>1219</v>
          </cell>
          <cell r="F14">
            <v>2.6602236999999995</v>
          </cell>
          <cell r="G14">
            <v>33</v>
          </cell>
          <cell r="H14">
            <v>50014009</v>
          </cell>
          <cell r="I14" t="str">
            <v>JSH270C</v>
          </cell>
          <cell r="J14" t="str">
            <v>BRACKET</v>
          </cell>
          <cell r="K14" t="str">
            <v>8982114660-01</v>
          </cell>
          <cell r="L14" t="str">
            <v>RF10</v>
          </cell>
          <cell r="M14" t="str">
            <v>JSH270C</v>
          </cell>
          <cell r="N14" t="str">
            <v>BRACKET</v>
          </cell>
          <cell r="O14" t="str">
            <v>8982114660-01</v>
          </cell>
          <cell r="P14" t="str">
            <v>RF10</v>
          </cell>
          <cell r="Q14" t="str">
            <v>เปิดผ่าน k. ชาติชาย</v>
          </cell>
        </row>
        <row r="15">
          <cell r="A15" t="str">
            <v>30021653-1</v>
          </cell>
          <cell r="B15" t="str">
            <v>1.2 x 146 x 1219</v>
          </cell>
          <cell r="C15">
            <v>1.2</v>
          </cell>
          <cell r="D15">
            <v>146</v>
          </cell>
          <cell r="E15">
            <v>1219</v>
          </cell>
          <cell r="F15">
            <v>1.6765150799999999</v>
          </cell>
          <cell r="G15">
            <v>7</v>
          </cell>
          <cell r="H15">
            <v>50013599</v>
          </cell>
          <cell r="I15" t="str">
            <v>JAC440W</v>
          </cell>
          <cell r="J15" t="str">
            <v>REINF T/GATE STRIKER</v>
          </cell>
          <cell r="K15">
            <v>8982003950</v>
          </cell>
          <cell r="L15" t="str">
            <v>RF10</v>
          </cell>
          <cell r="M15" t="str">
            <v>JAC440W</v>
          </cell>
          <cell r="N15" t="str">
            <v>REINF T/GATE STRIKER</v>
          </cell>
          <cell r="O15">
            <v>8982003950</v>
          </cell>
          <cell r="P15" t="str">
            <v>RF10</v>
          </cell>
          <cell r="Q15" t="str">
            <v>เปิดผ่าน k. ชาติชาย</v>
          </cell>
        </row>
        <row r="16">
          <cell r="A16" t="str">
            <v>30021653-2</v>
          </cell>
          <cell r="B16" t="str">
            <v>1.4 x 55 x 1219</v>
          </cell>
          <cell r="C16">
            <v>1.4</v>
          </cell>
          <cell r="D16">
            <v>55</v>
          </cell>
          <cell r="E16">
            <v>1219</v>
          </cell>
          <cell r="F16">
            <v>0.73682454999999991</v>
          </cell>
          <cell r="G16">
            <v>16</v>
          </cell>
          <cell r="H16">
            <v>50014516</v>
          </cell>
          <cell r="I16" t="str">
            <v>JSC270C</v>
          </cell>
          <cell r="J16" t="str">
            <v>PLATE STRIKER</v>
          </cell>
          <cell r="K16">
            <v>8981999130</v>
          </cell>
          <cell r="L16" t="str">
            <v>RF10</v>
          </cell>
          <cell r="M16" t="str">
            <v>JSC270C</v>
          </cell>
          <cell r="N16" t="str">
            <v>PLATE STRIKER</v>
          </cell>
          <cell r="O16">
            <v>8981999130</v>
          </cell>
          <cell r="P16" t="str">
            <v>RF10</v>
          </cell>
          <cell r="Q16" t="str">
            <v>เปิดผ่าน k. ชาติชาย</v>
          </cell>
        </row>
        <row r="17">
          <cell r="A17" t="str">
            <v>TSAT 1</v>
          </cell>
          <cell r="B17" t="str">
            <v>ชิ้นงาน 588W</v>
          </cell>
        </row>
        <row r="18">
          <cell r="A18">
            <v>73014521</v>
          </cell>
          <cell r="B18" t="str">
            <v>2.0 x 211 x 1065</v>
          </cell>
          <cell r="C18">
            <v>2</v>
          </cell>
          <cell r="D18">
            <v>211</v>
          </cell>
          <cell r="E18">
            <v>1065</v>
          </cell>
          <cell r="F18">
            <v>3.5280255</v>
          </cell>
          <cell r="G18">
            <v>0.39100000000000001</v>
          </cell>
          <cell r="H18">
            <v>77005216</v>
          </cell>
          <cell r="I18" t="str">
            <v>SPH440-OD</v>
          </cell>
          <cell r="J18" t="str">
            <v>INSULATOR DRIVE SHAFT HEAT NO.1(SPOT BOLT)</v>
          </cell>
          <cell r="K18" t="str">
            <v>43498-02040</v>
          </cell>
          <cell r="L18" t="str">
            <v>T</v>
          </cell>
          <cell r="M18" t="str">
            <v>SPH440-OD</v>
          </cell>
          <cell r="N18" t="str">
            <v>INSULATOR DRIVE SHAFT HEAT NO.1(SPOT BOLT)</v>
          </cell>
          <cell r="O18" t="str">
            <v>43498-02040</v>
          </cell>
          <cell r="P18" t="str">
            <v>T</v>
          </cell>
          <cell r="Q18" t="str">
            <v>คืนพิมพ์เขาไปแล้ว</v>
          </cell>
          <cell r="R18">
            <v>100</v>
          </cell>
        </row>
        <row r="19">
          <cell r="A19">
            <v>73014522</v>
          </cell>
          <cell r="B19" t="str">
            <v>2.0 x 211 x 1065</v>
          </cell>
          <cell r="C19">
            <v>2</v>
          </cell>
          <cell r="D19">
            <v>211</v>
          </cell>
          <cell r="E19">
            <v>1065</v>
          </cell>
          <cell r="F19">
            <v>3.5280255</v>
          </cell>
          <cell r="G19">
            <v>0.39400000000000002</v>
          </cell>
          <cell r="H19">
            <v>77005216</v>
          </cell>
          <cell r="I19" t="str">
            <v>SPH440-OD</v>
          </cell>
          <cell r="J19" t="str">
            <v>INSULATOR DRIVE SHAFT HEAT NO.1</v>
          </cell>
          <cell r="K19" t="str">
            <v>43498-02060</v>
          </cell>
          <cell r="L19" t="str">
            <v>T</v>
          </cell>
          <cell r="M19" t="str">
            <v>SPH440-OD</v>
          </cell>
          <cell r="N19" t="str">
            <v>INSULATOR DRIVE SHAFT HEAT NO.1</v>
          </cell>
          <cell r="O19" t="str">
            <v>43498-02060</v>
          </cell>
          <cell r="P19" t="str">
            <v>T</v>
          </cell>
          <cell r="Q19" t="str">
            <v>คืนพิมพ์เขาไปแล้ว</v>
          </cell>
          <cell r="R19">
            <v>100</v>
          </cell>
        </row>
        <row r="20">
          <cell r="A20" t="str">
            <v>30021846/73014521</v>
          </cell>
          <cell r="B20" t="str">
            <v>2.0 x 211 x 1065</v>
          </cell>
          <cell r="C20">
            <v>2</v>
          </cell>
          <cell r="D20">
            <v>211</v>
          </cell>
          <cell r="E20">
            <v>1065</v>
          </cell>
          <cell r="F20">
            <v>3.5280255</v>
          </cell>
          <cell r="G20">
            <v>0.39100000000000001</v>
          </cell>
          <cell r="H20">
            <v>77005216</v>
          </cell>
          <cell r="I20" t="str">
            <v>SPH440-OD</v>
          </cell>
          <cell r="J20" t="str">
            <v>INSULATOR DRIVE SHAFT HEAT NO.1(SPOT BOLT)</v>
          </cell>
          <cell r="K20" t="str">
            <v>43498-02040</v>
          </cell>
          <cell r="L20" t="str">
            <v>T</v>
          </cell>
          <cell r="M20" t="str">
            <v>SPH440-OD</v>
          </cell>
          <cell r="N20" t="str">
            <v>INSULATOR DRIVE SHAFT HEAT NO.1(SPOT BOLT)</v>
          </cell>
          <cell r="O20" t="str">
            <v>43498-02040</v>
          </cell>
          <cell r="P20" t="str">
            <v>T</v>
          </cell>
          <cell r="Q20" t="str">
            <v>คืนพิมพ์เขาไปแล้ว</v>
          </cell>
          <cell r="R20">
            <v>100</v>
          </cell>
        </row>
        <row r="21">
          <cell r="A21" t="str">
            <v>30021847/73014522</v>
          </cell>
          <cell r="B21" t="str">
            <v>2.0 x 211 x 1065</v>
          </cell>
          <cell r="C21">
            <v>2</v>
          </cell>
          <cell r="D21">
            <v>211</v>
          </cell>
          <cell r="E21">
            <v>1065</v>
          </cell>
          <cell r="F21">
            <v>3.5280255</v>
          </cell>
          <cell r="G21">
            <v>0.39400000000000002</v>
          </cell>
          <cell r="H21">
            <v>77005216</v>
          </cell>
          <cell r="I21" t="str">
            <v>SPH440-OD</v>
          </cell>
          <cell r="J21" t="str">
            <v>INSULATOR DRIVE SHAFT HEAT NO.1</v>
          </cell>
          <cell r="K21" t="str">
            <v>43498-02060</v>
          </cell>
          <cell r="L21" t="str">
            <v>T</v>
          </cell>
          <cell r="M21" t="str">
            <v>SPH440-OD</v>
          </cell>
          <cell r="N21" t="str">
            <v>INSULATOR DRIVE SHAFT HEAT NO.1</v>
          </cell>
          <cell r="O21" t="str">
            <v>43498-02060</v>
          </cell>
          <cell r="P21" t="str">
            <v>T</v>
          </cell>
          <cell r="Q21" t="str">
            <v>คืนพิมพ์เขาไปแล้ว</v>
          </cell>
          <cell r="R21">
            <v>100</v>
          </cell>
        </row>
        <row r="22">
          <cell r="A22" t="str">
            <v>ชิ้นงาน TSGP1</v>
          </cell>
          <cell r="B22" t="str">
            <v>K. เอกลัก</v>
          </cell>
          <cell r="Q22">
            <v>0</v>
          </cell>
        </row>
        <row r="23">
          <cell r="A23">
            <v>30000382</v>
          </cell>
          <cell r="B23" t="str">
            <v>1.6 x 36+/-0.5 x 1219</v>
          </cell>
          <cell r="C23">
            <v>1.6</v>
          </cell>
          <cell r="D23">
            <v>36</v>
          </cell>
          <cell r="E23">
            <v>1219</v>
          </cell>
          <cell r="F23">
            <v>0.55118304000000007</v>
          </cell>
          <cell r="G23">
            <v>122</v>
          </cell>
          <cell r="H23">
            <v>77004125</v>
          </cell>
          <cell r="I23" t="str">
            <v>SPHC-P/O</v>
          </cell>
          <cell r="J23" t="str">
            <v>STAY C CHAIN CASE</v>
          </cell>
          <cell r="K23" t="str">
            <v>52133-KPH-9000-H1</v>
          </cell>
          <cell r="L23" t="str">
            <v>Honda</v>
          </cell>
          <cell r="M23" t="str">
            <v>SPHC-P/O</v>
          </cell>
          <cell r="N23" t="str">
            <v>STAY C CHAIN CASE</v>
          </cell>
          <cell r="O23" t="str">
            <v>52133-KPH-9000-H1</v>
          </cell>
          <cell r="P23" t="str">
            <v>Honda</v>
          </cell>
          <cell r="Q23" t="str">
            <v>ptt</v>
          </cell>
          <cell r="R23">
            <v>200</v>
          </cell>
        </row>
        <row r="24">
          <cell r="A24" t="str">
            <v>30048198-4</v>
          </cell>
          <cell r="B24" t="str">
            <v>1.6 x 36+/-0.5 x 1219</v>
          </cell>
          <cell r="C24">
            <v>1.6</v>
          </cell>
          <cell r="D24">
            <v>36</v>
          </cell>
          <cell r="E24">
            <v>1219</v>
          </cell>
          <cell r="F24">
            <v>0.55118304000000007</v>
          </cell>
          <cell r="G24">
            <v>122</v>
          </cell>
          <cell r="H24">
            <v>77004125</v>
          </cell>
          <cell r="I24" t="str">
            <v>SPHC-P/O</v>
          </cell>
          <cell r="J24" t="str">
            <v>STAY C CHAIN CASE</v>
          </cell>
          <cell r="K24" t="str">
            <v>52133-KPH-9000-H1</v>
          </cell>
          <cell r="L24" t="str">
            <v>Honda</v>
          </cell>
          <cell r="M24" t="str">
            <v>SPHC-P/O</v>
          </cell>
          <cell r="N24" t="str">
            <v>STAY C CHAIN CASE</v>
          </cell>
          <cell r="O24" t="str">
            <v>52133-KPH-9000-H1</v>
          </cell>
          <cell r="P24" t="str">
            <v>Honda</v>
          </cell>
          <cell r="Q24" t="str">
            <v>ptt</v>
          </cell>
          <cell r="R24">
            <v>200</v>
          </cell>
        </row>
        <row r="25">
          <cell r="A25" t="str">
            <v>30051567-4</v>
          </cell>
          <cell r="B25" t="str">
            <v>1.6 x 36+/-0.5 x 1219</v>
          </cell>
          <cell r="C25">
            <v>1.6</v>
          </cell>
          <cell r="D25">
            <v>36</v>
          </cell>
          <cell r="E25">
            <v>1219</v>
          </cell>
          <cell r="F25">
            <v>0.55118304000000007</v>
          </cell>
          <cell r="G25">
            <v>122</v>
          </cell>
          <cell r="H25">
            <v>77004125</v>
          </cell>
          <cell r="I25" t="str">
            <v>SPHC-P/O</v>
          </cell>
          <cell r="J25" t="str">
            <v>STAY C CHAIN CASE</v>
          </cell>
          <cell r="K25" t="str">
            <v>52133-KPH-9000-H1</v>
          </cell>
          <cell r="L25" t="str">
            <v>Honda</v>
          </cell>
          <cell r="M25" t="str">
            <v>SPHC-P/O</v>
          </cell>
          <cell r="N25" t="str">
            <v>STAY C CHAIN CASE</v>
          </cell>
          <cell r="O25" t="str">
            <v>52133-KPH-9000-H1</v>
          </cell>
          <cell r="P25" t="str">
            <v>Honda</v>
          </cell>
          <cell r="Q25" t="str">
            <v>ptt</v>
          </cell>
          <cell r="R25">
            <v>200</v>
          </cell>
        </row>
        <row r="26">
          <cell r="A26" t="str">
            <v>30048217-4</v>
          </cell>
          <cell r="B26" t="str">
            <v>1.6 x 36+/-0.5 x 1219</v>
          </cell>
          <cell r="C26">
            <v>1.6</v>
          </cell>
          <cell r="D26">
            <v>36</v>
          </cell>
          <cell r="E26">
            <v>1219</v>
          </cell>
          <cell r="F26">
            <v>0.55118304000000007</v>
          </cell>
          <cell r="G26">
            <v>122</v>
          </cell>
          <cell r="H26">
            <v>77004125</v>
          </cell>
          <cell r="I26" t="str">
            <v>SPHC-P/O</v>
          </cell>
          <cell r="J26" t="str">
            <v>STAY C CHAIN CASE</v>
          </cell>
          <cell r="K26" t="str">
            <v>52133-KPH-9000-H1</v>
          </cell>
          <cell r="L26" t="str">
            <v>Honda</v>
          </cell>
          <cell r="M26" t="str">
            <v>SPHC-P/O</v>
          </cell>
          <cell r="N26" t="str">
            <v>STAY C CHAIN CASE</v>
          </cell>
          <cell r="O26" t="str">
            <v>52133-KPH-9000-H1</v>
          </cell>
          <cell r="P26" t="str">
            <v>Honda</v>
          </cell>
          <cell r="Q26" t="str">
            <v>ptt</v>
          </cell>
          <cell r="R26">
            <v>200</v>
          </cell>
        </row>
        <row r="27">
          <cell r="A27">
            <v>30000416</v>
          </cell>
          <cell r="B27" t="str">
            <v>3.2 x 45+/-0.5 x 1219</v>
          </cell>
          <cell r="C27">
            <v>3.2</v>
          </cell>
          <cell r="D27">
            <v>45</v>
          </cell>
          <cell r="E27">
            <v>1219</v>
          </cell>
          <cell r="F27">
            <v>1.3779575999999998</v>
          </cell>
          <cell r="G27">
            <v>152</v>
          </cell>
          <cell r="H27">
            <v>77004904</v>
          </cell>
          <cell r="I27" t="str">
            <v>SPCC-SD</v>
          </cell>
          <cell r="J27" t="str">
            <v>PLATE B</v>
          </cell>
          <cell r="K27" t="str">
            <v>53108-KRSH-6900-03</v>
          </cell>
          <cell r="L27" t="str">
            <v>Honda</v>
          </cell>
          <cell r="M27" t="str">
            <v>SPCC-SD</v>
          </cell>
          <cell r="N27" t="str">
            <v>PLATE B</v>
          </cell>
          <cell r="O27" t="str">
            <v>53108-KRSH-6900-03</v>
          </cell>
          <cell r="P27" t="str">
            <v>Honda</v>
          </cell>
          <cell r="Q27" t="str">
            <v>เสนอราคาเป็น Price Sourcing</v>
          </cell>
        </row>
        <row r="28">
          <cell r="A28">
            <v>30000429</v>
          </cell>
          <cell r="B28" t="str">
            <v>1.4 x 54+/-0.5 x 1219</v>
          </cell>
          <cell r="C28">
            <v>1.4</v>
          </cell>
          <cell r="D28">
            <v>54</v>
          </cell>
          <cell r="E28">
            <v>1219</v>
          </cell>
          <cell r="F28">
            <v>0.72342773999999987</v>
          </cell>
          <cell r="G28">
            <v>85</v>
          </cell>
          <cell r="H28">
            <v>77004659</v>
          </cell>
          <cell r="I28" t="str">
            <v>SPCC-SD</v>
          </cell>
          <cell r="J28" t="str">
            <v>CLAMPER</v>
          </cell>
          <cell r="K28" t="str">
            <v>53115-KRSH-6100-08</v>
          </cell>
          <cell r="L28" t="str">
            <v>KRSK</v>
          </cell>
          <cell r="M28" t="str">
            <v>SPCC-SD</v>
          </cell>
          <cell r="N28" t="str">
            <v>CLAMPER</v>
          </cell>
          <cell r="O28" t="str">
            <v>53115-KRSH-6100-08</v>
          </cell>
          <cell r="P28" t="str">
            <v>KRSK</v>
          </cell>
          <cell r="Q28" t="str">
            <v>ptt</v>
          </cell>
        </row>
        <row r="29">
          <cell r="A29">
            <v>30001525</v>
          </cell>
          <cell r="B29" t="str">
            <v>1.0 x 87+/-0.5 x 1219</v>
          </cell>
          <cell r="C29">
            <v>1</v>
          </cell>
          <cell r="D29">
            <v>87</v>
          </cell>
          <cell r="E29">
            <v>1219</v>
          </cell>
          <cell r="F29">
            <v>0.83251604999999995</v>
          </cell>
          <cell r="G29">
            <v>89</v>
          </cell>
          <cell r="H29">
            <v>77004076</v>
          </cell>
          <cell r="I29" t="str">
            <v>SPCC-SD</v>
          </cell>
          <cell r="J29" t="str">
            <v>CLIP 3*80</v>
          </cell>
          <cell r="K29" t="str">
            <v>94591-18000</v>
          </cell>
          <cell r="L29" t="str">
            <v>GEZA</v>
          </cell>
          <cell r="M29" t="str">
            <v>SPCC-SD</v>
          </cell>
          <cell r="N29" t="str">
            <v>CLIP 3*80</v>
          </cell>
          <cell r="O29" t="str">
            <v>94591-18000</v>
          </cell>
          <cell r="P29" t="str">
            <v>GEZA</v>
          </cell>
          <cell r="Q29" t="str">
            <v>ptt</v>
          </cell>
        </row>
        <row r="30">
          <cell r="A30">
            <v>30002513</v>
          </cell>
          <cell r="B30" t="str">
            <v>2.3 x 62+/-0.5 x 1219</v>
          </cell>
          <cell r="C30">
            <v>2.2999999999999998</v>
          </cell>
          <cell r="D30">
            <v>62</v>
          </cell>
          <cell r="E30">
            <v>1219</v>
          </cell>
          <cell r="F30">
            <v>1.3645607899999999</v>
          </cell>
          <cell r="H30">
            <v>77004721</v>
          </cell>
          <cell r="I30" t="str">
            <v>SPCC-SD</v>
          </cell>
          <cell r="J30" t="str">
            <v xml:space="preserve">PEDAL BRAKE </v>
          </cell>
          <cell r="K30" t="str">
            <v>46500-KGH-9000-01</v>
          </cell>
          <cell r="L30" t="str">
            <v>Honda</v>
          </cell>
          <cell r="M30" t="str">
            <v>SPCC-SD</v>
          </cell>
          <cell r="N30" t="str">
            <v xml:space="preserve">PEDAL BRAKE </v>
          </cell>
          <cell r="O30" t="str">
            <v>46500-KGH-9000-01</v>
          </cell>
          <cell r="P30" t="str">
            <v>Honda</v>
          </cell>
          <cell r="Q30" t="str">
            <v>เสนอราคาเป็น Price Sourcing</v>
          </cell>
        </row>
        <row r="31">
          <cell r="A31">
            <v>30002516</v>
          </cell>
          <cell r="B31" t="str">
            <v>6.0 x 67+/-0.5 x 1219</v>
          </cell>
          <cell r="C31">
            <v>6</v>
          </cell>
          <cell r="D31">
            <v>67</v>
          </cell>
          <cell r="E31">
            <v>1219</v>
          </cell>
          <cell r="F31">
            <v>3.8467982999999997</v>
          </cell>
          <cell r="G31">
            <v>60</v>
          </cell>
          <cell r="H31">
            <v>77004740</v>
          </cell>
          <cell r="I31" t="str">
            <v>SPHC-P/O</v>
          </cell>
          <cell r="J31" t="str">
            <v xml:space="preserve">ARM TIE ROD </v>
          </cell>
          <cell r="K31" t="str">
            <v>24701-KPP-900</v>
          </cell>
          <cell r="L31" t="str">
            <v>KPPA</v>
          </cell>
          <cell r="M31" t="str">
            <v>SPHC-P/O</v>
          </cell>
          <cell r="N31" t="str">
            <v xml:space="preserve">ARM TIE ROD </v>
          </cell>
          <cell r="O31" t="str">
            <v>24701-KPP-900</v>
          </cell>
          <cell r="P31" t="str">
            <v>KPPA</v>
          </cell>
          <cell r="Q31" t="str">
            <v>ptt</v>
          </cell>
        </row>
        <row r="32">
          <cell r="A32">
            <v>30002524</v>
          </cell>
          <cell r="B32" t="str">
            <v>3.0 x 78+/-0.5 x 1219</v>
          </cell>
          <cell r="C32">
            <v>3</v>
          </cell>
          <cell r="D32">
            <v>78</v>
          </cell>
          <cell r="E32">
            <v>1219</v>
          </cell>
          <cell r="F32">
            <v>2.2391811000000001</v>
          </cell>
          <cell r="G32">
            <v>23</v>
          </cell>
          <cell r="H32">
            <v>77004115</v>
          </cell>
          <cell r="I32" t="str">
            <v>SPCC-SD</v>
          </cell>
          <cell r="J32" t="str">
            <v>STAY HELMET HOLDER</v>
          </cell>
          <cell r="K32" t="str">
            <v>50206-GEZ-3002</v>
          </cell>
          <cell r="L32" t="str">
            <v>Honda</v>
          </cell>
          <cell r="M32" t="str">
            <v>SPCC-SD</v>
          </cell>
          <cell r="N32" t="str">
            <v>STAY HELMET HOLDER</v>
          </cell>
          <cell r="O32" t="str">
            <v>50206-GEZ-3002</v>
          </cell>
          <cell r="P32" t="str">
            <v>Honda</v>
          </cell>
          <cell r="Q32" t="str">
            <v>ptt</v>
          </cell>
        </row>
        <row r="33">
          <cell r="A33">
            <v>30002525</v>
          </cell>
          <cell r="B33" t="str">
            <v>2.0 x 148+/-0.5 x 1219</v>
          </cell>
          <cell r="C33">
            <v>2</v>
          </cell>
          <cell r="D33">
            <v>148</v>
          </cell>
          <cell r="E33">
            <v>1219</v>
          </cell>
          <cell r="F33">
            <v>2.8324683999999998</v>
          </cell>
          <cell r="G33">
            <v>15</v>
          </cell>
          <cell r="H33">
            <v>77004101</v>
          </cell>
          <cell r="I33" t="str">
            <v>SPCC-SD</v>
          </cell>
          <cell r="J33" t="str">
            <v>BRKT L SEAT RAIL</v>
          </cell>
          <cell r="K33" t="str">
            <v>50203-GEZ-3001</v>
          </cell>
          <cell r="L33" t="str">
            <v>Honda</v>
          </cell>
          <cell r="M33" t="str">
            <v>SPCC-SD</v>
          </cell>
          <cell r="N33" t="str">
            <v>BRKT L SEAT RAIL</v>
          </cell>
          <cell r="O33" t="str">
            <v>50203-GEZ-3001</v>
          </cell>
          <cell r="P33" t="str">
            <v>Honda</v>
          </cell>
          <cell r="Q33" t="str">
            <v>ptt</v>
          </cell>
        </row>
        <row r="34">
          <cell r="A34">
            <v>30002526</v>
          </cell>
          <cell r="B34" t="str">
            <v>2.0 x 148+/-0.5 x 1219</v>
          </cell>
          <cell r="C34">
            <v>2</v>
          </cell>
          <cell r="D34">
            <v>148</v>
          </cell>
          <cell r="E34">
            <v>1219</v>
          </cell>
          <cell r="F34">
            <v>2.8324683999999998</v>
          </cell>
          <cell r="G34">
            <v>15</v>
          </cell>
          <cell r="H34">
            <v>77004101</v>
          </cell>
          <cell r="I34" t="str">
            <v>SPCC-SD</v>
          </cell>
          <cell r="J34" t="str">
            <v xml:space="preserve">BRKT R SEAT RAIL </v>
          </cell>
          <cell r="K34" t="str">
            <v>50202-GEZ-3001</v>
          </cell>
          <cell r="L34" t="str">
            <v>Honda</v>
          </cell>
          <cell r="M34" t="str">
            <v>SPCC-SD</v>
          </cell>
          <cell r="N34" t="str">
            <v xml:space="preserve">BRKT R SEAT RAIL </v>
          </cell>
          <cell r="O34" t="str">
            <v>50202-GEZ-3001</v>
          </cell>
          <cell r="P34" t="str">
            <v>Honda</v>
          </cell>
          <cell r="Q34" t="str">
            <v>ptt</v>
          </cell>
        </row>
        <row r="35">
          <cell r="A35">
            <v>30002535</v>
          </cell>
          <cell r="B35" t="str">
            <v>2.3 x 88+/-0.5 x 1219</v>
          </cell>
          <cell r="C35">
            <v>2.2999999999999998</v>
          </cell>
          <cell r="D35">
            <v>88</v>
          </cell>
          <cell r="E35">
            <v>1219</v>
          </cell>
          <cell r="F35">
            <v>1.9367959599999998</v>
          </cell>
          <cell r="G35">
            <v>11</v>
          </cell>
          <cell r="H35">
            <v>77004106</v>
          </cell>
          <cell r="I35" t="str">
            <v>SPCC-SD</v>
          </cell>
          <cell r="J35" t="str">
            <v xml:space="preserve">STAY TAIL LIGHT </v>
          </cell>
          <cell r="K35" t="str">
            <v>50150-GEZG-6701-20</v>
          </cell>
          <cell r="L35" t="str">
            <v>Honda</v>
          </cell>
          <cell r="M35" t="str">
            <v>SPCC-SD</v>
          </cell>
          <cell r="N35" t="str">
            <v xml:space="preserve">STAY TAIL LIGHT </v>
          </cell>
          <cell r="O35" t="str">
            <v>50150-GEZG-6701-20</v>
          </cell>
          <cell r="P35" t="str">
            <v>Honda</v>
          </cell>
          <cell r="Q35" t="str">
            <v>ptt</v>
          </cell>
        </row>
        <row r="36">
          <cell r="A36">
            <v>30002537</v>
          </cell>
          <cell r="B36" t="str">
            <v>3.2 x 280+/-0.5 x 1219</v>
          </cell>
          <cell r="C36">
            <v>3.2</v>
          </cell>
          <cell r="D36">
            <v>280</v>
          </cell>
          <cell r="E36">
            <v>1219</v>
          </cell>
          <cell r="F36">
            <v>8.5739584000000004</v>
          </cell>
          <cell r="G36">
            <v>18</v>
          </cell>
          <cell r="H36">
            <v>77004120</v>
          </cell>
          <cell r="I36" t="str">
            <v>SPCC-SD</v>
          </cell>
          <cell r="J36" t="str">
            <v>STIFFINER L PIVOT</v>
          </cell>
          <cell r="K36" t="str">
            <v>50146-GEZ-3000</v>
          </cell>
          <cell r="L36" t="str">
            <v>Honda</v>
          </cell>
          <cell r="M36" t="str">
            <v>SPCC-SD</v>
          </cell>
          <cell r="N36" t="str">
            <v>STIFFINER L PIVOT</v>
          </cell>
          <cell r="O36" t="str">
            <v>50146-GEZ-3000</v>
          </cell>
          <cell r="P36" t="str">
            <v>Honda</v>
          </cell>
          <cell r="Q36" t="str">
            <v>ptt</v>
          </cell>
        </row>
        <row r="37">
          <cell r="A37">
            <v>30002538</v>
          </cell>
          <cell r="B37" t="str">
            <v>2.6 x 75+/-0.5 x 1219</v>
          </cell>
          <cell r="C37">
            <v>2.6</v>
          </cell>
          <cell r="D37">
            <v>75</v>
          </cell>
          <cell r="E37">
            <v>1219</v>
          </cell>
          <cell r="F37">
            <v>1.8659842499999999</v>
          </cell>
          <cell r="G37">
            <v>15</v>
          </cell>
          <cell r="H37">
            <v>77004111</v>
          </cell>
          <cell r="I37" t="str">
            <v>SPCC-SD</v>
          </cell>
          <cell r="J37" t="str">
            <v xml:space="preserve">STAY </v>
          </cell>
          <cell r="K37" t="str">
            <v>50136-GEZ-3000</v>
          </cell>
          <cell r="L37" t="str">
            <v>Honda</v>
          </cell>
          <cell r="M37" t="str">
            <v>SPCC-SD</v>
          </cell>
          <cell r="N37" t="str">
            <v xml:space="preserve">STAY </v>
          </cell>
          <cell r="O37" t="str">
            <v>50136-GEZ-3000</v>
          </cell>
          <cell r="P37" t="str">
            <v>Honda</v>
          </cell>
          <cell r="Q37" t="str">
            <v>ptt</v>
          </cell>
        </row>
        <row r="38">
          <cell r="A38">
            <v>30002539</v>
          </cell>
          <cell r="B38" t="str">
            <v>2.6 x 102+/-0.5 x 1219</v>
          </cell>
          <cell r="C38">
            <v>2.6</v>
          </cell>
          <cell r="D38">
            <v>102</v>
          </cell>
          <cell r="E38">
            <v>1219</v>
          </cell>
          <cell r="F38">
            <v>2.5377385799999996</v>
          </cell>
          <cell r="G38">
            <v>28</v>
          </cell>
          <cell r="H38">
            <v>77004113</v>
          </cell>
          <cell r="I38" t="str">
            <v>SPCC-SD</v>
          </cell>
          <cell r="J38" t="str">
            <v xml:space="preserve">STAY </v>
          </cell>
          <cell r="K38" t="str">
            <v>50132-GEZ-3000</v>
          </cell>
          <cell r="L38" t="str">
            <v>Honda</v>
          </cell>
          <cell r="M38" t="str">
            <v>SPCC-SD</v>
          </cell>
          <cell r="N38" t="str">
            <v xml:space="preserve">STAY </v>
          </cell>
          <cell r="O38" t="str">
            <v>50132-GEZ-3000</v>
          </cell>
          <cell r="P38" t="str">
            <v>Honda</v>
          </cell>
          <cell r="Q38" t="str">
            <v>ptt</v>
          </cell>
        </row>
        <row r="39">
          <cell r="A39">
            <v>30002542</v>
          </cell>
          <cell r="B39" t="str">
            <v>2.3 x 260+/-0.5 x 1219 โก่ง 2 มม./เน้นเรียบ</v>
          </cell>
          <cell r="C39">
            <v>2.2999999999999998</v>
          </cell>
          <cell r="D39">
            <v>260</v>
          </cell>
          <cell r="E39">
            <v>1219</v>
          </cell>
          <cell r="F39">
            <v>5.7223516999999999</v>
          </cell>
          <cell r="G39">
            <v>12</v>
          </cell>
          <cell r="H39">
            <v>77004110</v>
          </cell>
          <cell r="I39" t="str">
            <v>SPCC-SD</v>
          </cell>
          <cell r="J39" t="str">
            <v xml:space="preserve">PLATE </v>
          </cell>
          <cell r="K39" t="str">
            <v>50127-GEZ-3002 2 HOLE</v>
          </cell>
          <cell r="L39" t="str">
            <v>Honda</v>
          </cell>
          <cell r="M39" t="str">
            <v>SPCC-SD</v>
          </cell>
          <cell r="N39" t="str">
            <v xml:space="preserve">PLATE </v>
          </cell>
          <cell r="O39" t="str">
            <v>50127-GEZ-3002 2 HOLE</v>
          </cell>
          <cell r="P39" t="str">
            <v>Honda</v>
          </cell>
          <cell r="Q39" t="str">
            <v>ptt</v>
          </cell>
        </row>
        <row r="40">
          <cell r="A40">
            <v>30002544</v>
          </cell>
          <cell r="B40" t="str">
            <v>3.2 x 170+/-0.5 x 1219</v>
          </cell>
          <cell r="C40">
            <v>3.2</v>
          </cell>
          <cell r="D40">
            <v>170</v>
          </cell>
          <cell r="E40">
            <v>1219</v>
          </cell>
          <cell r="F40">
            <v>5.2056176000000001</v>
          </cell>
          <cell r="G40">
            <v>8</v>
          </cell>
          <cell r="H40">
            <v>77004118</v>
          </cell>
          <cell r="I40" t="str">
            <v>SPCC-SD</v>
          </cell>
          <cell r="J40" t="str">
            <v>BRKT L</v>
          </cell>
          <cell r="K40" t="str">
            <v>50124-GEZ-3100</v>
          </cell>
          <cell r="L40" t="str">
            <v>Honda</v>
          </cell>
          <cell r="M40" t="str">
            <v>SPCC-SD</v>
          </cell>
          <cell r="N40" t="str">
            <v>BRKT L</v>
          </cell>
          <cell r="O40" t="str">
            <v>50124-GEZ-3100</v>
          </cell>
          <cell r="P40" t="str">
            <v>Honda</v>
          </cell>
          <cell r="Q40" t="str">
            <v>ptt</v>
          </cell>
        </row>
        <row r="41">
          <cell r="A41">
            <v>30002545</v>
          </cell>
          <cell r="B41" t="str">
            <v>3.2 x 170+/-0.5 x 1219</v>
          </cell>
          <cell r="C41">
            <v>3.2</v>
          </cell>
          <cell r="D41">
            <v>170</v>
          </cell>
          <cell r="E41">
            <v>1219</v>
          </cell>
          <cell r="F41">
            <v>5.2056176000000001</v>
          </cell>
          <cell r="G41">
            <v>8</v>
          </cell>
          <cell r="H41">
            <v>77004118</v>
          </cell>
          <cell r="I41" t="str">
            <v>SPCC-SD</v>
          </cell>
          <cell r="J41" t="str">
            <v xml:space="preserve">BRKT R </v>
          </cell>
          <cell r="K41" t="str">
            <v>50134-GEZ-3100</v>
          </cell>
          <cell r="L41" t="str">
            <v>Honda</v>
          </cell>
          <cell r="M41" t="str">
            <v>SPCC-SD</v>
          </cell>
          <cell r="N41" t="str">
            <v xml:space="preserve">BRKT R </v>
          </cell>
          <cell r="O41" t="str">
            <v>50134-GEZ-3100</v>
          </cell>
          <cell r="P41" t="str">
            <v>Honda</v>
          </cell>
          <cell r="Q41" t="str">
            <v>ptt</v>
          </cell>
        </row>
        <row r="42">
          <cell r="A42">
            <v>30002572</v>
          </cell>
          <cell r="B42" t="str">
            <v>2.6 x 64+/-0.5 x 1219</v>
          </cell>
          <cell r="C42">
            <v>2.6</v>
          </cell>
          <cell r="D42">
            <v>64</v>
          </cell>
          <cell r="E42">
            <v>1219</v>
          </cell>
          <cell r="F42">
            <v>1.5923065600000001</v>
          </cell>
          <cell r="G42">
            <v>56</v>
          </cell>
          <cell r="H42">
            <v>77004728</v>
          </cell>
          <cell r="I42" t="str">
            <v>SPCC-SD</v>
          </cell>
          <cell r="J42" t="str">
            <v xml:space="preserve">PATCH HANDLE PIPE </v>
          </cell>
          <cell r="K42" t="str">
            <v>53116-KRS-6900-H1</v>
          </cell>
          <cell r="L42" t="str">
            <v>Honda</v>
          </cell>
          <cell r="M42" t="str">
            <v>SPCC-SD</v>
          </cell>
          <cell r="N42" t="str">
            <v xml:space="preserve">PATCH HANDLE PIPE </v>
          </cell>
          <cell r="O42" t="str">
            <v>53116-KRS-6900-H1</v>
          </cell>
          <cell r="P42" t="str">
            <v>Honda</v>
          </cell>
          <cell r="Q42" t="str">
            <v>ptt</v>
          </cell>
        </row>
        <row r="43">
          <cell r="A43">
            <v>30002573</v>
          </cell>
          <cell r="B43" t="str">
            <v>1.4 x 45+/-0.5 x 1219</v>
          </cell>
          <cell r="C43">
            <v>1.4</v>
          </cell>
          <cell r="D43">
            <v>45</v>
          </cell>
          <cell r="E43">
            <v>1219</v>
          </cell>
          <cell r="F43">
            <v>0.60285644999999988</v>
          </cell>
          <cell r="G43">
            <v>36</v>
          </cell>
          <cell r="H43">
            <v>77004701</v>
          </cell>
          <cell r="I43" t="str">
            <v>SPCC-SD</v>
          </cell>
          <cell r="J43" t="str">
            <v xml:space="preserve">STAY L HANDLE COVER </v>
          </cell>
          <cell r="K43" t="str">
            <v>53100-KEVA-9000-04</v>
          </cell>
          <cell r="L43" t="str">
            <v>Honda</v>
          </cell>
          <cell r="M43" t="str">
            <v>SPCC-SD</v>
          </cell>
          <cell r="N43" t="str">
            <v xml:space="preserve">STAY L HANDLE COVER </v>
          </cell>
          <cell r="O43" t="str">
            <v>53100-KEVA-9000-04</v>
          </cell>
          <cell r="P43" t="str">
            <v>Honda</v>
          </cell>
          <cell r="Q43" t="str">
            <v>ptt</v>
          </cell>
        </row>
        <row r="44">
          <cell r="A44">
            <v>30002574</v>
          </cell>
          <cell r="B44" t="str">
            <v>1.4 x 45+/-0.5 x 1219</v>
          </cell>
          <cell r="C44">
            <v>1.4</v>
          </cell>
          <cell r="D44">
            <v>45</v>
          </cell>
          <cell r="E44">
            <v>1219</v>
          </cell>
          <cell r="F44">
            <v>0.60285644999999988</v>
          </cell>
          <cell r="G44">
            <v>36</v>
          </cell>
          <cell r="H44">
            <v>77004701</v>
          </cell>
          <cell r="I44" t="str">
            <v>SPCC-SD</v>
          </cell>
          <cell r="J44" t="str">
            <v>STAY R HANDLE COVER</v>
          </cell>
          <cell r="K44" t="str">
            <v>53100-KEVA-9000-03</v>
          </cell>
          <cell r="L44" t="str">
            <v>Honda</v>
          </cell>
          <cell r="M44" t="str">
            <v>SPCC-SD</v>
          </cell>
          <cell r="N44" t="str">
            <v>STAY R HANDLE COVER</v>
          </cell>
          <cell r="O44" t="str">
            <v>53100-KEVA-9000-03</v>
          </cell>
          <cell r="P44" t="str">
            <v>Honda</v>
          </cell>
          <cell r="Q44" t="str">
            <v>ptt</v>
          </cell>
        </row>
        <row r="45">
          <cell r="A45">
            <v>30002575</v>
          </cell>
          <cell r="B45" t="str">
            <v>2.3 x 85+/-0.5 x 1219</v>
          </cell>
          <cell r="C45">
            <v>2.2999999999999998</v>
          </cell>
          <cell r="D45">
            <v>85</v>
          </cell>
          <cell r="E45">
            <v>1219</v>
          </cell>
          <cell r="F45">
            <v>1.8707688249999996</v>
          </cell>
          <cell r="G45">
            <v>20</v>
          </cell>
          <cell r="H45">
            <v>77004535</v>
          </cell>
          <cell r="I45" t="str">
            <v>SPHC-P/O</v>
          </cell>
          <cell r="J45" t="str">
            <v>BRKT MIRROR</v>
          </cell>
          <cell r="K45" t="str">
            <v>53103-KEV-9000-H1</v>
          </cell>
          <cell r="L45" t="str">
            <v>Honda</v>
          </cell>
          <cell r="M45" t="str">
            <v>SPHC-P/O</v>
          </cell>
          <cell r="N45" t="str">
            <v>BRKT MIRROR</v>
          </cell>
          <cell r="O45" t="str">
            <v>53103-KEV-9000-H1</v>
          </cell>
          <cell r="P45" t="str">
            <v>Honda</v>
          </cell>
          <cell r="Q45" t="str">
            <v>ptt</v>
          </cell>
        </row>
        <row r="46">
          <cell r="A46">
            <v>30002576</v>
          </cell>
          <cell r="B46" t="str">
            <v>2.6 x 110+/-0.5 x 1219</v>
          </cell>
          <cell r="C46">
            <v>2.6</v>
          </cell>
          <cell r="D46">
            <v>110</v>
          </cell>
          <cell r="E46">
            <v>1219</v>
          </cell>
          <cell r="F46">
            <v>2.7367768999999997</v>
          </cell>
          <cell r="G46">
            <v>8</v>
          </cell>
          <cell r="H46">
            <v>77004729</v>
          </cell>
          <cell r="I46" t="str">
            <v>SPCC-SD</v>
          </cell>
          <cell r="J46" t="str">
            <v xml:space="preserve">BRKT HANDLE </v>
          </cell>
          <cell r="K46" t="str">
            <v>53100-KRSH-6901-02</v>
          </cell>
          <cell r="L46" t="str">
            <v>Honda</v>
          </cell>
          <cell r="M46" t="str">
            <v>SPCC-SD</v>
          </cell>
          <cell r="N46" t="str">
            <v xml:space="preserve">BRKT HANDLE </v>
          </cell>
          <cell r="O46" t="str">
            <v>53100-KRSH-6901-02</v>
          </cell>
          <cell r="P46" t="str">
            <v>Honda</v>
          </cell>
          <cell r="Q46" t="str">
            <v>ptt</v>
          </cell>
          <cell r="R46">
            <v>100</v>
          </cell>
        </row>
        <row r="47">
          <cell r="A47">
            <v>30002587</v>
          </cell>
          <cell r="B47" t="str">
            <v>2.6 x 229+/-0.5 x 1219</v>
          </cell>
          <cell r="C47">
            <v>2.6</v>
          </cell>
          <cell r="D47">
            <v>229</v>
          </cell>
          <cell r="E47">
            <v>1219</v>
          </cell>
          <cell r="F47">
            <v>5.6974719099999991</v>
          </cell>
          <cell r="G47">
            <v>40</v>
          </cell>
          <cell r="H47">
            <v>77005455</v>
          </cell>
          <cell r="I47" t="str">
            <v>SPHC-P/O</v>
          </cell>
          <cell r="J47" t="str">
            <v xml:space="preserve">LEVER CAM SHAFT 2  </v>
          </cell>
          <cell r="K47" t="str">
            <v>5YP-F5356-00</v>
          </cell>
          <cell r="L47" t="str">
            <v>5YP1</v>
          </cell>
          <cell r="M47" t="str">
            <v>SPHC-P/O</v>
          </cell>
          <cell r="N47" t="str">
            <v xml:space="preserve">LEVER CAM SHAFT 2  </v>
          </cell>
          <cell r="O47" t="str">
            <v>5YP-F5356-00</v>
          </cell>
          <cell r="P47" t="str">
            <v>5YP1</v>
          </cell>
          <cell r="Q47" t="str">
            <v>bm</v>
          </cell>
        </row>
        <row r="48">
          <cell r="A48">
            <v>30002588</v>
          </cell>
          <cell r="B48" t="str">
            <v>1.6 x 184+/-0.5 x 1219</v>
          </cell>
          <cell r="C48">
            <v>1.6</v>
          </cell>
          <cell r="D48">
            <v>184</v>
          </cell>
          <cell r="E48">
            <v>1219</v>
          </cell>
          <cell r="F48">
            <v>2.8171577600000002</v>
          </cell>
          <cell r="G48">
            <v>26</v>
          </cell>
          <cell r="H48">
            <v>77005334</v>
          </cell>
          <cell r="I48" t="str">
            <v>SPHC-P/O</v>
          </cell>
          <cell r="J48" t="str">
            <v xml:space="preserve">PULLER.,CHAIN </v>
          </cell>
          <cell r="K48" t="str">
            <v>5TN-F538A-00</v>
          </cell>
          <cell r="L48" t="str">
            <v>5TN1</v>
          </cell>
          <cell r="M48" t="str">
            <v>SPHC-P/O</v>
          </cell>
          <cell r="N48" t="str">
            <v xml:space="preserve">PULLER.,CHAIN </v>
          </cell>
          <cell r="O48" t="str">
            <v>5TN-F538A-00</v>
          </cell>
          <cell r="P48" t="str">
            <v>5TN1</v>
          </cell>
          <cell r="Q48" t="str">
            <v>epc</v>
          </cell>
        </row>
        <row r="49">
          <cell r="A49">
            <v>30002596</v>
          </cell>
          <cell r="B49" t="str">
            <v>1.6 x 107+/-0.5 x 1219</v>
          </cell>
          <cell r="C49">
            <v>1.6</v>
          </cell>
          <cell r="D49">
            <v>107</v>
          </cell>
          <cell r="E49">
            <v>1219</v>
          </cell>
          <cell r="F49">
            <v>1.6382384800000001</v>
          </cell>
          <cell r="G49">
            <v>12</v>
          </cell>
          <cell r="H49">
            <v>77005321</v>
          </cell>
          <cell r="I49" t="str">
            <v>SPHC-P/O</v>
          </cell>
          <cell r="J49" t="str">
            <v>BRKT.,2</v>
          </cell>
          <cell r="K49" t="str">
            <v>1P7-E4718-00-3</v>
          </cell>
          <cell r="L49" t="str">
            <v>1P71</v>
          </cell>
          <cell r="M49" t="str">
            <v>SPHC-P/O</v>
          </cell>
          <cell r="N49" t="str">
            <v>BRKT.,2</v>
          </cell>
          <cell r="O49" t="str">
            <v>1P7-E4718-00-3</v>
          </cell>
          <cell r="P49" t="str">
            <v>1P71</v>
          </cell>
          <cell r="Q49" t="str">
            <v>epc</v>
          </cell>
        </row>
        <row r="50">
          <cell r="A50">
            <v>30002597</v>
          </cell>
          <cell r="B50" t="str">
            <v>1.6 x 107+/-0.5 x 1219</v>
          </cell>
          <cell r="C50">
            <v>1.6</v>
          </cell>
          <cell r="D50">
            <v>107</v>
          </cell>
          <cell r="E50">
            <v>1219</v>
          </cell>
          <cell r="F50">
            <v>1.6382384800000001</v>
          </cell>
          <cell r="G50">
            <v>12</v>
          </cell>
          <cell r="H50">
            <v>77005321</v>
          </cell>
          <cell r="I50" t="str">
            <v>SPHC-P/O</v>
          </cell>
          <cell r="J50" t="str">
            <v>BRKT.,1</v>
          </cell>
          <cell r="K50" t="str">
            <v>1P7-E4718-00-2</v>
          </cell>
          <cell r="L50" t="str">
            <v>1P71</v>
          </cell>
          <cell r="M50" t="str">
            <v>SPHC-P/O</v>
          </cell>
          <cell r="N50" t="str">
            <v>BRKT.,1</v>
          </cell>
          <cell r="O50" t="str">
            <v>1P7-E4718-00-2</v>
          </cell>
          <cell r="P50" t="str">
            <v>1P71</v>
          </cell>
          <cell r="Q50" t="str">
            <v>epc</v>
          </cell>
        </row>
        <row r="51">
          <cell r="A51">
            <v>30002853</v>
          </cell>
          <cell r="B51" t="str">
            <v>4.5 x 145+/-0.5 x 1219</v>
          </cell>
          <cell r="C51">
            <v>4.5</v>
          </cell>
          <cell r="D51">
            <v>145</v>
          </cell>
          <cell r="E51">
            <v>1219</v>
          </cell>
          <cell r="F51">
            <v>6.2438703750000002</v>
          </cell>
          <cell r="G51">
            <v>34</v>
          </cell>
          <cell r="H51">
            <v>77004736</v>
          </cell>
          <cell r="I51" t="str">
            <v>SPHC-P/O</v>
          </cell>
          <cell r="J51" t="str">
            <v>ARM</v>
          </cell>
          <cell r="K51" t="str">
            <v>24701-KPP-9000</v>
          </cell>
          <cell r="L51" t="str">
            <v>KPPA</v>
          </cell>
          <cell r="M51" t="str">
            <v>SPHC-P/O</v>
          </cell>
          <cell r="N51" t="str">
            <v>ARM</v>
          </cell>
          <cell r="O51" t="str">
            <v>24701-KPP-9000</v>
          </cell>
          <cell r="P51" t="str">
            <v>KPPA</v>
          </cell>
          <cell r="Q51" t="str">
            <v>ptt</v>
          </cell>
        </row>
        <row r="52">
          <cell r="A52" t="str">
            <v>30007789-1</v>
          </cell>
          <cell r="B52" t="str">
            <v>1.6 x 65+/-0.5 x 1219</v>
          </cell>
          <cell r="C52">
            <v>1.6</v>
          </cell>
          <cell r="D52">
            <v>65</v>
          </cell>
          <cell r="E52">
            <v>1219</v>
          </cell>
          <cell r="F52">
            <v>0.99519159999999995</v>
          </cell>
          <cell r="G52">
            <v>43</v>
          </cell>
          <cell r="H52">
            <v>77005363</v>
          </cell>
          <cell r="I52" t="str">
            <v>SPHC-P/O</v>
          </cell>
          <cell r="J52" t="str">
            <v>BRKT-1130</v>
          </cell>
          <cell r="K52" t="str">
            <v>11055-1130</v>
          </cell>
          <cell r="L52" t="str">
            <v>LX250S</v>
          </cell>
          <cell r="M52" t="str">
            <v>SPHC-P/O</v>
          </cell>
          <cell r="N52" t="str">
            <v>BRKT-1130</v>
          </cell>
          <cell r="O52" t="str">
            <v>11055-1130</v>
          </cell>
          <cell r="P52" t="str">
            <v>LX250S</v>
          </cell>
          <cell r="Q52" t="str">
            <v>epc</v>
          </cell>
        </row>
        <row r="53">
          <cell r="A53">
            <v>30009929</v>
          </cell>
          <cell r="B53" t="str">
            <v>1.6 x 150+/-0.5 x 1219</v>
          </cell>
          <cell r="C53">
            <v>1.6</v>
          </cell>
          <cell r="D53">
            <v>150</v>
          </cell>
          <cell r="E53">
            <v>1219</v>
          </cell>
          <cell r="F53">
            <v>2.2965960000000001</v>
          </cell>
          <cell r="G53">
            <v>13</v>
          </cell>
          <cell r="H53">
            <v>77004706</v>
          </cell>
          <cell r="I53" t="str">
            <v>SPHC-P/O</v>
          </cell>
          <cell r="J53" t="str">
            <v>GUSSSET COMP HDL PIPE</v>
          </cell>
          <cell r="K53" t="str">
            <v>53100-KWWA-6006-02</v>
          </cell>
          <cell r="L53" t="str">
            <v>KWWA</v>
          </cell>
          <cell r="M53" t="str">
            <v>SPHC-P/O</v>
          </cell>
          <cell r="N53" t="str">
            <v>GUSSSET COMP HDL PIPE</v>
          </cell>
          <cell r="O53" t="str">
            <v>53100-KWWA-6006-02</v>
          </cell>
          <cell r="P53" t="str">
            <v>KWWA</v>
          </cell>
          <cell r="Q53" t="str">
            <v>เสนอราคาเป็น Price Sourcing</v>
          </cell>
          <cell r="R53">
            <v>150</v>
          </cell>
        </row>
        <row r="54">
          <cell r="A54">
            <v>30010114</v>
          </cell>
          <cell r="B54" t="str">
            <v>3.2 x 96+/-0.5 x 1219</v>
          </cell>
          <cell r="C54">
            <v>3.2</v>
          </cell>
          <cell r="D54">
            <v>96</v>
          </cell>
          <cell r="E54">
            <v>1219</v>
          </cell>
          <cell r="F54">
            <v>2.9396428800000005</v>
          </cell>
          <cell r="G54">
            <v>20</v>
          </cell>
          <cell r="H54">
            <v>77005518</v>
          </cell>
          <cell r="I54" t="str">
            <v>SPHC-P/O</v>
          </cell>
          <cell r="J54" t="str">
            <v>BRKT -114</v>
          </cell>
          <cell r="K54" t="str">
            <v>5OP-F2163-00</v>
          </cell>
          <cell r="L54" t="str">
            <v>50P1</v>
          </cell>
          <cell r="M54" t="str">
            <v>SPHC-P/O</v>
          </cell>
          <cell r="N54" t="str">
            <v>BRKT -114</v>
          </cell>
          <cell r="O54" t="str">
            <v>5OP-F2163-00</v>
          </cell>
          <cell r="P54" t="str">
            <v>50P1</v>
          </cell>
          <cell r="Q54" t="str">
            <v>epc</v>
          </cell>
        </row>
        <row r="55">
          <cell r="A55" t="str">
            <v>30010115-1</v>
          </cell>
          <cell r="B55" t="str">
            <v>3.2 x 119+/-0.5 x 1219</v>
          </cell>
          <cell r="C55">
            <v>3.2</v>
          </cell>
          <cell r="D55">
            <v>119</v>
          </cell>
          <cell r="E55">
            <v>1219</v>
          </cell>
          <cell r="F55">
            <v>3.6439323199999998</v>
          </cell>
          <cell r="G55">
            <v>34</v>
          </cell>
          <cell r="H55">
            <v>77005481</v>
          </cell>
          <cell r="I55" t="str">
            <v>SPHC-P/O</v>
          </cell>
          <cell r="J55" t="str">
            <v>BRKT -115</v>
          </cell>
          <cell r="K55" t="str">
            <v>5OP-F2164-00</v>
          </cell>
          <cell r="L55" t="str">
            <v>50P1</v>
          </cell>
          <cell r="M55" t="str">
            <v>SPHC-P/O</v>
          </cell>
          <cell r="N55" t="str">
            <v>BRKT -115</v>
          </cell>
          <cell r="O55" t="str">
            <v>5OP-F2164-00</v>
          </cell>
          <cell r="P55" t="str">
            <v>50P1</v>
          </cell>
          <cell r="Q55" t="str">
            <v>tsi</v>
          </cell>
        </row>
        <row r="56">
          <cell r="A56">
            <v>30010116</v>
          </cell>
          <cell r="B56" t="str">
            <v>3.2 x 96+/-0.5 x 1219</v>
          </cell>
          <cell r="C56">
            <v>3.2</v>
          </cell>
          <cell r="D56">
            <v>96</v>
          </cell>
          <cell r="E56">
            <v>1219</v>
          </cell>
          <cell r="F56">
            <v>2.9396428800000005</v>
          </cell>
          <cell r="G56">
            <v>20</v>
          </cell>
          <cell r="H56">
            <v>77005518</v>
          </cell>
          <cell r="I56" t="str">
            <v>SPHC-P/O</v>
          </cell>
          <cell r="J56" t="str">
            <v>BRKT -116</v>
          </cell>
          <cell r="K56" t="str">
            <v>5OP-F2165-00</v>
          </cell>
          <cell r="L56" t="str">
            <v>50P1</v>
          </cell>
          <cell r="M56" t="str">
            <v>SPHC-P/O</v>
          </cell>
          <cell r="N56" t="str">
            <v>BRKT -116</v>
          </cell>
          <cell r="O56" t="str">
            <v>5OP-F2165-00</v>
          </cell>
          <cell r="P56" t="str">
            <v>50P1</v>
          </cell>
          <cell r="Q56" t="str">
            <v>epc</v>
          </cell>
        </row>
        <row r="57">
          <cell r="A57" t="str">
            <v>30010117-1</v>
          </cell>
          <cell r="B57" t="str">
            <v>3.2 x 83+/-0.5 x 1219</v>
          </cell>
          <cell r="C57">
            <v>3.2</v>
          </cell>
          <cell r="D57">
            <v>83</v>
          </cell>
          <cell r="E57">
            <v>1219</v>
          </cell>
          <cell r="F57">
            <v>2.5415662400000003</v>
          </cell>
          <cell r="G57">
            <v>28</v>
          </cell>
          <cell r="H57">
            <v>77005517</v>
          </cell>
          <cell r="I57" t="str">
            <v>SPHC-P/O</v>
          </cell>
          <cell r="J57" t="str">
            <v>BRKT -117</v>
          </cell>
          <cell r="K57" t="str">
            <v>5OP-F2166-00</v>
          </cell>
          <cell r="L57" t="str">
            <v>50P1</v>
          </cell>
          <cell r="M57" t="str">
            <v>SPHC-P/O</v>
          </cell>
          <cell r="N57" t="str">
            <v>BRKT -117</v>
          </cell>
          <cell r="O57" t="str">
            <v>5OP-F2166-00</v>
          </cell>
          <cell r="P57" t="str">
            <v>50P1</v>
          </cell>
          <cell r="Q57" t="str">
            <v>epc</v>
          </cell>
        </row>
        <row r="58">
          <cell r="A58">
            <v>30012716</v>
          </cell>
          <cell r="B58" t="str">
            <v>1.6 x 70+/-0.5 x 1219</v>
          </cell>
          <cell r="C58">
            <v>1.6</v>
          </cell>
          <cell r="D58">
            <v>70</v>
          </cell>
          <cell r="E58">
            <v>1219</v>
          </cell>
          <cell r="F58">
            <v>1.0717448000000001</v>
          </cell>
          <cell r="G58">
            <v>43</v>
          </cell>
          <cell r="H58">
            <v>77004085</v>
          </cell>
          <cell r="I58" t="str">
            <v>SPCC-SD</v>
          </cell>
          <cell r="J58" t="str">
            <v>STAY L SIDE COVER</v>
          </cell>
          <cell r="K58" t="str">
            <v>50166-KPH-7000-H1</v>
          </cell>
          <cell r="L58" t="str">
            <v>KYLG</v>
          </cell>
          <cell r="M58" t="str">
            <v>SPCC-SD</v>
          </cell>
          <cell r="N58" t="str">
            <v>STAY L SIDE COVER</v>
          </cell>
          <cell r="O58" t="str">
            <v>50166-KPH-7000-H1</v>
          </cell>
          <cell r="P58" t="str">
            <v>KYLG</v>
          </cell>
          <cell r="Q58" t="e">
            <v>#N/A</v>
          </cell>
        </row>
        <row r="59">
          <cell r="A59">
            <v>30012717</v>
          </cell>
          <cell r="B59" t="str">
            <v>1.6 x 65+/-0.5 x 1219</v>
          </cell>
          <cell r="C59">
            <v>1.6</v>
          </cell>
          <cell r="D59">
            <v>65</v>
          </cell>
          <cell r="E59">
            <v>1219</v>
          </cell>
          <cell r="F59">
            <v>0.99519159999999995</v>
          </cell>
          <cell r="G59">
            <v>43</v>
          </cell>
          <cell r="I59" t="str">
            <v>SPCC-SD</v>
          </cell>
          <cell r="J59" t="str">
            <v>STAY R SIDE COVER</v>
          </cell>
          <cell r="K59" t="str">
            <v>50165-KPH-7000-H1</v>
          </cell>
          <cell r="L59" t="str">
            <v>KYLG</v>
          </cell>
          <cell r="M59" t="str">
            <v>SPCC-SD</v>
          </cell>
          <cell r="N59" t="str">
            <v>STAY R SIDE COVER</v>
          </cell>
          <cell r="O59" t="str">
            <v>50165-KPH-7000-H1</v>
          </cell>
          <cell r="P59" t="str">
            <v>KYLG</v>
          </cell>
          <cell r="Q59" t="e">
            <v>#N/A</v>
          </cell>
        </row>
        <row r="60">
          <cell r="A60">
            <v>30012717</v>
          </cell>
          <cell r="B60" t="str">
            <v>1.6 x 70+/-0.5 x 1219</v>
          </cell>
          <cell r="C60">
            <v>1.6</v>
          </cell>
          <cell r="D60">
            <v>70</v>
          </cell>
          <cell r="E60">
            <v>1219</v>
          </cell>
          <cell r="F60">
            <v>1.0717448000000001</v>
          </cell>
          <cell r="G60">
            <v>43</v>
          </cell>
          <cell r="H60">
            <v>77004871</v>
          </cell>
          <cell r="I60" t="str">
            <v>SPCC-SD</v>
          </cell>
          <cell r="J60" t="str">
            <v>STAY R SIDE COVER</v>
          </cell>
          <cell r="K60" t="str">
            <v>50165-KPH-7000-H1</v>
          </cell>
          <cell r="L60" t="str">
            <v>KYLG</v>
          </cell>
          <cell r="M60" t="str">
            <v>SPCC-SD</v>
          </cell>
          <cell r="N60" t="str">
            <v>STAY R SIDE COVER</v>
          </cell>
          <cell r="O60" t="str">
            <v>50165-KPH-7000-H1</v>
          </cell>
          <cell r="P60" t="str">
            <v>KYLG</v>
          </cell>
          <cell r="Q60" t="e">
            <v>#N/A</v>
          </cell>
        </row>
        <row r="61">
          <cell r="A61">
            <v>30013042</v>
          </cell>
          <cell r="B61" t="str">
            <v>1.6 x 78+/-0.5 x 1219</v>
          </cell>
          <cell r="C61">
            <v>1.6</v>
          </cell>
          <cell r="D61">
            <v>78</v>
          </cell>
          <cell r="E61">
            <v>1219</v>
          </cell>
          <cell r="F61">
            <v>1.1942299199999999</v>
          </cell>
          <cell r="G61">
            <v>29</v>
          </cell>
          <cell r="H61">
            <v>77004455</v>
          </cell>
          <cell r="I61" t="str">
            <v>SPHC-P/O</v>
          </cell>
          <cell r="J61" t="str">
            <v>STAY G</v>
          </cell>
          <cell r="K61" t="str">
            <v>645221-KPPP-T000-32</v>
          </cell>
          <cell r="L61" t="str">
            <v>Honda</v>
          </cell>
          <cell r="M61" t="str">
            <v>SPHC-P/O</v>
          </cell>
          <cell r="N61" t="str">
            <v>STAY G</v>
          </cell>
          <cell r="O61" t="str">
            <v>645221-KPPP-T000-32</v>
          </cell>
          <cell r="P61" t="str">
            <v>Honda</v>
          </cell>
          <cell r="Q61" t="str">
            <v>ptt</v>
          </cell>
          <cell r="R61">
            <v>200</v>
          </cell>
        </row>
        <row r="62">
          <cell r="A62">
            <v>30013044</v>
          </cell>
          <cell r="B62" t="str">
            <v>1.6 x 78+/-0.5 x 1219</v>
          </cell>
          <cell r="C62">
            <v>1.6</v>
          </cell>
          <cell r="D62">
            <v>78</v>
          </cell>
          <cell r="E62">
            <v>1219</v>
          </cell>
          <cell r="F62">
            <v>1.1942299199999999</v>
          </cell>
          <cell r="G62">
            <v>29</v>
          </cell>
          <cell r="H62">
            <v>77004455</v>
          </cell>
          <cell r="I62" t="str">
            <v>SPHC-P/O</v>
          </cell>
          <cell r="J62" t="str">
            <v>STAY F</v>
          </cell>
          <cell r="K62" t="str">
            <v>645221-KPPP-T000-31</v>
          </cell>
          <cell r="L62" t="str">
            <v>Honda</v>
          </cell>
          <cell r="M62" t="str">
            <v>SPHC-P/O</v>
          </cell>
          <cell r="N62" t="str">
            <v>STAY F</v>
          </cell>
          <cell r="O62" t="str">
            <v>645221-KPPP-T000-31</v>
          </cell>
          <cell r="P62" t="str">
            <v>Honda</v>
          </cell>
          <cell r="Q62" t="str">
            <v>ptt</v>
          </cell>
          <cell r="R62">
            <v>200</v>
          </cell>
        </row>
        <row r="63">
          <cell r="A63">
            <v>30013045</v>
          </cell>
          <cell r="B63" t="str">
            <v>2.0 x 86+/-0.5 x 1219</v>
          </cell>
          <cell r="C63">
            <v>2</v>
          </cell>
          <cell r="D63">
            <v>86</v>
          </cell>
          <cell r="E63">
            <v>1219</v>
          </cell>
          <cell r="F63">
            <v>1.6458937999999999</v>
          </cell>
          <cell r="G63">
            <v>33</v>
          </cell>
          <cell r="H63">
            <v>77004931</v>
          </cell>
          <cell r="I63" t="str">
            <v>SPHC-P/O</v>
          </cell>
          <cell r="J63" t="str">
            <v>STAY E</v>
          </cell>
          <cell r="K63" t="str">
            <v>645221-KPPP-T000-30</v>
          </cell>
          <cell r="L63" t="str">
            <v>Honda</v>
          </cell>
          <cell r="M63" t="str">
            <v>SPHC-P/O</v>
          </cell>
          <cell r="N63" t="str">
            <v>STAY E</v>
          </cell>
          <cell r="O63" t="str">
            <v>645221-KPPP-T000-30</v>
          </cell>
          <cell r="P63" t="str">
            <v>Honda</v>
          </cell>
          <cell r="Q63" t="str">
            <v>ptt</v>
          </cell>
          <cell r="R63">
            <v>200</v>
          </cell>
        </row>
        <row r="64">
          <cell r="A64">
            <v>30013046</v>
          </cell>
          <cell r="B64" t="str">
            <v>2.0 x 86+/-0.5 x 1219</v>
          </cell>
          <cell r="C64">
            <v>2</v>
          </cell>
          <cell r="D64">
            <v>86</v>
          </cell>
          <cell r="E64">
            <v>1219</v>
          </cell>
          <cell r="F64">
            <v>1.6458937999999999</v>
          </cell>
          <cell r="G64">
            <v>33</v>
          </cell>
          <cell r="H64">
            <v>77004931</v>
          </cell>
          <cell r="I64" t="str">
            <v>SPHC-P/O</v>
          </cell>
          <cell r="J64" t="str">
            <v>STAY D</v>
          </cell>
          <cell r="K64" t="str">
            <v>645221-KPPP-T000-29</v>
          </cell>
          <cell r="L64" t="str">
            <v>Honda</v>
          </cell>
          <cell r="M64" t="str">
            <v>SPHC-P/O</v>
          </cell>
          <cell r="N64" t="str">
            <v>STAY D</v>
          </cell>
          <cell r="O64" t="str">
            <v>645221-KPPP-T000-29</v>
          </cell>
          <cell r="P64" t="str">
            <v>Honda</v>
          </cell>
          <cell r="Q64" t="str">
            <v>ptt</v>
          </cell>
          <cell r="R64">
            <v>200</v>
          </cell>
        </row>
        <row r="65">
          <cell r="A65">
            <v>30013047</v>
          </cell>
          <cell r="B65" t="str">
            <v>2.0 x 85+/-0.5 x 1219</v>
          </cell>
          <cell r="C65">
            <v>2</v>
          </cell>
          <cell r="D65">
            <v>85</v>
          </cell>
          <cell r="E65">
            <v>1219</v>
          </cell>
          <cell r="F65">
            <v>1.6267555</v>
          </cell>
          <cell r="G65">
            <v>54</v>
          </cell>
          <cell r="H65">
            <v>77004506</v>
          </cell>
          <cell r="I65" t="str">
            <v>SPHC-P/O</v>
          </cell>
          <cell r="J65" t="str">
            <v>PATCH</v>
          </cell>
          <cell r="K65" t="str">
            <v>645221-KPPP-T000-28</v>
          </cell>
          <cell r="L65" t="str">
            <v>Honda</v>
          </cell>
          <cell r="M65" t="str">
            <v>SPHC-P/O</v>
          </cell>
          <cell r="N65" t="str">
            <v>PATCH</v>
          </cell>
          <cell r="O65" t="str">
            <v>645221-KPPP-T000-28</v>
          </cell>
          <cell r="P65" t="str">
            <v>Honda</v>
          </cell>
          <cell r="Q65" t="str">
            <v>ptt</v>
          </cell>
          <cell r="R65">
            <v>200</v>
          </cell>
        </row>
        <row r="66">
          <cell r="A66">
            <v>30013048</v>
          </cell>
          <cell r="B66" t="str">
            <v>1.6 x 69+/-0.5 x 1219</v>
          </cell>
          <cell r="C66">
            <v>1.6</v>
          </cell>
          <cell r="D66">
            <v>69</v>
          </cell>
          <cell r="E66">
            <v>1219</v>
          </cell>
          <cell r="F66">
            <v>1.05643416</v>
          </cell>
          <cell r="G66">
            <v>100</v>
          </cell>
          <cell r="H66">
            <v>77003563</v>
          </cell>
          <cell r="I66" t="str">
            <v>SPHC-P/O</v>
          </cell>
          <cell r="J66" t="str">
            <v>STAY C</v>
          </cell>
          <cell r="K66" t="str">
            <v>645221-KPPP-T000-27</v>
          </cell>
          <cell r="L66" t="str">
            <v>Honda</v>
          </cell>
          <cell r="M66" t="str">
            <v>SPHC-P/O</v>
          </cell>
          <cell r="N66" t="str">
            <v>STAY C</v>
          </cell>
          <cell r="O66" t="str">
            <v>645221-KPPP-T000-27</v>
          </cell>
          <cell r="P66" t="str">
            <v>Honda</v>
          </cell>
          <cell r="Q66" t="str">
            <v>ptt</v>
          </cell>
          <cell r="R66">
            <v>100</v>
          </cell>
        </row>
        <row r="67">
          <cell r="A67" t="str">
            <v>30013050-1</v>
          </cell>
          <cell r="B67" t="str">
            <v>2.0 x 68+/-0.5 x 1219</v>
          </cell>
          <cell r="C67">
            <v>2</v>
          </cell>
          <cell r="D67">
            <v>68</v>
          </cell>
          <cell r="E67">
            <v>1219</v>
          </cell>
          <cell r="F67">
            <v>1.3014044</v>
          </cell>
          <cell r="G67">
            <v>26</v>
          </cell>
          <cell r="H67">
            <v>77004492</v>
          </cell>
          <cell r="I67" t="str">
            <v>SPHC-P/O</v>
          </cell>
          <cell r="J67" t="str">
            <v>STAY B</v>
          </cell>
          <cell r="K67" t="str">
            <v>645221-KPPP-T000-25</v>
          </cell>
          <cell r="L67" t="str">
            <v>Honda</v>
          </cell>
          <cell r="M67" t="str">
            <v>SPHC-P/O</v>
          </cell>
          <cell r="N67" t="str">
            <v>STAY B</v>
          </cell>
          <cell r="O67" t="str">
            <v>645221-KPPP-T000-25</v>
          </cell>
          <cell r="P67" t="str">
            <v>Honda</v>
          </cell>
          <cell r="Q67" t="str">
            <v>ptt</v>
          </cell>
          <cell r="R67">
            <v>200</v>
          </cell>
        </row>
        <row r="68">
          <cell r="A68" t="str">
            <v>30013051-1</v>
          </cell>
          <cell r="B68" t="str">
            <v>2.0 x 68+/-0.5 x 1219</v>
          </cell>
          <cell r="C68">
            <v>2</v>
          </cell>
          <cell r="D68">
            <v>68</v>
          </cell>
          <cell r="E68">
            <v>1219</v>
          </cell>
          <cell r="F68">
            <v>1.3014044</v>
          </cell>
          <cell r="G68">
            <v>26</v>
          </cell>
          <cell r="H68">
            <v>77004492</v>
          </cell>
          <cell r="I68" t="str">
            <v>SPHC-P/O</v>
          </cell>
          <cell r="J68" t="str">
            <v>STAY A</v>
          </cell>
          <cell r="K68" t="str">
            <v>645221-KPPP-T000-24</v>
          </cell>
          <cell r="L68" t="str">
            <v>Honda</v>
          </cell>
          <cell r="M68" t="str">
            <v>SPHC-P/O</v>
          </cell>
          <cell r="N68" t="str">
            <v>STAY A</v>
          </cell>
          <cell r="O68" t="str">
            <v>645221-KPPP-T000-24</v>
          </cell>
          <cell r="P68" t="str">
            <v>Honda</v>
          </cell>
          <cell r="Q68" t="str">
            <v>ptt</v>
          </cell>
          <cell r="R68">
            <v>200</v>
          </cell>
        </row>
        <row r="69">
          <cell r="A69">
            <v>30013055</v>
          </cell>
          <cell r="B69" t="str">
            <v>2.0 x 150+/-0.5 x 1219</v>
          </cell>
          <cell r="C69">
            <v>2</v>
          </cell>
          <cell r="D69">
            <v>150</v>
          </cell>
          <cell r="E69">
            <v>1219</v>
          </cell>
          <cell r="F69">
            <v>2.8707449999999999</v>
          </cell>
          <cell r="G69">
            <v>13</v>
          </cell>
          <cell r="H69">
            <v>77001390</v>
          </cell>
          <cell r="I69" t="str">
            <v>SPHC-P/O</v>
          </cell>
          <cell r="J69" t="str">
            <v>BODY</v>
          </cell>
          <cell r="K69" t="str">
            <v>645221-KPPP-T000-20</v>
          </cell>
          <cell r="L69" t="str">
            <v>Honda</v>
          </cell>
          <cell r="M69" t="str">
            <v>SPHC-P/O</v>
          </cell>
          <cell r="N69" t="str">
            <v>BODY</v>
          </cell>
          <cell r="O69" t="str">
            <v>645221-KPPP-T000-20</v>
          </cell>
          <cell r="P69" t="str">
            <v>Honda</v>
          </cell>
          <cell r="Q69" t="str">
            <v>ptt</v>
          </cell>
          <cell r="R69">
            <v>150</v>
          </cell>
        </row>
        <row r="70">
          <cell r="A70">
            <v>30013126</v>
          </cell>
          <cell r="B70" t="str">
            <v>2.3 x 52+/-0.5 x 1219</v>
          </cell>
          <cell r="C70">
            <v>2.2999999999999998</v>
          </cell>
          <cell r="D70">
            <v>52</v>
          </cell>
          <cell r="E70">
            <v>1219</v>
          </cell>
          <cell r="F70">
            <v>1.1444703399999998</v>
          </cell>
          <cell r="G70">
            <v>81</v>
          </cell>
          <cell r="H70">
            <v>77005443</v>
          </cell>
          <cell r="I70" t="str">
            <v>SPHC-P/O</v>
          </cell>
          <cell r="J70" t="str">
            <v>HOOK</v>
          </cell>
          <cell r="K70" t="str">
            <v>27012-0172</v>
          </cell>
          <cell r="L70" t="str">
            <v>KAWA LX110C,D</v>
          </cell>
          <cell r="M70" t="str">
            <v>SPHC-P/O</v>
          </cell>
          <cell r="N70" t="str">
            <v>HOOK</v>
          </cell>
          <cell r="O70" t="str">
            <v>27012-0172</v>
          </cell>
          <cell r="P70" t="str">
            <v>KAWA LX110C,D</v>
          </cell>
          <cell r="Q70" t="str">
            <v>epc</v>
          </cell>
        </row>
        <row r="71">
          <cell r="A71">
            <v>30014135</v>
          </cell>
          <cell r="B71" t="str">
            <v>0.8 x 47+/-0.5 x 1219</v>
          </cell>
          <cell r="C71">
            <v>0.8</v>
          </cell>
          <cell r="D71">
            <v>47</v>
          </cell>
          <cell r="E71">
            <v>1219</v>
          </cell>
          <cell r="F71">
            <v>0.35980003999999999</v>
          </cell>
          <cell r="G71">
            <v>82</v>
          </cell>
          <cell r="H71">
            <v>77004221</v>
          </cell>
          <cell r="I71" t="str">
            <v>SPCC-SD</v>
          </cell>
          <cell r="J71" t="str">
            <v>CLIP B FUEL HOSE</v>
          </cell>
          <cell r="K71" t="str">
            <v>50122-MF2-3000</v>
          </cell>
          <cell r="L71" t="str">
            <v>K36F</v>
          </cell>
          <cell r="M71" t="str">
            <v>SPCC-SD</v>
          </cell>
          <cell r="N71" t="str">
            <v>CLIP B FUEL HOSE</v>
          </cell>
          <cell r="O71" t="str">
            <v>50122-MF2-3000</v>
          </cell>
          <cell r="P71" t="str">
            <v>K36F</v>
          </cell>
          <cell r="Q71" t="e">
            <v>#N/A</v>
          </cell>
        </row>
        <row r="72">
          <cell r="A72" t="str">
            <v>30015971-1</v>
          </cell>
          <cell r="B72" t="str">
            <v>2.3 x 69+/-0.5 x 1219</v>
          </cell>
          <cell r="C72">
            <v>2.2999999999999998</v>
          </cell>
          <cell r="D72">
            <v>69</v>
          </cell>
          <cell r="E72">
            <v>1219</v>
          </cell>
          <cell r="F72">
            <v>1.5186241049999998</v>
          </cell>
          <cell r="G72">
            <v>76</v>
          </cell>
          <cell r="H72">
            <v>77004533</v>
          </cell>
          <cell r="I72" t="str">
            <v>SPHC-P/O</v>
          </cell>
          <cell r="J72" t="str">
            <v>STAY AIR/C (X2)</v>
          </cell>
          <cell r="K72" t="str">
            <v>50155-KYZA-9001-H2</v>
          </cell>
          <cell r="L72" t="str">
            <v>Honda</v>
          </cell>
          <cell r="M72" t="str">
            <v>SPHC-P/O</v>
          </cell>
          <cell r="N72" t="str">
            <v>STAY AIR/C (X2)</v>
          </cell>
          <cell r="O72" t="str">
            <v>50155-KYZA-9001-H2</v>
          </cell>
          <cell r="P72" t="str">
            <v>Honda</v>
          </cell>
          <cell r="Q72" t="e">
            <v>#N/A</v>
          </cell>
        </row>
        <row r="73">
          <cell r="A73" t="str">
            <v>30015971-2</v>
          </cell>
          <cell r="B73" t="str">
            <v>2.0 x 79+/-0.5 x 1219</v>
          </cell>
          <cell r="C73">
            <v>2</v>
          </cell>
          <cell r="D73">
            <v>79</v>
          </cell>
          <cell r="E73">
            <v>1219</v>
          </cell>
          <cell r="F73">
            <v>1.5119256999999999</v>
          </cell>
          <cell r="G73">
            <v>19</v>
          </cell>
          <cell r="H73">
            <v>77004501</v>
          </cell>
          <cell r="I73" t="str">
            <v>SPHC-P/O</v>
          </cell>
          <cell r="J73" t="str">
            <v>STAY AIR/C</v>
          </cell>
          <cell r="K73" t="str">
            <v>50155-KYZA-9001-H2</v>
          </cell>
          <cell r="L73" t="str">
            <v>Honda</v>
          </cell>
          <cell r="M73" t="str">
            <v>SPHC-P/O</v>
          </cell>
          <cell r="N73" t="str">
            <v>STAY AIR/C</v>
          </cell>
          <cell r="O73" t="str">
            <v>50155-KYZA-9001-H2</v>
          </cell>
          <cell r="P73" t="str">
            <v>Honda</v>
          </cell>
          <cell r="Q73" t="str">
            <v>ptt</v>
          </cell>
          <cell r="R73">
            <v>200</v>
          </cell>
        </row>
        <row r="74">
          <cell r="A74">
            <v>30015974</v>
          </cell>
          <cell r="B74" t="str">
            <v>2.0 x 155+/-0.5 x 1219</v>
          </cell>
          <cell r="C74">
            <v>2</v>
          </cell>
          <cell r="D74">
            <v>155</v>
          </cell>
          <cell r="E74">
            <v>1219</v>
          </cell>
          <cell r="F74">
            <v>2.9664364999999999</v>
          </cell>
          <cell r="G74">
            <v>29</v>
          </cell>
          <cell r="H74">
            <v>77004162</v>
          </cell>
          <cell r="I74" t="str">
            <v>SPHC-P/O</v>
          </cell>
          <cell r="J74" t="str">
            <v>STAY REGULATOR</v>
          </cell>
          <cell r="K74" t="str">
            <v>50156-KYZA-9001-H3</v>
          </cell>
          <cell r="L74" t="str">
            <v>KYZJ</v>
          </cell>
          <cell r="M74" t="str">
            <v>SPHC-P/O</v>
          </cell>
          <cell r="N74" t="str">
            <v>STAY REGULATOR</v>
          </cell>
          <cell r="O74" t="str">
            <v>50156-KYZA-9001-H3</v>
          </cell>
          <cell r="P74" t="str">
            <v>KYZJ</v>
          </cell>
          <cell r="Q74" t="e">
            <v>#N/A</v>
          </cell>
        </row>
        <row r="75">
          <cell r="A75">
            <v>30015982</v>
          </cell>
          <cell r="B75" t="str">
            <v>2.0 x 90+/-0.5 x 1219</v>
          </cell>
          <cell r="C75">
            <v>2</v>
          </cell>
          <cell r="D75">
            <v>90</v>
          </cell>
          <cell r="E75">
            <v>1219</v>
          </cell>
          <cell r="F75">
            <v>1.7224470000000001</v>
          </cell>
          <cell r="G75">
            <v>29</v>
          </cell>
          <cell r="H75">
            <v>77004150</v>
          </cell>
          <cell r="I75" t="str">
            <v>SPHC-P/O</v>
          </cell>
          <cell r="J75" t="str">
            <v>STAY MAIN PIPE END</v>
          </cell>
          <cell r="K75" t="str">
            <v>50125-KYZA-9001-H1</v>
          </cell>
          <cell r="L75" t="str">
            <v>KYZW</v>
          </cell>
          <cell r="M75" t="str">
            <v>SPHC-P/O</v>
          </cell>
          <cell r="N75" t="str">
            <v>STAY MAIN PIPE END</v>
          </cell>
          <cell r="O75" t="str">
            <v>50125-KYZA-9001-H1</v>
          </cell>
          <cell r="P75" t="str">
            <v>KYZW</v>
          </cell>
          <cell r="Q75" t="str">
            <v>เสนอราคาเป็น Price Sourcing</v>
          </cell>
          <cell r="R75">
            <v>200</v>
          </cell>
        </row>
        <row r="76">
          <cell r="A76" t="str">
            <v>30016085-1</v>
          </cell>
          <cell r="B76" t="str">
            <v>2.6 x 412+/-0.5 x 1219 เน้นเรียบ</v>
          </cell>
          <cell r="C76">
            <v>2.6</v>
          </cell>
          <cell r="D76">
            <v>412</v>
          </cell>
          <cell r="E76">
            <v>1219</v>
          </cell>
          <cell r="F76">
            <v>10.25047348</v>
          </cell>
          <cell r="G76">
            <v>27</v>
          </cell>
          <cell r="H76">
            <v>77005461</v>
          </cell>
          <cell r="I76" t="str">
            <v>SPHC-P/O</v>
          </cell>
          <cell r="J76" t="str">
            <v>SUB ASSY 3</v>
          </cell>
          <cell r="K76" t="str">
            <v>TC422-4213-3</v>
          </cell>
          <cell r="L76" t="str">
            <v>KUBOTA E45C</v>
          </cell>
          <cell r="M76" t="str">
            <v>SPHC-P/O</v>
          </cell>
          <cell r="N76" t="str">
            <v>SUB ASSY 3</v>
          </cell>
          <cell r="O76" t="str">
            <v>TC422-4213-3</v>
          </cell>
          <cell r="P76" t="str">
            <v>KUBOTA E45C</v>
          </cell>
          <cell r="Q76" t="str">
            <v>bm</v>
          </cell>
          <cell r="R76">
            <v>40</v>
          </cell>
        </row>
        <row r="77">
          <cell r="A77" t="str">
            <v>30016085-2</v>
          </cell>
          <cell r="B77" t="str">
            <v>2.6 x 48+/-0.5 x 1219</v>
          </cell>
          <cell r="C77">
            <v>2.6</v>
          </cell>
          <cell r="D77">
            <v>48</v>
          </cell>
          <cell r="E77">
            <v>1219</v>
          </cell>
          <cell r="F77">
            <v>1.1942299199999999</v>
          </cell>
          <cell r="G77">
            <v>47</v>
          </cell>
          <cell r="H77">
            <v>77005464</v>
          </cell>
          <cell r="I77" t="str">
            <v>SPHC-P/O</v>
          </cell>
          <cell r="J77" t="str">
            <v>SUB ASSY 3</v>
          </cell>
          <cell r="K77" t="str">
            <v>TC422-4213-3</v>
          </cell>
          <cell r="L77" t="str">
            <v>KUBOTA E45C</v>
          </cell>
          <cell r="M77" t="str">
            <v>SPHC-P/O</v>
          </cell>
          <cell r="N77" t="str">
            <v>SUB ASSY 3</v>
          </cell>
          <cell r="O77" t="str">
            <v>TC422-4213-3</v>
          </cell>
          <cell r="P77" t="str">
            <v>KUBOTA E45C</v>
          </cell>
          <cell r="Q77" t="str">
            <v>ps</v>
          </cell>
        </row>
        <row r="78">
          <cell r="A78" t="str">
            <v>30050258-1</v>
          </cell>
          <cell r="B78" t="str">
            <v>2.6 x 48+/-0.5 x 1219</v>
          </cell>
          <cell r="C78">
            <v>2.6</v>
          </cell>
          <cell r="D78">
            <v>48</v>
          </cell>
          <cell r="E78">
            <v>1219</v>
          </cell>
          <cell r="F78">
            <v>1.1942299199999999</v>
          </cell>
          <cell r="G78">
            <v>47</v>
          </cell>
          <cell r="H78">
            <v>77005464</v>
          </cell>
          <cell r="I78" t="str">
            <v>SPHC-P/O</v>
          </cell>
          <cell r="J78" t="str">
            <v>SUPPORT BONNET RR ASSY 3-1</v>
          </cell>
          <cell r="K78" t="str">
            <v>TC422-4253-1-14K</v>
          </cell>
          <cell r="L78" t="str">
            <v>KUBOTA E40</v>
          </cell>
          <cell r="M78" t="str">
            <v>SPHC-P/O</v>
          </cell>
          <cell r="N78" t="str">
            <v>SUPPORT BONNET RR ASSY 3-1</v>
          </cell>
          <cell r="O78" t="str">
            <v>TC422-4253-1-14K</v>
          </cell>
          <cell r="P78" t="str">
            <v>KUBOTA E40</v>
          </cell>
          <cell r="Q78" t="str">
            <v>ps</v>
          </cell>
        </row>
        <row r="79">
          <cell r="A79" t="str">
            <v>30016085-3</v>
          </cell>
          <cell r="B79" t="str">
            <v>4.5 x 53+/-0.5 x 1219</v>
          </cell>
          <cell r="C79">
            <v>4.5</v>
          </cell>
          <cell r="D79">
            <v>53</v>
          </cell>
          <cell r="E79">
            <v>1219</v>
          </cell>
          <cell r="F79">
            <v>2.2822422749999998</v>
          </cell>
          <cell r="G79">
            <v>48</v>
          </cell>
          <cell r="H79">
            <v>77005527</v>
          </cell>
          <cell r="I79" t="str">
            <v>SPHC-P/O</v>
          </cell>
          <cell r="J79" t="str">
            <v>SUB ASSY 3</v>
          </cell>
          <cell r="K79" t="str">
            <v>TC422-4213-3</v>
          </cell>
          <cell r="L79" t="str">
            <v>KUBOTA E45C</v>
          </cell>
          <cell r="M79" t="str">
            <v>SPHC-P/O</v>
          </cell>
          <cell r="N79" t="str">
            <v>SUB ASSY 3</v>
          </cell>
          <cell r="O79" t="str">
            <v>TC422-4213-3</v>
          </cell>
          <cell r="P79" t="str">
            <v>KUBOTA E45C</v>
          </cell>
          <cell r="Q79" t="str">
            <v>epc</v>
          </cell>
        </row>
        <row r="80">
          <cell r="A80" t="str">
            <v>30016086-1</v>
          </cell>
          <cell r="B80" t="str">
            <v>2.6 x 412+/-0.5 x 1219 เน้นเรียบ</v>
          </cell>
          <cell r="C80">
            <v>2.6</v>
          </cell>
          <cell r="D80">
            <v>412</v>
          </cell>
          <cell r="E80">
            <v>1219</v>
          </cell>
          <cell r="F80">
            <v>10.25047348</v>
          </cell>
          <cell r="G80">
            <v>27</v>
          </cell>
          <cell r="H80">
            <v>77005461</v>
          </cell>
          <cell r="I80" t="str">
            <v>SPHC-P/O</v>
          </cell>
          <cell r="J80" t="str">
            <v>SUB ASSY 4</v>
          </cell>
          <cell r="K80" t="str">
            <v>TC422-4213-4</v>
          </cell>
          <cell r="L80" t="str">
            <v>KUBOTA E45C</v>
          </cell>
          <cell r="M80" t="str">
            <v>SPHC-P/O</v>
          </cell>
          <cell r="N80" t="str">
            <v>SUB ASSY 4</v>
          </cell>
          <cell r="O80" t="str">
            <v>TC422-4213-4</v>
          </cell>
          <cell r="P80" t="str">
            <v>KUBOTA E45C</v>
          </cell>
          <cell r="Q80" t="str">
            <v>bm</v>
          </cell>
          <cell r="R80">
            <v>40</v>
          </cell>
        </row>
        <row r="81">
          <cell r="A81" t="str">
            <v>30016086-2</v>
          </cell>
          <cell r="B81" t="str">
            <v>2.6 x 48+/-0.5 x 1219</v>
          </cell>
          <cell r="C81">
            <v>2.6</v>
          </cell>
          <cell r="D81">
            <v>48</v>
          </cell>
          <cell r="E81">
            <v>1219</v>
          </cell>
          <cell r="F81">
            <v>1.1942299199999999</v>
          </cell>
          <cell r="G81">
            <v>47</v>
          </cell>
          <cell r="H81">
            <v>77005464</v>
          </cell>
          <cell r="I81" t="str">
            <v>SPHC-P/O</v>
          </cell>
          <cell r="J81" t="str">
            <v>SUB ASSY 4</v>
          </cell>
          <cell r="K81" t="str">
            <v>TC422-4213-4</v>
          </cell>
          <cell r="L81" t="str">
            <v>KUBOTA E45C</v>
          </cell>
          <cell r="M81" t="str">
            <v>SPHC-P/O</v>
          </cell>
          <cell r="N81" t="str">
            <v>SUB ASSY 4</v>
          </cell>
          <cell r="O81" t="str">
            <v>TC422-4213-4</v>
          </cell>
          <cell r="P81" t="str">
            <v>KUBOTA E45C</v>
          </cell>
          <cell r="Q81" t="str">
            <v>ps</v>
          </cell>
        </row>
        <row r="82">
          <cell r="A82" t="str">
            <v>30016086-3</v>
          </cell>
          <cell r="B82" t="str">
            <v>4.5 x 53+/-0.5 x 1219</v>
          </cell>
          <cell r="C82">
            <v>4.5</v>
          </cell>
          <cell r="D82">
            <v>53</v>
          </cell>
          <cell r="E82">
            <v>1219</v>
          </cell>
          <cell r="F82">
            <v>2.2822422749999998</v>
          </cell>
          <cell r="G82">
            <v>48</v>
          </cell>
          <cell r="H82">
            <v>77005527</v>
          </cell>
          <cell r="I82" t="str">
            <v>SPHC-P/O</v>
          </cell>
          <cell r="J82" t="str">
            <v>SUB ASSY 4</v>
          </cell>
          <cell r="K82" t="str">
            <v>TC422-4213-4</v>
          </cell>
          <cell r="L82" t="str">
            <v>KUBOTA E45C</v>
          </cell>
          <cell r="M82" t="str">
            <v>SPHC-P/O</v>
          </cell>
          <cell r="N82" t="str">
            <v>SUB ASSY 4</v>
          </cell>
          <cell r="O82" t="str">
            <v>TC422-4213-4</v>
          </cell>
          <cell r="P82" t="str">
            <v>KUBOTA E45C</v>
          </cell>
          <cell r="Q82" t="str">
            <v>epc</v>
          </cell>
        </row>
        <row r="83">
          <cell r="A83" t="str">
            <v>30016087-1</v>
          </cell>
          <cell r="B83" t="str">
            <v>4.5 x 58+/-0.5 x 1219</v>
          </cell>
          <cell r="C83">
            <v>4.5</v>
          </cell>
          <cell r="D83">
            <v>58</v>
          </cell>
          <cell r="E83">
            <v>1219</v>
          </cell>
          <cell r="F83">
            <v>2.4975481500000001</v>
          </cell>
          <cell r="G83">
            <v>45</v>
          </cell>
          <cell r="H83">
            <v>77005528</v>
          </cell>
          <cell r="I83" t="str">
            <v>SPHC-P/O</v>
          </cell>
          <cell r="J83" t="str">
            <v>SUB ASSY 5</v>
          </cell>
          <cell r="K83" t="str">
            <v>TC430-5213-5</v>
          </cell>
          <cell r="L83" t="str">
            <v>KUBOTA E45C</v>
          </cell>
          <cell r="M83" t="str">
            <v>SPHC-P/O</v>
          </cell>
          <cell r="N83" t="str">
            <v>SUB ASSY 5</v>
          </cell>
          <cell r="O83" t="str">
            <v>TC430-5213-5</v>
          </cell>
          <cell r="P83" t="str">
            <v>KUBOTA E45C</v>
          </cell>
          <cell r="Q83" t="str">
            <v>epc</v>
          </cell>
        </row>
        <row r="84">
          <cell r="A84" t="str">
            <v>30016087-2</v>
          </cell>
          <cell r="B84" t="str">
            <v>6.0 x 75+/-0.5 x 1219</v>
          </cell>
          <cell r="C84">
            <v>6</v>
          </cell>
          <cell r="D84">
            <v>75</v>
          </cell>
          <cell r="E84">
            <v>1219</v>
          </cell>
          <cell r="F84">
            <v>4.3061175</v>
          </cell>
          <cell r="G84">
            <v>17</v>
          </cell>
          <cell r="H84">
            <v>77005566</v>
          </cell>
          <cell r="I84" t="str">
            <v>SS400</v>
          </cell>
          <cell r="J84" t="str">
            <v>SUB ASSY 5</v>
          </cell>
          <cell r="K84" t="str">
            <v>TC430-5213-5</v>
          </cell>
          <cell r="L84" t="str">
            <v>KUBOTA E45C</v>
          </cell>
          <cell r="M84" t="str">
            <v>SS400</v>
          </cell>
          <cell r="N84" t="str">
            <v>SUB ASSY 5</v>
          </cell>
          <cell r="O84" t="str">
            <v>TC430-5213-5</v>
          </cell>
          <cell r="P84" t="str">
            <v>KUBOTA E45C</v>
          </cell>
          <cell r="Q84" t="str">
            <v>csp</v>
          </cell>
        </row>
        <row r="85">
          <cell r="A85" t="str">
            <v>30016087-3</v>
          </cell>
          <cell r="B85" t="str">
            <v>4.5 x 83+/-0.5 x 1219</v>
          </cell>
          <cell r="C85">
            <v>4.5</v>
          </cell>
          <cell r="D85">
            <v>83</v>
          </cell>
          <cell r="E85">
            <v>1219</v>
          </cell>
          <cell r="F85">
            <v>3.5740775249999999</v>
          </cell>
          <cell r="G85">
            <v>40</v>
          </cell>
          <cell r="H85">
            <v>77005529</v>
          </cell>
          <cell r="I85" t="str">
            <v>SPHC-P/O</v>
          </cell>
          <cell r="J85" t="str">
            <v>SUB ASSY 5</v>
          </cell>
          <cell r="K85" t="str">
            <v>TC430-5213-5</v>
          </cell>
          <cell r="L85" t="str">
            <v>KUBOTA E45C</v>
          </cell>
          <cell r="M85" t="str">
            <v>SPHC-P/O</v>
          </cell>
          <cell r="N85" t="str">
            <v>SUB ASSY 5</v>
          </cell>
          <cell r="O85" t="str">
            <v>TC430-5213-5</v>
          </cell>
          <cell r="P85" t="str">
            <v>KUBOTA E45C</v>
          </cell>
          <cell r="Q85" t="str">
            <v>epc</v>
          </cell>
        </row>
        <row r="86">
          <cell r="A86" t="str">
            <v>30016091-1</v>
          </cell>
          <cell r="B86" t="str">
            <v>3.0 x 117+/-0.5 x 1219</v>
          </cell>
          <cell r="C86">
            <v>3</v>
          </cell>
          <cell r="D86">
            <v>117</v>
          </cell>
          <cell r="E86">
            <v>1219</v>
          </cell>
          <cell r="F86">
            <v>3.35877165</v>
          </cell>
          <cell r="G86">
            <v>47</v>
          </cell>
          <cell r="H86">
            <v>77005540</v>
          </cell>
          <cell r="I86" t="str">
            <v>SS400</v>
          </cell>
          <cell r="J86" t="str">
            <v>SUB ASSY 1.2</v>
          </cell>
          <cell r="K86" t="str">
            <v>TC430-1831-K1.2</v>
          </cell>
          <cell r="L86" t="str">
            <v>KUBOTA E45C</v>
          </cell>
          <cell r="M86" t="str">
            <v>SS400</v>
          </cell>
          <cell r="N86" t="str">
            <v>SUB ASSY 1.2</v>
          </cell>
          <cell r="O86" t="str">
            <v>TC430-1831-K1.2</v>
          </cell>
          <cell r="P86" t="str">
            <v>KUBOTA E45C</v>
          </cell>
          <cell r="Q86" t="str">
            <v>csp</v>
          </cell>
        </row>
        <row r="87">
          <cell r="A87" t="str">
            <v>30016091-2</v>
          </cell>
          <cell r="B87" t="str">
            <v>4.5 x 97+/-0.5 x 1219</v>
          </cell>
          <cell r="C87">
            <v>4.5</v>
          </cell>
          <cell r="D87">
            <v>97</v>
          </cell>
          <cell r="E87">
            <v>1219</v>
          </cell>
          <cell r="F87">
            <v>4.1769339749999999</v>
          </cell>
          <cell r="G87">
            <v>13</v>
          </cell>
          <cell r="H87">
            <v>77005530</v>
          </cell>
          <cell r="I87" t="str">
            <v>SPHC-P/O</v>
          </cell>
          <cell r="J87" t="str">
            <v>SUB ASSY 1.2</v>
          </cell>
          <cell r="K87" t="str">
            <v>TC430-1831-K1.2</v>
          </cell>
          <cell r="L87" t="str">
            <v>KUBOTA E45C</v>
          </cell>
          <cell r="M87" t="str">
            <v>SPHC-P/O</v>
          </cell>
          <cell r="N87" t="str">
            <v>SUB ASSY 1.2</v>
          </cell>
          <cell r="O87" t="str">
            <v>TC430-1831-K1.2</v>
          </cell>
          <cell r="P87" t="str">
            <v>KUBOTA E45C</v>
          </cell>
          <cell r="Q87" t="str">
            <v>ps</v>
          </cell>
          <cell r="R87">
            <v>40</v>
          </cell>
        </row>
        <row r="88">
          <cell r="A88" t="str">
            <v>30016093-1</v>
          </cell>
          <cell r="B88" t="str">
            <v>4.5 x 206+/-0.5 x 1219</v>
          </cell>
          <cell r="C88">
            <v>4.5</v>
          </cell>
          <cell r="D88">
            <v>206</v>
          </cell>
          <cell r="E88">
            <v>1219</v>
          </cell>
          <cell r="F88">
            <v>8.8706020499999987</v>
          </cell>
          <cell r="G88">
            <v>40</v>
          </cell>
          <cell r="H88">
            <v>77005551</v>
          </cell>
          <cell r="I88" t="str">
            <v>SS400</v>
          </cell>
          <cell r="J88" t="str">
            <v>SUB ASSY 2.1</v>
          </cell>
          <cell r="K88" t="str">
            <v>TC430-1831-K2.1</v>
          </cell>
          <cell r="L88" t="str">
            <v>KUBOTA E45C</v>
          </cell>
          <cell r="M88" t="str">
            <v>SS400</v>
          </cell>
          <cell r="N88" t="str">
            <v>SUB ASSY 2.1</v>
          </cell>
          <cell r="O88" t="str">
            <v>TC430-1831-K2.1</v>
          </cell>
          <cell r="P88" t="str">
            <v>KUBOTA E45C</v>
          </cell>
          <cell r="Q88" t="str">
            <v>ps</v>
          </cell>
        </row>
        <row r="89">
          <cell r="A89" t="str">
            <v>30016094-1</v>
          </cell>
          <cell r="B89" t="str">
            <v>4.5 x 206+/-0.5 x 1219</v>
          </cell>
          <cell r="C89">
            <v>4.5</v>
          </cell>
          <cell r="D89">
            <v>206</v>
          </cell>
          <cell r="E89">
            <v>1219</v>
          </cell>
          <cell r="F89">
            <v>8.8706020499999987</v>
          </cell>
          <cell r="G89">
            <v>40</v>
          </cell>
          <cell r="H89">
            <v>77005551</v>
          </cell>
          <cell r="I89" t="str">
            <v>SS400</v>
          </cell>
          <cell r="J89" t="str">
            <v>SUB ASSY 2.2</v>
          </cell>
          <cell r="K89" t="str">
            <v>TC430-1831-K2.2</v>
          </cell>
          <cell r="L89" t="str">
            <v>KUBOTA E45C</v>
          </cell>
          <cell r="M89" t="str">
            <v>SS400</v>
          </cell>
          <cell r="N89" t="str">
            <v>SUB ASSY 2.2</v>
          </cell>
          <cell r="O89" t="str">
            <v>TC430-1831-K2.2</v>
          </cell>
          <cell r="P89" t="str">
            <v>KUBOTA E45C</v>
          </cell>
          <cell r="Q89" t="str">
            <v>ps</v>
          </cell>
        </row>
        <row r="90">
          <cell r="A90">
            <v>30016095</v>
          </cell>
          <cell r="B90" t="str">
            <v>3.0 x 386 +0/-1 x 1219</v>
          </cell>
          <cell r="C90">
            <v>3</v>
          </cell>
          <cell r="D90">
            <v>386</v>
          </cell>
          <cell r="E90">
            <v>1219</v>
          </cell>
          <cell r="F90">
            <v>11.0810757</v>
          </cell>
          <cell r="G90">
            <v>37</v>
          </cell>
          <cell r="H90">
            <v>77005541</v>
          </cell>
          <cell r="I90" t="str">
            <v>SS400</v>
          </cell>
          <cell r="J90" t="str">
            <v>SUB ASSY 2.3</v>
          </cell>
          <cell r="K90" t="str">
            <v>TC430-1831-K2.2</v>
          </cell>
          <cell r="L90" t="str">
            <v>KUBOTA E45C</v>
          </cell>
          <cell r="M90" t="str">
            <v>SS400</v>
          </cell>
          <cell r="N90" t="str">
            <v>SUB ASSY 2.3</v>
          </cell>
          <cell r="O90" t="str">
            <v>TC430-1831-K2.2</v>
          </cell>
          <cell r="P90" t="str">
            <v>KUBOTA E45C</v>
          </cell>
          <cell r="Q90" t="str">
            <v>csp</v>
          </cell>
        </row>
        <row r="91">
          <cell r="A91" t="str">
            <v>30016236-1</v>
          </cell>
          <cell r="B91" t="str">
            <v>2.6 x 412+/-0.5 x 1219 เน้นเรียบ</v>
          </cell>
          <cell r="C91">
            <v>2.6</v>
          </cell>
          <cell r="D91">
            <v>412</v>
          </cell>
          <cell r="E91">
            <v>1219</v>
          </cell>
          <cell r="F91">
            <v>10.25047348</v>
          </cell>
          <cell r="G91">
            <v>27</v>
          </cell>
          <cell r="H91">
            <v>77005461</v>
          </cell>
          <cell r="I91" t="str">
            <v>SPHC-P/O</v>
          </cell>
          <cell r="J91" t="str">
            <v>SUPPORT BONNET RR ASSY 3-2</v>
          </cell>
          <cell r="K91" t="str">
            <v>TC422-4213-K3-1</v>
          </cell>
          <cell r="L91" t="str">
            <v>KUBOTA E40</v>
          </cell>
          <cell r="M91" t="str">
            <v>SPHC-P/O</v>
          </cell>
          <cell r="N91" t="str">
            <v>SUPPORT BONNET RR ASSY 3-2</v>
          </cell>
          <cell r="O91" t="str">
            <v>TC422-4213-K3-1</v>
          </cell>
          <cell r="P91" t="str">
            <v>KUBOTA E40</v>
          </cell>
          <cell r="Q91" t="str">
            <v>bm</v>
          </cell>
          <cell r="R91">
            <v>40</v>
          </cell>
        </row>
        <row r="92">
          <cell r="A92" t="str">
            <v>30016236-2</v>
          </cell>
          <cell r="B92" t="str">
            <v>2.6 x 48+/-0.5 x 1219</v>
          </cell>
          <cell r="C92">
            <v>2.6</v>
          </cell>
          <cell r="D92">
            <v>48</v>
          </cell>
          <cell r="E92">
            <v>1219</v>
          </cell>
          <cell r="F92">
            <v>1.1942299199999999</v>
          </cell>
          <cell r="G92">
            <v>47</v>
          </cell>
          <cell r="H92">
            <v>77005464</v>
          </cell>
          <cell r="I92" t="str">
            <v>SPHC-P/O</v>
          </cell>
          <cell r="J92" t="str">
            <v>SUPPORT BONNET RR ASSY 3-2</v>
          </cell>
          <cell r="K92" t="str">
            <v>TC4221-4213-K3-2</v>
          </cell>
          <cell r="L92" t="str">
            <v>KUBOTA E40</v>
          </cell>
          <cell r="M92" t="str">
            <v>SPHC-P/O</v>
          </cell>
          <cell r="N92" t="str">
            <v>SUPPORT BONNET RR ASSY 3-2</v>
          </cell>
          <cell r="O92" t="str">
            <v>TC4221-4213-K3-2</v>
          </cell>
          <cell r="P92" t="str">
            <v>KUBOTA E40</v>
          </cell>
          <cell r="Q92" t="str">
            <v>ps</v>
          </cell>
        </row>
        <row r="93">
          <cell r="A93" t="str">
            <v>30016236-3</v>
          </cell>
          <cell r="B93" t="str">
            <v>3.2 x 81+/-0.5 x 1219</v>
          </cell>
          <cell r="C93">
            <v>3.2</v>
          </cell>
          <cell r="D93">
            <v>81</v>
          </cell>
          <cell r="E93">
            <v>1219</v>
          </cell>
          <cell r="F93">
            <v>2.4803236799999997</v>
          </cell>
          <cell r="G93">
            <v>39</v>
          </cell>
          <cell r="H93">
            <v>77005516</v>
          </cell>
          <cell r="I93" t="str">
            <v>SPHC-P/O</v>
          </cell>
          <cell r="J93" t="str">
            <v>SUPPORT BONNET RR ASSY 3-3</v>
          </cell>
          <cell r="K93" t="str">
            <v>TC4221-4231-K3-3</v>
          </cell>
          <cell r="L93" t="str">
            <v>KUBOTA E40</v>
          </cell>
          <cell r="M93" t="str">
            <v>SPHC-P/O</v>
          </cell>
          <cell r="N93" t="str">
            <v>SUPPORT BONNET RR ASSY 3-3</v>
          </cell>
          <cell r="O93" t="str">
            <v>TC4221-4231-K3-3</v>
          </cell>
          <cell r="P93" t="str">
            <v>KUBOTA E40</v>
          </cell>
          <cell r="Q93" t="str">
            <v>ps</v>
          </cell>
        </row>
        <row r="94">
          <cell r="A94" t="str">
            <v>30016237-1</v>
          </cell>
          <cell r="B94" t="str">
            <v>2.6 x 412+/-0.5 x 1219 เน้นเรียบ</v>
          </cell>
          <cell r="C94">
            <v>2.6</v>
          </cell>
          <cell r="D94">
            <v>412</v>
          </cell>
          <cell r="E94">
            <v>1219</v>
          </cell>
          <cell r="F94">
            <v>10.25047348</v>
          </cell>
          <cell r="G94">
            <v>27</v>
          </cell>
          <cell r="H94">
            <v>77005461</v>
          </cell>
          <cell r="I94" t="str">
            <v>SPHC-P/O</v>
          </cell>
          <cell r="J94" t="str">
            <v>SUPPORT BONNET RR ASSY 3-1</v>
          </cell>
          <cell r="K94" t="str">
            <v>TC422-4213-K3-1</v>
          </cell>
          <cell r="L94" t="str">
            <v>KUBOTA E40</v>
          </cell>
          <cell r="M94" t="str">
            <v>SPHC-P/O</v>
          </cell>
          <cell r="N94" t="str">
            <v>SUPPORT BONNET RR ASSY 3-1</v>
          </cell>
          <cell r="O94" t="str">
            <v>TC422-4213-K3-1</v>
          </cell>
          <cell r="P94" t="str">
            <v>KUBOTA E40</v>
          </cell>
          <cell r="Q94" t="str">
            <v>bm</v>
          </cell>
          <cell r="R94">
            <v>40</v>
          </cell>
        </row>
        <row r="95">
          <cell r="A95" t="str">
            <v>30016237-2</v>
          </cell>
          <cell r="B95" t="str">
            <v>2.6 x 48+/-0.5 x 1219</v>
          </cell>
          <cell r="C95">
            <v>2.6</v>
          </cell>
          <cell r="D95">
            <v>48</v>
          </cell>
          <cell r="E95">
            <v>1219</v>
          </cell>
          <cell r="F95">
            <v>1.1942299199999999</v>
          </cell>
          <cell r="G95">
            <v>47</v>
          </cell>
          <cell r="H95">
            <v>77005464</v>
          </cell>
          <cell r="I95" t="str">
            <v>SPHC-P/O</v>
          </cell>
          <cell r="J95" t="str">
            <v>SUPPORT BONNET RR ASSY 3-1</v>
          </cell>
          <cell r="K95" t="str">
            <v>TC422-4213-K3-2</v>
          </cell>
          <cell r="L95" t="str">
            <v>KUBOTA E40</v>
          </cell>
          <cell r="M95" t="str">
            <v>SPHC-P/O</v>
          </cell>
          <cell r="N95" t="str">
            <v>SUPPORT BONNET RR ASSY 3-1</v>
          </cell>
          <cell r="O95" t="str">
            <v>TC422-4213-K3-2</v>
          </cell>
          <cell r="P95" t="str">
            <v>KUBOTA E40</v>
          </cell>
          <cell r="Q95" t="str">
            <v>ps</v>
          </cell>
        </row>
        <row r="96">
          <cell r="A96" t="str">
            <v>30016237-3</v>
          </cell>
          <cell r="B96" t="str">
            <v>3.2 x 81+/-0.5 x 1219</v>
          </cell>
          <cell r="C96">
            <v>3.2</v>
          </cell>
          <cell r="D96">
            <v>81</v>
          </cell>
          <cell r="E96">
            <v>1219</v>
          </cell>
          <cell r="F96">
            <v>2.4803236799999997</v>
          </cell>
          <cell r="G96">
            <v>39</v>
          </cell>
          <cell r="H96">
            <v>77005516</v>
          </cell>
          <cell r="I96" t="str">
            <v>SPHC-P/O</v>
          </cell>
          <cell r="J96" t="str">
            <v>SUPPORT BONNET RR ASSY 3-1</v>
          </cell>
          <cell r="K96" t="str">
            <v>TC422-4231-K3-3</v>
          </cell>
          <cell r="L96" t="str">
            <v>KUBOTA E40</v>
          </cell>
          <cell r="M96" t="str">
            <v>SPHC-P/O</v>
          </cell>
          <cell r="N96" t="str">
            <v>SUPPORT BONNET RR ASSY 3-1</v>
          </cell>
          <cell r="O96" t="str">
            <v>TC422-4231-K3-3</v>
          </cell>
          <cell r="P96" t="str">
            <v>KUBOTA E40</v>
          </cell>
          <cell r="Q96" t="str">
            <v>ps</v>
          </cell>
        </row>
        <row r="97">
          <cell r="A97">
            <v>30016482</v>
          </cell>
          <cell r="B97" t="str">
            <v>2.6 x 111+/-0.5 x 1219</v>
          </cell>
          <cell r="C97">
            <v>2.6</v>
          </cell>
          <cell r="D97">
            <v>111</v>
          </cell>
          <cell r="E97">
            <v>1219</v>
          </cell>
          <cell r="F97">
            <v>2.7616566900000001</v>
          </cell>
          <cell r="G97">
            <v>24</v>
          </cell>
          <cell r="H97">
            <v>77004731</v>
          </cell>
          <cell r="I97" t="str">
            <v>SPHC-P/O</v>
          </cell>
          <cell r="J97" t="str">
            <v>STAY PILLION STEP BRKT</v>
          </cell>
          <cell r="K97" t="str">
            <v>50165-KWNJ-7100-H1</v>
          </cell>
          <cell r="L97" t="str">
            <v>KWNJ</v>
          </cell>
          <cell r="M97" t="str">
            <v>SPHC-P/O</v>
          </cell>
          <cell r="N97" t="str">
            <v>STAY PILLION STEP BRKT</v>
          </cell>
          <cell r="O97" t="str">
            <v>50165-KWNJ-7100-H1</v>
          </cell>
          <cell r="P97" t="str">
            <v>KWNJ</v>
          </cell>
          <cell r="Q97" t="str">
            <v>เสนอราคาเป็น Price Sourcing</v>
          </cell>
          <cell r="R97">
            <v>150</v>
          </cell>
        </row>
        <row r="98">
          <cell r="A98">
            <v>30016488</v>
          </cell>
          <cell r="B98" t="str">
            <v>1.6 x 65+/-0.5 x 1219</v>
          </cell>
          <cell r="C98">
            <v>1.6</v>
          </cell>
          <cell r="D98">
            <v>65</v>
          </cell>
          <cell r="E98">
            <v>1219</v>
          </cell>
          <cell r="F98">
            <v>0.99519159999999995</v>
          </cell>
          <cell r="G98">
            <v>36</v>
          </cell>
          <cell r="H98">
            <v>77004429</v>
          </cell>
          <cell r="I98" t="str">
            <v>SPHC-P/O</v>
          </cell>
          <cell r="J98" t="str">
            <v>STAY L SIDE COVER</v>
          </cell>
          <cell r="K98" t="str">
            <v>50146-KWN-7100-H1</v>
          </cell>
          <cell r="L98" t="str">
            <v>KWNJ</v>
          </cell>
          <cell r="M98" t="str">
            <v>SPHC-P/O</v>
          </cell>
          <cell r="N98" t="str">
            <v>STAY L SIDE COVER</v>
          </cell>
          <cell r="O98" t="str">
            <v>50146-KWN-7100-H1</v>
          </cell>
          <cell r="P98" t="str">
            <v>KWNJ</v>
          </cell>
          <cell r="Q98" t="e">
            <v>#N/A</v>
          </cell>
        </row>
        <row r="99">
          <cell r="A99">
            <v>30016508</v>
          </cell>
          <cell r="B99" t="str">
            <v>2.0 x 83+/-0.5 x 1219</v>
          </cell>
          <cell r="C99">
            <v>2</v>
          </cell>
          <cell r="D99">
            <v>83</v>
          </cell>
          <cell r="E99">
            <v>1219</v>
          </cell>
          <cell r="F99">
            <v>1.5884788999999999</v>
          </cell>
          <cell r="G99">
            <v>36</v>
          </cell>
          <cell r="H99">
            <v>77004504</v>
          </cell>
          <cell r="I99" t="str">
            <v>SPHC-P/O</v>
          </cell>
          <cell r="J99" t="str">
            <v>STAY R SIDE COVER</v>
          </cell>
          <cell r="K99" t="str">
            <v>50145-KWN-7100-H1</v>
          </cell>
          <cell r="L99" t="str">
            <v>Honda</v>
          </cell>
          <cell r="M99" t="str">
            <v>SPHC-P/O</v>
          </cell>
          <cell r="N99" t="str">
            <v>STAY R SIDE COVER</v>
          </cell>
          <cell r="O99" t="str">
            <v>50145-KWN-7100-H1</v>
          </cell>
          <cell r="P99" t="str">
            <v>Honda</v>
          </cell>
          <cell r="Q99" t="str">
            <v>ptt</v>
          </cell>
        </row>
        <row r="100">
          <cell r="A100">
            <v>30016627</v>
          </cell>
          <cell r="B100" t="str">
            <v>2.3 x 253+/-0.5 x 1219</v>
          </cell>
          <cell r="C100">
            <v>2.2999999999999998</v>
          </cell>
          <cell r="D100">
            <v>253</v>
          </cell>
          <cell r="E100">
            <v>1219</v>
          </cell>
          <cell r="F100">
            <v>5.5682883849999998</v>
          </cell>
          <cell r="G100">
            <v>29</v>
          </cell>
          <cell r="H100">
            <v>77004727</v>
          </cell>
          <cell r="I100" t="str">
            <v>JSH440W</v>
          </cell>
          <cell r="J100" t="str">
            <v>PLATE L SIDE</v>
          </cell>
          <cell r="K100" t="str">
            <v>80110-KZZA-9001-22</v>
          </cell>
          <cell r="L100" t="str">
            <v>KZZA</v>
          </cell>
          <cell r="M100" t="str">
            <v>JSH440W</v>
          </cell>
          <cell r="N100" t="str">
            <v>PLATE L SIDE</v>
          </cell>
          <cell r="O100" t="str">
            <v>80110-KZZA-9001-22</v>
          </cell>
          <cell r="P100" t="str">
            <v>KZZA</v>
          </cell>
          <cell r="Q100" t="str">
            <v>เสนอราคาเป็น Price Sourcing</v>
          </cell>
          <cell r="R100">
            <v>50</v>
          </cell>
        </row>
        <row r="101">
          <cell r="A101">
            <v>30016628</v>
          </cell>
          <cell r="B101" t="str">
            <v>2.3 x 253+/-0.5 x 1219</v>
          </cell>
          <cell r="C101">
            <v>2.2999999999999998</v>
          </cell>
          <cell r="D101">
            <v>253</v>
          </cell>
          <cell r="E101">
            <v>1219</v>
          </cell>
          <cell r="F101">
            <v>5.5682883849999998</v>
          </cell>
          <cell r="G101">
            <v>29</v>
          </cell>
          <cell r="H101">
            <v>77004727</v>
          </cell>
          <cell r="I101" t="str">
            <v>JSH440W</v>
          </cell>
          <cell r="J101" t="str">
            <v>PLATE R SIDE</v>
          </cell>
          <cell r="K101" t="str">
            <v>80110-KZZA-9001-21</v>
          </cell>
          <cell r="L101" t="str">
            <v>KZZA</v>
          </cell>
          <cell r="M101" t="str">
            <v>JSH440W</v>
          </cell>
          <cell r="N101" t="str">
            <v>PLATE R SIDE</v>
          </cell>
          <cell r="O101" t="str">
            <v>80110-KZZA-9001-21</v>
          </cell>
          <cell r="P101" t="str">
            <v>KZZA</v>
          </cell>
          <cell r="Q101" t="str">
            <v>เสนอราคาเป็น Price Sourcing</v>
          </cell>
          <cell r="R101">
            <v>50</v>
          </cell>
        </row>
        <row r="102">
          <cell r="A102">
            <v>30016664</v>
          </cell>
          <cell r="B102" t="str">
            <v>1.6 x 41+/-0.5 x 1219</v>
          </cell>
          <cell r="C102">
            <v>1.6</v>
          </cell>
          <cell r="D102">
            <v>41</v>
          </cell>
          <cell r="E102">
            <v>1219</v>
          </cell>
          <cell r="F102">
            <v>0.62773623999999995</v>
          </cell>
          <cell r="G102">
            <v>56</v>
          </cell>
          <cell r="H102">
            <v>77005346</v>
          </cell>
          <cell r="I102" t="str">
            <v>SPHC-P/O</v>
          </cell>
          <cell r="J102" t="str">
            <v>BRACKET</v>
          </cell>
          <cell r="K102" t="str">
            <v>11056-1595</v>
          </cell>
          <cell r="L102" t="str">
            <v>KAWA 1015</v>
          </cell>
          <cell r="M102" t="str">
            <v>SPHC-P/O</v>
          </cell>
          <cell r="N102" t="str">
            <v>BRACKET</v>
          </cell>
          <cell r="O102" t="str">
            <v>11056-1595</v>
          </cell>
          <cell r="P102" t="str">
            <v>KAWA 1015</v>
          </cell>
          <cell r="Q102" t="str">
            <v>epc</v>
          </cell>
        </row>
        <row r="103">
          <cell r="A103" t="str">
            <v>30016669-1</v>
          </cell>
          <cell r="B103" t="str">
            <v>2.3 x 44+/-0.5 x 1219</v>
          </cell>
          <cell r="C103">
            <v>2.2999999999999998</v>
          </cell>
          <cell r="D103">
            <v>44</v>
          </cell>
          <cell r="E103">
            <v>1219</v>
          </cell>
          <cell r="F103">
            <v>0.96839797999999988</v>
          </cell>
          <cell r="G103">
            <v>57</v>
          </cell>
          <cell r="H103">
            <v>77005439</v>
          </cell>
          <cell r="I103" t="str">
            <v>SPHC-P/O</v>
          </cell>
          <cell r="J103" t="str">
            <v>BRACKET</v>
          </cell>
          <cell r="K103" t="str">
            <v>11056-1642</v>
          </cell>
          <cell r="L103" t="str">
            <v>KAWA EX250</v>
          </cell>
          <cell r="M103" t="str">
            <v>SPHC-P/O</v>
          </cell>
          <cell r="N103" t="str">
            <v>BRACKET</v>
          </cell>
          <cell r="O103" t="str">
            <v>11056-1642</v>
          </cell>
          <cell r="P103" t="str">
            <v>KAWA EX250</v>
          </cell>
          <cell r="Q103" t="str">
            <v>epc</v>
          </cell>
        </row>
        <row r="104">
          <cell r="A104" t="str">
            <v>30016792-1</v>
          </cell>
          <cell r="B104" t="str">
            <v>1.6 x 74+/-0.5 x 1219</v>
          </cell>
          <cell r="C104">
            <v>1.6</v>
          </cell>
          <cell r="D104">
            <v>74</v>
          </cell>
          <cell r="E104">
            <v>1219</v>
          </cell>
          <cell r="F104">
            <v>1.13298736</v>
          </cell>
          <cell r="G104">
            <v>38</v>
          </cell>
          <cell r="H104">
            <v>77005369</v>
          </cell>
          <cell r="I104" t="str">
            <v>SPHC-P/O</v>
          </cell>
          <cell r="J104" t="str">
            <v>BRACKET</v>
          </cell>
          <cell r="K104" t="str">
            <v>11056-1646</v>
          </cell>
          <cell r="L104" t="str">
            <v>KAWA EX250</v>
          </cell>
          <cell r="M104" t="str">
            <v>SPHC-P/O</v>
          </cell>
          <cell r="N104" t="str">
            <v>BRACKET</v>
          </cell>
          <cell r="O104" t="str">
            <v>11056-1646</v>
          </cell>
          <cell r="P104" t="str">
            <v>KAWA EX250</v>
          </cell>
          <cell r="Q104" t="str">
            <v>epc</v>
          </cell>
        </row>
        <row r="105">
          <cell r="A105" t="str">
            <v>30017491-1</v>
          </cell>
          <cell r="B105" t="str">
            <v>3.2 x 72+/-0.5 x 1219</v>
          </cell>
          <cell r="C105">
            <v>3.2</v>
          </cell>
          <cell r="D105">
            <v>72</v>
          </cell>
          <cell r="E105">
            <v>1219</v>
          </cell>
          <cell r="F105">
            <v>2.2047321600000003</v>
          </cell>
          <cell r="G105">
            <v>48</v>
          </cell>
          <cell r="H105">
            <v>77005511</v>
          </cell>
          <cell r="I105" t="str">
            <v>SPHC-P/O</v>
          </cell>
          <cell r="J105" t="str">
            <v>SUB ASSY 1.3</v>
          </cell>
          <cell r="K105" t="str">
            <v>TC430-1831-7</v>
          </cell>
          <cell r="L105" t="str">
            <v>KUBOTA E45C</v>
          </cell>
          <cell r="M105" t="str">
            <v>SPHC-P/O</v>
          </cell>
          <cell r="N105" t="str">
            <v>SUB ASSY 1.3</v>
          </cell>
          <cell r="O105" t="str">
            <v>TC430-1831-7</v>
          </cell>
          <cell r="P105" t="str">
            <v>KUBOTA E45C</v>
          </cell>
          <cell r="Q105" t="str">
            <v>epc</v>
          </cell>
        </row>
        <row r="106">
          <cell r="A106" t="str">
            <v>30017491-2</v>
          </cell>
          <cell r="B106" t="str">
            <v>0.8 x 46+/-0.5 x 1219</v>
          </cell>
          <cell r="C106">
            <v>0.8</v>
          </cell>
          <cell r="D106">
            <v>46</v>
          </cell>
          <cell r="E106">
            <v>1219</v>
          </cell>
          <cell r="F106">
            <v>0.35214472000000002</v>
          </cell>
          <cell r="G106">
            <v>47</v>
          </cell>
          <cell r="H106">
            <v>77005268</v>
          </cell>
          <cell r="I106" t="str">
            <v>SPCC-SD</v>
          </cell>
          <cell r="J106" t="str">
            <v>SUB ASSY 1.3</v>
          </cell>
          <cell r="K106" t="str">
            <v>TC430-1831-11</v>
          </cell>
          <cell r="L106" t="str">
            <v>KUBOTA E45C</v>
          </cell>
          <cell r="M106" t="str">
            <v>SPCC-SD</v>
          </cell>
          <cell r="N106" t="str">
            <v>SUB ASSY 1.3</v>
          </cell>
          <cell r="O106" t="str">
            <v>TC430-1831-11</v>
          </cell>
          <cell r="P106" t="str">
            <v>KUBOTA E45C</v>
          </cell>
          <cell r="Q106" t="str">
            <v>epc</v>
          </cell>
        </row>
        <row r="107">
          <cell r="A107" t="str">
            <v>30017491-3</v>
          </cell>
          <cell r="B107" t="str">
            <v>3.2 x 98+/-0.5 x 1219</v>
          </cell>
          <cell r="C107">
            <v>3.2</v>
          </cell>
          <cell r="D107">
            <v>98</v>
          </cell>
          <cell r="E107">
            <v>1219</v>
          </cell>
          <cell r="F107">
            <v>3.0008854399999998</v>
          </cell>
          <cell r="G107">
            <v>43</v>
          </cell>
          <cell r="H107">
            <v>77005519</v>
          </cell>
          <cell r="I107" t="str">
            <v>SPHC-P/O</v>
          </cell>
          <cell r="J107" t="str">
            <v>SUB ASSY 1.3</v>
          </cell>
          <cell r="K107" t="str">
            <v>TC430-1831-10</v>
          </cell>
          <cell r="L107" t="str">
            <v>KUBOTA E45C</v>
          </cell>
          <cell r="M107" t="str">
            <v>SPHC-P/O</v>
          </cell>
          <cell r="N107" t="str">
            <v>SUB ASSY 1.3</v>
          </cell>
          <cell r="O107" t="str">
            <v>TC430-1831-10</v>
          </cell>
          <cell r="P107" t="str">
            <v>KUBOTA E45C</v>
          </cell>
          <cell r="Q107" t="str">
            <v>epc</v>
          </cell>
          <cell r="R107">
            <v>30</v>
          </cell>
        </row>
        <row r="108">
          <cell r="A108" t="str">
            <v>30017491-4</v>
          </cell>
          <cell r="B108" t="str">
            <v>3.2 x 58+/-0.5 x 1219</v>
          </cell>
          <cell r="C108">
            <v>3.2</v>
          </cell>
          <cell r="D108">
            <v>58</v>
          </cell>
          <cell r="E108">
            <v>1219</v>
          </cell>
          <cell r="F108">
            <v>1.77603424</v>
          </cell>
          <cell r="G108">
            <v>48</v>
          </cell>
          <cell r="H108">
            <v>77005504</v>
          </cell>
          <cell r="I108" t="str">
            <v>SPHC-P/O</v>
          </cell>
          <cell r="J108" t="str">
            <v>SUB ASSY 1.3</v>
          </cell>
          <cell r="K108" t="str">
            <v>TC430-1831-21</v>
          </cell>
          <cell r="L108" t="str">
            <v>KUBOTA E45C</v>
          </cell>
          <cell r="M108" t="str">
            <v>SPHC-P/O</v>
          </cell>
          <cell r="N108" t="str">
            <v>SUB ASSY 1.3</v>
          </cell>
          <cell r="O108" t="str">
            <v>TC430-1831-21</v>
          </cell>
          <cell r="P108" t="str">
            <v>KUBOTA E45C</v>
          </cell>
          <cell r="Q108" t="str">
            <v>epc</v>
          </cell>
        </row>
        <row r="109">
          <cell r="A109" t="str">
            <v>30017491-5</v>
          </cell>
          <cell r="B109" t="str">
            <v>3.2 x 228+/-0.5 x 1219 เน้นเรียบ</v>
          </cell>
          <cell r="C109">
            <v>3.2</v>
          </cell>
          <cell r="D109">
            <v>228</v>
          </cell>
          <cell r="E109">
            <v>1219</v>
          </cell>
          <cell r="F109">
            <v>6.9816518399999996</v>
          </cell>
          <cell r="G109">
            <v>15</v>
          </cell>
          <cell r="H109">
            <v>77005494</v>
          </cell>
          <cell r="I109" t="str">
            <v>SPHC-P/O</v>
          </cell>
          <cell r="J109" t="str">
            <v>PILLAR FR ASSY 1.3</v>
          </cell>
          <cell r="K109" t="str">
            <v>TC422-1831-K2</v>
          </cell>
          <cell r="L109" t="str">
            <v>KUBOTA E45C</v>
          </cell>
          <cell r="M109" t="str">
            <v>SPHC-P/O</v>
          </cell>
          <cell r="N109" t="str">
            <v>PILLAR FR ASSY 1.3</v>
          </cell>
          <cell r="O109" t="str">
            <v>TC422-1831-K2</v>
          </cell>
          <cell r="P109" t="str">
            <v>KUBOTA E45C</v>
          </cell>
          <cell r="Q109" t="str">
            <v>ps</v>
          </cell>
          <cell r="R109">
            <v>30</v>
          </cell>
        </row>
        <row r="110">
          <cell r="A110">
            <v>30017715</v>
          </cell>
          <cell r="B110" t="str">
            <v>3.2 x 115+/-0.5 x 1219</v>
          </cell>
          <cell r="C110">
            <v>3.2</v>
          </cell>
          <cell r="D110">
            <v>116</v>
          </cell>
          <cell r="E110">
            <v>1219</v>
          </cell>
          <cell r="F110">
            <v>3.55206848</v>
          </cell>
          <cell r="G110">
            <v>16</v>
          </cell>
          <cell r="H110">
            <v>77005294</v>
          </cell>
          <cell r="I110" t="str">
            <v>SPFH590-P/O</v>
          </cell>
          <cell r="J110" t="str">
            <v>GUSSET</v>
          </cell>
          <cell r="K110" t="str">
            <v>32170-0889</v>
          </cell>
          <cell r="L110" t="str">
            <v>KAWA 1015</v>
          </cell>
          <cell r="M110" t="str">
            <v>SPFH590-P/O</v>
          </cell>
          <cell r="N110" t="str">
            <v>GUSSET</v>
          </cell>
          <cell r="O110" t="str">
            <v>32170-0889</v>
          </cell>
          <cell r="P110" t="str">
            <v>KAWA 1015</v>
          </cell>
          <cell r="Q110" t="str">
            <v>tsi</v>
          </cell>
        </row>
        <row r="111">
          <cell r="A111">
            <v>30018769</v>
          </cell>
          <cell r="B111" t="str">
            <v>1.6 x 62+/-0.5 x 1219</v>
          </cell>
          <cell r="C111">
            <v>1.6</v>
          </cell>
          <cell r="D111">
            <v>62</v>
          </cell>
          <cell r="E111">
            <v>1219</v>
          </cell>
          <cell r="F111">
            <v>0.94925967999999994</v>
          </cell>
          <cell r="G111">
            <v>52</v>
          </cell>
          <cell r="H111">
            <v>77005360</v>
          </cell>
          <cell r="I111" t="str">
            <v>SPHC-P/O</v>
          </cell>
          <cell r="J111" t="str">
            <v>BRACKET</v>
          </cell>
          <cell r="K111" t="str">
            <v>11056-2235</v>
          </cell>
          <cell r="L111" t="str">
            <v>KAWA 1015</v>
          </cell>
          <cell r="M111" t="str">
            <v>SPHC-P/O</v>
          </cell>
          <cell r="N111" t="str">
            <v>BRACKET</v>
          </cell>
          <cell r="O111" t="str">
            <v>11056-2235</v>
          </cell>
          <cell r="P111" t="str">
            <v>KAWA 1015</v>
          </cell>
          <cell r="Q111" t="str">
            <v>epc</v>
          </cell>
        </row>
        <row r="112">
          <cell r="A112" t="str">
            <v>30019251-1</v>
          </cell>
          <cell r="B112" t="str">
            <v>1.6 x 86+/-0.5 x 1219</v>
          </cell>
          <cell r="C112">
            <v>1.6</v>
          </cell>
          <cell r="D112">
            <v>86</v>
          </cell>
          <cell r="E112">
            <v>1219</v>
          </cell>
          <cell r="F112">
            <v>1.3167150399999998</v>
          </cell>
          <cell r="G112">
            <v>22</v>
          </cell>
          <cell r="H112">
            <v>77004458</v>
          </cell>
          <cell r="I112" t="str">
            <v>SPHC-P/O</v>
          </cell>
          <cell r="J112" t="str">
            <v>STAY (STAY COMP COUPLER)</v>
          </cell>
          <cell r="K112" t="str">
            <v>61318-K20A-9000-20</v>
          </cell>
          <cell r="L112" t="str">
            <v>K20A</v>
          </cell>
          <cell r="M112" t="str">
            <v>SPHC-P/O</v>
          </cell>
          <cell r="N112" t="str">
            <v>STAY (STAY COMP COUPLER)</v>
          </cell>
          <cell r="O112" t="str">
            <v>61318-K20A-9000-20</v>
          </cell>
          <cell r="P112" t="str">
            <v>K20A</v>
          </cell>
          <cell r="Q112" t="str">
            <v>เสนอราคาเป็น Price Sourcing</v>
          </cell>
        </row>
        <row r="113">
          <cell r="A113" t="str">
            <v>30019251-2</v>
          </cell>
          <cell r="B113" t="str">
            <v>1.0 x 71+/-0.5 x 1219</v>
          </cell>
          <cell r="C113">
            <v>1</v>
          </cell>
          <cell r="D113">
            <v>71</v>
          </cell>
          <cell r="E113">
            <v>1219</v>
          </cell>
          <cell r="F113">
            <v>0.67940964999999998</v>
          </cell>
          <cell r="G113">
            <v>162</v>
          </cell>
          <cell r="H113">
            <v>77004262</v>
          </cell>
          <cell r="I113" t="str">
            <v>SPCC-SD</v>
          </cell>
          <cell r="J113" t="str">
            <v>STAY COUPLER C</v>
          </cell>
          <cell r="K113" t="str">
            <v>50198-HAO-3000</v>
          </cell>
          <cell r="L113" t="str">
            <v>K20A</v>
          </cell>
          <cell r="M113" t="str">
            <v>SPCC-SD</v>
          </cell>
          <cell r="N113" t="str">
            <v>STAY COUPLER C</v>
          </cell>
          <cell r="O113" t="str">
            <v>50198-HAO-3000</v>
          </cell>
          <cell r="P113" t="str">
            <v>K20A</v>
          </cell>
          <cell r="Q113" t="str">
            <v>เสนอราคาเป็น Price Sourcing</v>
          </cell>
        </row>
        <row r="114">
          <cell r="A114">
            <v>30019261</v>
          </cell>
          <cell r="B114" t="str">
            <v>3.2 x 56+/-0.5 x 1219</v>
          </cell>
          <cell r="C114">
            <v>3.2</v>
          </cell>
          <cell r="D114">
            <v>56</v>
          </cell>
          <cell r="E114">
            <v>1219</v>
          </cell>
          <cell r="F114">
            <v>1.7147916800000003</v>
          </cell>
          <cell r="G114">
            <v>31</v>
          </cell>
          <cell r="H114">
            <v>77003790</v>
          </cell>
          <cell r="I114" t="str">
            <v>SPHC-P/O</v>
          </cell>
          <cell r="J114" t="str">
            <v>PLATE R TOP COMP</v>
          </cell>
          <cell r="K114" t="str">
            <v>61300-K20A-9100-04</v>
          </cell>
          <cell r="L114" t="str">
            <v>K20A</v>
          </cell>
          <cell r="M114" t="str">
            <v>SPHC-P/O</v>
          </cell>
          <cell r="N114" t="str">
            <v>PLATE R TOP COMP</v>
          </cell>
          <cell r="O114" t="str">
            <v>61300-K20A-9100-04</v>
          </cell>
          <cell r="P114" t="str">
            <v>K20A</v>
          </cell>
          <cell r="Q114" t="str">
            <v>เสนอราคาเป็น Price Sourcing</v>
          </cell>
        </row>
        <row r="115">
          <cell r="A115">
            <v>30019280</v>
          </cell>
          <cell r="B115" t="str">
            <v>3.2 x 56+/-0.5 x 1219</v>
          </cell>
          <cell r="C115">
            <v>3.2</v>
          </cell>
          <cell r="D115">
            <v>56</v>
          </cell>
          <cell r="E115">
            <v>1219</v>
          </cell>
          <cell r="F115">
            <v>1.7147916800000003</v>
          </cell>
          <cell r="G115">
            <v>31</v>
          </cell>
          <cell r="H115">
            <v>77003790</v>
          </cell>
          <cell r="I115" t="str">
            <v>SPHC-P/O</v>
          </cell>
          <cell r="J115" t="str">
            <v>PLATE, R TOP COMP</v>
          </cell>
          <cell r="K115" t="str">
            <v>61300-K20A-9000-04</v>
          </cell>
          <cell r="L115" t="str">
            <v>K20A</v>
          </cell>
          <cell r="M115" t="str">
            <v>SPHC-P/O</v>
          </cell>
          <cell r="N115" t="str">
            <v>PLATE, R TOP COMP</v>
          </cell>
          <cell r="O115" t="str">
            <v>61300-K20A-9000-04</v>
          </cell>
          <cell r="P115" t="str">
            <v>K20A</v>
          </cell>
          <cell r="Q115" t="str">
            <v>เสนอราคาเป็น Price Sourcing</v>
          </cell>
        </row>
        <row r="116">
          <cell r="A116">
            <v>30022243</v>
          </cell>
          <cell r="B116" t="str">
            <v>3.2 x 45+/-0.5 x Coil</v>
          </cell>
          <cell r="C116">
            <v>3.2</v>
          </cell>
          <cell r="D116">
            <v>45</v>
          </cell>
          <cell r="E116" t="str">
            <v>Coil</v>
          </cell>
          <cell r="F116">
            <v>2.3E-2</v>
          </cell>
          <cell r="G116">
            <v>2.3E-2</v>
          </cell>
          <cell r="H116">
            <v>77004192</v>
          </cell>
          <cell r="I116" t="str">
            <v>YSH270C-P</v>
          </cell>
          <cell r="J116" t="str">
            <v>STAY D CHAIN CASE</v>
          </cell>
          <cell r="K116" t="str">
            <v>52134-KPH-9000-H1</v>
          </cell>
          <cell r="L116" t="str">
            <v>Honda</v>
          </cell>
          <cell r="M116" t="str">
            <v>YSH270C-P</v>
          </cell>
          <cell r="N116" t="str">
            <v>STAY D CHAIN CASE</v>
          </cell>
          <cell r="O116" t="str">
            <v>52134-KPH-9000-H1</v>
          </cell>
          <cell r="P116" t="str">
            <v>Honda</v>
          </cell>
          <cell r="Q116" t="str">
            <v>ptt</v>
          </cell>
        </row>
        <row r="117">
          <cell r="A117" t="str">
            <v>30048198-3</v>
          </cell>
          <cell r="B117" t="str">
            <v>3.2 x 45+/-0.5 x Coil</v>
          </cell>
          <cell r="C117">
            <v>3.2</v>
          </cell>
          <cell r="D117">
            <v>45</v>
          </cell>
          <cell r="E117" t="str">
            <v>Coil</v>
          </cell>
          <cell r="F117">
            <v>2.3E-2</v>
          </cell>
          <cell r="G117">
            <v>2.3E-2</v>
          </cell>
          <cell r="H117">
            <v>77004192</v>
          </cell>
          <cell r="I117" t="str">
            <v>YSH270C-P</v>
          </cell>
          <cell r="J117" t="str">
            <v>STAY D CHAIN CASE</v>
          </cell>
          <cell r="K117" t="str">
            <v>52134-KPH-9000-H1</v>
          </cell>
          <cell r="L117" t="str">
            <v>Honda</v>
          </cell>
          <cell r="M117" t="str">
            <v>YSH270C-P</v>
          </cell>
          <cell r="N117" t="str">
            <v>STAY D CHAIN CASE</v>
          </cell>
          <cell r="O117" t="str">
            <v>52134-KPH-9000-H1</v>
          </cell>
          <cell r="P117" t="str">
            <v>Honda</v>
          </cell>
          <cell r="Q117" t="str">
            <v>ptt</v>
          </cell>
        </row>
        <row r="118">
          <cell r="A118" t="str">
            <v>30051567-3</v>
          </cell>
          <cell r="B118" t="str">
            <v>3.2 x 45+/-0.5 x Coil</v>
          </cell>
          <cell r="C118">
            <v>3.2</v>
          </cell>
          <cell r="D118">
            <v>45</v>
          </cell>
          <cell r="E118" t="str">
            <v>Coil</v>
          </cell>
          <cell r="F118">
            <v>2.3E-2</v>
          </cell>
          <cell r="G118">
            <v>2.3E-2</v>
          </cell>
          <cell r="H118">
            <v>77004192</v>
          </cell>
          <cell r="I118" t="str">
            <v>YSH270C-P</v>
          </cell>
          <cell r="J118" t="str">
            <v>STAY D CHAIN CASE</v>
          </cell>
          <cell r="K118" t="str">
            <v>52134-KPH-9000-H1</v>
          </cell>
          <cell r="L118" t="str">
            <v>Honda</v>
          </cell>
          <cell r="M118" t="str">
            <v>YSH270C-P</v>
          </cell>
          <cell r="N118" t="str">
            <v>STAY D CHAIN CASE</v>
          </cell>
          <cell r="O118" t="str">
            <v>52134-KPH-9000-H1</v>
          </cell>
          <cell r="P118" t="str">
            <v>Honda</v>
          </cell>
          <cell r="Q118" t="str">
            <v>ptt</v>
          </cell>
        </row>
        <row r="119">
          <cell r="A119" t="str">
            <v>30048217-3</v>
          </cell>
          <cell r="B119" t="str">
            <v>3.2 x 45+/-0.5 x Coil</v>
          </cell>
          <cell r="C119">
            <v>3.2</v>
          </cell>
          <cell r="D119">
            <v>45</v>
          </cell>
          <cell r="E119" t="str">
            <v>Coil</v>
          </cell>
          <cell r="F119">
            <v>2.3E-2</v>
          </cell>
          <cell r="G119">
            <v>2.3E-2</v>
          </cell>
          <cell r="H119">
            <v>77004192</v>
          </cell>
          <cell r="I119" t="str">
            <v>YSH270C-P</v>
          </cell>
          <cell r="J119" t="str">
            <v>STAY D CHAIN CASE</v>
          </cell>
          <cell r="K119" t="str">
            <v>52134-KPH-9000-H1</v>
          </cell>
          <cell r="L119" t="str">
            <v>Honda</v>
          </cell>
          <cell r="M119" t="str">
            <v>YSH270C-P</v>
          </cell>
          <cell r="N119" t="str">
            <v>STAY D CHAIN CASE</v>
          </cell>
          <cell r="O119" t="str">
            <v>52134-KPH-9000-H1</v>
          </cell>
          <cell r="P119" t="str">
            <v>Honda</v>
          </cell>
          <cell r="Q119" t="str">
            <v>ptt</v>
          </cell>
        </row>
        <row r="120">
          <cell r="A120">
            <v>30022422</v>
          </cell>
          <cell r="B120" t="str">
            <v>1.6 x 112+/-0.5 x Coil</v>
          </cell>
          <cell r="C120">
            <v>1.6</v>
          </cell>
          <cell r="D120">
            <v>112</v>
          </cell>
          <cell r="E120" t="str">
            <v>Coil</v>
          </cell>
          <cell r="F120">
            <v>1.7299999999999999E-2</v>
          </cell>
          <cell r="G120">
            <v>1.7299999999999999E-2</v>
          </cell>
          <cell r="H120">
            <v>77004090</v>
          </cell>
          <cell r="I120" t="str">
            <v>SPCC-SD</v>
          </cell>
          <cell r="J120" t="str">
            <v>STAY MAIN PIPE SIDE COVER</v>
          </cell>
          <cell r="K120" t="str">
            <v>50133-KPH-9000</v>
          </cell>
          <cell r="L120" t="str">
            <v>Honda</v>
          </cell>
          <cell r="M120" t="str">
            <v>SPCC-SD</v>
          </cell>
          <cell r="N120" t="str">
            <v>STAY MAIN PIPE SIDE COVER</v>
          </cell>
          <cell r="O120" t="str">
            <v>50133-KPH-9000</v>
          </cell>
          <cell r="P120" t="str">
            <v>Honda</v>
          </cell>
          <cell r="Q120" t="str">
            <v>เสนอราคาเป็น Price Sourcing</v>
          </cell>
        </row>
        <row r="121">
          <cell r="A121">
            <v>30022424</v>
          </cell>
          <cell r="B121" t="str">
            <v>1.4 x 80+/-0.5 x Coil</v>
          </cell>
          <cell r="C121">
            <v>1.4</v>
          </cell>
          <cell r="D121">
            <v>80</v>
          </cell>
          <cell r="E121" t="str">
            <v>Coil</v>
          </cell>
          <cell r="F121">
            <v>7.0000000000000001E-3</v>
          </cell>
          <cell r="G121">
            <v>7.0000000000000001E-3</v>
          </cell>
          <cell r="H121">
            <v>77004084</v>
          </cell>
          <cell r="I121" t="str">
            <v>SPCC-SD</v>
          </cell>
          <cell r="J121" t="str">
            <v>STAY A/C</v>
          </cell>
          <cell r="K121" t="str">
            <v>50124-KPH-9000-H1</v>
          </cell>
          <cell r="L121" t="str">
            <v>Honda</v>
          </cell>
          <cell r="M121" t="str">
            <v>SPCC-SD</v>
          </cell>
          <cell r="N121" t="str">
            <v>STAY A/C</v>
          </cell>
          <cell r="O121" t="str">
            <v>50124-KPH-9000-H1</v>
          </cell>
          <cell r="P121" t="str">
            <v>Honda</v>
          </cell>
          <cell r="Q121" t="str">
            <v>เสนอราคาเป็น Price Sourcing</v>
          </cell>
        </row>
        <row r="122">
          <cell r="A122">
            <v>30022432</v>
          </cell>
          <cell r="B122" t="str">
            <v>1.6 x 77+/-0.5 x Coil</v>
          </cell>
          <cell r="C122">
            <v>1.6</v>
          </cell>
          <cell r="D122">
            <v>77</v>
          </cell>
          <cell r="E122" t="str">
            <v>Coil</v>
          </cell>
          <cell r="F122">
            <v>1.2E-2</v>
          </cell>
          <cell r="G122">
            <v>1.2E-2</v>
          </cell>
          <cell r="H122">
            <v>77004086</v>
          </cell>
          <cell r="I122" t="str">
            <v>SPCC-SD</v>
          </cell>
          <cell r="J122" t="str">
            <v>STAY WIRE HARNESS</v>
          </cell>
          <cell r="K122" t="str">
            <v>50117-KFL-8500-H1</v>
          </cell>
          <cell r="L122" t="str">
            <v>Honda</v>
          </cell>
          <cell r="M122" t="str">
            <v>SPCC-SD</v>
          </cell>
          <cell r="N122" t="str">
            <v>STAY WIRE HARNESS</v>
          </cell>
          <cell r="O122" t="str">
            <v>50117-KFL-8500-H1</v>
          </cell>
          <cell r="P122" t="str">
            <v>Honda</v>
          </cell>
          <cell r="Q122" t="str">
            <v>เสนอราคาเป็น Price Sourcing</v>
          </cell>
        </row>
        <row r="123">
          <cell r="A123">
            <v>30022948</v>
          </cell>
          <cell r="B123" t="str">
            <v>6.0 x 195+/-0.5 x 1219</v>
          </cell>
          <cell r="C123">
            <v>6</v>
          </cell>
          <cell r="D123">
            <v>195</v>
          </cell>
          <cell r="E123">
            <v>1219</v>
          </cell>
          <cell r="F123">
            <v>11.1959055</v>
          </cell>
          <cell r="G123">
            <v>40</v>
          </cell>
          <cell r="H123">
            <v>77005301</v>
          </cell>
          <cell r="I123" t="str">
            <v>SPFH590</v>
          </cell>
          <cell r="J123" t="str">
            <v>LEVER CHANGE</v>
          </cell>
          <cell r="K123" t="str">
            <v>13156-0601</v>
          </cell>
          <cell r="L123" t="str">
            <v>KAWA KL650E</v>
          </cell>
          <cell r="M123" t="str">
            <v>SPFH590</v>
          </cell>
          <cell r="N123" t="str">
            <v>LEVER CHANGE</v>
          </cell>
          <cell r="O123" t="str">
            <v>13156-0601</v>
          </cell>
          <cell r="P123" t="str">
            <v>KAWA KL650E</v>
          </cell>
          <cell r="Q123" t="e">
            <v>#N/A</v>
          </cell>
        </row>
        <row r="124">
          <cell r="A124">
            <v>30022951</v>
          </cell>
          <cell r="B124" t="str">
            <v>2.3 x 55+/-0.5 x 1183</v>
          </cell>
          <cell r="C124">
            <v>2.2999999999999998</v>
          </cell>
          <cell r="D124">
            <v>55</v>
          </cell>
          <cell r="E124">
            <v>1183</v>
          </cell>
          <cell r="F124">
            <v>1.1747485749999997</v>
          </cell>
          <cell r="G124">
            <v>45</v>
          </cell>
          <cell r="H124">
            <v>77005289</v>
          </cell>
          <cell r="I124" t="str">
            <v>SPFH590 P/O</v>
          </cell>
          <cell r="J124" t="str">
            <v>HOLDER (E-KB)</v>
          </cell>
          <cell r="K124" t="str">
            <v>13280-0798(20037272)</v>
          </cell>
          <cell r="L124" t="str">
            <v>KAWA KL650E</v>
          </cell>
          <cell r="M124" t="str">
            <v>SPFH590 P/O</v>
          </cell>
          <cell r="N124" t="str">
            <v>HOLDER (E-KB)</v>
          </cell>
          <cell r="O124" t="str">
            <v>13280-0798(20037272)</v>
          </cell>
          <cell r="P124" t="str">
            <v>KAWA KL650E</v>
          </cell>
          <cell r="Q124" t="str">
            <v>tsi</v>
          </cell>
        </row>
        <row r="125">
          <cell r="A125">
            <v>30023360</v>
          </cell>
          <cell r="B125" t="str">
            <v>1.6 x 90+/-0.5 x 1219</v>
          </cell>
          <cell r="C125">
            <v>1.6</v>
          </cell>
          <cell r="D125">
            <v>90</v>
          </cell>
          <cell r="E125">
            <v>1219</v>
          </cell>
          <cell r="F125">
            <v>1.3779575999999998</v>
          </cell>
          <cell r="G125">
            <v>17</v>
          </cell>
          <cell r="H125">
            <v>77005378</v>
          </cell>
          <cell r="I125" t="str">
            <v>SPHC-P/O</v>
          </cell>
          <cell r="J125" t="str">
            <v>BRACKET</v>
          </cell>
          <cell r="K125" t="str">
            <v>11056-3941</v>
          </cell>
          <cell r="L125" t="str">
            <v>KAWA LE650C,D</v>
          </cell>
          <cell r="M125" t="str">
            <v>SPHC-P/O</v>
          </cell>
          <cell r="N125" t="str">
            <v>BRACKET</v>
          </cell>
          <cell r="O125" t="str">
            <v>11056-3941</v>
          </cell>
          <cell r="P125" t="str">
            <v>KAWA LE650C,D</v>
          </cell>
          <cell r="Q125" t="str">
            <v>epc</v>
          </cell>
        </row>
        <row r="126">
          <cell r="A126" t="str">
            <v>30023361-1</v>
          </cell>
          <cell r="B126" t="str">
            <v>1.6 x 60+/-0.5 x 1219</v>
          </cell>
          <cell r="C126">
            <v>1.6</v>
          </cell>
          <cell r="D126">
            <v>60</v>
          </cell>
          <cell r="E126">
            <v>1219</v>
          </cell>
          <cell r="F126">
            <v>0.91863839999999986</v>
          </cell>
          <cell r="G126">
            <v>26</v>
          </cell>
          <cell r="H126">
            <v>77005358</v>
          </cell>
          <cell r="I126" t="str">
            <v>SPHC-P/O</v>
          </cell>
          <cell r="J126" t="str">
            <v>BRACKET</v>
          </cell>
          <cell r="K126" t="str">
            <v>11056-3943</v>
          </cell>
          <cell r="L126" t="str">
            <v>KAWA LE650C,D</v>
          </cell>
          <cell r="M126" t="str">
            <v>SPHC-P/O</v>
          </cell>
          <cell r="N126" t="str">
            <v>BRACKET</v>
          </cell>
          <cell r="O126" t="str">
            <v>11056-3943</v>
          </cell>
          <cell r="P126" t="str">
            <v>KAWA LE650C,D</v>
          </cell>
          <cell r="Q126" t="str">
            <v>epc</v>
          </cell>
        </row>
        <row r="127">
          <cell r="A127" t="str">
            <v>30023362-1</v>
          </cell>
          <cell r="B127" t="str">
            <v>2.0 x 60+/-0.5 x 1219</v>
          </cell>
          <cell r="C127">
            <v>2</v>
          </cell>
          <cell r="D127">
            <v>60</v>
          </cell>
          <cell r="E127">
            <v>1219</v>
          </cell>
          <cell r="F127">
            <v>1.148298</v>
          </cell>
          <cell r="G127">
            <v>33</v>
          </cell>
          <cell r="H127">
            <v>77005413</v>
          </cell>
          <cell r="I127" t="str">
            <v>SPHC-P/O</v>
          </cell>
          <cell r="J127" t="str">
            <v>BRACKET</v>
          </cell>
          <cell r="K127" t="str">
            <v>11056-3956</v>
          </cell>
          <cell r="L127" t="str">
            <v>KAWA LE650C,D</v>
          </cell>
          <cell r="M127" t="str">
            <v>SPHC-P/O</v>
          </cell>
          <cell r="N127" t="str">
            <v>BRACKET</v>
          </cell>
          <cell r="O127" t="str">
            <v>11056-3956</v>
          </cell>
          <cell r="P127" t="str">
            <v>KAWA LE650C,D</v>
          </cell>
          <cell r="Q127" t="str">
            <v>epc</v>
          </cell>
        </row>
        <row r="128">
          <cell r="A128">
            <v>30023738</v>
          </cell>
          <cell r="B128" t="str">
            <v>2.0 x 160+/-0.5 x 1219</v>
          </cell>
          <cell r="C128">
            <v>2</v>
          </cell>
          <cell r="D128">
            <v>160</v>
          </cell>
          <cell r="E128">
            <v>1219</v>
          </cell>
          <cell r="F128">
            <v>3.062128</v>
          </cell>
          <cell r="G128">
            <v>28</v>
          </cell>
          <cell r="H128">
            <v>77004903</v>
          </cell>
          <cell r="I128" t="str">
            <v>SPHC-P/O</v>
          </cell>
          <cell r="J128" t="str">
            <v>STAY REGULATOR</v>
          </cell>
          <cell r="K128" t="str">
            <v>50156-KYZ-G000-H1</v>
          </cell>
          <cell r="L128" t="str">
            <v>KYJJ</v>
          </cell>
          <cell r="M128" t="str">
            <v>SPHC-P/O</v>
          </cell>
          <cell r="N128" t="str">
            <v>STAY REGULATOR</v>
          </cell>
          <cell r="O128" t="str">
            <v>50156-KYZ-G000-H1</v>
          </cell>
          <cell r="P128" t="str">
            <v>KYJJ</v>
          </cell>
          <cell r="Q128" t="str">
            <v>เสนอราคาเป็น Price Sourcing</v>
          </cell>
        </row>
        <row r="129">
          <cell r="A129" t="str">
            <v>30023758-1</v>
          </cell>
          <cell r="B129" t="str">
            <v>2.3 x 225+/-0.5 x 1219 โก่ง 2 มม./เน้นเรียบ</v>
          </cell>
          <cell r="C129">
            <v>2.2999999999999998</v>
          </cell>
          <cell r="D129">
            <v>225</v>
          </cell>
          <cell r="E129">
            <v>1219</v>
          </cell>
          <cell r="F129">
            <v>4.9520351250000001</v>
          </cell>
          <cell r="G129">
            <v>9</v>
          </cell>
          <cell r="H129">
            <v>77005435</v>
          </cell>
          <cell r="I129" t="str">
            <v>SPHC-P/O</v>
          </cell>
          <cell r="J129" t="str">
            <v>PLATE</v>
          </cell>
          <cell r="K129" t="str">
            <v>13272-1778</v>
          </cell>
          <cell r="L129" t="str">
            <v>KAWA EN650</v>
          </cell>
          <cell r="M129" t="str">
            <v>SPHC-P/O</v>
          </cell>
          <cell r="N129" t="str">
            <v>PLATE</v>
          </cell>
          <cell r="O129" t="str">
            <v>13272-1778</v>
          </cell>
          <cell r="P129" t="str">
            <v>KAWA EN650</v>
          </cell>
          <cell r="Q129" t="str">
            <v>bm</v>
          </cell>
        </row>
        <row r="130">
          <cell r="A130" t="str">
            <v>30023759-1</v>
          </cell>
          <cell r="B130" t="str">
            <v>2.3 x 216+/-0.5 x 1219 โก่ง 2 มม./เน้นเรียบ</v>
          </cell>
          <cell r="C130">
            <v>2.2999999999999998</v>
          </cell>
          <cell r="D130">
            <v>216</v>
          </cell>
          <cell r="E130">
            <v>1219</v>
          </cell>
          <cell r="F130">
            <v>4.7539537200000002</v>
          </cell>
          <cell r="G130">
            <v>9</v>
          </cell>
          <cell r="H130">
            <v>77005434</v>
          </cell>
          <cell r="I130" t="str">
            <v>SPHC-P/O</v>
          </cell>
          <cell r="J130" t="str">
            <v>PLATE</v>
          </cell>
          <cell r="K130" t="str">
            <v>13272-1777</v>
          </cell>
          <cell r="L130" t="str">
            <v>KAWA EN650</v>
          </cell>
          <cell r="M130" t="str">
            <v>SPHC-P/O</v>
          </cell>
          <cell r="N130" t="str">
            <v>PLATE</v>
          </cell>
          <cell r="O130" t="str">
            <v>13272-1777</v>
          </cell>
          <cell r="P130" t="str">
            <v>KAWA EN650</v>
          </cell>
          <cell r="Q130" t="str">
            <v>bm</v>
          </cell>
        </row>
        <row r="131">
          <cell r="A131">
            <v>30023999</v>
          </cell>
          <cell r="B131" t="str">
            <v>6.0 x 135+/-0.5 x 1219</v>
          </cell>
          <cell r="C131">
            <v>6</v>
          </cell>
          <cell r="D131">
            <v>135</v>
          </cell>
          <cell r="E131">
            <v>1219</v>
          </cell>
          <cell r="F131">
            <v>7.7510114999999997</v>
          </cell>
          <cell r="G131">
            <v>50</v>
          </cell>
          <cell r="H131">
            <v>77005560</v>
          </cell>
          <cell r="I131" t="str">
            <v>SS400</v>
          </cell>
          <cell r="J131" t="str">
            <v>BRKT LEVER SHIFT NO.3 (20032868)</v>
          </cell>
          <cell r="K131" t="str">
            <v>TC422-2472-4</v>
          </cell>
          <cell r="L131" t="str">
            <v>KUBOTA</v>
          </cell>
          <cell r="M131" t="str">
            <v>SS400</v>
          </cell>
          <cell r="N131" t="str">
            <v>BRKT LEVER SHIFT NO.3 (20032868)</v>
          </cell>
          <cell r="O131" t="str">
            <v>TC422-2472-4</v>
          </cell>
          <cell r="P131" t="str">
            <v>KUBOTA</v>
          </cell>
          <cell r="Q131" t="str">
            <v>ps</v>
          </cell>
        </row>
        <row r="132">
          <cell r="A132">
            <v>30024007</v>
          </cell>
          <cell r="B132" t="str">
            <v>6.0 x 85+/-0.5 x 1219</v>
          </cell>
          <cell r="C132">
            <v>6</v>
          </cell>
          <cell r="D132">
            <v>85</v>
          </cell>
          <cell r="E132">
            <v>1219</v>
          </cell>
          <cell r="F132">
            <v>4.8802665000000003</v>
          </cell>
          <cell r="G132">
            <v>50</v>
          </cell>
          <cell r="H132">
            <v>77005567</v>
          </cell>
          <cell r="I132" t="str">
            <v>SS400</v>
          </cell>
          <cell r="J132" t="str">
            <v>BRKT LEVER SHIFT NO.4 (30032869)</v>
          </cell>
          <cell r="K132" t="str">
            <v>TC620-2472-1-5</v>
          </cell>
          <cell r="L132" t="str">
            <v>KUBOTA</v>
          </cell>
          <cell r="M132" t="str">
            <v>SS400</v>
          </cell>
          <cell r="N132" t="str">
            <v>BRKT LEVER SHIFT NO.4 (30032869)</v>
          </cell>
          <cell r="O132" t="str">
            <v>TC620-2472-1-5</v>
          </cell>
          <cell r="P132" t="str">
            <v>KUBOTA</v>
          </cell>
          <cell r="Q132" t="str">
            <v>ps</v>
          </cell>
        </row>
        <row r="133">
          <cell r="A133" t="str">
            <v>30024226-1</v>
          </cell>
          <cell r="B133" t="str">
            <v>1.6 x 80+/-0.5 x 1219</v>
          </cell>
          <cell r="C133">
            <v>1.6</v>
          </cell>
          <cell r="D133">
            <v>80</v>
          </cell>
          <cell r="E133">
            <v>1219</v>
          </cell>
          <cell r="F133">
            <v>1.2248512</v>
          </cell>
          <cell r="G133">
            <v>24</v>
          </cell>
          <cell r="H133">
            <v>77005372</v>
          </cell>
          <cell r="I133" t="str">
            <v>YSH270C-P</v>
          </cell>
          <cell r="J133" t="str">
            <v>STAY 3</v>
          </cell>
          <cell r="K133" t="str">
            <v>2BL-F122C-00</v>
          </cell>
          <cell r="L133" t="str">
            <v>2BL</v>
          </cell>
          <cell r="M133" t="str">
            <v>YSH270C-P</v>
          </cell>
          <cell r="N133" t="str">
            <v>STAY 3</v>
          </cell>
          <cell r="O133" t="str">
            <v>2BL-F122C-00</v>
          </cell>
          <cell r="P133" t="str">
            <v>2BL</v>
          </cell>
          <cell r="Q133" t="str">
            <v>tsi</v>
          </cell>
          <cell r="R133">
            <v>200</v>
          </cell>
        </row>
        <row r="134">
          <cell r="A134" t="str">
            <v>30024227-1</v>
          </cell>
          <cell r="B134" t="str">
            <v>1.6 x 77+/-0.5 x 1219</v>
          </cell>
          <cell r="C134">
            <v>1.6</v>
          </cell>
          <cell r="D134">
            <v>77</v>
          </cell>
          <cell r="E134">
            <v>1219</v>
          </cell>
          <cell r="F134">
            <v>1.1789192800000001</v>
          </cell>
          <cell r="G134">
            <v>27</v>
          </cell>
          <cell r="H134">
            <v>77005371</v>
          </cell>
          <cell r="I134" t="str">
            <v>YSH270C-P</v>
          </cell>
          <cell r="J134" t="str">
            <v>STAY 4</v>
          </cell>
          <cell r="K134" t="str">
            <v>2BL-F122D-00</v>
          </cell>
          <cell r="L134" t="str">
            <v>2BL</v>
          </cell>
          <cell r="M134" t="str">
            <v>YSH270C-P</v>
          </cell>
          <cell r="N134" t="str">
            <v>STAY 4</v>
          </cell>
          <cell r="O134" t="str">
            <v>2BL-F122D-00</v>
          </cell>
          <cell r="P134" t="str">
            <v>2BL</v>
          </cell>
          <cell r="Q134" t="str">
            <v>tsi</v>
          </cell>
        </row>
        <row r="135">
          <cell r="A135" t="str">
            <v>30024230-1</v>
          </cell>
          <cell r="B135" t="str">
            <v>2.3 x 138+/-0.5 x 1219</v>
          </cell>
          <cell r="C135">
            <v>2.2999999999999998</v>
          </cell>
          <cell r="D135">
            <v>138</v>
          </cell>
          <cell r="E135">
            <v>1219</v>
          </cell>
          <cell r="F135">
            <v>3.0372482099999996</v>
          </cell>
          <cell r="G135">
            <v>24</v>
          </cell>
          <cell r="H135">
            <v>77005433</v>
          </cell>
          <cell r="I135" t="str">
            <v>YSH270C-P</v>
          </cell>
          <cell r="J135" t="str">
            <v>BRKT ENG 1 (BRKT 1)</v>
          </cell>
          <cell r="K135" t="str">
            <v>2BL-F1411-00</v>
          </cell>
          <cell r="L135" t="str">
            <v>2BL</v>
          </cell>
          <cell r="M135" t="str">
            <v>YSH270C-P</v>
          </cell>
          <cell r="N135" t="str">
            <v>BRKT ENG 1 (BRKT 1)</v>
          </cell>
          <cell r="O135" t="str">
            <v>2BL-F1411-00</v>
          </cell>
          <cell r="P135" t="str">
            <v>2BL</v>
          </cell>
          <cell r="Q135" t="str">
            <v>bm</v>
          </cell>
          <cell r="R135">
            <v>150</v>
          </cell>
        </row>
        <row r="136">
          <cell r="A136" t="str">
            <v>30024230-2</v>
          </cell>
          <cell r="B136" t="str">
            <v>1.4 x 73+/-0.5 x 1219</v>
          </cell>
          <cell r="C136">
            <v>1.4</v>
          </cell>
          <cell r="D136">
            <v>73</v>
          </cell>
          <cell r="E136">
            <v>1219</v>
          </cell>
          <cell r="F136">
            <v>0.97796712999999991</v>
          </cell>
          <cell r="G136">
            <v>73</v>
          </cell>
          <cell r="H136">
            <v>77005318</v>
          </cell>
          <cell r="I136" t="str">
            <v>YSH270C-P</v>
          </cell>
          <cell r="J136" t="str">
            <v>BRKT ENG 1 (BRKT 3)</v>
          </cell>
          <cell r="K136" t="str">
            <v>2BL-F1411-01</v>
          </cell>
          <cell r="L136" t="str">
            <v>2BL</v>
          </cell>
          <cell r="M136" t="str">
            <v>YSH270C-P</v>
          </cell>
          <cell r="N136" t="str">
            <v>BRKT ENG 1 (BRKT 3)</v>
          </cell>
          <cell r="O136" t="str">
            <v>2BL-F1411-01</v>
          </cell>
          <cell r="P136" t="str">
            <v>2BL</v>
          </cell>
          <cell r="Q136" t="str">
            <v>bm</v>
          </cell>
        </row>
        <row r="137">
          <cell r="A137">
            <v>30024231</v>
          </cell>
          <cell r="B137" t="str">
            <v>2.3 x 104+/-0.5 x 1219</v>
          </cell>
          <cell r="C137">
            <v>2.2999999999999998</v>
          </cell>
          <cell r="D137">
            <v>104</v>
          </cell>
          <cell r="E137">
            <v>1219</v>
          </cell>
          <cell r="F137">
            <v>2.2889406799999996</v>
          </cell>
          <cell r="G137">
            <v>21</v>
          </cell>
          <cell r="H137">
            <v>77005429</v>
          </cell>
          <cell r="I137" t="str">
            <v>YSH270C-P</v>
          </cell>
          <cell r="J137" t="str">
            <v>BRKT ENG 2</v>
          </cell>
          <cell r="K137" t="str">
            <v>2BL-F1419-00</v>
          </cell>
          <cell r="L137" t="str">
            <v>2BL</v>
          </cell>
          <cell r="M137" t="str">
            <v>YSH270C-P</v>
          </cell>
          <cell r="N137" t="str">
            <v>BRKT ENG 2</v>
          </cell>
          <cell r="O137" t="str">
            <v>2BL-F1419-00</v>
          </cell>
          <cell r="P137" t="str">
            <v>2BL</v>
          </cell>
          <cell r="Q137" t="str">
            <v>bm</v>
          </cell>
          <cell r="R137">
            <v>150</v>
          </cell>
        </row>
        <row r="138">
          <cell r="A138">
            <v>30024232</v>
          </cell>
          <cell r="B138" t="str">
            <v>1.4 x 63+/-0.5 x 1219</v>
          </cell>
          <cell r="C138">
            <v>1.4</v>
          </cell>
          <cell r="D138">
            <v>63</v>
          </cell>
          <cell r="E138">
            <v>1219</v>
          </cell>
          <cell r="F138">
            <v>0.84399902999999987</v>
          </cell>
          <cell r="G138">
            <v>71</v>
          </cell>
          <cell r="H138">
            <v>77005317</v>
          </cell>
          <cell r="I138" t="str">
            <v>YSH270C-P</v>
          </cell>
          <cell r="J138" t="str">
            <v>BRKT 3</v>
          </cell>
          <cell r="K138" t="str">
            <v>2BL-F118U-00</v>
          </cell>
          <cell r="L138" t="str">
            <v>2BL</v>
          </cell>
          <cell r="M138" t="str">
            <v>YSH270C-P</v>
          </cell>
          <cell r="N138" t="str">
            <v>BRKT 3</v>
          </cell>
          <cell r="O138" t="str">
            <v>2BL-F118U-00</v>
          </cell>
          <cell r="P138" t="str">
            <v>2BL</v>
          </cell>
          <cell r="Q138" t="str">
            <v>tsi</v>
          </cell>
        </row>
        <row r="139">
          <cell r="A139">
            <v>30024233</v>
          </cell>
          <cell r="B139" t="str">
            <v>2.0 x 82+/-0.5 x 1219</v>
          </cell>
          <cell r="C139">
            <v>2</v>
          </cell>
          <cell r="D139">
            <v>82</v>
          </cell>
          <cell r="E139">
            <v>1219</v>
          </cell>
          <cell r="F139">
            <v>1.5693405999999999</v>
          </cell>
          <cell r="G139">
            <v>34</v>
          </cell>
          <cell r="H139">
            <v>77005424</v>
          </cell>
          <cell r="I139" t="str">
            <v>YSH270C-P</v>
          </cell>
          <cell r="J139" t="str">
            <v>GUSSET 4</v>
          </cell>
          <cell r="K139" t="str">
            <v>2BL-F112E-00</v>
          </cell>
          <cell r="L139" t="str">
            <v>2BL</v>
          </cell>
          <cell r="M139" t="str">
            <v>YSH270C-P</v>
          </cell>
          <cell r="N139" t="str">
            <v>GUSSET 4</v>
          </cell>
          <cell r="O139" t="str">
            <v>2BL-F112E-00</v>
          </cell>
          <cell r="P139" t="str">
            <v>2BL</v>
          </cell>
          <cell r="Q139" t="str">
            <v>tsi</v>
          </cell>
        </row>
        <row r="140">
          <cell r="A140" t="str">
            <v>30027383-1</v>
          </cell>
          <cell r="B140" t="str">
            <v>3.2 x 61+/-0.5 x 1219</v>
          </cell>
          <cell r="C140">
            <v>3.2</v>
          </cell>
          <cell r="D140">
            <v>61</v>
          </cell>
          <cell r="E140">
            <v>1219</v>
          </cell>
          <cell r="F140">
            <v>1.86789808</v>
          </cell>
          <cell r="G140">
            <v>86</v>
          </cell>
          <cell r="H140">
            <v>77005506</v>
          </cell>
          <cell r="I140" t="str">
            <v>YSH270C-P</v>
          </cell>
          <cell r="J140" t="str">
            <v>BRKT., BRAKE PIPE 1</v>
          </cell>
          <cell r="K140" t="str">
            <v>2CM-F133H-00</v>
          </cell>
          <cell r="L140" t="str">
            <v>2CM4</v>
          </cell>
          <cell r="M140" t="str">
            <v>YSH270C-P</v>
          </cell>
          <cell r="N140" t="str">
            <v>BRKT., BRAKE PIPE 1</v>
          </cell>
          <cell r="O140" t="str">
            <v>2CM-F133H-00</v>
          </cell>
          <cell r="P140" t="str">
            <v>2CM4</v>
          </cell>
          <cell r="Q140" t="str">
            <v>epc</v>
          </cell>
        </row>
        <row r="141">
          <cell r="A141" t="str">
            <v>30027383-2</v>
          </cell>
          <cell r="B141" t="str">
            <v>2.0 x 81+/-0.5 x 1219</v>
          </cell>
          <cell r="C141">
            <v>2</v>
          </cell>
          <cell r="D141">
            <v>81</v>
          </cell>
          <cell r="E141">
            <v>1219</v>
          </cell>
          <cell r="F141">
            <v>1.5502022999999998</v>
          </cell>
          <cell r="G141">
            <v>30</v>
          </cell>
          <cell r="H141">
            <v>77005423</v>
          </cell>
          <cell r="I141" t="str">
            <v>YSH270C-P</v>
          </cell>
          <cell r="J141" t="str">
            <v>BRKT., BRAKE PIPE 1</v>
          </cell>
          <cell r="K141" t="str">
            <v>2CM-F133H-00</v>
          </cell>
          <cell r="L141" t="str">
            <v>2CM4</v>
          </cell>
          <cell r="M141" t="str">
            <v>YSH270C-P</v>
          </cell>
          <cell r="N141" t="str">
            <v>BRKT., BRAKE PIPE 1</v>
          </cell>
          <cell r="O141" t="str">
            <v>2CM-F133H-00</v>
          </cell>
          <cell r="P141" t="str">
            <v>2CM4</v>
          </cell>
          <cell r="Q141" t="str">
            <v>epc</v>
          </cell>
        </row>
        <row r="142">
          <cell r="A142" t="str">
            <v>30028151-1</v>
          </cell>
          <cell r="B142" t="str">
            <v>3.2 x 159+/-0.5 x 1219</v>
          </cell>
          <cell r="C142">
            <v>3.2</v>
          </cell>
          <cell r="D142">
            <v>159</v>
          </cell>
          <cell r="E142">
            <v>1219</v>
          </cell>
          <cell r="F142">
            <v>4.8687835200000009</v>
          </cell>
          <cell r="G142">
            <v>12</v>
          </cell>
          <cell r="H142">
            <v>77005487</v>
          </cell>
          <cell r="I142" t="str">
            <v>SPHC-P/O</v>
          </cell>
          <cell r="J142" t="str">
            <v>BRACKET</v>
          </cell>
          <cell r="K142" t="str">
            <v>32037-0368</v>
          </cell>
          <cell r="L142" t="str">
            <v>KAWA BR125A</v>
          </cell>
          <cell r="M142" t="str">
            <v>SPHC-P/O</v>
          </cell>
          <cell r="N142" t="str">
            <v>BRACKET</v>
          </cell>
          <cell r="O142" t="str">
            <v>32037-0368</v>
          </cell>
          <cell r="P142" t="str">
            <v>KAWA BR125A</v>
          </cell>
          <cell r="Q142" t="str">
            <v>epc</v>
          </cell>
          <cell r="R142">
            <v>100</v>
          </cell>
        </row>
        <row r="143">
          <cell r="A143">
            <v>30028152</v>
          </cell>
          <cell r="B143" t="str">
            <v>3.2 x 159+/-0.5 x 1219</v>
          </cell>
          <cell r="C143">
            <v>3.2</v>
          </cell>
          <cell r="D143">
            <v>159</v>
          </cell>
          <cell r="E143">
            <v>1219</v>
          </cell>
          <cell r="F143">
            <v>4.8687835200000009</v>
          </cell>
          <cell r="G143">
            <v>12</v>
          </cell>
          <cell r="H143">
            <v>77005312</v>
          </cell>
          <cell r="I143" t="str">
            <v>SPHC</v>
          </cell>
          <cell r="J143" t="str">
            <v>BRACKET</v>
          </cell>
          <cell r="K143" t="str">
            <v>32037-0369</v>
          </cell>
          <cell r="L143" t="str">
            <v>KAWA BR125A</v>
          </cell>
          <cell r="M143" t="str">
            <v>SPHC</v>
          </cell>
          <cell r="N143" t="str">
            <v>BRACKET</v>
          </cell>
          <cell r="O143" t="str">
            <v>32037-0369</v>
          </cell>
          <cell r="P143" t="str">
            <v>KAWA BR125A</v>
          </cell>
          <cell r="Q143" t="str">
            <v>bm</v>
          </cell>
          <cell r="R143">
            <v>100</v>
          </cell>
        </row>
        <row r="144">
          <cell r="A144" t="str">
            <v>30028153-1</v>
          </cell>
          <cell r="B144" t="str">
            <v>1.6 x 56+/-0.5 x 1219</v>
          </cell>
          <cell r="C144">
            <v>1.6</v>
          </cell>
          <cell r="D144">
            <v>56</v>
          </cell>
          <cell r="E144">
            <v>1219</v>
          </cell>
          <cell r="F144">
            <v>0.85739584000000013</v>
          </cell>
          <cell r="G144">
            <v>54</v>
          </cell>
          <cell r="H144">
            <v>77005356</v>
          </cell>
          <cell r="I144" t="str">
            <v>SPHC-P/O</v>
          </cell>
          <cell r="J144" t="str">
            <v>BRACKET</v>
          </cell>
          <cell r="K144" t="str">
            <v>11056-7628</v>
          </cell>
          <cell r="L144" t="str">
            <v>KAWA BR125A</v>
          </cell>
          <cell r="M144" t="str">
            <v>SPHC-P/O</v>
          </cell>
          <cell r="N144" t="str">
            <v>BRACKET</v>
          </cell>
          <cell r="O144" t="str">
            <v>11056-7628</v>
          </cell>
          <cell r="P144" t="str">
            <v>KAWA BR125A</v>
          </cell>
          <cell r="Q144" t="str">
            <v>epc</v>
          </cell>
        </row>
        <row r="145">
          <cell r="A145">
            <v>30028154</v>
          </cell>
          <cell r="B145" t="str">
            <v>3.2 x 67+/-0.5 x 1219</v>
          </cell>
          <cell r="C145">
            <v>3.2</v>
          </cell>
          <cell r="D145">
            <v>67</v>
          </cell>
          <cell r="E145">
            <v>1219</v>
          </cell>
          <cell r="F145">
            <v>2.0516257599999999</v>
          </cell>
          <cell r="G145">
            <v>21</v>
          </cell>
          <cell r="H145">
            <v>77005313</v>
          </cell>
          <cell r="I145" t="str">
            <v>SPHC</v>
          </cell>
          <cell r="J145" t="str">
            <v>GUSSET</v>
          </cell>
          <cell r="K145" t="str">
            <v>32170-2199</v>
          </cell>
          <cell r="L145" t="str">
            <v>KAWA BR125A</v>
          </cell>
          <cell r="M145" t="str">
            <v>SPHC</v>
          </cell>
          <cell r="N145" t="str">
            <v>GUSSET</v>
          </cell>
          <cell r="O145" t="str">
            <v>32170-2199</v>
          </cell>
          <cell r="P145" t="str">
            <v>KAWA BR125A</v>
          </cell>
          <cell r="Q145" t="str">
            <v>ps</v>
          </cell>
        </row>
        <row r="146">
          <cell r="A146">
            <v>30030849</v>
          </cell>
          <cell r="B146" t="str">
            <v>6.0 x 52+/-0.5 x 1219</v>
          </cell>
          <cell r="C146">
            <v>6</v>
          </cell>
          <cell r="D146">
            <v>52</v>
          </cell>
          <cell r="E146">
            <v>1219</v>
          </cell>
          <cell r="F146">
            <v>2.9855747999999998</v>
          </cell>
          <cell r="G146">
            <v>44</v>
          </cell>
          <cell r="H146">
            <v>77005538</v>
          </cell>
          <cell r="I146" t="str">
            <v>SPHC-P/O</v>
          </cell>
          <cell r="J146" t="str">
            <v>PLATE(PEDAL,BRAKE)NO.7</v>
          </cell>
          <cell r="K146" t="str">
            <v>E52-B</v>
          </cell>
          <cell r="L146" t="str">
            <v>KUBOTA E52-B</v>
          </cell>
          <cell r="M146" t="str">
            <v>SPHC-P/O</v>
          </cell>
          <cell r="N146" t="str">
            <v>PLATE(PEDAL,BRAKE)NO.7</v>
          </cell>
          <cell r="O146" t="str">
            <v>E52-B</v>
          </cell>
          <cell r="P146" t="str">
            <v>KUBOTA E52-B</v>
          </cell>
          <cell r="Q146" t="str">
            <v>epc</v>
          </cell>
        </row>
        <row r="147">
          <cell r="A147">
            <v>30030945</v>
          </cell>
          <cell r="B147" t="str">
            <v>1.6 x 368+/-0.5 x 368+/-0.5 เน้นเรียบ</v>
          </cell>
          <cell r="C147">
            <v>1.6</v>
          </cell>
          <cell r="D147">
            <v>368</v>
          </cell>
          <cell r="E147">
            <v>368</v>
          </cell>
          <cell r="F147">
            <v>1.7009254400000002</v>
          </cell>
          <cell r="G147">
            <v>1</v>
          </cell>
          <cell r="H147">
            <v>77005343</v>
          </cell>
          <cell r="I147" t="str">
            <v>SPHC-P</v>
          </cell>
          <cell r="J147" t="str">
            <v>BRACKET CASE (2ND)</v>
          </cell>
          <cell r="K147" t="str">
            <v>NO.1 (DC-105X)</v>
          </cell>
          <cell r="L147" t="str">
            <v>KUBOTA DC105X</v>
          </cell>
          <cell r="M147" t="str">
            <v>SPHC-P</v>
          </cell>
          <cell r="N147" t="str">
            <v>BRACKET CASE (2ND)</v>
          </cell>
          <cell r="O147" t="str">
            <v>NO.1 (DC-105X)</v>
          </cell>
          <cell r="P147" t="str">
            <v>KUBOTA DC105X</v>
          </cell>
          <cell r="Q147" t="str">
            <v>tsi</v>
          </cell>
        </row>
        <row r="148">
          <cell r="A148" t="str">
            <v>30030970-1</v>
          </cell>
          <cell r="B148" t="str">
            <v>2.3 x 420+/-0.5 x 1219 เน้นเรียบ</v>
          </cell>
          <cell r="C148">
            <v>2.2999999999999998</v>
          </cell>
          <cell r="D148">
            <v>420</v>
          </cell>
          <cell r="E148">
            <v>1219</v>
          </cell>
          <cell r="F148">
            <v>9.243798899999998</v>
          </cell>
          <cell r="G148">
            <v>24</v>
          </cell>
          <cell r="H148">
            <v>77005438</v>
          </cell>
          <cell r="I148" t="str">
            <v>SPHC-P/O</v>
          </cell>
          <cell r="J148" t="str">
            <v>BRACKET SUPPORT BONNET NO 1.2 SUB ASSY 5</v>
          </cell>
          <cell r="K148" t="str">
            <v>TC832-4213-1-12-K5</v>
          </cell>
          <cell r="L148" t="str">
            <v>KUBOTA E60C</v>
          </cell>
          <cell r="M148" t="str">
            <v>SPHC-P/O</v>
          </cell>
          <cell r="N148" t="str">
            <v>BRACKET SUPPORT BONNET NO 1.2 SUB ASSY 5</v>
          </cell>
          <cell r="O148" t="str">
            <v>TC832-4213-1-12-K5</v>
          </cell>
          <cell r="P148" t="str">
            <v>KUBOTA E60C</v>
          </cell>
          <cell r="Q148" t="str">
            <v>ps</v>
          </cell>
          <cell r="R148">
            <v>40</v>
          </cell>
        </row>
        <row r="149">
          <cell r="A149" t="str">
            <v>30030970-2</v>
          </cell>
          <cell r="B149" t="str">
            <v>2.6 x 48+/-0.5 x 1219</v>
          </cell>
          <cell r="C149">
            <v>2.6</v>
          </cell>
          <cell r="D149">
            <v>48</v>
          </cell>
          <cell r="E149">
            <v>1219</v>
          </cell>
          <cell r="F149">
            <v>1.1942299199999999</v>
          </cell>
          <cell r="G149">
            <v>47</v>
          </cell>
          <cell r="H149">
            <v>77005464</v>
          </cell>
          <cell r="I149" t="str">
            <v>SPHC-P/O</v>
          </cell>
          <cell r="J149" t="str">
            <v>SUB ASSY 3</v>
          </cell>
          <cell r="K149" t="str">
            <v>TC422-4213-3</v>
          </cell>
          <cell r="L149" t="str">
            <v>KUBOTA E60C</v>
          </cell>
          <cell r="M149" t="str">
            <v>SPHC-P/O</v>
          </cell>
          <cell r="N149" t="str">
            <v>SUB ASSY 3</v>
          </cell>
          <cell r="O149" t="str">
            <v>TC422-4213-3</v>
          </cell>
          <cell r="P149" t="str">
            <v>KUBOTA E60C</v>
          </cell>
          <cell r="Q149" t="str">
            <v>ps</v>
          </cell>
        </row>
        <row r="150">
          <cell r="A150" t="str">
            <v>30030971-1</v>
          </cell>
          <cell r="B150" t="str">
            <v>2.3 x 420+/-0.5 x 1219 เน้นเรียบ</v>
          </cell>
          <cell r="C150">
            <v>2.2999999999999998</v>
          </cell>
          <cell r="D150">
            <v>420</v>
          </cell>
          <cell r="E150">
            <v>1219</v>
          </cell>
          <cell r="F150">
            <v>9.243798899999998</v>
          </cell>
          <cell r="G150">
            <v>24</v>
          </cell>
          <cell r="H150">
            <v>77005438</v>
          </cell>
          <cell r="I150" t="str">
            <v>SPHC-P/O</v>
          </cell>
          <cell r="J150" t="str">
            <v>BRACKET SUPPORT BONNET NO 1.2 SUB ASSY 6</v>
          </cell>
          <cell r="K150" t="str">
            <v>TC832-4213-1-12-K6</v>
          </cell>
          <cell r="L150" t="str">
            <v>KUBOTA E60C</v>
          </cell>
          <cell r="M150" t="str">
            <v>SPHC-P/O</v>
          </cell>
          <cell r="N150" t="str">
            <v>BRACKET SUPPORT BONNET NO 1.2 SUB ASSY 6</v>
          </cell>
          <cell r="O150" t="str">
            <v>TC832-4213-1-12-K6</v>
          </cell>
          <cell r="P150" t="str">
            <v>KUBOTA E60C</v>
          </cell>
          <cell r="Q150" t="str">
            <v>ps</v>
          </cell>
          <cell r="R150">
            <v>40</v>
          </cell>
        </row>
        <row r="151">
          <cell r="A151" t="str">
            <v>30030971-2</v>
          </cell>
          <cell r="B151" t="str">
            <v>2.6 x 48+/-0.5 x 1219</v>
          </cell>
          <cell r="C151">
            <v>2.6</v>
          </cell>
          <cell r="D151">
            <v>48</v>
          </cell>
          <cell r="E151">
            <v>1219</v>
          </cell>
          <cell r="F151">
            <v>1.1942299199999999</v>
          </cell>
          <cell r="G151">
            <v>47</v>
          </cell>
          <cell r="H151">
            <v>77005464</v>
          </cell>
          <cell r="I151" t="str">
            <v>SPHC-P/O</v>
          </cell>
          <cell r="J151" t="str">
            <v>SUB ASSY 3</v>
          </cell>
          <cell r="K151" t="str">
            <v>TC422-4213-3</v>
          </cell>
          <cell r="L151" t="str">
            <v>KUBOTA E60C</v>
          </cell>
          <cell r="M151" t="str">
            <v>SPHC-P/O</v>
          </cell>
          <cell r="N151" t="str">
            <v>SUB ASSY 3</v>
          </cell>
          <cell r="O151" t="str">
            <v>TC422-4213-3</v>
          </cell>
          <cell r="P151" t="str">
            <v>KUBOTA E60C</v>
          </cell>
          <cell r="Q151" t="str">
            <v>ps</v>
          </cell>
        </row>
        <row r="152">
          <cell r="A152" t="str">
            <v>30031001-1</v>
          </cell>
          <cell r="B152" t="str">
            <v>1.6 x 168.5+/-0.5 x 168.5+/-0.5 เน้นเรียบ</v>
          </cell>
          <cell r="C152">
            <v>1.6</v>
          </cell>
          <cell r="D152">
            <v>168.5</v>
          </cell>
          <cell r="E152">
            <v>168.5</v>
          </cell>
          <cell r="F152">
            <v>0.35660666000000002</v>
          </cell>
          <cell r="G152">
            <v>1</v>
          </cell>
          <cell r="H152">
            <v>77005331</v>
          </cell>
          <cell r="I152" t="str">
            <v>SPHC-PO</v>
          </cell>
          <cell r="J152" t="str">
            <v>BRACKET CASE (2ND)</v>
          </cell>
          <cell r="K152" t="str">
            <v>SUB ASSY 3 (DC-105X)</v>
          </cell>
          <cell r="L152" t="str">
            <v>KUBOTA DC105X</v>
          </cell>
          <cell r="M152" t="str">
            <v>SPHC-PO</v>
          </cell>
          <cell r="N152" t="str">
            <v>BRACKET CASE (2ND)</v>
          </cell>
          <cell r="O152" t="str">
            <v>SUB ASSY 3 (DC-105X)</v>
          </cell>
          <cell r="P152" t="str">
            <v>KUBOTA DC105X</v>
          </cell>
          <cell r="Q152" t="str">
            <v>tsi</v>
          </cell>
        </row>
        <row r="153">
          <cell r="A153">
            <v>30031003</v>
          </cell>
          <cell r="B153" t="str">
            <v>1.6 x 286+/-0.5 x 359+/-0.5 เน้นเรียบ</v>
          </cell>
          <cell r="C153">
            <v>1.6</v>
          </cell>
          <cell r="D153">
            <v>286</v>
          </cell>
          <cell r="E153">
            <v>359</v>
          </cell>
          <cell r="F153">
            <v>1.28958544</v>
          </cell>
          <cell r="G153">
            <v>1</v>
          </cell>
          <cell r="H153">
            <v>77005339</v>
          </cell>
          <cell r="I153" t="str">
            <v>SPHC-PO</v>
          </cell>
          <cell r="J153" t="str">
            <v>BRACKET CASE (2ND)</v>
          </cell>
          <cell r="K153" t="str">
            <v>NO.5 (DC-105X)</v>
          </cell>
          <cell r="L153" t="str">
            <v>KUBOTA DC105X</v>
          </cell>
          <cell r="M153" t="str">
            <v>SPHC-PO</v>
          </cell>
          <cell r="N153" t="str">
            <v>BRACKET CASE (2ND)</v>
          </cell>
          <cell r="O153" t="str">
            <v>NO.5 (DC-105X)</v>
          </cell>
          <cell r="P153" t="str">
            <v>KUBOTA DC105X</v>
          </cell>
          <cell r="Q153" t="str">
            <v>bm</v>
          </cell>
        </row>
        <row r="154">
          <cell r="A154" t="str">
            <v>30031006-1</v>
          </cell>
          <cell r="B154" t="str">
            <v>1.6 x 62+/-0.5 x 1219</v>
          </cell>
          <cell r="C154">
            <v>1.6</v>
          </cell>
          <cell r="D154">
            <v>62</v>
          </cell>
          <cell r="E154">
            <v>1219</v>
          </cell>
          <cell r="F154">
            <v>0.94925967999999994</v>
          </cell>
          <cell r="G154">
            <v>21</v>
          </cell>
          <cell r="H154">
            <v>77005360</v>
          </cell>
          <cell r="I154" t="str">
            <v>SPHC-PO</v>
          </cell>
          <cell r="J154" t="str">
            <v>BRACKET CASE (2ND)</v>
          </cell>
          <cell r="K154" t="str">
            <v>SUB ASSY 7 (DC-105X)</v>
          </cell>
          <cell r="L154" t="str">
            <v>KUBOTA DC105X</v>
          </cell>
          <cell r="M154" t="str">
            <v>SPHC-PO</v>
          </cell>
          <cell r="N154" t="str">
            <v>BRACKET CASE (2ND)</v>
          </cell>
          <cell r="O154" t="str">
            <v>SUB ASSY 7 (DC-105X)</v>
          </cell>
          <cell r="P154" t="str">
            <v>KUBOTA DC105X</v>
          </cell>
          <cell r="Q154" t="str">
            <v>epc</v>
          </cell>
        </row>
        <row r="155">
          <cell r="A155">
            <v>30031021</v>
          </cell>
          <cell r="B155" t="str">
            <v>1.6 x 187+/-0.5 x 1219</v>
          </cell>
          <cell r="C155">
            <v>1.6</v>
          </cell>
          <cell r="D155">
            <v>187</v>
          </cell>
          <cell r="E155">
            <v>1219</v>
          </cell>
          <cell r="F155">
            <v>2.8630896799999999</v>
          </cell>
          <cell r="G155">
            <v>8</v>
          </cell>
          <cell r="H155">
            <v>77005335</v>
          </cell>
          <cell r="I155" t="str">
            <v>SPHC-PO</v>
          </cell>
          <cell r="J155" t="str">
            <v>BRACKET COVER (2ND) NO.1</v>
          </cell>
          <cell r="K155" t="str">
            <v>NO.1 (DC-105X)</v>
          </cell>
          <cell r="L155" t="str">
            <v>KUBOTA DC105X</v>
          </cell>
          <cell r="M155" t="str">
            <v>SPHC-PO</v>
          </cell>
          <cell r="N155" t="str">
            <v>BRACKET COVER (2ND) NO.1</v>
          </cell>
          <cell r="O155" t="str">
            <v>NO.1 (DC-105X)</v>
          </cell>
          <cell r="P155" t="str">
            <v>KUBOTA DC105X</v>
          </cell>
          <cell r="Q155" t="str">
            <v>csp</v>
          </cell>
        </row>
        <row r="156">
          <cell r="A156">
            <v>30031022</v>
          </cell>
          <cell r="B156" t="str">
            <v>2.3 x 125+/-0.5 x 1219</v>
          </cell>
          <cell r="C156">
            <v>2.2999999999999998</v>
          </cell>
          <cell r="D156">
            <v>125</v>
          </cell>
          <cell r="E156">
            <v>1219</v>
          </cell>
          <cell r="F156">
            <v>2.7511306250000001</v>
          </cell>
          <cell r="G156">
            <v>12</v>
          </cell>
          <cell r="H156">
            <v>77005430</v>
          </cell>
          <cell r="I156" t="str">
            <v>SPHC-PO</v>
          </cell>
          <cell r="J156" t="str">
            <v>BRACKET COVER (2ND) NO.2</v>
          </cell>
          <cell r="K156" t="str">
            <v>NO.2 (DC-105X)</v>
          </cell>
          <cell r="L156" t="str">
            <v>KUBOTA DC105X</v>
          </cell>
          <cell r="M156" t="str">
            <v>SPHC-PO</v>
          </cell>
          <cell r="N156" t="str">
            <v>BRACKET COVER (2ND) NO.2</v>
          </cell>
          <cell r="O156" t="str">
            <v>NO.2 (DC-105X)</v>
          </cell>
          <cell r="P156" t="str">
            <v>KUBOTA DC105X</v>
          </cell>
          <cell r="Q156" t="str">
            <v>csp</v>
          </cell>
        </row>
        <row r="157">
          <cell r="A157">
            <v>30031538</v>
          </cell>
          <cell r="B157" t="str">
            <v>1.2 x 37+/-0.5 x 1219</v>
          </cell>
          <cell r="C157">
            <v>1.2</v>
          </cell>
          <cell r="D157">
            <v>37</v>
          </cell>
          <cell r="E157">
            <v>1219</v>
          </cell>
          <cell r="F157">
            <v>0.42487025999999994</v>
          </cell>
          <cell r="G157">
            <v>110</v>
          </cell>
          <cell r="H157">
            <v>77005273</v>
          </cell>
          <cell r="I157" t="str">
            <v>SPCC-SD</v>
          </cell>
          <cell r="J157" t="str">
            <v>BRACKET MUFFLER</v>
          </cell>
          <cell r="K157" t="str">
            <v>32049-1666</v>
          </cell>
          <cell r="L157" t="str">
            <v>KAWA</v>
          </cell>
          <cell r="M157" t="str">
            <v>SPCC-SD</v>
          </cell>
          <cell r="N157" t="str">
            <v>BRACKET MUFFLER</v>
          </cell>
          <cell r="O157" t="str">
            <v>32049-1666</v>
          </cell>
          <cell r="P157" t="str">
            <v>KAWA</v>
          </cell>
          <cell r="Q157" t="str">
            <v>tsi</v>
          </cell>
        </row>
        <row r="158">
          <cell r="A158">
            <v>30031673</v>
          </cell>
          <cell r="B158" t="str">
            <v>2.0 x 230+0/-0.5 x 914+/-0.5</v>
          </cell>
          <cell r="C158">
            <v>2</v>
          </cell>
          <cell r="D158">
            <v>230</v>
          </cell>
          <cell r="E158">
            <v>914</v>
          </cell>
          <cell r="F158">
            <v>3.3004540000000002</v>
          </cell>
          <cell r="G158">
            <v>5</v>
          </cell>
          <cell r="H158">
            <v>77003623</v>
          </cell>
          <cell r="I158" t="str">
            <v>SK85</v>
          </cell>
          <cell r="J158" t="str">
            <v>LINER (2ND. 3)</v>
          </cell>
          <cell r="K158" t="str">
            <v>5T124-6836-1(DC-105X)</v>
          </cell>
          <cell r="L158" t="str">
            <v>KUBOTA DC105X</v>
          </cell>
          <cell r="M158" t="str">
            <v>SK85</v>
          </cell>
          <cell r="N158" t="str">
            <v>LINER (2ND. 3)</v>
          </cell>
          <cell r="O158" t="str">
            <v>5T124-6836-1(DC-105X)</v>
          </cell>
          <cell r="P158" t="str">
            <v>KUBOTA DC105X</v>
          </cell>
          <cell r="Q158" t="str">
            <v>ptt</v>
          </cell>
          <cell r="R158">
            <v>30</v>
          </cell>
        </row>
        <row r="159">
          <cell r="A159" t="str">
            <v>30031735-1</v>
          </cell>
          <cell r="B159" t="str">
            <v>2.6 x 261.6+/-0.5 x 168.57+/-0.5 โก่ง 1 มม./เน้นเรียบ</v>
          </cell>
          <cell r="C159">
            <v>2.6</v>
          </cell>
          <cell r="D159">
            <v>261.60000000000002</v>
          </cell>
          <cell r="E159">
            <v>168.57</v>
          </cell>
          <cell r="F159">
            <v>0.90003838392000002</v>
          </cell>
          <cell r="G159">
            <v>1</v>
          </cell>
          <cell r="H159">
            <v>77005457</v>
          </cell>
          <cell r="I159" t="str">
            <v>SPHC-PO</v>
          </cell>
          <cell r="J159" t="str">
            <v>PLATE (2ND)</v>
          </cell>
          <cell r="K159" t="str">
            <v>5T124-6848-1-01</v>
          </cell>
          <cell r="L159" t="str">
            <v>KUBOTA DC105X</v>
          </cell>
          <cell r="M159" t="str">
            <v>SPHC-PO</v>
          </cell>
          <cell r="N159" t="str">
            <v>PLATE (2ND)</v>
          </cell>
          <cell r="O159" t="str">
            <v>5T124-6848-1-01</v>
          </cell>
          <cell r="P159" t="str">
            <v>KUBOTA DC105X</v>
          </cell>
          <cell r="Q159" t="str">
            <v>bm</v>
          </cell>
        </row>
        <row r="160">
          <cell r="A160">
            <v>30031737</v>
          </cell>
          <cell r="B160" t="str">
            <v>3.2 x 129+/-0.5 x 185.5+/-0.5</v>
          </cell>
          <cell r="C160">
            <v>3.2</v>
          </cell>
          <cell r="D160">
            <v>129</v>
          </cell>
          <cell r="E160">
            <v>185.5</v>
          </cell>
          <cell r="F160">
            <v>0.60110903999999998</v>
          </cell>
          <cell r="G160">
            <v>1</v>
          </cell>
          <cell r="H160">
            <v>77005485</v>
          </cell>
          <cell r="I160" t="str">
            <v>SPHC-PO</v>
          </cell>
          <cell r="J160" t="str">
            <v>PLATE (2ND) NO.3</v>
          </cell>
          <cell r="K160" t="str">
            <v>5T124-6848-2-03</v>
          </cell>
          <cell r="L160" t="str">
            <v>KUBOTA DC105X</v>
          </cell>
          <cell r="M160" t="str">
            <v>SPHC-PO</v>
          </cell>
          <cell r="N160" t="str">
            <v>PLATE (2ND) NO.3</v>
          </cell>
          <cell r="O160" t="str">
            <v>5T124-6848-2-03</v>
          </cell>
          <cell r="P160" t="str">
            <v>KUBOTA DC105X</v>
          </cell>
          <cell r="Q160" t="str">
            <v>bm</v>
          </cell>
        </row>
        <row r="161">
          <cell r="A161">
            <v>30032305</v>
          </cell>
          <cell r="B161" t="str">
            <v>6.0 x 51+/-0.5 x 1219</v>
          </cell>
          <cell r="C161">
            <v>6</v>
          </cell>
          <cell r="D161">
            <v>51</v>
          </cell>
          <cell r="E161">
            <v>1219</v>
          </cell>
          <cell r="F161">
            <v>2.9281598999999998</v>
          </cell>
          <cell r="G161">
            <v>50</v>
          </cell>
          <cell r="H161">
            <v>77005564</v>
          </cell>
          <cell r="I161" t="str">
            <v>SS400</v>
          </cell>
          <cell r="J161" t="str">
            <v xml:space="preserve">NO. 2 </v>
          </cell>
          <cell r="K161" t="str">
            <v>TC7504158-1-02</v>
          </cell>
          <cell r="L161" t="str">
            <v>KUBOTA E52B-4W</v>
          </cell>
          <cell r="M161" t="str">
            <v>SS400</v>
          </cell>
          <cell r="N161" t="str">
            <v xml:space="preserve">NO. 2 </v>
          </cell>
          <cell r="O161" t="str">
            <v>TC7504158-1-02</v>
          </cell>
          <cell r="P161" t="str">
            <v>KUBOTA E52B-4W</v>
          </cell>
          <cell r="Q161" t="str">
            <v>csp</v>
          </cell>
        </row>
        <row r="162">
          <cell r="A162">
            <v>30032306</v>
          </cell>
          <cell r="B162" t="str">
            <v>4.5 x 147+/-0.5 x 1219</v>
          </cell>
          <cell r="C162">
            <v>4.5</v>
          </cell>
          <cell r="D162">
            <v>147</v>
          </cell>
          <cell r="E162">
            <v>1219</v>
          </cell>
          <cell r="F162">
            <v>6.3299927249999994</v>
          </cell>
          <cell r="G162">
            <v>50</v>
          </cell>
          <cell r="H162">
            <v>77005548</v>
          </cell>
          <cell r="I162" t="str">
            <v>SS400</v>
          </cell>
          <cell r="J162" t="str">
            <v>NO. 3</v>
          </cell>
          <cell r="K162" t="str">
            <v>TC750-4158-1-03</v>
          </cell>
          <cell r="L162" t="str">
            <v>KUBOTA E52-4W</v>
          </cell>
          <cell r="M162" t="str">
            <v>SS400</v>
          </cell>
          <cell r="N162" t="str">
            <v>NO. 3</v>
          </cell>
          <cell r="O162" t="str">
            <v>TC750-4158-1-03</v>
          </cell>
          <cell r="P162" t="str">
            <v>KUBOTA E52-4W</v>
          </cell>
          <cell r="Q162" t="str">
            <v>csp</v>
          </cell>
        </row>
        <row r="163">
          <cell r="A163">
            <v>30032597</v>
          </cell>
          <cell r="B163" t="str">
            <v>4.5 x 97+/-0.5 x 1219</v>
          </cell>
          <cell r="C163">
            <v>4.5</v>
          </cell>
          <cell r="D163">
            <v>97</v>
          </cell>
          <cell r="E163">
            <v>1219</v>
          </cell>
          <cell r="F163">
            <v>4.1769339749999999</v>
          </cell>
          <cell r="G163">
            <v>13</v>
          </cell>
          <cell r="H163">
            <v>77005530</v>
          </cell>
          <cell r="I163" t="str">
            <v>SPHC-P/O</v>
          </cell>
          <cell r="J163" t="str">
            <v>BRKT PILLAR NO. 2</v>
          </cell>
          <cell r="K163" t="str">
            <v>TC422-1831-2</v>
          </cell>
          <cell r="L163" t="str">
            <v>KUBOTA E60AB</v>
          </cell>
          <cell r="M163" t="str">
            <v>SPHC-P/O</v>
          </cell>
          <cell r="N163" t="str">
            <v>BRKT PILLAR NO. 2</v>
          </cell>
          <cell r="O163" t="str">
            <v>TC422-1831-2</v>
          </cell>
          <cell r="P163" t="str">
            <v>KUBOTA E60AB</v>
          </cell>
          <cell r="Q163" t="str">
            <v>ps</v>
          </cell>
          <cell r="R163">
            <v>40</v>
          </cell>
        </row>
        <row r="164">
          <cell r="A164" t="str">
            <v>30032599-1</v>
          </cell>
          <cell r="B164" t="str">
            <v>3.2 x 148+/-0.5 x 1219</v>
          </cell>
          <cell r="C164">
            <v>3.2</v>
          </cell>
          <cell r="D164">
            <v>148</v>
          </cell>
          <cell r="E164">
            <v>1219</v>
          </cell>
          <cell r="F164">
            <v>4.53194944</v>
          </cell>
          <cell r="G164">
            <v>18</v>
          </cell>
          <cell r="H164">
            <v>77005486</v>
          </cell>
          <cell r="I164" t="str">
            <v>SPHC-P/O</v>
          </cell>
          <cell r="J164" t="str">
            <v>BRKT PILLAR(FRONT)</v>
          </cell>
          <cell r="K164" t="str">
            <v>SUB ASSY 2 (E60AB)</v>
          </cell>
          <cell r="L164" t="str">
            <v>KUBOTA E60AB</v>
          </cell>
          <cell r="M164" t="str">
            <v>SPHC-P/O</v>
          </cell>
          <cell r="N164" t="str">
            <v>BRKT PILLAR(FRONT)</v>
          </cell>
          <cell r="O164" t="str">
            <v>SUB ASSY 2 (E60AB)</v>
          </cell>
          <cell r="P164" t="str">
            <v>KUBOTA E60AB</v>
          </cell>
          <cell r="Q164" t="str">
            <v>ps</v>
          </cell>
        </row>
        <row r="165">
          <cell r="A165" t="str">
            <v>30032599-2</v>
          </cell>
          <cell r="B165" t="str">
            <v>4.5 x 342.8+/-0.5 x 1219 เหล็กต้องตัดขอบหัว-ท้าย</v>
          </cell>
          <cell r="C165">
            <v>4.5</v>
          </cell>
          <cell r="D165">
            <v>342.8</v>
          </cell>
          <cell r="E165">
            <v>1219</v>
          </cell>
          <cell r="F165">
            <v>14.761370790000001</v>
          </cell>
          <cell r="G165">
            <v>31</v>
          </cell>
          <cell r="H165">
            <v>77005314</v>
          </cell>
          <cell r="I165" t="str">
            <v>SPHC</v>
          </cell>
          <cell r="J165" t="str">
            <v>BRKT PILLAR(FRONT)</v>
          </cell>
          <cell r="K165" t="str">
            <v>SUB ASSY 2 (E60AB)</v>
          </cell>
          <cell r="L165" t="str">
            <v>KUBOTA E60AB</v>
          </cell>
          <cell r="M165" t="str">
            <v>SPHC</v>
          </cell>
          <cell r="N165" t="str">
            <v>BRKT PILLAR(FRONT)</v>
          </cell>
          <cell r="O165" t="str">
            <v>SUB ASSY 2 (E60AB)</v>
          </cell>
          <cell r="P165" t="str">
            <v>KUBOTA E60AB</v>
          </cell>
          <cell r="Q165" t="str">
            <v>ps</v>
          </cell>
        </row>
        <row r="166">
          <cell r="A166">
            <v>30032607</v>
          </cell>
          <cell r="B166" t="str">
            <v>2.3 x 51+/-0.5 x 1219</v>
          </cell>
          <cell r="C166">
            <v>2.2999999999999998</v>
          </cell>
          <cell r="D166">
            <v>51</v>
          </cell>
          <cell r="E166">
            <v>1219</v>
          </cell>
          <cell r="F166">
            <v>1.1224612949999999</v>
          </cell>
          <cell r="G166">
            <v>36</v>
          </cell>
          <cell r="H166">
            <v>77005307</v>
          </cell>
          <cell r="I166" t="str">
            <v>SPHC</v>
          </cell>
          <cell r="J166" t="str">
            <v>BRKT SUPPORT NO. 6</v>
          </cell>
          <cell r="K166" t="str">
            <v>TC822-4568-19(E60AB)</v>
          </cell>
          <cell r="L166" t="str">
            <v>KUBOTA E60AB</v>
          </cell>
          <cell r="M166" t="str">
            <v>SPHC</v>
          </cell>
          <cell r="N166" t="str">
            <v>BRKT SUPPORT NO. 6</v>
          </cell>
          <cell r="O166" t="str">
            <v>TC822-4568-19(E60AB)</v>
          </cell>
          <cell r="P166" t="str">
            <v>KUBOTA E60AB</v>
          </cell>
          <cell r="Q166" t="str">
            <v>csp</v>
          </cell>
        </row>
        <row r="167">
          <cell r="A167">
            <v>30032710</v>
          </cell>
          <cell r="B167" t="str">
            <v>2.0 x 342+/-0.5 x 1219</v>
          </cell>
          <cell r="C167">
            <v>2</v>
          </cell>
          <cell r="D167">
            <v>342</v>
          </cell>
          <cell r="E167">
            <v>1219</v>
          </cell>
          <cell r="F167">
            <v>6.5452985999999997</v>
          </cell>
          <cell r="G167">
            <v>7</v>
          </cell>
          <cell r="H167">
            <v>77004163</v>
          </cell>
          <cell r="I167" t="str">
            <v>JSH270C</v>
          </cell>
          <cell r="J167" t="str">
            <v>STAY</v>
          </cell>
          <cell r="K167" t="str">
            <v>61102-K87A-A000-20</v>
          </cell>
          <cell r="L167" t="str">
            <v>K87A &amp; MKGA</v>
          </cell>
          <cell r="M167" t="str">
            <v>JSH270C</v>
          </cell>
          <cell r="N167" t="str">
            <v>STAY</v>
          </cell>
          <cell r="O167" t="str">
            <v>61102-K87A-A000-20</v>
          </cell>
          <cell r="P167" t="str">
            <v>K87A &amp; MKGA</v>
          </cell>
          <cell r="Q167" t="str">
            <v>ptt</v>
          </cell>
        </row>
        <row r="168">
          <cell r="A168" t="str">
            <v>30032750-1</v>
          </cell>
          <cell r="B168" t="str">
            <v>2.3 x 420+/-0.5 x 1219 โก่ง 1 มม./เน้นเรียบ</v>
          </cell>
          <cell r="C168">
            <v>2.2999999999999998</v>
          </cell>
          <cell r="D168">
            <v>420</v>
          </cell>
          <cell r="E168">
            <v>1219</v>
          </cell>
          <cell r="F168">
            <v>9.243798899999998</v>
          </cell>
          <cell r="G168">
            <v>22</v>
          </cell>
          <cell r="H168">
            <v>77005438</v>
          </cell>
          <cell r="I168" t="str">
            <v>SPHC-P/O</v>
          </cell>
          <cell r="J168" t="str">
            <v>SUPPORT (BONNET, REAR)</v>
          </cell>
          <cell r="K168" t="str">
            <v>SUB ASSY 2 (E60AB)</v>
          </cell>
          <cell r="L168" t="str">
            <v>KUBOTA E60AB</v>
          </cell>
          <cell r="M168" t="str">
            <v>SPHC-P/O</v>
          </cell>
          <cell r="N168" t="str">
            <v>SUPPORT (BONNET, REAR)</v>
          </cell>
          <cell r="O168" t="str">
            <v>SUB ASSY 2 (E60AB)</v>
          </cell>
          <cell r="P168" t="str">
            <v>KUBOTA E60AB</v>
          </cell>
          <cell r="Q168" t="str">
            <v>ps</v>
          </cell>
          <cell r="R168">
            <v>40</v>
          </cell>
        </row>
        <row r="169">
          <cell r="A169" t="str">
            <v>30032750-2</v>
          </cell>
          <cell r="B169" t="str">
            <v>2.6 x 48+/-0.5 x 1219</v>
          </cell>
          <cell r="C169">
            <v>2.6</v>
          </cell>
          <cell r="D169">
            <v>48</v>
          </cell>
          <cell r="E169">
            <v>1219</v>
          </cell>
          <cell r="F169">
            <v>1.1942299199999999</v>
          </cell>
          <cell r="G169">
            <v>47</v>
          </cell>
          <cell r="H169">
            <v>77005464</v>
          </cell>
          <cell r="I169" t="str">
            <v>SPHC-P/O</v>
          </cell>
          <cell r="J169" t="str">
            <v>SUPPORT (BONNET, REAR)</v>
          </cell>
          <cell r="K169" t="str">
            <v>SUB ASSY 2 (E60AB)</v>
          </cell>
          <cell r="L169" t="str">
            <v>KUBOTA E60AB</v>
          </cell>
          <cell r="M169" t="str">
            <v>SPHC-P/O</v>
          </cell>
          <cell r="N169" t="str">
            <v>SUPPORT (BONNET, REAR)</v>
          </cell>
          <cell r="O169" t="str">
            <v>SUB ASSY 2 (E60AB)</v>
          </cell>
          <cell r="P169" t="str">
            <v>KUBOTA E60AB</v>
          </cell>
          <cell r="Q169" t="str">
            <v>ps</v>
          </cell>
        </row>
        <row r="170">
          <cell r="A170" t="str">
            <v>30032750-3</v>
          </cell>
          <cell r="B170" t="str">
            <v>3.2 x 81+/-0.5 x 1219</v>
          </cell>
          <cell r="C170">
            <v>3.2</v>
          </cell>
          <cell r="D170">
            <v>81</v>
          </cell>
          <cell r="E170">
            <v>1219</v>
          </cell>
          <cell r="F170">
            <v>2.4803236799999997</v>
          </cell>
          <cell r="G170">
            <v>39</v>
          </cell>
          <cell r="H170">
            <v>77005516</v>
          </cell>
          <cell r="I170" t="str">
            <v>SPHC-P/O</v>
          </cell>
          <cell r="J170" t="str">
            <v>SUPPORT (BONNET, REAR)</v>
          </cell>
          <cell r="K170" t="str">
            <v>SUB ASSY 2 (E60AB)</v>
          </cell>
          <cell r="L170" t="str">
            <v>KUBOTA E60AB</v>
          </cell>
          <cell r="M170" t="str">
            <v>SPHC-P/O</v>
          </cell>
          <cell r="N170" t="str">
            <v>SUPPORT (BONNET, REAR)</v>
          </cell>
          <cell r="O170" t="str">
            <v>SUB ASSY 2 (E60AB)</v>
          </cell>
          <cell r="P170" t="str">
            <v>KUBOTA E60AB</v>
          </cell>
          <cell r="Q170" t="str">
            <v>ps</v>
          </cell>
        </row>
        <row r="171">
          <cell r="A171" t="str">
            <v>30032751-1</v>
          </cell>
          <cell r="B171" t="str">
            <v>2.3 x 420+/-0.5 x 1219 โก่ง 1 มม./เน้นเรียบ</v>
          </cell>
          <cell r="C171">
            <v>2.2999999999999998</v>
          </cell>
          <cell r="D171">
            <v>420</v>
          </cell>
          <cell r="E171">
            <v>1219</v>
          </cell>
          <cell r="F171">
            <v>9.243798899999998</v>
          </cell>
          <cell r="G171">
            <v>22</v>
          </cell>
          <cell r="H171">
            <v>77005438</v>
          </cell>
          <cell r="I171" t="str">
            <v>SPHC-P/O</v>
          </cell>
          <cell r="J171" t="str">
            <v>SUPPORT (BONNET, REAR)</v>
          </cell>
          <cell r="K171" t="str">
            <v>SUB ASSY 3 (E60AB)</v>
          </cell>
          <cell r="L171" t="str">
            <v>KUBOTA E60AB</v>
          </cell>
          <cell r="M171" t="str">
            <v>SPHC-P/O</v>
          </cell>
          <cell r="N171" t="str">
            <v>SUPPORT (BONNET, REAR)</v>
          </cell>
          <cell r="O171" t="str">
            <v>SUB ASSY 3 (E60AB)</v>
          </cell>
          <cell r="P171" t="str">
            <v>KUBOTA E60AB</v>
          </cell>
          <cell r="Q171" t="str">
            <v>ps</v>
          </cell>
          <cell r="R171">
            <v>40</v>
          </cell>
        </row>
        <row r="172">
          <cell r="A172" t="str">
            <v>30032751-2</v>
          </cell>
          <cell r="B172" t="str">
            <v>2.6 x 48+/-0.5 x 1219</v>
          </cell>
          <cell r="C172">
            <v>2.6</v>
          </cell>
          <cell r="D172">
            <v>48</v>
          </cell>
          <cell r="E172">
            <v>1219</v>
          </cell>
          <cell r="F172">
            <v>1.1942299199999999</v>
          </cell>
          <cell r="G172">
            <v>47</v>
          </cell>
          <cell r="H172">
            <v>77005464</v>
          </cell>
          <cell r="I172" t="str">
            <v>SPHC-P/O</v>
          </cell>
          <cell r="J172" t="str">
            <v>SUPPORT (BONNET, REAR)</v>
          </cell>
          <cell r="K172" t="str">
            <v>SUB ASSY 3 (E60AB)</v>
          </cell>
          <cell r="L172" t="str">
            <v>KUBOTA E60AB</v>
          </cell>
          <cell r="M172" t="str">
            <v>SPHC-P/O</v>
          </cell>
          <cell r="N172" t="str">
            <v>SUPPORT (BONNET, REAR)</v>
          </cell>
          <cell r="O172" t="str">
            <v>SUB ASSY 3 (E60AB)</v>
          </cell>
          <cell r="P172" t="str">
            <v>KUBOTA E60AB</v>
          </cell>
          <cell r="Q172" t="str">
            <v>ps</v>
          </cell>
        </row>
        <row r="173">
          <cell r="A173" t="str">
            <v>30032751-3</v>
          </cell>
          <cell r="B173" t="str">
            <v>3.2 x 81+/-0.5 x 1219</v>
          </cell>
          <cell r="C173">
            <v>3.2</v>
          </cell>
          <cell r="D173">
            <v>81</v>
          </cell>
          <cell r="E173">
            <v>1219</v>
          </cell>
          <cell r="F173">
            <v>2.4803236799999997</v>
          </cell>
          <cell r="G173">
            <v>39</v>
          </cell>
          <cell r="H173">
            <v>77005516</v>
          </cell>
          <cell r="I173" t="str">
            <v>SPHC-P/O</v>
          </cell>
          <cell r="J173" t="str">
            <v>SUPPORT (BONNET, REAR)</v>
          </cell>
          <cell r="K173" t="str">
            <v>SUB ASSY 3 (E60AB)</v>
          </cell>
          <cell r="L173" t="str">
            <v>KUBOTA E60AB</v>
          </cell>
          <cell r="M173" t="str">
            <v>SPHC-P/O</v>
          </cell>
          <cell r="N173" t="str">
            <v>SUPPORT (BONNET, REAR)</v>
          </cell>
          <cell r="O173" t="str">
            <v>SUB ASSY 3 (E60AB)</v>
          </cell>
          <cell r="P173" t="str">
            <v>KUBOTA E60AB</v>
          </cell>
          <cell r="Q173" t="str">
            <v>ps</v>
          </cell>
        </row>
        <row r="174">
          <cell r="A174">
            <v>30032753</v>
          </cell>
          <cell r="B174" t="str">
            <v>6.0 x 162+/-0.5 x 1219</v>
          </cell>
          <cell r="C174">
            <v>6</v>
          </cell>
          <cell r="D174">
            <v>162</v>
          </cell>
          <cell r="E174">
            <v>1219</v>
          </cell>
          <cell r="F174">
            <v>9.3012137999999993</v>
          </cell>
          <cell r="G174">
            <v>39</v>
          </cell>
          <cell r="H174">
            <v>77005562</v>
          </cell>
          <cell r="I174" t="str">
            <v>SS400</v>
          </cell>
          <cell r="J174" t="str">
            <v>PEDAL (DIFF LOCK)</v>
          </cell>
          <cell r="K174" t="str">
            <v>SUB ASSY 1 (E52A)</v>
          </cell>
          <cell r="L174" t="str">
            <v>KUBOTA E52A</v>
          </cell>
          <cell r="M174" t="str">
            <v>SS400</v>
          </cell>
          <cell r="N174" t="str">
            <v>PEDAL (DIFF LOCK)</v>
          </cell>
          <cell r="O174" t="str">
            <v>SUB ASSY 1 (E52A)</v>
          </cell>
          <cell r="P174" t="str">
            <v>KUBOTA E52A</v>
          </cell>
          <cell r="Q174" t="str">
            <v>csp</v>
          </cell>
        </row>
        <row r="175">
          <cell r="A175">
            <v>30032781</v>
          </cell>
          <cell r="B175" t="str">
            <v>3.2 x 124+/-0.5 x 670+0/-0.7</v>
          </cell>
          <cell r="C175">
            <v>3.2</v>
          </cell>
          <cell r="D175">
            <v>124</v>
          </cell>
          <cell r="E175">
            <v>670</v>
          </cell>
          <cell r="F175">
            <v>2.0869695999999998</v>
          </cell>
          <cell r="G175">
            <v>1</v>
          </cell>
          <cell r="H175">
            <v>77005484</v>
          </cell>
          <cell r="I175" t="str">
            <v>SPHC-P/O</v>
          </cell>
          <cell r="J175" t="str">
            <v>SUPPORT FENDER SUB ASSY 1</v>
          </cell>
          <cell r="K175" t="str">
            <v>E60AB</v>
          </cell>
          <cell r="L175" t="str">
            <v>KUBOTA E60AB</v>
          </cell>
          <cell r="M175" t="str">
            <v>SPHC-P/O</v>
          </cell>
          <cell r="N175" t="str">
            <v>SUPPORT FENDER SUB ASSY 1</v>
          </cell>
          <cell r="O175" t="str">
            <v>E60AB</v>
          </cell>
          <cell r="P175" t="str">
            <v>KUBOTA E60AB</v>
          </cell>
          <cell r="Q175" t="str">
            <v>ps</v>
          </cell>
          <cell r="R175">
            <v>200</v>
          </cell>
        </row>
        <row r="176">
          <cell r="A176" t="str">
            <v>30033545-1</v>
          </cell>
          <cell r="B176" t="str">
            <v>3.2 x 228+/-0.5 x 1219 เน้นเรียบ</v>
          </cell>
          <cell r="C176">
            <v>3.2</v>
          </cell>
          <cell r="D176">
            <v>228</v>
          </cell>
          <cell r="E176">
            <v>1219</v>
          </cell>
          <cell r="F176">
            <v>6.9816518399999996</v>
          </cell>
          <cell r="G176">
            <v>16</v>
          </cell>
          <cell r="H176">
            <v>77005494</v>
          </cell>
          <cell r="I176" t="str">
            <v>SPHC-P/O</v>
          </cell>
          <cell r="J176" t="str">
            <v>BRKT PILLAR (FRONT)_MO</v>
          </cell>
          <cell r="K176" t="str">
            <v>SUB ASSY 4 (E60AB)</v>
          </cell>
          <cell r="L176" t="str">
            <v>KUBOTA E60AB</v>
          </cell>
          <cell r="M176" t="str">
            <v>SPHC-P/O</v>
          </cell>
          <cell r="N176" t="str">
            <v>BRKT PILLAR (FRONT)_MO</v>
          </cell>
          <cell r="O176" t="str">
            <v>SUB ASSY 4 (E60AB)</v>
          </cell>
          <cell r="P176" t="str">
            <v>KUBOTA E60AB</v>
          </cell>
          <cell r="Q176" t="str">
            <v>ps</v>
          </cell>
          <cell r="R176">
            <v>30</v>
          </cell>
        </row>
        <row r="177">
          <cell r="A177" t="str">
            <v>30033545-2</v>
          </cell>
          <cell r="B177" t="str">
            <v>1.6 x 54+/-0.5 x 1219</v>
          </cell>
          <cell r="C177">
            <v>1.6</v>
          </cell>
          <cell r="D177">
            <v>54</v>
          </cell>
          <cell r="E177">
            <v>1219</v>
          </cell>
          <cell r="F177">
            <v>0.82677456000000005</v>
          </cell>
          <cell r="G177">
            <v>51</v>
          </cell>
          <cell r="H177">
            <v>77005353</v>
          </cell>
          <cell r="I177" t="str">
            <v>SPHC-P/O</v>
          </cell>
          <cell r="J177" t="str">
            <v>BRKT PILLAR (FRONT)_MO</v>
          </cell>
          <cell r="K177" t="str">
            <v>SUB ASSY 4 (E60AB)</v>
          </cell>
          <cell r="L177" t="str">
            <v>KUBOTA E60AB</v>
          </cell>
          <cell r="M177" t="str">
            <v>SPHC-P/O</v>
          </cell>
          <cell r="N177" t="str">
            <v>BRKT PILLAR (FRONT)_MO</v>
          </cell>
          <cell r="O177" t="str">
            <v>SUB ASSY 4 (E60AB)</v>
          </cell>
          <cell r="P177" t="str">
            <v>KUBOTA E60AB</v>
          </cell>
          <cell r="Q177" t="str">
            <v>ps</v>
          </cell>
        </row>
        <row r="178">
          <cell r="A178" t="str">
            <v>30033697-1</v>
          </cell>
          <cell r="B178" t="str">
            <v>2.3 x 86+/-0.5 x 1219</v>
          </cell>
          <cell r="C178">
            <v>2.2999999999999998</v>
          </cell>
          <cell r="D178">
            <v>86</v>
          </cell>
          <cell r="E178">
            <v>1219</v>
          </cell>
          <cell r="F178">
            <v>1.89277787</v>
          </cell>
          <cell r="G178">
            <v>16</v>
          </cell>
          <cell r="H178">
            <v>77005448</v>
          </cell>
          <cell r="I178" t="str">
            <v>YSH270C-P</v>
          </cell>
          <cell r="J178" t="str">
            <v>BRKTL., HINGE</v>
          </cell>
          <cell r="K178" t="str">
            <v>JIB-F155E-00-1(LH), 2(RH) (ใช้ R+L)</v>
          </cell>
          <cell r="L178" t="str">
            <v>J1B1</v>
          </cell>
          <cell r="M178" t="str">
            <v>YSH270C-P</v>
          </cell>
          <cell r="N178" t="str">
            <v>BRKTL., HINGE</v>
          </cell>
          <cell r="O178" t="str">
            <v>JIB-F155E-00-1(LH), 2(RH) (ใช้ R+L)</v>
          </cell>
          <cell r="P178" t="str">
            <v>J1B1</v>
          </cell>
          <cell r="Q178" t="str">
            <v>epc</v>
          </cell>
        </row>
        <row r="179">
          <cell r="A179" t="str">
            <v>30033698-1</v>
          </cell>
          <cell r="B179" t="str">
            <v>2.3 x 86+/-0.5 x 1219</v>
          </cell>
          <cell r="C179">
            <v>2.2999999999999998</v>
          </cell>
          <cell r="D179">
            <v>86</v>
          </cell>
          <cell r="E179">
            <v>1219</v>
          </cell>
          <cell r="F179">
            <v>1.89277787</v>
          </cell>
          <cell r="G179">
            <v>16</v>
          </cell>
          <cell r="H179">
            <v>77005448</v>
          </cell>
          <cell r="I179" t="str">
            <v>YSH270C-P</v>
          </cell>
          <cell r="J179" t="str">
            <v>BRKTL., HINGE</v>
          </cell>
          <cell r="K179" t="str">
            <v>JIB-F155E-00-1(LH), 2(RH) (ใช้ R+L)</v>
          </cell>
          <cell r="L179" t="str">
            <v>J1B1</v>
          </cell>
          <cell r="M179" t="str">
            <v>YSH270C-P</v>
          </cell>
          <cell r="N179" t="str">
            <v>BRKTL., HINGE</v>
          </cell>
          <cell r="O179" t="str">
            <v>JIB-F155E-00-1(LH), 2(RH) (ใช้ R+L)</v>
          </cell>
          <cell r="P179" t="str">
            <v>J1B1</v>
          </cell>
          <cell r="Q179" t="str">
            <v>epc</v>
          </cell>
        </row>
        <row r="180">
          <cell r="A180">
            <v>30033702</v>
          </cell>
          <cell r="B180" t="str">
            <v>2.3 x 217+/-0.5 x 1219</v>
          </cell>
          <cell r="C180">
            <v>2.2999999999999998</v>
          </cell>
          <cell r="D180">
            <v>217</v>
          </cell>
          <cell r="E180">
            <v>1219</v>
          </cell>
          <cell r="F180">
            <v>4.7759627649999992</v>
          </cell>
          <cell r="G180">
            <v>11</v>
          </cell>
          <cell r="H180">
            <v>77005255</v>
          </cell>
          <cell r="I180" t="str">
            <v>YSH440W-P</v>
          </cell>
          <cell r="J180" t="str">
            <v>MBR.1</v>
          </cell>
          <cell r="K180" t="str">
            <v>JIB-F2821-00-0(JIBI)</v>
          </cell>
          <cell r="L180" t="str">
            <v>J1B1</v>
          </cell>
          <cell r="M180" t="str">
            <v>YSH440W-P</v>
          </cell>
          <cell r="N180" t="str">
            <v>MBR.1</v>
          </cell>
          <cell r="O180" t="str">
            <v>JIB-F2821-00-0(JIBI)</v>
          </cell>
          <cell r="P180" t="str">
            <v>J1B1</v>
          </cell>
          <cell r="Q180" t="str">
            <v>bm</v>
          </cell>
        </row>
        <row r="181">
          <cell r="A181">
            <v>30033791</v>
          </cell>
          <cell r="B181" t="str">
            <v>3.2 x 67+/-0.5 x 1219</v>
          </cell>
          <cell r="C181">
            <v>3.2</v>
          </cell>
          <cell r="D181">
            <v>67</v>
          </cell>
          <cell r="E181">
            <v>1219</v>
          </cell>
          <cell r="F181">
            <v>2.0516257599999999</v>
          </cell>
          <cell r="G181">
            <v>24</v>
          </cell>
          <cell r="H181">
            <v>77005601</v>
          </cell>
          <cell r="I181" t="str">
            <v>SPFH590</v>
          </cell>
          <cell r="J181" t="str">
            <v>BRACKET ENGINE</v>
          </cell>
          <cell r="K181" t="str">
            <v>32190-0742</v>
          </cell>
          <cell r="L181" t="str">
            <v>KAWA BR125A</v>
          </cell>
          <cell r="M181" t="str">
            <v>SPFH590</v>
          </cell>
          <cell r="N181" t="str">
            <v>BRACKET ENGINE</v>
          </cell>
          <cell r="O181" t="str">
            <v>32190-0742</v>
          </cell>
          <cell r="P181" t="str">
            <v>KAWA BR125A</v>
          </cell>
          <cell r="Q181" t="str">
            <v>tsi</v>
          </cell>
        </row>
        <row r="182">
          <cell r="A182">
            <v>30033791</v>
          </cell>
          <cell r="B182" t="str">
            <v>3.2 x 67+/-0.5 x 1183</v>
          </cell>
          <cell r="C182">
            <v>3.2</v>
          </cell>
          <cell r="D182">
            <v>67</v>
          </cell>
          <cell r="E182">
            <v>1183</v>
          </cell>
          <cell r="F182">
            <v>1.9910363200000001</v>
          </cell>
          <cell r="G182">
            <v>24</v>
          </cell>
          <cell r="H182">
            <v>77005297</v>
          </cell>
          <cell r="I182" t="str">
            <v>SPFH590</v>
          </cell>
          <cell r="J182" t="str">
            <v>BRACKET ENGINE</v>
          </cell>
          <cell r="K182" t="str">
            <v>32190-0742</v>
          </cell>
          <cell r="L182" t="str">
            <v>KAWA BR125A</v>
          </cell>
          <cell r="M182" t="str">
            <v>SPFH590</v>
          </cell>
          <cell r="N182" t="str">
            <v>BRACKET ENGINE</v>
          </cell>
          <cell r="O182" t="str">
            <v>32190-0742</v>
          </cell>
          <cell r="P182" t="str">
            <v>KAWA BR125A</v>
          </cell>
          <cell r="Q182" t="str">
            <v>tsi</v>
          </cell>
        </row>
        <row r="183">
          <cell r="A183">
            <v>30033792</v>
          </cell>
          <cell r="B183" t="str">
            <v>2.3 x 68+/-0.5 x 1183</v>
          </cell>
          <cell r="C183">
            <v>2.2999999999999998</v>
          </cell>
          <cell r="D183">
            <v>68</v>
          </cell>
          <cell r="E183">
            <v>1183</v>
          </cell>
          <cell r="F183">
            <v>1.4524164199999996</v>
          </cell>
          <cell r="G183">
            <v>23</v>
          </cell>
          <cell r="H183">
            <v>77005290</v>
          </cell>
          <cell r="I183" t="str">
            <v>SPFH590</v>
          </cell>
          <cell r="J183" t="str">
            <v>BRACKET ENGINE</v>
          </cell>
          <cell r="K183" t="str">
            <v>32190-0743</v>
          </cell>
          <cell r="L183" t="str">
            <v>KAWA BR125A</v>
          </cell>
          <cell r="M183" t="str">
            <v>SPFH590</v>
          </cell>
          <cell r="N183" t="str">
            <v>BRACKET ENGINE</v>
          </cell>
          <cell r="O183" t="str">
            <v>32190-0743</v>
          </cell>
          <cell r="P183" t="str">
            <v>KAWA BR125A</v>
          </cell>
          <cell r="Q183" t="str">
            <v>tsi</v>
          </cell>
        </row>
        <row r="184">
          <cell r="A184">
            <v>30033914</v>
          </cell>
          <cell r="B184" t="str">
            <v>3.0 x 185+/-0.5 x 1219</v>
          </cell>
          <cell r="C184">
            <v>3</v>
          </cell>
          <cell r="D184">
            <v>185</v>
          </cell>
          <cell r="E184">
            <v>1219</v>
          </cell>
          <cell r="F184">
            <v>5.31087825</v>
          </cell>
          <cell r="G184">
            <v>7</v>
          </cell>
          <cell r="H184">
            <v>77005473</v>
          </cell>
          <cell r="I184" t="str">
            <v>SPHC-P</v>
          </cell>
          <cell r="J184" t="str">
            <v>PLATE CASE (2ND) NO.7</v>
          </cell>
          <cell r="K184" t="str">
            <v>SUB ASSY 6 (DC-105X)</v>
          </cell>
          <cell r="L184" t="str">
            <v>KUBOTA DC105X</v>
          </cell>
          <cell r="M184" t="str">
            <v>SPHC-P</v>
          </cell>
          <cell r="N184" t="str">
            <v>PLATE CASE (2ND) NO.7</v>
          </cell>
          <cell r="O184" t="str">
            <v>SUB ASSY 6 (DC-105X)</v>
          </cell>
          <cell r="P184" t="str">
            <v>KUBOTA DC105X</v>
          </cell>
          <cell r="Q184" t="str">
            <v>csp</v>
          </cell>
        </row>
        <row r="185">
          <cell r="A185">
            <v>30034188</v>
          </cell>
          <cell r="B185" t="str">
            <v>2.3 x 125 +0/-0.5x 200+0.7/-0 โก่ง 2 มม./เน้นเรียบ</v>
          </cell>
          <cell r="C185">
            <v>2.2999999999999998</v>
          </cell>
          <cell r="D185">
            <v>200</v>
          </cell>
          <cell r="E185">
            <v>125</v>
          </cell>
          <cell r="F185">
            <v>0.45137499999999992</v>
          </cell>
          <cell r="G185">
            <v>1</v>
          </cell>
          <cell r="H185">
            <v>77005304</v>
          </cell>
          <cell r="I185" t="str">
            <v>SPHC</v>
          </cell>
          <cell r="J185" t="str">
            <v>BRACKET NO.7</v>
          </cell>
          <cell r="K185" t="str">
            <v>6C626-5121-1-07</v>
          </cell>
          <cell r="L185" t="str">
            <v>KUBOTA D35</v>
          </cell>
          <cell r="M185" t="str">
            <v>SPHC</v>
          </cell>
          <cell r="N185" t="str">
            <v>BRACKET NO.7</v>
          </cell>
          <cell r="O185" t="str">
            <v>6C626-5121-1-07</v>
          </cell>
          <cell r="P185" t="str">
            <v>KUBOTA D35</v>
          </cell>
          <cell r="Q185" t="str">
            <v>ps</v>
          </cell>
        </row>
        <row r="186">
          <cell r="A186" t="str">
            <v>30034262-1</v>
          </cell>
          <cell r="B186" t="str">
            <v>4.5 x 140+/-0.5 x 1219</v>
          </cell>
          <cell r="C186">
            <v>4.5</v>
          </cell>
          <cell r="D186">
            <v>140</v>
          </cell>
          <cell r="E186">
            <v>1219</v>
          </cell>
          <cell r="F186">
            <v>6.0285644999999999</v>
          </cell>
          <cell r="G186">
            <v>32</v>
          </cell>
          <cell r="H186">
            <v>77005546</v>
          </cell>
          <cell r="I186" t="str">
            <v>SS400</v>
          </cell>
          <cell r="J186" t="str">
            <v>BRACKET SUB ASSY 2</v>
          </cell>
          <cell r="K186" t="str">
            <v>6C626-5121-1-K2</v>
          </cell>
          <cell r="L186" t="str">
            <v>KUBOTA D35</v>
          </cell>
          <cell r="M186" t="str">
            <v>SS400</v>
          </cell>
          <cell r="N186" t="str">
            <v>BRACKET SUB ASSY 2</v>
          </cell>
          <cell r="O186" t="str">
            <v>6C626-5121-1-K2</v>
          </cell>
          <cell r="P186" t="str">
            <v>KUBOTA D35</v>
          </cell>
          <cell r="Q186" t="str">
            <v>csp</v>
          </cell>
        </row>
        <row r="187">
          <cell r="A187">
            <v>30034394</v>
          </cell>
          <cell r="B187" t="str">
            <v>2.3 x 451+/-0.5 x 620 โก่ง 2 มม./เน้นเรียบ</v>
          </cell>
          <cell r="C187">
            <v>2.2999999999999998</v>
          </cell>
          <cell r="D187">
            <v>451</v>
          </cell>
          <cell r="E187">
            <v>620</v>
          </cell>
          <cell r="F187">
            <v>5.0485390999999993</v>
          </cell>
          <cell r="G187">
            <v>4</v>
          </cell>
          <cell r="H187">
            <v>77005306</v>
          </cell>
          <cell r="I187" t="str">
            <v>SPHC</v>
          </cell>
          <cell r="J187" t="str">
            <v>PLATE BRACKET (BATTERY) NO. 1</v>
          </cell>
          <cell r="K187" t="str">
            <v>6C6265122-1-01</v>
          </cell>
          <cell r="L187" t="str">
            <v>KUBOTA D35</v>
          </cell>
          <cell r="M187" t="str">
            <v>SPHC</v>
          </cell>
          <cell r="N187" t="str">
            <v>PLATE BRACKET (BATTERY) NO. 1</v>
          </cell>
          <cell r="O187" t="str">
            <v>6C6265122-1-01</v>
          </cell>
          <cell r="P187" t="str">
            <v>KUBOTA D35</v>
          </cell>
          <cell r="Q187" t="str">
            <v>csp</v>
          </cell>
          <cell r="R187">
            <v>80</v>
          </cell>
        </row>
        <row r="188">
          <cell r="A188" t="str">
            <v>30034404-1</v>
          </cell>
          <cell r="B188" t="str">
            <v>2.6 x 457+/-0.5 x 1219 โก่ง 2 มม./เน้นเรียบ</v>
          </cell>
          <cell r="C188">
            <v>2.6</v>
          </cell>
          <cell r="D188">
            <v>457</v>
          </cell>
          <cell r="E188">
            <v>1219</v>
          </cell>
          <cell r="F188">
            <v>11.37006403</v>
          </cell>
          <cell r="G188">
            <v>9</v>
          </cell>
          <cell r="H188">
            <v>77005463</v>
          </cell>
          <cell r="I188" t="str">
            <v>SPHC-P/O</v>
          </cell>
          <cell r="J188" t="str">
            <v>PLATE PILLAR (CENTER) NO. 4</v>
          </cell>
          <cell r="K188" t="str">
            <v>6C626-5422-4</v>
          </cell>
          <cell r="L188" t="str">
            <v>KUBOTA D35</v>
          </cell>
          <cell r="M188" t="str">
            <v>SPHC-P/O</v>
          </cell>
          <cell r="N188" t="str">
            <v>PLATE PILLAR (CENTER) NO. 4</v>
          </cell>
          <cell r="O188" t="str">
            <v>6C626-5422-4</v>
          </cell>
          <cell r="P188" t="str">
            <v>KUBOTA D35</v>
          </cell>
          <cell r="Q188" t="str">
            <v>ps</v>
          </cell>
          <cell r="R188">
            <v>30</v>
          </cell>
        </row>
        <row r="189">
          <cell r="A189" t="str">
            <v>30034404-2</v>
          </cell>
          <cell r="B189" t="str">
            <v>6.0 x 116+/-0.5 x 1219</v>
          </cell>
          <cell r="C189">
            <v>6</v>
          </cell>
          <cell r="D189">
            <v>116</v>
          </cell>
          <cell r="E189">
            <v>1219</v>
          </cell>
          <cell r="F189">
            <v>6.6601283999999996</v>
          </cell>
          <cell r="G189">
            <v>13</v>
          </cell>
          <cell r="H189">
            <v>77005559</v>
          </cell>
          <cell r="I189" t="str">
            <v>SS400</v>
          </cell>
          <cell r="J189" t="str">
            <v>PLATE PILLAR (CENTER) NO. 5RH</v>
          </cell>
          <cell r="K189" t="str">
            <v>6C626-5422-5</v>
          </cell>
          <cell r="L189" t="str">
            <v>KUBOTA D35</v>
          </cell>
          <cell r="M189" t="str">
            <v>SS400</v>
          </cell>
          <cell r="N189" t="str">
            <v>PLATE PILLAR (CENTER) NO. 5RH</v>
          </cell>
          <cell r="O189" t="str">
            <v>6C626-5422-5</v>
          </cell>
          <cell r="P189" t="str">
            <v>KUBOTA D35</v>
          </cell>
          <cell r="Q189" t="str">
            <v>csp</v>
          </cell>
        </row>
        <row r="190">
          <cell r="A190">
            <v>30034771</v>
          </cell>
          <cell r="B190" t="str">
            <v>3.2 x 160+/-0.5 x 1219</v>
          </cell>
          <cell r="C190">
            <v>3.2</v>
          </cell>
          <cell r="D190">
            <v>160</v>
          </cell>
          <cell r="E190">
            <v>1219</v>
          </cell>
          <cell r="F190">
            <v>4.8994048000000001</v>
          </cell>
          <cell r="G190">
            <v>14</v>
          </cell>
          <cell r="H190">
            <v>77005488</v>
          </cell>
          <cell r="I190" t="str">
            <v>YSH270C-P</v>
          </cell>
          <cell r="J190" t="str">
            <v>BRKT FOOTREST 2</v>
          </cell>
          <cell r="K190" t="str">
            <v>J1E-F1148-00-0</v>
          </cell>
          <cell r="L190" t="str">
            <v>J1E</v>
          </cell>
          <cell r="M190" t="str">
            <v>YSH270C-P</v>
          </cell>
          <cell r="N190" t="str">
            <v>BRKT FOOTREST 2</v>
          </cell>
          <cell r="O190" t="str">
            <v>J1E-F1148-00-0</v>
          </cell>
          <cell r="P190" t="str">
            <v>J1E</v>
          </cell>
          <cell r="Q190" t="str">
            <v>epc</v>
          </cell>
        </row>
        <row r="191">
          <cell r="A191">
            <v>30034772</v>
          </cell>
          <cell r="B191" t="str">
            <v>3.2 x 167+/-0.5 x 1219</v>
          </cell>
          <cell r="C191">
            <v>3.2</v>
          </cell>
          <cell r="D191">
            <v>167</v>
          </cell>
          <cell r="E191">
            <v>1219</v>
          </cell>
          <cell r="F191">
            <v>5.1137537599999998</v>
          </cell>
          <cell r="G191">
            <v>10</v>
          </cell>
          <cell r="I191" t="str">
            <v>YSH270C-P</v>
          </cell>
          <cell r="J191" t="str">
            <v>BRKT FOOTREST 3</v>
          </cell>
          <cell r="K191" t="str">
            <v>J1E-F144H-00</v>
          </cell>
          <cell r="L191" t="str">
            <v>J1E</v>
          </cell>
          <cell r="M191" t="str">
            <v>YSH270C-P</v>
          </cell>
          <cell r="N191" t="str">
            <v>BRKT FOOTREST 3</v>
          </cell>
          <cell r="O191" t="str">
            <v>J1E-F144H-00</v>
          </cell>
          <cell r="P191" t="str">
            <v>J1E</v>
          </cell>
          <cell r="Q191" t="e">
            <v>#N/A</v>
          </cell>
        </row>
        <row r="192">
          <cell r="A192" t="str">
            <v>30034774-5</v>
          </cell>
          <cell r="B192" t="str">
            <v>3.2 x 71+/-0.5 x 1219</v>
          </cell>
          <cell r="C192">
            <v>3.2</v>
          </cell>
          <cell r="D192">
            <v>71</v>
          </cell>
          <cell r="E192">
            <v>1219</v>
          </cell>
          <cell r="F192">
            <v>2.1741108800000002</v>
          </cell>
          <cell r="G192">
            <v>28</v>
          </cell>
          <cell r="H192">
            <v>77005510</v>
          </cell>
          <cell r="I192" t="str">
            <v>YSH270C-P</v>
          </cell>
          <cell r="J192" t="str">
            <v>BRKT FOOTREST 4</v>
          </cell>
          <cell r="K192" t="str">
            <v>J1E-F2531-00-SUB</v>
          </cell>
          <cell r="L192" t="str">
            <v>J1E</v>
          </cell>
          <cell r="M192" t="str">
            <v>YSH270C-P</v>
          </cell>
          <cell r="N192" t="str">
            <v>BRKT FOOTREST 4</v>
          </cell>
          <cell r="O192" t="str">
            <v>J1E-F2531-00-SUB</v>
          </cell>
          <cell r="P192" t="str">
            <v>J1E</v>
          </cell>
          <cell r="Q192" t="str">
            <v>epc</v>
          </cell>
        </row>
        <row r="193">
          <cell r="A193">
            <v>30034776</v>
          </cell>
          <cell r="B193" t="str">
            <v>3.2 x 174+/-0.5 x 1219</v>
          </cell>
          <cell r="C193">
            <v>3.2</v>
          </cell>
          <cell r="D193">
            <v>174</v>
          </cell>
          <cell r="E193">
            <v>1219</v>
          </cell>
          <cell r="F193">
            <v>5.3281027200000004</v>
          </cell>
          <cell r="G193">
            <v>42</v>
          </cell>
          <cell r="H193">
            <v>77005492</v>
          </cell>
          <cell r="I193" t="str">
            <v>YSH270C-P</v>
          </cell>
          <cell r="J193" t="str">
            <v>GUSSET 2</v>
          </cell>
          <cell r="K193" t="str">
            <v>J1E-F252G-00-0(J1E1)</v>
          </cell>
          <cell r="L193" t="str">
            <v>J1E</v>
          </cell>
          <cell r="M193" t="str">
            <v>YSH270C-P</v>
          </cell>
          <cell r="N193" t="str">
            <v>GUSSET 2</v>
          </cell>
          <cell r="O193" t="str">
            <v>J1E-F252G-00-0(J1E1)</v>
          </cell>
          <cell r="P193" t="str">
            <v>J1E</v>
          </cell>
          <cell r="Q193" t="str">
            <v>epc</v>
          </cell>
        </row>
        <row r="194">
          <cell r="A194">
            <v>30034775</v>
          </cell>
          <cell r="B194" t="str">
            <v>3.2 x 110+/-0.5 x 1219</v>
          </cell>
          <cell r="C194">
            <v>3.2</v>
          </cell>
          <cell r="D194">
            <v>110</v>
          </cell>
          <cell r="E194">
            <v>1219</v>
          </cell>
          <cell r="F194">
            <v>3.3683407999999999</v>
          </cell>
          <cell r="G194">
            <v>12</v>
          </cell>
          <cell r="H194">
            <v>77005478</v>
          </cell>
          <cell r="I194" t="str">
            <v>YSH270C-P</v>
          </cell>
          <cell r="J194" t="str">
            <v>GUSSET</v>
          </cell>
          <cell r="K194" t="str">
            <v>J1E-F252E-00-0(J1E1)</v>
          </cell>
          <cell r="L194" t="str">
            <v>J1E</v>
          </cell>
          <cell r="M194" t="str">
            <v>YSH270C-P</v>
          </cell>
          <cell r="N194" t="str">
            <v>GUSSET</v>
          </cell>
          <cell r="O194" t="str">
            <v>J1E-F252E-00-0(J1E1)</v>
          </cell>
          <cell r="P194" t="str">
            <v>J1E</v>
          </cell>
          <cell r="Q194" t="str">
            <v>bm</v>
          </cell>
        </row>
        <row r="195">
          <cell r="A195" t="str">
            <v>30034777-1</v>
          </cell>
          <cell r="B195" t="str">
            <v>2.3 x 86+/-0.5 x 1219</v>
          </cell>
          <cell r="C195">
            <v>2.2999999999999998</v>
          </cell>
          <cell r="D195">
            <v>86</v>
          </cell>
          <cell r="E195">
            <v>1219</v>
          </cell>
          <cell r="F195">
            <v>1.89277787</v>
          </cell>
          <cell r="G195">
            <v>16</v>
          </cell>
          <cell r="H195">
            <v>77005448</v>
          </cell>
          <cell r="I195" t="str">
            <v>YSH270C-P</v>
          </cell>
          <cell r="J195" t="str">
            <v>MBR., 2</v>
          </cell>
          <cell r="K195" t="str">
            <v>J1B-F115E-00-0(J1B1)</v>
          </cell>
          <cell r="L195" t="str">
            <v>J1B1</v>
          </cell>
          <cell r="M195" t="str">
            <v>YSH270C-P</v>
          </cell>
          <cell r="N195" t="str">
            <v>MBR., 2</v>
          </cell>
          <cell r="O195" t="str">
            <v>J1B-F115E-00-0(J1B1)</v>
          </cell>
          <cell r="P195" t="str">
            <v>J1B1</v>
          </cell>
          <cell r="Q195" t="str">
            <v>epc</v>
          </cell>
        </row>
        <row r="196">
          <cell r="A196" t="str">
            <v>30035275-1</v>
          </cell>
          <cell r="B196" t="str">
            <v>3.2 x 269+/-0.5 x 1219</v>
          </cell>
          <cell r="C196">
            <v>3.2</v>
          </cell>
          <cell r="D196">
            <v>269</v>
          </cell>
          <cell r="E196">
            <v>1219</v>
          </cell>
          <cell r="F196">
            <v>8.2371243200000013</v>
          </cell>
          <cell r="G196">
            <v>25</v>
          </cell>
          <cell r="H196">
            <v>77005500</v>
          </cell>
          <cell r="I196" t="str">
            <v>SPHC-P/O</v>
          </cell>
          <cell r="J196" t="str">
            <v>PLATE PILLAR (CENTER) NO. 12</v>
          </cell>
          <cell r="K196" t="str">
            <v>6C626-5422-12</v>
          </cell>
          <cell r="L196" t="str">
            <v>KUBOTA D35</v>
          </cell>
          <cell r="M196" t="str">
            <v>SPHC-P/O</v>
          </cell>
          <cell r="N196" t="str">
            <v>PLATE PILLAR (CENTER) NO. 12</v>
          </cell>
          <cell r="O196" t="str">
            <v>6C626-5422-12</v>
          </cell>
          <cell r="P196" t="str">
            <v>KUBOTA D35</v>
          </cell>
          <cell r="Q196" t="str">
            <v>ps</v>
          </cell>
        </row>
        <row r="197">
          <cell r="A197" t="str">
            <v>30035275-2</v>
          </cell>
          <cell r="B197" t="str">
            <v>3.2 x 121+/-0.5 x 1219</v>
          </cell>
          <cell r="C197">
            <v>3.2</v>
          </cell>
          <cell r="D197">
            <v>121</v>
          </cell>
          <cell r="E197">
            <v>1219</v>
          </cell>
          <cell r="F197">
            <v>3.7051748800000004</v>
          </cell>
          <cell r="G197">
            <v>40</v>
          </cell>
          <cell r="H197">
            <v>77005483</v>
          </cell>
          <cell r="I197" t="str">
            <v>SPHC-P/O</v>
          </cell>
          <cell r="J197" t="str">
            <v>PILLAR (CENTER) SUB ASSY 9</v>
          </cell>
          <cell r="K197" t="str">
            <v>(D35-IND) MODIFY</v>
          </cell>
          <cell r="L197" t="str">
            <v>KUBOTA D35</v>
          </cell>
          <cell r="M197" t="str">
            <v>SPHC-P/O</v>
          </cell>
          <cell r="N197" t="str">
            <v>PILLAR (CENTER) SUB ASSY 9</v>
          </cell>
          <cell r="O197" t="str">
            <v>(D35-IND) MODIFY</v>
          </cell>
          <cell r="P197" t="str">
            <v>KUBOTA D35</v>
          </cell>
          <cell r="Q197" t="str">
            <v>ps</v>
          </cell>
        </row>
        <row r="198">
          <cell r="A198" t="str">
            <v>30035647-1</v>
          </cell>
          <cell r="B198" t="str">
            <v>4.5 x 200+/-0.5 x 1219</v>
          </cell>
          <cell r="C198">
            <v>4.5</v>
          </cell>
          <cell r="D198">
            <v>200</v>
          </cell>
          <cell r="E198">
            <v>1219</v>
          </cell>
          <cell r="F198">
            <v>8.6122350000000001</v>
          </cell>
          <cell r="G198">
            <v>21</v>
          </cell>
          <cell r="H198">
            <v>77005525</v>
          </cell>
          <cell r="I198" t="str">
            <v>SPHC-P/O</v>
          </cell>
          <cell r="J198" t="str">
            <v>BRKT PILLAR NO. 7</v>
          </cell>
          <cell r="K198" t="str">
            <v>TC827-1831-1-07</v>
          </cell>
          <cell r="L198" t="str">
            <v>KUBOTA E60A/B-VIP</v>
          </cell>
          <cell r="M198" t="str">
            <v>SPHC-P/O</v>
          </cell>
          <cell r="N198" t="str">
            <v>BRKT PILLAR NO. 7</v>
          </cell>
          <cell r="O198" t="str">
            <v>TC827-1831-1-07</v>
          </cell>
          <cell r="P198" t="str">
            <v>KUBOTA E60A/B-VIP</v>
          </cell>
          <cell r="Q198" t="str">
            <v>tsi</v>
          </cell>
        </row>
        <row r="199">
          <cell r="A199" t="str">
            <v>30035647-2</v>
          </cell>
          <cell r="B199" t="str">
            <v>3.2 x 75+/-0.5 x 1219</v>
          </cell>
          <cell r="C199">
            <v>3.2</v>
          </cell>
          <cell r="D199">
            <v>75</v>
          </cell>
          <cell r="E199">
            <v>1219</v>
          </cell>
          <cell r="F199">
            <v>2.2965960000000001</v>
          </cell>
          <cell r="G199">
            <v>68</v>
          </cell>
          <cell r="H199">
            <v>77005513</v>
          </cell>
          <cell r="I199" t="str">
            <v>SPHC-P/O</v>
          </cell>
          <cell r="J199" t="str">
            <v>BRKT PILLAR NO. 21</v>
          </cell>
          <cell r="K199" t="str">
            <v>TC827-1831-1-21</v>
          </cell>
          <cell r="L199" t="str">
            <v>KUBOTA E60A/B-VIP</v>
          </cell>
          <cell r="M199" t="str">
            <v>SPHC-P/O</v>
          </cell>
          <cell r="N199" t="str">
            <v>BRKT PILLAR NO. 21</v>
          </cell>
          <cell r="O199" t="str">
            <v>TC827-1831-1-21</v>
          </cell>
          <cell r="P199" t="str">
            <v>KUBOTA E60A/B-VIP</v>
          </cell>
          <cell r="Q199" t="str">
            <v>epc</v>
          </cell>
        </row>
        <row r="200">
          <cell r="A200" t="str">
            <v>30035647-3</v>
          </cell>
          <cell r="B200" t="str">
            <v>4.5 x 342.8+/-0.5 x 1219 เหล็กต้องตัดขอบหัว-ท้าย</v>
          </cell>
          <cell r="C200">
            <v>4.5</v>
          </cell>
          <cell r="D200">
            <v>342.8</v>
          </cell>
          <cell r="E200">
            <v>1219</v>
          </cell>
          <cell r="F200">
            <v>14.761370790000001</v>
          </cell>
          <cell r="G200">
            <v>31</v>
          </cell>
          <cell r="H200">
            <v>77005314</v>
          </cell>
          <cell r="I200" t="str">
            <v>SS400</v>
          </cell>
          <cell r="J200" t="str">
            <v>BRACKET PILLAR(FRONT)SUB ASSY 2</v>
          </cell>
          <cell r="K200" t="str">
            <v>TC822-1831-1-03-01</v>
          </cell>
          <cell r="L200" t="str">
            <v>KUBOTA E60A/B-VIP</v>
          </cell>
          <cell r="M200" t="str">
            <v>SS400</v>
          </cell>
          <cell r="N200" t="str">
            <v>BRACKET PILLAR(FRONT)SUB ASSY 2</v>
          </cell>
          <cell r="O200" t="str">
            <v>TC822-1831-1-03-01</v>
          </cell>
          <cell r="P200" t="str">
            <v>KUBOTA E60A/B-VIP</v>
          </cell>
          <cell r="Q200" t="str">
            <v>ps</v>
          </cell>
        </row>
        <row r="201">
          <cell r="A201">
            <v>30036477</v>
          </cell>
          <cell r="B201" t="str">
            <v>4.5 x 329+/-0.5 x 1219</v>
          </cell>
          <cell r="C201">
            <v>4.5</v>
          </cell>
          <cell r="D201">
            <v>329</v>
          </cell>
          <cell r="E201">
            <v>1219</v>
          </cell>
          <cell r="F201">
            <v>14.167126574999999</v>
          </cell>
          <cell r="G201">
            <v>15</v>
          </cell>
          <cell r="H201">
            <v>77004202</v>
          </cell>
          <cell r="I201" t="str">
            <v>JSH270C</v>
          </cell>
          <cell r="J201" t="str">
            <v>ARM</v>
          </cell>
          <cell r="K201" t="str">
            <v>24701-K0GA-9005-20</v>
          </cell>
          <cell r="L201" t="str">
            <v>K0GA</v>
          </cell>
          <cell r="M201" t="str">
            <v>JSH270C</v>
          </cell>
          <cell r="N201" t="str">
            <v>ARM</v>
          </cell>
          <cell r="O201" t="str">
            <v>24701-K0GA-9005-20</v>
          </cell>
          <cell r="P201" t="str">
            <v>K0GA</v>
          </cell>
          <cell r="Q201" t="str">
            <v>ptt</v>
          </cell>
        </row>
        <row r="202">
          <cell r="A202">
            <v>30036478</v>
          </cell>
          <cell r="B202" t="str">
            <v>2.3 x 86+/-0.5 x 1219</v>
          </cell>
          <cell r="C202">
            <v>2.2999999999999998</v>
          </cell>
          <cell r="D202">
            <v>86</v>
          </cell>
          <cell r="E202">
            <v>1219</v>
          </cell>
          <cell r="F202">
            <v>1.89277787</v>
          </cell>
          <cell r="G202">
            <v>13</v>
          </cell>
          <cell r="H202">
            <v>77004169</v>
          </cell>
          <cell r="I202" t="str">
            <v>JSH270C</v>
          </cell>
          <cell r="J202" t="str">
            <v>HING A SEAT</v>
          </cell>
          <cell r="K202" t="str">
            <v>77111-K0GA-9000-H1</v>
          </cell>
          <cell r="L202" t="str">
            <v>K0GA</v>
          </cell>
          <cell r="M202" t="str">
            <v>JSH270C</v>
          </cell>
          <cell r="N202" t="str">
            <v>HING A SEAT</v>
          </cell>
          <cell r="O202" t="str">
            <v>77111-K0GA-9000-H1</v>
          </cell>
          <cell r="P202" t="str">
            <v>K0GA</v>
          </cell>
          <cell r="Q202" t="str">
            <v>ptt</v>
          </cell>
        </row>
        <row r="203">
          <cell r="A203">
            <v>30036479</v>
          </cell>
          <cell r="B203" t="str">
            <v>2.3 x 117+/-0.5 x 1219</v>
          </cell>
          <cell r="C203">
            <v>2.2999999999999998</v>
          </cell>
          <cell r="D203">
            <v>117</v>
          </cell>
          <cell r="E203">
            <v>1219</v>
          </cell>
          <cell r="F203">
            <v>2.5750582649999996</v>
          </cell>
          <cell r="G203">
            <v>14</v>
          </cell>
          <cell r="H203">
            <v>77004172</v>
          </cell>
          <cell r="I203" t="str">
            <v>JSH270C</v>
          </cell>
          <cell r="J203" t="str">
            <v>HING B SEAT</v>
          </cell>
          <cell r="K203" t="str">
            <v>77112-K0GA-9000-H1</v>
          </cell>
          <cell r="L203" t="str">
            <v>K0GA</v>
          </cell>
          <cell r="M203" t="str">
            <v>JSH270C</v>
          </cell>
          <cell r="N203" t="str">
            <v>HING B SEAT</v>
          </cell>
          <cell r="O203" t="str">
            <v>77112-K0GA-9000-H1</v>
          </cell>
          <cell r="P203" t="str">
            <v>K0GA</v>
          </cell>
          <cell r="Q203" t="str">
            <v>ptt</v>
          </cell>
        </row>
        <row r="204">
          <cell r="A204">
            <v>30036805</v>
          </cell>
          <cell r="B204" t="str">
            <v>4.5 x 335+/-0.5 x 1219</v>
          </cell>
          <cell r="C204">
            <v>4.5</v>
          </cell>
          <cell r="D204">
            <v>335</v>
          </cell>
          <cell r="E204">
            <v>1219</v>
          </cell>
          <cell r="F204">
            <v>14.425493625</v>
          </cell>
          <cell r="G204">
            <v>15</v>
          </cell>
          <cell r="H204">
            <v>77004203</v>
          </cell>
          <cell r="I204" t="str">
            <v>JSH270C</v>
          </cell>
          <cell r="J204" t="str">
            <v>ARM</v>
          </cell>
          <cell r="K204" t="str">
            <v>24701-K0GA-9603-20</v>
          </cell>
          <cell r="L204" t="str">
            <v>K0GA</v>
          </cell>
          <cell r="M204" t="str">
            <v>JSH270C</v>
          </cell>
          <cell r="N204" t="str">
            <v>ARM</v>
          </cell>
          <cell r="O204" t="str">
            <v>24701-K0GA-9603-20</v>
          </cell>
          <cell r="P204" t="str">
            <v>K0GA</v>
          </cell>
          <cell r="Q204" t="str">
            <v>ptt</v>
          </cell>
        </row>
        <row r="205">
          <cell r="A205">
            <v>30037570</v>
          </cell>
          <cell r="B205" t="str">
            <v>3.2 x 78+/-0.5 x 1219</v>
          </cell>
          <cell r="C205">
            <v>3.2</v>
          </cell>
          <cell r="D205">
            <v>78</v>
          </cell>
          <cell r="E205">
            <v>1219</v>
          </cell>
          <cell r="F205">
            <v>2.3884598399999999</v>
          </cell>
          <cell r="G205">
            <v>14</v>
          </cell>
          <cell r="H205">
            <v>77004559</v>
          </cell>
          <cell r="I205" t="str">
            <v>JSH270C</v>
          </cell>
          <cell r="J205" t="str">
            <v>STAY COMP SW</v>
          </cell>
          <cell r="K205" t="str">
            <v>50111-K58M-TC00-H1</v>
          </cell>
          <cell r="L205" t="str">
            <v>K58M</v>
          </cell>
          <cell r="M205" t="str">
            <v>JSH270C</v>
          </cell>
          <cell r="N205" t="str">
            <v>STAY COMP SW</v>
          </cell>
          <cell r="O205" t="str">
            <v>50111-K58M-TC00-H1</v>
          </cell>
          <cell r="P205" t="str">
            <v>K58M</v>
          </cell>
          <cell r="Q205" t="str">
            <v>ptt</v>
          </cell>
        </row>
        <row r="206">
          <cell r="A206" t="str">
            <v>30038013-1</v>
          </cell>
          <cell r="B206" t="str">
            <v>3.2 x 308+/-0.5 x 1219</v>
          </cell>
          <cell r="C206">
            <v>3.2</v>
          </cell>
          <cell r="D206">
            <v>308</v>
          </cell>
          <cell r="E206">
            <v>1219</v>
          </cell>
          <cell r="F206">
            <v>9.431354240000001</v>
          </cell>
          <cell r="G206">
            <v>6</v>
          </cell>
          <cell r="H206">
            <v>77005501</v>
          </cell>
          <cell r="I206" t="str">
            <v>SPHC-P/O</v>
          </cell>
          <cell r="J206" t="str">
            <v>PLATE STEP COMP (RH) NO. 2</v>
          </cell>
          <cell r="K206" t="str">
            <v>TE022-8706-1-02</v>
          </cell>
          <cell r="L206" t="str">
            <v>KUBOTA E52B(SHUTTLE)</v>
          </cell>
          <cell r="M206" t="str">
            <v>SPHC-P/O</v>
          </cell>
          <cell r="N206" t="str">
            <v>PLATE STEP COMP (RH) NO. 2</v>
          </cell>
          <cell r="O206" t="str">
            <v>TE022-8706-1-02</v>
          </cell>
          <cell r="P206" t="str">
            <v>KUBOTA E52B(SHUTTLE)</v>
          </cell>
          <cell r="Q206" t="str">
            <v>tsi</v>
          </cell>
        </row>
        <row r="207">
          <cell r="A207" t="str">
            <v>30038013-2</v>
          </cell>
          <cell r="B207" t="str">
            <v>2.3 x 72+/-0.5 x 1219</v>
          </cell>
          <cell r="C207">
            <v>2.2999999999999998</v>
          </cell>
          <cell r="D207">
            <v>72</v>
          </cell>
          <cell r="E207">
            <v>1219</v>
          </cell>
          <cell r="F207">
            <v>1.5846512399999999</v>
          </cell>
          <cell r="G207">
            <v>112</v>
          </cell>
          <cell r="H207">
            <v>77005446</v>
          </cell>
          <cell r="I207" t="str">
            <v>SPHC-P/O</v>
          </cell>
          <cell r="J207" t="str">
            <v>PLATE STEP COMP (RH)NO.4</v>
          </cell>
          <cell r="K207" t="str">
            <v>TE022-8706-1-04</v>
          </cell>
          <cell r="L207" t="str">
            <v>KUBOTA E52B(SHUTTLE)</v>
          </cell>
          <cell r="M207" t="str">
            <v>SPHC-P/O</v>
          </cell>
          <cell r="N207" t="str">
            <v>PLATE STEP COMP (RH)NO.4</v>
          </cell>
          <cell r="O207" t="str">
            <v>TE022-8706-1-04</v>
          </cell>
          <cell r="P207" t="str">
            <v>KUBOTA E52B(SHUTTLE)</v>
          </cell>
          <cell r="Q207" t="str">
            <v>epc</v>
          </cell>
        </row>
        <row r="208">
          <cell r="A208" t="str">
            <v>30038014-1</v>
          </cell>
          <cell r="B208" t="str">
            <v>4.5 x 127+/-0.5 x 1219</v>
          </cell>
          <cell r="C208">
            <v>4.5</v>
          </cell>
          <cell r="D208">
            <v>127</v>
          </cell>
          <cell r="E208">
            <v>1219</v>
          </cell>
          <cell r="F208">
            <v>5.468769225</v>
          </cell>
          <cell r="G208">
            <v>40</v>
          </cell>
          <cell r="H208">
            <v>77005545</v>
          </cell>
          <cell r="I208" t="str">
            <v>SS400</v>
          </cell>
          <cell r="J208" t="str">
            <v>PLATE STEP COMP (RH)NO.7 (จัดซื้อ)</v>
          </cell>
          <cell r="K208" t="str">
            <v>TE022-8706-1-07</v>
          </cell>
          <cell r="L208" t="str">
            <v>KUBOTA E52B(SHUTTLE)</v>
          </cell>
          <cell r="M208" t="str">
            <v>SS400</v>
          </cell>
          <cell r="N208" t="str">
            <v>PLATE STEP COMP (RH)NO.7 (จัดซื้อ)</v>
          </cell>
          <cell r="O208" t="str">
            <v>TE022-8706-1-07</v>
          </cell>
          <cell r="P208" t="str">
            <v>KUBOTA E52B(SHUTTLE)</v>
          </cell>
          <cell r="Q208" t="str">
            <v>bm</v>
          </cell>
        </row>
        <row r="209">
          <cell r="A209" t="str">
            <v>30038014-2</v>
          </cell>
          <cell r="B209" t="str">
            <v>2.3 x 72+/-0.5 x 1219</v>
          </cell>
          <cell r="C209">
            <v>2.2999999999999998</v>
          </cell>
          <cell r="D209">
            <v>72</v>
          </cell>
          <cell r="E209">
            <v>1219</v>
          </cell>
          <cell r="F209">
            <v>1.5846512399999999</v>
          </cell>
          <cell r="G209">
            <v>112</v>
          </cell>
          <cell r="H209">
            <v>77005446</v>
          </cell>
          <cell r="I209" t="str">
            <v>SPHC-P/O</v>
          </cell>
          <cell r="J209" t="str">
            <v>PLATE STEP COMP (RH)NO.4</v>
          </cell>
          <cell r="K209" t="str">
            <v>TE022-8706-1-04</v>
          </cell>
          <cell r="L209" t="str">
            <v>KUBOTA E52B(SHUTTLE)</v>
          </cell>
          <cell r="M209" t="str">
            <v>SPHC-P/O</v>
          </cell>
          <cell r="N209" t="str">
            <v>PLATE STEP COMP (RH)NO.4</v>
          </cell>
          <cell r="O209" t="str">
            <v>TE022-8706-1-04</v>
          </cell>
          <cell r="P209" t="str">
            <v>KUBOTA E52B(SHUTTLE)</v>
          </cell>
          <cell r="Q209" t="str">
            <v>epc</v>
          </cell>
        </row>
        <row r="210">
          <cell r="A210">
            <v>30038017</v>
          </cell>
          <cell r="B210" t="str">
            <v>2.3 x 72+/-0.5 x 1219</v>
          </cell>
          <cell r="C210">
            <v>2.2999999999999998</v>
          </cell>
          <cell r="D210">
            <v>72</v>
          </cell>
          <cell r="E210">
            <v>1219</v>
          </cell>
          <cell r="F210">
            <v>1.5846512399999999</v>
          </cell>
          <cell r="G210">
            <v>112</v>
          </cell>
          <cell r="H210">
            <v>77005446</v>
          </cell>
          <cell r="I210" t="str">
            <v>SPHC-P/O</v>
          </cell>
          <cell r="J210" t="str">
            <v>PLATE STEP COMP (RH) NO. 4</v>
          </cell>
          <cell r="K210" t="str">
            <v>TE022-8706-1-04</v>
          </cell>
          <cell r="L210" t="str">
            <v>KUBOTA E52B(SHUTTLE)</v>
          </cell>
          <cell r="M210" t="str">
            <v>SPHC-P/O</v>
          </cell>
          <cell r="N210" t="str">
            <v>PLATE STEP COMP (RH) NO. 4</v>
          </cell>
          <cell r="O210" t="str">
            <v>TE022-8706-1-04</v>
          </cell>
          <cell r="P210" t="str">
            <v>KUBOTA E52B(SHUTTLE)</v>
          </cell>
          <cell r="Q210" t="str">
            <v>epc</v>
          </cell>
        </row>
        <row r="211">
          <cell r="A211">
            <v>30038018</v>
          </cell>
          <cell r="B211" t="str">
            <v>2.6 x 297+/-0.5 x 1219 โก่ง 2 มม./เน้นเรียบ</v>
          </cell>
          <cell r="C211">
            <v>2.6</v>
          </cell>
          <cell r="D211">
            <v>297</v>
          </cell>
          <cell r="E211">
            <v>1219</v>
          </cell>
          <cell r="F211">
            <v>7.3892976299999997</v>
          </cell>
          <cell r="G211">
            <v>12</v>
          </cell>
          <cell r="H211">
            <v>77005459</v>
          </cell>
          <cell r="I211" t="str">
            <v>SPHC-P/O</v>
          </cell>
          <cell r="J211" t="str">
            <v>PLATE STEP COMP (RH) NO. 5</v>
          </cell>
          <cell r="K211" t="str">
            <v>TE022-8706-1-05</v>
          </cell>
          <cell r="L211" t="str">
            <v>KUBOTA E52B(SHUTTLE)</v>
          </cell>
          <cell r="M211" t="str">
            <v>SPHC-P/O</v>
          </cell>
          <cell r="N211" t="str">
            <v>PLATE STEP COMP (RH) NO. 5</v>
          </cell>
          <cell r="O211" t="str">
            <v>TE022-8706-1-05</v>
          </cell>
          <cell r="P211" t="str">
            <v>KUBOTA E52B(SHUTTLE)</v>
          </cell>
          <cell r="Q211" t="str">
            <v>bm</v>
          </cell>
        </row>
        <row r="212">
          <cell r="A212" t="str">
            <v>30038021-1</v>
          </cell>
          <cell r="B212" t="str">
            <v>4.5 x 278+/-0.5 x 1219 โก่ง 2 มม./เน้นเรียบ</v>
          </cell>
          <cell r="C212">
            <v>4.5</v>
          </cell>
          <cell r="D212">
            <v>278</v>
          </cell>
          <cell r="E212">
            <v>1219</v>
          </cell>
          <cell r="F212">
            <v>11.97100665</v>
          </cell>
          <cell r="G212">
            <v>41</v>
          </cell>
          <cell r="H212">
            <v>77005554</v>
          </cell>
          <cell r="I212" t="str">
            <v>SS400</v>
          </cell>
          <cell r="J212" t="str">
            <v>PLATE STEP COMP (RH) NO. 7</v>
          </cell>
          <cell r="K212" t="str">
            <v>TE022-8707-1-07</v>
          </cell>
          <cell r="L212" t="str">
            <v>KUBOTA E52B(SHUTTLE)</v>
          </cell>
          <cell r="M212" t="str">
            <v>SS400</v>
          </cell>
          <cell r="N212" t="str">
            <v>PLATE STEP COMP (RH) NO. 7</v>
          </cell>
          <cell r="O212" t="str">
            <v>TE022-8707-1-07</v>
          </cell>
          <cell r="P212" t="str">
            <v>KUBOTA E52B(SHUTTLE)</v>
          </cell>
          <cell r="Q212" t="str">
            <v>ps</v>
          </cell>
        </row>
        <row r="213">
          <cell r="A213" t="str">
            <v>30038021-2</v>
          </cell>
          <cell r="B213" t="str">
            <v>2.3 x 72+/-0.5 x 1219</v>
          </cell>
          <cell r="C213">
            <v>2.2999999999999998</v>
          </cell>
          <cell r="D213">
            <v>72</v>
          </cell>
          <cell r="E213">
            <v>1219</v>
          </cell>
          <cell r="F213">
            <v>1.5846512399999999</v>
          </cell>
          <cell r="G213">
            <v>112</v>
          </cell>
          <cell r="H213">
            <v>77005446</v>
          </cell>
          <cell r="I213" t="str">
            <v>SPHC-P/O</v>
          </cell>
          <cell r="J213" t="str">
            <v>PLATE STEP COMP (RH)NO.4</v>
          </cell>
          <cell r="K213" t="str">
            <v>TE022-8706-1-04</v>
          </cell>
          <cell r="L213" t="str">
            <v>KUBOTA E52B(SHUTTLE)</v>
          </cell>
          <cell r="M213" t="str">
            <v>SPHC-P/O</v>
          </cell>
          <cell r="N213" t="str">
            <v>PLATE STEP COMP (RH)NO.4</v>
          </cell>
          <cell r="O213" t="str">
            <v>TE022-8706-1-04</v>
          </cell>
          <cell r="P213" t="str">
            <v>KUBOTA E52B(SHUTTLE)</v>
          </cell>
          <cell r="Q213" t="str">
            <v>epc</v>
          </cell>
        </row>
        <row r="214">
          <cell r="A214">
            <v>30038022</v>
          </cell>
          <cell r="B214" t="str">
            <v>3.2 x 263+/-0.5 x 1219</v>
          </cell>
          <cell r="C214">
            <v>3.2</v>
          </cell>
          <cell r="D214">
            <v>263</v>
          </cell>
          <cell r="E214">
            <v>1219</v>
          </cell>
          <cell r="F214">
            <v>8.053396639999999</v>
          </cell>
          <cell r="G214">
            <v>8</v>
          </cell>
          <cell r="H214">
            <v>77005498</v>
          </cell>
          <cell r="I214" t="str">
            <v>SPHC-P/O</v>
          </cell>
          <cell r="J214" t="str">
            <v>PLATE STEP COMP (LH) NO. 3</v>
          </cell>
          <cell r="K214" t="str">
            <v>TE022-8707-1-02</v>
          </cell>
          <cell r="L214" t="str">
            <v>KUBOTA E52B(SHUTTLE)</v>
          </cell>
          <cell r="M214" t="str">
            <v>SPHC-P/O</v>
          </cell>
          <cell r="N214" t="str">
            <v>PLATE STEP COMP (LH) NO. 3</v>
          </cell>
          <cell r="O214" t="str">
            <v>TE022-8707-1-02</v>
          </cell>
          <cell r="P214" t="str">
            <v>KUBOTA E52B(SHUTTLE)</v>
          </cell>
          <cell r="Q214" t="str">
            <v>tsi</v>
          </cell>
        </row>
        <row r="215">
          <cell r="A215">
            <v>30038024</v>
          </cell>
          <cell r="B215" t="str">
            <v>2.6 x 256+/-0.5 x 1219 โก่ง 2 มม./เน้นเรียบ</v>
          </cell>
          <cell r="C215">
            <v>2.6</v>
          </cell>
          <cell r="D215">
            <v>256</v>
          </cell>
          <cell r="E215">
            <v>1219</v>
          </cell>
          <cell r="F215">
            <v>6.3692262400000006</v>
          </cell>
          <cell r="G215">
            <v>12</v>
          </cell>
          <cell r="H215">
            <v>77005456</v>
          </cell>
          <cell r="I215" t="str">
            <v>SPHC-P/O</v>
          </cell>
          <cell r="J215" t="str">
            <v>PLATE STEP COMP (LH) NO. 5</v>
          </cell>
          <cell r="K215" t="str">
            <v>TE022-8707-1-05</v>
          </cell>
          <cell r="L215" t="str">
            <v>KUBOTA E52B(SHUTTLE)</v>
          </cell>
          <cell r="M215" t="str">
            <v>SPHC-P/O</v>
          </cell>
          <cell r="N215" t="str">
            <v>PLATE STEP COMP (LH) NO. 5</v>
          </cell>
          <cell r="O215" t="str">
            <v>TE022-8707-1-05</v>
          </cell>
          <cell r="P215" t="str">
            <v>KUBOTA E52B(SHUTTLE)</v>
          </cell>
          <cell r="Q215" t="str">
            <v>ps</v>
          </cell>
        </row>
        <row r="216">
          <cell r="A216" t="str">
            <v>30038032-1</v>
          </cell>
          <cell r="B216" t="str">
            <v>2.3 x 135+/-0.5 x 1219</v>
          </cell>
          <cell r="C216">
            <v>2.2999999999999998</v>
          </cell>
          <cell r="D216">
            <v>135</v>
          </cell>
          <cell r="E216">
            <v>1219</v>
          </cell>
          <cell r="F216">
            <v>2.9712210749999999</v>
          </cell>
          <cell r="G216">
            <v>11</v>
          </cell>
          <cell r="H216">
            <v>77005432</v>
          </cell>
          <cell r="I216" t="str">
            <v>SPHC-P/O</v>
          </cell>
          <cell r="J216" t="str">
            <v>COVER (FLOOR SEAT) SUB ASSY 2</v>
          </cell>
          <cell r="K216" t="str">
            <v>TE022-8453-1-K2</v>
          </cell>
          <cell r="L216" t="str">
            <v>KUBOTA E52B(SHUTTLE)</v>
          </cell>
          <cell r="M216" t="str">
            <v>SPHC-P/O</v>
          </cell>
          <cell r="N216" t="str">
            <v>COVER (FLOOR SEAT) SUB ASSY 2</v>
          </cell>
          <cell r="O216" t="str">
            <v>TE022-8453-1-K2</v>
          </cell>
          <cell r="P216" t="str">
            <v>KUBOTA E52B(SHUTTLE)</v>
          </cell>
          <cell r="Q216" t="str">
            <v>ps</v>
          </cell>
        </row>
        <row r="217">
          <cell r="A217" t="str">
            <v>30038033-1</v>
          </cell>
          <cell r="B217" t="str">
            <v>2.3 x 135+/-0.5 x 1219</v>
          </cell>
          <cell r="C217">
            <v>2.2999999999999998</v>
          </cell>
          <cell r="D217">
            <v>135</v>
          </cell>
          <cell r="E217">
            <v>1219</v>
          </cell>
          <cell r="F217">
            <v>2.9712210749999999</v>
          </cell>
          <cell r="G217">
            <v>11</v>
          </cell>
          <cell r="H217">
            <v>77005432</v>
          </cell>
          <cell r="I217" t="str">
            <v>SPHC-P/O</v>
          </cell>
          <cell r="J217" t="str">
            <v>COVER (FLOOR SEAT) SUB ASSY 3</v>
          </cell>
          <cell r="K217" t="str">
            <v>TE022-8453-1-K3</v>
          </cell>
          <cell r="L217" t="str">
            <v>KUBOTA E52B(SHUTTLE)</v>
          </cell>
          <cell r="M217" t="str">
            <v>SPHC-P/O</v>
          </cell>
          <cell r="N217" t="str">
            <v>COVER (FLOOR SEAT) SUB ASSY 3</v>
          </cell>
          <cell r="O217" t="str">
            <v>TE022-8453-1-K3</v>
          </cell>
          <cell r="P217" t="str">
            <v>KUBOTA E52B(SHUTTLE)</v>
          </cell>
          <cell r="Q217" t="str">
            <v>ps</v>
          </cell>
        </row>
        <row r="218">
          <cell r="A218" t="str">
            <v>30039322-1</v>
          </cell>
          <cell r="B218" t="str">
            <v>1.6 x 180+/-0.5 x 341+/-0.5</v>
          </cell>
          <cell r="C218">
            <v>1.6</v>
          </cell>
          <cell r="D218">
            <v>180</v>
          </cell>
          <cell r="E218">
            <v>341</v>
          </cell>
          <cell r="F218">
            <v>0.77093279999999997</v>
          </cell>
          <cell r="G218">
            <v>1</v>
          </cell>
          <cell r="H218">
            <v>77005333</v>
          </cell>
          <cell r="I218" t="str">
            <v>SPHC-P</v>
          </cell>
          <cell r="J218" t="str">
            <v>PLATE CASE (2ND) NO.2</v>
          </cell>
          <cell r="K218" t="str">
            <v>5T124-6831-1-02</v>
          </cell>
          <cell r="L218" t="str">
            <v>KUBOTA DC105X</v>
          </cell>
          <cell r="M218" t="str">
            <v>SPHC-P</v>
          </cell>
          <cell r="N218" t="str">
            <v>PLATE CASE (2ND) NO.2</v>
          </cell>
          <cell r="O218" t="str">
            <v>5T124-6831-1-02</v>
          </cell>
          <cell r="P218" t="str">
            <v>KUBOTA DC105X</v>
          </cell>
          <cell r="Q218" t="str">
            <v>bm</v>
          </cell>
        </row>
        <row r="219">
          <cell r="A219" t="str">
            <v>30039322-2</v>
          </cell>
          <cell r="B219" t="str">
            <v>1.2 x 145+/-0.5 x 1219</v>
          </cell>
          <cell r="C219">
            <v>1.2</v>
          </cell>
          <cell r="D219">
            <v>145</v>
          </cell>
          <cell r="E219">
            <v>1219</v>
          </cell>
          <cell r="F219">
            <v>1.6650320999999999</v>
          </cell>
          <cell r="G219">
            <v>30</v>
          </cell>
          <cell r="H219">
            <v>77005272</v>
          </cell>
          <cell r="I219" t="str">
            <v>SPCC</v>
          </cell>
          <cell r="J219" t="str">
            <v>PLATE CASE (2ND) NO.12</v>
          </cell>
          <cell r="K219" t="str">
            <v>T124-6831-1-12</v>
          </cell>
          <cell r="L219" t="str">
            <v>KUBOTA DC105X</v>
          </cell>
          <cell r="M219" t="str">
            <v>SPCC</v>
          </cell>
          <cell r="N219" t="str">
            <v>PLATE CASE (2ND) NO.12</v>
          </cell>
          <cell r="O219" t="str">
            <v>T124-6831-1-12</v>
          </cell>
          <cell r="P219" t="str">
            <v>KUBOTA DC105X</v>
          </cell>
          <cell r="Q219" t="str">
            <v>bm</v>
          </cell>
        </row>
        <row r="220">
          <cell r="A220" t="str">
            <v>30039323-1</v>
          </cell>
          <cell r="B220" t="str">
            <v>1.6 x 168.5+/-0.5 x 169+/-0.5 มาร์คสีน้ำเงิน ด้าน 168.5</v>
          </cell>
          <cell r="C220">
            <v>1.6</v>
          </cell>
          <cell r="D220">
            <v>168.5</v>
          </cell>
          <cell r="E220">
            <v>169</v>
          </cell>
          <cell r="F220">
            <v>0.35766483999999998</v>
          </cell>
          <cell r="G220">
            <v>1</v>
          </cell>
          <cell r="H220">
            <v>77005277</v>
          </cell>
          <cell r="I220" t="str">
            <v>SPCC-SD</v>
          </cell>
          <cell r="J220" t="str">
            <v>BRACKET CASE (2ND) SUB ASSY 4</v>
          </cell>
          <cell r="K220" t="str">
            <v>5T124-6831-2-K4</v>
          </cell>
          <cell r="L220" t="str">
            <v>KUBOTA DC105X</v>
          </cell>
          <cell r="M220" t="str">
            <v>SPCC-SD</v>
          </cell>
          <cell r="N220" t="str">
            <v>BRACKET CASE (2ND) SUB ASSY 4</v>
          </cell>
          <cell r="O220" t="str">
            <v>5T124-6831-2-K4</v>
          </cell>
          <cell r="P220" t="str">
            <v>KUBOTA DC105X</v>
          </cell>
          <cell r="Q220" t="str">
            <v>tsi</v>
          </cell>
        </row>
        <row r="221">
          <cell r="A221" t="str">
            <v>30039431-1</v>
          </cell>
          <cell r="B221" t="str">
            <v>4.5 x 204+/-0.5 x 1219 โก่ง 2 มม./เน้นเรียบ</v>
          </cell>
          <cell r="C221">
            <v>4.5</v>
          </cell>
          <cell r="D221">
            <v>204</v>
          </cell>
          <cell r="E221">
            <v>1219</v>
          </cell>
          <cell r="F221">
            <v>8.7844796999999986</v>
          </cell>
          <cell r="G221">
            <v>32</v>
          </cell>
          <cell r="H221">
            <v>77005550</v>
          </cell>
          <cell r="I221" t="str">
            <v>SS400</v>
          </cell>
          <cell r="J221" t="str">
            <v>SUPPORT(STEERING)SUB ASSY NO.3</v>
          </cell>
          <cell r="K221" t="str">
            <v>TE750-6319-7-K3</v>
          </cell>
          <cell r="L221" t="str">
            <v>KUBOTA E52B(SHUTTLE)</v>
          </cell>
          <cell r="M221" t="str">
            <v>SS400</v>
          </cell>
          <cell r="N221" t="str">
            <v>SUPPORT(STEERING)SUB ASSY NO.3</v>
          </cell>
          <cell r="O221" t="str">
            <v>TE750-6319-7-K3</v>
          </cell>
          <cell r="P221" t="str">
            <v>KUBOTA E52B(SHUTTLE)</v>
          </cell>
          <cell r="Q221" t="str">
            <v>csp</v>
          </cell>
        </row>
        <row r="222">
          <cell r="A222">
            <v>30039650</v>
          </cell>
          <cell r="B222" t="str">
            <v>1.2 x 128 x 1219</v>
          </cell>
          <cell r="C222">
            <v>1.2</v>
          </cell>
          <cell r="D222">
            <v>128</v>
          </cell>
          <cell r="E222">
            <v>1219</v>
          </cell>
          <cell r="F222">
            <v>1.46982144</v>
          </cell>
          <cell r="G222">
            <v>10</v>
          </cell>
          <cell r="H222">
            <v>77005271</v>
          </cell>
          <cell r="I222" t="str">
            <v>SPCC-SD</v>
          </cell>
          <cell r="J222" t="str">
            <v>COVER FLOOR (SEAT) NO. 3</v>
          </cell>
          <cell r="K222" t="str">
            <v>TE012-8753-1-03</v>
          </cell>
          <cell r="L222" t="str">
            <v>KUBOTA E52A(SHUTTLE)</v>
          </cell>
          <cell r="M222" t="str">
            <v>SPCC-SD</v>
          </cell>
          <cell r="N222" t="str">
            <v>COVER FLOOR (SEAT) NO. 3</v>
          </cell>
          <cell r="O222" t="str">
            <v>TE012-8753-1-03</v>
          </cell>
          <cell r="P222" t="str">
            <v>KUBOTA E52A(SHUTTLE)</v>
          </cell>
          <cell r="Q222" t="str">
            <v>ps</v>
          </cell>
        </row>
        <row r="223">
          <cell r="A223">
            <v>30039651</v>
          </cell>
          <cell r="B223" t="str">
            <v>1.2 x 75+/-0.5 x 1219</v>
          </cell>
          <cell r="C223">
            <v>1.2</v>
          </cell>
          <cell r="D223">
            <v>75</v>
          </cell>
          <cell r="E223">
            <v>1219</v>
          </cell>
          <cell r="F223">
            <v>0.86122350000000003</v>
          </cell>
          <cell r="G223">
            <v>27</v>
          </cell>
          <cell r="H223">
            <v>77005274</v>
          </cell>
          <cell r="I223" t="str">
            <v>SPCC-SD</v>
          </cell>
          <cell r="J223" t="str">
            <v>COVER FLOOR (SEAT) NO. 4</v>
          </cell>
          <cell r="K223" t="str">
            <v>TE012-8753-1-04</v>
          </cell>
          <cell r="L223" t="str">
            <v>KUBOTA E52A(SHUTTLE)</v>
          </cell>
          <cell r="M223" t="str">
            <v>SPCC-SD</v>
          </cell>
          <cell r="N223" t="str">
            <v>COVER FLOOR (SEAT) NO. 4</v>
          </cell>
          <cell r="O223" t="str">
            <v>TE012-8753-1-04</v>
          </cell>
          <cell r="P223" t="str">
            <v>KUBOTA E52A(SHUTTLE)</v>
          </cell>
          <cell r="Q223" t="str">
            <v>ps</v>
          </cell>
        </row>
        <row r="224">
          <cell r="A224">
            <v>30040067</v>
          </cell>
          <cell r="B224" t="str">
            <v>3.0 x 83+/-0.5 x 1219</v>
          </cell>
          <cell r="C224">
            <v>3</v>
          </cell>
          <cell r="D224">
            <v>83</v>
          </cell>
          <cell r="E224">
            <v>1219</v>
          </cell>
          <cell r="F224">
            <v>2.3827183500000002</v>
          </cell>
          <cell r="G224">
            <v>80</v>
          </cell>
          <cell r="H224">
            <v>77005542</v>
          </cell>
          <cell r="I224" t="str">
            <v>SS400</v>
          </cell>
          <cell r="J224" t="str">
            <v>BRKT SHAFT (PEDAL)NO.3</v>
          </cell>
          <cell r="K224" t="str">
            <v>6C620-4231-1-03</v>
          </cell>
          <cell r="L224" t="str">
            <v>KUBOTA D35B-USA</v>
          </cell>
          <cell r="M224" t="str">
            <v>SS400</v>
          </cell>
          <cell r="N224" t="str">
            <v>BRKT SHAFT (PEDAL)NO.3</v>
          </cell>
          <cell r="O224" t="str">
            <v>6C620-4231-1-03</v>
          </cell>
          <cell r="P224" t="str">
            <v>KUBOTA D35B-USA</v>
          </cell>
          <cell r="Q224" t="str">
            <v>csp</v>
          </cell>
        </row>
        <row r="225">
          <cell r="A225" t="str">
            <v>30040077-1</v>
          </cell>
          <cell r="B225" t="str">
            <v>2.6 x 457+/-0.5 x 1219 เน้นเรียบ</v>
          </cell>
          <cell r="C225">
            <v>2.6</v>
          </cell>
          <cell r="D225">
            <v>457</v>
          </cell>
          <cell r="E225">
            <v>1219</v>
          </cell>
          <cell r="F225">
            <v>11.37006403</v>
          </cell>
          <cell r="G225">
            <v>9</v>
          </cell>
          <cell r="H225">
            <v>77005463</v>
          </cell>
          <cell r="I225" t="str">
            <v>SPHC-P</v>
          </cell>
          <cell r="J225" t="str">
            <v>PLATE PILLAR (CENTER)ASSY6</v>
          </cell>
          <cell r="K225" t="str">
            <v>6C626-5422-1-K6 D35TH</v>
          </cell>
          <cell r="L225" t="str">
            <v>KUBOTA D35B-USA</v>
          </cell>
          <cell r="M225" t="str">
            <v>SPHC-P</v>
          </cell>
          <cell r="N225" t="str">
            <v>PLATE PILLAR (CENTER)ASSY6</v>
          </cell>
          <cell r="O225" t="str">
            <v>6C626-5422-1-K6 D35TH</v>
          </cell>
          <cell r="P225" t="str">
            <v>KUBOTA D35B-USA</v>
          </cell>
          <cell r="Q225" t="str">
            <v>ps</v>
          </cell>
          <cell r="R225">
            <v>30</v>
          </cell>
        </row>
        <row r="226">
          <cell r="A226" t="str">
            <v>30040077-2</v>
          </cell>
          <cell r="B226" t="str">
            <v>6.0 x 116+/-0.5 x 1219</v>
          </cell>
          <cell r="C226">
            <v>6</v>
          </cell>
          <cell r="D226">
            <v>116</v>
          </cell>
          <cell r="E226">
            <v>1219</v>
          </cell>
          <cell r="F226">
            <v>6.6601283999999996</v>
          </cell>
          <cell r="G226">
            <v>13</v>
          </cell>
          <cell r="H226">
            <v>77005559</v>
          </cell>
          <cell r="I226" t="str">
            <v>SS400</v>
          </cell>
          <cell r="J226" t="str">
            <v>PLATE PILLAR (CENTER) NO.5 RH</v>
          </cell>
          <cell r="K226" t="str">
            <v>6C626-5422-1-05</v>
          </cell>
          <cell r="L226" t="str">
            <v>KUBOTA D35B-USA</v>
          </cell>
          <cell r="M226" t="str">
            <v>SS400</v>
          </cell>
          <cell r="N226" t="str">
            <v>PLATE PILLAR (CENTER) NO.5 RH</v>
          </cell>
          <cell r="O226" t="str">
            <v>6C626-5422-1-05</v>
          </cell>
          <cell r="P226" t="str">
            <v>KUBOTA D35B-USA</v>
          </cell>
          <cell r="Q226" t="str">
            <v>csp</v>
          </cell>
        </row>
        <row r="227">
          <cell r="A227">
            <v>30040079</v>
          </cell>
          <cell r="B227" t="str">
            <v>2.3 x 69+/-0.5 x 1219</v>
          </cell>
          <cell r="C227">
            <v>2.2999999999999998</v>
          </cell>
          <cell r="D227">
            <v>69</v>
          </cell>
          <cell r="E227">
            <v>1219</v>
          </cell>
          <cell r="F227">
            <v>1.5186241049999998</v>
          </cell>
          <cell r="G227">
            <v>124</v>
          </cell>
          <cell r="H227">
            <v>77005445</v>
          </cell>
          <cell r="I227" t="str">
            <v>SPHC-P</v>
          </cell>
          <cell r="J227" t="str">
            <v>PLATE PILLAR (CENTER)NO.25 SUB ASSY</v>
          </cell>
          <cell r="K227" t="str">
            <v>6C620-5422-1-25-K</v>
          </cell>
          <cell r="L227" t="str">
            <v>KUBOTA D35B-USA</v>
          </cell>
          <cell r="M227" t="str">
            <v>SPHC-P</v>
          </cell>
          <cell r="N227" t="str">
            <v>PLATE PILLAR (CENTER)NO.25 SUB ASSY</v>
          </cell>
          <cell r="O227" t="str">
            <v>6C620-5422-1-25-K</v>
          </cell>
          <cell r="P227" t="str">
            <v>KUBOTA D35B-USA</v>
          </cell>
          <cell r="Q227" t="str">
            <v>ps</v>
          </cell>
        </row>
        <row r="228">
          <cell r="A228">
            <v>30040080</v>
          </cell>
          <cell r="B228" t="str">
            <v>1.0 x 46+/-0.5 x 1219</v>
          </cell>
          <cell r="C228">
            <v>1</v>
          </cell>
          <cell r="D228">
            <v>46</v>
          </cell>
          <cell r="E228">
            <v>1219</v>
          </cell>
          <cell r="F228">
            <v>0.44018089999999999</v>
          </cell>
          <cell r="G228">
            <v>51</v>
          </cell>
          <cell r="H228">
            <v>77005269</v>
          </cell>
          <cell r="I228" t="str">
            <v>SPCC</v>
          </cell>
          <cell r="J228" t="str">
            <v>PLATE PILLAR (CENTER) NO.32</v>
          </cell>
          <cell r="K228" t="str">
            <v>6C620-5422-1-32</v>
          </cell>
          <cell r="L228" t="str">
            <v>KUBOTA D35B-USA</v>
          </cell>
          <cell r="M228" t="str">
            <v>SPCC</v>
          </cell>
          <cell r="N228" t="str">
            <v>PLATE PILLAR (CENTER) NO.32</v>
          </cell>
          <cell r="O228" t="str">
            <v>6C620-5422-1-32</v>
          </cell>
          <cell r="P228" t="str">
            <v>KUBOTA D35B-USA</v>
          </cell>
          <cell r="Q228" t="str">
            <v>ps</v>
          </cell>
        </row>
        <row r="229">
          <cell r="A229">
            <v>30040081</v>
          </cell>
          <cell r="B229" t="str">
            <v>1.6 x 84+/-0.5 x 1219</v>
          </cell>
          <cell r="C229">
            <v>1.6</v>
          </cell>
          <cell r="D229">
            <v>84</v>
          </cell>
          <cell r="E229">
            <v>1219</v>
          </cell>
          <cell r="F229">
            <v>1.28609376</v>
          </cell>
          <cell r="G229">
            <v>54</v>
          </cell>
          <cell r="H229">
            <v>77005374</v>
          </cell>
          <cell r="I229" t="str">
            <v>SPHC-P</v>
          </cell>
          <cell r="J229" t="str">
            <v>PLATE PILLAR (CENTER)NO.33</v>
          </cell>
          <cell r="K229" t="str">
            <v>6C620-5422-1-33</v>
          </cell>
          <cell r="L229" t="str">
            <v>KUBOTA D35B-USA</v>
          </cell>
          <cell r="M229" t="str">
            <v>SPHC-P</v>
          </cell>
          <cell r="N229" t="str">
            <v>PLATE PILLAR (CENTER)NO.33</v>
          </cell>
          <cell r="O229" t="str">
            <v>6C620-5422-1-33</v>
          </cell>
          <cell r="P229" t="str">
            <v>KUBOTA D35B-USA</v>
          </cell>
          <cell r="Q229" t="str">
            <v>ps</v>
          </cell>
        </row>
        <row r="230">
          <cell r="A230" t="str">
            <v>30040853-1</v>
          </cell>
          <cell r="B230" t="str">
            <v>2.6 x 457+/-0.5 x 1219 เน้นเรียบ</v>
          </cell>
          <cell r="C230">
            <v>2.6</v>
          </cell>
          <cell r="D230">
            <v>457</v>
          </cell>
          <cell r="E230">
            <v>1219</v>
          </cell>
          <cell r="F230">
            <v>11.37006403</v>
          </cell>
          <cell r="G230">
            <v>9</v>
          </cell>
          <cell r="H230">
            <v>77005463</v>
          </cell>
          <cell r="I230" t="str">
            <v>SPHC-P/O</v>
          </cell>
          <cell r="J230" t="str">
            <v>PLATE PILLAR (CENTER) ASSY 6</v>
          </cell>
          <cell r="K230" t="str">
            <v>6C626-5422-1-05</v>
          </cell>
          <cell r="L230" t="str">
            <v>KUBOTA D35B</v>
          </cell>
          <cell r="M230" t="str">
            <v>SPHC-P/O</v>
          </cell>
          <cell r="N230" t="str">
            <v>PLATE PILLAR (CENTER) ASSY 6</v>
          </cell>
          <cell r="O230" t="str">
            <v>6C626-5422-1-05</v>
          </cell>
          <cell r="P230" t="str">
            <v>KUBOTA D35B</v>
          </cell>
          <cell r="Q230" t="str">
            <v>ps</v>
          </cell>
          <cell r="R230">
            <v>30</v>
          </cell>
        </row>
        <row r="231">
          <cell r="A231" t="str">
            <v>30040853-2</v>
          </cell>
          <cell r="B231" t="str">
            <v>6.0 x 116+/-0.5 x 1219</v>
          </cell>
          <cell r="C231">
            <v>6</v>
          </cell>
          <cell r="D231">
            <v>116</v>
          </cell>
          <cell r="E231">
            <v>1219</v>
          </cell>
          <cell r="F231">
            <v>6.6601283999999996</v>
          </cell>
          <cell r="G231">
            <v>13</v>
          </cell>
          <cell r="H231">
            <v>77005559</v>
          </cell>
          <cell r="I231" t="str">
            <v>SS400</v>
          </cell>
          <cell r="J231" t="str">
            <v>PLATE PILLAR (CENTER) NO.5 RH</v>
          </cell>
          <cell r="K231" t="str">
            <v>6C626-5422-1-K7</v>
          </cell>
          <cell r="L231" t="str">
            <v>KUBOTA D35B</v>
          </cell>
          <cell r="M231" t="str">
            <v>SS400</v>
          </cell>
          <cell r="N231" t="str">
            <v>PLATE PILLAR (CENTER) NO.5 RH</v>
          </cell>
          <cell r="O231" t="str">
            <v>6C626-5422-1-K7</v>
          </cell>
          <cell r="P231" t="str">
            <v>KUBOTA D35B</v>
          </cell>
          <cell r="Q231" t="str">
            <v>csp</v>
          </cell>
        </row>
        <row r="232">
          <cell r="A232" t="str">
            <v>30041065-1</v>
          </cell>
          <cell r="B232" t="str">
            <v>3.0 x 67+/-0.5 x 1219</v>
          </cell>
          <cell r="C232">
            <v>3</v>
          </cell>
          <cell r="D232">
            <v>67</v>
          </cell>
          <cell r="E232">
            <v>1219</v>
          </cell>
          <cell r="F232">
            <v>1.9233991499999998</v>
          </cell>
          <cell r="G232">
            <v>31</v>
          </cell>
          <cell r="H232">
            <v>77005474</v>
          </cell>
          <cell r="I232" t="str">
            <v>SPHC-P</v>
          </cell>
          <cell r="J232" t="str">
            <v>PLATE PILLAR (CENTER)NO.14 SUB ASSY</v>
          </cell>
          <cell r="K232" t="str">
            <v>6C620-5422-1-14-K</v>
          </cell>
          <cell r="L232" t="str">
            <v>KUBOTA D35B-USA</v>
          </cell>
          <cell r="M232" t="str">
            <v>SPHC-P</v>
          </cell>
          <cell r="N232" t="str">
            <v>PLATE PILLAR (CENTER)NO.14 SUB ASSY</v>
          </cell>
          <cell r="O232" t="str">
            <v>6C620-5422-1-14-K</v>
          </cell>
          <cell r="P232" t="str">
            <v>KUBOTA D35B-USA</v>
          </cell>
          <cell r="Q232" t="str">
            <v>ps</v>
          </cell>
        </row>
        <row r="233">
          <cell r="A233" t="str">
            <v>30041854-1</v>
          </cell>
          <cell r="B233" t="str">
            <v>3.2 x 124+/-0.5 x 670+0/-0.7</v>
          </cell>
          <cell r="C233">
            <v>3.2</v>
          </cell>
          <cell r="D233">
            <v>124</v>
          </cell>
          <cell r="E233">
            <v>670</v>
          </cell>
          <cell r="F233">
            <v>2.0869695999999998</v>
          </cell>
          <cell r="G233">
            <v>1</v>
          </cell>
          <cell r="H233">
            <v>77005484</v>
          </cell>
          <cell r="I233" t="str">
            <v>SPHC-P/O</v>
          </cell>
          <cell r="J233" t="str">
            <v>SUPPORT (FENDER BRIDGE) NO.1 SUB ASSY</v>
          </cell>
          <cell r="K233" t="str">
            <v>TC882-2944-1-01K</v>
          </cell>
          <cell r="L233" t="str">
            <v>KUBOTA E65ABC</v>
          </cell>
          <cell r="M233" t="str">
            <v>SPHC-P/O</v>
          </cell>
          <cell r="N233" t="str">
            <v>SUPPORT (FENDER BRIDGE) NO.1 SUB ASSY</v>
          </cell>
          <cell r="O233" t="str">
            <v>TC882-2944-1-01K</v>
          </cell>
          <cell r="P233" t="str">
            <v>KUBOTA E65ABC</v>
          </cell>
          <cell r="Q233" t="str">
            <v>ps</v>
          </cell>
          <cell r="R233">
            <v>200</v>
          </cell>
        </row>
        <row r="234">
          <cell r="A234">
            <v>30043418</v>
          </cell>
          <cell r="B234" t="str">
            <v>2.0 x 170+0/-0.5 x 914+/-0.5</v>
          </cell>
          <cell r="C234">
            <v>2</v>
          </cell>
          <cell r="D234">
            <v>170</v>
          </cell>
          <cell r="E234">
            <v>914</v>
          </cell>
          <cell r="F234">
            <v>2.4394659999999999</v>
          </cell>
          <cell r="G234">
            <v>3</v>
          </cell>
          <cell r="H234">
            <v>77003622</v>
          </cell>
          <cell r="I234" t="str">
            <v>SK85</v>
          </cell>
          <cell r="J234" t="str">
            <v>LINER (2ND. 1)</v>
          </cell>
          <cell r="K234" t="str">
            <v>5T124-6834 MO พิมพ์ใหม่</v>
          </cell>
          <cell r="L234" t="str">
            <v>KUBOTA DC105X</v>
          </cell>
          <cell r="M234" t="str">
            <v>SK85</v>
          </cell>
          <cell r="N234" t="str">
            <v>LINER (2ND. 1)</v>
          </cell>
          <cell r="O234" t="str">
            <v>5T124-6834 MO พิมพ์ใหม่</v>
          </cell>
          <cell r="P234" t="str">
            <v>KUBOTA DC105X</v>
          </cell>
          <cell r="Q234" t="str">
            <v>ptt</v>
          </cell>
          <cell r="R234">
            <v>105</v>
          </cell>
        </row>
        <row r="235">
          <cell r="A235">
            <v>30043419</v>
          </cell>
          <cell r="B235" t="str">
            <v>2.0 x 170+0/-0.5 x 914+/-0.5</v>
          </cell>
          <cell r="C235">
            <v>2</v>
          </cell>
          <cell r="D235">
            <v>170</v>
          </cell>
          <cell r="E235">
            <v>914</v>
          </cell>
          <cell r="F235">
            <v>2.4394659999999999</v>
          </cell>
          <cell r="G235">
            <v>2</v>
          </cell>
          <cell r="H235">
            <v>77003622</v>
          </cell>
          <cell r="I235" t="str">
            <v>SK85</v>
          </cell>
          <cell r="J235" t="str">
            <v>LINER (2ND. 2)</v>
          </cell>
          <cell r="K235" t="str">
            <v>5T124-6835 MO พิมพ์ใหม่</v>
          </cell>
          <cell r="L235" t="str">
            <v>KUBOTA DC105X</v>
          </cell>
          <cell r="M235" t="str">
            <v>SK85</v>
          </cell>
          <cell r="N235" t="str">
            <v>LINER (2ND. 2)</v>
          </cell>
          <cell r="O235" t="str">
            <v>5T124-6835 MO พิมพ์ใหม่</v>
          </cell>
          <cell r="P235" t="str">
            <v>KUBOTA DC105X</v>
          </cell>
          <cell r="Q235" t="str">
            <v>ptt</v>
          </cell>
          <cell r="R235">
            <v>105</v>
          </cell>
        </row>
        <row r="236">
          <cell r="A236" t="str">
            <v>30043420-1</v>
          </cell>
          <cell r="B236" t="str">
            <v>1.6 x 368+/-0.5 x 368+/-0.5 เน้นเรียบ</v>
          </cell>
          <cell r="C236">
            <v>1.6</v>
          </cell>
          <cell r="D236">
            <v>368</v>
          </cell>
          <cell r="E236">
            <v>368</v>
          </cell>
          <cell r="F236">
            <v>1.7009254400000002</v>
          </cell>
          <cell r="G236">
            <v>1</v>
          </cell>
          <cell r="H236">
            <v>77005343</v>
          </cell>
          <cell r="I236" t="str">
            <v>SPHC-P</v>
          </cell>
          <cell r="J236" t="str">
            <v>BRACKET CASE (2ND)</v>
          </cell>
          <cell r="K236" t="str">
            <v>NO.1 SUB ASSY DC-105X</v>
          </cell>
          <cell r="L236" t="str">
            <v>KUBOTA DC105X</v>
          </cell>
          <cell r="M236" t="str">
            <v>SPHC-P</v>
          </cell>
          <cell r="N236" t="str">
            <v>BRACKET CASE (2ND)</v>
          </cell>
          <cell r="O236" t="str">
            <v>NO.1 SUB ASSY DC-105X</v>
          </cell>
          <cell r="P236" t="str">
            <v>KUBOTA DC105X</v>
          </cell>
          <cell r="Q236" t="str">
            <v>tsi</v>
          </cell>
        </row>
        <row r="237">
          <cell r="A237" t="str">
            <v>30043420-2</v>
          </cell>
          <cell r="B237" t="str">
            <v>3.2 x 92+/-0.5 x 1219</v>
          </cell>
          <cell r="C237">
            <v>3.2</v>
          </cell>
          <cell r="D237">
            <v>92</v>
          </cell>
          <cell r="E237">
            <v>1219</v>
          </cell>
          <cell r="F237">
            <v>2.8171577600000002</v>
          </cell>
          <cell r="G237">
            <v>39</v>
          </cell>
          <cell r="H237">
            <v>77005848</v>
          </cell>
          <cell r="I237" t="str">
            <v>SPFH590-PO</v>
          </cell>
          <cell r="J237" t="str">
            <v>BRACKET CASE (2ND) NO.1 SUB ASSY</v>
          </cell>
          <cell r="K237" t="str">
            <v>NO.1 SUB ASSY DC-105X</v>
          </cell>
          <cell r="L237" t="str">
            <v>KUBOTA DC105X</v>
          </cell>
          <cell r="M237" t="str">
            <v>SPFH590-PO</v>
          </cell>
          <cell r="N237" t="str">
            <v>BRACKET CASE (2ND) NO.1 SUB ASSY</v>
          </cell>
          <cell r="O237" t="str">
            <v>NO.1 SUB ASSY DC-105X</v>
          </cell>
          <cell r="P237" t="str">
            <v>KUBOTA DC105X</v>
          </cell>
          <cell r="Q237" t="str">
            <v>tsi</v>
          </cell>
        </row>
        <row r="238">
          <cell r="A238" t="str">
            <v>30043421-1</v>
          </cell>
          <cell r="B238" t="str">
            <v>1.6 x 286+/-0.5 x 359+/-0.5 เน้นเรียบ</v>
          </cell>
          <cell r="C238">
            <v>1.6</v>
          </cell>
          <cell r="D238">
            <v>286</v>
          </cell>
          <cell r="E238">
            <v>359</v>
          </cell>
          <cell r="F238">
            <v>1.28958544</v>
          </cell>
          <cell r="G238">
            <v>1</v>
          </cell>
          <cell r="H238">
            <v>77005339</v>
          </cell>
          <cell r="I238" t="str">
            <v>SPHC-P</v>
          </cell>
          <cell r="J238" t="str">
            <v>BRACKET CASE (2ND)</v>
          </cell>
          <cell r="K238" t="str">
            <v>NO.6 SUB ASSY 5 DC-105X</v>
          </cell>
          <cell r="L238" t="str">
            <v>KUBOTA DC105X</v>
          </cell>
          <cell r="M238" t="str">
            <v>SPHC-P</v>
          </cell>
          <cell r="N238" t="str">
            <v>BRACKET CASE (2ND)</v>
          </cell>
          <cell r="O238" t="str">
            <v>NO.6 SUB ASSY 5 DC-105X</v>
          </cell>
          <cell r="P238" t="str">
            <v>KUBOTA DC105X</v>
          </cell>
          <cell r="Q238" t="str">
            <v>bm</v>
          </cell>
        </row>
        <row r="239">
          <cell r="A239" t="str">
            <v>30044962-1</v>
          </cell>
          <cell r="B239" t="str">
            <v>6.0 x 110+/-0.5 x 1219  เหล็กต้องตัดขอบหัว-ท้าย</v>
          </cell>
          <cell r="C239">
            <v>6</v>
          </cell>
          <cell r="D239">
            <v>110</v>
          </cell>
          <cell r="E239">
            <v>1219</v>
          </cell>
          <cell r="F239">
            <v>6.315639</v>
          </cell>
          <cell r="G239">
            <v>12</v>
          </cell>
          <cell r="H239">
            <v>77005533</v>
          </cell>
          <cell r="I239" t="str">
            <v>SPHC-P/O</v>
          </cell>
          <cell r="J239" t="str">
            <v>PLATE  ( L)</v>
          </cell>
          <cell r="K239" t="str">
            <v>TC422-2921-1</v>
          </cell>
          <cell r="L239" t="str">
            <v>KUBOTA E40</v>
          </cell>
          <cell r="M239" t="str">
            <v>SPHC-P/O</v>
          </cell>
          <cell r="N239" t="str">
            <v>PLATE  ( L)</v>
          </cell>
          <cell r="O239" t="str">
            <v>TC422-2921-1</v>
          </cell>
          <cell r="P239" t="str">
            <v>KUBOTA E40</v>
          </cell>
          <cell r="Q239" t="str">
            <v>tsi</v>
          </cell>
          <cell r="R239">
            <v>50</v>
          </cell>
        </row>
        <row r="240">
          <cell r="A240" t="str">
            <v>30044962-2</v>
          </cell>
          <cell r="B240" t="str">
            <v>3.2 x 257+/-0.5 x 1219 เน้นเรียบ</v>
          </cell>
          <cell r="C240">
            <v>3.2</v>
          </cell>
          <cell r="D240">
            <v>257</v>
          </cell>
          <cell r="E240">
            <v>1219</v>
          </cell>
          <cell r="F240">
            <v>7.8696689600000003</v>
          </cell>
          <cell r="G240">
            <v>8</v>
          </cell>
          <cell r="H240">
            <v>77005497</v>
          </cell>
          <cell r="I240" t="str">
            <v>SPHC-P/O</v>
          </cell>
          <cell r="J240" t="str">
            <v>PLATE SUPPORT  ( L )</v>
          </cell>
          <cell r="K240" t="str">
            <v>TC422-2921-2-5</v>
          </cell>
          <cell r="L240" t="str">
            <v>KUBOTA E40</v>
          </cell>
          <cell r="M240" t="str">
            <v>SPHC-P/O</v>
          </cell>
          <cell r="N240" t="str">
            <v>PLATE SUPPORT  ( L )</v>
          </cell>
          <cell r="O240" t="str">
            <v>TC422-2921-2-5</v>
          </cell>
          <cell r="P240" t="str">
            <v>KUBOTA E40</v>
          </cell>
          <cell r="Q240" t="str">
            <v>tsi</v>
          </cell>
          <cell r="R240">
            <v>50</v>
          </cell>
        </row>
        <row r="241">
          <cell r="A241" t="str">
            <v>30044963-1</v>
          </cell>
          <cell r="B241" t="str">
            <v>6.0 x 110+/-0.5 x 1219  เหล็กต้องตัดขอบหัว-ท้าย</v>
          </cell>
          <cell r="C241">
            <v>6</v>
          </cell>
          <cell r="D241">
            <v>110</v>
          </cell>
          <cell r="E241">
            <v>1219</v>
          </cell>
          <cell r="F241">
            <v>6.315639</v>
          </cell>
          <cell r="G241">
            <v>12</v>
          </cell>
          <cell r="H241">
            <v>77005533</v>
          </cell>
          <cell r="I241" t="str">
            <v>SPHC-P/O</v>
          </cell>
          <cell r="J241" t="str">
            <v>PLATE (L)</v>
          </cell>
          <cell r="K241" t="str">
            <v>TC422-2921-1</v>
          </cell>
          <cell r="L241" t="str">
            <v>KUBOTA E50-B</v>
          </cell>
          <cell r="M241" t="str">
            <v>SPHC-P/O</v>
          </cell>
          <cell r="N241" t="str">
            <v>PLATE (L)</v>
          </cell>
          <cell r="O241" t="str">
            <v>TC422-2921-1</v>
          </cell>
          <cell r="P241" t="str">
            <v>KUBOTA E50-B</v>
          </cell>
          <cell r="Q241" t="str">
            <v>tsi</v>
          </cell>
          <cell r="R241">
            <v>50</v>
          </cell>
        </row>
        <row r="242">
          <cell r="A242" t="str">
            <v>30044963-2</v>
          </cell>
          <cell r="B242" t="str">
            <v>3.2 x 257+/-0.5 x 1219</v>
          </cell>
          <cell r="C242">
            <v>3.2</v>
          </cell>
          <cell r="D242">
            <v>257</v>
          </cell>
          <cell r="E242">
            <v>1219</v>
          </cell>
          <cell r="F242">
            <v>7.8696689600000003</v>
          </cell>
          <cell r="G242">
            <v>8</v>
          </cell>
          <cell r="H242">
            <v>77005497</v>
          </cell>
          <cell r="I242" t="str">
            <v>SPHC-P/O</v>
          </cell>
          <cell r="J242" t="str">
            <v>PLATE SUPPORT (L)</v>
          </cell>
          <cell r="K242" t="str">
            <v>TC422-2922-2-2-5</v>
          </cell>
          <cell r="L242" t="str">
            <v>KUBOTA E50-B</v>
          </cell>
          <cell r="M242" t="str">
            <v>SPHC-P/O</v>
          </cell>
          <cell r="N242" t="str">
            <v>PLATE SUPPORT (L)</v>
          </cell>
          <cell r="O242" t="str">
            <v>TC422-2922-2-2-5</v>
          </cell>
          <cell r="P242" t="str">
            <v>KUBOTA E50-B</v>
          </cell>
          <cell r="Q242" t="str">
            <v>tsi</v>
          </cell>
          <cell r="R242">
            <v>50</v>
          </cell>
        </row>
        <row r="243">
          <cell r="A243" t="str">
            <v>30044963-3</v>
          </cell>
          <cell r="B243" t="str">
            <v>4.5 x 93+/-0.5 x 1219</v>
          </cell>
          <cell r="C243">
            <v>4.5</v>
          </cell>
          <cell r="D243">
            <v>93</v>
          </cell>
          <cell r="E243">
            <v>1219</v>
          </cell>
          <cell r="F243">
            <v>4.0046892749999996</v>
          </cell>
          <cell r="G243">
            <v>33</v>
          </cell>
          <cell r="H243">
            <v>77005557</v>
          </cell>
          <cell r="I243" t="str">
            <v>SS400</v>
          </cell>
          <cell r="J243" t="str">
            <v>BRKT NO 11 (L)</v>
          </cell>
          <cell r="K243" t="str">
            <v>TC620-2921-3-11</v>
          </cell>
          <cell r="L243" t="str">
            <v>KUBOTA E50-B</v>
          </cell>
          <cell r="M243" t="str">
            <v>SS400</v>
          </cell>
          <cell r="N243" t="str">
            <v>BRKT NO 11 (L)</v>
          </cell>
          <cell r="O243" t="str">
            <v>TC620-2921-3-11</v>
          </cell>
          <cell r="P243" t="str">
            <v>KUBOTA E50-B</v>
          </cell>
          <cell r="Q243" t="str">
            <v>csp</v>
          </cell>
        </row>
        <row r="244">
          <cell r="A244" t="str">
            <v>30044964-1</v>
          </cell>
          <cell r="B244" t="str">
            <v>6.0 x 110+/-0.5 x 1219  เหล็กต้องตัดขอบหัว-ท้าย</v>
          </cell>
          <cell r="C244">
            <v>6</v>
          </cell>
          <cell r="D244">
            <v>110</v>
          </cell>
          <cell r="E244">
            <v>1219</v>
          </cell>
          <cell r="F244">
            <v>6.315639</v>
          </cell>
          <cell r="G244">
            <v>12</v>
          </cell>
          <cell r="H244">
            <v>77005533</v>
          </cell>
          <cell r="I244" t="str">
            <v>SPHC-P/O</v>
          </cell>
          <cell r="J244" t="str">
            <v>PLATE (R)</v>
          </cell>
          <cell r="K244" t="str">
            <v>TC422-2921-1</v>
          </cell>
          <cell r="L244" t="str">
            <v>KUBOTA E50-B</v>
          </cell>
          <cell r="M244" t="str">
            <v>SPHC-P/O</v>
          </cell>
          <cell r="N244" t="str">
            <v>PLATE (R)</v>
          </cell>
          <cell r="O244" t="str">
            <v>TC422-2921-1</v>
          </cell>
          <cell r="P244" t="str">
            <v>KUBOTA E50-B</v>
          </cell>
          <cell r="Q244" t="str">
            <v>tsi</v>
          </cell>
          <cell r="R244">
            <v>50</v>
          </cell>
        </row>
        <row r="245">
          <cell r="A245" t="str">
            <v>30044964-2</v>
          </cell>
          <cell r="B245" t="str">
            <v>3.2 x 257+/-0.5 x 1219</v>
          </cell>
          <cell r="C245">
            <v>3.2</v>
          </cell>
          <cell r="D245">
            <v>257</v>
          </cell>
          <cell r="E245">
            <v>1219</v>
          </cell>
          <cell r="F245">
            <v>7.8696689600000003</v>
          </cell>
          <cell r="G245">
            <v>8</v>
          </cell>
          <cell r="H245">
            <v>77005497</v>
          </cell>
          <cell r="I245" t="str">
            <v>SPHC-P/O</v>
          </cell>
          <cell r="J245" t="str">
            <v>PLATE SUPPORT (R)</v>
          </cell>
          <cell r="K245" t="str">
            <v>TC422-2922-2-2-5</v>
          </cell>
          <cell r="L245" t="str">
            <v>KUBOTA E50-B</v>
          </cell>
          <cell r="M245" t="str">
            <v>SPHC-P/O</v>
          </cell>
          <cell r="N245" t="str">
            <v>PLATE SUPPORT (R)</v>
          </cell>
          <cell r="O245" t="str">
            <v>TC422-2922-2-2-5</v>
          </cell>
          <cell r="P245" t="str">
            <v>KUBOTA E50-B</v>
          </cell>
          <cell r="Q245" t="str">
            <v>tsi</v>
          </cell>
          <cell r="R245">
            <v>50</v>
          </cell>
        </row>
        <row r="246">
          <cell r="A246">
            <v>30045885</v>
          </cell>
          <cell r="B246" t="str">
            <v>2.3 x 257+/-0.5 x 1219</v>
          </cell>
          <cell r="C246">
            <v>2.2999999999999998</v>
          </cell>
          <cell r="D246">
            <v>257</v>
          </cell>
          <cell r="E246">
            <v>1219</v>
          </cell>
          <cell r="F246">
            <v>5.6563245649999994</v>
          </cell>
          <cell r="G246">
            <v>12</v>
          </cell>
          <cell r="H246">
            <v>77005256</v>
          </cell>
          <cell r="I246" t="str">
            <v>YSH440W</v>
          </cell>
          <cell r="J246" t="str">
            <v>BRKT BTRY BOX 1</v>
          </cell>
          <cell r="K246" t="str">
            <v>BCS-F1393-00</v>
          </cell>
          <cell r="L246" t="str">
            <v>BCS</v>
          </cell>
          <cell r="M246" t="str">
            <v>YSH440W</v>
          </cell>
          <cell r="N246" t="str">
            <v>BRKT BTRY BOX 1</v>
          </cell>
          <cell r="O246" t="str">
            <v>BCS-F1393-00</v>
          </cell>
          <cell r="P246" t="str">
            <v>BCS</v>
          </cell>
          <cell r="Q246" t="str">
            <v>bm</v>
          </cell>
        </row>
        <row r="247">
          <cell r="A247" t="str">
            <v>30045891-1</v>
          </cell>
          <cell r="B247" t="str">
            <v>2.0 x 247+/-0.5 x 1219</v>
          </cell>
          <cell r="C247">
            <v>2</v>
          </cell>
          <cell r="D247">
            <v>247</v>
          </cell>
          <cell r="E247">
            <v>1219</v>
          </cell>
          <cell r="F247">
            <v>4.7271600999999999</v>
          </cell>
          <cell r="G247">
            <v>8</v>
          </cell>
          <cell r="H247">
            <v>77005406</v>
          </cell>
          <cell r="I247" t="str">
            <v>YSH270C-P</v>
          </cell>
          <cell r="J247" t="str">
            <v>BRKT BRTY BOX 2 (COMMON BB8)</v>
          </cell>
          <cell r="K247" t="str">
            <v>BCS-F1394-00 SUB ASSY (BB8-F1394-00)</v>
          </cell>
          <cell r="L247" t="str">
            <v>BCS</v>
          </cell>
          <cell r="M247" t="str">
            <v>YSH270C-P</v>
          </cell>
          <cell r="N247" t="str">
            <v>BRKT BRTY BOX 2 (COMMON BB8)</v>
          </cell>
          <cell r="O247" t="str">
            <v>BCS-F1394-00 SUB ASSY (BB8-F1394-00)</v>
          </cell>
          <cell r="P247" t="str">
            <v>BCS</v>
          </cell>
          <cell r="Q247" t="str">
            <v>epc</v>
          </cell>
        </row>
        <row r="248">
          <cell r="A248" t="str">
            <v>30045891-2</v>
          </cell>
          <cell r="B248" t="str">
            <v>2.0 x 152+/-0.5 x 1219</v>
          </cell>
          <cell r="C248">
            <v>2</v>
          </cell>
          <cell r="D248">
            <v>152</v>
          </cell>
          <cell r="E248">
            <v>1219</v>
          </cell>
          <cell r="F248">
            <v>2.9090216</v>
          </cell>
          <cell r="G248">
            <v>17</v>
          </cell>
          <cell r="H248">
            <v>77005397</v>
          </cell>
          <cell r="I248" t="str">
            <v>YSH270C-P</v>
          </cell>
          <cell r="J248" t="str">
            <v>BRKT BTRY BOX 3 (COMMON BB8)</v>
          </cell>
          <cell r="K248" t="str">
            <v>BB8-F1395-00</v>
          </cell>
          <cell r="L248" t="str">
            <v>BCS</v>
          </cell>
          <cell r="M248" t="str">
            <v>YSH270C-P</v>
          </cell>
          <cell r="N248" t="str">
            <v>BRKT BTRY BOX 3 (COMMON BB8)</v>
          </cell>
          <cell r="O248" t="str">
            <v>BB8-F1395-00</v>
          </cell>
          <cell r="P248" t="str">
            <v>BCS</v>
          </cell>
          <cell r="Q248" t="str">
            <v>epc</v>
          </cell>
        </row>
        <row r="249">
          <cell r="A249" t="str">
            <v>30045891-3</v>
          </cell>
          <cell r="B249" t="str">
            <v>2.6 x 195+/-0.5 x 1219</v>
          </cell>
          <cell r="C249">
            <v>2.6</v>
          </cell>
          <cell r="D249">
            <v>195</v>
          </cell>
          <cell r="E249">
            <v>1219</v>
          </cell>
          <cell r="F249">
            <v>4.8515590499999997</v>
          </cell>
          <cell r="G249">
            <v>36</v>
          </cell>
          <cell r="H249">
            <v>77005453</v>
          </cell>
          <cell r="I249" t="str">
            <v>YSH270C-P</v>
          </cell>
          <cell r="J249" t="str">
            <v>BRKT TANK FITTING</v>
          </cell>
          <cell r="K249" t="str">
            <v>2CM-F1347-00</v>
          </cell>
          <cell r="L249" t="str">
            <v>BCS</v>
          </cell>
          <cell r="M249" t="str">
            <v>YSH270C-P</v>
          </cell>
          <cell r="N249" t="str">
            <v>BRKT TANK FITTING</v>
          </cell>
          <cell r="O249" t="str">
            <v>2CM-F1347-00</v>
          </cell>
          <cell r="P249" t="str">
            <v>BCS</v>
          </cell>
          <cell r="Q249" t="str">
            <v>tsi</v>
          </cell>
        </row>
        <row r="250">
          <cell r="A250" t="str">
            <v>30045891-4</v>
          </cell>
          <cell r="B250" t="str">
            <v>2.0 x 145+/-0.5 x 1219</v>
          </cell>
          <cell r="C250">
            <v>2</v>
          </cell>
          <cell r="D250">
            <v>145</v>
          </cell>
          <cell r="E250">
            <v>1219</v>
          </cell>
          <cell r="F250">
            <v>2.7750534999999998</v>
          </cell>
          <cell r="G250">
            <v>31</v>
          </cell>
          <cell r="H250">
            <v>77005395</v>
          </cell>
          <cell r="I250" t="str">
            <v>YSH270C-P</v>
          </cell>
          <cell r="J250" t="str">
            <v>BRKT SEAT</v>
          </cell>
          <cell r="K250" t="str">
            <v>2CM-F1349-00</v>
          </cell>
          <cell r="L250" t="str">
            <v>BCS</v>
          </cell>
          <cell r="M250" t="str">
            <v>YSH270C-P</v>
          </cell>
          <cell r="N250" t="str">
            <v>BRKT SEAT</v>
          </cell>
          <cell r="O250" t="str">
            <v>2CM-F1349-00</v>
          </cell>
          <cell r="P250" t="str">
            <v>BCS</v>
          </cell>
          <cell r="Q250" t="str">
            <v>epc</v>
          </cell>
        </row>
        <row r="251">
          <cell r="A251" t="str">
            <v>30045892-1</v>
          </cell>
          <cell r="B251" t="str">
            <v>2.0 x 111+/-0.5 x 1219</v>
          </cell>
          <cell r="C251">
            <v>2</v>
          </cell>
          <cell r="D251">
            <v>111</v>
          </cell>
          <cell r="E251">
            <v>1219</v>
          </cell>
          <cell r="F251">
            <v>2.1243512999999998</v>
          </cell>
          <cell r="G251">
            <v>17</v>
          </cell>
          <cell r="H251">
            <v>77005385</v>
          </cell>
          <cell r="I251" t="str">
            <v>YSH270C-P</v>
          </cell>
          <cell r="J251" t="str">
            <v>BRKT SEAT 1 (COMMON BB8)</v>
          </cell>
          <cell r="K251" t="str">
            <v>BB8-F118U-00</v>
          </cell>
          <cell r="L251" t="str">
            <v>BCS</v>
          </cell>
          <cell r="M251" t="str">
            <v>YSH270C-P</v>
          </cell>
          <cell r="N251" t="str">
            <v>BRKT SEAT 1 (COMMON BB8)</v>
          </cell>
          <cell r="O251" t="str">
            <v>BB8-F118U-00</v>
          </cell>
          <cell r="P251" t="str">
            <v>BCS</v>
          </cell>
          <cell r="Q251" t="str">
            <v>tsi</v>
          </cell>
        </row>
        <row r="252">
          <cell r="A252" t="str">
            <v>30045892-2</v>
          </cell>
          <cell r="B252" t="str">
            <v>2.3 x 45+/-0.5 x 1219</v>
          </cell>
          <cell r="C252">
            <v>2.2999999999999998</v>
          </cell>
          <cell r="D252">
            <v>45</v>
          </cell>
          <cell r="E252">
            <v>1219</v>
          </cell>
          <cell r="F252">
            <v>0.99040702499999977</v>
          </cell>
          <cell r="G252">
            <v>40</v>
          </cell>
          <cell r="H252">
            <v>77005440</v>
          </cell>
          <cell r="I252" t="str">
            <v>YSH270C-P</v>
          </cell>
          <cell r="J252" t="str">
            <v>BRKT RH (COMMON BB8)</v>
          </cell>
          <cell r="K252" t="str">
            <v>BB8-F119V-00</v>
          </cell>
          <cell r="L252" t="str">
            <v>BCS</v>
          </cell>
          <cell r="M252" t="str">
            <v>YSH270C-P</v>
          </cell>
          <cell r="N252" t="str">
            <v>BRKT RH (COMMON BB8)</v>
          </cell>
          <cell r="O252" t="str">
            <v>BB8-F119V-00</v>
          </cell>
          <cell r="P252" t="str">
            <v>BCS</v>
          </cell>
          <cell r="Q252" t="str">
            <v>epc</v>
          </cell>
        </row>
        <row r="253">
          <cell r="A253" t="str">
            <v>30045893-1</v>
          </cell>
          <cell r="B253" t="str">
            <v>2.0 x 111+/-0.5 x 1219</v>
          </cell>
          <cell r="C253">
            <v>2</v>
          </cell>
          <cell r="D253">
            <v>111</v>
          </cell>
          <cell r="E253">
            <v>1219</v>
          </cell>
          <cell r="F253">
            <v>2.1243512999999998</v>
          </cell>
          <cell r="G253">
            <v>17</v>
          </cell>
          <cell r="H253">
            <v>77005385</v>
          </cell>
          <cell r="I253" t="str">
            <v>YSH270C-P</v>
          </cell>
          <cell r="J253" t="str">
            <v>BRKT 4 (COMMON BB8)</v>
          </cell>
          <cell r="K253" t="str">
            <v>BB8-F118V-00</v>
          </cell>
          <cell r="L253" t="str">
            <v>BCS</v>
          </cell>
          <cell r="M253" t="str">
            <v>YSH270C-P</v>
          </cell>
          <cell r="N253" t="str">
            <v>BRKT 4 (COMMON BB8)</v>
          </cell>
          <cell r="O253" t="str">
            <v>BB8-F118V-00</v>
          </cell>
          <cell r="P253" t="str">
            <v>BCS</v>
          </cell>
          <cell r="Q253" t="str">
            <v>tsi</v>
          </cell>
        </row>
        <row r="254">
          <cell r="A254" t="str">
            <v>30045893-2</v>
          </cell>
          <cell r="B254" t="str">
            <v>2.3 x 45+/-0.5 x 1219</v>
          </cell>
          <cell r="C254">
            <v>2.2999999999999998</v>
          </cell>
          <cell r="D254">
            <v>45</v>
          </cell>
          <cell r="E254">
            <v>1219</v>
          </cell>
          <cell r="F254">
            <v>0.99040702499999977</v>
          </cell>
          <cell r="G254">
            <v>40</v>
          </cell>
          <cell r="H254">
            <v>77005440</v>
          </cell>
          <cell r="I254" t="str">
            <v>YSH270C-P</v>
          </cell>
          <cell r="J254" t="str">
            <v>BRKT RH (COMMON BB8)</v>
          </cell>
          <cell r="K254" t="str">
            <v>BB8-F119V-00</v>
          </cell>
          <cell r="L254" t="str">
            <v>BCS</v>
          </cell>
          <cell r="M254" t="str">
            <v>YSH270C-P</v>
          </cell>
          <cell r="N254" t="str">
            <v>BRKT RH (COMMON BB8)</v>
          </cell>
          <cell r="O254" t="str">
            <v>BB8-F119V-00</v>
          </cell>
          <cell r="P254" t="str">
            <v>BCS</v>
          </cell>
          <cell r="Q254" t="str">
            <v>epc</v>
          </cell>
        </row>
        <row r="255">
          <cell r="A255" t="str">
            <v>30045894-1</v>
          </cell>
          <cell r="B255" t="str">
            <v>2.3 x 342+/-0.5 x 1219</v>
          </cell>
          <cell r="C255">
            <v>2.2999999999999998</v>
          </cell>
          <cell r="D255">
            <v>342</v>
          </cell>
          <cell r="E255">
            <v>1219</v>
          </cell>
          <cell r="F255">
            <v>7.5270933899999983</v>
          </cell>
          <cell r="G255">
            <v>10</v>
          </cell>
          <cell r="H255">
            <v>77005437</v>
          </cell>
          <cell r="I255" t="str">
            <v>YSH270C-P</v>
          </cell>
          <cell r="J255" t="str">
            <v>STAY REAR (COMMON BB8)</v>
          </cell>
          <cell r="K255" t="str">
            <v>BB8-F116F-00</v>
          </cell>
          <cell r="L255" t="str">
            <v>BCS</v>
          </cell>
          <cell r="M255" t="str">
            <v>YSH270C-P</v>
          </cell>
          <cell r="N255" t="str">
            <v>STAY REAR (COMMON BB8)</v>
          </cell>
          <cell r="O255" t="str">
            <v>BB8-F116F-00</v>
          </cell>
          <cell r="P255" t="str">
            <v>BCS</v>
          </cell>
          <cell r="Q255" t="str">
            <v>epc</v>
          </cell>
        </row>
        <row r="256">
          <cell r="A256" t="str">
            <v>30045894-2</v>
          </cell>
          <cell r="B256" t="str">
            <v>2.3 x 132+/-0.5 x 1219</v>
          </cell>
          <cell r="C256">
            <v>2.2999999999999998</v>
          </cell>
          <cell r="D256">
            <v>132</v>
          </cell>
          <cell r="E256">
            <v>1219</v>
          </cell>
          <cell r="F256">
            <v>2.9051939399999993</v>
          </cell>
          <cell r="G256">
            <v>7</v>
          </cell>
          <cell r="H256">
            <v>77005431</v>
          </cell>
          <cell r="I256" t="str">
            <v>YSH270C-P</v>
          </cell>
          <cell r="J256" t="str">
            <v>STAY REAR (COMMON BB8)</v>
          </cell>
          <cell r="K256" t="str">
            <v>BB8-F116K-00</v>
          </cell>
          <cell r="L256" t="str">
            <v>BCS</v>
          </cell>
          <cell r="M256" t="str">
            <v>YSH270C-P</v>
          </cell>
          <cell r="N256" t="str">
            <v>STAY REAR (COMMON BB8)</v>
          </cell>
          <cell r="O256" t="str">
            <v>BB8-F116K-00</v>
          </cell>
          <cell r="P256" t="str">
            <v>BCS</v>
          </cell>
          <cell r="Q256" t="str">
            <v>bm</v>
          </cell>
        </row>
        <row r="257">
          <cell r="A257">
            <v>30048218</v>
          </cell>
          <cell r="B257" t="str">
            <v>6.0 x 220+/-0.5 x 1219</v>
          </cell>
          <cell r="C257">
            <v>6</v>
          </cell>
          <cell r="D257">
            <v>220</v>
          </cell>
          <cell r="E257">
            <v>1219</v>
          </cell>
          <cell r="F257">
            <v>12.631278</v>
          </cell>
          <cell r="G257">
            <v>44</v>
          </cell>
          <cell r="H257">
            <v>77005302</v>
          </cell>
          <cell r="I257" t="str">
            <v>SPFH590</v>
          </cell>
          <cell r="J257" t="str">
            <v xml:space="preserve">LEVER   CHANGE  </v>
          </cell>
          <cell r="K257" t="str">
            <v>13156-0699A</v>
          </cell>
          <cell r="L257" t="str">
            <v>KAWA 1767</v>
          </cell>
          <cell r="M257" t="str">
            <v>SPFH590</v>
          </cell>
          <cell r="N257" t="str">
            <v xml:space="preserve">LEVER   CHANGE  </v>
          </cell>
          <cell r="O257" t="str">
            <v>13156-0699A</v>
          </cell>
          <cell r="P257" t="str">
            <v>KAWA 1767</v>
          </cell>
          <cell r="Q257" t="str">
            <v>tsi</v>
          </cell>
        </row>
        <row r="258">
          <cell r="A258" t="str">
            <v>30051556-2</v>
          </cell>
          <cell r="B258" t="str">
            <v>2.3 x 85+/-0.5 x 1219</v>
          </cell>
          <cell r="C258">
            <v>2.2999999999999998</v>
          </cell>
          <cell r="D258">
            <v>85</v>
          </cell>
          <cell r="E258">
            <v>1219</v>
          </cell>
          <cell r="F258">
            <v>1.8707688249999996</v>
          </cell>
          <cell r="G258">
            <v>64</v>
          </cell>
          <cell r="H258">
            <v>77004535</v>
          </cell>
          <cell r="I258" t="str">
            <v>JSH270C</v>
          </cell>
          <cell r="J258" t="str">
            <v>PLATE B TREAD BAR</v>
          </cell>
          <cell r="K258" t="str">
            <v>50500-KSSX-J300-20</v>
          </cell>
          <cell r="L258" t="str">
            <v>KSSX</v>
          </cell>
          <cell r="M258" t="str">
            <v>JSH270C</v>
          </cell>
          <cell r="N258" t="str">
            <v>PLATE B TREAD BAR</v>
          </cell>
          <cell r="O258" t="str">
            <v>50500-KSSX-J300-20</v>
          </cell>
          <cell r="P258" t="str">
            <v>KSSX</v>
          </cell>
          <cell r="Q258" t="str">
            <v>ptt</v>
          </cell>
        </row>
        <row r="259">
          <cell r="A259">
            <v>73000509</v>
          </cell>
          <cell r="B259" t="str">
            <v>1.0 x 190+/-0.5 x 1219 คุมโก่ง 2 มม.</v>
          </cell>
          <cell r="C259">
            <v>1</v>
          </cell>
          <cell r="D259">
            <v>190</v>
          </cell>
          <cell r="E259">
            <v>1219</v>
          </cell>
          <cell r="F259">
            <v>1.8181385000000001</v>
          </cell>
          <cell r="G259">
            <v>6</v>
          </cell>
          <cell r="H259">
            <v>77004698</v>
          </cell>
          <cell r="I259" t="str">
            <v>SPCC-SD</v>
          </cell>
          <cell r="J259" t="str">
            <v xml:space="preserve">PLATE SPRKT SIDE </v>
          </cell>
          <cell r="K259" t="str">
            <v>41211-KPPA-9010</v>
          </cell>
          <cell r="L259" t="str">
            <v>KPPA</v>
          </cell>
          <cell r="M259" t="str">
            <v>SPCC-SD</v>
          </cell>
          <cell r="N259" t="str">
            <v xml:space="preserve">PLATE SPRKT SIDE </v>
          </cell>
          <cell r="O259" t="str">
            <v>41211-KPPA-9010</v>
          </cell>
          <cell r="P259" t="str">
            <v>KPPA</v>
          </cell>
          <cell r="Q259" t="str">
            <v>ptt</v>
          </cell>
        </row>
        <row r="260">
          <cell r="A260" t="str">
            <v>73001943-1</v>
          </cell>
          <cell r="B260" t="str">
            <v>6.0 x 180+/-0.5 x 1219</v>
          </cell>
          <cell r="C260">
            <v>6</v>
          </cell>
          <cell r="D260">
            <v>180</v>
          </cell>
          <cell r="E260">
            <v>1219</v>
          </cell>
          <cell r="F260">
            <v>10.334682000000001</v>
          </cell>
          <cell r="G260">
            <v>50</v>
          </cell>
          <cell r="H260">
            <v>77005534</v>
          </cell>
          <cell r="I260" t="str">
            <v>SPHC-P/O</v>
          </cell>
          <cell r="J260" t="str">
            <v>LEVER</v>
          </cell>
          <cell r="K260" t="str">
            <v>13168-1728 2K</v>
          </cell>
          <cell r="L260" t="str">
            <v>KAWA LX250H</v>
          </cell>
          <cell r="M260" t="str">
            <v>SPHC-P/O</v>
          </cell>
          <cell r="N260" t="str">
            <v>LEVER</v>
          </cell>
          <cell r="O260" t="str">
            <v>13168-1728 2K</v>
          </cell>
          <cell r="P260" t="str">
            <v>KAWA LX250H</v>
          </cell>
          <cell r="Q260" t="str">
            <v>tsi</v>
          </cell>
          <cell r="R260">
            <v>20</v>
          </cell>
        </row>
        <row r="261">
          <cell r="A261" t="str">
            <v>73001943-2</v>
          </cell>
          <cell r="B261" t="str">
            <v>2.3 x 55+/-0.5 x 1183</v>
          </cell>
          <cell r="C261">
            <v>2.2999999999999998</v>
          </cell>
          <cell r="D261">
            <v>55</v>
          </cell>
          <cell r="E261">
            <v>1183</v>
          </cell>
          <cell r="F261">
            <v>1.1747485749999997</v>
          </cell>
          <cell r="G261">
            <v>45</v>
          </cell>
          <cell r="H261">
            <v>77005289</v>
          </cell>
          <cell r="I261" t="str">
            <v>SPH590-OD</v>
          </cell>
          <cell r="J261" t="str">
            <v>LEVER</v>
          </cell>
          <cell r="K261" t="str">
            <v>13168-1728 2K</v>
          </cell>
          <cell r="L261" t="str">
            <v>KAWA LX250H</v>
          </cell>
          <cell r="M261" t="str">
            <v>SPH590-OD</v>
          </cell>
          <cell r="N261" t="str">
            <v>LEVER</v>
          </cell>
          <cell r="O261" t="str">
            <v>13168-1728 2K</v>
          </cell>
          <cell r="P261" t="str">
            <v>KAWA LX250H</v>
          </cell>
          <cell r="Q261" t="str">
            <v>tsi</v>
          </cell>
        </row>
        <row r="262">
          <cell r="A262" t="str">
            <v>73001952-1</v>
          </cell>
          <cell r="B262" t="str">
            <v>3.2 x 187+/-0.5 x 1219</v>
          </cell>
          <cell r="C262">
            <v>3.2</v>
          </cell>
          <cell r="D262">
            <v>187</v>
          </cell>
          <cell r="E262">
            <v>1219</v>
          </cell>
          <cell r="F262">
            <v>5.7261793599999997</v>
          </cell>
          <cell r="G262">
            <v>8</v>
          </cell>
          <cell r="H262">
            <v>77005296</v>
          </cell>
          <cell r="I262" t="str">
            <v>SPFH590 P/O</v>
          </cell>
          <cell r="J262" t="str">
            <v>BRACKET ENGINE</v>
          </cell>
          <cell r="K262" t="str">
            <v>32190-1247</v>
          </cell>
          <cell r="L262" t="str">
            <v>KAWA LX110A,B</v>
          </cell>
          <cell r="M262" t="str">
            <v>SPFH590 P/O</v>
          </cell>
          <cell r="N262" t="str">
            <v>BRACKET ENGINE</v>
          </cell>
          <cell r="O262" t="str">
            <v>32190-1247</v>
          </cell>
          <cell r="P262" t="str">
            <v>KAWA LX110A,B</v>
          </cell>
          <cell r="Q262" t="str">
            <v>tsi</v>
          </cell>
        </row>
        <row r="263">
          <cell r="A263" t="str">
            <v>73001952-2</v>
          </cell>
          <cell r="B263" t="str">
            <v>2.3 x 128+/-0.5 x 1219</v>
          </cell>
          <cell r="C263">
            <v>2.2999999999999998</v>
          </cell>
          <cell r="D263">
            <v>128</v>
          </cell>
          <cell r="E263">
            <v>1219</v>
          </cell>
          <cell r="F263">
            <v>2.8171577599999997</v>
          </cell>
          <cell r="G263">
            <v>22</v>
          </cell>
          <cell r="H263">
            <v>77005288</v>
          </cell>
          <cell r="I263" t="str">
            <v>SPH590-OD</v>
          </cell>
          <cell r="J263" t="str">
            <v>BRACKET ENGINE (GUSSET)</v>
          </cell>
          <cell r="K263" t="str">
            <v>32190-1247</v>
          </cell>
          <cell r="L263" t="str">
            <v>KAWA LX110A,B</v>
          </cell>
          <cell r="M263" t="str">
            <v>SPH590-OD</v>
          </cell>
          <cell r="N263" t="str">
            <v>BRACKET ENGINE (GUSSET)</v>
          </cell>
          <cell r="O263" t="str">
            <v>32190-1247</v>
          </cell>
          <cell r="P263" t="str">
            <v>KAWA LX110A,B</v>
          </cell>
          <cell r="Q263" t="str">
            <v>tsi</v>
          </cell>
        </row>
        <row r="264">
          <cell r="A264" t="str">
            <v>73001952-3</v>
          </cell>
          <cell r="B264" t="str">
            <v>2.3 x 85+/-0.5 x 1219</v>
          </cell>
          <cell r="C264">
            <v>2.2999999999999998</v>
          </cell>
          <cell r="D264">
            <v>85</v>
          </cell>
          <cell r="E264">
            <v>1219</v>
          </cell>
          <cell r="F264">
            <v>1.8707688249999996</v>
          </cell>
          <cell r="G264">
            <v>24</v>
          </cell>
          <cell r="H264">
            <v>77005293</v>
          </cell>
          <cell r="I264" t="str">
            <v>SPH590-OD</v>
          </cell>
          <cell r="J264" t="str">
            <v>BRACKET ENGINE (GUSSET)</v>
          </cell>
          <cell r="K264" t="str">
            <v>32190-1247</v>
          </cell>
          <cell r="L264" t="str">
            <v>KAWA LX110A,B</v>
          </cell>
          <cell r="M264" t="str">
            <v>SPH590-OD</v>
          </cell>
          <cell r="N264" t="str">
            <v>BRACKET ENGINE (GUSSET)</v>
          </cell>
          <cell r="O264" t="str">
            <v>32190-1247</v>
          </cell>
          <cell r="P264" t="str">
            <v>KAWA LX110A,B</v>
          </cell>
          <cell r="Q264" t="str">
            <v>tsi</v>
          </cell>
        </row>
        <row r="265">
          <cell r="A265" t="str">
            <v>73015106-1</v>
          </cell>
          <cell r="B265" t="str">
            <v>2.3 x 122+/-0.5 x 1219</v>
          </cell>
          <cell r="C265">
            <v>2.2999999999999998</v>
          </cell>
          <cell r="D265">
            <v>122</v>
          </cell>
          <cell r="E265">
            <v>1219</v>
          </cell>
          <cell r="F265">
            <v>2.6851034899999999</v>
          </cell>
          <cell r="G265">
            <v>34</v>
          </cell>
          <cell r="H265">
            <v>77005287</v>
          </cell>
          <cell r="I265" t="str">
            <v>SPFH590-P/O</v>
          </cell>
          <cell r="J265" t="str">
            <v>BRACKET(8098)</v>
          </cell>
          <cell r="K265" t="str">
            <v>11057-0254</v>
          </cell>
          <cell r="L265" t="str">
            <v>KAWA 8098</v>
          </cell>
          <cell r="M265" t="str">
            <v>SPFH590-P/O</v>
          </cell>
          <cell r="N265" t="str">
            <v>BRACKET(8098)</v>
          </cell>
          <cell r="O265" t="str">
            <v>11057-0254</v>
          </cell>
          <cell r="P265" t="str">
            <v>KAWA 8098</v>
          </cell>
          <cell r="Q265" t="e">
            <v>#N/A</v>
          </cell>
          <cell r="R265">
            <v>200</v>
          </cell>
        </row>
        <row r="266">
          <cell r="A266" t="str">
            <v>73015106-2</v>
          </cell>
          <cell r="B266" t="str">
            <v>3.2 x 76+/-0.5 x 1219</v>
          </cell>
          <cell r="C266">
            <v>3.2</v>
          </cell>
          <cell r="D266">
            <v>76</v>
          </cell>
          <cell r="E266">
            <v>1219</v>
          </cell>
          <cell r="F266">
            <v>2.3272172800000002</v>
          </cell>
          <cell r="G266">
            <v>42</v>
          </cell>
          <cell r="H266">
            <v>77005299</v>
          </cell>
          <cell r="I266" t="str">
            <v>SPFH590-P/O</v>
          </cell>
          <cell r="J266" t="str">
            <v>BRACKET(8098)</v>
          </cell>
          <cell r="K266" t="str">
            <v>11057-0254</v>
          </cell>
          <cell r="L266" t="str">
            <v>KAWA 8098</v>
          </cell>
          <cell r="M266" t="str">
            <v>SPFH590-P/O</v>
          </cell>
          <cell r="N266" t="str">
            <v>BRACKET(8098)</v>
          </cell>
          <cell r="O266" t="str">
            <v>11057-0254</v>
          </cell>
          <cell r="P266" t="str">
            <v>KAWA 8098</v>
          </cell>
          <cell r="Q266" t="e">
            <v>#N/A</v>
          </cell>
        </row>
        <row r="267">
          <cell r="A267" t="str">
            <v>73015108-1</v>
          </cell>
          <cell r="B267" t="str">
            <v>2.3 x 122+/-0.5 x 1219</v>
          </cell>
          <cell r="C267">
            <v>2.2999999999999998</v>
          </cell>
          <cell r="D267">
            <v>122</v>
          </cell>
          <cell r="E267">
            <v>1219</v>
          </cell>
          <cell r="F267">
            <v>2.6851034899999999</v>
          </cell>
          <cell r="G267">
            <v>34</v>
          </cell>
          <cell r="H267">
            <v>77005287</v>
          </cell>
          <cell r="I267" t="str">
            <v>SPFH590-P/O</v>
          </cell>
          <cell r="J267" t="str">
            <v>BRACKET(8098)</v>
          </cell>
          <cell r="K267" t="str">
            <v>11057-0255</v>
          </cell>
          <cell r="L267" t="str">
            <v>KAWA 8098</v>
          </cell>
          <cell r="M267" t="str">
            <v>SPFH590-P/O</v>
          </cell>
          <cell r="N267" t="str">
            <v>BRACKET(8098)</v>
          </cell>
          <cell r="O267" t="str">
            <v>11057-0255</v>
          </cell>
          <cell r="P267" t="str">
            <v>KAWA 8098</v>
          </cell>
          <cell r="Q267" t="e">
            <v>#N/A</v>
          </cell>
          <cell r="R267">
            <v>200</v>
          </cell>
        </row>
        <row r="268">
          <cell r="A268" t="str">
            <v>73015108-2</v>
          </cell>
          <cell r="B268" t="str">
            <v>3.2 x 76+/-0.5 x 1219</v>
          </cell>
          <cell r="C268">
            <v>3.2</v>
          </cell>
          <cell r="D268">
            <v>76</v>
          </cell>
          <cell r="E268">
            <v>1219</v>
          </cell>
          <cell r="F268">
            <v>2.3272172800000002</v>
          </cell>
          <cell r="G268">
            <v>42</v>
          </cell>
          <cell r="H268">
            <v>77005299</v>
          </cell>
          <cell r="I268" t="str">
            <v>SPFH590-P/O</v>
          </cell>
          <cell r="J268" t="str">
            <v>BRACKET(8098)</v>
          </cell>
          <cell r="K268" t="str">
            <v>11057-0255</v>
          </cell>
          <cell r="L268" t="str">
            <v>KAWA 8098</v>
          </cell>
          <cell r="M268" t="str">
            <v>SPFH590-P/O</v>
          </cell>
          <cell r="N268" t="str">
            <v>BRACKET(8098)</v>
          </cell>
          <cell r="O268" t="str">
            <v>11057-0255</v>
          </cell>
          <cell r="P268" t="str">
            <v>KAWA 8098</v>
          </cell>
          <cell r="Q268" t="e">
            <v>#N/A</v>
          </cell>
        </row>
        <row r="269">
          <cell r="A269">
            <v>73017110</v>
          </cell>
          <cell r="B269" t="str">
            <v>1.6 x 92+/-0.5 x 1219</v>
          </cell>
          <cell r="C269">
            <v>1.6</v>
          </cell>
          <cell r="D269">
            <v>92</v>
          </cell>
          <cell r="E269">
            <v>1219</v>
          </cell>
          <cell r="F269">
            <v>1.4085788800000001</v>
          </cell>
          <cell r="G269">
            <v>69</v>
          </cell>
          <cell r="H269">
            <v>77005245</v>
          </cell>
          <cell r="I269" t="str">
            <v>SAPH440</v>
          </cell>
          <cell r="J269" t="str">
            <v>BRACKET REAR MUDGUARD</v>
          </cell>
          <cell r="K269">
            <v>2072776</v>
          </cell>
          <cell r="L269" t="str">
            <v>TRIUMPH CG7</v>
          </cell>
          <cell r="M269" t="str">
            <v>SAPH440</v>
          </cell>
          <cell r="N269" t="str">
            <v>BRACKET REAR MUDGUARD</v>
          </cell>
          <cell r="O269">
            <v>2072776</v>
          </cell>
          <cell r="P269" t="str">
            <v>TRIUMPH CG7</v>
          </cell>
          <cell r="Q269" t="str">
            <v>bm</v>
          </cell>
        </row>
        <row r="270">
          <cell r="A270" t="str">
            <v>73017111-1</v>
          </cell>
          <cell r="B270" t="str">
            <v>1.6 x 47+/-0.5 x 1219</v>
          </cell>
          <cell r="C270">
            <v>1.6</v>
          </cell>
          <cell r="D270">
            <v>47</v>
          </cell>
          <cell r="E270">
            <v>1219</v>
          </cell>
          <cell r="F270">
            <v>0.71960007999999998</v>
          </cell>
          <cell r="G270">
            <v>40</v>
          </cell>
          <cell r="H270">
            <v>77005244</v>
          </cell>
          <cell r="I270" t="str">
            <v>SAPH440</v>
          </cell>
          <cell r="J270" t="str">
            <v>BRACKET EXPENSION TANK FRONT</v>
          </cell>
          <cell r="K270">
            <v>2072777</v>
          </cell>
          <cell r="L270" t="str">
            <v>TRIUMPH CG7</v>
          </cell>
          <cell r="M270" t="str">
            <v>SAPH440</v>
          </cell>
          <cell r="N270" t="str">
            <v>BRACKET EXPENSION TANK FRONT</v>
          </cell>
          <cell r="O270">
            <v>2072777</v>
          </cell>
          <cell r="P270" t="str">
            <v>TRIUMPH CG7</v>
          </cell>
          <cell r="Q270" t="str">
            <v>bm</v>
          </cell>
        </row>
        <row r="271">
          <cell r="A271">
            <v>73017148</v>
          </cell>
          <cell r="B271" t="str">
            <v>1.6 x 45+/-0.5 x 1219</v>
          </cell>
          <cell r="C271">
            <v>1.6</v>
          </cell>
          <cell r="D271">
            <v>45</v>
          </cell>
          <cell r="E271">
            <v>1219</v>
          </cell>
          <cell r="F271">
            <v>0.68897879999999989</v>
          </cell>
          <cell r="G271">
            <v>56</v>
          </cell>
          <cell r="H271">
            <v>77005347</v>
          </cell>
          <cell r="I271" t="str">
            <v>SPHC-P/O</v>
          </cell>
          <cell r="J271" t="str">
            <v>BRACKET</v>
          </cell>
          <cell r="K271" t="str">
            <v>11057-0354 (8098)</v>
          </cell>
          <cell r="L271" t="str">
            <v>KAWA 8098</v>
          </cell>
          <cell r="M271" t="str">
            <v>SPHC-P/O</v>
          </cell>
          <cell r="N271" t="str">
            <v>BRACKET</v>
          </cell>
          <cell r="O271" t="str">
            <v>11057-0354 (8098)</v>
          </cell>
          <cell r="P271" t="str">
            <v>KAWA 8098</v>
          </cell>
          <cell r="Q271" t="str">
            <v>epc</v>
          </cell>
        </row>
        <row r="272">
          <cell r="A272">
            <v>73017150</v>
          </cell>
          <cell r="B272" t="str">
            <v>1.6 x 77+/-0.5 x 1219</v>
          </cell>
          <cell r="C272">
            <v>1.6</v>
          </cell>
          <cell r="D272">
            <v>77</v>
          </cell>
          <cell r="E272">
            <v>1219</v>
          </cell>
          <cell r="F272">
            <v>1.1789192800000001</v>
          </cell>
          <cell r="G272">
            <v>106</v>
          </cell>
          <cell r="H272">
            <v>77005371</v>
          </cell>
          <cell r="I272" t="str">
            <v>SPHC-P/O</v>
          </cell>
          <cell r="J272" t="str">
            <v>BRACKET</v>
          </cell>
          <cell r="K272" t="str">
            <v>11057-0355 (8098)</v>
          </cell>
          <cell r="L272" t="str">
            <v>KAWA 8098</v>
          </cell>
          <cell r="M272" t="str">
            <v>SPHC-P/O</v>
          </cell>
          <cell r="N272" t="str">
            <v>BRACKET</v>
          </cell>
          <cell r="O272" t="str">
            <v>11057-0355 (8098)</v>
          </cell>
          <cell r="P272" t="str">
            <v>KAWA 8098</v>
          </cell>
          <cell r="Q272" t="str">
            <v>tsi</v>
          </cell>
        </row>
        <row r="273">
          <cell r="A273" t="str">
            <v>73017184-1</v>
          </cell>
          <cell r="B273" t="str">
            <v>1.6 x 85+/-0.5 x 1219</v>
          </cell>
          <cell r="C273">
            <v>1.6</v>
          </cell>
          <cell r="D273">
            <v>85</v>
          </cell>
          <cell r="E273">
            <v>1219</v>
          </cell>
          <cell r="F273">
            <v>1.3014044</v>
          </cell>
          <cell r="G273">
            <v>28</v>
          </cell>
          <cell r="H273">
            <v>77005375</v>
          </cell>
          <cell r="I273" t="str">
            <v>SPHC-P/O</v>
          </cell>
          <cell r="J273" t="str">
            <v>BRACKET</v>
          </cell>
          <cell r="K273" t="str">
            <v>11057-0361 (8098)</v>
          </cell>
          <cell r="L273" t="str">
            <v>KAWA 8098</v>
          </cell>
          <cell r="M273" t="str">
            <v>SPHC-P/O</v>
          </cell>
          <cell r="N273" t="str">
            <v>BRACKET</v>
          </cell>
          <cell r="O273" t="str">
            <v>11057-0361 (8098)</v>
          </cell>
          <cell r="P273" t="str">
            <v>KAWA 8098</v>
          </cell>
          <cell r="Q273" t="str">
            <v>epc</v>
          </cell>
        </row>
        <row r="274">
          <cell r="A274" t="str">
            <v>73017233-1</v>
          </cell>
          <cell r="B274" t="str">
            <v>3.2 x 162+/-0.5 x 1219</v>
          </cell>
          <cell r="C274">
            <v>3.2</v>
          </cell>
          <cell r="D274">
            <v>162</v>
          </cell>
          <cell r="E274">
            <v>1219</v>
          </cell>
          <cell r="F274">
            <v>4.9606473599999994</v>
          </cell>
          <cell r="G274">
            <v>18</v>
          </cell>
          <cell r="H274">
            <v>77005489</v>
          </cell>
          <cell r="I274" t="str">
            <v>SPHC-P/O</v>
          </cell>
          <cell r="J274" t="str">
            <v>BRACKET SHOCK ABSORBER(3478)</v>
          </cell>
          <cell r="K274" t="str">
            <v>32037-0377</v>
          </cell>
          <cell r="L274" t="str">
            <v>KAWA 3478</v>
          </cell>
          <cell r="M274" t="str">
            <v>SPHC-P/O</v>
          </cell>
          <cell r="N274" t="str">
            <v>BRACKET SHOCK ABSORBER(3478)</v>
          </cell>
          <cell r="O274" t="str">
            <v>32037-0377</v>
          </cell>
          <cell r="P274" t="str">
            <v>KAWA 3478</v>
          </cell>
          <cell r="Q274" t="str">
            <v>tsi</v>
          </cell>
        </row>
        <row r="275">
          <cell r="A275" t="str">
            <v>73017233-2</v>
          </cell>
          <cell r="B275" t="str">
            <v>3.2 x 41+/-0.5 x 1219</v>
          </cell>
          <cell r="C275">
            <v>3.2</v>
          </cell>
          <cell r="D275">
            <v>41</v>
          </cell>
          <cell r="E275">
            <v>1219</v>
          </cell>
          <cell r="F275">
            <v>1.2554724799999999</v>
          </cell>
          <cell r="G275">
            <v>172</v>
          </cell>
          <cell r="H275">
            <v>77005502</v>
          </cell>
          <cell r="I275" t="str">
            <v>SPHC-P/O</v>
          </cell>
          <cell r="J275" t="str">
            <v>BRACKET SHOCK ABSORBER(3478)</v>
          </cell>
          <cell r="K275" t="str">
            <v>32037-0377</v>
          </cell>
          <cell r="L275" t="str">
            <v>KAWA 3478</v>
          </cell>
          <cell r="M275" t="str">
            <v>SPHC-P/O</v>
          </cell>
          <cell r="N275" t="str">
            <v>BRACKET SHOCK ABSORBER(3478)</v>
          </cell>
          <cell r="O275" t="str">
            <v>32037-0377</v>
          </cell>
          <cell r="P275" t="str">
            <v>KAWA 3478</v>
          </cell>
          <cell r="Q275" t="str">
            <v>epc</v>
          </cell>
        </row>
        <row r="276">
          <cell r="A276" t="str">
            <v>73017233-3</v>
          </cell>
          <cell r="B276" t="str">
            <v>1.6 x 77+/-0.5 x 1219</v>
          </cell>
          <cell r="C276">
            <v>1.6</v>
          </cell>
          <cell r="D276">
            <v>77</v>
          </cell>
          <cell r="E276">
            <v>1219</v>
          </cell>
          <cell r="F276">
            <v>1.1789192800000001</v>
          </cell>
          <cell r="G276">
            <v>77</v>
          </cell>
          <cell r="H276">
            <v>77005371</v>
          </cell>
          <cell r="I276" t="str">
            <v>SPHC-P/O</v>
          </cell>
          <cell r="J276" t="str">
            <v>BRACKET SHOCK ABSORBER(3478)</v>
          </cell>
          <cell r="K276" t="str">
            <v>32037-0377</v>
          </cell>
          <cell r="L276" t="str">
            <v>KAWA 3478</v>
          </cell>
          <cell r="M276" t="str">
            <v>SPHC-P/O</v>
          </cell>
          <cell r="N276" t="str">
            <v>BRACKET SHOCK ABSORBER(3478)</v>
          </cell>
          <cell r="O276" t="str">
            <v>32037-0377</v>
          </cell>
          <cell r="P276" t="str">
            <v>KAWA 3478</v>
          </cell>
          <cell r="Q276" t="str">
            <v>tsi</v>
          </cell>
        </row>
        <row r="277">
          <cell r="A277">
            <v>73017252</v>
          </cell>
          <cell r="B277" t="str">
            <v>2.3 x 75+/-0.5 x 1219</v>
          </cell>
          <cell r="C277">
            <v>2.2999999999999998</v>
          </cell>
          <cell r="D277">
            <v>75</v>
          </cell>
          <cell r="E277">
            <v>1219</v>
          </cell>
          <cell r="F277">
            <v>1.650678375</v>
          </cell>
          <cell r="G277">
            <v>18</v>
          </cell>
          <cell r="H277">
            <v>77005292</v>
          </cell>
          <cell r="I277" t="str">
            <v>SPFH590-P/O</v>
          </cell>
          <cell r="J277" t="str">
            <v>GUSSET(8982)</v>
          </cell>
          <cell r="K277" t="str">
            <v>32170-2195</v>
          </cell>
          <cell r="L277" t="str">
            <v>KAWA 8982</v>
          </cell>
          <cell r="M277" t="str">
            <v>SPFH590-P/O</v>
          </cell>
          <cell r="N277" t="str">
            <v>GUSSET(8982)</v>
          </cell>
          <cell r="O277" t="str">
            <v>32170-2195</v>
          </cell>
          <cell r="P277" t="str">
            <v>KAWA 8982</v>
          </cell>
          <cell r="Q277" t="str">
            <v>tsi</v>
          </cell>
        </row>
        <row r="278">
          <cell r="A278">
            <v>73017253</v>
          </cell>
          <cell r="B278" t="str">
            <v>2.3 x 107+/-0.5 x 1219</v>
          </cell>
          <cell r="C278">
            <v>2.2999999999999998</v>
          </cell>
          <cell r="D278">
            <v>107</v>
          </cell>
          <cell r="E278">
            <v>1219</v>
          </cell>
          <cell r="F278">
            <v>2.3549678149999993</v>
          </cell>
          <cell r="G278">
            <v>21</v>
          </cell>
          <cell r="H278">
            <v>77005286</v>
          </cell>
          <cell r="I278" t="str">
            <v>SPFH590-P/O</v>
          </cell>
          <cell r="J278" t="str">
            <v>GUSSET(8982)</v>
          </cell>
          <cell r="K278" t="str">
            <v>32170-2205</v>
          </cell>
          <cell r="L278" t="str">
            <v>KAWA 8982</v>
          </cell>
          <cell r="M278" t="str">
            <v>SPFH590-P/O</v>
          </cell>
          <cell r="N278" t="str">
            <v>GUSSET(8982)</v>
          </cell>
          <cell r="O278" t="str">
            <v>32170-2205</v>
          </cell>
          <cell r="P278" t="str">
            <v>KAWA 8982</v>
          </cell>
          <cell r="Q278" t="str">
            <v>tsi</v>
          </cell>
        </row>
        <row r="279">
          <cell r="A279" t="str">
            <v>73021008-1</v>
          </cell>
          <cell r="B279" t="str">
            <v>1.6 x 99+/-0.5 x 1219</v>
          </cell>
          <cell r="C279">
            <v>1.6</v>
          </cell>
          <cell r="D279">
            <v>99</v>
          </cell>
          <cell r="E279">
            <v>1219</v>
          </cell>
          <cell r="F279">
            <v>1.5157533599999999</v>
          </cell>
          <cell r="G279">
            <v>27</v>
          </cell>
          <cell r="H279">
            <v>77005246</v>
          </cell>
          <cell r="I279" t="str">
            <v>SAPH440</v>
          </cell>
          <cell r="J279" t="str">
            <v>MOUNT TANK REAR</v>
          </cell>
          <cell r="K279" t="str">
            <v>2409998/2</v>
          </cell>
          <cell r="L279" t="str">
            <v>TRIUMPH CG7</v>
          </cell>
          <cell r="M279" t="str">
            <v>SAPH440</v>
          </cell>
          <cell r="N279" t="str">
            <v>MOUNT TANK REAR</v>
          </cell>
          <cell r="O279" t="str">
            <v>2409998/2</v>
          </cell>
          <cell r="P279" t="str">
            <v>TRIUMPH CG7</v>
          </cell>
          <cell r="Q279" t="str">
            <v>bm</v>
          </cell>
        </row>
        <row r="280">
          <cell r="A280" t="str">
            <v>30051726-1</v>
          </cell>
          <cell r="B280" t="str">
            <v>3.2 x 81+/-0.5 x 1219</v>
          </cell>
          <cell r="C280">
            <v>3.2</v>
          </cell>
          <cell r="D280">
            <v>81</v>
          </cell>
          <cell r="E280">
            <v>1219</v>
          </cell>
          <cell r="F280">
            <v>2.4803236799999997</v>
          </cell>
          <cell r="G280">
            <v>39</v>
          </cell>
          <cell r="H280">
            <v>77005516</v>
          </cell>
          <cell r="I280" t="str">
            <v>SPHC-P/O</v>
          </cell>
          <cell r="J280" t="str">
            <v>SUB ASSY 2+3</v>
          </cell>
          <cell r="K280" t="str">
            <v>TC822-4213-1-K2+3</v>
          </cell>
          <cell r="L280" t="str">
            <v>KUBOTA</v>
          </cell>
          <cell r="M280" t="str">
            <v>SPHC-P/O</v>
          </cell>
          <cell r="N280" t="str">
            <v>SUB ASSY 2+3</v>
          </cell>
          <cell r="O280" t="str">
            <v>TC822-4213-1-K2+3</v>
          </cell>
          <cell r="P280" t="str">
            <v>KUBOTA</v>
          </cell>
          <cell r="Q280" t="str">
            <v>ps</v>
          </cell>
        </row>
        <row r="281">
          <cell r="A281" t="str">
            <v>30051727-1</v>
          </cell>
          <cell r="B281" t="str">
            <v>3.2 x 81+/-0.5 x 1219</v>
          </cell>
          <cell r="C281">
            <v>3.2</v>
          </cell>
          <cell r="D281">
            <v>81</v>
          </cell>
          <cell r="E281">
            <v>1219</v>
          </cell>
          <cell r="F281">
            <v>2.4803236799999997</v>
          </cell>
          <cell r="G281">
            <v>39</v>
          </cell>
          <cell r="H281">
            <v>77005516</v>
          </cell>
          <cell r="I281" t="str">
            <v>SPHC-P/O</v>
          </cell>
          <cell r="J281" t="str">
            <v>SUB ASSY 2+3</v>
          </cell>
          <cell r="K281" t="str">
            <v>TC822-4213-1-K2+3</v>
          </cell>
          <cell r="L281" t="str">
            <v>KUBOTA</v>
          </cell>
          <cell r="M281" t="str">
            <v>SPHC-P/O</v>
          </cell>
          <cell r="N281" t="str">
            <v>SUB ASSY 2+3</v>
          </cell>
          <cell r="O281" t="str">
            <v>TC822-4213-1-K2+3</v>
          </cell>
          <cell r="P281" t="str">
            <v>KUBOTA</v>
          </cell>
          <cell r="Q281" t="str">
            <v>ps</v>
          </cell>
        </row>
        <row r="282">
          <cell r="A282" t="str">
            <v>30052096-1</v>
          </cell>
          <cell r="B282" t="str">
            <v>2.3 x 344 x 1219</v>
          </cell>
          <cell r="C282">
            <v>2.2999999999999998</v>
          </cell>
          <cell r="D282">
            <v>344</v>
          </cell>
          <cell r="E282">
            <v>1219</v>
          </cell>
          <cell r="F282">
            <v>7.5711114799999999</v>
          </cell>
          <cell r="G282">
            <v>11</v>
          </cell>
          <cell r="H282">
            <v>77005849</v>
          </cell>
          <cell r="I282" t="str">
            <v>YSH440W-P</v>
          </cell>
          <cell r="J282" t="str">
            <v>BRKT 7</v>
          </cell>
          <cell r="K282" t="str">
            <v>BVX-F116J-00</v>
          </cell>
          <cell r="L282" t="str">
            <v>BVX</v>
          </cell>
          <cell r="M282" t="str">
            <v>YSH440W-P</v>
          </cell>
          <cell r="N282" t="str">
            <v>BRKT 7</v>
          </cell>
          <cell r="O282" t="str">
            <v>BVX-F116J-00</v>
          </cell>
          <cell r="P282" t="str">
            <v>BVX</v>
          </cell>
          <cell r="Q282" t="str">
            <v>bm</v>
          </cell>
        </row>
        <row r="283">
          <cell r="A283" t="str">
            <v>30052096-2</v>
          </cell>
          <cell r="B283" t="str">
            <v>2.3 x 133 x 1219</v>
          </cell>
          <cell r="C283">
            <v>2.2999999999999998</v>
          </cell>
          <cell r="D283">
            <v>133</v>
          </cell>
          <cell r="E283">
            <v>1219</v>
          </cell>
          <cell r="F283">
            <v>2.9272029850000001</v>
          </cell>
          <cell r="G283">
            <v>6</v>
          </cell>
          <cell r="H283">
            <v>77005850</v>
          </cell>
          <cell r="I283" t="str">
            <v>YSH440W-P</v>
          </cell>
          <cell r="J283" t="str">
            <v>BRKT 8</v>
          </cell>
          <cell r="K283" t="str">
            <v>BVX-F116K-00</v>
          </cell>
          <cell r="L283" t="str">
            <v>BVX</v>
          </cell>
          <cell r="M283" t="str">
            <v>YSH440W-P</v>
          </cell>
          <cell r="N283" t="str">
            <v>BRKT 8</v>
          </cell>
          <cell r="O283" t="str">
            <v>BVX-F116K-00</v>
          </cell>
          <cell r="P283" t="str">
            <v>BVX</v>
          </cell>
          <cell r="Q283" t="str">
            <v>bm</v>
          </cell>
        </row>
        <row r="285">
          <cell r="H285">
            <v>99</v>
          </cell>
        </row>
        <row r="288">
          <cell r="A288" t="str">
            <v>ชิ้นงาน TSGP1</v>
          </cell>
          <cell r="B288" t="str">
            <v>ไม่มีรายการใน Forecast จาก คุณเอกลัก TSGP 1</v>
          </cell>
        </row>
        <row r="289">
          <cell r="A289">
            <v>30002502</v>
          </cell>
          <cell r="B289" t="str">
            <v>1.2 x 142+/-0.5 x 1219</v>
          </cell>
          <cell r="C289">
            <v>1.2</v>
          </cell>
          <cell r="D289">
            <v>142</v>
          </cell>
          <cell r="E289">
            <v>1219</v>
          </cell>
          <cell r="F289">
            <v>1.6305831599999998</v>
          </cell>
          <cell r="H289">
            <v>77004699</v>
          </cell>
          <cell r="I289" t="str">
            <v>SPCC-SD</v>
          </cell>
          <cell r="J289" t="str">
            <v xml:space="preserve">STAY COVER </v>
          </cell>
          <cell r="L289" t="str">
            <v>T</v>
          </cell>
          <cell r="M289" t="str">
            <v>SPCC-SD</v>
          </cell>
          <cell r="N289" t="str">
            <v xml:space="preserve">STAY COVER </v>
          </cell>
          <cell r="P289" t="str">
            <v>T</v>
          </cell>
          <cell r="Q289" t="str">
            <v>เสนอราคาเป็น Price Sourcing</v>
          </cell>
        </row>
        <row r="290">
          <cell r="A290">
            <v>30002503</v>
          </cell>
          <cell r="B290" t="str">
            <v>1.6 x 220+/-0.5 x 219</v>
          </cell>
          <cell r="C290">
            <v>1.6</v>
          </cell>
          <cell r="D290">
            <v>220</v>
          </cell>
          <cell r="E290">
            <v>1219</v>
          </cell>
          <cell r="F290">
            <v>3.3683407999999999</v>
          </cell>
          <cell r="H290">
            <v>77004707</v>
          </cell>
          <cell r="I290" t="str">
            <v>SPCC-SD</v>
          </cell>
          <cell r="J290" t="str">
            <v xml:space="preserve">PLATE B,L </v>
          </cell>
          <cell r="L290" t="str">
            <v>T</v>
          </cell>
          <cell r="M290" t="str">
            <v>SPCC-SD</v>
          </cell>
          <cell r="N290" t="str">
            <v xml:space="preserve">PLATE B,L </v>
          </cell>
          <cell r="P290" t="str">
            <v>T</v>
          </cell>
          <cell r="Q290" t="str">
            <v>เสนอราคาเป็น Price Sourcing</v>
          </cell>
        </row>
        <row r="291">
          <cell r="A291">
            <v>30002504</v>
          </cell>
          <cell r="B291" t="str">
            <v>1.6 x 230+/-0.5 x 1219</v>
          </cell>
          <cell r="C291">
            <v>1.6</v>
          </cell>
          <cell r="D291">
            <v>230</v>
          </cell>
          <cell r="E291">
            <v>1219</v>
          </cell>
          <cell r="F291">
            <v>3.5214471999999999</v>
          </cell>
          <cell r="H291">
            <v>77004709</v>
          </cell>
          <cell r="I291" t="str">
            <v>SPCC-SD</v>
          </cell>
          <cell r="J291" t="str">
            <v xml:space="preserve">PLATE A,L </v>
          </cell>
          <cell r="L291" t="str">
            <v>T</v>
          </cell>
          <cell r="M291" t="str">
            <v>SPCC-SD</v>
          </cell>
          <cell r="N291" t="str">
            <v xml:space="preserve">PLATE A,L </v>
          </cell>
          <cell r="P291" t="str">
            <v>T</v>
          </cell>
          <cell r="Q291" t="str">
            <v>เสนอราคาเป็น Price Sourcing</v>
          </cell>
        </row>
        <row r="292">
          <cell r="A292">
            <v>30002506</v>
          </cell>
          <cell r="B292" t="str">
            <v>1.6 x 230+/-0.5 x 1219</v>
          </cell>
          <cell r="C292">
            <v>1.6</v>
          </cell>
          <cell r="D292">
            <v>230</v>
          </cell>
          <cell r="E292">
            <v>1219</v>
          </cell>
          <cell r="F292">
            <v>3.5214471999999999</v>
          </cell>
          <cell r="H292">
            <v>77004709</v>
          </cell>
          <cell r="I292" t="str">
            <v>SPCC-SD</v>
          </cell>
          <cell r="J292" t="str">
            <v xml:space="preserve">PLATE A,R </v>
          </cell>
          <cell r="L292" t="str">
            <v>T</v>
          </cell>
          <cell r="M292" t="str">
            <v>SPCC-SD</v>
          </cell>
          <cell r="N292" t="str">
            <v xml:space="preserve">PLATE A,R </v>
          </cell>
          <cell r="P292" t="str">
            <v>T</v>
          </cell>
          <cell r="Q292" t="str">
            <v>เสนอราคาเป็น Price Sourcing</v>
          </cell>
        </row>
        <row r="293">
          <cell r="A293">
            <v>30002508</v>
          </cell>
          <cell r="B293" t="str">
            <v>3.0 x 35+/-0.5 x 1219</v>
          </cell>
          <cell r="C293">
            <v>3</v>
          </cell>
          <cell r="D293">
            <v>35</v>
          </cell>
          <cell r="E293">
            <v>1219</v>
          </cell>
          <cell r="F293">
            <v>1.00476075</v>
          </cell>
          <cell r="G293">
            <v>57</v>
          </cell>
          <cell r="H293">
            <v>77004733</v>
          </cell>
          <cell r="I293" t="str">
            <v>SPCC-SD</v>
          </cell>
          <cell r="J293" t="str">
            <v xml:space="preserve">PLATE STOPPER </v>
          </cell>
          <cell r="K293" t="str">
            <v>50100-KPH-9700</v>
          </cell>
          <cell r="L293" t="str">
            <v>T</v>
          </cell>
          <cell r="M293" t="str">
            <v>SPCC-SD</v>
          </cell>
          <cell r="N293" t="str">
            <v xml:space="preserve">PLATE STOPPER </v>
          </cell>
          <cell r="O293" t="str">
            <v>50100-KPH-9700</v>
          </cell>
          <cell r="P293" t="str">
            <v>T</v>
          </cell>
          <cell r="Q293" t="str">
            <v>เสนอราคาเป็น Price Sourcing</v>
          </cell>
        </row>
        <row r="294">
          <cell r="A294">
            <v>30002514</v>
          </cell>
          <cell r="B294" t="str">
            <v>1.2 x 304+/-0.5 x 1219</v>
          </cell>
          <cell r="C294">
            <v>1.2</v>
          </cell>
          <cell r="D294">
            <v>304</v>
          </cell>
          <cell r="E294">
            <v>1219</v>
          </cell>
          <cell r="F294">
            <v>3.4908259199999998</v>
          </cell>
          <cell r="H294">
            <v>77004700</v>
          </cell>
          <cell r="I294" t="str">
            <v>SPCC-SD</v>
          </cell>
          <cell r="J294" t="str">
            <v xml:space="preserve">STAY METER </v>
          </cell>
          <cell r="L294" t="str">
            <v>T</v>
          </cell>
          <cell r="M294" t="str">
            <v>SPCC-SD</v>
          </cell>
          <cell r="N294" t="str">
            <v xml:space="preserve">STAY METER </v>
          </cell>
          <cell r="P294" t="str">
            <v>T</v>
          </cell>
          <cell r="Q294" t="str">
            <v>เสนอราคาเป็น Price Sourcing</v>
          </cell>
        </row>
        <row r="295">
          <cell r="A295">
            <v>30002521</v>
          </cell>
          <cell r="B295" t="str">
            <v>1.6 x 130+-/0.5 x 1219</v>
          </cell>
          <cell r="C295">
            <v>1.6</v>
          </cell>
          <cell r="D295">
            <v>130</v>
          </cell>
          <cell r="E295">
            <v>1219</v>
          </cell>
          <cell r="F295">
            <v>1.9903831999999999</v>
          </cell>
          <cell r="H295">
            <v>77004711</v>
          </cell>
          <cell r="I295" t="str">
            <v>SPCC-SD</v>
          </cell>
          <cell r="J295" t="str">
            <v xml:space="preserve">STAY CDI </v>
          </cell>
          <cell r="L295" t="str">
            <v>T</v>
          </cell>
          <cell r="M295" t="str">
            <v>SPCC-SD</v>
          </cell>
          <cell r="N295" t="str">
            <v xml:space="preserve">STAY CDI </v>
          </cell>
          <cell r="P295" t="str">
            <v>T</v>
          </cell>
          <cell r="Q295" t="str">
            <v>เสนอราคาเป็น Price Sourcing</v>
          </cell>
        </row>
        <row r="296">
          <cell r="A296">
            <v>30002522</v>
          </cell>
          <cell r="B296" t="str">
            <v>1.4 x 78+/-0.5 x 1219</v>
          </cell>
          <cell r="C296">
            <v>1.4</v>
          </cell>
          <cell r="D296">
            <v>78</v>
          </cell>
          <cell r="E296">
            <v>1219</v>
          </cell>
          <cell r="F296">
            <v>1.0449511799999998</v>
          </cell>
          <cell r="H296">
            <v>77004702</v>
          </cell>
          <cell r="I296" t="str">
            <v>SPCC-SD</v>
          </cell>
          <cell r="J296" t="str">
            <v xml:space="preserve">STAY </v>
          </cell>
          <cell r="L296" t="str">
            <v>T</v>
          </cell>
          <cell r="M296" t="str">
            <v>SPCC-SD</v>
          </cell>
          <cell r="N296" t="str">
            <v xml:space="preserve">STAY </v>
          </cell>
          <cell r="P296" t="str">
            <v>T</v>
          </cell>
          <cell r="Q296" t="str">
            <v>เสนอราคาเป็น Price Sourcing</v>
          </cell>
        </row>
        <row r="297">
          <cell r="A297">
            <v>30002527</v>
          </cell>
          <cell r="B297" t="str">
            <v>1.6 x 145+/-0.5 x 1219</v>
          </cell>
          <cell r="C297">
            <v>1.6</v>
          </cell>
          <cell r="D297">
            <v>145</v>
          </cell>
          <cell r="E297">
            <v>1219</v>
          </cell>
          <cell r="F297">
            <v>2.2200427999999999</v>
          </cell>
          <cell r="H297">
            <v>77004712</v>
          </cell>
          <cell r="I297" t="str">
            <v>SPCC-SD</v>
          </cell>
          <cell r="J297" t="str">
            <v>BRKT NO PLATE</v>
          </cell>
          <cell r="L297" t="str">
            <v>T</v>
          </cell>
          <cell r="M297" t="str">
            <v>SPCC-SD</v>
          </cell>
          <cell r="N297" t="str">
            <v>BRKT NO PLATE</v>
          </cell>
          <cell r="P297" t="str">
            <v>T</v>
          </cell>
          <cell r="Q297" t="str">
            <v>เสนอราคาเป็น Price Sourcing</v>
          </cell>
        </row>
        <row r="298">
          <cell r="A298">
            <v>30002528</v>
          </cell>
          <cell r="B298" t="str">
            <v>1.6 x 305+/-0.5 x 1219</v>
          </cell>
          <cell r="C298">
            <v>1.6</v>
          </cell>
          <cell r="D298">
            <v>305</v>
          </cell>
          <cell r="E298">
            <v>1219</v>
          </cell>
          <cell r="F298">
            <v>4.6697452000000004</v>
          </cell>
          <cell r="H298">
            <v>77004713</v>
          </cell>
          <cell r="I298" t="str">
            <v>SPCC-SD</v>
          </cell>
          <cell r="J298" t="str">
            <v xml:space="preserve">PLATE FR CROSS </v>
          </cell>
          <cell r="L298" t="str">
            <v>T</v>
          </cell>
          <cell r="M298" t="str">
            <v>SPCC-SD</v>
          </cell>
          <cell r="N298" t="str">
            <v xml:space="preserve">PLATE FR CROSS </v>
          </cell>
          <cell r="P298" t="str">
            <v>T</v>
          </cell>
          <cell r="Q298" t="str">
            <v>เสนอราคาเป็น Price Sourcing</v>
          </cell>
        </row>
        <row r="299">
          <cell r="A299">
            <v>30002530</v>
          </cell>
          <cell r="B299" t="str">
            <v>2.0 x 226+/-0.5 x 1219</v>
          </cell>
          <cell r="C299">
            <v>2</v>
          </cell>
          <cell r="D299">
            <v>226</v>
          </cell>
          <cell r="E299">
            <v>1219</v>
          </cell>
          <cell r="F299">
            <v>4.3252557999999999</v>
          </cell>
          <cell r="H299">
            <v>77004716</v>
          </cell>
          <cell r="I299" t="str">
            <v>SPCC-SD</v>
          </cell>
          <cell r="J299" t="str">
            <v xml:space="preserve">BRKT L SIDE </v>
          </cell>
          <cell r="L299" t="str">
            <v>T</v>
          </cell>
          <cell r="M299" t="str">
            <v>SPCC-SD</v>
          </cell>
          <cell r="N299" t="str">
            <v xml:space="preserve">BRKT L SIDE </v>
          </cell>
          <cell r="P299" t="str">
            <v>T</v>
          </cell>
          <cell r="Q299" t="str">
            <v>เสนอราคาเป็น Price Sourcing</v>
          </cell>
        </row>
        <row r="300">
          <cell r="A300">
            <v>30002532</v>
          </cell>
          <cell r="B300" t="str">
            <v>2.0 x 226+/-0.5 x 1219</v>
          </cell>
          <cell r="C300">
            <v>2</v>
          </cell>
          <cell r="D300">
            <v>226</v>
          </cell>
          <cell r="E300">
            <v>1219</v>
          </cell>
          <cell r="F300">
            <v>4.3252557999999999</v>
          </cell>
          <cell r="H300">
            <v>77004716</v>
          </cell>
          <cell r="I300" t="str">
            <v>SPCC-SD</v>
          </cell>
          <cell r="J300" t="str">
            <v xml:space="preserve">BRKT R SIDE </v>
          </cell>
          <cell r="L300" t="str">
            <v>T</v>
          </cell>
          <cell r="M300" t="str">
            <v>SPCC-SD</v>
          </cell>
          <cell r="N300" t="str">
            <v xml:space="preserve">BRKT R SIDE </v>
          </cell>
          <cell r="P300" t="str">
            <v>T</v>
          </cell>
          <cell r="Q300" t="str">
            <v>เสนอราคาเป็น Price Sourcing</v>
          </cell>
        </row>
        <row r="301">
          <cell r="A301">
            <v>30002533</v>
          </cell>
          <cell r="B301" t="str">
            <v>2.0 x 272+/-0.5 x 1219</v>
          </cell>
          <cell r="C301">
            <v>2</v>
          </cell>
          <cell r="D301">
            <v>272</v>
          </cell>
          <cell r="E301">
            <v>1219</v>
          </cell>
          <cell r="F301">
            <v>5.2056176000000001</v>
          </cell>
          <cell r="H301">
            <v>77004717</v>
          </cell>
          <cell r="I301" t="str">
            <v>SPCC-SD</v>
          </cell>
          <cell r="J301" t="str">
            <v xml:space="preserve">BRKT T/L MOUNT </v>
          </cell>
          <cell r="L301" t="str">
            <v>T</v>
          </cell>
          <cell r="M301" t="str">
            <v>SPCC-SD</v>
          </cell>
          <cell r="N301" t="str">
            <v xml:space="preserve">BRKT T/L MOUNT </v>
          </cell>
          <cell r="P301" t="str">
            <v>T</v>
          </cell>
          <cell r="Q301" t="str">
            <v>เสนอราคาเป็น Price Sourcing</v>
          </cell>
        </row>
        <row r="302">
          <cell r="A302">
            <v>30002534</v>
          </cell>
          <cell r="B302" t="str">
            <v>1.6 x 250+/-0.5 x 1219</v>
          </cell>
          <cell r="C302">
            <v>1.6</v>
          </cell>
          <cell r="D302">
            <v>250</v>
          </cell>
          <cell r="E302">
            <v>1219</v>
          </cell>
          <cell r="F302">
            <v>3.8276599999999998</v>
          </cell>
          <cell r="H302">
            <v>77004714</v>
          </cell>
          <cell r="I302" t="str">
            <v>SPCC-SD</v>
          </cell>
          <cell r="J302" t="str">
            <v xml:space="preserve">PLATE RR CROSS </v>
          </cell>
          <cell r="L302" t="str">
            <v>T</v>
          </cell>
          <cell r="M302" t="str">
            <v>SPCC-SD</v>
          </cell>
          <cell r="N302" t="str">
            <v xml:space="preserve">PLATE RR CROSS </v>
          </cell>
          <cell r="P302" t="str">
            <v>T</v>
          </cell>
          <cell r="Q302" t="str">
            <v>เสนอราคาเป็น Price Sourcing</v>
          </cell>
        </row>
        <row r="303">
          <cell r="A303">
            <v>30002551</v>
          </cell>
          <cell r="B303" t="str">
            <v>3.2 x 65+/-0.5 x 1219</v>
          </cell>
          <cell r="C303">
            <v>3.2</v>
          </cell>
          <cell r="D303">
            <v>65</v>
          </cell>
          <cell r="E303">
            <v>1219</v>
          </cell>
          <cell r="F303">
            <v>1.9903831999999999</v>
          </cell>
          <cell r="G303">
            <v>24</v>
          </cell>
          <cell r="H303">
            <v>77004734</v>
          </cell>
          <cell r="I303" t="str">
            <v>SPCC-SD</v>
          </cell>
          <cell r="J303" t="str">
            <v xml:space="preserve">PLATE UPP STOPPER </v>
          </cell>
          <cell r="K303" t="str">
            <v>50500-KGHA-9000-12</v>
          </cell>
          <cell r="L303" t="str">
            <v>T</v>
          </cell>
          <cell r="M303" t="str">
            <v>SPCC-SD</v>
          </cell>
          <cell r="N303" t="str">
            <v xml:space="preserve">PLATE UPP STOPPER </v>
          </cell>
          <cell r="O303" t="str">
            <v>50500-KGHA-9000-12</v>
          </cell>
          <cell r="P303" t="str">
            <v>T</v>
          </cell>
          <cell r="Q303" t="str">
            <v>เสนอราคาเป็น Price Sourcing</v>
          </cell>
        </row>
        <row r="304">
          <cell r="A304">
            <v>30002556</v>
          </cell>
          <cell r="B304" t="str">
            <v>4.5 x 270+/-0.5 x 1219</v>
          </cell>
          <cell r="C304">
            <v>4.5</v>
          </cell>
          <cell r="D304">
            <v>270</v>
          </cell>
          <cell r="E304">
            <v>1219</v>
          </cell>
          <cell r="F304">
            <v>11.626517249999999</v>
          </cell>
          <cell r="G304">
            <v>23</v>
          </cell>
          <cell r="H304">
            <v>77004675</v>
          </cell>
          <cell r="I304" t="str">
            <v>SPHC-P/O</v>
          </cell>
          <cell r="J304" t="str">
            <v xml:space="preserve">ARM </v>
          </cell>
          <cell r="K304" t="str">
            <v>2470B-KPH-9700</v>
          </cell>
          <cell r="L304" t="str">
            <v>T</v>
          </cell>
          <cell r="M304" t="str">
            <v>SPHC-P/O</v>
          </cell>
          <cell r="N304" t="str">
            <v xml:space="preserve">ARM </v>
          </cell>
          <cell r="O304" t="str">
            <v>2470B-KPH-9700</v>
          </cell>
          <cell r="P304" t="str">
            <v>T</v>
          </cell>
          <cell r="Q304" t="str">
            <v>เสนอราคาเป็น Price Sourcing</v>
          </cell>
        </row>
        <row r="305">
          <cell r="A305">
            <v>30002558</v>
          </cell>
          <cell r="B305" t="str">
            <v>1.4 x 50+/-0.5 x 1219</v>
          </cell>
          <cell r="C305">
            <v>1.4</v>
          </cell>
          <cell r="D305">
            <v>50</v>
          </cell>
          <cell r="E305">
            <v>1219</v>
          </cell>
          <cell r="F305">
            <v>0.66984049999999995</v>
          </cell>
          <cell r="H305">
            <v>77003804</v>
          </cell>
          <cell r="I305" t="str">
            <v>SPCC-SD</v>
          </cell>
          <cell r="J305" t="str">
            <v xml:space="preserve">PLATE </v>
          </cell>
          <cell r="L305" t="str">
            <v>T</v>
          </cell>
          <cell r="M305" t="str">
            <v>SPCC-SD</v>
          </cell>
          <cell r="N305" t="str">
            <v xml:space="preserve">PLATE </v>
          </cell>
          <cell r="P305" t="str">
            <v>T</v>
          </cell>
          <cell r="Q305" t="str">
            <v>เสนอราคาเป็น Price Sourcing</v>
          </cell>
        </row>
        <row r="306">
          <cell r="A306">
            <v>30002566</v>
          </cell>
          <cell r="B306" t="str">
            <v>4.5 x 64+/-0.5 x 1219</v>
          </cell>
          <cell r="C306">
            <v>4.5</v>
          </cell>
          <cell r="D306">
            <v>64</v>
          </cell>
          <cell r="E306">
            <v>1219</v>
          </cell>
          <cell r="F306">
            <v>2.7559151999999996</v>
          </cell>
          <cell r="H306">
            <v>77004737</v>
          </cell>
          <cell r="I306" t="str">
            <v>SPHC P/O</v>
          </cell>
          <cell r="J306" t="str">
            <v>STOPPER HANDLE LOCK</v>
          </cell>
          <cell r="L306" t="str">
            <v>T</v>
          </cell>
          <cell r="M306" t="str">
            <v>SPHC P/O</v>
          </cell>
          <cell r="N306" t="str">
            <v>STOPPER HANDLE LOCK</v>
          </cell>
          <cell r="P306" t="str">
            <v>T</v>
          </cell>
          <cell r="Q306" t="str">
            <v>เสนอราคาเป็น Price Sourcing</v>
          </cell>
        </row>
        <row r="307">
          <cell r="A307">
            <v>30002569</v>
          </cell>
          <cell r="B307" t="str">
            <v>2.6 x 115+/-0.5 x 1219</v>
          </cell>
          <cell r="C307">
            <v>2.6</v>
          </cell>
          <cell r="D307">
            <v>115</v>
          </cell>
          <cell r="E307">
            <v>1219</v>
          </cell>
          <cell r="F307">
            <v>2.86117585</v>
          </cell>
          <cell r="G307">
            <v>20</v>
          </cell>
          <cell r="H307">
            <v>77004730</v>
          </cell>
          <cell r="I307" t="str">
            <v>SPCC-SD</v>
          </cell>
          <cell r="J307" t="str">
            <v>BRKT L</v>
          </cell>
          <cell r="K307" t="str">
            <v>53109-KRS-7800-01</v>
          </cell>
          <cell r="L307" t="str">
            <v>T</v>
          </cell>
          <cell r="M307" t="str">
            <v>SPCC-SD</v>
          </cell>
          <cell r="N307" t="str">
            <v>BRKT L</v>
          </cell>
          <cell r="O307" t="str">
            <v>53109-KRS-7800-01</v>
          </cell>
          <cell r="P307" t="str">
            <v>T</v>
          </cell>
          <cell r="Q307" t="str">
            <v>เสนอราคาเป็น Price Sourcing</v>
          </cell>
        </row>
        <row r="308">
          <cell r="A308">
            <v>30002570</v>
          </cell>
          <cell r="B308" t="str">
            <v>3.2 x 58+/-0.5 x 1219</v>
          </cell>
          <cell r="C308">
            <v>3.2</v>
          </cell>
          <cell r="D308">
            <v>58</v>
          </cell>
          <cell r="E308">
            <v>1219</v>
          </cell>
          <cell r="F308">
            <v>1.77603424</v>
          </cell>
          <cell r="H308">
            <v>77004735</v>
          </cell>
          <cell r="I308" t="str">
            <v>SPCC-SD</v>
          </cell>
          <cell r="J308" t="str">
            <v xml:space="preserve">PLATE A </v>
          </cell>
          <cell r="L308" t="str">
            <v>T</v>
          </cell>
          <cell r="M308" t="str">
            <v>SPCC-SD</v>
          </cell>
          <cell r="N308" t="str">
            <v xml:space="preserve">PLATE A </v>
          </cell>
          <cell r="P308" t="str">
            <v>T</v>
          </cell>
          <cell r="Q308" t="str">
            <v>เสนอราคาเป็น Price Sourcing</v>
          </cell>
        </row>
        <row r="309">
          <cell r="A309">
            <v>30002942</v>
          </cell>
          <cell r="B309" t="str">
            <v>2.3 x 260+/-0.5 x 1219</v>
          </cell>
          <cell r="C309">
            <v>2.2999999999999998</v>
          </cell>
          <cell r="D309">
            <v>260</v>
          </cell>
          <cell r="E309">
            <v>1219</v>
          </cell>
          <cell r="F309">
            <v>5.7223516999999999</v>
          </cell>
          <cell r="G309">
            <v>12</v>
          </cell>
          <cell r="H309">
            <v>77004110</v>
          </cell>
          <cell r="I309" t="str">
            <v>SPCC-SD</v>
          </cell>
          <cell r="J309" t="str">
            <v xml:space="preserve">PLATE </v>
          </cell>
          <cell r="K309" t="str">
            <v>50127-GEZ-6400 3 HOLE</v>
          </cell>
          <cell r="L309" t="str">
            <v>T</v>
          </cell>
          <cell r="M309" t="str">
            <v>SPCC-SD</v>
          </cell>
          <cell r="N309" t="str">
            <v xml:space="preserve">PLATE </v>
          </cell>
          <cell r="O309" t="str">
            <v>50127-GEZ-6400 3 HOLE</v>
          </cell>
          <cell r="P309" t="str">
            <v>T</v>
          </cell>
          <cell r="Q309" t="str">
            <v>ptt</v>
          </cell>
        </row>
        <row r="310">
          <cell r="A310">
            <v>30002958</v>
          </cell>
          <cell r="B310" t="str">
            <v>1.4 x 82+/-0.5 x 1219</v>
          </cell>
          <cell r="C310">
            <v>1.4</v>
          </cell>
          <cell r="D310">
            <v>82</v>
          </cell>
          <cell r="E310">
            <v>1219</v>
          </cell>
          <cell r="F310">
            <v>1.0985384199999999</v>
          </cell>
          <cell r="H310">
            <v>77004240</v>
          </cell>
          <cell r="I310" t="str">
            <v>SPCC-SD</v>
          </cell>
          <cell r="J310" t="str">
            <v>STAY</v>
          </cell>
          <cell r="L310" t="str">
            <v>T</v>
          </cell>
          <cell r="M310" t="str">
            <v>SPCC-SD</v>
          </cell>
          <cell r="N310" t="str">
            <v>STAY</v>
          </cell>
          <cell r="P310" t="str">
            <v>T</v>
          </cell>
          <cell r="Q310" t="str">
            <v>เสนอราคาเป็น Price Sourcing</v>
          </cell>
        </row>
        <row r="311">
          <cell r="A311">
            <v>30003247</v>
          </cell>
          <cell r="B311" t="str">
            <v>4.5 x 146+/-0.5 x 1219</v>
          </cell>
          <cell r="C311">
            <v>4.5</v>
          </cell>
          <cell r="D311">
            <v>146</v>
          </cell>
          <cell r="E311">
            <v>1219</v>
          </cell>
          <cell r="F311">
            <v>6.2869315500000003</v>
          </cell>
          <cell r="G311">
            <v>39</v>
          </cell>
          <cell r="H311">
            <v>77004738</v>
          </cell>
          <cell r="I311" t="str">
            <v>SPHC-P/O</v>
          </cell>
          <cell r="J311" t="str">
            <v>ARM</v>
          </cell>
          <cell r="K311" t="str">
            <v>24701-KTYG-D300-01</v>
          </cell>
          <cell r="L311" t="str">
            <v>T</v>
          </cell>
          <cell r="M311" t="str">
            <v>SPHC-P/O</v>
          </cell>
          <cell r="N311" t="str">
            <v>ARM</v>
          </cell>
          <cell r="O311" t="str">
            <v>24701-KTYG-D300-01</v>
          </cell>
          <cell r="P311" t="str">
            <v>T</v>
          </cell>
          <cell r="Q311" t="str">
            <v>เสนอราคาเป็น Price Sourcing</v>
          </cell>
        </row>
        <row r="312">
          <cell r="A312">
            <v>30003693</v>
          </cell>
          <cell r="B312" t="str">
            <v>6.0 x 76+/-0.5 x 1219</v>
          </cell>
          <cell r="C312">
            <v>6</v>
          </cell>
          <cell r="D312">
            <v>76</v>
          </cell>
          <cell r="E312">
            <v>1219</v>
          </cell>
          <cell r="F312">
            <v>4.3635323999999995</v>
          </cell>
          <cell r="G312">
            <v>46</v>
          </cell>
          <cell r="I312" t="str">
            <v>SPHC-P/O</v>
          </cell>
          <cell r="J312" t="str">
            <v>STOPPER STRG</v>
          </cell>
          <cell r="K312" t="str">
            <v>4S3-F1312-00</v>
          </cell>
          <cell r="L312" t="str">
            <v>T</v>
          </cell>
          <cell r="M312" t="str">
            <v>SPHC-P/O</v>
          </cell>
          <cell r="N312" t="str">
            <v>STOPPER STRG</v>
          </cell>
          <cell r="O312" t="str">
            <v>4S3-F1312-00</v>
          </cell>
          <cell r="P312" t="str">
            <v>T</v>
          </cell>
          <cell r="Q312" t="e">
            <v>#N/A</v>
          </cell>
        </row>
        <row r="313">
          <cell r="A313">
            <v>30003769</v>
          </cell>
          <cell r="B313" t="str">
            <v>2.3 x 77+/-0.5 x 1219</v>
          </cell>
          <cell r="C313">
            <v>2.2999999999999998</v>
          </cell>
          <cell r="D313">
            <v>77</v>
          </cell>
          <cell r="E313">
            <v>1219</v>
          </cell>
          <cell r="F313">
            <v>1.6946964649999998</v>
          </cell>
          <cell r="G313">
            <v>27</v>
          </cell>
          <cell r="H313">
            <v>77004722</v>
          </cell>
          <cell r="I313" t="str">
            <v>SPHC-P/O</v>
          </cell>
          <cell r="J313" t="str">
            <v>STAY  REGULATOR</v>
          </cell>
          <cell r="K313" t="str">
            <v>50168-KVLM-T100-H1</v>
          </cell>
          <cell r="L313" t="str">
            <v>T</v>
          </cell>
          <cell r="M313" t="str">
            <v>SPHC-P/O</v>
          </cell>
          <cell r="N313" t="str">
            <v>STAY  REGULATOR</v>
          </cell>
          <cell r="O313" t="str">
            <v>50168-KVLM-T100-H1</v>
          </cell>
          <cell r="P313" t="str">
            <v>T</v>
          </cell>
          <cell r="Q313" t="str">
            <v>เสนอราคาเป็น Price Sourcing</v>
          </cell>
        </row>
        <row r="314">
          <cell r="A314">
            <v>30003770</v>
          </cell>
          <cell r="B314" t="str">
            <v>2.3 x 96+/-0.5 x 1219</v>
          </cell>
          <cell r="C314">
            <v>2.2999999999999998</v>
          </cell>
          <cell r="D314">
            <v>96</v>
          </cell>
          <cell r="E314">
            <v>1219</v>
          </cell>
          <cell r="F314">
            <v>2.1128683199999996</v>
          </cell>
          <cell r="G314">
            <v>41</v>
          </cell>
          <cell r="H314">
            <v>77004723</v>
          </cell>
          <cell r="I314" t="str">
            <v>SPHC-P/O</v>
          </cell>
          <cell r="J314" t="str">
            <v>STAY  ING  COIL</v>
          </cell>
          <cell r="K314" t="str">
            <v>50149-KVLM-T100-H1</v>
          </cell>
          <cell r="L314" t="str">
            <v>T</v>
          </cell>
          <cell r="M314" t="str">
            <v>SPHC-P/O</v>
          </cell>
          <cell r="N314" t="str">
            <v>STAY  ING  COIL</v>
          </cell>
          <cell r="O314" t="str">
            <v>50149-KVLM-T100-H1</v>
          </cell>
          <cell r="P314" t="str">
            <v>T</v>
          </cell>
          <cell r="Q314" t="str">
            <v>เสนอราคาเป็น Price Sourcing</v>
          </cell>
        </row>
        <row r="315">
          <cell r="A315">
            <v>30003772</v>
          </cell>
          <cell r="B315" t="str">
            <v>2.3 x 133+/-0.5 x 1219</v>
          </cell>
          <cell r="C315">
            <v>2.2999999999999998</v>
          </cell>
          <cell r="D315">
            <v>133</v>
          </cell>
          <cell r="E315">
            <v>1219</v>
          </cell>
          <cell r="F315">
            <v>2.9272029850000001</v>
          </cell>
          <cell r="G315">
            <v>50</v>
          </cell>
          <cell r="H315">
            <v>77004724</v>
          </cell>
          <cell r="I315" t="str">
            <v>SPHC-P/O</v>
          </cell>
          <cell r="J315" t="str">
            <v>STAY  CDI  UNIT</v>
          </cell>
          <cell r="K315" t="str">
            <v>50129-KVLM-T100-H1</v>
          </cell>
          <cell r="L315" t="str">
            <v>T</v>
          </cell>
          <cell r="M315" t="str">
            <v>SPHC-P/O</v>
          </cell>
          <cell r="N315" t="str">
            <v>STAY  CDI  UNIT</v>
          </cell>
          <cell r="O315" t="str">
            <v>50129-KVLM-T100-H1</v>
          </cell>
          <cell r="P315" t="str">
            <v>T</v>
          </cell>
          <cell r="Q315" t="str">
            <v>เสนอราคาเป็น Price Sourcing</v>
          </cell>
        </row>
        <row r="316">
          <cell r="A316">
            <v>30003773</v>
          </cell>
          <cell r="B316" t="str">
            <v>1.6 x 108+/-0.5 x 1219</v>
          </cell>
          <cell r="C316">
            <v>1.6</v>
          </cell>
          <cell r="D316">
            <v>108</v>
          </cell>
          <cell r="E316">
            <v>1219</v>
          </cell>
          <cell r="F316">
            <v>1.6535491200000001</v>
          </cell>
          <cell r="G316">
            <v>40</v>
          </cell>
          <cell r="H316">
            <v>77004463</v>
          </cell>
          <cell r="I316" t="str">
            <v>SPHC-P/O</v>
          </cell>
          <cell r="J316" t="str">
            <v>STAY  CENTER  COVER</v>
          </cell>
          <cell r="K316" t="str">
            <v>50115-KVLM-T100</v>
          </cell>
          <cell r="L316" t="str">
            <v>T</v>
          </cell>
          <cell r="M316" t="str">
            <v>SPHC-P/O</v>
          </cell>
          <cell r="N316" t="str">
            <v>STAY  CENTER  COVER</v>
          </cell>
          <cell r="O316" t="str">
            <v>50115-KVLM-T100</v>
          </cell>
          <cell r="P316" t="str">
            <v>T</v>
          </cell>
          <cell r="Q316" t="str">
            <v>เสนอราคาเป็น Price Sourcing</v>
          </cell>
        </row>
        <row r="317">
          <cell r="A317">
            <v>30003778</v>
          </cell>
          <cell r="B317" t="str">
            <v>2.3 x 84+/-0.5 x 1219</v>
          </cell>
          <cell r="C317">
            <v>2.2999999999999998</v>
          </cell>
          <cell r="D317">
            <v>84</v>
          </cell>
          <cell r="E317">
            <v>1219</v>
          </cell>
          <cell r="F317">
            <v>1.8487597799999997</v>
          </cell>
          <cell r="G317">
            <v>33</v>
          </cell>
          <cell r="H317">
            <v>77004905</v>
          </cell>
          <cell r="I317" t="str">
            <v>SPHC-P/O</v>
          </cell>
          <cell r="J317" t="str">
            <v>STAY  STPR  ARM</v>
          </cell>
          <cell r="K317" t="str">
            <v>52104-KTM-8500-H1</v>
          </cell>
          <cell r="L317" t="str">
            <v>T</v>
          </cell>
          <cell r="M317" t="str">
            <v>SPHC-P/O</v>
          </cell>
          <cell r="N317" t="str">
            <v>STAY  STPR  ARM</v>
          </cell>
          <cell r="O317" t="str">
            <v>52104-KTM-8500-H1</v>
          </cell>
          <cell r="P317" t="str">
            <v>T</v>
          </cell>
          <cell r="Q317" t="str">
            <v>เสนอราคาเป็น Price Sourcing</v>
          </cell>
        </row>
        <row r="318">
          <cell r="A318">
            <v>30004063</v>
          </cell>
          <cell r="B318" t="str">
            <v>2.0 x 48+/-0.5 x 1219</v>
          </cell>
          <cell r="C318">
            <v>2</v>
          </cell>
          <cell r="D318">
            <v>48</v>
          </cell>
          <cell r="E318">
            <v>1219</v>
          </cell>
          <cell r="F318">
            <v>0.91863839999999986</v>
          </cell>
          <cell r="H318">
            <v>77000262</v>
          </cell>
          <cell r="I318" t="str">
            <v>SPHC-P/O</v>
          </cell>
          <cell r="J318" t="str">
            <v>STAY  ACG  CABLE</v>
          </cell>
          <cell r="L318" t="str">
            <v>T</v>
          </cell>
          <cell r="M318" t="str">
            <v>SPHC-P/O</v>
          </cell>
          <cell r="N318" t="str">
            <v>STAY  ACG  CABLE</v>
          </cell>
          <cell r="P318" t="str">
            <v>T</v>
          </cell>
          <cell r="Q318" t="str">
            <v>เสนอราคาเป็น Price Sourcing</v>
          </cell>
        </row>
        <row r="319">
          <cell r="A319">
            <v>30007673</v>
          </cell>
          <cell r="B319" t="str">
            <v>2.0 x 58+/-0.5 x 1219</v>
          </cell>
          <cell r="C319">
            <v>2</v>
          </cell>
          <cell r="D319">
            <v>58</v>
          </cell>
          <cell r="E319">
            <v>1219</v>
          </cell>
          <cell r="F319">
            <v>1.1100213999999999</v>
          </cell>
          <cell r="H319">
            <v>77000176</v>
          </cell>
          <cell r="I319" t="str">
            <v>SPHC-P/O</v>
          </cell>
          <cell r="J319" t="str">
            <v>STAY A CHAIN CASE</v>
          </cell>
          <cell r="L319" t="str">
            <v>T</v>
          </cell>
          <cell r="M319" t="str">
            <v>SPHC-P/O</v>
          </cell>
          <cell r="N319" t="str">
            <v>STAY A CHAIN CASE</v>
          </cell>
          <cell r="P319" t="str">
            <v>T</v>
          </cell>
          <cell r="Q319" t="str">
            <v>เสนอราคาเป็น Price Sourcing</v>
          </cell>
        </row>
        <row r="320">
          <cell r="A320">
            <v>30007674</v>
          </cell>
          <cell r="B320" t="str">
            <v>2.0 x 44+/-0.5 x 1219</v>
          </cell>
          <cell r="C320">
            <v>2</v>
          </cell>
          <cell r="D320">
            <v>44</v>
          </cell>
          <cell r="E320">
            <v>1219</v>
          </cell>
          <cell r="F320">
            <v>0.84208519999999998</v>
          </cell>
          <cell r="G320">
            <v>59</v>
          </cell>
          <cell r="H320">
            <v>77004139</v>
          </cell>
          <cell r="I320" t="str">
            <v>SPHC-P/O</v>
          </cell>
          <cell r="J320" t="str">
            <v>STAY B CHAIN CASE</v>
          </cell>
          <cell r="K320" t="str">
            <v>52134-KWBA-6000-H1</v>
          </cell>
          <cell r="L320" t="str">
            <v>T</v>
          </cell>
          <cell r="M320" t="str">
            <v>SPHC-P/O</v>
          </cell>
          <cell r="N320" t="str">
            <v>STAY B CHAIN CASE</v>
          </cell>
          <cell r="O320" t="str">
            <v>52134-KWBA-6000-H1</v>
          </cell>
          <cell r="P320" t="str">
            <v>T</v>
          </cell>
          <cell r="Q320" t="str">
            <v>เสนอราคาเป็น Price Sourcing</v>
          </cell>
        </row>
        <row r="321">
          <cell r="A321" t="str">
            <v>30048197-3</v>
          </cell>
          <cell r="B321" t="str">
            <v>2.3 x 67+/-0.5 x 1219</v>
          </cell>
          <cell r="C321">
            <v>2.2999999999999998</v>
          </cell>
          <cell r="D321">
            <v>67</v>
          </cell>
          <cell r="E321">
            <v>1219</v>
          </cell>
          <cell r="F321">
            <v>1.474606015</v>
          </cell>
          <cell r="G321">
            <v>126</v>
          </cell>
          <cell r="H321">
            <v>77004166</v>
          </cell>
          <cell r="I321" t="str">
            <v>SPHC-P/O</v>
          </cell>
          <cell r="J321" t="str">
            <v>STAY BRK RETURN SPRING</v>
          </cell>
          <cell r="K321" t="str">
            <v>52146-KWBA-6001-H1</v>
          </cell>
          <cell r="L321" t="str">
            <v>KWW</v>
          </cell>
          <cell r="M321" t="str">
            <v>SPHC-P/O</v>
          </cell>
          <cell r="N321" t="str">
            <v>STAY BRK RETURN SPRING</v>
          </cell>
          <cell r="O321" t="str">
            <v>52146-KWBA-6001-H1</v>
          </cell>
          <cell r="P321" t="str">
            <v>KWW</v>
          </cell>
          <cell r="Q321" t="str">
            <v>ptt</v>
          </cell>
        </row>
        <row r="322">
          <cell r="A322" t="str">
            <v>30051566-3</v>
          </cell>
          <cell r="B322" t="str">
            <v>2.3 x 67+/-0.5 x 1219</v>
          </cell>
          <cell r="C322">
            <v>2.2999999999999998</v>
          </cell>
          <cell r="D322">
            <v>67</v>
          </cell>
          <cell r="E322">
            <v>1219</v>
          </cell>
          <cell r="F322">
            <v>1.474606015</v>
          </cell>
          <cell r="G322">
            <v>126</v>
          </cell>
          <cell r="H322">
            <v>77004166</v>
          </cell>
          <cell r="I322" t="str">
            <v>SPHC-P/O</v>
          </cell>
          <cell r="J322" t="str">
            <v>STAY BRK RETURN SPRING</v>
          </cell>
          <cell r="K322" t="str">
            <v>52146-KWBA-6001-H1</v>
          </cell>
          <cell r="L322" t="str">
            <v>KWW</v>
          </cell>
          <cell r="M322" t="str">
            <v>SPHC-P/O</v>
          </cell>
          <cell r="N322" t="str">
            <v>STAY BRK RETURN SPRING</v>
          </cell>
          <cell r="O322" t="str">
            <v>52146-KWBA-6001-H1</v>
          </cell>
          <cell r="P322" t="str">
            <v>KWW</v>
          </cell>
          <cell r="Q322" t="str">
            <v>ptt</v>
          </cell>
        </row>
        <row r="323">
          <cell r="A323" t="str">
            <v>30048216-3</v>
          </cell>
          <cell r="B323" t="str">
            <v>2.3 x 67+/-0.5 x 1219</v>
          </cell>
          <cell r="C323">
            <v>2.2999999999999998</v>
          </cell>
          <cell r="D323">
            <v>67</v>
          </cell>
          <cell r="E323">
            <v>1219</v>
          </cell>
          <cell r="F323">
            <v>1.474606015</v>
          </cell>
          <cell r="G323">
            <v>126</v>
          </cell>
          <cell r="H323">
            <v>77004166</v>
          </cell>
          <cell r="I323" t="str">
            <v>SPHC-P/O</v>
          </cell>
          <cell r="J323" t="str">
            <v>STAY BRK RETURN SPRING</v>
          </cell>
          <cell r="K323" t="str">
            <v>52146-KWBA-6001-H1</v>
          </cell>
          <cell r="L323" t="str">
            <v>KWW</v>
          </cell>
          <cell r="M323" t="str">
            <v>SPHC-P/O</v>
          </cell>
          <cell r="N323" t="str">
            <v>STAY BRK RETURN SPRING</v>
          </cell>
          <cell r="O323" t="str">
            <v>52146-KWBA-6001-H1</v>
          </cell>
          <cell r="P323" t="str">
            <v>KWW</v>
          </cell>
          <cell r="Q323" t="str">
            <v>ptt</v>
          </cell>
        </row>
        <row r="324">
          <cell r="A324">
            <v>30007677</v>
          </cell>
          <cell r="B324" t="str">
            <v>2.3 x 60+/-0.5 x 1219</v>
          </cell>
          <cell r="C324">
            <v>2.2999999999999998</v>
          </cell>
          <cell r="D324">
            <v>60</v>
          </cell>
          <cell r="E324">
            <v>1219</v>
          </cell>
          <cell r="F324">
            <v>1.3205426999999998</v>
          </cell>
          <cell r="G324">
            <v>65</v>
          </cell>
          <cell r="H324">
            <v>77004725</v>
          </cell>
          <cell r="I324" t="str">
            <v>SPHC-P/O</v>
          </cell>
          <cell r="J324" t="str">
            <v>STAY CHAIN SLIDER</v>
          </cell>
          <cell r="K324" t="str">
            <v>52171-KWBA-6001-H1</v>
          </cell>
          <cell r="L324" t="str">
            <v>T</v>
          </cell>
          <cell r="M324" t="str">
            <v>SPHC-P/O</v>
          </cell>
          <cell r="N324" t="str">
            <v>STAY CHAIN SLIDER</v>
          </cell>
          <cell r="O324" t="str">
            <v>52171-KWBA-6001-H1</v>
          </cell>
          <cell r="P324" t="str">
            <v>T</v>
          </cell>
          <cell r="Q324" t="str">
            <v>เสนอราคาเป็น Price Sourcing</v>
          </cell>
        </row>
        <row r="325">
          <cell r="A325">
            <v>30007701</v>
          </cell>
          <cell r="B325" t="str">
            <v>1.6 x 75+/-0.5 x 1219</v>
          </cell>
          <cell r="C325">
            <v>1.6</v>
          </cell>
          <cell r="D325">
            <v>75</v>
          </cell>
          <cell r="E325">
            <v>1219</v>
          </cell>
          <cell r="F325">
            <v>1.148298</v>
          </cell>
          <cell r="G325">
            <v>43</v>
          </cell>
          <cell r="H325">
            <v>77004134</v>
          </cell>
          <cell r="I325" t="str">
            <v>SPHC-P/O</v>
          </cell>
          <cell r="J325" t="str">
            <v>STAY R MAIN PIPE SIDECOVER</v>
          </cell>
          <cell r="K325" t="str">
            <v>50162-KWBA-6003-H1</v>
          </cell>
          <cell r="L325" t="str">
            <v>T</v>
          </cell>
          <cell r="M325" t="str">
            <v>SPHC-P/O</v>
          </cell>
          <cell r="N325" t="str">
            <v>STAY R MAIN PIPE SIDECOVER</v>
          </cell>
          <cell r="O325" t="str">
            <v>50162-KWBA-6003-H1</v>
          </cell>
          <cell r="P325" t="str">
            <v>T</v>
          </cell>
          <cell r="Q325" t="str">
            <v>เสนอราคาเป็น Price Sourcing</v>
          </cell>
        </row>
        <row r="326">
          <cell r="A326">
            <v>30007702</v>
          </cell>
          <cell r="B326" t="str">
            <v>1.6 x 75+/-0.5 x 1219</v>
          </cell>
          <cell r="C326">
            <v>1.6</v>
          </cell>
          <cell r="D326">
            <v>75</v>
          </cell>
          <cell r="E326">
            <v>1219</v>
          </cell>
          <cell r="F326">
            <v>1.148298</v>
          </cell>
          <cell r="G326">
            <v>43</v>
          </cell>
          <cell r="H326">
            <v>77004134</v>
          </cell>
          <cell r="I326" t="str">
            <v>SPHC-P/O</v>
          </cell>
          <cell r="J326" t="str">
            <v>STAY L MAIN PIPE SIDECOVER</v>
          </cell>
          <cell r="K326" t="str">
            <v>50163-KWBA-6003-H1</v>
          </cell>
          <cell r="L326" t="str">
            <v>T</v>
          </cell>
          <cell r="M326" t="str">
            <v>SPHC-P/O</v>
          </cell>
          <cell r="N326" t="str">
            <v>STAY L MAIN PIPE SIDECOVER</v>
          </cell>
          <cell r="O326" t="str">
            <v>50163-KWBA-6003-H1</v>
          </cell>
          <cell r="P326" t="str">
            <v>T</v>
          </cell>
          <cell r="Q326" t="str">
            <v>เสนอราคาเป็น Price Sourcing</v>
          </cell>
        </row>
        <row r="327">
          <cell r="A327">
            <v>30007798</v>
          </cell>
          <cell r="B327" t="str">
            <v>2.0 x 78+/-0.5 x 1219</v>
          </cell>
          <cell r="C327">
            <v>2</v>
          </cell>
          <cell r="D327">
            <v>78</v>
          </cell>
          <cell r="E327">
            <v>1219</v>
          </cell>
          <cell r="F327">
            <v>1.4927873999999999</v>
          </cell>
          <cell r="G327">
            <v>20</v>
          </cell>
          <cell r="H327">
            <v>77004146</v>
          </cell>
          <cell r="I327" t="str">
            <v>SPHC-P/O</v>
          </cell>
          <cell r="J327" t="str">
            <v>PATCH SWING ARM CORSS</v>
          </cell>
          <cell r="K327" t="str">
            <v>52113-KWBA-6000-H1</v>
          </cell>
          <cell r="L327" t="str">
            <v>KWBA</v>
          </cell>
          <cell r="M327" t="str">
            <v>SPHC-P/O</v>
          </cell>
          <cell r="N327" t="str">
            <v>PATCH SWING ARM CORSS</v>
          </cell>
          <cell r="O327" t="str">
            <v>52113-KWBA-6000-H1</v>
          </cell>
          <cell r="P327" t="str">
            <v>KWBA</v>
          </cell>
          <cell r="Q327" t="str">
            <v>ptt</v>
          </cell>
          <cell r="R327">
            <v>200</v>
          </cell>
        </row>
        <row r="328">
          <cell r="A328">
            <v>30007800</v>
          </cell>
          <cell r="B328" t="str">
            <v>1.6 x 150+/-0.5 x 1219</v>
          </cell>
          <cell r="C328">
            <v>1.6</v>
          </cell>
          <cell r="D328">
            <v>150</v>
          </cell>
          <cell r="E328">
            <v>1219</v>
          </cell>
          <cell r="F328">
            <v>2.2965960000000001</v>
          </cell>
          <cell r="G328">
            <v>13</v>
          </cell>
          <cell r="H328">
            <v>77004706</v>
          </cell>
          <cell r="I328" t="str">
            <v>SPHC-P/O</v>
          </cell>
          <cell r="J328" t="str">
            <v xml:space="preserve">GUSSET COMP HANDLE </v>
          </cell>
          <cell r="L328" t="str">
            <v>T</v>
          </cell>
          <cell r="M328" t="str">
            <v>SPHC-P/O</v>
          </cell>
          <cell r="N328" t="str">
            <v xml:space="preserve">GUSSET COMP HANDLE </v>
          </cell>
          <cell r="P328" t="str">
            <v>T</v>
          </cell>
          <cell r="Q328" t="e">
            <v>#N/A</v>
          </cell>
          <cell r="R328">
            <v>150</v>
          </cell>
        </row>
        <row r="329">
          <cell r="A329">
            <v>30009364</v>
          </cell>
          <cell r="B329" t="str">
            <v>2.6 x 185+/-0.5 x 1219</v>
          </cell>
          <cell r="C329">
            <v>2.6</v>
          </cell>
          <cell r="D329">
            <v>185</v>
          </cell>
          <cell r="E329">
            <v>1219</v>
          </cell>
          <cell r="F329">
            <v>4.6027611499999992</v>
          </cell>
          <cell r="G329">
            <v>15</v>
          </cell>
          <cell r="H329">
            <v>77004114</v>
          </cell>
          <cell r="I329" t="str">
            <v>SPHC-P/O</v>
          </cell>
          <cell r="J329" t="str">
            <v>STAY  SEAT CATCH</v>
          </cell>
          <cell r="K329" t="str">
            <v>81205-KVBM-T002-23</v>
          </cell>
          <cell r="L329" t="str">
            <v>T</v>
          </cell>
          <cell r="M329" t="str">
            <v>SPHC-P/O</v>
          </cell>
          <cell r="N329" t="str">
            <v>STAY  SEAT CATCH</v>
          </cell>
          <cell r="O329" t="str">
            <v>81205-KVBM-T002-23</v>
          </cell>
          <cell r="P329" t="str">
            <v>T</v>
          </cell>
          <cell r="Q329" t="e">
            <v>#N/A</v>
          </cell>
        </row>
        <row r="330">
          <cell r="A330">
            <v>30009371</v>
          </cell>
          <cell r="B330" t="str">
            <v>1.6 x 50+/-0.5 x 1219</v>
          </cell>
          <cell r="C330">
            <v>1.6</v>
          </cell>
          <cell r="D330">
            <v>50</v>
          </cell>
          <cell r="E330">
            <v>1219</v>
          </cell>
          <cell r="F330">
            <v>0.76553199999999999</v>
          </cell>
          <cell r="G330">
            <v>52</v>
          </cell>
          <cell r="H330">
            <v>77004130</v>
          </cell>
          <cell r="I330" t="str">
            <v>SPHC-P/O</v>
          </cell>
          <cell r="J330" t="str">
            <v>STAY  SIDE</v>
          </cell>
          <cell r="K330" t="str">
            <v>81205-0131-KVBM-T000-22</v>
          </cell>
          <cell r="L330" t="str">
            <v>T</v>
          </cell>
          <cell r="M330" t="str">
            <v>SPHC-P/O</v>
          </cell>
          <cell r="N330" t="str">
            <v>STAY  SIDE</v>
          </cell>
          <cell r="O330" t="str">
            <v>81205-0131-KVBM-T000-22</v>
          </cell>
          <cell r="P330" t="str">
            <v>T</v>
          </cell>
          <cell r="Q330" t="e">
            <v>#N/A</v>
          </cell>
        </row>
        <row r="331">
          <cell r="A331">
            <v>30009639</v>
          </cell>
          <cell r="B331" t="str">
            <v>2.0 x 132+/-0.5 x 1219</v>
          </cell>
          <cell r="C331">
            <v>2</v>
          </cell>
          <cell r="D331">
            <v>132</v>
          </cell>
          <cell r="E331">
            <v>1219</v>
          </cell>
          <cell r="F331">
            <v>2.5262556000000003</v>
          </cell>
          <cell r="H331">
            <v>77004160</v>
          </cell>
          <cell r="I331" t="str">
            <v>JSH270C</v>
          </cell>
          <cell r="M331" t="str">
            <v>JSH270C</v>
          </cell>
          <cell r="Q331" t="e">
            <v>#N/A</v>
          </cell>
        </row>
        <row r="332">
          <cell r="A332">
            <v>30010001</v>
          </cell>
          <cell r="B332" t="str">
            <v>2.0 x 98+/-0.5 x 1219</v>
          </cell>
          <cell r="C332">
            <v>2</v>
          </cell>
          <cell r="D332">
            <v>98</v>
          </cell>
          <cell r="E332">
            <v>1219</v>
          </cell>
          <cell r="F332">
            <v>1.8755533999999998</v>
          </cell>
          <cell r="G332">
            <v>32</v>
          </cell>
          <cell r="H332">
            <v>77004153</v>
          </cell>
          <cell r="I332" t="str">
            <v>SPHC-P/O</v>
          </cell>
          <cell r="J332" t="str">
            <v>STAY R MAIN PS COVER</v>
          </cell>
          <cell r="K332" t="str">
            <v>50162-KWWF-A100-H1</v>
          </cell>
          <cell r="L332" t="str">
            <v>T</v>
          </cell>
          <cell r="M332" t="str">
            <v>SPHC-P/O</v>
          </cell>
          <cell r="N332" t="str">
            <v>STAY R MAIN PS COVER</v>
          </cell>
          <cell r="O332" t="str">
            <v>50162-KWWF-A100-H1</v>
          </cell>
          <cell r="P332" t="str">
            <v>T</v>
          </cell>
          <cell r="Q332" t="str">
            <v>เสนอราคาเป็น Price Sourcing</v>
          </cell>
        </row>
        <row r="333">
          <cell r="A333">
            <v>30010004</v>
          </cell>
          <cell r="B333" t="str">
            <v>2.0 x 98+/-0.5 x 1219</v>
          </cell>
          <cell r="C333">
            <v>2</v>
          </cell>
          <cell r="D333">
            <v>98</v>
          </cell>
          <cell r="E333">
            <v>1219</v>
          </cell>
          <cell r="F333">
            <v>1.8755533999999998</v>
          </cell>
          <cell r="G333">
            <v>32</v>
          </cell>
          <cell r="H333">
            <v>77004153</v>
          </cell>
          <cell r="I333" t="str">
            <v>SPHC-P/O</v>
          </cell>
          <cell r="J333" t="str">
            <v>STAY L MAIN PS COVER</v>
          </cell>
          <cell r="K333" t="str">
            <v>50163-KWWF-A100-H1</v>
          </cell>
          <cell r="L333" t="str">
            <v>T</v>
          </cell>
          <cell r="M333" t="str">
            <v>SPHC-P/O</v>
          </cell>
          <cell r="N333" t="str">
            <v>STAY L MAIN PS COVER</v>
          </cell>
          <cell r="O333" t="str">
            <v>50163-KWWF-A100-H1</v>
          </cell>
          <cell r="P333" t="str">
            <v>T</v>
          </cell>
          <cell r="Q333" t="str">
            <v>เสนอราคาเป็น Price Sourcing</v>
          </cell>
        </row>
        <row r="334">
          <cell r="A334">
            <v>30010012</v>
          </cell>
          <cell r="B334" t="str">
            <v>2.0 x 68+/-0.5 x 1219</v>
          </cell>
          <cell r="C334">
            <v>2</v>
          </cell>
          <cell r="D334">
            <v>68</v>
          </cell>
          <cell r="E334">
            <v>1219</v>
          </cell>
          <cell r="F334">
            <v>1.3014044</v>
          </cell>
          <cell r="G334">
            <v>108</v>
          </cell>
          <cell r="H334">
            <v>77004144</v>
          </cell>
          <cell r="I334" t="str">
            <v>JSH270C</v>
          </cell>
          <cell r="J334" t="str">
            <v>STAY R CTR SIDE COVER</v>
          </cell>
          <cell r="K334" t="str">
            <v>50156-KWW-6000-H1</v>
          </cell>
          <cell r="L334" t="str">
            <v>KWW</v>
          </cell>
          <cell r="M334" t="str">
            <v>JSH270C</v>
          </cell>
          <cell r="N334" t="str">
            <v>STAY R CTR SIDE COVER</v>
          </cell>
          <cell r="O334" t="str">
            <v>50156-KWW-6000-H1</v>
          </cell>
          <cell r="P334" t="str">
            <v>KWW</v>
          </cell>
          <cell r="Q334" t="e">
            <v>#N/A</v>
          </cell>
        </row>
        <row r="335">
          <cell r="A335">
            <v>30010013</v>
          </cell>
          <cell r="B335" t="str">
            <v>2.0 x 68+/-0.5 x 1219</v>
          </cell>
          <cell r="C335">
            <v>2</v>
          </cell>
          <cell r="D335">
            <v>68</v>
          </cell>
          <cell r="E335">
            <v>1219</v>
          </cell>
          <cell r="F335">
            <v>1.3014044</v>
          </cell>
          <cell r="G335">
            <v>108</v>
          </cell>
          <cell r="H335">
            <v>77004144</v>
          </cell>
          <cell r="I335" t="str">
            <v>JSH270C</v>
          </cell>
          <cell r="J335" t="str">
            <v>STAY L CTR SIDE COVER</v>
          </cell>
          <cell r="K335" t="str">
            <v>50157-KWW-6000-H2</v>
          </cell>
          <cell r="L335" t="str">
            <v>KWW</v>
          </cell>
          <cell r="M335" t="str">
            <v>JSH270C</v>
          </cell>
          <cell r="N335" t="str">
            <v>STAY L CTR SIDE COVER</v>
          </cell>
          <cell r="O335" t="str">
            <v>50157-KWW-6000-H2</v>
          </cell>
          <cell r="P335" t="str">
            <v>KWW</v>
          </cell>
          <cell r="Q335" t="e">
            <v>#N/A</v>
          </cell>
        </row>
        <row r="336">
          <cell r="A336">
            <v>30011004</v>
          </cell>
          <cell r="B336" t="str">
            <v>2.3 x 83+/-0.5 x 1219</v>
          </cell>
          <cell r="C336">
            <v>2.2999999999999998</v>
          </cell>
          <cell r="D336">
            <v>83</v>
          </cell>
          <cell r="E336">
            <v>1219</v>
          </cell>
          <cell r="F336">
            <v>1.8267507349999996</v>
          </cell>
          <cell r="G336">
            <v>52</v>
          </cell>
          <cell r="H336">
            <v>77004726</v>
          </cell>
          <cell r="I336" t="str">
            <v>SPCC-SD</v>
          </cell>
          <cell r="J336" t="str">
            <v>STAY L PILLION STEP</v>
          </cell>
          <cell r="K336" t="str">
            <v>52296-KWVA-3002</v>
          </cell>
          <cell r="L336" t="str">
            <v>T</v>
          </cell>
          <cell r="M336" t="str">
            <v>SPCC-SD</v>
          </cell>
          <cell r="N336" t="str">
            <v>STAY L PILLION STEP</v>
          </cell>
          <cell r="O336" t="str">
            <v>52296-KWVA-3002</v>
          </cell>
          <cell r="P336" t="str">
            <v>T</v>
          </cell>
          <cell r="Q336" t="str">
            <v>เสนอราคาเป็น Price Sourcing</v>
          </cell>
        </row>
        <row r="337">
          <cell r="A337">
            <v>30011007</v>
          </cell>
          <cell r="B337" t="str">
            <v>2.0 x 50+/-0.5 x 1219</v>
          </cell>
          <cell r="C337">
            <v>2</v>
          </cell>
          <cell r="D337">
            <v>50</v>
          </cell>
          <cell r="E337">
            <v>1219</v>
          </cell>
          <cell r="F337">
            <v>0.95691499999999996</v>
          </cell>
          <cell r="G337">
            <v>104</v>
          </cell>
          <cell r="H337">
            <v>77004321</v>
          </cell>
          <cell r="I337" t="str">
            <v>SPCC-SD</v>
          </cell>
          <cell r="J337" t="str">
            <v>COLLAR  PILLION STEP</v>
          </cell>
          <cell r="K337" t="str">
            <v>52189-KWVA-3002</v>
          </cell>
          <cell r="L337" t="str">
            <v>T</v>
          </cell>
          <cell r="M337" t="str">
            <v>SPCC-SD</v>
          </cell>
          <cell r="N337" t="str">
            <v>COLLAR  PILLION STEP</v>
          </cell>
          <cell r="O337" t="str">
            <v>52189-KWVA-3002</v>
          </cell>
          <cell r="P337" t="str">
            <v>T</v>
          </cell>
          <cell r="Q337" t="str">
            <v>เสนอราคาเป็น Price Sourcing</v>
          </cell>
        </row>
        <row r="338">
          <cell r="A338">
            <v>30011008</v>
          </cell>
          <cell r="B338" t="str">
            <v>3.2 x 87+/-0.5 x 1219</v>
          </cell>
          <cell r="C338">
            <v>3.2</v>
          </cell>
          <cell r="D338">
            <v>87</v>
          </cell>
          <cell r="E338">
            <v>1219</v>
          </cell>
          <cell r="F338">
            <v>2.6640513600000002</v>
          </cell>
          <cell r="G338">
            <v>27</v>
          </cell>
          <cell r="I338" t="str">
            <v>SPCC-SD</v>
          </cell>
          <cell r="J338" t="str">
            <v>BRACKET PILLION STEP</v>
          </cell>
          <cell r="K338" t="str">
            <v>52187-KWVA-3002</v>
          </cell>
          <cell r="L338" t="str">
            <v>T</v>
          </cell>
          <cell r="M338" t="str">
            <v>SPCC-SD</v>
          </cell>
          <cell r="N338" t="str">
            <v>BRACKET PILLION STEP</v>
          </cell>
          <cell r="O338" t="str">
            <v>52187-KWVA-3002</v>
          </cell>
          <cell r="P338" t="str">
            <v>T</v>
          </cell>
          <cell r="Q338" t="e">
            <v>#N/A</v>
          </cell>
        </row>
        <row r="339">
          <cell r="A339">
            <v>30011009</v>
          </cell>
          <cell r="B339" t="str">
            <v>2.3 x 83+/-0.5 x 1219</v>
          </cell>
          <cell r="C339">
            <v>2.2999999999999998</v>
          </cell>
          <cell r="D339">
            <v>83</v>
          </cell>
          <cell r="E339">
            <v>1219</v>
          </cell>
          <cell r="F339">
            <v>1.8267507349999996</v>
          </cell>
          <cell r="G339">
            <v>52</v>
          </cell>
          <cell r="H339">
            <v>77004726</v>
          </cell>
          <cell r="I339" t="str">
            <v>SPCC-SD</v>
          </cell>
          <cell r="J339" t="str">
            <v>STAY R PILLION STEP</v>
          </cell>
          <cell r="K339" t="str">
            <v>52186-KWVA-3002</v>
          </cell>
          <cell r="L339" t="str">
            <v>T</v>
          </cell>
          <cell r="M339" t="str">
            <v>SPCC-SD</v>
          </cell>
          <cell r="N339" t="str">
            <v>STAY R PILLION STEP</v>
          </cell>
          <cell r="O339" t="str">
            <v>52186-KWVA-3002</v>
          </cell>
          <cell r="P339" t="str">
            <v>T</v>
          </cell>
          <cell r="Q339" t="str">
            <v>เสนอราคาเป็น Price Sourcing</v>
          </cell>
        </row>
        <row r="340">
          <cell r="A340">
            <v>30013015</v>
          </cell>
          <cell r="B340" t="str">
            <v>2.0 x 53+/-0.5 x 1219</v>
          </cell>
          <cell r="C340">
            <v>2</v>
          </cell>
          <cell r="D340">
            <v>53</v>
          </cell>
          <cell r="E340">
            <v>1219</v>
          </cell>
          <cell r="F340">
            <v>1.0143298999999999</v>
          </cell>
          <cell r="G340">
            <v>36</v>
          </cell>
          <cell r="H340">
            <v>77004480</v>
          </cell>
          <cell r="I340" t="str">
            <v>SPHC-P/O</v>
          </cell>
          <cell r="J340" t="str">
            <v>PATCH L SEAT RAIL</v>
          </cell>
          <cell r="K340" t="str">
            <v>50123-KPPP-8600-H1</v>
          </cell>
          <cell r="L340" t="str">
            <v>T</v>
          </cell>
          <cell r="M340" t="str">
            <v>SPHC-P/O</v>
          </cell>
          <cell r="N340" t="str">
            <v>PATCH L SEAT RAIL</v>
          </cell>
          <cell r="O340" t="str">
            <v>50123-KPPP-8600-H1</v>
          </cell>
          <cell r="P340" t="str">
            <v>T</v>
          </cell>
          <cell r="Q340" t="str">
            <v>เสนอราคาเป็น Price Sourcing</v>
          </cell>
          <cell r="R340">
            <v>200</v>
          </cell>
        </row>
        <row r="341">
          <cell r="A341">
            <v>30013033</v>
          </cell>
          <cell r="B341" t="str">
            <v>2.0 x 53+/-0.5 x 1219</v>
          </cell>
          <cell r="C341">
            <v>2</v>
          </cell>
          <cell r="D341">
            <v>53</v>
          </cell>
          <cell r="E341">
            <v>1219</v>
          </cell>
          <cell r="F341">
            <v>1.0143298999999999</v>
          </cell>
          <cell r="G341">
            <v>36</v>
          </cell>
          <cell r="H341">
            <v>77004480</v>
          </cell>
          <cell r="I341" t="str">
            <v>SPHC-P/O</v>
          </cell>
          <cell r="J341" t="str">
            <v>PATCH R SEAT RAIL</v>
          </cell>
          <cell r="K341" t="str">
            <v>50122-KPPP-8600-H1</v>
          </cell>
          <cell r="L341" t="str">
            <v>T</v>
          </cell>
          <cell r="M341" t="str">
            <v>SPHC-P/O</v>
          </cell>
          <cell r="N341" t="str">
            <v>PATCH R SEAT RAIL</v>
          </cell>
          <cell r="O341" t="str">
            <v>50122-KPPP-8600-H1</v>
          </cell>
          <cell r="P341" t="str">
            <v>T</v>
          </cell>
          <cell r="Q341" t="str">
            <v>เสนอราคาเป็น Price Sourcing</v>
          </cell>
          <cell r="R341">
            <v>200</v>
          </cell>
        </row>
        <row r="342">
          <cell r="A342">
            <v>30013822</v>
          </cell>
          <cell r="B342" t="str">
            <v>1.6 x 156+/-0.5 x 1219</v>
          </cell>
          <cell r="C342">
            <v>1.6</v>
          </cell>
          <cell r="D342">
            <v>156</v>
          </cell>
          <cell r="E342">
            <v>1219</v>
          </cell>
          <cell r="F342">
            <v>2.3884598399999999</v>
          </cell>
          <cell r="G342">
            <v>20</v>
          </cell>
          <cell r="H342">
            <v>77000319</v>
          </cell>
          <cell r="I342" t="str">
            <v>SPHC-P/O</v>
          </cell>
          <cell r="J342" t="str">
            <v>PLATE B</v>
          </cell>
          <cell r="K342" t="str">
            <v>64221-KYJA-9701-23</v>
          </cell>
          <cell r="L342" t="str">
            <v>T</v>
          </cell>
          <cell r="M342" t="str">
            <v>SPHC-P/O</v>
          </cell>
          <cell r="N342" t="str">
            <v>PLATE B</v>
          </cell>
          <cell r="O342" t="str">
            <v>64221-KYJA-9701-23</v>
          </cell>
          <cell r="P342" t="str">
            <v>T</v>
          </cell>
          <cell r="Q342" t="e">
            <v>#N/A</v>
          </cell>
        </row>
        <row r="343">
          <cell r="A343">
            <v>30013823</v>
          </cell>
          <cell r="B343" t="str">
            <v>1.6 x 214+/-0.5 x 1219</v>
          </cell>
          <cell r="C343">
            <v>1.6</v>
          </cell>
          <cell r="D343">
            <v>214</v>
          </cell>
          <cell r="E343">
            <v>1219</v>
          </cell>
          <cell r="F343">
            <v>3.2764769600000001</v>
          </cell>
          <cell r="G343">
            <v>56</v>
          </cell>
          <cell r="H343">
            <v>77004715</v>
          </cell>
          <cell r="I343" t="str">
            <v>SPHC-P/O</v>
          </cell>
          <cell r="J343" t="str">
            <v>PLATE A</v>
          </cell>
          <cell r="K343" t="str">
            <v>64221-KYJA-9700-22</v>
          </cell>
          <cell r="L343" t="str">
            <v>T</v>
          </cell>
          <cell r="M343" t="str">
            <v>SPHC-P/O</v>
          </cell>
          <cell r="N343" t="str">
            <v>PLATE A</v>
          </cell>
          <cell r="O343" t="str">
            <v>64221-KYJA-9700-22</v>
          </cell>
          <cell r="P343" t="str">
            <v>T</v>
          </cell>
          <cell r="Q343" t="e">
            <v>#N/A</v>
          </cell>
        </row>
        <row r="344">
          <cell r="A344">
            <v>30014292</v>
          </cell>
          <cell r="B344" t="str">
            <v>2.0 x 89+/-0.5 x 1219</v>
          </cell>
          <cell r="C344">
            <v>2</v>
          </cell>
          <cell r="D344">
            <v>89</v>
          </cell>
          <cell r="E344">
            <v>1219</v>
          </cell>
          <cell r="F344">
            <v>1.7033087</v>
          </cell>
          <cell r="G344">
            <v>32</v>
          </cell>
          <cell r="I344" t="str">
            <v>SPHC-P/O</v>
          </cell>
          <cell r="J344" t="str">
            <v>STAY L MAIN PI SI COVER</v>
          </cell>
          <cell r="K344" t="str">
            <v>50163-KWWM-6402-H1</v>
          </cell>
          <cell r="L344" t="str">
            <v>T</v>
          </cell>
          <cell r="M344" t="str">
            <v>SPHC-P/O</v>
          </cell>
          <cell r="N344" t="str">
            <v>STAY L MAIN PI SI COVER</v>
          </cell>
          <cell r="O344" t="str">
            <v>50163-KWWM-6402-H1</v>
          </cell>
          <cell r="P344" t="str">
            <v>T</v>
          </cell>
          <cell r="Q344" t="e">
            <v>#N/A</v>
          </cell>
          <cell r="R344">
            <v>200</v>
          </cell>
        </row>
        <row r="345">
          <cell r="A345">
            <v>30014293</v>
          </cell>
          <cell r="B345" t="str">
            <v>2.0 x 89+/-0.5 x 1219</v>
          </cell>
          <cell r="C345">
            <v>2</v>
          </cell>
          <cell r="D345">
            <v>89</v>
          </cell>
          <cell r="E345">
            <v>1219</v>
          </cell>
          <cell r="F345">
            <v>1.7033087</v>
          </cell>
          <cell r="G345">
            <v>32</v>
          </cell>
          <cell r="I345" t="str">
            <v>SPHC-P/O</v>
          </cell>
          <cell r="J345" t="str">
            <v>STAY R MAIN PI SI COVER</v>
          </cell>
          <cell r="K345" t="str">
            <v>50162-KWWM-6402-H1</v>
          </cell>
          <cell r="L345" t="str">
            <v>T</v>
          </cell>
          <cell r="M345" t="str">
            <v>SPHC-P/O</v>
          </cell>
          <cell r="N345" t="str">
            <v>STAY R MAIN PI SI COVER</v>
          </cell>
          <cell r="O345" t="str">
            <v>50162-KWWM-6402-H1</v>
          </cell>
          <cell r="P345" t="str">
            <v>T</v>
          </cell>
          <cell r="Q345" t="e">
            <v>#N/A</v>
          </cell>
          <cell r="R345">
            <v>200</v>
          </cell>
        </row>
        <row r="346">
          <cell r="A346">
            <v>30014294</v>
          </cell>
          <cell r="B346" t="str">
            <v>2.0 x 68+0/-0.5 x 1219</v>
          </cell>
          <cell r="C346">
            <v>2</v>
          </cell>
          <cell r="D346">
            <v>68</v>
          </cell>
          <cell r="E346">
            <v>1219</v>
          </cell>
          <cell r="F346">
            <v>1.3014044</v>
          </cell>
          <cell r="G346">
            <v>100</v>
          </cell>
          <cell r="H346">
            <v>77004144</v>
          </cell>
          <cell r="I346" t="str">
            <v>SPHC-P/O</v>
          </cell>
          <cell r="J346" t="str">
            <v>STAY R CTR SIDE COVER</v>
          </cell>
          <cell r="K346" t="str">
            <v>50156-KWWM-6404-H1</v>
          </cell>
          <cell r="L346" t="str">
            <v>T</v>
          </cell>
          <cell r="M346" t="str">
            <v>SPHC-P/O</v>
          </cell>
          <cell r="N346" t="str">
            <v>STAY R CTR SIDE COVER</v>
          </cell>
          <cell r="O346" t="str">
            <v>50156-KWWM-6404-H1</v>
          </cell>
          <cell r="P346" t="str">
            <v>T</v>
          </cell>
          <cell r="Q346" t="str">
            <v>เสนอราคาเป็น Price Sourcing</v>
          </cell>
          <cell r="R346">
            <v>200</v>
          </cell>
        </row>
        <row r="347">
          <cell r="A347">
            <v>30014295</v>
          </cell>
          <cell r="B347" t="str">
            <v>2.0 x 68+0/-0.5 x 1219</v>
          </cell>
          <cell r="C347">
            <v>2</v>
          </cell>
          <cell r="D347">
            <v>68</v>
          </cell>
          <cell r="E347">
            <v>1219</v>
          </cell>
          <cell r="F347">
            <v>1.3014044</v>
          </cell>
          <cell r="G347">
            <v>100</v>
          </cell>
          <cell r="H347">
            <v>77004144</v>
          </cell>
          <cell r="I347" t="str">
            <v>SPHC-P/O</v>
          </cell>
          <cell r="J347" t="str">
            <v>STAY L CTR SIDE COVER</v>
          </cell>
          <cell r="K347" t="str">
            <v>50157-KWWM-6402-H2</v>
          </cell>
          <cell r="L347" t="str">
            <v>T</v>
          </cell>
          <cell r="M347" t="str">
            <v>SPHC-P/O</v>
          </cell>
          <cell r="N347" t="str">
            <v>STAY L CTR SIDE COVER</v>
          </cell>
          <cell r="O347" t="str">
            <v>50157-KWWM-6402-H2</v>
          </cell>
          <cell r="P347" t="str">
            <v>T</v>
          </cell>
          <cell r="Q347" t="str">
            <v>เสนอราคาเป็น Price Sourcing</v>
          </cell>
          <cell r="R347">
            <v>200</v>
          </cell>
        </row>
        <row r="348">
          <cell r="A348">
            <v>30014310</v>
          </cell>
          <cell r="B348" t="str">
            <v>1.6 x 150+/-0.5 x 1219</v>
          </cell>
          <cell r="C348">
            <v>1.6</v>
          </cell>
          <cell r="D348">
            <v>150</v>
          </cell>
          <cell r="E348">
            <v>1219</v>
          </cell>
          <cell r="F348">
            <v>2.2965960000000001</v>
          </cell>
          <cell r="G348">
            <v>13</v>
          </cell>
          <cell r="H348">
            <v>77004706</v>
          </cell>
          <cell r="I348" t="str">
            <v>SPHC-P/O</v>
          </cell>
          <cell r="J348" t="str">
            <v>GUSSSET COMP HANDLE</v>
          </cell>
          <cell r="K348" t="str">
            <v>53100-KWWM-6400-02</v>
          </cell>
          <cell r="L348" t="str">
            <v>T</v>
          </cell>
          <cell r="M348" t="str">
            <v>SPHC-P/O</v>
          </cell>
          <cell r="N348" t="str">
            <v>GUSSSET COMP HANDLE</v>
          </cell>
          <cell r="O348" t="str">
            <v>53100-KWWM-6400-02</v>
          </cell>
          <cell r="P348" t="str">
            <v>T</v>
          </cell>
          <cell r="Q348" t="str">
            <v>เสนอราคาเป็น Price Sourcing</v>
          </cell>
          <cell r="R348">
            <v>150</v>
          </cell>
        </row>
        <row r="349">
          <cell r="A349">
            <v>30014453</v>
          </cell>
          <cell r="B349" t="str">
            <v>2.0 x 132+/-0.5 x 1219</v>
          </cell>
          <cell r="C349">
            <v>2</v>
          </cell>
          <cell r="D349">
            <v>132</v>
          </cell>
          <cell r="E349">
            <v>1219</v>
          </cell>
          <cell r="F349">
            <v>2.5262556000000003</v>
          </cell>
          <cell r="G349">
            <v>17</v>
          </cell>
          <cell r="H349">
            <v>77004160</v>
          </cell>
          <cell r="I349" t="str">
            <v>SPHC-P/O</v>
          </cell>
          <cell r="J349" t="str">
            <v>STAY  UPPER</v>
          </cell>
          <cell r="K349" t="str">
            <v>81205-KVB-3500-21</v>
          </cell>
          <cell r="L349" t="str">
            <v>T</v>
          </cell>
          <cell r="M349" t="str">
            <v>SPHC-P/O</v>
          </cell>
          <cell r="N349" t="str">
            <v>STAY  UPPER</v>
          </cell>
          <cell r="O349" t="str">
            <v>81205-KVB-3500-21</v>
          </cell>
          <cell r="P349" t="str">
            <v>T</v>
          </cell>
          <cell r="Q349" t="e">
            <v>#N/A</v>
          </cell>
        </row>
        <row r="350">
          <cell r="A350">
            <v>30009369</v>
          </cell>
          <cell r="B350" t="str">
            <v>2.0 x 132+/-0.5 x 1219</v>
          </cell>
          <cell r="C350">
            <v>2</v>
          </cell>
          <cell r="D350">
            <v>132</v>
          </cell>
          <cell r="E350">
            <v>1219</v>
          </cell>
          <cell r="F350">
            <v>2.5262556000000003</v>
          </cell>
          <cell r="G350">
            <v>17</v>
          </cell>
          <cell r="H350">
            <v>77004160</v>
          </cell>
          <cell r="I350" t="str">
            <v>SPHC-P/O</v>
          </cell>
          <cell r="J350" t="str">
            <v>STAY  UPPER</v>
          </cell>
          <cell r="K350" t="str">
            <v>81205-KVB-3500-21</v>
          </cell>
          <cell r="L350" t="str">
            <v>T</v>
          </cell>
          <cell r="M350" t="str">
            <v>SPHC-P/O</v>
          </cell>
          <cell r="N350" t="str">
            <v>STAY  UPPER</v>
          </cell>
          <cell r="O350" t="str">
            <v>81205-KVB-3500-21</v>
          </cell>
          <cell r="P350" t="str">
            <v>T</v>
          </cell>
          <cell r="Q350" t="e">
            <v>#N/A</v>
          </cell>
        </row>
        <row r="351">
          <cell r="A351">
            <v>30014888</v>
          </cell>
          <cell r="B351" t="str">
            <v>1.6 x 52+/-0.5 x 1219</v>
          </cell>
          <cell r="C351">
            <v>1.6</v>
          </cell>
          <cell r="D351">
            <v>52</v>
          </cell>
          <cell r="E351">
            <v>1219</v>
          </cell>
          <cell r="F351">
            <v>0.79615328000000007</v>
          </cell>
          <cell r="G351">
            <v>30</v>
          </cell>
          <cell r="H351">
            <v>77004259</v>
          </cell>
          <cell r="I351" t="str">
            <v>SPCC-SD</v>
          </cell>
          <cell r="J351" t="str">
            <v>STAY CT RR HD COVER</v>
          </cell>
          <cell r="K351" t="str">
            <v>53129-KZVA-T002-H1</v>
          </cell>
          <cell r="L351" t="str">
            <v>T</v>
          </cell>
          <cell r="M351" t="str">
            <v>SPCC-SD</v>
          </cell>
          <cell r="N351" t="str">
            <v>STAY CT RR HD COVER</v>
          </cell>
          <cell r="O351" t="str">
            <v>53129-KZVA-T002-H1</v>
          </cell>
          <cell r="P351" t="str">
            <v>T</v>
          </cell>
          <cell r="Q351" t="str">
            <v>เสนอราคาเป็น Price Sourcing</v>
          </cell>
        </row>
        <row r="352">
          <cell r="A352">
            <v>30014890</v>
          </cell>
          <cell r="B352" t="str">
            <v>1.6 x 118+/-0.5 x 1219</v>
          </cell>
          <cell r="C352">
            <v>1.6</v>
          </cell>
          <cell r="D352">
            <v>118</v>
          </cell>
          <cell r="E352">
            <v>1219</v>
          </cell>
          <cell r="F352">
            <v>1.8066555200000001</v>
          </cell>
          <cell r="G352">
            <v>58</v>
          </cell>
          <cell r="H352">
            <v>77004289</v>
          </cell>
          <cell r="I352" t="str">
            <v>SPCC-SD</v>
          </cell>
          <cell r="J352" t="str">
            <v>STAY L HANDLE COVER</v>
          </cell>
          <cell r="K352" t="str">
            <v>53107-KZVA-T000-H1</v>
          </cell>
          <cell r="L352" t="str">
            <v>T</v>
          </cell>
          <cell r="M352" t="str">
            <v>SPCC-SD</v>
          </cell>
          <cell r="N352" t="str">
            <v>STAY L HANDLE COVER</v>
          </cell>
          <cell r="O352" t="str">
            <v>53107-KZVA-T000-H1</v>
          </cell>
          <cell r="P352" t="str">
            <v>T</v>
          </cell>
          <cell r="Q352" t="str">
            <v>เสนอราคาเป็น Price Sourcing</v>
          </cell>
          <cell r="R352">
            <v>200</v>
          </cell>
        </row>
        <row r="353">
          <cell r="A353">
            <v>30014891</v>
          </cell>
          <cell r="B353" t="str">
            <v>1.6 x 118+/-0.5 x 1219</v>
          </cell>
          <cell r="C353">
            <v>1.6</v>
          </cell>
          <cell r="D353">
            <v>118</v>
          </cell>
          <cell r="E353">
            <v>1219</v>
          </cell>
          <cell r="F353">
            <v>1.8066555200000001</v>
          </cell>
          <cell r="G353">
            <v>58</v>
          </cell>
          <cell r="H353">
            <v>77004289</v>
          </cell>
          <cell r="I353" t="str">
            <v>SPCC-SD</v>
          </cell>
          <cell r="J353" t="str">
            <v>STAY R HANDLE COVER</v>
          </cell>
          <cell r="K353" t="str">
            <v>53106-KZVA-T000-H1</v>
          </cell>
          <cell r="L353" t="str">
            <v>T</v>
          </cell>
          <cell r="M353" t="str">
            <v>SPCC-SD</v>
          </cell>
          <cell r="N353" t="str">
            <v>STAY R HANDLE COVER</v>
          </cell>
          <cell r="O353" t="str">
            <v>53106-KZVA-T000-H1</v>
          </cell>
          <cell r="P353" t="str">
            <v>T</v>
          </cell>
          <cell r="Q353" t="str">
            <v>เสนอราคาเป็น Price Sourcing</v>
          </cell>
          <cell r="R353">
            <v>200</v>
          </cell>
        </row>
        <row r="354">
          <cell r="A354">
            <v>30014896</v>
          </cell>
          <cell r="B354" t="str">
            <v>2.8 x 152+/-0.5 x 1219</v>
          </cell>
          <cell r="C354">
            <v>2.8</v>
          </cell>
          <cell r="D354">
            <v>152</v>
          </cell>
          <cell r="E354">
            <v>1219</v>
          </cell>
          <cell r="F354">
            <v>4.0726302399999996</v>
          </cell>
          <cell r="G354">
            <v>12</v>
          </cell>
          <cell r="H354">
            <v>77004732</v>
          </cell>
          <cell r="I354" t="str">
            <v>SPCC-SD</v>
          </cell>
          <cell r="J354" t="str">
            <v>GUSSET, HANDLE PIPE</v>
          </cell>
          <cell r="K354" t="str">
            <v>53100-KZVA-T000-21</v>
          </cell>
          <cell r="L354" t="str">
            <v>T</v>
          </cell>
          <cell r="M354" t="str">
            <v>SPCC-SD</v>
          </cell>
          <cell r="N354" t="str">
            <v>GUSSET, HANDLE PIPE</v>
          </cell>
          <cell r="O354" t="str">
            <v>53100-KZVA-T000-21</v>
          </cell>
          <cell r="P354" t="str">
            <v>T</v>
          </cell>
          <cell r="Q354" t="str">
            <v>เสนอราคาเป็น Price Sourcing</v>
          </cell>
          <cell r="R354">
            <v>100</v>
          </cell>
        </row>
        <row r="355">
          <cell r="A355" t="str">
            <v>30015301-1</v>
          </cell>
          <cell r="B355" t="str">
            <v>1.6 x 75+/-0.5 x 1219</v>
          </cell>
          <cell r="C355">
            <v>1.6</v>
          </cell>
          <cell r="D355">
            <v>75</v>
          </cell>
          <cell r="E355">
            <v>1219</v>
          </cell>
          <cell r="F355">
            <v>1.148298</v>
          </cell>
          <cell r="G355">
            <v>36</v>
          </cell>
          <cell r="H355">
            <v>77004134</v>
          </cell>
          <cell r="I355" t="str">
            <v>SPHC-P/O</v>
          </cell>
          <cell r="J355" t="str">
            <v>STAY R H/L COMP</v>
          </cell>
          <cell r="K355" t="str">
            <v>50310-KZL-9300-06</v>
          </cell>
          <cell r="L355" t="str">
            <v>KZLA</v>
          </cell>
          <cell r="M355" t="str">
            <v>SPHC-P/O</v>
          </cell>
          <cell r="N355" t="str">
            <v>STAY R H/L COMP</v>
          </cell>
          <cell r="O355" t="str">
            <v>50310-KZL-9300-06</v>
          </cell>
          <cell r="P355" t="str">
            <v>KZLA</v>
          </cell>
          <cell r="Q355" t="e">
            <v>#N/A</v>
          </cell>
        </row>
        <row r="356">
          <cell r="A356">
            <v>30015302</v>
          </cell>
          <cell r="B356" t="str">
            <v>1.6 x 60+/-0.5 x 1219</v>
          </cell>
          <cell r="C356">
            <v>1.6</v>
          </cell>
          <cell r="D356">
            <v>60</v>
          </cell>
          <cell r="E356">
            <v>1219</v>
          </cell>
          <cell r="F356">
            <v>0.91863839999999986</v>
          </cell>
          <cell r="G356">
            <v>30</v>
          </cell>
          <cell r="H356">
            <v>77004449</v>
          </cell>
          <cell r="I356" t="str">
            <v>SPHC-P/O</v>
          </cell>
          <cell r="J356" t="str">
            <v>STAY L H/L COMP</v>
          </cell>
          <cell r="K356" t="str">
            <v>50310-KZL-9300-07</v>
          </cell>
          <cell r="L356" t="str">
            <v>T</v>
          </cell>
          <cell r="M356" t="str">
            <v>SPHC-P/O</v>
          </cell>
          <cell r="N356" t="str">
            <v>STAY L H/L COMP</v>
          </cell>
          <cell r="O356" t="str">
            <v>50310-KZL-9300-07</v>
          </cell>
          <cell r="P356" t="str">
            <v>T</v>
          </cell>
          <cell r="Q356" t="str">
            <v>ptt</v>
          </cell>
        </row>
        <row r="357">
          <cell r="A357">
            <v>30015323</v>
          </cell>
          <cell r="B357" t="str">
            <v>1.6 x 49+/-0.5 x Coil</v>
          </cell>
          <cell r="C357">
            <v>1.6</v>
          </cell>
          <cell r="D357">
            <v>49</v>
          </cell>
          <cell r="E357" t="str">
            <v>Coil</v>
          </cell>
          <cell r="F357">
            <v>1.44E-2</v>
          </cell>
          <cell r="G357">
            <v>1.44E-2</v>
          </cell>
          <cell r="H357">
            <v>77004129</v>
          </cell>
          <cell r="I357" t="str">
            <v>SPHC-P/O</v>
          </cell>
          <cell r="J357" t="str">
            <v>STAY  LUGGAGE BOX FR</v>
          </cell>
          <cell r="K357" t="str">
            <v>50175-KZL-9300-H1</v>
          </cell>
          <cell r="L357" t="str">
            <v>KZLA</v>
          </cell>
          <cell r="M357" t="str">
            <v>SPHC-P/O</v>
          </cell>
          <cell r="N357" t="str">
            <v>STAY  LUGGAGE BOX FR</v>
          </cell>
          <cell r="O357" t="str">
            <v>50175-KZL-9300-H1</v>
          </cell>
          <cell r="P357" t="str">
            <v>KZLA</v>
          </cell>
          <cell r="Q357" t="str">
            <v>เสนอราคาเป็น Price Sourcing</v>
          </cell>
        </row>
        <row r="358">
          <cell r="A358">
            <v>30015680</v>
          </cell>
          <cell r="B358" t="str">
            <v>1.6 x 175+/-0.5 x 1219</v>
          </cell>
          <cell r="C358">
            <v>1.6</v>
          </cell>
          <cell r="D358">
            <v>175</v>
          </cell>
          <cell r="E358">
            <v>1219</v>
          </cell>
          <cell r="F358">
            <v>2.6793619999999998</v>
          </cell>
          <cell r="G358">
            <v>60</v>
          </cell>
          <cell r="H358">
            <v>77004663</v>
          </cell>
          <cell r="I358" t="str">
            <v>SPHC-P/O</v>
          </cell>
          <cell r="J358" t="str">
            <v>PLATE A</v>
          </cell>
          <cell r="K358" t="str">
            <v>64221-KPPS-6001-22</v>
          </cell>
          <cell r="L358" t="str">
            <v>T</v>
          </cell>
          <cell r="M358" t="str">
            <v>SPHC-P/O</v>
          </cell>
          <cell r="N358" t="str">
            <v>PLATE A</v>
          </cell>
          <cell r="O358" t="str">
            <v>64221-KPPS-6001-22</v>
          </cell>
          <cell r="P358" t="str">
            <v>T</v>
          </cell>
          <cell r="Q358" t="e">
            <v>#N/A</v>
          </cell>
        </row>
        <row r="359">
          <cell r="A359">
            <v>30018678</v>
          </cell>
          <cell r="B359" t="str">
            <v>2.6 x 48+/-0.5 x 1219</v>
          </cell>
          <cell r="C359">
            <v>2.6</v>
          </cell>
          <cell r="D359">
            <v>48</v>
          </cell>
          <cell r="E359">
            <v>1219</v>
          </cell>
          <cell r="F359">
            <v>1.1942299199999999</v>
          </cell>
          <cell r="G359">
            <v>46</v>
          </cell>
          <cell r="H359">
            <v>77003533</v>
          </cell>
          <cell r="I359" t="str">
            <v>SPHC-P/O</v>
          </cell>
          <cell r="J359" t="str">
            <v>STAY CHAIN CASE A, STAY CHAIN SLIDER</v>
          </cell>
          <cell r="K359" t="str">
            <v>52131-MGZA-J001-H1,52171-MGZA-J000-H1</v>
          </cell>
          <cell r="L359" t="str">
            <v>T</v>
          </cell>
          <cell r="M359" t="str">
            <v>SPHC-P/O</v>
          </cell>
          <cell r="N359" t="str">
            <v>STAY CHAIN CASE A, STAY CHAIN SLIDER</v>
          </cell>
          <cell r="O359" t="str">
            <v>52131-MGZA-J001-H1,52171-MGZA-J000-H1</v>
          </cell>
          <cell r="P359" t="str">
            <v>T</v>
          </cell>
          <cell r="Q359" t="str">
            <v>เสนอราคาเป็น Price Sourcing</v>
          </cell>
          <cell r="R359" t="str">
            <v>ซื้อได้ที่ PS</v>
          </cell>
        </row>
        <row r="360">
          <cell r="A360">
            <v>30018680</v>
          </cell>
          <cell r="B360" t="str">
            <v>2.6 x 48+/-0.5 x 1219</v>
          </cell>
          <cell r="C360">
            <v>2.6</v>
          </cell>
          <cell r="D360">
            <v>48</v>
          </cell>
          <cell r="E360">
            <v>1219</v>
          </cell>
          <cell r="F360">
            <v>1.1942299199999999</v>
          </cell>
          <cell r="G360">
            <v>46</v>
          </cell>
          <cell r="H360">
            <v>77003533</v>
          </cell>
          <cell r="I360" t="str">
            <v>SPHC-P/O</v>
          </cell>
          <cell r="J360" t="str">
            <v>STAY CHAIN CASE A, STAY CHAIN SLIDER</v>
          </cell>
          <cell r="K360" t="str">
            <v>52131-MGZA-J001-H1,52171-MGZA-J000-H1</v>
          </cell>
          <cell r="L360" t="str">
            <v>T</v>
          </cell>
          <cell r="M360" t="str">
            <v>SPHC-P/O</v>
          </cell>
          <cell r="N360" t="str">
            <v>STAY CHAIN CASE A, STAY CHAIN SLIDER</v>
          </cell>
          <cell r="O360" t="str">
            <v>52131-MGZA-J001-H1,52171-MGZA-J000-H1</v>
          </cell>
          <cell r="P360" t="str">
            <v>T</v>
          </cell>
          <cell r="Q360" t="str">
            <v>เสนอราคาเป็น Price Sourcing</v>
          </cell>
          <cell r="R360" t="str">
            <v>ซื้อได้ที่ PS</v>
          </cell>
        </row>
        <row r="361">
          <cell r="A361">
            <v>30018680</v>
          </cell>
          <cell r="B361" t="str">
            <v>2.6 x 42+/-0.5 x 1219</v>
          </cell>
          <cell r="C361">
            <v>2.6</v>
          </cell>
          <cell r="D361">
            <v>42</v>
          </cell>
          <cell r="E361">
            <v>1219</v>
          </cell>
          <cell r="F361">
            <v>1.04495118</v>
          </cell>
          <cell r="G361">
            <v>46</v>
          </cell>
          <cell r="H361">
            <v>77004902</v>
          </cell>
          <cell r="I361" t="str">
            <v>SPHC-P/O</v>
          </cell>
          <cell r="J361" t="str">
            <v>STAY CHAIN CASE A, STAY CHAIN SLIDER</v>
          </cell>
          <cell r="K361" t="str">
            <v>52171-MGZA-J000-H1</v>
          </cell>
          <cell r="L361" t="str">
            <v>T</v>
          </cell>
          <cell r="M361" t="str">
            <v>SPHC-P/O</v>
          </cell>
          <cell r="N361" t="str">
            <v>STAY CHAIN CASE A, STAY CHAIN SLIDER</v>
          </cell>
          <cell r="O361" t="str">
            <v>52171-MGZA-J000-H1</v>
          </cell>
          <cell r="P361" t="str">
            <v>T</v>
          </cell>
          <cell r="Q361" t="e">
            <v>#N/A</v>
          </cell>
        </row>
        <row r="362">
          <cell r="A362">
            <v>30018684</v>
          </cell>
          <cell r="B362" t="str">
            <v>5.0 x 182+/-0.5 x 1219</v>
          </cell>
          <cell r="C362">
            <v>5</v>
          </cell>
          <cell r="D362">
            <v>182</v>
          </cell>
          <cell r="E362">
            <v>1219</v>
          </cell>
          <cell r="F362">
            <v>8.7079264999999992</v>
          </cell>
          <cell r="G362">
            <v>13</v>
          </cell>
          <cell r="H362">
            <v>77004739</v>
          </cell>
          <cell r="I362" t="str">
            <v>SPHC-P/O</v>
          </cell>
          <cell r="J362" t="str">
            <v>BRACKET RR CUSH</v>
          </cell>
          <cell r="K362" t="str">
            <v>52115-MGZA-J000-20</v>
          </cell>
          <cell r="L362" t="str">
            <v>T</v>
          </cell>
          <cell r="M362" t="str">
            <v>SPHC-P/O</v>
          </cell>
          <cell r="N362" t="str">
            <v>BRACKET RR CUSH</v>
          </cell>
          <cell r="O362" t="str">
            <v>52115-MGZA-J000-20</v>
          </cell>
          <cell r="P362" t="str">
            <v>T</v>
          </cell>
          <cell r="Q362" t="str">
            <v>เสนอราคาเป็น Price Sourcing</v>
          </cell>
          <cell r="R362">
            <v>50</v>
          </cell>
        </row>
        <row r="363">
          <cell r="A363">
            <v>30018868</v>
          </cell>
          <cell r="B363" t="str">
            <v>6.0 x 180+/-0.5 x 1219</v>
          </cell>
          <cell r="C363">
            <v>6</v>
          </cell>
          <cell r="D363">
            <v>180</v>
          </cell>
          <cell r="E363">
            <v>1219</v>
          </cell>
          <cell r="F363">
            <v>10.334682000000001</v>
          </cell>
          <cell r="H363">
            <v>77005534</v>
          </cell>
          <cell r="I363" t="str">
            <v>JSH270C</v>
          </cell>
          <cell r="M363" t="str">
            <v>JSH270C</v>
          </cell>
          <cell r="Q363" t="str">
            <v>tsi</v>
          </cell>
        </row>
        <row r="364">
          <cell r="A364">
            <v>30020153</v>
          </cell>
          <cell r="B364" t="str">
            <v>3.2 x 40+/-0.5 x 1219</v>
          </cell>
          <cell r="C364">
            <v>3.2</v>
          </cell>
          <cell r="D364">
            <v>40</v>
          </cell>
          <cell r="E364">
            <v>1219</v>
          </cell>
          <cell r="F364">
            <v>1.2248512</v>
          </cell>
          <cell r="G364">
            <v>56</v>
          </cell>
          <cell r="H364">
            <v>77004901</v>
          </cell>
          <cell r="I364" t="str">
            <v>JSH440W</v>
          </cell>
          <cell r="J364" t="str">
            <v>STAY CHAIN CASE B</v>
          </cell>
          <cell r="K364" t="str">
            <v>52132-MGZA-J002-H1</v>
          </cell>
          <cell r="L364" t="str">
            <v>T</v>
          </cell>
          <cell r="M364" t="str">
            <v>JSH440W</v>
          </cell>
          <cell r="N364" t="str">
            <v>STAY CHAIN CASE B</v>
          </cell>
          <cell r="O364" t="str">
            <v>52132-MGZA-J002-H1</v>
          </cell>
          <cell r="P364" t="str">
            <v>T</v>
          </cell>
          <cell r="Q364" t="str">
            <v>เสนอราคาเป็น Price Sourcing</v>
          </cell>
        </row>
        <row r="365">
          <cell r="A365">
            <v>30022416</v>
          </cell>
          <cell r="B365" t="str">
            <v>2.0 x 71+/-0.5 x 1219</v>
          </cell>
          <cell r="C365">
            <v>2</v>
          </cell>
          <cell r="D365">
            <v>71</v>
          </cell>
          <cell r="E365">
            <v>1219</v>
          </cell>
          <cell r="F365">
            <v>1.3588193</v>
          </cell>
          <cell r="H365">
            <v>77004145</v>
          </cell>
          <cell r="I365" t="str">
            <v>SPHC-P/O</v>
          </cell>
          <cell r="M365" t="str">
            <v>SPHC-P/O</v>
          </cell>
          <cell r="Q365" t="e">
            <v>#N/A</v>
          </cell>
        </row>
        <row r="366">
          <cell r="A366">
            <v>30024234</v>
          </cell>
          <cell r="B366" t="str">
            <v>2.3 x 85+/-0.5 x 1219</v>
          </cell>
          <cell r="C366">
            <v>2.2999999999999998</v>
          </cell>
          <cell r="D366">
            <v>85</v>
          </cell>
          <cell r="E366">
            <v>1219</v>
          </cell>
          <cell r="F366">
            <v>1.8707688249999996</v>
          </cell>
          <cell r="G366">
            <v>29</v>
          </cell>
          <cell r="H366">
            <v>77004168</v>
          </cell>
          <cell r="I366" t="str">
            <v>SPHC-P/O</v>
          </cell>
          <cell r="J366" t="str">
            <v>STAY L</v>
          </cell>
          <cell r="K366" t="str">
            <v>50186-KPPP-T000-20</v>
          </cell>
          <cell r="L366" t="str">
            <v>T</v>
          </cell>
          <cell r="M366" t="str">
            <v>SPHC-P/O</v>
          </cell>
          <cell r="N366" t="str">
            <v>STAY L</v>
          </cell>
          <cell r="O366" t="str">
            <v>50186-KPPP-T000-20</v>
          </cell>
          <cell r="P366" t="str">
            <v>T</v>
          </cell>
          <cell r="Q366" t="e">
            <v>#N/A</v>
          </cell>
        </row>
        <row r="367">
          <cell r="A367">
            <v>30024235</v>
          </cell>
          <cell r="B367" t="str">
            <v>2.3 x 85+/-0.5 x 1219</v>
          </cell>
          <cell r="C367">
            <v>2.2999999999999998</v>
          </cell>
          <cell r="D367">
            <v>85</v>
          </cell>
          <cell r="E367">
            <v>1219</v>
          </cell>
          <cell r="F367">
            <v>1.8707688249999996</v>
          </cell>
          <cell r="G367">
            <v>29</v>
          </cell>
          <cell r="H367">
            <v>77004168</v>
          </cell>
          <cell r="I367" t="str">
            <v>SPHC-P/O</v>
          </cell>
          <cell r="J367" t="str">
            <v>STAY R</v>
          </cell>
          <cell r="K367" t="str">
            <v>50186-KPPP-T000-21</v>
          </cell>
          <cell r="L367" t="str">
            <v>T</v>
          </cell>
          <cell r="M367" t="str">
            <v>SPHC-P/O</v>
          </cell>
          <cell r="N367" t="str">
            <v>STAY R</v>
          </cell>
          <cell r="O367" t="str">
            <v>50186-KPPP-T000-21</v>
          </cell>
          <cell r="P367" t="str">
            <v>T</v>
          </cell>
          <cell r="Q367" t="e">
            <v>#N/A</v>
          </cell>
        </row>
        <row r="368">
          <cell r="A368">
            <v>73001076</v>
          </cell>
          <cell r="B368" t="str">
            <v>2.3 x 106+/-0.5 x 1219</v>
          </cell>
          <cell r="C368">
            <v>2.2999999999999998</v>
          </cell>
          <cell r="D368">
            <v>106</v>
          </cell>
          <cell r="E368">
            <v>1219</v>
          </cell>
          <cell r="F368">
            <v>2.3329587699999994</v>
          </cell>
          <cell r="G368">
            <v>16</v>
          </cell>
          <cell r="H368">
            <v>77004719</v>
          </cell>
          <cell r="I368" t="str">
            <v>SPHC-P/O</v>
          </cell>
          <cell r="J368" t="str">
            <v xml:space="preserve">GUSSET COMP MAIN UPPER </v>
          </cell>
          <cell r="K368" t="str">
            <v>50109-KVBM-T000</v>
          </cell>
          <cell r="L368" t="str">
            <v>T</v>
          </cell>
          <cell r="M368" t="str">
            <v>SPHC-P/O</v>
          </cell>
          <cell r="N368" t="str">
            <v xml:space="preserve">GUSSET COMP MAIN UPPER </v>
          </cell>
          <cell r="O368" t="str">
            <v>50109-KVBM-T000</v>
          </cell>
          <cell r="P368" t="str">
            <v>T</v>
          </cell>
          <cell r="Q368" t="str">
            <v>เสนอราคาเป็น Price Sourcing</v>
          </cell>
        </row>
        <row r="369">
          <cell r="A369">
            <v>73002185</v>
          </cell>
          <cell r="B369" t="str">
            <v>1.4 x 182+/-0.5 x 1219</v>
          </cell>
          <cell r="C369">
            <v>1.4</v>
          </cell>
          <cell r="D369">
            <v>182</v>
          </cell>
          <cell r="E369">
            <v>1219</v>
          </cell>
          <cell r="F369">
            <v>2.4382194199999994</v>
          </cell>
          <cell r="G369">
            <v>20</v>
          </cell>
          <cell r="H369">
            <v>77004705</v>
          </cell>
          <cell r="I369" t="str">
            <v>SPCC-SD</v>
          </cell>
          <cell r="J369" t="str">
            <v>PLATE A CROSS</v>
          </cell>
          <cell r="K369" t="str">
            <v>50124-KYJA-9005-H1</v>
          </cell>
          <cell r="L369" t="str">
            <v>T</v>
          </cell>
          <cell r="M369" t="str">
            <v>SPCC-SD</v>
          </cell>
          <cell r="N369" t="str">
            <v>PLATE A CROSS</v>
          </cell>
          <cell r="O369" t="str">
            <v>50124-KYJA-9005-H1</v>
          </cell>
          <cell r="P369" t="str">
            <v>T</v>
          </cell>
          <cell r="Q369" t="str">
            <v>เสนอราคาเป็น Price Sourcing</v>
          </cell>
        </row>
        <row r="370">
          <cell r="A370">
            <v>300007676</v>
          </cell>
          <cell r="B370" t="str">
            <v>2.3 x 67+/-0.5 x 1219</v>
          </cell>
          <cell r="C370">
            <v>2.2999999999999998</v>
          </cell>
          <cell r="D370">
            <v>67</v>
          </cell>
          <cell r="E370">
            <v>1219</v>
          </cell>
          <cell r="F370">
            <v>1.474606015</v>
          </cell>
          <cell r="G370">
            <v>126</v>
          </cell>
          <cell r="H370">
            <v>77004166</v>
          </cell>
          <cell r="I370" t="str">
            <v>SPHC-P/O</v>
          </cell>
          <cell r="J370" t="str">
            <v>STAY BRK RETURN SPRING</v>
          </cell>
          <cell r="K370" t="str">
            <v>52146-KWBA-6001-H1</v>
          </cell>
          <cell r="L370" t="str">
            <v>KWW</v>
          </cell>
          <cell r="M370" t="str">
            <v>SPHC-P/O</v>
          </cell>
          <cell r="N370" t="str">
            <v>STAY BRK RETURN SPRING</v>
          </cell>
          <cell r="O370" t="str">
            <v>52146-KWBA-6001-H1</v>
          </cell>
          <cell r="P370" t="str">
            <v>KWW</v>
          </cell>
          <cell r="Q370" t="str">
            <v>ptt</v>
          </cell>
        </row>
        <row r="371">
          <cell r="A371" t="str">
            <v>30002556-1</v>
          </cell>
          <cell r="B371" t="str">
            <v>4.5 x 275+/-0.5 x 1219</v>
          </cell>
          <cell r="C371">
            <v>4.5</v>
          </cell>
          <cell r="D371">
            <v>275</v>
          </cell>
          <cell r="E371">
            <v>1219</v>
          </cell>
          <cell r="F371">
            <v>11.841823124999999</v>
          </cell>
          <cell r="G371">
            <v>23</v>
          </cell>
          <cell r="H371">
            <v>50011839</v>
          </cell>
          <cell r="I371" t="str">
            <v>JSH270C-P</v>
          </cell>
          <cell r="J371" t="str">
            <v xml:space="preserve">ARM </v>
          </cell>
          <cell r="K371" t="str">
            <v>2470B-KPH-9700</v>
          </cell>
          <cell r="L371" t="str">
            <v>T</v>
          </cell>
          <cell r="M371" t="str">
            <v>JSH270C-P</v>
          </cell>
          <cell r="N371" t="str">
            <v xml:space="preserve">ARM </v>
          </cell>
          <cell r="O371" t="str">
            <v>2470B-KPH-9700</v>
          </cell>
          <cell r="P371" t="str">
            <v>T</v>
          </cell>
          <cell r="Q371" t="e">
            <v>#N/A</v>
          </cell>
        </row>
        <row r="372">
          <cell r="A372">
            <v>30002556</v>
          </cell>
          <cell r="B372" t="str">
            <v>4.5 x 270+/-0.5 x 1219</v>
          </cell>
          <cell r="C372">
            <v>4.5</v>
          </cell>
          <cell r="D372">
            <v>270</v>
          </cell>
          <cell r="E372">
            <v>1219</v>
          </cell>
          <cell r="F372">
            <v>11.626517249999999</v>
          </cell>
          <cell r="G372">
            <v>23</v>
          </cell>
          <cell r="H372">
            <v>77004675</v>
          </cell>
          <cell r="I372" t="str">
            <v>JSH270C-P</v>
          </cell>
          <cell r="J372" t="str">
            <v xml:space="preserve">ARM </v>
          </cell>
          <cell r="K372" t="str">
            <v>2470B-KPH-9700</v>
          </cell>
          <cell r="L372" t="str">
            <v>T</v>
          </cell>
          <cell r="M372" t="str">
            <v>JSH270C-P</v>
          </cell>
          <cell r="N372" t="str">
            <v xml:space="preserve">ARM </v>
          </cell>
          <cell r="O372" t="str">
            <v>2470B-KPH-9700</v>
          </cell>
          <cell r="P372" t="str">
            <v>T</v>
          </cell>
          <cell r="Q372" t="e">
            <v>#N/A</v>
          </cell>
        </row>
        <row r="373">
          <cell r="A373" t="str">
            <v>30014292-1</v>
          </cell>
          <cell r="B373" t="str">
            <v>2.0 x 95+/-0.5 x 1219</v>
          </cell>
          <cell r="C373">
            <v>2</v>
          </cell>
          <cell r="D373">
            <v>95</v>
          </cell>
          <cell r="E373">
            <v>1219</v>
          </cell>
          <cell r="F373">
            <v>1.8181385000000001</v>
          </cell>
          <cell r="G373">
            <v>32</v>
          </cell>
          <cell r="H373">
            <v>77005427</v>
          </cell>
          <cell r="I373" t="str">
            <v>SPHC-P/O</v>
          </cell>
          <cell r="J373" t="str">
            <v>STAY L MAIN PI SI COVER</v>
          </cell>
          <cell r="K373" t="str">
            <v>50163-KWWM-6402-H1</v>
          </cell>
          <cell r="L373" t="str">
            <v>T</v>
          </cell>
          <cell r="M373" t="str">
            <v>SPHC-P/O</v>
          </cell>
          <cell r="N373" t="str">
            <v>STAY L MAIN PI SI COVER</v>
          </cell>
          <cell r="O373" t="str">
            <v>50163-KWWM-6402-H1</v>
          </cell>
          <cell r="P373" t="str">
            <v>T</v>
          </cell>
          <cell r="Q373" t="str">
            <v>epc</v>
          </cell>
          <cell r="R373">
            <v>200</v>
          </cell>
        </row>
        <row r="374">
          <cell r="A374" t="str">
            <v>30014293-1</v>
          </cell>
          <cell r="B374" t="str">
            <v>2.0 x 95+/-0.5 x 1219</v>
          </cell>
          <cell r="C374">
            <v>2</v>
          </cell>
          <cell r="D374">
            <v>95</v>
          </cell>
          <cell r="E374">
            <v>1219</v>
          </cell>
          <cell r="F374">
            <v>1.8181385000000001</v>
          </cell>
          <cell r="G374">
            <v>32</v>
          </cell>
          <cell r="H374">
            <v>77005427</v>
          </cell>
          <cell r="I374" t="str">
            <v>SPHC-P/O</v>
          </cell>
          <cell r="J374" t="str">
            <v>STAY R MAIN PI SI COVER</v>
          </cell>
          <cell r="K374" t="str">
            <v>50162-KWWM-6402-H1</v>
          </cell>
          <cell r="L374" t="str">
            <v>T</v>
          </cell>
          <cell r="M374" t="str">
            <v>SPHC-P/O</v>
          </cell>
          <cell r="N374" t="str">
            <v>STAY R MAIN PI SI COVER</v>
          </cell>
          <cell r="O374" t="str">
            <v>50162-KWWM-6402-H1</v>
          </cell>
          <cell r="P374" t="str">
            <v>T</v>
          </cell>
          <cell r="Q374" t="str">
            <v>epc</v>
          </cell>
          <cell r="R374">
            <v>200</v>
          </cell>
        </row>
        <row r="375">
          <cell r="A375" t="str">
            <v>30015325-1</v>
          </cell>
          <cell r="B375" t="str">
            <v>2.0 x 90+/-0.5 x 1219</v>
          </cell>
          <cell r="C375">
            <v>2</v>
          </cell>
          <cell r="D375">
            <v>90</v>
          </cell>
          <cell r="E375">
            <v>1219</v>
          </cell>
          <cell r="F375">
            <v>1.7224470000000001</v>
          </cell>
          <cell r="G375">
            <v>23</v>
          </cell>
          <cell r="H375">
            <v>77005426</v>
          </cell>
          <cell r="I375" t="str">
            <v>SPHC-P/O</v>
          </cell>
          <cell r="J375" t="str">
            <v>STAY R SEAT CATCH "KZLH"</v>
          </cell>
          <cell r="K375" t="str">
            <v>50156-KZL-9300-H1</v>
          </cell>
          <cell r="L375" t="str">
            <v>T</v>
          </cell>
          <cell r="M375" t="str">
            <v>SPHC-P/O</v>
          </cell>
          <cell r="N375" t="str">
            <v>STAY R SEAT CATCH "KZLH"</v>
          </cell>
          <cell r="O375" t="str">
            <v>50156-KZL-9300-H1</v>
          </cell>
          <cell r="P375" t="str">
            <v>T</v>
          </cell>
          <cell r="Q375" t="str">
            <v>epc</v>
          </cell>
          <cell r="R375">
            <v>200</v>
          </cell>
        </row>
        <row r="376">
          <cell r="A376" t="str">
            <v>30015325-2</v>
          </cell>
          <cell r="B376" t="str">
            <v>2.0 x 65+/-0.5 x 1219</v>
          </cell>
          <cell r="C376">
            <v>2</v>
          </cell>
          <cell r="D376">
            <v>65</v>
          </cell>
          <cell r="E376">
            <v>1219</v>
          </cell>
          <cell r="F376">
            <v>1.2439895000000001</v>
          </cell>
          <cell r="G376">
            <v>30</v>
          </cell>
          <cell r="H376">
            <v>77003668</v>
          </cell>
          <cell r="I376" t="str">
            <v>SPHC-P/O</v>
          </cell>
          <cell r="J376" t="str">
            <v>PLATE มีรู</v>
          </cell>
          <cell r="K376" t="str">
            <v>50156-KZL-9300-H2</v>
          </cell>
          <cell r="L376" t="str">
            <v>T</v>
          </cell>
          <cell r="M376" t="str">
            <v>SPHC-P/O</v>
          </cell>
          <cell r="N376" t="str">
            <v>PLATE มีรู</v>
          </cell>
          <cell r="O376" t="str">
            <v>50156-KZL-9300-H2</v>
          </cell>
          <cell r="P376" t="str">
            <v>T</v>
          </cell>
          <cell r="Q376" t="e">
            <v>#N/A</v>
          </cell>
        </row>
        <row r="377">
          <cell r="A377" t="str">
            <v>30015326-1</v>
          </cell>
          <cell r="B377" t="str">
            <v>2.0 x 90+/-0.5 x 1219</v>
          </cell>
          <cell r="C377">
            <v>2</v>
          </cell>
          <cell r="D377">
            <v>90</v>
          </cell>
          <cell r="E377">
            <v>1219</v>
          </cell>
          <cell r="F377">
            <v>1.7224470000000001</v>
          </cell>
          <cell r="G377">
            <v>23</v>
          </cell>
          <cell r="H377">
            <v>77005426</v>
          </cell>
          <cell r="I377" t="str">
            <v>SPHC-P/O</v>
          </cell>
          <cell r="J377" t="str">
            <v>STAY L SEAT CATCH "KZLH"</v>
          </cell>
          <cell r="K377" t="str">
            <v>50157-KZL-9300-H1</v>
          </cell>
          <cell r="L377" t="str">
            <v>T</v>
          </cell>
          <cell r="M377" t="str">
            <v>SPHC-P/O</v>
          </cell>
          <cell r="N377" t="str">
            <v>STAY L SEAT CATCH "KZLH"</v>
          </cell>
          <cell r="O377" t="str">
            <v>50157-KZL-9300-H1</v>
          </cell>
          <cell r="P377" t="str">
            <v>T</v>
          </cell>
          <cell r="Q377" t="str">
            <v>เสนอราคาเป็น Price Sourcing</v>
          </cell>
          <cell r="R377" t="str">
            <v>ซื้อได้ที่ EPC</v>
          </cell>
        </row>
        <row r="378">
          <cell r="A378" t="str">
            <v>30015326-2</v>
          </cell>
          <cell r="B378" t="str">
            <v>2.0 x 55+/-0.5 x 1219</v>
          </cell>
          <cell r="C378">
            <v>2</v>
          </cell>
          <cell r="D378">
            <v>55</v>
          </cell>
          <cell r="E378">
            <v>1219</v>
          </cell>
          <cell r="F378">
            <v>1.0526065</v>
          </cell>
          <cell r="G378">
            <v>42</v>
          </cell>
          <cell r="H378">
            <v>77004143</v>
          </cell>
          <cell r="I378" t="str">
            <v>SPHC-P/O</v>
          </cell>
          <cell r="J378" t="str">
            <v>PLATE ไม่มีรู</v>
          </cell>
          <cell r="K378" t="str">
            <v>50157-KZL-9300-H1</v>
          </cell>
          <cell r="L378" t="str">
            <v>T</v>
          </cell>
          <cell r="M378" t="str">
            <v>SPHC-P/O</v>
          </cell>
          <cell r="N378" t="str">
            <v>PLATE ไม่มีรู</v>
          </cell>
          <cell r="O378" t="str">
            <v>50157-KZL-9300-H1</v>
          </cell>
          <cell r="P378" t="str">
            <v>T</v>
          </cell>
          <cell r="Q378" t="str">
            <v>เสนอราคาเป็น Price Sourcing</v>
          </cell>
        </row>
        <row r="379">
          <cell r="A379" t="str">
            <v>30016215-1</v>
          </cell>
          <cell r="B379" t="str">
            <v>2.0 x 90+/-0.5 x 1219</v>
          </cell>
          <cell r="C379">
            <v>2</v>
          </cell>
          <cell r="D379">
            <v>90</v>
          </cell>
          <cell r="E379">
            <v>1219</v>
          </cell>
          <cell r="F379">
            <v>1.7224470000000001</v>
          </cell>
          <cell r="G379">
            <v>23</v>
          </cell>
          <cell r="H379">
            <v>77005426</v>
          </cell>
          <cell r="I379" t="str">
            <v>SPHC-P/O</v>
          </cell>
          <cell r="J379" t="str">
            <v>STAY R SEAT CATCH "KZRA"</v>
          </cell>
          <cell r="K379" t="str">
            <v>50146-KZRA-600</v>
          </cell>
          <cell r="L379" t="str">
            <v>T</v>
          </cell>
          <cell r="M379" t="str">
            <v>SPHC-P/O</v>
          </cell>
          <cell r="N379" t="str">
            <v>STAY R SEAT CATCH "KZRA"</v>
          </cell>
          <cell r="O379" t="str">
            <v>50146-KZRA-600</v>
          </cell>
          <cell r="P379" t="str">
            <v>T</v>
          </cell>
          <cell r="Q379" t="str">
            <v>เสนอราคาเป็น Price Sourcing</v>
          </cell>
          <cell r="R379" t="str">
            <v>ซื้อได้ที่ EPC</v>
          </cell>
        </row>
        <row r="380">
          <cell r="A380" t="str">
            <v>30016215-2</v>
          </cell>
          <cell r="B380" t="str">
            <v>2.0 x 55+/-0.5 x 1219</v>
          </cell>
          <cell r="C380">
            <v>2</v>
          </cell>
          <cell r="D380">
            <v>55</v>
          </cell>
          <cell r="E380">
            <v>1219</v>
          </cell>
          <cell r="F380">
            <v>1.0526065</v>
          </cell>
          <cell r="G380">
            <v>42</v>
          </cell>
          <cell r="H380">
            <v>77004143</v>
          </cell>
          <cell r="I380" t="str">
            <v>SPHC-P/O</v>
          </cell>
          <cell r="J380" t="str">
            <v>PLATE ไม่มีรู</v>
          </cell>
          <cell r="K380" t="str">
            <v>50146-KZRA-600</v>
          </cell>
          <cell r="L380" t="str">
            <v>T</v>
          </cell>
          <cell r="M380" t="str">
            <v>SPHC-P/O</v>
          </cell>
          <cell r="N380" t="str">
            <v>PLATE ไม่มีรู</v>
          </cell>
          <cell r="O380" t="str">
            <v>50146-KZRA-600</v>
          </cell>
          <cell r="P380" t="str">
            <v>T</v>
          </cell>
          <cell r="Q380" t="str">
            <v>เสนอราคาเป็น Price Sourcing</v>
          </cell>
        </row>
        <row r="381">
          <cell r="A381" t="str">
            <v>30023392-1</v>
          </cell>
          <cell r="B381" t="str">
            <v>2.6 x 139+/-0.5 x 1219</v>
          </cell>
          <cell r="C381">
            <v>2.6</v>
          </cell>
          <cell r="D381">
            <v>139</v>
          </cell>
          <cell r="E381">
            <v>1219</v>
          </cell>
          <cell r="F381">
            <v>3.4582908100000003</v>
          </cell>
          <cell r="G381">
            <v>18</v>
          </cell>
          <cell r="H381">
            <v>77004212</v>
          </cell>
          <cell r="I381" t="str">
            <v>JSH440W</v>
          </cell>
          <cell r="J381" t="str">
            <v>PLATE R/L COMP</v>
          </cell>
          <cell r="K381" t="str">
            <v>50186-K33-D000-06</v>
          </cell>
          <cell r="L381" t="str">
            <v>T</v>
          </cell>
          <cell r="M381" t="str">
            <v>JSH440W</v>
          </cell>
          <cell r="N381" t="str">
            <v>PLATE R/L COMP</v>
          </cell>
          <cell r="O381" t="str">
            <v>50186-K33-D000-06</v>
          </cell>
          <cell r="P381" t="str">
            <v>T</v>
          </cell>
          <cell r="Q381" t="str">
            <v>เสนอราคาเป็น Price Sourcing</v>
          </cell>
          <cell r="R381">
            <v>100</v>
          </cell>
        </row>
        <row r="382">
          <cell r="A382" t="str">
            <v>30023392-2</v>
          </cell>
          <cell r="B382" t="str">
            <v>2.6 x 139+/-0.5 x 1219</v>
          </cell>
          <cell r="C382">
            <v>2.6</v>
          </cell>
          <cell r="D382">
            <v>139</v>
          </cell>
          <cell r="E382">
            <v>1219</v>
          </cell>
          <cell r="F382">
            <v>3.4582908100000003</v>
          </cell>
          <cell r="G382">
            <v>18</v>
          </cell>
          <cell r="H382">
            <v>77004212</v>
          </cell>
          <cell r="I382" t="str">
            <v>JSH440W</v>
          </cell>
          <cell r="J382" t="str">
            <v>PLATE R/L COMP</v>
          </cell>
          <cell r="K382" t="str">
            <v>50186-K33-D000-06</v>
          </cell>
          <cell r="L382" t="str">
            <v>T</v>
          </cell>
          <cell r="M382" t="str">
            <v>JSH440W</v>
          </cell>
          <cell r="N382" t="str">
            <v>PLATE R/L COMP</v>
          </cell>
          <cell r="O382" t="str">
            <v>50186-K33-D000-06</v>
          </cell>
          <cell r="P382" t="str">
            <v>T</v>
          </cell>
          <cell r="Q382" t="str">
            <v>เสนอราคาเป็น Price Sourcing</v>
          </cell>
          <cell r="R382">
            <v>100</v>
          </cell>
        </row>
        <row r="383">
          <cell r="A383" t="str">
            <v>30023392-3</v>
          </cell>
          <cell r="B383" t="str">
            <v>2.6 x 53+/-0.5 x 1219</v>
          </cell>
          <cell r="C383">
            <v>2.6</v>
          </cell>
          <cell r="D383">
            <v>53</v>
          </cell>
          <cell r="E383">
            <v>1219</v>
          </cell>
          <cell r="F383">
            <v>1.3186288700000002</v>
          </cell>
          <cell r="G383">
            <v>27</v>
          </cell>
          <cell r="H383">
            <v>77004178</v>
          </cell>
          <cell r="I383" t="str">
            <v>SPHC-P/O</v>
          </cell>
          <cell r="J383" t="str">
            <v>PLATE R/L COMP (x 2)</v>
          </cell>
          <cell r="K383" t="str">
            <v>50186-K33-D000-06</v>
          </cell>
          <cell r="L383" t="str">
            <v>T</v>
          </cell>
          <cell r="M383" t="str">
            <v>SPHC-P/O</v>
          </cell>
          <cell r="N383" t="str">
            <v>PLATE R/L COMP (x 2)</v>
          </cell>
          <cell r="O383" t="str">
            <v>50186-K33-D000-06</v>
          </cell>
          <cell r="P383" t="str">
            <v>T</v>
          </cell>
          <cell r="Q383" t="str">
            <v>เสนอราคาเป็น Price Sourcing</v>
          </cell>
        </row>
        <row r="384">
          <cell r="A384" t="str">
            <v>30023392-4</v>
          </cell>
          <cell r="B384" t="str">
            <v>2.0 x 52+/-0.5 x 1219</v>
          </cell>
          <cell r="C384">
            <v>2</v>
          </cell>
          <cell r="D384">
            <v>52</v>
          </cell>
          <cell r="E384">
            <v>1219</v>
          </cell>
          <cell r="F384">
            <v>0.99519159999999995</v>
          </cell>
          <cell r="G384">
            <v>27</v>
          </cell>
          <cell r="H384">
            <v>77004478</v>
          </cell>
          <cell r="I384" t="str">
            <v>SPHC-P/O</v>
          </cell>
          <cell r="J384" t="str">
            <v>PLATE R/L COMP</v>
          </cell>
          <cell r="K384" t="str">
            <v>50186-K33-D000-06</v>
          </cell>
          <cell r="L384" t="str">
            <v>T</v>
          </cell>
          <cell r="M384" t="str">
            <v>SPHC-P/O</v>
          </cell>
          <cell r="N384" t="str">
            <v>PLATE R/L COMP</v>
          </cell>
          <cell r="O384" t="str">
            <v>50186-K33-D000-06</v>
          </cell>
          <cell r="P384" t="str">
            <v>T</v>
          </cell>
          <cell r="Q384" t="str">
            <v>ptt</v>
          </cell>
          <cell r="R384">
            <v>300</v>
          </cell>
        </row>
        <row r="385">
          <cell r="A385" t="str">
            <v>30035317/73016310</v>
          </cell>
          <cell r="B385" t="str">
            <v>2.3 x 316+/-0.5 x 1219</v>
          </cell>
          <cell r="C385">
            <v>2.2999999999999998</v>
          </cell>
          <cell r="D385">
            <v>316</v>
          </cell>
          <cell r="E385">
            <v>1219</v>
          </cell>
          <cell r="F385">
            <v>6.9548582199999993</v>
          </cell>
          <cell r="G385">
            <v>11</v>
          </cell>
          <cell r="H385">
            <v>77006044</v>
          </cell>
          <cell r="I385" t="str">
            <v>SPHC-P/O</v>
          </cell>
          <cell r="J385" t="str">
            <v>BRACKET SEAT LOCK</v>
          </cell>
          <cell r="K385" t="str">
            <v>41131-45H00</v>
          </cell>
          <cell r="L385" t="str">
            <v>KC601</v>
          </cell>
          <cell r="M385" t="str">
            <v>SPHC-P/O</v>
          </cell>
          <cell r="N385" t="str">
            <v>BRACKET SEAT LOCK</v>
          </cell>
          <cell r="O385" t="str">
            <v>41131-45H00</v>
          </cell>
          <cell r="P385" t="str">
            <v>KC601</v>
          </cell>
          <cell r="Q385" t="str">
            <v>tsi</v>
          </cell>
          <cell r="R385">
            <v>50</v>
          </cell>
        </row>
        <row r="386">
          <cell r="A386" t="str">
            <v>30037572-2</v>
          </cell>
          <cell r="B386" t="str">
            <v>2.0 x 80+/-0.5 x 1219</v>
          </cell>
          <cell r="C386">
            <v>2</v>
          </cell>
          <cell r="D386">
            <v>80</v>
          </cell>
          <cell r="E386">
            <v>1219</v>
          </cell>
          <cell r="F386">
            <v>1.531064</v>
          </cell>
          <cell r="G386">
            <v>102</v>
          </cell>
          <cell r="H386">
            <v>77004718</v>
          </cell>
          <cell r="I386" t="str">
            <v>JSH270C</v>
          </cell>
          <cell r="J386" t="str">
            <v>STAY R</v>
          </cell>
          <cell r="K386" t="str">
            <v>50162-K58M-TC00-21</v>
          </cell>
          <cell r="L386" t="str">
            <v>T</v>
          </cell>
          <cell r="M386" t="str">
            <v>JSH270C</v>
          </cell>
          <cell r="N386" t="str">
            <v>STAY R</v>
          </cell>
          <cell r="O386" t="str">
            <v>50162-K58M-TC00-21</v>
          </cell>
          <cell r="P386" t="str">
            <v>T</v>
          </cell>
          <cell r="Q386" t="str">
            <v>เสนอราคาเป็น Price Sourcing</v>
          </cell>
        </row>
        <row r="387">
          <cell r="A387" t="str">
            <v>30037573-2</v>
          </cell>
          <cell r="B387" t="str">
            <v>2.0 x 80+/-0.5 x 1219</v>
          </cell>
          <cell r="C387">
            <v>2</v>
          </cell>
          <cell r="D387">
            <v>80</v>
          </cell>
          <cell r="E387">
            <v>1219</v>
          </cell>
          <cell r="F387">
            <v>1.531064</v>
          </cell>
          <cell r="G387">
            <v>102</v>
          </cell>
          <cell r="H387">
            <v>77004718</v>
          </cell>
          <cell r="I387" t="str">
            <v>JSH270C</v>
          </cell>
          <cell r="J387" t="str">
            <v>STAY L</v>
          </cell>
          <cell r="K387" t="str">
            <v>50163-K58M-TC00-21</v>
          </cell>
          <cell r="L387" t="str">
            <v>T</v>
          </cell>
          <cell r="M387" t="str">
            <v>JSH270C</v>
          </cell>
          <cell r="N387" t="str">
            <v>STAY L</v>
          </cell>
          <cell r="O387" t="str">
            <v>50163-K58M-TC00-21</v>
          </cell>
          <cell r="P387" t="str">
            <v>T</v>
          </cell>
          <cell r="Q387" t="str">
            <v>เสนอราคาเป็น Price Sourcing</v>
          </cell>
        </row>
        <row r="388">
          <cell r="A388" t="str">
            <v>73001076-1</v>
          </cell>
          <cell r="B388" t="str">
            <v>0.5 x 150+/-0.5 x 1219</v>
          </cell>
          <cell r="C388">
            <v>0.5</v>
          </cell>
          <cell r="D388">
            <v>150</v>
          </cell>
          <cell r="E388">
            <v>1219</v>
          </cell>
          <cell r="F388">
            <v>0.71768624999999997</v>
          </cell>
          <cell r="G388">
            <v>312</v>
          </cell>
          <cell r="H388">
            <v>77004875</v>
          </cell>
          <cell r="I388" t="str">
            <v>SPCC-SD</v>
          </cell>
          <cell r="J388" t="str">
            <v>CLIP B</v>
          </cell>
          <cell r="K388" t="str">
            <v>50109-KVBM-T000</v>
          </cell>
          <cell r="L388" t="str">
            <v>T</v>
          </cell>
          <cell r="M388" t="str">
            <v>SPCC-SD</v>
          </cell>
          <cell r="N388" t="str">
            <v>CLIP B</v>
          </cell>
          <cell r="O388" t="str">
            <v>50109-KVBM-T000</v>
          </cell>
          <cell r="P388" t="str">
            <v>T</v>
          </cell>
          <cell r="Q388" t="str">
            <v>เสนอราคาเป็น Price Sourcing</v>
          </cell>
        </row>
        <row r="389">
          <cell r="A389" t="str">
            <v>ชิ้นงาน TSGP1</v>
          </cell>
          <cell r="B389" t="str">
            <v>YAMAHA ไม่มีรายการใน Forecast จาก คุณเอกลัก TSGP 1</v>
          </cell>
          <cell r="J389">
            <v>0</v>
          </cell>
        </row>
        <row r="390">
          <cell r="A390">
            <v>30002165</v>
          </cell>
          <cell r="B390" t="str">
            <v>1.6 x 64+/-0.5 x 1219</v>
          </cell>
          <cell r="C390">
            <v>1.6</v>
          </cell>
          <cell r="D390">
            <v>64</v>
          </cell>
          <cell r="E390">
            <v>1219</v>
          </cell>
          <cell r="F390">
            <v>0.97988095999999991</v>
          </cell>
          <cell r="G390">
            <v>36</v>
          </cell>
          <cell r="H390">
            <v>77005361</v>
          </cell>
          <cell r="I390" t="str">
            <v>SPHC-P/O</v>
          </cell>
          <cell r="J390" t="str">
            <v>BRKT REGULATOR</v>
          </cell>
          <cell r="K390" t="str">
            <v>5VV-F1287-00</v>
          </cell>
          <cell r="L390" t="str">
            <v>T</v>
          </cell>
          <cell r="M390" t="str">
            <v>SPHC-P/O</v>
          </cell>
          <cell r="N390" t="str">
            <v>BRKT REGULATOR</v>
          </cell>
          <cell r="O390" t="str">
            <v>5VV-F1287-00</v>
          </cell>
          <cell r="P390" t="str">
            <v>T</v>
          </cell>
          <cell r="Q390" t="str">
            <v>epc</v>
          </cell>
        </row>
        <row r="391">
          <cell r="A391">
            <v>30002167</v>
          </cell>
          <cell r="B391" t="str">
            <v>1.6 x 60+/-0.5 x 1219</v>
          </cell>
          <cell r="C391">
            <v>1.6</v>
          </cell>
          <cell r="D391">
            <v>60</v>
          </cell>
          <cell r="E391">
            <v>1219</v>
          </cell>
          <cell r="F391">
            <v>0.91863839999999986</v>
          </cell>
          <cell r="G391">
            <v>25</v>
          </cell>
          <cell r="H391">
            <v>77005358</v>
          </cell>
          <cell r="I391" t="str">
            <v>SPHC-P/O</v>
          </cell>
          <cell r="J391" t="str">
            <v xml:space="preserve">STAY STOPPER </v>
          </cell>
          <cell r="K391" t="str">
            <v>5VV-F149E-00</v>
          </cell>
          <cell r="L391" t="str">
            <v>T</v>
          </cell>
          <cell r="M391" t="str">
            <v>SPHC-P/O</v>
          </cell>
          <cell r="N391" t="str">
            <v xml:space="preserve">STAY STOPPER </v>
          </cell>
          <cell r="O391" t="str">
            <v>5VV-F149E-00</v>
          </cell>
          <cell r="P391" t="str">
            <v>T</v>
          </cell>
          <cell r="Q391" t="str">
            <v>epc</v>
          </cell>
        </row>
        <row r="392">
          <cell r="A392">
            <v>30002197</v>
          </cell>
          <cell r="B392" t="str">
            <v>2.0 x 59+/-0.5 x 1219</v>
          </cell>
          <cell r="C392">
            <v>2</v>
          </cell>
          <cell r="D392">
            <v>59</v>
          </cell>
          <cell r="E392">
            <v>1219</v>
          </cell>
          <cell r="F392">
            <v>1.1291597</v>
          </cell>
          <cell r="G392">
            <v>13</v>
          </cell>
          <cell r="H392">
            <v>77005412</v>
          </cell>
          <cell r="I392" t="str">
            <v>SPHC-P/O</v>
          </cell>
          <cell r="J392" t="str">
            <v xml:space="preserve">BRKT., </v>
          </cell>
          <cell r="K392" t="str">
            <v>5YP-F116B-00</v>
          </cell>
          <cell r="L392" t="str">
            <v>T</v>
          </cell>
          <cell r="M392" t="str">
            <v>SPHC-P/O</v>
          </cell>
          <cell r="N392" t="str">
            <v xml:space="preserve">BRKT., </v>
          </cell>
          <cell r="O392" t="str">
            <v>5YP-F116B-00</v>
          </cell>
          <cell r="P392" t="str">
            <v>T</v>
          </cell>
          <cell r="Q392" t="str">
            <v>epc</v>
          </cell>
        </row>
        <row r="393">
          <cell r="A393">
            <v>30002198</v>
          </cell>
          <cell r="B393" t="str">
            <v>2.0 x 114+/-0.5 x 1219</v>
          </cell>
          <cell r="C393">
            <v>2</v>
          </cell>
          <cell r="D393">
            <v>114</v>
          </cell>
          <cell r="E393">
            <v>1219</v>
          </cell>
          <cell r="F393">
            <v>2.1817661999999998</v>
          </cell>
          <cell r="G393">
            <v>35</v>
          </cell>
          <cell r="H393">
            <v>77005386</v>
          </cell>
          <cell r="I393" t="str">
            <v>SPHC-P/O</v>
          </cell>
          <cell r="J393" t="str">
            <v xml:space="preserve">STAY MUFF 2 </v>
          </cell>
          <cell r="K393" t="str">
            <v>5TN-F1446-00</v>
          </cell>
          <cell r="L393" t="str">
            <v>T</v>
          </cell>
          <cell r="M393" t="str">
            <v>SPHC-P/O</v>
          </cell>
          <cell r="N393" t="str">
            <v xml:space="preserve">STAY MUFF 2 </v>
          </cell>
          <cell r="O393" t="str">
            <v>5TN-F1446-00</v>
          </cell>
          <cell r="P393" t="str">
            <v>T</v>
          </cell>
          <cell r="Q393" t="str">
            <v>tsi</v>
          </cell>
        </row>
        <row r="394">
          <cell r="A394">
            <v>30002199</v>
          </cell>
          <cell r="B394" t="str">
            <v>3.2 x 66+/-0.5 x 1219</v>
          </cell>
          <cell r="C394">
            <v>3.2</v>
          </cell>
          <cell r="D394">
            <v>66</v>
          </cell>
          <cell r="E394">
            <v>1219</v>
          </cell>
          <cell r="F394">
            <v>2.0210044799999998</v>
          </cell>
          <cell r="G394">
            <v>30</v>
          </cell>
          <cell r="H394">
            <v>77005509</v>
          </cell>
          <cell r="I394" t="str">
            <v>SPHC-P/O</v>
          </cell>
          <cell r="J394" t="str">
            <v xml:space="preserve">STAY ENGINE  3 </v>
          </cell>
          <cell r="K394" t="str">
            <v>5YP-F1317-00</v>
          </cell>
          <cell r="L394" t="str">
            <v>T</v>
          </cell>
          <cell r="M394" t="str">
            <v>SPHC-P/O</v>
          </cell>
          <cell r="N394" t="str">
            <v xml:space="preserve">STAY ENGINE  3 </v>
          </cell>
          <cell r="O394" t="str">
            <v>5YP-F1317-00</v>
          </cell>
          <cell r="P394" t="str">
            <v>T</v>
          </cell>
          <cell r="Q394" t="str">
            <v>epc</v>
          </cell>
        </row>
        <row r="395">
          <cell r="A395">
            <v>30002399</v>
          </cell>
          <cell r="B395" t="str">
            <v>2.0 x 86+/-0.5 x 1219</v>
          </cell>
          <cell r="C395">
            <v>2</v>
          </cell>
          <cell r="D395">
            <v>86</v>
          </cell>
          <cell r="E395">
            <v>1219</v>
          </cell>
          <cell r="F395">
            <v>1.6458937999999999</v>
          </cell>
          <cell r="G395">
            <v>32</v>
          </cell>
          <cell r="H395">
            <v>77005425</v>
          </cell>
          <cell r="I395" t="str">
            <v>SPHC-P/O</v>
          </cell>
          <cell r="J395" t="str">
            <v xml:space="preserve">PLATE PATCH </v>
          </cell>
          <cell r="K395" t="str">
            <v>5YP-F1455-00</v>
          </cell>
          <cell r="L395" t="str">
            <v>T</v>
          </cell>
          <cell r="M395" t="str">
            <v>SPHC-P/O</v>
          </cell>
          <cell r="N395" t="str">
            <v xml:space="preserve">PLATE PATCH </v>
          </cell>
          <cell r="O395" t="str">
            <v>5YP-F1455-00</v>
          </cell>
          <cell r="P395" t="str">
            <v>T</v>
          </cell>
          <cell r="Q395" t="str">
            <v>epc</v>
          </cell>
          <cell r="R395">
            <v>200</v>
          </cell>
        </row>
        <row r="396">
          <cell r="A396">
            <v>30002402</v>
          </cell>
          <cell r="B396" t="str">
            <v>2.6 x 75+/-0.5 x 1219</v>
          </cell>
          <cell r="C396">
            <v>2.6</v>
          </cell>
          <cell r="D396">
            <v>75</v>
          </cell>
          <cell r="E396">
            <v>1219</v>
          </cell>
          <cell r="F396">
            <v>1.8659842499999999</v>
          </cell>
          <cell r="G396">
            <v>41</v>
          </cell>
          <cell r="H396">
            <v>77005468</v>
          </cell>
          <cell r="I396" t="str">
            <v>SPHC-P/O</v>
          </cell>
          <cell r="J396" t="str">
            <v>STAY MUFF 3</v>
          </cell>
          <cell r="K396" t="str">
            <v>5YP-F144F-00</v>
          </cell>
          <cell r="L396" t="str">
            <v>T</v>
          </cell>
          <cell r="M396" t="str">
            <v>SPHC-P/O</v>
          </cell>
          <cell r="N396" t="str">
            <v>STAY MUFF 3</v>
          </cell>
          <cell r="O396" t="str">
            <v>5YP-F144F-00</v>
          </cell>
          <cell r="P396" t="str">
            <v>T</v>
          </cell>
          <cell r="Q396" t="str">
            <v>epc</v>
          </cell>
        </row>
        <row r="397">
          <cell r="A397">
            <v>30002592</v>
          </cell>
          <cell r="B397" t="str">
            <v>3.2 x 118+/-0.5 x 1219</v>
          </cell>
          <cell r="C397">
            <v>3.2</v>
          </cell>
          <cell r="D397">
            <v>118</v>
          </cell>
          <cell r="E397">
            <v>1219</v>
          </cell>
          <cell r="F397">
            <v>3.6133110400000001</v>
          </cell>
          <cell r="G397">
            <v>27</v>
          </cell>
          <cell r="H397">
            <v>77005480</v>
          </cell>
          <cell r="I397" t="str">
            <v>SPHC-P/O</v>
          </cell>
          <cell r="J397" t="str">
            <v>BRKT.,RR CUSHION 2</v>
          </cell>
          <cell r="K397" t="str">
            <v>5YP-F2186-00</v>
          </cell>
          <cell r="L397" t="str">
            <v>T</v>
          </cell>
          <cell r="M397" t="str">
            <v>SPHC-P/O</v>
          </cell>
          <cell r="N397" t="str">
            <v>BRKT.,RR CUSHION 2</v>
          </cell>
          <cell r="O397" t="str">
            <v>5YP-F2186-00</v>
          </cell>
          <cell r="P397" t="str">
            <v>T</v>
          </cell>
          <cell r="Q397" t="str">
            <v>tsi</v>
          </cell>
        </row>
        <row r="398">
          <cell r="A398">
            <v>30002668</v>
          </cell>
          <cell r="B398" t="str">
            <v>2.3 x 74+/-0.5 x 1219</v>
          </cell>
          <cell r="C398">
            <v>2.2999999999999998</v>
          </cell>
          <cell r="D398">
            <v>74</v>
          </cell>
          <cell r="E398">
            <v>1219</v>
          </cell>
          <cell r="F398">
            <v>1.6286693299999999</v>
          </cell>
          <cell r="G398">
            <v>16</v>
          </cell>
          <cell r="H398">
            <v>77005447</v>
          </cell>
          <cell r="I398" t="str">
            <v>SPHC-P/O</v>
          </cell>
          <cell r="J398" t="str">
            <v>BRKT., 1</v>
          </cell>
          <cell r="K398" t="str">
            <v>5YP-F134M-00</v>
          </cell>
          <cell r="L398" t="str">
            <v>T</v>
          </cell>
          <cell r="M398" t="str">
            <v>SPHC-P/O</v>
          </cell>
          <cell r="N398" t="str">
            <v>BRKT., 1</v>
          </cell>
          <cell r="O398" t="str">
            <v>5YP-F134M-00</v>
          </cell>
          <cell r="P398" t="str">
            <v>T</v>
          </cell>
          <cell r="Q398" t="str">
            <v>epc</v>
          </cell>
        </row>
        <row r="399">
          <cell r="A399">
            <v>30002680</v>
          </cell>
          <cell r="B399" t="str">
            <v>6.0 x 62+/-0.5 x 1219</v>
          </cell>
          <cell r="C399">
            <v>6</v>
          </cell>
          <cell r="D399">
            <v>62</v>
          </cell>
          <cell r="E399">
            <v>1219</v>
          </cell>
          <cell r="F399">
            <v>3.5597238</v>
          </cell>
          <cell r="G399">
            <v>128</v>
          </cell>
          <cell r="H399">
            <v>77005539</v>
          </cell>
          <cell r="I399" t="str">
            <v>SPHC-P/O</v>
          </cell>
          <cell r="J399" t="str">
            <v xml:space="preserve">STOPPER STRG. </v>
          </cell>
          <cell r="K399" t="str">
            <v>5YP-F1312-00</v>
          </cell>
          <cell r="L399" t="str">
            <v>T</v>
          </cell>
          <cell r="M399" t="str">
            <v>SPHC-P/O</v>
          </cell>
          <cell r="N399" t="str">
            <v xml:space="preserve">STOPPER STRG. </v>
          </cell>
          <cell r="O399" t="str">
            <v>5YP-F1312-00</v>
          </cell>
          <cell r="P399" t="str">
            <v>T</v>
          </cell>
          <cell r="Q399" t="str">
            <v>epc</v>
          </cell>
        </row>
        <row r="400">
          <cell r="A400">
            <v>30002683</v>
          </cell>
          <cell r="B400" t="str">
            <v>1.6 x 69+/-0.5 x 1219</v>
          </cell>
          <cell r="C400">
            <v>1.6</v>
          </cell>
          <cell r="D400">
            <v>69</v>
          </cell>
          <cell r="E400">
            <v>1219</v>
          </cell>
          <cell r="F400">
            <v>1.05643416</v>
          </cell>
          <cell r="G400">
            <v>27</v>
          </cell>
          <cell r="H400">
            <v>77005365</v>
          </cell>
          <cell r="I400" t="str">
            <v>SPHC-P/O</v>
          </cell>
          <cell r="J400" t="str">
            <v>BRKT.,RADIATOR  4</v>
          </cell>
          <cell r="K400" t="str">
            <v>5YP-F142N-00</v>
          </cell>
          <cell r="L400" t="str">
            <v>T</v>
          </cell>
          <cell r="M400" t="str">
            <v>SPHC-P/O</v>
          </cell>
          <cell r="N400" t="str">
            <v>BRKT.,RADIATOR  4</v>
          </cell>
          <cell r="O400" t="str">
            <v>5YP-F142N-00</v>
          </cell>
          <cell r="P400" t="str">
            <v>T</v>
          </cell>
          <cell r="Q400" t="str">
            <v>epc</v>
          </cell>
          <cell r="R400">
            <v>100</v>
          </cell>
        </row>
        <row r="401">
          <cell r="A401">
            <v>30002688</v>
          </cell>
          <cell r="B401" t="str">
            <v>4.0 x 105+/-0.5 x 1219</v>
          </cell>
          <cell r="C401">
            <v>4</v>
          </cell>
          <cell r="D401">
            <v>105</v>
          </cell>
          <cell r="E401">
            <v>1219</v>
          </cell>
          <cell r="F401">
            <v>4.0190429999999999</v>
          </cell>
          <cell r="G401">
            <v>50</v>
          </cell>
          <cell r="H401">
            <v>77005521</v>
          </cell>
          <cell r="I401" t="str">
            <v>SPHC-P/O</v>
          </cell>
          <cell r="J401" t="str">
            <v>PLATE</v>
          </cell>
          <cell r="K401" t="str">
            <v>5YP-F1329-00</v>
          </cell>
          <cell r="L401" t="str">
            <v>T</v>
          </cell>
          <cell r="M401" t="str">
            <v>SPHC-P/O</v>
          </cell>
          <cell r="N401" t="str">
            <v>PLATE</v>
          </cell>
          <cell r="O401" t="str">
            <v>5YP-F1329-00</v>
          </cell>
          <cell r="P401" t="str">
            <v>T</v>
          </cell>
          <cell r="Q401" t="str">
            <v>epc</v>
          </cell>
        </row>
        <row r="402">
          <cell r="A402">
            <v>30002689</v>
          </cell>
          <cell r="B402" t="str">
            <v>3.2 x 45+/-0.5 x 1219</v>
          </cell>
          <cell r="C402">
            <v>3.2</v>
          </cell>
          <cell r="D402">
            <v>45</v>
          </cell>
          <cell r="E402">
            <v>1219</v>
          </cell>
          <cell r="F402">
            <v>1.3779575999999998</v>
          </cell>
          <cell r="G402">
            <v>43</v>
          </cell>
          <cell r="H402">
            <v>77005503</v>
          </cell>
          <cell r="I402" t="str">
            <v>SPHC-P/O</v>
          </cell>
          <cell r="J402" t="str">
            <v>REINF</v>
          </cell>
          <cell r="K402" t="str">
            <v>5YP-F1216-00</v>
          </cell>
          <cell r="L402" t="str">
            <v>T</v>
          </cell>
          <cell r="M402" t="str">
            <v>SPHC-P/O</v>
          </cell>
          <cell r="N402" t="str">
            <v>REINF</v>
          </cell>
          <cell r="O402" t="str">
            <v>5YP-F1216-00</v>
          </cell>
          <cell r="P402" t="str">
            <v>T</v>
          </cell>
          <cell r="Q402" t="str">
            <v>epc</v>
          </cell>
        </row>
        <row r="403">
          <cell r="A403">
            <v>30002690</v>
          </cell>
          <cell r="B403" t="str">
            <v>2.0 x 129+/-0.5 x 1219</v>
          </cell>
          <cell r="C403">
            <v>2</v>
          </cell>
          <cell r="D403">
            <v>129</v>
          </cell>
          <cell r="E403">
            <v>1219</v>
          </cell>
          <cell r="F403">
            <v>2.4688406999999999</v>
          </cell>
          <cell r="G403">
            <v>35</v>
          </cell>
          <cell r="H403">
            <v>77005391</v>
          </cell>
          <cell r="I403" t="str">
            <v>SPHC-P/O</v>
          </cell>
          <cell r="J403" t="str">
            <v xml:space="preserve">STAY, 2 </v>
          </cell>
          <cell r="K403" t="str">
            <v>5YP-F116E-00</v>
          </cell>
          <cell r="L403" t="str">
            <v>T</v>
          </cell>
          <cell r="M403" t="str">
            <v>SPHC-P/O</v>
          </cell>
          <cell r="N403" t="str">
            <v xml:space="preserve">STAY, 2 </v>
          </cell>
          <cell r="O403" t="str">
            <v>5YP-F116E-00</v>
          </cell>
          <cell r="P403" t="str">
            <v>T</v>
          </cell>
          <cell r="Q403" t="str">
            <v>bm</v>
          </cell>
          <cell r="R403">
            <v>150</v>
          </cell>
        </row>
        <row r="404">
          <cell r="A404">
            <v>30002732</v>
          </cell>
          <cell r="B404" t="str">
            <v>3.2 x 117+/-0.5 x 1219</v>
          </cell>
          <cell r="C404">
            <v>3.2</v>
          </cell>
          <cell r="D404">
            <v>117</v>
          </cell>
          <cell r="E404">
            <v>1219</v>
          </cell>
          <cell r="F404">
            <v>3.5826897600000001</v>
          </cell>
          <cell r="G404">
            <v>45</v>
          </cell>
          <cell r="H404">
            <v>77005479</v>
          </cell>
          <cell r="I404" t="str">
            <v>SPHC-P/O</v>
          </cell>
          <cell r="J404" t="str">
            <v>BRKT 2</v>
          </cell>
          <cell r="K404" t="str">
            <v>5YP-141E-00</v>
          </cell>
          <cell r="L404" t="str">
            <v>T</v>
          </cell>
          <cell r="M404" t="str">
            <v>SPHC-P/O</v>
          </cell>
          <cell r="N404" t="str">
            <v>BRKT 2</v>
          </cell>
          <cell r="O404" t="str">
            <v>5YP-141E-00</v>
          </cell>
          <cell r="P404" t="str">
            <v>T</v>
          </cell>
          <cell r="Q404" t="str">
            <v>tsi</v>
          </cell>
        </row>
        <row r="405">
          <cell r="A405">
            <v>30002733</v>
          </cell>
          <cell r="B405" t="str">
            <v>2.0 x 157+/-0.5 x 1219</v>
          </cell>
          <cell r="C405">
            <v>2</v>
          </cell>
          <cell r="D405">
            <v>157</v>
          </cell>
          <cell r="E405">
            <v>1219</v>
          </cell>
          <cell r="F405">
            <v>3.0047131</v>
          </cell>
          <cell r="G405">
            <v>12</v>
          </cell>
          <cell r="H405">
            <v>77005399</v>
          </cell>
          <cell r="I405" t="str">
            <v>SPHC-P/O</v>
          </cell>
          <cell r="J405" t="str">
            <v xml:space="preserve">PLATE </v>
          </cell>
          <cell r="K405" t="str">
            <v>5YP-F1183-00</v>
          </cell>
          <cell r="L405" t="str">
            <v>T</v>
          </cell>
          <cell r="M405" t="str">
            <v>SPHC-P/O</v>
          </cell>
          <cell r="N405" t="str">
            <v xml:space="preserve">PLATE </v>
          </cell>
          <cell r="O405" t="str">
            <v>5YP-F1183-00</v>
          </cell>
          <cell r="P405" t="str">
            <v>T</v>
          </cell>
          <cell r="Q405" t="str">
            <v>tsi</v>
          </cell>
        </row>
        <row r="406">
          <cell r="A406">
            <v>30002736</v>
          </cell>
          <cell r="B406" t="str">
            <v>1.6 x 52+/-0.5 x 1219</v>
          </cell>
          <cell r="C406">
            <v>1.6</v>
          </cell>
          <cell r="D406">
            <v>52</v>
          </cell>
          <cell r="E406">
            <v>1219</v>
          </cell>
          <cell r="F406">
            <v>0.79615328000000007</v>
          </cell>
          <cell r="G406">
            <v>34</v>
          </cell>
          <cell r="H406">
            <v>77005352</v>
          </cell>
          <cell r="I406" t="str">
            <v>SPHC-P/O</v>
          </cell>
          <cell r="J406" t="str">
            <v xml:space="preserve">BRKT 5 </v>
          </cell>
          <cell r="K406" t="str">
            <v>5YP-F139G-00</v>
          </cell>
          <cell r="L406" t="str">
            <v>T</v>
          </cell>
          <cell r="M406" t="str">
            <v>SPHC-P/O</v>
          </cell>
          <cell r="N406" t="str">
            <v xml:space="preserve">BRKT 5 </v>
          </cell>
          <cell r="O406" t="str">
            <v>5YP-F139G-00</v>
          </cell>
          <cell r="P406" t="str">
            <v>T</v>
          </cell>
          <cell r="Q406" t="str">
            <v>epc</v>
          </cell>
        </row>
        <row r="407">
          <cell r="A407">
            <v>30002884</v>
          </cell>
          <cell r="B407" t="str">
            <v>3.2 x 117+/-0.5 x 1219</v>
          </cell>
          <cell r="C407">
            <v>3.2</v>
          </cell>
          <cell r="D407">
            <v>117</v>
          </cell>
          <cell r="E407">
            <v>1219</v>
          </cell>
          <cell r="F407">
            <v>3.5826897600000001</v>
          </cell>
          <cell r="G407">
            <v>45</v>
          </cell>
          <cell r="H407">
            <v>77005479</v>
          </cell>
          <cell r="I407" t="str">
            <v>SPHC-P/O</v>
          </cell>
          <cell r="J407" t="str">
            <v>BRKT 2</v>
          </cell>
          <cell r="K407" t="str">
            <v>5YP-F141E-00</v>
          </cell>
          <cell r="L407" t="str">
            <v>T</v>
          </cell>
          <cell r="M407" t="str">
            <v>SPHC-P/O</v>
          </cell>
          <cell r="N407" t="str">
            <v>BRKT 2</v>
          </cell>
          <cell r="O407" t="str">
            <v>5YP-F141E-00</v>
          </cell>
          <cell r="P407" t="str">
            <v>T</v>
          </cell>
          <cell r="Q407" t="str">
            <v>tsi</v>
          </cell>
        </row>
        <row r="408">
          <cell r="A408">
            <v>30003242</v>
          </cell>
          <cell r="B408" t="str">
            <v>1.6 x 70+/-0.5 x 1219</v>
          </cell>
          <cell r="C408">
            <v>1.6</v>
          </cell>
          <cell r="D408">
            <v>70</v>
          </cell>
          <cell r="E408">
            <v>1219</v>
          </cell>
          <cell r="F408">
            <v>1.0717448000000001</v>
          </cell>
          <cell r="G408">
            <v>27</v>
          </cell>
          <cell r="H408">
            <v>77005366</v>
          </cell>
          <cell r="I408" t="str">
            <v>SPHC-P/O</v>
          </cell>
          <cell r="J408" t="str">
            <v>BRKT REGULATOR 1</v>
          </cell>
          <cell r="K408" t="str">
            <v>4C9-F128A-00</v>
          </cell>
          <cell r="L408" t="str">
            <v>T</v>
          </cell>
          <cell r="M408" t="str">
            <v>SPHC-P/O</v>
          </cell>
          <cell r="N408" t="str">
            <v>BRKT REGULATOR 1</v>
          </cell>
          <cell r="O408" t="str">
            <v>4C9-F128A-00</v>
          </cell>
          <cell r="P408" t="str">
            <v>T</v>
          </cell>
          <cell r="Q408" t="e">
            <v>#N/A</v>
          </cell>
        </row>
        <row r="409">
          <cell r="A409">
            <v>30014787</v>
          </cell>
          <cell r="B409" t="str">
            <v>2.0 x 170+/-0.5 x 1219</v>
          </cell>
          <cell r="C409">
            <v>2</v>
          </cell>
          <cell r="D409">
            <v>170</v>
          </cell>
          <cell r="E409">
            <v>1219</v>
          </cell>
          <cell r="F409">
            <v>3.253511</v>
          </cell>
          <cell r="G409">
            <v>44</v>
          </cell>
          <cell r="H409">
            <v>77005401</v>
          </cell>
          <cell r="I409" t="str">
            <v>YSH270C-P</v>
          </cell>
          <cell r="J409" t="str">
            <v>BRKT, RR FOOTREST</v>
          </cell>
          <cell r="K409" t="str">
            <v>54S-F1153-00</v>
          </cell>
          <cell r="L409" t="str">
            <v>T</v>
          </cell>
          <cell r="M409" t="str">
            <v>YSH270C-P</v>
          </cell>
          <cell r="N409" t="str">
            <v>BRKT, RR FOOTREST</v>
          </cell>
          <cell r="O409" t="str">
            <v>54S-F1153-00</v>
          </cell>
          <cell r="P409" t="str">
            <v>T</v>
          </cell>
          <cell r="Q409" t="str">
            <v>tsi</v>
          </cell>
          <cell r="R409">
            <v>100</v>
          </cell>
        </row>
        <row r="410">
          <cell r="A410">
            <v>30014788</v>
          </cell>
          <cell r="B410" t="str">
            <v>2.0 x 182+/-0.5 x 1219</v>
          </cell>
          <cell r="C410">
            <v>2</v>
          </cell>
          <cell r="D410">
            <v>182</v>
          </cell>
          <cell r="E410">
            <v>1219</v>
          </cell>
          <cell r="F410">
            <v>3.4831705999999998</v>
          </cell>
          <cell r="G410">
            <v>42</v>
          </cell>
          <cell r="H410">
            <v>77005403</v>
          </cell>
          <cell r="I410" t="str">
            <v>YSH270C-P</v>
          </cell>
          <cell r="J410" t="str">
            <v>BRKT, RR FOOTREST</v>
          </cell>
          <cell r="K410" t="str">
            <v>54S-F1154-00</v>
          </cell>
          <cell r="L410" t="str">
            <v>T</v>
          </cell>
          <cell r="M410" t="str">
            <v>YSH270C-P</v>
          </cell>
          <cell r="N410" t="str">
            <v>BRKT, RR FOOTREST</v>
          </cell>
          <cell r="O410" t="str">
            <v>54S-F1154-00</v>
          </cell>
          <cell r="P410" t="str">
            <v>T</v>
          </cell>
          <cell r="Q410" t="str">
            <v>tsi</v>
          </cell>
          <cell r="R410">
            <v>100</v>
          </cell>
        </row>
        <row r="411">
          <cell r="A411">
            <v>30019687</v>
          </cell>
          <cell r="B411" t="str">
            <v>2.3 x 74+/-0.5 x 1219</v>
          </cell>
          <cell r="C411">
            <v>2.2999999999999998</v>
          </cell>
          <cell r="D411">
            <v>74</v>
          </cell>
          <cell r="E411">
            <v>1219</v>
          </cell>
          <cell r="F411">
            <v>1.6286693299999999</v>
          </cell>
          <cell r="G411">
            <v>16</v>
          </cell>
          <cell r="H411">
            <v>77005447</v>
          </cell>
          <cell r="I411" t="str">
            <v>SPHC-P/O</v>
          </cell>
          <cell r="J411" t="str">
            <v>BRKT.,TANK FITTING (4S31)</v>
          </cell>
          <cell r="K411" t="str">
            <v>5YP-F134V-00</v>
          </cell>
          <cell r="L411" t="str">
            <v>T</v>
          </cell>
          <cell r="M411" t="str">
            <v>SPHC-P/O</v>
          </cell>
          <cell r="N411" t="str">
            <v>BRKT.,TANK FITTING (4S31)</v>
          </cell>
          <cell r="O411" t="str">
            <v>5YP-F134V-00</v>
          </cell>
          <cell r="P411" t="str">
            <v>T</v>
          </cell>
          <cell r="Q411" t="str">
            <v>epc</v>
          </cell>
        </row>
        <row r="412">
          <cell r="A412">
            <v>30020289</v>
          </cell>
          <cell r="B412" t="str">
            <v>2.0 x 272+/-0.5 x 1219</v>
          </cell>
          <cell r="C412">
            <v>2</v>
          </cell>
          <cell r="D412">
            <v>272</v>
          </cell>
          <cell r="E412">
            <v>1219</v>
          </cell>
          <cell r="F412">
            <v>5.2056176000000001</v>
          </cell>
          <cell r="G412">
            <v>8</v>
          </cell>
          <cell r="H412">
            <v>77005248</v>
          </cell>
          <cell r="I412" t="str">
            <v>SAPH440</v>
          </cell>
          <cell r="J412" t="str">
            <v>STAY REAR</v>
          </cell>
          <cell r="K412" t="str">
            <v>1YC-F116F-00</v>
          </cell>
          <cell r="L412" t="str">
            <v>T</v>
          </cell>
          <cell r="M412" t="str">
            <v>SAPH440</v>
          </cell>
          <cell r="N412" t="str">
            <v>STAY REAR</v>
          </cell>
          <cell r="O412" t="str">
            <v>1YC-F116F-00</v>
          </cell>
          <cell r="P412" t="str">
            <v>T</v>
          </cell>
          <cell r="Q412" t="str">
            <v>bm</v>
          </cell>
        </row>
        <row r="413">
          <cell r="A413">
            <v>30020290</v>
          </cell>
          <cell r="B413" t="str">
            <v>2.0 x 116+/-0.5 x 1219</v>
          </cell>
          <cell r="C413">
            <v>2</v>
          </cell>
          <cell r="D413">
            <v>116</v>
          </cell>
          <cell r="E413">
            <v>1219</v>
          </cell>
          <cell r="F413">
            <v>2.2200427999999999</v>
          </cell>
          <cell r="G413">
            <v>21</v>
          </cell>
          <cell r="H413">
            <v>77005387</v>
          </cell>
          <cell r="I413" t="str">
            <v>SPHC-P/O</v>
          </cell>
          <cell r="J413" t="str">
            <v>BRKT REAR FENDER</v>
          </cell>
          <cell r="K413" t="str">
            <v>1YC-F1261-00</v>
          </cell>
          <cell r="L413" t="str">
            <v>T</v>
          </cell>
          <cell r="M413" t="str">
            <v>SPHC-P/O</v>
          </cell>
          <cell r="N413" t="str">
            <v>BRKT REAR FENDER</v>
          </cell>
          <cell r="O413" t="str">
            <v>1YC-F1261-00</v>
          </cell>
          <cell r="P413" t="str">
            <v>T</v>
          </cell>
          <cell r="Q413" t="str">
            <v>tsi</v>
          </cell>
        </row>
        <row r="414">
          <cell r="A414">
            <v>30020292</v>
          </cell>
          <cell r="B414" t="str">
            <v>1.6 x 62+/-0.5 x 1219</v>
          </cell>
          <cell r="C414">
            <v>1.6</v>
          </cell>
          <cell r="D414">
            <v>62</v>
          </cell>
          <cell r="E414">
            <v>1219</v>
          </cell>
          <cell r="F414">
            <v>0.94925967999999994</v>
          </cell>
          <cell r="G414">
            <v>42</v>
          </cell>
          <cell r="H414">
            <v>77005360</v>
          </cell>
          <cell r="I414" t="str">
            <v>SPHC-P/O</v>
          </cell>
          <cell r="J414" t="str">
            <v>BRKT COVER</v>
          </cell>
          <cell r="K414" t="str">
            <v>1YC-F139T-00</v>
          </cell>
          <cell r="L414" t="str">
            <v>1YC</v>
          </cell>
          <cell r="M414" t="str">
            <v>SPHC-P/O</v>
          </cell>
          <cell r="N414" t="str">
            <v>BRKT COVER</v>
          </cell>
          <cell r="O414" t="str">
            <v>1YC-F139T-00</v>
          </cell>
          <cell r="P414" t="str">
            <v>1YC</v>
          </cell>
          <cell r="Q414" t="str">
            <v>epc</v>
          </cell>
        </row>
        <row r="415">
          <cell r="A415">
            <v>30020322</v>
          </cell>
          <cell r="B415" t="str">
            <v>3.2 x 266+/-0.5 x 1219</v>
          </cell>
          <cell r="C415">
            <v>3.2</v>
          </cell>
          <cell r="D415">
            <v>266</v>
          </cell>
          <cell r="E415">
            <v>1219</v>
          </cell>
          <cell r="F415">
            <v>8.145260480000001</v>
          </cell>
          <cell r="G415">
            <v>31</v>
          </cell>
          <cell r="H415">
            <v>77005499</v>
          </cell>
          <cell r="I415" t="str">
            <v>SPHC-P/O</v>
          </cell>
          <cell r="J415" t="str">
            <v>BRKT RR CUSHION COMP LH</v>
          </cell>
          <cell r="K415" t="str">
            <v>1YC-F1380-00</v>
          </cell>
          <cell r="L415" t="str">
            <v>1YC</v>
          </cell>
          <cell r="M415" t="str">
            <v>SPHC-P/O</v>
          </cell>
          <cell r="N415" t="str">
            <v>BRKT RR CUSHION COMP LH</v>
          </cell>
          <cell r="O415" t="str">
            <v>1YC-F1380-00</v>
          </cell>
          <cell r="P415" t="str">
            <v>1YC</v>
          </cell>
          <cell r="Q415" t="str">
            <v>epc</v>
          </cell>
        </row>
        <row r="416">
          <cell r="A416">
            <v>30020328</v>
          </cell>
          <cell r="B416" t="str">
            <v>2.0 x 180+/-0.5 x 1219</v>
          </cell>
          <cell r="C416">
            <v>2</v>
          </cell>
          <cell r="D416">
            <v>180</v>
          </cell>
          <cell r="E416">
            <v>1219</v>
          </cell>
          <cell r="F416">
            <v>3.4448940000000001</v>
          </cell>
          <cell r="G416">
            <v>20</v>
          </cell>
          <cell r="H416">
            <v>77005247</v>
          </cell>
          <cell r="I416" t="str">
            <v>SAPH440</v>
          </cell>
          <cell r="J416" t="str">
            <v>REINF TAIL</v>
          </cell>
          <cell r="K416" t="str">
            <v>1YC-F1232-00</v>
          </cell>
          <cell r="L416" t="str">
            <v>1YC</v>
          </cell>
          <cell r="M416" t="str">
            <v>SAPH440</v>
          </cell>
          <cell r="N416" t="str">
            <v>REINF TAIL</v>
          </cell>
          <cell r="O416" t="str">
            <v>1YC-F1232-00</v>
          </cell>
          <cell r="P416" t="str">
            <v>1YC</v>
          </cell>
          <cell r="Q416" t="str">
            <v>bm</v>
          </cell>
        </row>
        <row r="417">
          <cell r="A417">
            <v>30022372</v>
          </cell>
          <cell r="B417" t="str">
            <v>1.6 x 126+/-0.5 x 1219</v>
          </cell>
          <cell r="C417">
            <v>1.6</v>
          </cell>
          <cell r="D417">
            <v>126</v>
          </cell>
          <cell r="E417">
            <v>1219</v>
          </cell>
          <cell r="F417">
            <v>1.9291406400000002</v>
          </cell>
          <cell r="G417">
            <v>25</v>
          </cell>
          <cell r="H417">
            <v>77005324</v>
          </cell>
          <cell r="I417" t="str">
            <v>YSH270C-P</v>
          </cell>
          <cell r="J417" t="str">
            <v>BRKT RELAY</v>
          </cell>
          <cell r="K417" t="str">
            <v>2CM-F134E-00</v>
          </cell>
          <cell r="L417" t="str">
            <v>2CM1</v>
          </cell>
          <cell r="M417" t="str">
            <v>YSH270C-P</v>
          </cell>
          <cell r="N417" t="str">
            <v>BRKT RELAY</v>
          </cell>
          <cell r="O417" t="str">
            <v>2CM-F134E-00</v>
          </cell>
          <cell r="P417" t="str">
            <v>2CM1</v>
          </cell>
          <cell r="Q417" t="str">
            <v>epc</v>
          </cell>
        </row>
        <row r="418">
          <cell r="A418">
            <v>30023043</v>
          </cell>
          <cell r="B418" t="str">
            <v>2.6 x 96+/-0.5 x 1219</v>
          </cell>
          <cell r="C418">
            <v>2.6</v>
          </cell>
          <cell r="D418">
            <v>96</v>
          </cell>
          <cell r="E418">
            <v>1219</v>
          </cell>
          <cell r="F418">
            <v>2.3884598399999999</v>
          </cell>
          <cell r="G418">
            <v>16</v>
          </cell>
          <cell r="H418">
            <v>77005472</v>
          </cell>
          <cell r="I418" t="str">
            <v>YSH270C-P</v>
          </cell>
          <cell r="J418" t="str">
            <v>PATCH 1</v>
          </cell>
          <cell r="K418" t="str">
            <v>2CM-F114W-00</v>
          </cell>
          <cell r="L418" t="str">
            <v>2CM1</v>
          </cell>
          <cell r="M418" t="str">
            <v>YSH270C-P</v>
          </cell>
          <cell r="N418" t="str">
            <v>PATCH 1</v>
          </cell>
          <cell r="O418" t="str">
            <v>2CM-F114W-00</v>
          </cell>
          <cell r="P418" t="str">
            <v>2CM1</v>
          </cell>
          <cell r="Q418" t="str">
            <v>epc</v>
          </cell>
        </row>
        <row r="419">
          <cell r="A419">
            <v>30023044</v>
          </cell>
          <cell r="B419" t="str">
            <v>2.6 x 83+/-0.5 x 1219</v>
          </cell>
          <cell r="C419">
            <v>2.6</v>
          </cell>
          <cell r="D419">
            <v>83</v>
          </cell>
          <cell r="E419">
            <v>1219</v>
          </cell>
          <cell r="F419">
            <v>2.06502257</v>
          </cell>
          <cell r="G419">
            <v>16</v>
          </cell>
          <cell r="H419">
            <v>77005471</v>
          </cell>
          <cell r="I419" t="str">
            <v>YSH270C-P</v>
          </cell>
          <cell r="J419" t="str">
            <v>PATCH 2</v>
          </cell>
          <cell r="K419" t="str">
            <v>2CM-F115W-00</v>
          </cell>
          <cell r="L419" t="str">
            <v>2CM1</v>
          </cell>
          <cell r="M419" t="str">
            <v>YSH270C-P</v>
          </cell>
          <cell r="N419" t="str">
            <v>PATCH 2</v>
          </cell>
          <cell r="O419" t="str">
            <v>2CM-F115W-00</v>
          </cell>
          <cell r="P419" t="str">
            <v>2CM1</v>
          </cell>
          <cell r="Q419" t="str">
            <v>epc</v>
          </cell>
        </row>
        <row r="420">
          <cell r="A420">
            <v>30028988</v>
          </cell>
          <cell r="B420" t="str">
            <v>3.2 x 148+/-0.5 x 1219</v>
          </cell>
          <cell r="C420">
            <v>3.2</v>
          </cell>
          <cell r="D420">
            <v>148</v>
          </cell>
          <cell r="E420">
            <v>1219</v>
          </cell>
          <cell r="F420">
            <v>4.53194944</v>
          </cell>
          <cell r="G420">
            <v>29</v>
          </cell>
          <cell r="H420">
            <v>77005486</v>
          </cell>
          <cell r="I420" t="str">
            <v>YSH270C-P</v>
          </cell>
          <cell r="J420" t="str">
            <v>BRKT RR CUSHION COMP LH</v>
          </cell>
          <cell r="K420" t="str">
            <v>BB9-F1380-00</v>
          </cell>
          <cell r="L420" t="str">
            <v>BB91</v>
          </cell>
          <cell r="M420" t="str">
            <v>YSH270C-P</v>
          </cell>
          <cell r="N420" t="str">
            <v>BRKT RR CUSHION COMP LH</v>
          </cell>
          <cell r="O420" t="str">
            <v>BB9-F1380-00</v>
          </cell>
          <cell r="P420" t="str">
            <v>BB91</v>
          </cell>
          <cell r="Q420" t="str">
            <v>ps</v>
          </cell>
          <cell r="R420">
            <v>100</v>
          </cell>
        </row>
        <row r="421">
          <cell r="A421">
            <v>30028990</v>
          </cell>
          <cell r="B421" t="str">
            <v>2.0 x 80+/-0.5 x 1219</v>
          </cell>
          <cell r="C421">
            <v>2</v>
          </cell>
          <cell r="D421">
            <v>80</v>
          </cell>
          <cell r="E421">
            <v>1219</v>
          </cell>
          <cell r="F421">
            <v>1.531064</v>
          </cell>
          <cell r="G421">
            <v>50</v>
          </cell>
          <cell r="H421">
            <v>77005422</v>
          </cell>
          <cell r="I421" t="str">
            <v>YSH270C-P</v>
          </cell>
          <cell r="J421" t="str">
            <v>STAY FENDER 1</v>
          </cell>
          <cell r="K421" t="str">
            <v>BB9-F1613-00</v>
          </cell>
          <cell r="L421" t="str">
            <v>BB91</v>
          </cell>
          <cell r="M421" t="str">
            <v>YSH270C-P</v>
          </cell>
          <cell r="N421" t="str">
            <v>STAY FENDER 1</v>
          </cell>
          <cell r="O421" t="str">
            <v>BB9-F1613-00</v>
          </cell>
          <cell r="P421" t="str">
            <v>BB91</v>
          </cell>
          <cell r="Q421" t="str">
            <v>epc</v>
          </cell>
        </row>
        <row r="422">
          <cell r="A422">
            <v>30028991</v>
          </cell>
          <cell r="B422" t="str">
            <v>2.0 x 97+/-0.5 x 1219</v>
          </cell>
          <cell r="C422">
            <v>2</v>
          </cell>
          <cell r="D422">
            <v>97</v>
          </cell>
          <cell r="E422">
            <v>1219</v>
          </cell>
          <cell r="F422">
            <v>1.8564150999999998</v>
          </cell>
          <cell r="G422">
            <v>39</v>
          </cell>
          <cell r="H422">
            <v>77005428</v>
          </cell>
          <cell r="I422" t="str">
            <v>YSH270C-P</v>
          </cell>
          <cell r="J422" t="str">
            <v>BRKT., COIL</v>
          </cell>
          <cell r="K422" t="str">
            <v>BB9-F1359-00</v>
          </cell>
          <cell r="L422" t="str">
            <v>BB91</v>
          </cell>
          <cell r="M422" t="str">
            <v>YSH270C-P</v>
          </cell>
          <cell r="N422" t="str">
            <v>BRKT., COIL</v>
          </cell>
          <cell r="O422" t="str">
            <v>BB9-F1359-00</v>
          </cell>
          <cell r="P422" t="str">
            <v>BB91</v>
          </cell>
          <cell r="Q422" t="str">
            <v>epc</v>
          </cell>
          <cell r="R422">
            <v>200</v>
          </cell>
        </row>
        <row r="423">
          <cell r="A423">
            <v>30028992</v>
          </cell>
          <cell r="B423" t="str">
            <v>1.6 x 69+/-0.5 x 1219</v>
          </cell>
          <cell r="C423">
            <v>1.6</v>
          </cell>
          <cell r="D423">
            <v>69</v>
          </cell>
          <cell r="E423">
            <v>1219</v>
          </cell>
          <cell r="F423">
            <v>1.05643416</v>
          </cell>
          <cell r="G423">
            <v>112</v>
          </cell>
          <cell r="H423">
            <v>77005365</v>
          </cell>
          <cell r="I423" t="str">
            <v>YSH270C-P</v>
          </cell>
          <cell r="J423" t="str">
            <v xml:space="preserve">STAY, 2 </v>
          </cell>
          <cell r="K423" t="str">
            <v>BB9-F122B-00</v>
          </cell>
          <cell r="L423" t="str">
            <v>BB91</v>
          </cell>
          <cell r="M423" t="str">
            <v>YSH270C-P</v>
          </cell>
          <cell r="N423" t="str">
            <v xml:space="preserve">STAY, 2 </v>
          </cell>
          <cell r="O423" t="str">
            <v>BB9-F122B-00</v>
          </cell>
          <cell r="P423" t="str">
            <v>BB91</v>
          </cell>
          <cell r="Q423" t="str">
            <v>epc</v>
          </cell>
          <cell r="R423">
            <v>100</v>
          </cell>
        </row>
        <row r="424">
          <cell r="A424">
            <v>30028993</v>
          </cell>
          <cell r="B424" t="str">
            <v>2.0 x 128+/-0.5 x 1219</v>
          </cell>
          <cell r="C424">
            <v>2</v>
          </cell>
          <cell r="D424">
            <v>128</v>
          </cell>
          <cell r="E424">
            <v>1219</v>
          </cell>
          <cell r="F424">
            <v>2.4497024000000001</v>
          </cell>
          <cell r="G424">
            <v>30</v>
          </cell>
          <cell r="H424">
            <v>77005390</v>
          </cell>
          <cell r="I424" t="str">
            <v>YSH270C-P</v>
          </cell>
          <cell r="J424" t="str">
            <v>STAY , FENDER 2</v>
          </cell>
          <cell r="K424" t="str">
            <v>BB9-F1614-00</v>
          </cell>
          <cell r="L424" t="str">
            <v>BB91</v>
          </cell>
          <cell r="M424" t="str">
            <v>YSH270C-P</v>
          </cell>
          <cell r="N424" t="str">
            <v>STAY , FENDER 2</v>
          </cell>
          <cell r="O424" t="str">
            <v>BB9-F1614-00</v>
          </cell>
          <cell r="P424" t="str">
            <v>BB91</v>
          </cell>
          <cell r="Q424" t="str">
            <v>bm</v>
          </cell>
          <cell r="R424">
            <v>150</v>
          </cell>
        </row>
        <row r="425">
          <cell r="A425">
            <v>30031904</v>
          </cell>
          <cell r="B425" t="str">
            <v>2.0 x 170+/-0.5 x 1219</v>
          </cell>
          <cell r="C425">
            <v>2</v>
          </cell>
          <cell r="D425">
            <v>170</v>
          </cell>
          <cell r="E425">
            <v>1219</v>
          </cell>
          <cell r="F425">
            <v>3.253511</v>
          </cell>
          <cell r="G425">
            <v>42</v>
          </cell>
          <cell r="H425">
            <v>77005401</v>
          </cell>
          <cell r="I425" t="str">
            <v>YSH270C-P</v>
          </cell>
          <cell r="J425" t="str">
            <v>BRKT, RR FOOTREST</v>
          </cell>
          <cell r="K425" t="str">
            <v>BB9-F1153-00</v>
          </cell>
          <cell r="L425" t="str">
            <v>BB91</v>
          </cell>
          <cell r="M425" t="str">
            <v>YSH270C-P</v>
          </cell>
          <cell r="N425" t="str">
            <v>BRKT, RR FOOTREST</v>
          </cell>
          <cell r="O425" t="str">
            <v>BB9-F1153-00</v>
          </cell>
          <cell r="P425" t="str">
            <v>BB91</v>
          </cell>
          <cell r="Q425" t="str">
            <v>tsi</v>
          </cell>
          <cell r="R425">
            <v>100</v>
          </cell>
        </row>
        <row r="426">
          <cell r="A426">
            <v>30031905</v>
          </cell>
          <cell r="B426" t="str">
            <v>2.0 x 182+/-0.5 x 1219</v>
          </cell>
          <cell r="C426">
            <v>2</v>
          </cell>
          <cell r="D426">
            <v>182</v>
          </cell>
          <cell r="E426">
            <v>1219</v>
          </cell>
          <cell r="F426">
            <v>3.4831705999999998</v>
          </cell>
          <cell r="G426">
            <v>42</v>
          </cell>
          <cell r="H426">
            <v>77005403</v>
          </cell>
          <cell r="I426" t="str">
            <v>YSH270C-P</v>
          </cell>
          <cell r="J426" t="str">
            <v>BRKT, RR FOOTREST</v>
          </cell>
          <cell r="K426" t="str">
            <v>BB9-F1154-00</v>
          </cell>
          <cell r="L426" t="str">
            <v>T</v>
          </cell>
          <cell r="M426" t="str">
            <v>YSH270C-P</v>
          </cell>
          <cell r="N426" t="str">
            <v>BRKT, RR FOOTREST</v>
          </cell>
          <cell r="O426" t="str">
            <v>BB9-F1154-00</v>
          </cell>
          <cell r="P426" t="str">
            <v>T</v>
          </cell>
          <cell r="Q426" t="str">
            <v>tsi</v>
          </cell>
          <cell r="R426">
            <v>100</v>
          </cell>
        </row>
        <row r="427">
          <cell r="A427">
            <v>73000410</v>
          </cell>
          <cell r="B427" t="str">
            <v>2.0 x 50+/-0.5 x 1219</v>
          </cell>
          <cell r="C427">
            <v>2</v>
          </cell>
          <cell r="D427">
            <v>50</v>
          </cell>
          <cell r="E427">
            <v>1219</v>
          </cell>
          <cell r="F427">
            <v>0.95691499999999996</v>
          </cell>
          <cell r="G427">
            <v>42</v>
          </cell>
          <cell r="H427">
            <v>77005410</v>
          </cell>
          <cell r="I427" t="str">
            <v>SPHC-P/O</v>
          </cell>
          <cell r="J427" t="str">
            <v>BRKT REGULATOR 1</v>
          </cell>
          <cell r="K427" t="str">
            <v>2S5-F128A-10-00</v>
          </cell>
          <cell r="L427" t="str">
            <v>T</v>
          </cell>
          <cell r="M427" t="str">
            <v>SPHC-P/O</v>
          </cell>
          <cell r="N427" t="str">
            <v>BRKT REGULATOR 1</v>
          </cell>
          <cell r="O427" t="str">
            <v>2S5-F128A-10-00</v>
          </cell>
          <cell r="P427" t="str">
            <v>T</v>
          </cell>
          <cell r="Q427" t="str">
            <v>epc</v>
          </cell>
        </row>
        <row r="428">
          <cell r="A428">
            <v>73000412</v>
          </cell>
          <cell r="B428" t="str">
            <v>2.6 x 58+/-0.5 x 1219</v>
          </cell>
          <cell r="C428">
            <v>2.6</v>
          </cell>
          <cell r="D428">
            <v>58</v>
          </cell>
          <cell r="E428">
            <v>1219</v>
          </cell>
          <cell r="F428">
            <v>1.44302782</v>
          </cell>
          <cell r="G428">
            <v>39</v>
          </cell>
          <cell r="H428">
            <v>77005465</v>
          </cell>
          <cell r="I428" t="str">
            <v>SPHC-P/O</v>
          </cell>
          <cell r="J428" t="str">
            <v>BRKT REGULATOR 1</v>
          </cell>
          <cell r="K428" t="str">
            <v>2S5-F128A-00-00</v>
          </cell>
          <cell r="L428" t="str">
            <v>T</v>
          </cell>
          <cell r="M428" t="str">
            <v>SPHC-P/O</v>
          </cell>
          <cell r="N428" t="str">
            <v>BRKT REGULATOR 1</v>
          </cell>
          <cell r="O428" t="str">
            <v>2S5-F128A-00-00</v>
          </cell>
          <cell r="P428" t="str">
            <v>T</v>
          </cell>
          <cell r="Q428" t="str">
            <v>epc</v>
          </cell>
        </row>
        <row r="429">
          <cell r="A429">
            <v>73000413</v>
          </cell>
          <cell r="B429" t="str">
            <v>1.6 x 67+/-0.5 x 1219</v>
          </cell>
          <cell r="C429">
            <v>1.6</v>
          </cell>
          <cell r="D429">
            <v>67</v>
          </cell>
          <cell r="E429">
            <v>1219</v>
          </cell>
          <cell r="F429">
            <v>1.0258128799999999</v>
          </cell>
          <cell r="G429">
            <v>28</v>
          </cell>
          <cell r="H429">
            <v>77005364</v>
          </cell>
          <cell r="I429" t="str">
            <v>SPHC-P/O</v>
          </cell>
          <cell r="J429" t="str">
            <v>BRKT BOX 1</v>
          </cell>
          <cell r="K429" t="str">
            <v>2S5-F133A-00-00-80+7707</v>
          </cell>
          <cell r="L429" t="str">
            <v>T</v>
          </cell>
          <cell r="M429" t="str">
            <v>SPHC-P/O</v>
          </cell>
          <cell r="N429" t="str">
            <v>BRKT BOX 1</v>
          </cell>
          <cell r="O429" t="str">
            <v>2S5-F133A-00-00-80+7707</v>
          </cell>
          <cell r="P429" t="str">
            <v>T</v>
          </cell>
          <cell r="Q429" t="str">
            <v>epc</v>
          </cell>
        </row>
        <row r="430">
          <cell r="A430">
            <v>73000467</v>
          </cell>
          <cell r="B430" t="str">
            <v>1.6 x 60+/-0.5 x 1219</v>
          </cell>
          <cell r="C430">
            <v>1.6</v>
          </cell>
          <cell r="D430">
            <v>60</v>
          </cell>
          <cell r="E430">
            <v>1219</v>
          </cell>
          <cell r="F430">
            <v>0.91863839999999986</v>
          </cell>
          <cell r="G430">
            <v>45</v>
          </cell>
          <cell r="H430">
            <v>77005358</v>
          </cell>
          <cell r="I430" t="str">
            <v>SPHC-P/O</v>
          </cell>
          <cell r="J430" t="str">
            <v xml:space="preserve">BRKT. 6 </v>
          </cell>
          <cell r="K430" t="str">
            <v>4D0-F139H-00-0-80-7707-9122</v>
          </cell>
          <cell r="L430" t="str">
            <v>T</v>
          </cell>
          <cell r="M430" t="str">
            <v>SPHC-P/O</v>
          </cell>
          <cell r="N430" t="str">
            <v xml:space="preserve">BRKT. 6 </v>
          </cell>
          <cell r="O430" t="str">
            <v>4D0-F139H-00-0-80-7707-9122</v>
          </cell>
          <cell r="P430" t="str">
            <v>T</v>
          </cell>
          <cell r="Q430" t="str">
            <v>epc</v>
          </cell>
        </row>
        <row r="431">
          <cell r="A431">
            <v>73000469</v>
          </cell>
          <cell r="B431" t="str">
            <v>2.0 x 60+/-0.5 x 1219</v>
          </cell>
          <cell r="C431">
            <v>2</v>
          </cell>
          <cell r="D431">
            <v>60</v>
          </cell>
          <cell r="E431">
            <v>1219</v>
          </cell>
          <cell r="F431">
            <v>1.148298</v>
          </cell>
          <cell r="G431">
            <v>11</v>
          </cell>
          <cell r="H431">
            <v>77005413</v>
          </cell>
          <cell r="I431" t="str">
            <v>SPHC-P/O</v>
          </cell>
          <cell r="J431" t="str">
            <v>BRKT BOX 1</v>
          </cell>
          <cell r="K431" t="str">
            <v>4DO-F133A-00-00-80-7707-91</v>
          </cell>
          <cell r="L431" t="str">
            <v>T</v>
          </cell>
          <cell r="M431" t="str">
            <v>SPHC-P/O</v>
          </cell>
          <cell r="N431" t="str">
            <v>BRKT BOX 1</v>
          </cell>
          <cell r="O431" t="str">
            <v>4DO-F133A-00-00-80-7707-91</v>
          </cell>
          <cell r="P431" t="str">
            <v>T</v>
          </cell>
          <cell r="Q431" t="str">
            <v>epc</v>
          </cell>
        </row>
        <row r="432">
          <cell r="A432">
            <v>73000470</v>
          </cell>
          <cell r="B432" t="str">
            <v>2.6 x 45+/-0.5 x 1219</v>
          </cell>
          <cell r="C432">
            <v>2.6</v>
          </cell>
          <cell r="D432">
            <v>45</v>
          </cell>
          <cell r="E432">
            <v>1219</v>
          </cell>
          <cell r="F432">
            <v>1.1195905500000001</v>
          </cell>
          <cell r="G432">
            <v>24</v>
          </cell>
          <cell r="H432">
            <v>77005462</v>
          </cell>
          <cell r="I432" t="str">
            <v>SPHC-P/O</v>
          </cell>
          <cell r="J432" t="str">
            <v xml:space="preserve">REINF SEAT RAIL </v>
          </cell>
          <cell r="K432" t="str">
            <v>4DO-F1131-00-00-80-7707-91</v>
          </cell>
          <cell r="L432" t="str">
            <v>T</v>
          </cell>
          <cell r="M432" t="str">
            <v>SPHC-P/O</v>
          </cell>
          <cell r="N432" t="str">
            <v xml:space="preserve">REINF SEAT RAIL </v>
          </cell>
          <cell r="O432" t="str">
            <v>4DO-F1131-00-00-80-7707-91</v>
          </cell>
          <cell r="P432" t="str">
            <v>T</v>
          </cell>
          <cell r="Q432" t="str">
            <v>epc</v>
          </cell>
        </row>
        <row r="433">
          <cell r="A433">
            <v>73000480</v>
          </cell>
          <cell r="B433" t="str">
            <v>2.0 x 43+/-0.5 x 1219</v>
          </cell>
          <cell r="C433">
            <v>2</v>
          </cell>
          <cell r="D433">
            <v>43</v>
          </cell>
          <cell r="E433">
            <v>1219</v>
          </cell>
          <cell r="F433">
            <v>0.82294689999999993</v>
          </cell>
          <cell r="G433">
            <v>40</v>
          </cell>
          <cell r="H433">
            <v>77005407</v>
          </cell>
          <cell r="I433" t="str">
            <v>SPHC-P/O</v>
          </cell>
          <cell r="J433" t="str">
            <v xml:space="preserve">BRKT., AIR CLEANER 1 </v>
          </cell>
          <cell r="K433" t="str">
            <v>5YP-F1147-00</v>
          </cell>
          <cell r="L433" t="str">
            <v>T</v>
          </cell>
          <cell r="M433" t="str">
            <v>SPHC-P/O</v>
          </cell>
          <cell r="N433" t="str">
            <v xml:space="preserve">BRKT., AIR CLEANER 1 </v>
          </cell>
          <cell r="O433" t="str">
            <v>5YP-F1147-00</v>
          </cell>
          <cell r="P433" t="str">
            <v>T</v>
          </cell>
          <cell r="Q433" t="str">
            <v>epc</v>
          </cell>
        </row>
        <row r="434">
          <cell r="A434">
            <v>73000483</v>
          </cell>
          <cell r="B434" t="str">
            <v>1.6 x 55+/-0.5 x 1219</v>
          </cell>
          <cell r="C434">
            <v>1.6</v>
          </cell>
          <cell r="D434">
            <v>55</v>
          </cell>
          <cell r="E434">
            <v>1219</v>
          </cell>
          <cell r="F434">
            <v>0.84208519999999998</v>
          </cell>
          <cell r="G434">
            <v>30</v>
          </cell>
          <cell r="H434">
            <v>77005354</v>
          </cell>
          <cell r="I434" t="str">
            <v>SPHC-P/O</v>
          </cell>
          <cell r="J434" t="str">
            <v xml:space="preserve">BRKT., 1 </v>
          </cell>
          <cell r="K434" t="str">
            <v>5YP-F115K-00</v>
          </cell>
          <cell r="L434" t="str">
            <v>T</v>
          </cell>
          <cell r="M434" t="str">
            <v>SPHC-P/O</v>
          </cell>
          <cell r="N434" t="str">
            <v xml:space="preserve">BRKT., 1 </v>
          </cell>
          <cell r="O434" t="str">
            <v>5YP-F115K-00</v>
          </cell>
          <cell r="P434" t="str">
            <v>T</v>
          </cell>
          <cell r="Q434" t="str">
            <v>epc</v>
          </cell>
        </row>
        <row r="435">
          <cell r="A435">
            <v>73000484</v>
          </cell>
          <cell r="B435" t="str">
            <v>2.0 x 76+/-0.5 x 1219</v>
          </cell>
          <cell r="C435">
            <v>2</v>
          </cell>
          <cell r="D435">
            <v>76</v>
          </cell>
          <cell r="E435">
            <v>1219</v>
          </cell>
          <cell r="F435">
            <v>1.4545108</v>
          </cell>
          <cell r="G435">
            <v>29</v>
          </cell>
          <cell r="H435">
            <v>77005420</v>
          </cell>
          <cell r="I435" t="str">
            <v>SPHC-P/O</v>
          </cell>
          <cell r="J435" t="str">
            <v xml:space="preserve">BRKT., AIR CLEANER  2 </v>
          </cell>
          <cell r="K435" t="str">
            <v>5YP-F1148-00</v>
          </cell>
          <cell r="L435" t="str">
            <v>T</v>
          </cell>
          <cell r="M435" t="str">
            <v>SPHC-P/O</v>
          </cell>
          <cell r="N435" t="str">
            <v xml:space="preserve">BRKT., AIR CLEANER  2 </v>
          </cell>
          <cell r="O435" t="str">
            <v>5YP-F1148-00</v>
          </cell>
          <cell r="P435" t="str">
            <v>T</v>
          </cell>
          <cell r="Q435" t="str">
            <v>epc</v>
          </cell>
        </row>
        <row r="436">
          <cell r="A436">
            <v>73000498</v>
          </cell>
          <cell r="B436" t="str">
            <v>2.0 x 78+/-0.5 x 1219</v>
          </cell>
          <cell r="C436">
            <v>2</v>
          </cell>
          <cell r="D436">
            <v>78</v>
          </cell>
          <cell r="E436">
            <v>1219</v>
          </cell>
          <cell r="F436">
            <v>1.4927873999999999</v>
          </cell>
          <cell r="G436">
            <v>30</v>
          </cell>
          <cell r="H436">
            <v>77005421</v>
          </cell>
          <cell r="I436" t="str">
            <v>SPHC-P/O</v>
          </cell>
          <cell r="J436" t="str">
            <v xml:space="preserve">BRKT., STOP SWITCH </v>
          </cell>
          <cell r="K436" t="str">
            <v>5YP-F1441-00</v>
          </cell>
          <cell r="L436" t="str">
            <v>T</v>
          </cell>
          <cell r="M436" t="str">
            <v>SPHC-P/O</v>
          </cell>
          <cell r="N436" t="str">
            <v xml:space="preserve">BRKT., STOP SWITCH </v>
          </cell>
          <cell r="O436" t="str">
            <v>5YP-F1441-00</v>
          </cell>
          <cell r="P436" t="str">
            <v>T</v>
          </cell>
          <cell r="Q436" t="str">
            <v>tsi</v>
          </cell>
          <cell r="R436">
            <v>200</v>
          </cell>
        </row>
        <row r="437">
          <cell r="A437">
            <v>73000501</v>
          </cell>
          <cell r="B437" t="str">
            <v>3.2 x 66+/-0.5 x 1219</v>
          </cell>
          <cell r="C437">
            <v>3.2</v>
          </cell>
          <cell r="D437">
            <v>66</v>
          </cell>
          <cell r="E437">
            <v>1219</v>
          </cell>
          <cell r="F437">
            <v>2.0210044799999998</v>
          </cell>
          <cell r="G437">
            <v>30</v>
          </cell>
          <cell r="H437">
            <v>77005509</v>
          </cell>
          <cell r="I437" t="str">
            <v>SPHC-P/O</v>
          </cell>
          <cell r="J437" t="str">
            <v xml:space="preserve">STAY ENGINE  6 </v>
          </cell>
          <cell r="K437" t="str">
            <v>5YP-F1319-00</v>
          </cell>
          <cell r="L437" t="str">
            <v>T</v>
          </cell>
          <cell r="M437" t="str">
            <v>SPHC-P/O</v>
          </cell>
          <cell r="N437" t="str">
            <v xml:space="preserve">STAY ENGINE  6 </v>
          </cell>
          <cell r="O437" t="str">
            <v>5YP-F1319-00</v>
          </cell>
          <cell r="P437" t="str">
            <v>T</v>
          </cell>
          <cell r="Q437" t="str">
            <v>epc</v>
          </cell>
        </row>
        <row r="438">
          <cell r="A438">
            <v>73000661</v>
          </cell>
          <cell r="B438" t="str">
            <v>2.0 x 86+/-0.5 x 1219</v>
          </cell>
          <cell r="C438">
            <v>2</v>
          </cell>
          <cell r="D438">
            <v>86</v>
          </cell>
          <cell r="E438">
            <v>1219</v>
          </cell>
          <cell r="F438">
            <v>1.6458937999999999</v>
          </cell>
          <cell r="G438">
            <v>55</v>
          </cell>
          <cell r="H438">
            <v>77005425</v>
          </cell>
          <cell r="I438" t="str">
            <v>SPHC-P/O</v>
          </cell>
          <cell r="J438" t="str">
            <v>BRKT LEG SHIELD</v>
          </cell>
          <cell r="K438" t="str">
            <v>4C9-F1368-00-00-80-7707</v>
          </cell>
          <cell r="L438" t="str">
            <v>T</v>
          </cell>
          <cell r="M438" t="str">
            <v>SPHC-P/O</v>
          </cell>
          <cell r="N438" t="str">
            <v>BRKT LEG SHIELD</v>
          </cell>
          <cell r="O438" t="str">
            <v>4C9-F1368-00-00-80-7707</v>
          </cell>
          <cell r="P438" t="str">
            <v>T</v>
          </cell>
          <cell r="Q438" t="str">
            <v>epc</v>
          </cell>
          <cell r="R438">
            <v>200</v>
          </cell>
        </row>
        <row r="439">
          <cell r="A439">
            <v>73001806</v>
          </cell>
          <cell r="B439" t="str">
            <v>2.3 x 50+/-0.5 x 1219</v>
          </cell>
          <cell r="C439">
            <v>2.2999999999999998</v>
          </cell>
          <cell r="D439">
            <v>50</v>
          </cell>
          <cell r="E439">
            <v>1219</v>
          </cell>
          <cell r="F439">
            <v>1.1004522499999998</v>
          </cell>
          <cell r="G439">
            <v>52</v>
          </cell>
          <cell r="H439">
            <v>77005442</v>
          </cell>
          <cell r="I439" t="str">
            <v>SPHC-P/O</v>
          </cell>
          <cell r="J439" t="str">
            <v xml:space="preserve">BRKT. 5 </v>
          </cell>
          <cell r="K439" t="str">
            <v>4D0-F139G-0-00-80-7707-9122</v>
          </cell>
          <cell r="L439" t="str">
            <v>T</v>
          </cell>
          <cell r="M439" t="str">
            <v>SPHC-P/O</v>
          </cell>
          <cell r="N439" t="str">
            <v xml:space="preserve">BRKT. 5 </v>
          </cell>
          <cell r="O439" t="str">
            <v>4D0-F139G-0-00-80-7707-9122</v>
          </cell>
          <cell r="P439" t="str">
            <v>T</v>
          </cell>
          <cell r="Q439" t="str">
            <v>epc</v>
          </cell>
        </row>
        <row r="440">
          <cell r="A440">
            <v>73003783</v>
          </cell>
          <cell r="B440" t="str">
            <v>1.6 x 35+/-0.5 x 1219</v>
          </cell>
          <cell r="C440">
            <v>1.6</v>
          </cell>
          <cell r="D440">
            <v>35</v>
          </cell>
          <cell r="E440">
            <v>1219</v>
          </cell>
          <cell r="F440">
            <v>0.53587240000000003</v>
          </cell>
          <cell r="G440">
            <v>43</v>
          </cell>
          <cell r="H440">
            <v>77005342</v>
          </cell>
          <cell r="I440" t="str">
            <v>SPHC-P/O</v>
          </cell>
          <cell r="J440" t="str">
            <v>BRKT., RR FENDER 2</v>
          </cell>
          <cell r="K440" t="str">
            <v>5YP-F1239-00</v>
          </cell>
          <cell r="L440" t="str">
            <v>T</v>
          </cell>
          <cell r="M440" t="str">
            <v>SPHC-P/O</v>
          </cell>
          <cell r="N440" t="str">
            <v>BRKT., RR FENDER 2</v>
          </cell>
          <cell r="O440" t="str">
            <v>5YP-F1239-00</v>
          </cell>
          <cell r="P440" t="str">
            <v>T</v>
          </cell>
          <cell r="Q440" t="str">
            <v>epc</v>
          </cell>
        </row>
        <row r="441">
          <cell r="A441">
            <v>73003785</v>
          </cell>
          <cell r="B441" t="str">
            <v>1.6 x 85+/-0.5 x 1219</v>
          </cell>
          <cell r="C441">
            <v>1.6</v>
          </cell>
          <cell r="D441">
            <v>85</v>
          </cell>
          <cell r="E441">
            <v>1219</v>
          </cell>
          <cell r="F441">
            <v>1.3014044</v>
          </cell>
          <cell r="G441">
            <v>41</v>
          </cell>
          <cell r="H441">
            <v>77005375</v>
          </cell>
          <cell r="I441" t="str">
            <v>SPHC-P/O</v>
          </cell>
          <cell r="J441" t="str">
            <v>BRKT.,COVER</v>
          </cell>
          <cell r="K441" t="str">
            <v>5YP-F131L-00</v>
          </cell>
          <cell r="L441" t="str">
            <v>T</v>
          </cell>
          <cell r="M441" t="str">
            <v>SPHC-P/O</v>
          </cell>
          <cell r="N441" t="str">
            <v>BRKT.,COVER</v>
          </cell>
          <cell r="O441" t="str">
            <v>5YP-F131L-00</v>
          </cell>
          <cell r="P441" t="str">
            <v>T</v>
          </cell>
          <cell r="Q441" t="str">
            <v>epc</v>
          </cell>
        </row>
        <row r="442">
          <cell r="A442">
            <v>73003786</v>
          </cell>
          <cell r="B442" t="str">
            <v>2.0 x 117+/-0.5 x 1219</v>
          </cell>
          <cell r="C442">
            <v>2</v>
          </cell>
          <cell r="D442">
            <v>117</v>
          </cell>
          <cell r="E442">
            <v>1219</v>
          </cell>
          <cell r="F442">
            <v>2.2391811000000001</v>
          </cell>
          <cell r="G442">
            <v>16</v>
          </cell>
          <cell r="H442">
            <v>77005388</v>
          </cell>
          <cell r="I442" t="str">
            <v>SPHC-P/O</v>
          </cell>
          <cell r="J442" t="str">
            <v>BRKT., TANK FITTING (5YP)</v>
          </cell>
          <cell r="K442" t="str">
            <v>5YP-F138L-00</v>
          </cell>
          <cell r="L442" t="str">
            <v>T</v>
          </cell>
          <cell r="M442" t="str">
            <v>SPHC-P/O</v>
          </cell>
          <cell r="N442" t="str">
            <v>BRKT., TANK FITTING (5YP)</v>
          </cell>
          <cell r="O442" t="str">
            <v>5YP-F138L-00</v>
          </cell>
          <cell r="P442" t="str">
            <v>T</v>
          </cell>
          <cell r="Q442" t="str">
            <v>epc</v>
          </cell>
        </row>
        <row r="443">
          <cell r="A443">
            <v>73003795</v>
          </cell>
          <cell r="B443" t="str">
            <v>1.6 x 35+/-0.5 x 1219</v>
          </cell>
          <cell r="C443">
            <v>1.6</v>
          </cell>
          <cell r="D443">
            <v>35</v>
          </cell>
          <cell r="E443">
            <v>1219</v>
          </cell>
          <cell r="F443">
            <v>0.53587240000000003</v>
          </cell>
          <cell r="G443">
            <v>43</v>
          </cell>
          <cell r="I443" t="str">
            <v>SPHC-P/O</v>
          </cell>
          <cell r="J443" t="str">
            <v>BRKT.,RR FENDER</v>
          </cell>
          <cell r="K443" t="str">
            <v>5YP-F1238-00</v>
          </cell>
          <cell r="L443" t="str">
            <v>T</v>
          </cell>
          <cell r="M443" t="str">
            <v>SPHC-P/O</v>
          </cell>
          <cell r="N443" t="str">
            <v>BRKT.,RR FENDER</v>
          </cell>
          <cell r="O443" t="str">
            <v>5YP-F1238-00</v>
          </cell>
          <cell r="P443" t="str">
            <v>T</v>
          </cell>
          <cell r="Q443" t="e">
            <v>#N/A</v>
          </cell>
        </row>
        <row r="444">
          <cell r="A444">
            <v>73003816</v>
          </cell>
          <cell r="B444" t="str">
            <v>1.6 x 62+/-0.5 x 1219</v>
          </cell>
          <cell r="C444">
            <v>1.6</v>
          </cell>
          <cell r="D444">
            <v>62</v>
          </cell>
          <cell r="E444">
            <v>1219</v>
          </cell>
          <cell r="F444">
            <v>0.94925967999999994</v>
          </cell>
          <cell r="G444">
            <v>29</v>
          </cell>
          <cell r="H444">
            <v>77005360</v>
          </cell>
          <cell r="I444" t="str">
            <v>SPHC-P/O</v>
          </cell>
          <cell r="J444" t="str">
            <v>BRKT., RADIATOR 1</v>
          </cell>
          <cell r="K444" t="str">
            <v>5YP-F142M-00</v>
          </cell>
          <cell r="L444" t="str">
            <v>T</v>
          </cell>
          <cell r="M444" t="str">
            <v>SPHC-P/O</v>
          </cell>
          <cell r="N444" t="str">
            <v>BRKT., RADIATOR 1</v>
          </cell>
          <cell r="O444" t="str">
            <v>5YP-F142M-00</v>
          </cell>
          <cell r="P444" t="str">
            <v>T</v>
          </cell>
          <cell r="Q444" t="str">
            <v>epc</v>
          </cell>
        </row>
        <row r="445">
          <cell r="A445">
            <v>73003963</v>
          </cell>
          <cell r="B445" t="str">
            <v>1.6 x 85+/-0.5 x 1219</v>
          </cell>
          <cell r="C445">
            <v>1.6</v>
          </cell>
          <cell r="D445">
            <v>85</v>
          </cell>
          <cell r="E445">
            <v>1219</v>
          </cell>
          <cell r="F445">
            <v>1.3014044</v>
          </cell>
          <cell r="G445">
            <v>23</v>
          </cell>
          <cell r="H445">
            <v>77005375</v>
          </cell>
          <cell r="I445" t="str">
            <v>SPHC-P/O</v>
          </cell>
          <cell r="J445" t="str">
            <v>BRKT FOOTREST</v>
          </cell>
          <cell r="K445" t="str">
            <v>1YC-F1447-00-00-80-7707</v>
          </cell>
          <cell r="L445" t="str">
            <v>T</v>
          </cell>
          <cell r="M445" t="str">
            <v>SPHC-P/O</v>
          </cell>
          <cell r="N445" t="str">
            <v>BRKT FOOTREST</v>
          </cell>
          <cell r="O445" t="str">
            <v>1YC-F1447-00-00-80-7707</v>
          </cell>
          <cell r="P445" t="str">
            <v>T</v>
          </cell>
          <cell r="Q445" t="str">
            <v>epc</v>
          </cell>
        </row>
        <row r="446">
          <cell r="A446">
            <v>73003964</v>
          </cell>
          <cell r="B446" t="str">
            <v>1.6 x 89+/-0.5 x 1219</v>
          </cell>
          <cell r="C446">
            <v>1.6</v>
          </cell>
          <cell r="D446">
            <v>89</v>
          </cell>
          <cell r="E446">
            <v>1219</v>
          </cell>
          <cell r="F446">
            <v>1.36264696</v>
          </cell>
          <cell r="G446">
            <v>23</v>
          </cell>
          <cell r="H446">
            <v>77005377</v>
          </cell>
          <cell r="I446" t="str">
            <v>SPHC-P/O</v>
          </cell>
          <cell r="J446" t="str">
            <v>BRKT FOOTREST 2</v>
          </cell>
          <cell r="K446" t="str">
            <v>1YC-F1448-00-00-80-7707</v>
          </cell>
          <cell r="L446" t="str">
            <v>T</v>
          </cell>
          <cell r="M446" t="str">
            <v>SPHC-P/O</v>
          </cell>
          <cell r="N446" t="str">
            <v>BRKT FOOTREST 2</v>
          </cell>
          <cell r="O446" t="str">
            <v>1YC-F1448-00-00-80-7707</v>
          </cell>
          <cell r="P446" t="str">
            <v>T</v>
          </cell>
          <cell r="Q446" t="str">
            <v>epc</v>
          </cell>
        </row>
        <row r="447">
          <cell r="A447">
            <v>73004266</v>
          </cell>
          <cell r="B447" t="str">
            <v>2.0 x 107+/-0.5 x 1219</v>
          </cell>
          <cell r="C447">
            <v>2</v>
          </cell>
          <cell r="D447">
            <v>107</v>
          </cell>
          <cell r="E447">
            <v>1219</v>
          </cell>
          <cell r="F447">
            <v>2.0477981000000001</v>
          </cell>
          <cell r="G447">
            <v>22</v>
          </cell>
          <cell r="H447">
            <v>77005384</v>
          </cell>
          <cell r="I447" t="str">
            <v>YSH270C-P</v>
          </cell>
          <cell r="J447" t="str">
            <v>BRKT TANK FITTING</v>
          </cell>
          <cell r="K447" t="str">
            <v>2CM-F1345-00-00-90-7707-9122</v>
          </cell>
          <cell r="L447" t="str">
            <v>T</v>
          </cell>
          <cell r="M447" t="str">
            <v>YSH270C-P</v>
          </cell>
          <cell r="N447" t="str">
            <v>BRKT TANK FITTING</v>
          </cell>
          <cell r="O447" t="str">
            <v>2CM-F1345-00-00-90-7707-9122</v>
          </cell>
          <cell r="P447" t="str">
            <v>T</v>
          </cell>
          <cell r="Q447" t="str">
            <v>epc</v>
          </cell>
        </row>
        <row r="448">
          <cell r="A448">
            <v>73004267</v>
          </cell>
          <cell r="B448" t="str">
            <v>2.0 x 107+/-0.5 x 1219</v>
          </cell>
          <cell r="C448">
            <v>2</v>
          </cell>
          <cell r="D448">
            <v>107</v>
          </cell>
          <cell r="E448">
            <v>1219</v>
          </cell>
          <cell r="F448">
            <v>2.0477981000000001</v>
          </cell>
          <cell r="G448">
            <v>22</v>
          </cell>
          <cell r="H448">
            <v>77005384</v>
          </cell>
          <cell r="I448" t="str">
            <v>YSH270C-P</v>
          </cell>
          <cell r="J448" t="str">
            <v>BRKT TANK FITTING</v>
          </cell>
          <cell r="K448" t="str">
            <v>2CM-F1346-00-00-90-7707-9122</v>
          </cell>
          <cell r="L448" t="str">
            <v>T</v>
          </cell>
          <cell r="M448" t="str">
            <v>YSH270C-P</v>
          </cell>
          <cell r="N448" t="str">
            <v>BRKT TANK FITTING</v>
          </cell>
          <cell r="O448" t="str">
            <v>2CM-F1346-00-00-90-7707-9122</v>
          </cell>
          <cell r="P448" t="str">
            <v>T</v>
          </cell>
          <cell r="Q448" t="str">
            <v>epc</v>
          </cell>
        </row>
        <row r="449">
          <cell r="A449">
            <v>73013984</v>
          </cell>
          <cell r="B449" t="str">
            <v>1.6 x 80+/-0.5 x 1219</v>
          </cell>
          <cell r="C449">
            <v>1.6</v>
          </cell>
          <cell r="D449">
            <v>80</v>
          </cell>
          <cell r="E449">
            <v>1219</v>
          </cell>
          <cell r="F449">
            <v>1.2248512</v>
          </cell>
          <cell r="G449">
            <v>18</v>
          </cell>
          <cell r="H449">
            <v>77005372</v>
          </cell>
          <cell r="I449" t="str">
            <v>YSH270C-P</v>
          </cell>
          <cell r="J449" t="str">
            <v>BRKT., FOOTREST</v>
          </cell>
          <cell r="K449" t="str">
            <v>BB9-F1447-00</v>
          </cell>
          <cell r="L449" t="str">
            <v>T</v>
          </cell>
          <cell r="M449" t="str">
            <v>YSH270C-P</v>
          </cell>
          <cell r="N449" t="str">
            <v>BRKT., FOOTREST</v>
          </cell>
          <cell r="O449" t="str">
            <v>BB9-F1447-00</v>
          </cell>
          <cell r="P449" t="str">
            <v>T</v>
          </cell>
          <cell r="Q449" t="str">
            <v>tsi</v>
          </cell>
          <cell r="R449">
            <v>200</v>
          </cell>
        </row>
        <row r="450">
          <cell r="A450">
            <v>73013985</v>
          </cell>
          <cell r="B450" t="str">
            <v>1.6 x 84+/-0.5 x 1219</v>
          </cell>
          <cell r="C450">
            <v>1.6</v>
          </cell>
          <cell r="D450">
            <v>84</v>
          </cell>
          <cell r="E450">
            <v>1219</v>
          </cell>
          <cell r="F450">
            <v>1.28609376</v>
          </cell>
          <cell r="G450">
            <v>18</v>
          </cell>
          <cell r="H450">
            <v>77005374</v>
          </cell>
          <cell r="I450" t="str">
            <v>YSH270C-P</v>
          </cell>
          <cell r="J450" t="str">
            <v>BRKT., FOOTREST 2</v>
          </cell>
          <cell r="K450" t="str">
            <v>BB9-F1448-00</v>
          </cell>
          <cell r="L450" t="str">
            <v>T</v>
          </cell>
          <cell r="M450" t="str">
            <v>YSH270C-P</v>
          </cell>
          <cell r="N450" t="str">
            <v>BRKT., FOOTREST 2</v>
          </cell>
          <cell r="O450" t="str">
            <v>BB9-F1448-00</v>
          </cell>
          <cell r="P450" t="str">
            <v>T</v>
          </cell>
          <cell r="Q450" t="str">
            <v>ps</v>
          </cell>
          <cell r="R450">
            <v>200</v>
          </cell>
        </row>
        <row r="451">
          <cell r="A451" t="str">
            <v>30022366-1</v>
          </cell>
          <cell r="B451" t="str">
            <v>3.2 x 104+/-0.5 x 1219</v>
          </cell>
          <cell r="C451">
            <v>3.2</v>
          </cell>
          <cell r="D451">
            <v>104</v>
          </cell>
          <cell r="E451">
            <v>1219</v>
          </cell>
          <cell r="F451">
            <v>3.1846131200000003</v>
          </cell>
          <cell r="G451">
            <v>18</v>
          </cell>
          <cell r="H451">
            <v>77005257</v>
          </cell>
          <cell r="I451" t="str">
            <v>YSH440W-P</v>
          </cell>
          <cell r="J451" t="str">
            <v>BRKT RR FOOTREST</v>
          </cell>
          <cell r="K451" t="str">
            <v>2CM-F1153-00</v>
          </cell>
          <cell r="L451" t="str">
            <v>2CM1</v>
          </cell>
          <cell r="M451" t="str">
            <v>YSH440W-P</v>
          </cell>
          <cell r="N451" t="str">
            <v>BRKT RR FOOTREST</v>
          </cell>
          <cell r="O451" t="str">
            <v>2CM-F1153-00</v>
          </cell>
          <cell r="P451" t="str">
            <v>2CM1</v>
          </cell>
          <cell r="Q451" t="str">
            <v>bm</v>
          </cell>
        </row>
        <row r="452">
          <cell r="A452" t="str">
            <v>30022366-2</v>
          </cell>
          <cell r="B452" t="str">
            <v>3.2 x 83+/-0.5 x 1219</v>
          </cell>
          <cell r="C452">
            <v>3.2</v>
          </cell>
          <cell r="D452">
            <v>83</v>
          </cell>
          <cell r="E452">
            <v>1219</v>
          </cell>
          <cell r="F452">
            <v>2.5415662400000003</v>
          </cell>
          <cell r="G452">
            <v>44</v>
          </cell>
          <cell r="H452">
            <v>77005258</v>
          </cell>
          <cell r="I452" t="str">
            <v>YSH440W-P</v>
          </cell>
          <cell r="J452" t="str">
            <v>BRKT RR FOOTREST</v>
          </cell>
          <cell r="K452" t="str">
            <v>2CM-F1153-00</v>
          </cell>
          <cell r="L452" t="str">
            <v>2CM1</v>
          </cell>
          <cell r="M452" t="str">
            <v>YSH440W-P</v>
          </cell>
          <cell r="N452" t="str">
            <v>BRKT RR FOOTREST</v>
          </cell>
          <cell r="O452" t="str">
            <v>2CM-F1153-00</v>
          </cell>
          <cell r="P452" t="str">
            <v>2CM1</v>
          </cell>
          <cell r="Q452" t="str">
            <v>bm</v>
          </cell>
        </row>
        <row r="453">
          <cell r="A453" t="str">
            <v>30022366-3</v>
          </cell>
          <cell r="B453" t="str">
            <v>2.0 x 49+/-0.5 x 1219</v>
          </cell>
          <cell r="C453">
            <v>2</v>
          </cell>
          <cell r="D453">
            <v>49</v>
          </cell>
          <cell r="E453">
            <v>1219</v>
          </cell>
          <cell r="F453">
            <v>0.93777669999999991</v>
          </cell>
          <cell r="G453">
            <v>53</v>
          </cell>
          <cell r="H453">
            <v>77005409</v>
          </cell>
          <cell r="I453" t="str">
            <v>YSH270C-P</v>
          </cell>
          <cell r="J453" t="str">
            <v>BRKT RR FOOTREST</v>
          </cell>
          <cell r="K453" t="str">
            <v>2CM-F1153-00</v>
          </cell>
          <cell r="L453" t="str">
            <v>2CM1</v>
          </cell>
          <cell r="M453" t="str">
            <v>YSH270C-P</v>
          </cell>
          <cell r="N453" t="str">
            <v>BRKT RR FOOTREST</v>
          </cell>
          <cell r="O453" t="str">
            <v>2CM-F1153-00</v>
          </cell>
          <cell r="P453" t="str">
            <v>2CM1</v>
          </cell>
          <cell r="Q453" t="str">
            <v>epc</v>
          </cell>
        </row>
        <row r="454">
          <cell r="A454" t="str">
            <v>30022366-4</v>
          </cell>
          <cell r="B454" t="str">
            <v>2.0 x 91+/-0.5 x 1219</v>
          </cell>
          <cell r="C454">
            <v>2</v>
          </cell>
          <cell r="D454">
            <v>91</v>
          </cell>
          <cell r="E454">
            <v>1219</v>
          </cell>
          <cell r="F454">
            <v>1.7415852999999999</v>
          </cell>
          <cell r="G454">
            <v>34</v>
          </cell>
          <cell r="H454">
            <v>77005253</v>
          </cell>
          <cell r="I454" t="str">
            <v>YSH440W-P</v>
          </cell>
          <cell r="J454" t="str">
            <v>BRKT RR FOOTREST</v>
          </cell>
          <cell r="K454" t="str">
            <v>2CM-F1153-00</v>
          </cell>
          <cell r="L454" t="str">
            <v>2CM1</v>
          </cell>
          <cell r="M454" t="str">
            <v>YSH440W-P</v>
          </cell>
          <cell r="N454" t="str">
            <v>BRKT RR FOOTREST</v>
          </cell>
          <cell r="O454" t="str">
            <v>2CM-F1153-00</v>
          </cell>
          <cell r="P454" t="str">
            <v>2CM1</v>
          </cell>
          <cell r="Q454" t="str">
            <v>bm</v>
          </cell>
        </row>
        <row r="455">
          <cell r="A455" t="str">
            <v>30022370-1</v>
          </cell>
          <cell r="B455" t="str">
            <v>3.2 x 104+/-0.5 x 1219</v>
          </cell>
          <cell r="C455">
            <v>3.2</v>
          </cell>
          <cell r="D455">
            <v>104</v>
          </cell>
          <cell r="E455">
            <v>1219</v>
          </cell>
          <cell r="F455">
            <v>3.1846131200000003</v>
          </cell>
          <cell r="G455">
            <v>18</v>
          </cell>
          <cell r="H455">
            <v>77005257</v>
          </cell>
          <cell r="I455" t="str">
            <v>YSH440W-P</v>
          </cell>
          <cell r="J455" t="str">
            <v>BRKT RR FOOTREST</v>
          </cell>
          <cell r="K455" t="str">
            <v>2CM-F1154-00</v>
          </cell>
          <cell r="L455" t="str">
            <v>2CM1</v>
          </cell>
          <cell r="M455" t="str">
            <v>YSH440W-P</v>
          </cell>
          <cell r="N455" t="str">
            <v>BRKT RR FOOTREST</v>
          </cell>
          <cell r="O455" t="str">
            <v>2CM-F1154-00</v>
          </cell>
          <cell r="P455" t="str">
            <v>2CM1</v>
          </cell>
          <cell r="Q455" t="str">
            <v>bm</v>
          </cell>
        </row>
        <row r="456">
          <cell r="A456" t="str">
            <v>30022370-2</v>
          </cell>
          <cell r="B456" t="str">
            <v>3.2 x 83+/-0.5 x 1219</v>
          </cell>
          <cell r="C456">
            <v>3.2</v>
          </cell>
          <cell r="D456">
            <v>83</v>
          </cell>
          <cell r="E456">
            <v>1219</v>
          </cell>
          <cell r="F456">
            <v>2.5415662400000003</v>
          </cell>
          <cell r="G456">
            <v>44</v>
          </cell>
          <cell r="H456">
            <v>77005258</v>
          </cell>
          <cell r="I456" t="str">
            <v>YSH440W-P</v>
          </cell>
          <cell r="J456" t="str">
            <v>BRKT RR FOOTREST</v>
          </cell>
          <cell r="K456" t="str">
            <v>2CM-F1154-00</v>
          </cell>
          <cell r="L456" t="str">
            <v>2CM1</v>
          </cell>
          <cell r="M456" t="str">
            <v>YSH440W-P</v>
          </cell>
          <cell r="N456" t="str">
            <v>BRKT RR FOOTREST</v>
          </cell>
          <cell r="O456" t="str">
            <v>2CM-F1154-00</v>
          </cell>
          <cell r="P456" t="str">
            <v>2CM1</v>
          </cell>
          <cell r="Q456" t="str">
            <v>bm</v>
          </cell>
        </row>
        <row r="457">
          <cell r="A457" t="str">
            <v>30022370-3</v>
          </cell>
          <cell r="B457" t="str">
            <v>2.0 x 49+/-0.5 x 1219</v>
          </cell>
          <cell r="C457">
            <v>2</v>
          </cell>
          <cell r="D457">
            <v>49</v>
          </cell>
          <cell r="E457">
            <v>1219</v>
          </cell>
          <cell r="F457">
            <v>0.93777669999999991</v>
          </cell>
          <cell r="G457">
            <v>53</v>
          </cell>
          <cell r="H457">
            <v>77005409</v>
          </cell>
          <cell r="I457" t="str">
            <v>YSH270C-P</v>
          </cell>
          <cell r="J457" t="str">
            <v>BRKT RR FOOTREST</v>
          </cell>
          <cell r="K457" t="str">
            <v>2CM-F1154-00</v>
          </cell>
          <cell r="L457" t="str">
            <v>2CM1</v>
          </cell>
          <cell r="M457" t="str">
            <v>YSH270C-P</v>
          </cell>
          <cell r="N457" t="str">
            <v>BRKT RR FOOTREST</v>
          </cell>
          <cell r="O457" t="str">
            <v>2CM-F1154-00</v>
          </cell>
          <cell r="P457" t="str">
            <v>2CM1</v>
          </cell>
          <cell r="Q457" t="str">
            <v>epc</v>
          </cell>
        </row>
        <row r="458">
          <cell r="A458" t="str">
            <v>30022370-4</v>
          </cell>
          <cell r="B458" t="str">
            <v>2.0 x 91+/-0.5 x 1219</v>
          </cell>
          <cell r="C458">
            <v>2</v>
          </cell>
          <cell r="D458">
            <v>91</v>
          </cell>
          <cell r="E458">
            <v>1219</v>
          </cell>
          <cell r="F458">
            <v>1.7415852999999999</v>
          </cell>
          <cell r="G458">
            <v>34</v>
          </cell>
          <cell r="H458">
            <v>77005253</v>
          </cell>
          <cell r="I458" t="str">
            <v>YSH440W-P</v>
          </cell>
          <cell r="J458" t="str">
            <v>BRKT RR FOOTREST</v>
          </cell>
          <cell r="K458" t="str">
            <v>2CM-F1154-00</v>
          </cell>
          <cell r="L458" t="str">
            <v>2CM1</v>
          </cell>
          <cell r="M458" t="str">
            <v>YSH440W-P</v>
          </cell>
          <cell r="N458" t="str">
            <v>BRKT RR FOOTREST</v>
          </cell>
          <cell r="O458" t="str">
            <v>2CM-F1154-00</v>
          </cell>
          <cell r="P458" t="str">
            <v>2CM1</v>
          </cell>
          <cell r="Q458" t="str">
            <v>bm</v>
          </cell>
        </row>
        <row r="459">
          <cell r="A459" t="str">
            <v>73002616-1</v>
          </cell>
          <cell r="B459" t="str">
            <v>1.6 x 69+/-0.5 x 1219</v>
          </cell>
          <cell r="C459">
            <v>1.6</v>
          </cell>
          <cell r="D459">
            <v>69</v>
          </cell>
          <cell r="E459">
            <v>1219</v>
          </cell>
          <cell r="F459">
            <v>1.05643416</v>
          </cell>
          <cell r="G459">
            <v>22</v>
          </cell>
          <cell r="H459">
            <v>77005365</v>
          </cell>
          <cell r="I459" t="str">
            <v>SPHC-P/O</v>
          </cell>
          <cell r="J459" t="str">
            <v>BRKT 4</v>
          </cell>
          <cell r="K459" t="str">
            <v>1GS-F148X-00</v>
          </cell>
          <cell r="L459" t="str">
            <v>T</v>
          </cell>
          <cell r="M459" t="str">
            <v>SPHC-P/O</v>
          </cell>
          <cell r="N459" t="str">
            <v>BRKT 4</v>
          </cell>
          <cell r="O459" t="str">
            <v>1GS-F148X-00</v>
          </cell>
          <cell r="P459" t="str">
            <v>T</v>
          </cell>
          <cell r="Q459" t="str">
            <v>epc</v>
          </cell>
          <cell r="R459">
            <v>100</v>
          </cell>
        </row>
        <row r="460">
          <cell r="A460" t="str">
            <v>73002616-2</v>
          </cell>
          <cell r="B460" t="str">
            <v>1.6 x 46+/-0.5 x 1219</v>
          </cell>
          <cell r="C460">
            <v>1.6</v>
          </cell>
          <cell r="D460">
            <v>46</v>
          </cell>
          <cell r="E460">
            <v>1219</v>
          </cell>
          <cell r="F460">
            <v>0.70428944000000004</v>
          </cell>
          <cell r="G460">
            <v>33</v>
          </cell>
          <cell r="H460">
            <v>77005348</v>
          </cell>
          <cell r="I460" t="str">
            <v>SPHC-P/O</v>
          </cell>
          <cell r="J460" t="str">
            <v>GUSSET 2</v>
          </cell>
          <cell r="K460" t="str">
            <v>1GS-F113H-00</v>
          </cell>
          <cell r="L460" t="str">
            <v>T</v>
          </cell>
          <cell r="M460" t="str">
            <v>SPHC-P/O</v>
          </cell>
          <cell r="N460" t="str">
            <v>GUSSET 2</v>
          </cell>
          <cell r="O460" t="str">
            <v>1GS-F113H-00</v>
          </cell>
          <cell r="P460" t="str">
            <v>T</v>
          </cell>
          <cell r="Q460" t="str">
            <v>epc</v>
          </cell>
        </row>
        <row r="461">
          <cell r="A461" t="str">
            <v>73002616-3</v>
          </cell>
          <cell r="B461" t="str">
            <v>1.6 x 49+/-0.5 x 1219</v>
          </cell>
          <cell r="C461">
            <v>1.6</v>
          </cell>
          <cell r="D461">
            <v>49</v>
          </cell>
          <cell r="E461">
            <v>1219</v>
          </cell>
          <cell r="F461">
            <v>0.75022135999999995</v>
          </cell>
          <cell r="G461">
            <v>33</v>
          </cell>
          <cell r="H461">
            <v>77005350</v>
          </cell>
          <cell r="I461" t="str">
            <v>SPHC-P/O</v>
          </cell>
          <cell r="J461" t="str">
            <v>GUSSET 4</v>
          </cell>
          <cell r="K461" t="str">
            <v>1GS-F112E-00</v>
          </cell>
          <cell r="L461" t="str">
            <v>T</v>
          </cell>
          <cell r="M461" t="str">
            <v>SPHC-P/O</v>
          </cell>
          <cell r="N461" t="str">
            <v>GUSSET 4</v>
          </cell>
          <cell r="O461" t="str">
            <v>1GS-F112E-00</v>
          </cell>
          <cell r="P461" t="str">
            <v>T</v>
          </cell>
          <cell r="Q461" t="str">
            <v>epc</v>
          </cell>
        </row>
        <row r="462">
          <cell r="A462" t="str">
            <v>73002617-1</v>
          </cell>
          <cell r="B462" t="str">
            <v>1.6 x 69+/-0.5 x 1219</v>
          </cell>
          <cell r="C462">
            <v>1.6</v>
          </cell>
          <cell r="D462">
            <v>69</v>
          </cell>
          <cell r="E462">
            <v>1219</v>
          </cell>
          <cell r="F462">
            <v>1.05643416</v>
          </cell>
          <cell r="G462">
            <v>22</v>
          </cell>
          <cell r="H462">
            <v>77005365</v>
          </cell>
          <cell r="I462" t="str">
            <v>SPHC-P/O</v>
          </cell>
          <cell r="J462" t="str">
            <v>BRKT 3</v>
          </cell>
          <cell r="K462" t="str">
            <v>1GS-F148X-00</v>
          </cell>
          <cell r="L462" t="str">
            <v>T</v>
          </cell>
          <cell r="M462" t="str">
            <v>SPHC-P/O</v>
          </cell>
          <cell r="N462" t="str">
            <v>BRKT 3</v>
          </cell>
          <cell r="O462" t="str">
            <v>1GS-F148X-00</v>
          </cell>
          <cell r="P462" t="str">
            <v>T</v>
          </cell>
          <cell r="Q462" t="str">
            <v>epc</v>
          </cell>
          <cell r="R462">
            <v>100</v>
          </cell>
        </row>
        <row r="463">
          <cell r="A463" t="str">
            <v>73002617-2</v>
          </cell>
          <cell r="B463" t="str">
            <v>1.6 x 46+/-0.5 x 1219</v>
          </cell>
          <cell r="C463">
            <v>1.6</v>
          </cell>
          <cell r="D463">
            <v>46</v>
          </cell>
          <cell r="E463">
            <v>1219</v>
          </cell>
          <cell r="F463">
            <v>0.70428944000000004</v>
          </cell>
          <cell r="G463">
            <v>33</v>
          </cell>
          <cell r="H463">
            <v>77005348</v>
          </cell>
          <cell r="I463" t="str">
            <v>SPHC-P/O</v>
          </cell>
          <cell r="J463" t="str">
            <v>GUSSET 1</v>
          </cell>
          <cell r="K463" t="str">
            <v>1GS-F113H-00</v>
          </cell>
          <cell r="L463" t="str">
            <v>T</v>
          </cell>
          <cell r="M463" t="str">
            <v>SPHC-P/O</v>
          </cell>
          <cell r="N463" t="str">
            <v>GUSSET 1</v>
          </cell>
          <cell r="O463" t="str">
            <v>1GS-F113H-00</v>
          </cell>
          <cell r="P463" t="str">
            <v>T</v>
          </cell>
          <cell r="Q463" t="str">
            <v>epc</v>
          </cell>
        </row>
        <row r="464">
          <cell r="A464" t="str">
            <v>73002617-3</v>
          </cell>
          <cell r="B464" t="str">
            <v>1.6 x 49+/-0.5 x 1219</v>
          </cell>
          <cell r="C464">
            <v>1.6</v>
          </cell>
          <cell r="D464">
            <v>49</v>
          </cell>
          <cell r="E464">
            <v>1219</v>
          </cell>
          <cell r="F464">
            <v>0.75022135999999995</v>
          </cell>
          <cell r="G464">
            <v>33</v>
          </cell>
          <cell r="H464">
            <v>77005350</v>
          </cell>
          <cell r="I464" t="str">
            <v>SPHC-P/O</v>
          </cell>
          <cell r="J464" t="str">
            <v>GUSSET 3</v>
          </cell>
          <cell r="K464" t="str">
            <v>1GS-F112E-00</v>
          </cell>
          <cell r="L464" t="str">
            <v>T</v>
          </cell>
          <cell r="M464" t="str">
            <v>SPHC-P/O</v>
          </cell>
          <cell r="N464" t="str">
            <v>GUSSET 3</v>
          </cell>
          <cell r="O464" t="str">
            <v>1GS-F112E-00</v>
          </cell>
          <cell r="P464" t="str">
            <v>T</v>
          </cell>
          <cell r="Q464" t="str">
            <v>epc</v>
          </cell>
        </row>
        <row r="465">
          <cell r="A465" t="str">
            <v>73004241-1</v>
          </cell>
          <cell r="B465" t="str">
            <v>2.0 x 102+/-0.5 x 1219</v>
          </cell>
          <cell r="C465">
            <v>2</v>
          </cell>
          <cell r="D465">
            <v>102</v>
          </cell>
          <cell r="E465">
            <v>1219</v>
          </cell>
          <cell r="F465">
            <v>1.9521065999999998</v>
          </cell>
          <cell r="G465">
            <v>19</v>
          </cell>
          <cell r="H465">
            <v>77005383</v>
          </cell>
          <cell r="I465" t="str">
            <v>YSH270C-P</v>
          </cell>
          <cell r="J465" t="str">
            <v>BRKT SEAT 1</v>
          </cell>
          <cell r="K465" t="str">
            <v>2CM-F1341-00-00-90-7707-9122</v>
          </cell>
          <cell r="L465" t="str">
            <v>T</v>
          </cell>
          <cell r="M465" t="str">
            <v>YSH270C-P</v>
          </cell>
          <cell r="N465" t="str">
            <v>BRKT SEAT 1</v>
          </cell>
          <cell r="O465" t="str">
            <v>2CM-F1341-00-00-90-7707-9122</v>
          </cell>
          <cell r="P465" t="str">
            <v>T</v>
          </cell>
          <cell r="Q465" t="str">
            <v>tsi</v>
          </cell>
          <cell r="R465">
            <v>100</v>
          </cell>
        </row>
        <row r="466">
          <cell r="A466" t="str">
            <v>73004241-2</v>
          </cell>
          <cell r="B466" t="str">
            <v>2.0 x 72+/-0.5 x 1219</v>
          </cell>
          <cell r="C466">
            <v>2</v>
          </cell>
          <cell r="D466">
            <v>72</v>
          </cell>
          <cell r="E466">
            <v>1219</v>
          </cell>
          <cell r="F466">
            <v>1.3779575999999998</v>
          </cell>
          <cell r="G466">
            <v>48</v>
          </cell>
          <cell r="H466">
            <v>77005417</v>
          </cell>
          <cell r="I466" t="str">
            <v>YSH270C-P</v>
          </cell>
          <cell r="J466" t="str">
            <v>BRKT SEAT 1</v>
          </cell>
          <cell r="K466" t="str">
            <v>2CM-F1341-00-00-90-7707-9122</v>
          </cell>
          <cell r="L466" t="str">
            <v>T</v>
          </cell>
          <cell r="M466" t="str">
            <v>YSH270C-P</v>
          </cell>
          <cell r="N466" t="str">
            <v>BRKT SEAT 1</v>
          </cell>
          <cell r="O466" t="str">
            <v>2CM-F1341-00-00-90-7707-9122</v>
          </cell>
          <cell r="P466" t="str">
            <v>T</v>
          </cell>
          <cell r="Q466" t="str">
            <v>epc</v>
          </cell>
        </row>
        <row r="467">
          <cell r="A467" t="str">
            <v>73004242-1</v>
          </cell>
          <cell r="B467" t="str">
            <v>2.0 x 102+/-0.5 x 1219</v>
          </cell>
          <cell r="C467">
            <v>2</v>
          </cell>
          <cell r="D467">
            <v>102</v>
          </cell>
          <cell r="E467">
            <v>1219</v>
          </cell>
          <cell r="F467">
            <v>1.9521065999999998</v>
          </cell>
          <cell r="G467">
            <v>19</v>
          </cell>
          <cell r="H467">
            <v>77005383</v>
          </cell>
          <cell r="I467" t="str">
            <v>YSH270C-P</v>
          </cell>
          <cell r="J467" t="str">
            <v>BRKT SEAT 2</v>
          </cell>
          <cell r="K467" t="str">
            <v>2CM-F1342-00-00-90-7707-9122</v>
          </cell>
          <cell r="L467" t="str">
            <v>T</v>
          </cell>
          <cell r="M467" t="str">
            <v>YSH270C-P</v>
          </cell>
          <cell r="N467" t="str">
            <v>BRKT SEAT 2</v>
          </cell>
          <cell r="O467" t="str">
            <v>2CM-F1342-00-00-90-7707-9122</v>
          </cell>
          <cell r="P467" t="str">
            <v>T</v>
          </cell>
          <cell r="Q467" t="str">
            <v>tsi</v>
          </cell>
          <cell r="R467">
            <v>100</v>
          </cell>
        </row>
        <row r="468">
          <cell r="A468" t="str">
            <v>73004242-2</v>
          </cell>
          <cell r="B468" t="str">
            <v>2.0 x 72+/-0.5 x 1219</v>
          </cell>
          <cell r="C468">
            <v>2</v>
          </cell>
          <cell r="D468">
            <v>72</v>
          </cell>
          <cell r="E468">
            <v>1219</v>
          </cell>
          <cell r="F468">
            <v>1.3779575999999998</v>
          </cell>
          <cell r="G468">
            <v>48</v>
          </cell>
          <cell r="H468">
            <v>77005417</v>
          </cell>
          <cell r="I468" t="str">
            <v>YSH270C-P</v>
          </cell>
          <cell r="J468" t="str">
            <v>BRKT SEAT 2</v>
          </cell>
          <cell r="K468" t="str">
            <v>2CM-F1342-00-00-90-7707-9122</v>
          </cell>
          <cell r="L468" t="str">
            <v>T</v>
          </cell>
          <cell r="M468" t="str">
            <v>YSH270C-P</v>
          </cell>
          <cell r="N468" t="str">
            <v>BRKT SEAT 2</v>
          </cell>
          <cell r="O468" t="str">
            <v>2CM-F1342-00-00-90-7707-9122</v>
          </cell>
          <cell r="P468" t="str">
            <v>T</v>
          </cell>
          <cell r="Q468" t="str">
            <v>epc</v>
          </cell>
        </row>
        <row r="469">
          <cell r="A469">
            <v>30002143</v>
          </cell>
          <cell r="B469" t="str">
            <v>2.0 x 95+/-0.5 x 1219</v>
          </cell>
          <cell r="C469">
            <v>2</v>
          </cell>
          <cell r="D469">
            <v>95</v>
          </cell>
          <cell r="E469">
            <v>1219</v>
          </cell>
          <cell r="F469">
            <v>1.8181385000000001</v>
          </cell>
          <cell r="G469">
            <v>25</v>
          </cell>
          <cell r="H469">
            <v>77005427</v>
          </cell>
          <cell r="I469" t="str">
            <v>SPHC-P/O</v>
          </cell>
          <cell r="J469" t="str">
            <v xml:space="preserve">BRKT RR CUSION 2 </v>
          </cell>
          <cell r="K469" t="str">
            <v>5LW-F1381-00</v>
          </cell>
          <cell r="L469" t="str">
            <v>T</v>
          </cell>
          <cell r="M469" t="str">
            <v>SPHC-P/O</v>
          </cell>
          <cell r="N469" t="str">
            <v xml:space="preserve">BRKT RR CUSION 2 </v>
          </cell>
          <cell r="O469" t="str">
            <v>5LW-F1381-00</v>
          </cell>
          <cell r="P469" t="str">
            <v>T</v>
          </cell>
          <cell r="Q469" t="str">
            <v>epc</v>
          </cell>
          <cell r="R469">
            <v>200</v>
          </cell>
        </row>
        <row r="470">
          <cell r="A470">
            <v>30002144</v>
          </cell>
          <cell r="B470" t="str">
            <v>2.0 x 95+/-0.5 x 1219</v>
          </cell>
          <cell r="C470">
            <v>2</v>
          </cell>
          <cell r="D470">
            <v>95</v>
          </cell>
          <cell r="E470">
            <v>1219</v>
          </cell>
          <cell r="F470">
            <v>1.8181385000000001</v>
          </cell>
          <cell r="G470">
            <v>25</v>
          </cell>
          <cell r="H470">
            <v>77005427</v>
          </cell>
          <cell r="I470" t="str">
            <v>SPHC-P/O</v>
          </cell>
          <cell r="J470" t="str">
            <v>BRKT RR CUSION 1</v>
          </cell>
          <cell r="K470" t="str">
            <v>5LW-F1381-00</v>
          </cell>
          <cell r="L470" t="str">
            <v>T</v>
          </cell>
          <cell r="M470" t="str">
            <v>SPHC-P/O</v>
          </cell>
          <cell r="N470" t="str">
            <v>BRKT RR CUSION 1</v>
          </cell>
          <cell r="O470" t="str">
            <v>5LW-F1381-00</v>
          </cell>
          <cell r="P470" t="str">
            <v>T</v>
          </cell>
          <cell r="Q470" t="str">
            <v>epc</v>
          </cell>
          <cell r="R470">
            <v>200</v>
          </cell>
        </row>
        <row r="471">
          <cell r="A471">
            <v>30002146</v>
          </cell>
          <cell r="B471" t="str">
            <v>2.0 x 75+/-0.5 x 1219</v>
          </cell>
          <cell r="C471">
            <v>2</v>
          </cell>
          <cell r="D471">
            <v>75</v>
          </cell>
          <cell r="E471">
            <v>1219</v>
          </cell>
          <cell r="F471">
            <v>1.4353724999999999</v>
          </cell>
          <cell r="G471">
            <v>41</v>
          </cell>
          <cell r="H471">
            <v>77005419</v>
          </cell>
          <cell r="I471" t="str">
            <v>SPHC-P/O</v>
          </cell>
          <cell r="J471" t="str">
            <v xml:space="preserve">BRKT  5 </v>
          </cell>
          <cell r="K471" t="str">
            <v>5MY-F139G-00</v>
          </cell>
          <cell r="L471" t="str">
            <v>T</v>
          </cell>
          <cell r="M471" t="str">
            <v>SPHC-P/O</v>
          </cell>
          <cell r="N471" t="str">
            <v xml:space="preserve">BRKT  5 </v>
          </cell>
          <cell r="O471" t="str">
            <v>5MY-F139G-00</v>
          </cell>
          <cell r="P471" t="str">
            <v>T</v>
          </cell>
          <cell r="Q471" t="str">
            <v>epc</v>
          </cell>
        </row>
        <row r="472">
          <cell r="A472">
            <v>30002148</v>
          </cell>
          <cell r="B472" t="str">
            <v>2.0 x 75+/-0.5 x 1219</v>
          </cell>
          <cell r="C472">
            <v>2</v>
          </cell>
          <cell r="D472">
            <v>75</v>
          </cell>
          <cell r="E472">
            <v>1219</v>
          </cell>
          <cell r="F472">
            <v>1.4353724999999999</v>
          </cell>
          <cell r="G472">
            <v>41</v>
          </cell>
          <cell r="H472">
            <v>77005419</v>
          </cell>
          <cell r="I472" t="str">
            <v>SPHC-P/O</v>
          </cell>
          <cell r="J472" t="str">
            <v xml:space="preserve">BRKT  6 </v>
          </cell>
          <cell r="K472" t="str">
            <v>5MY-F139H-00</v>
          </cell>
          <cell r="L472" t="str">
            <v>T</v>
          </cell>
          <cell r="M472" t="str">
            <v>SPHC-P/O</v>
          </cell>
          <cell r="N472" t="str">
            <v xml:space="preserve">BRKT  6 </v>
          </cell>
          <cell r="O472" t="str">
            <v>5MY-F139H-00</v>
          </cell>
          <cell r="P472" t="str">
            <v>T</v>
          </cell>
          <cell r="Q472" t="str">
            <v>epc</v>
          </cell>
        </row>
        <row r="473">
          <cell r="A473">
            <v>30002150</v>
          </cell>
          <cell r="B473" t="str">
            <v>1.6 x 60+/-0.5 x 1219</v>
          </cell>
          <cell r="C473">
            <v>1.6</v>
          </cell>
          <cell r="D473">
            <v>60</v>
          </cell>
          <cell r="E473">
            <v>1219</v>
          </cell>
          <cell r="F473">
            <v>0.91863839999999986</v>
          </cell>
          <cell r="G473">
            <v>29</v>
          </cell>
          <cell r="H473">
            <v>77005358</v>
          </cell>
          <cell r="I473" t="str">
            <v>SPHC-P/O</v>
          </cell>
          <cell r="J473" t="str">
            <v xml:space="preserve">BRKT.,8 </v>
          </cell>
          <cell r="K473" t="str">
            <v>5MY-F139K-00</v>
          </cell>
          <cell r="L473" t="str">
            <v>T</v>
          </cell>
          <cell r="M473" t="str">
            <v>SPHC-P/O</v>
          </cell>
          <cell r="N473" t="str">
            <v xml:space="preserve">BRKT.,8 </v>
          </cell>
          <cell r="O473" t="str">
            <v>5MY-F139K-00</v>
          </cell>
          <cell r="P473" t="str">
            <v>T</v>
          </cell>
          <cell r="Q473" t="str">
            <v>epc</v>
          </cell>
        </row>
        <row r="474">
          <cell r="A474">
            <v>30002151</v>
          </cell>
          <cell r="B474" t="str">
            <v>1.6 x 60+/-0.5 x 1219</v>
          </cell>
          <cell r="C474">
            <v>1.6</v>
          </cell>
          <cell r="D474">
            <v>60</v>
          </cell>
          <cell r="E474">
            <v>1219</v>
          </cell>
          <cell r="F474">
            <v>0.91863839999999986</v>
          </cell>
          <cell r="H474">
            <v>77005358</v>
          </cell>
          <cell r="I474" t="str">
            <v>SPHC P/O</v>
          </cell>
          <cell r="J474" t="str">
            <v xml:space="preserve">BRKT.,7 </v>
          </cell>
          <cell r="L474" t="str">
            <v>T</v>
          </cell>
          <cell r="M474" t="str">
            <v>SPHC P/O</v>
          </cell>
          <cell r="N474" t="str">
            <v xml:space="preserve">BRKT.,7 </v>
          </cell>
          <cell r="P474" t="str">
            <v>T</v>
          </cell>
          <cell r="Q474" t="str">
            <v>epc</v>
          </cell>
        </row>
        <row r="475">
          <cell r="A475">
            <v>30002156</v>
          </cell>
          <cell r="B475" t="str">
            <v>3.2 x 77+/-0.5 x 1219</v>
          </cell>
          <cell r="C475">
            <v>3.2</v>
          </cell>
          <cell r="D475">
            <v>77</v>
          </cell>
          <cell r="E475">
            <v>1219</v>
          </cell>
          <cell r="F475">
            <v>2.3578385600000002</v>
          </cell>
          <cell r="G475">
            <v>22</v>
          </cell>
          <cell r="H475">
            <v>77005514</v>
          </cell>
          <cell r="I475" t="str">
            <v>SPHC-P/O</v>
          </cell>
          <cell r="J475" t="str">
            <v>PLATE ENGINE MOUNT</v>
          </cell>
          <cell r="K475" t="str">
            <v>5MY-F145B-00</v>
          </cell>
          <cell r="L475" t="str">
            <v>T</v>
          </cell>
          <cell r="M475" t="str">
            <v>SPHC-P/O</v>
          </cell>
          <cell r="N475" t="str">
            <v>PLATE ENGINE MOUNT</v>
          </cell>
          <cell r="O475" t="str">
            <v>5MY-F145B-00</v>
          </cell>
          <cell r="P475" t="str">
            <v>T</v>
          </cell>
          <cell r="Q475" t="str">
            <v>epc</v>
          </cell>
        </row>
        <row r="476">
          <cell r="A476">
            <v>30002160</v>
          </cell>
          <cell r="B476" t="str">
            <v>2.0 x 65+/-0.5 x 1219</v>
          </cell>
          <cell r="C476">
            <v>2</v>
          </cell>
          <cell r="D476">
            <v>65</v>
          </cell>
          <cell r="E476">
            <v>1219</v>
          </cell>
          <cell r="F476">
            <v>1.2439895000000001</v>
          </cell>
          <cell r="G476">
            <v>20</v>
          </cell>
          <cell r="H476">
            <v>77005415</v>
          </cell>
          <cell r="I476" t="str">
            <v>SPHC P/O</v>
          </cell>
          <cell r="J476" t="str">
            <v>CAP MAIN PIPE</v>
          </cell>
          <cell r="K476" t="str">
            <v>5VV-F111A-00</v>
          </cell>
          <cell r="L476" t="str">
            <v>T</v>
          </cell>
          <cell r="M476" t="str">
            <v>SPHC P/O</v>
          </cell>
          <cell r="N476" t="str">
            <v>CAP MAIN PIPE</v>
          </cell>
          <cell r="O476" t="str">
            <v>5VV-F111A-00</v>
          </cell>
          <cell r="P476" t="str">
            <v>T</v>
          </cell>
          <cell r="Q476" t="str">
            <v>epc</v>
          </cell>
        </row>
        <row r="477">
          <cell r="A477">
            <v>30002163</v>
          </cell>
          <cell r="B477" t="str">
            <v>1.6 x 75+/-0.5 x 1219</v>
          </cell>
          <cell r="C477">
            <v>1.6</v>
          </cell>
          <cell r="D477">
            <v>75</v>
          </cell>
          <cell r="E477">
            <v>1219</v>
          </cell>
          <cell r="F477">
            <v>1.148298</v>
          </cell>
          <cell r="G477">
            <v>50</v>
          </cell>
          <cell r="H477">
            <v>77005370</v>
          </cell>
          <cell r="I477" t="str">
            <v>SPHC-P/O</v>
          </cell>
          <cell r="J477" t="str">
            <v>BRKT.,LEG  SHIELD</v>
          </cell>
          <cell r="K477" t="str">
            <v>5VV-F1369-00</v>
          </cell>
          <cell r="L477" t="str">
            <v>T</v>
          </cell>
          <cell r="M477" t="str">
            <v>SPHC-P/O</v>
          </cell>
          <cell r="N477" t="str">
            <v>BRKT.,LEG  SHIELD</v>
          </cell>
          <cell r="O477" t="str">
            <v>5VV-F1369-00</v>
          </cell>
          <cell r="P477" t="str">
            <v>T</v>
          </cell>
          <cell r="Q477" t="str">
            <v>epc</v>
          </cell>
        </row>
        <row r="478">
          <cell r="A478">
            <v>30002169</v>
          </cell>
          <cell r="B478" t="str">
            <v>1.6 x 60+/-0.5 x 1219</v>
          </cell>
          <cell r="C478">
            <v>1.6</v>
          </cell>
          <cell r="D478">
            <v>60</v>
          </cell>
          <cell r="E478">
            <v>1219</v>
          </cell>
          <cell r="F478">
            <v>0.91863839999999986</v>
          </cell>
          <cell r="G478">
            <v>32</v>
          </cell>
          <cell r="H478">
            <v>77005358</v>
          </cell>
          <cell r="I478" t="str">
            <v>SPHC P/O</v>
          </cell>
          <cell r="J478" t="str">
            <v xml:space="preserve">BRKT.,COIL </v>
          </cell>
          <cell r="K478" t="str">
            <v>5TN-F1359-00</v>
          </cell>
          <cell r="L478" t="str">
            <v>T</v>
          </cell>
          <cell r="M478" t="str">
            <v>SPHC P/O</v>
          </cell>
          <cell r="N478" t="str">
            <v xml:space="preserve">BRKT.,COIL </v>
          </cell>
          <cell r="O478" t="str">
            <v>5TN-F1359-00</v>
          </cell>
          <cell r="P478" t="str">
            <v>T</v>
          </cell>
          <cell r="Q478" t="str">
            <v>epc</v>
          </cell>
        </row>
        <row r="479">
          <cell r="A479">
            <v>30002171</v>
          </cell>
          <cell r="B479" t="str">
            <v>1.6 x 48+/-0.5 x 1219</v>
          </cell>
          <cell r="C479">
            <v>1.6</v>
          </cell>
          <cell r="D479">
            <v>48</v>
          </cell>
          <cell r="E479">
            <v>1219</v>
          </cell>
          <cell r="F479">
            <v>0.73491072000000013</v>
          </cell>
          <cell r="H479">
            <v>77005349</v>
          </cell>
          <cell r="I479" t="str">
            <v>SPHC P/O</v>
          </cell>
          <cell r="J479" t="str">
            <v xml:space="preserve">STAY 1 </v>
          </cell>
          <cell r="L479" t="str">
            <v>T</v>
          </cell>
          <cell r="M479" t="str">
            <v>SPHC P/O</v>
          </cell>
          <cell r="N479" t="str">
            <v xml:space="preserve">STAY 1 </v>
          </cell>
          <cell r="P479" t="str">
            <v>T</v>
          </cell>
          <cell r="Q479" t="str">
            <v>epc</v>
          </cell>
        </row>
        <row r="480">
          <cell r="A480">
            <v>30002172</v>
          </cell>
          <cell r="B480" t="str">
            <v>2.6 x 31+/-0.5 x 1219</v>
          </cell>
          <cell r="C480">
            <v>2.6</v>
          </cell>
          <cell r="D480">
            <v>31</v>
          </cell>
          <cell r="E480">
            <v>1219</v>
          </cell>
          <cell r="F480">
            <v>0.77127349000000001</v>
          </cell>
          <cell r="G480">
            <v>58</v>
          </cell>
          <cell r="H480">
            <v>77005460</v>
          </cell>
          <cell r="I480" t="str">
            <v>SPHC P/O</v>
          </cell>
          <cell r="J480" t="str">
            <v xml:space="preserve">STAY MUFF 2 </v>
          </cell>
          <cell r="K480" t="str">
            <v>5TN-F1446-00</v>
          </cell>
          <cell r="L480" t="str">
            <v>T</v>
          </cell>
          <cell r="M480" t="str">
            <v>SPHC P/O</v>
          </cell>
          <cell r="N480" t="str">
            <v xml:space="preserve">STAY MUFF 2 </v>
          </cell>
          <cell r="O480" t="str">
            <v>5TN-F1446-00</v>
          </cell>
          <cell r="P480" t="str">
            <v>T</v>
          </cell>
          <cell r="Q480" t="str">
            <v>ps</v>
          </cell>
        </row>
        <row r="481">
          <cell r="A481">
            <v>30002173</v>
          </cell>
          <cell r="B481" t="str">
            <v>1.6 x 20+/-0.5 x 1219</v>
          </cell>
          <cell r="C481">
            <v>1.6</v>
          </cell>
          <cell r="D481">
            <v>20</v>
          </cell>
          <cell r="E481">
            <v>1219</v>
          </cell>
          <cell r="F481">
            <v>0.30621280000000001</v>
          </cell>
          <cell r="G481">
            <v>26</v>
          </cell>
          <cell r="H481">
            <v>77005336</v>
          </cell>
          <cell r="I481" t="str">
            <v>SPHC P/O</v>
          </cell>
          <cell r="J481" t="str">
            <v>STAY 3</v>
          </cell>
          <cell r="K481" t="str">
            <v>2JH-F2134-00</v>
          </cell>
          <cell r="L481" t="str">
            <v>T</v>
          </cell>
          <cell r="M481" t="str">
            <v>SPHC P/O</v>
          </cell>
          <cell r="N481" t="str">
            <v>STAY 3</v>
          </cell>
          <cell r="O481" t="str">
            <v>2JH-F2134-00</v>
          </cell>
          <cell r="P481" t="str">
            <v>T</v>
          </cell>
          <cell r="Q481" t="str">
            <v>tsi</v>
          </cell>
        </row>
        <row r="482">
          <cell r="A482">
            <v>30002175</v>
          </cell>
          <cell r="B482" t="str">
            <v>3.2 x 64+/-0.5 x 1219</v>
          </cell>
          <cell r="C482">
            <v>3.2</v>
          </cell>
          <cell r="D482">
            <v>64</v>
          </cell>
          <cell r="E482">
            <v>1219</v>
          </cell>
          <cell r="F482">
            <v>1.9597619199999998</v>
          </cell>
          <cell r="H482">
            <v>77005508</v>
          </cell>
          <cell r="I482" t="str">
            <v>SPHC P/O</v>
          </cell>
          <cell r="J482" t="str">
            <v xml:space="preserve">REINF.,3 </v>
          </cell>
          <cell r="K482" t="str">
            <v>4NR-F2353-00</v>
          </cell>
          <cell r="L482" t="str">
            <v>T</v>
          </cell>
          <cell r="M482" t="str">
            <v>SPHC P/O</v>
          </cell>
          <cell r="N482" t="str">
            <v xml:space="preserve">REINF.,3 </v>
          </cell>
          <cell r="O482" t="str">
            <v>4NR-F2353-00</v>
          </cell>
          <cell r="P482" t="str">
            <v>T</v>
          </cell>
          <cell r="Q482" t="str">
            <v>epc</v>
          </cell>
        </row>
        <row r="483">
          <cell r="A483">
            <v>30002178</v>
          </cell>
          <cell r="B483" t="str">
            <v>1.6 x 98+/-0.5 x 1219</v>
          </cell>
          <cell r="C483">
            <v>1.6</v>
          </cell>
          <cell r="D483">
            <v>98</v>
          </cell>
          <cell r="E483">
            <v>1219</v>
          </cell>
          <cell r="F483">
            <v>1.5004427199999999</v>
          </cell>
          <cell r="H483">
            <v>77005381</v>
          </cell>
          <cell r="I483" t="str">
            <v>SPHC P/O</v>
          </cell>
          <cell r="J483" t="str">
            <v xml:space="preserve">BRKT FLASHER RH </v>
          </cell>
          <cell r="L483" t="str">
            <v>T</v>
          </cell>
          <cell r="M483" t="str">
            <v>SPHC P/O</v>
          </cell>
          <cell r="N483" t="str">
            <v xml:space="preserve">BRKT FLASHER RH </v>
          </cell>
          <cell r="P483" t="str">
            <v>T</v>
          </cell>
          <cell r="Q483" t="str">
            <v>epc</v>
          </cell>
        </row>
        <row r="484">
          <cell r="A484">
            <v>30002182</v>
          </cell>
          <cell r="B484" t="str">
            <v>1.6 x 60+/-0.5 x 1219</v>
          </cell>
          <cell r="C484">
            <v>1.6</v>
          </cell>
          <cell r="D484">
            <v>60</v>
          </cell>
          <cell r="E484">
            <v>1219</v>
          </cell>
          <cell r="F484">
            <v>0.91863839999999986</v>
          </cell>
          <cell r="G484">
            <v>40</v>
          </cell>
          <cell r="H484">
            <v>77005358</v>
          </cell>
          <cell r="I484" t="str">
            <v>SPHC-P/O</v>
          </cell>
          <cell r="J484" t="str">
            <v>BRKT.,</v>
          </cell>
          <cell r="K484" t="str">
            <v>1P7-F1158-00</v>
          </cell>
          <cell r="L484" t="str">
            <v>T</v>
          </cell>
          <cell r="M484" t="str">
            <v>SPHC-P/O</v>
          </cell>
          <cell r="N484" t="str">
            <v>BRKT.,</v>
          </cell>
          <cell r="O484" t="str">
            <v>1P7-F1158-00</v>
          </cell>
          <cell r="P484" t="str">
            <v>T</v>
          </cell>
          <cell r="Q484" t="str">
            <v>epc</v>
          </cell>
        </row>
        <row r="485">
          <cell r="A485">
            <v>30002183</v>
          </cell>
          <cell r="B485" t="str">
            <v>1.6 x 60+/-0.5 x 1219</v>
          </cell>
          <cell r="C485">
            <v>1.6</v>
          </cell>
          <cell r="D485">
            <v>60</v>
          </cell>
          <cell r="E485">
            <v>1219</v>
          </cell>
          <cell r="F485">
            <v>0.91863839999999986</v>
          </cell>
          <cell r="G485">
            <v>41</v>
          </cell>
          <cell r="H485">
            <v>77005358</v>
          </cell>
          <cell r="I485" t="str">
            <v>SPHC-P/O</v>
          </cell>
          <cell r="J485" t="str">
            <v xml:space="preserve">BRKT </v>
          </cell>
          <cell r="K485" t="str">
            <v>1P7-F1249-00</v>
          </cell>
          <cell r="L485" t="str">
            <v>T</v>
          </cell>
          <cell r="M485" t="str">
            <v>SPHC-P/O</v>
          </cell>
          <cell r="N485" t="str">
            <v xml:space="preserve">BRKT </v>
          </cell>
          <cell r="O485" t="str">
            <v>1P7-F1249-00</v>
          </cell>
          <cell r="P485" t="str">
            <v>T</v>
          </cell>
          <cell r="Q485" t="str">
            <v>epc</v>
          </cell>
        </row>
        <row r="486">
          <cell r="A486">
            <v>30002184</v>
          </cell>
          <cell r="B486" t="str">
            <v>1.6 x 60+/-0.5 x 1219</v>
          </cell>
          <cell r="C486">
            <v>1.6</v>
          </cell>
          <cell r="D486">
            <v>60</v>
          </cell>
          <cell r="E486">
            <v>1219</v>
          </cell>
          <cell r="F486">
            <v>0.91863839999999986</v>
          </cell>
          <cell r="G486">
            <v>31</v>
          </cell>
          <cell r="H486">
            <v>77005358</v>
          </cell>
          <cell r="I486" t="str">
            <v>SPHC-P/O</v>
          </cell>
          <cell r="J486" t="str">
            <v xml:space="preserve">BRKT 7 </v>
          </cell>
          <cell r="K486" t="str">
            <v>1P7-F116J-00</v>
          </cell>
          <cell r="L486" t="str">
            <v>T</v>
          </cell>
          <cell r="M486" t="str">
            <v>SPHC-P/O</v>
          </cell>
          <cell r="N486" t="str">
            <v xml:space="preserve">BRKT 7 </v>
          </cell>
          <cell r="O486" t="str">
            <v>1P7-F116J-00</v>
          </cell>
          <cell r="P486" t="str">
            <v>T</v>
          </cell>
          <cell r="Q486" t="str">
            <v>epc</v>
          </cell>
        </row>
        <row r="487">
          <cell r="A487">
            <v>30002185</v>
          </cell>
          <cell r="B487" t="str">
            <v>2.0 x 73+/-0.5 x 1219</v>
          </cell>
          <cell r="C487">
            <v>2</v>
          </cell>
          <cell r="D487">
            <v>73</v>
          </cell>
          <cell r="E487">
            <v>1219</v>
          </cell>
          <cell r="F487">
            <v>1.3970958999999998</v>
          </cell>
          <cell r="G487">
            <v>35</v>
          </cell>
          <cell r="H487">
            <v>77005418</v>
          </cell>
          <cell r="I487" t="str">
            <v>SPHC-P/O</v>
          </cell>
          <cell r="J487" t="str">
            <v xml:space="preserve">BRKT.,6 </v>
          </cell>
          <cell r="K487" t="str">
            <v>1P7-F149T-00</v>
          </cell>
          <cell r="L487" t="str">
            <v>T</v>
          </cell>
          <cell r="M487" t="str">
            <v>SPHC-P/O</v>
          </cell>
          <cell r="N487" t="str">
            <v xml:space="preserve">BRKT.,6 </v>
          </cell>
          <cell r="O487" t="str">
            <v>1P7-F149T-00</v>
          </cell>
          <cell r="P487" t="str">
            <v>T</v>
          </cell>
          <cell r="Q487" t="str">
            <v>epc</v>
          </cell>
        </row>
        <row r="488">
          <cell r="A488">
            <v>30002186</v>
          </cell>
          <cell r="B488" t="str">
            <v>2.0 x 67+/-0.5 x 1219</v>
          </cell>
          <cell r="C488">
            <v>2</v>
          </cell>
          <cell r="D488">
            <v>67</v>
          </cell>
          <cell r="E488">
            <v>1219</v>
          </cell>
          <cell r="F488">
            <v>1.2822661</v>
          </cell>
          <cell r="G488">
            <v>20</v>
          </cell>
          <cell r="H488">
            <v>77005416</v>
          </cell>
          <cell r="I488" t="str">
            <v>SPHC-P/O</v>
          </cell>
          <cell r="J488" t="str">
            <v xml:space="preserve">BRKT  12 </v>
          </cell>
          <cell r="K488" t="str">
            <v>1P7-F131L-00</v>
          </cell>
          <cell r="L488" t="str">
            <v>T</v>
          </cell>
          <cell r="M488" t="str">
            <v>SPHC-P/O</v>
          </cell>
          <cell r="N488" t="str">
            <v xml:space="preserve">BRKT  12 </v>
          </cell>
          <cell r="O488" t="str">
            <v>1P7-F131L-00</v>
          </cell>
          <cell r="P488" t="str">
            <v>T</v>
          </cell>
          <cell r="Q488" t="str">
            <v>epc</v>
          </cell>
        </row>
        <row r="489">
          <cell r="A489">
            <v>30002187</v>
          </cell>
          <cell r="B489" t="str">
            <v>1.6 x 56+/-0.5 x 1219</v>
          </cell>
          <cell r="C489">
            <v>1.6</v>
          </cell>
          <cell r="D489">
            <v>56</v>
          </cell>
          <cell r="E489">
            <v>1219</v>
          </cell>
          <cell r="F489">
            <v>0.85739584000000013</v>
          </cell>
          <cell r="H489">
            <v>77005355</v>
          </cell>
          <cell r="I489" t="str">
            <v>SPHC P/O</v>
          </cell>
          <cell r="J489" t="str">
            <v xml:space="preserve">BRKT 1 </v>
          </cell>
          <cell r="L489" t="str">
            <v>T</v>
          </cell>
          <cell r="M489" t="str">
            <v>SPHC P/O</v>
          </cell>
          <cell r="N489" t="str">
            <v xml:space="preserve">BRKT 1 </v>
          </cell>
          <cell r="P489" t="str">
            <v>T</v>
          </cell>
          <cell r="Q489" t="str">
            <v>epc</v>
          </cell>
        </row>
        <row r="490">
          <cell r="A490">
            <v>30002188</v>
          </cell>
          <cell r="B490" t="str">
            <v>2.6 x 65+/-0.5 x 1219</v>
          </cell>
          <cell r="C490">
            <v>2.6</v>
          </cell>
          <cell r="D490">
            <v>65</v>
          </cell>
          <cell r="E490">
            <v>1219</v>
          </cell>
          <cell r="F490">
            <v>1.6171863499999999</v>
          </cell>
          <cell r="G490">
            <v>22</v>
          </cell>
          <cell r="H490">
            <v>77005467</v>
          </cell>
          <cell r="I490" t="str">
            <v>SPHC P/O</v>
          </cell>
          <cell r="J490" t="str">
            <v>BRKT 1-1</v>
          </cell>
          <cell r="K490" t="str">
            <v>1P7-E471K-00</v>
          </cell>
          <cell r="L490" t="str">
            <v>T</v>
          </cell>
          <cell r="M490" t="str">
            <v>SPHC P/O</v>
          </cell>
          <cell r="N490" t="str">
            <v>BRKT 1-1</v>
          </cell>
          <cell r="O490" t="str">
            <v>1P7-E471K-00</v>
          </cell>
          <cell r="P490" t="str">
            <v>T</v>
          </cell>
          <cell r="Q490" t="str">
            <v>epc</v>
          </cell>
        </row>
        <row r="491">
          <cell r="A491">
            <v>30002189</v>
          </cell>
          <cell r="B491" t="str">
            <v>1.6 x 86+/-0.5 x 1219</v>
          </cell>
          <cell r="C491">
            <v>1.6</v>
          </cell>
          <cell r="D491">
            <v>86</v>
          </cell>
          <cell r="E491">
            <v>1219</v>
          </cell>
          <cell r="F491">
            <v>1.3167150399999998</v>
          </cell>
          <cell r="G491">
            <v>53</v>
          </cell>
          <cell r="H491">
            <v>77005376</v>
          </cell>
          <cell r="I491" t="str">
            <v>SPHC-P/O</v>
          </cell>
          <cell r="J491" t="str">
            <v xml:space="preserve">BRKT LEG SHIELD </v>
          </cell>
          <cell r="K491" t="str">
            <v>1P7-F1369-00</v>
          </cell>
          <cell r="L491" t="str">
            <v>T</v>
          </cell>
          <cell r="M491" t="str">
            <v>SPHC-P/O</v>
          </cell>
          <cell r="N491" t="str">
            <v xml:space="preserve">BRKT LEG SHIELD </v>
          </cell>
          <cell r="O491" t="str">
            <v>1P7-F1369-00</v>
          </cell>
          <cell r="P491" t="str">
            <v>T</v>
          </cell>
          <cell r="Q491" t="str">
            <v>epc</v>
          </cell>
        </row>
        <row r="492">
          <cell r="A492">
            <v>30002190</v>
          </cell>
          <cell r="B492" t="str">
            <v>2.0 x 46+/-0.5 x 1219</v>
          </cell>
          <cell r="C492">
            <v>2</v>
          </cell>
          <cell r="D492">
            <v>46</v>
          </cell>
          <cell r="E492">
            <v>1219</v>
          </cell>
          <cell r="F492">
            <v>0.88036179999999997</v>
          </cell>
          <cell r="H492">
            <v>77005408</v>
          </cell>
          <cell r="I492" t="str">
            <v>SPHC P/O</v>
          </cell>
          <cell r="J492" t="str">
            <v xml:space="preserve">PLATE 1 </v>
          </cell>
          <cell r="L492" t="str">
            <v>T</v>
          </cell>
          <cell r="M492" t="str">
            <v>SPHC P/O</v>
          </cell>
          <cell r="N492" t="str">
            <v xml:space="preserve">PLATE 1 </v>
          </cell>
          <cell r="P492" t="str">
            <v>T</v>
          </cell>
          <cell r="Q492" t="str">
            <v>epc</v>
          </cell>
        </row>
        <row r="493">
          <cell r="A493">
            <v>30002191</v>
          </cell>
          <cell r="B493" t="str">
            <v>1.4 x 41+/-0.5 x 1219</v>
          </cell>
          <cell r="C493">
            <v>1.4</v>
          </cell>
          <cell r="D493">
            <v>41</v>
          </cell>
          <cell r="E493">
            <v>1219</v>
          </cell>
          <cell r="F493">
            <v>0.54926920999999995</v>
          </cell>
          <cell r="H493">
            <v>77005315</v>
          </cell>
          <cell r="I493" t="str">
            <v>SPHC P/O</v>
          </cell>
          <cell r="J493" t="str">
            <v xml:space="preserve">PLATE  2 </v>
          </cell>
          <cell r="L493" t="str">
            <v>T</v>
          </cell>
          <cell r="M493" t="str">
            <v>SPHC P/O</v>
          </cell>
          <cell r="N493" t="str">
            <v xml:space="preserve">PLATE  2 </v>
          </cell>
          <cell r="P493" t="str">
            <v>T</v>
          </cell>
          <cell r="Q493" t="str">
            <v>tsi</v>
          </cell>
        </row>
        <row r="494">
          <cell r="A494">
            <v>30002194</v>
          </cell>
          <cell r="B494" t="str">
            <v>1.6 x 133+/-0.5 x 1219</v>
          </cell>
          <cell r="C494">
            <v>1.6</v>
          </cell>
          <cell r="D494">
            <v>133</v>
          </cell>
          <cell r="E494">
            <v>1219</v>
          </cell>
          <cell r="F494">
            <v>2.0363151200000003</v>
          </cell>
          <cell r="H494">
            <v>77005325</v>
          </cell>
          <cell r="I494" t="str">
            <v>SPHC P/O</v>
          </cell>
          <cell r="J494" t="str">
            <v>BRKT  6</v>
          </cell>
          <cell r="L494" t="str">
            <v>T</v>
          </cell>
          <cell r="M494" t="str">
            <v>SPHC P/O</v>
          </cell>
          <cell r="N494" t="str">
            <v>BRKT  6</v>
          </cell>
          <cell r="P494" t="str">
            <v>T</v>
          </cell>
          <cell r="Q494" t="str">
            <v>epc</v>
          </cell>
        </row>
        <row r="495">
          <cell r="A495">
            <v>30002393</v>
          </cell>
          <cell r="B495" t="str">
            <v>1.6 x 50+/-0.5 x 1219</v>
          </cell>
          <cell r="C495">
            <v>1.6</v>
          </cell>
          <cell r="D495">
            <v>50</v>
          </cell>
          <cell r="E495">
            <v>1219</v>
          </cell>
          <cell r="F495">
            <v>0.76553199999999999</v>
          </cell>
          <cell r="G495">
            <v>54</v>
          </cell>
          <cell r="H495">
            <v>77005351</v>
          </cell>
          <cell r="I495" t="str">
            <v>SPHC-P/O</v>
          </cell>
          <cell r="J495" t="str">
            <v xml:space="preserve">BRKT CHAIN GUARD </v>
          </cell>
          <cell r="K495" t="str">
            <v>5YP-F2150-00</v>
          </cell>
          <cell r="L495" t="str">
            <v>T</v>
          </cell>
          <cell r="M495" t="str">
            <v>SPHC-P/O</v>
          </cell>
          <cell r="N495" t="str">
            <v xml:space="preserve">BRKT CHAIN GUARD </v>
          </cell>
          <cell r="O495" t="str">
            <v>5YP-F2150-00</v>
          </cell>
          <cell r="P495" t="str">
            <v>T</v>
          </cell>
          <cell r="Q495" t="str">
            <v>epc</v>
          </cell>
        </row>
        <row r="496">
          <cell r="A496">
            <v>30002394</v>
          </cell>
          <cell r="B496" t="str">
            <v>1.6 x 75+/-0.5 x 1219</v>
          </cell>
          <cell r="C496">
            <v>1.6</v>
          </cell>
          <cell r="D496">
            <v>75</v>
          </cell>
          <cell r="E496">
            <v>1219</v>
          </cell>
          <cell r="F496">
            <v>1.148298</v>
          </cell>
          <cell r="G496">
            <v>104</v>
          </cell>
          <cell r="H496">
            <v>77005370</v>
          </cell>
          <cell r="I496" t="str">
            <v>SPHC-P/O</v>
          </cell>
          <cell r="J496" t="str">
            <v xml:space="preserve">GUIDE </v>
          </cell>
          <cell r="K496" t="str">
            <v>5YP-F2167-10</v>
          </cell>
          <cell r="L496" t="str">
            <v>T</v>
          </cell>
          <cell r="M496" t="str">
            <v>SPHC-P/O</v>
          </cell>
          <cell r="N496" t="str">
            <v xml:space="preserve">GUIDE </v>
          </cell>
          <cell r="O496" t="str">
            <v>5YP-F2167-10</v>
          </cell>
          <cell r="P496" t="str">
            <v>T</v>
          </cell>
          <cell r="Q496" t="str">
            <v>epc</v>
          </cell>
        </row>
        <row r="497">
          <cell r="A497">
            <v>30002395</v>
          </cell>
          <cell r="B497" t="str">
            <v>1.6 x 39+/-0.5 x 1219</v>
          </cell>
          <cell r="C497">
            <v>1.6</v>
          </cell>
          <cell r="D497">
            <v>39</v>
          </cell>
          <cell r="E497">
            <v>1219</v>
          </cell>
          <cell r="F497">
            <v>0.59711495999999997</v>
          </cell>
          <cell r="G497">
            <v>54</v>
          </cell>
          <cell r="H497">
            <v>77005344</v>
          </cell>
          <cell r="I497" t="str">
            <v>SPHC-P/O</v>
          </cell>
          <cell r="J497" t="str">
            <v xml:space="preserve">STAY 2 </v>
          </cell>
          <cell r="K497" t="str">
            <v>5YP-F2132-00</v>
          </cell>
          <cell r="L497" t="str">
            <v>T</v>
          </cell>
          <cell r="M497" t="str">
            <v>SPHC-P/O</v>
          </cell>
          <cell r="N497" t="str">
            <v xml:space="preserve">STAY 2 </v>
          </cell>
          <cell r="O497" t="str">
            <v>5YP-F2132-00</v>
          </cell>
          <cell r="P497" t="str">
            <v>T</v>
          </cell>
          <cell r="Q497" t="str">
            <v>epc</v>
          </cell>
        </row>
        <row r="498">
          <cell r="A498">
            <v>30002396</v>
          </cell>
          <cell r="B498" t="str">
            <v>1.6 x 40+/-0.5 x 1219</v>
          </cell>
          <cell r="C498">
            <v>1.6</v>
          </cell>
          <cell r="D498">
            <v>40</v>
          </cell>
          <cell r="E498">
            <v>1219</v>
          </cell>
          <cell r="F498">
            <v>0.61242560000000001</v>
          </cell>
          <cell r="G498">
            <v>78</v>
          </cell>
          <cell r="H498">
            <v>77005345</v>
          </cell>
          <cell r="I498" t="str">
            <v>SPHC-P/O</v>
          </cell>
          <cell r="J498" t="str">
            <v xml:space="preserve">GUIDE CHAIN </v>
          </cell>
          <cell r="K498" t="str">
            <v>5YP-F2187-00</v>
          </cell>
          <cell r="L498" t="str">
            <v>T</v>
          </cell>
          <cell r="M498" t="str">
            <v>SPHC-P/O</v>
          </cell>
          <cell r="N498" t="str">
            <v xml:space="preserve">GUIDE CHAIN </v>
          </cell>
          <cell r="O498" t="str">
            <v>5YP-F2187-00</v>
          </cell>
          <cell r="P498" t="str">
            <v>T</v>
          </cell>
          <cell r="Q498" t="str">
            <v>tsi</v>
          </cell>
        </row>
        <row r="499">
          <cell r="A499">
            <v>30002397</v>
          </cell>
          <cell r="B499" t="str">
            <v>1.6 x 40+/-0.5 x 1219</v>
          </cell>
          <cell r="C499">
            <v>1.6</v>
          </cell>
          <cell r="D499">
            <v>40</v>
          </cell>
          <cell r="E499">
            <v>1219</v>
          </cell>
          <cell r="F499">
            <v>0.61242560000000001</v>
          </cell>
          <cell r="G499">
            <v>78</v>
          </cell>
          <cell r="H499">
            <v>77005345</v>
          </cell>
          <cell r="I499" t="str">
            <v>SPHC-P/O</v>
          </cell>
          <cell r="J499" t="str">
            <v xml:space="preserve">GUIDE CHAIN </v>
          </cell>
          <cell r="K499" t="str">
            <v>5YP-F2187-00</v>
          </cell>
          <cell r="L499" t="str">
            <v>T</v>
          </cell>
          <cell r="M499" t="str">
            <v>SPHC-P/O</v>
          </cell>
          <cell r="N499" t="str">
            <v xml:space="preserve">GUIDE CHAIN </v>
          </cell>
          <cell r="O499" t="str">
            <v>5YP-F2187-00</v>
          </cell>
          <cell r="P499" t="str">
            <v>T</v>
          </cell>
          <cell r="Q499" t="str">
            <v>tsi</v>
          </cell>
        </row>
        <row r="500">
          <cell r="A500">
            <v>30002400</v>
          </cell>
          <cell r="B500" t="str">
            <v>2.0 x 61+/-0.5 x 1219</v>
          </cell>
          <cell r="C500">
            <v>2</v>
          </cell>
          <cell r="D500">
            <v>61</v>
          </cell>
          <cell r="E500">
            <v>1219</v>
          </cell>
          <cell r="F500">
            <v>1.1674363000000001</v>
          </cell>
          <cell r="H500">
            <v>77005414</v>
          </cell>
          <cell r="I500" t="str">
            <v>SPHC P/O</v>
          </cell>
          <cell r="J500" t="str">
            <v>BRKT RELAY</v>
          </cell>
          <cell r="L500" t="str">
            <v>T</v>
          </cell>
          <cell r="M500" t="str">
            <v>SPHC P/O</v>
          </cell>
          <cell r="N500" t="str">
            <v>BRKT RELAY</v>
          </cell>
          <cell r="P500" t="str">
            <v>T</v>
          </cell>
          <cell r="Q500" t="str">
            <v>epc</v>
          </cell>
        </row>
        <row r="501">
          <cell r="A501">
            <v>30002403</v>
          </cell>
          <cell r="B501" t="str">
            <v>5.0 x 70+/-0.5 x 1219</v>
          </cell>
          <cell r="C501">
            <v>5</v>
          </cell>
          <cell r="D501">
            <v>70</v>
          </cell>
          <cell r="E501">
            <v>1219</v>
          </cell>
          <cell r="F501">
            <v>3.3492025000000001</v>
          </cell>
          <cell r="H501">
            <v>77005532</v>
          </cell>
          <cell r="I501" t="str">
            <v>SPHC P/O</v>
          </cell>
          <cell r="J501" t="str">
            <v>REINF.,1</v>
          </cell>
          <cell r="L501" t="str">
            <v>T</v>
          </cell>
          <cell r="M501" t="str">
            <v>SPHC P/O</v>
          </cell>
          <cell r="N501" t="str">
            <v>REINF.,1</v>
          </cell>
          <cell r="P501" t="str">
            <v>T</v>
          </cell>
          <cell r="Q501" t="str">
            <v>epc</v>
          </cell>
        </row>
        <row r="502">
          <cell r="A502">
            <v>30002404</v>
          </cell>
          <cell r="B502" t="str">
            <v>2.0 x 240+/-0.5 x 1219</v>
          </cell>
          <cell r="C502">
            <v>2</v>
          </cell>
          <cell r="D502">
            <v>240</v>
          </cell>
          <cell r="E502">
            <v>1219</v>
          </cell>
          <cell r="F502">
            <v>4.5931920000000002</v>
          </cell>
          <cell r="H502">
            <v>77005404</v>
          </cell>
          <cell r="I502" t="str">
            <v>SPHC P/O</v>
          </cell>
          <cell r="J502" t="str">
            <v xml:space="preserve">REINF </v>
          </cell>
          <cell r="L502" t="str">
            <v>T</v>
          </cell>
          <cell r="M502" t="str">
            <v>SPHC P/O</v>
          </cell>
          <cell r="N502" t="str">
            <v xml:space="preserve">REINF </v>
          </cell>
          <cell r="P502" t="str">
            <v>T</v>
          </cell>
          <cell r="Q502" t="str">
            <v>tsi</v>
          </cell>
        </row>
        <row r="503">
          <cell r="A503">
            <v>30002405</v>
          </cell>
          <cell r="B503" t="str">
            <v>2.0 x 240+/-0.5 x 1219</v>
          </cell>
          <cell r="C503">
            <v>2</v>
          </cell>
          <cell r="D503">
            <v>240</v>
          </cell>
          <cell r="E503">
            <v>1219</v>
          </cell>
          <cell r="F503">
            <v>4.5931920000000002</v>
          </cell>
          <cell r="H503">
            <v>77005404</v>
          </cell>
          <cell r="I503" t="str">
            <v>SPHC P/O</v>
          </cell>
          <cell r="J503" t="str">
            <v>REINF</v>
          </cell>
          <cell r="L503" t="str">
            <v>T</v>
          </cell>
          <cell r="M503" t="str">
            <v>SPHC P/O</v>
          </cell>
          <cell r="N503" t="str">
            <v>REINF</v>
          </cell>
          <cell r="P503" t="str">
            <v>T</v>
          </cell>
          <cell r="Q503" t="str">
            <v>tsi</v>
          </cell>
        </row>
        <row r="504">
          <cell r="A504">
            <v>30002412</v>
          </cell>
          <cell r="B504" t="str">
            <v>1.6 x 170+/-0.5 x 1219</v>
          </cell>
          <cell r="C504">
            <v>1.6</v>
          </cell>
          <cell r="D504">
            <v>170</v>
          </cell>
          <cell r="E504">
            <v>1219</v>
          </cell>
          <cell r="F504">
            <v>2.6028088</v>
          </cell>
          <cell r="H504">
            <v>77005332</v>
          </cell>
          <cell r="I504" t="str">
            <v>SPHC P/O</v>
          </cell>
          <cell r="J504" t="str">
            <v>PROTECTOR</v>
          </cell>
          <cell r="L504" t="str">
            <v>T</v>
          </cell>
          <cell r="M504" t="str">
            <v>SPHC P/O</v>
          </cell>
          <cell r="N504" t="str">
            <v>PROTECTOR</v>
          </cell>
          <cell r="P504" t="str">
            <v>T</v>
          </cell>
          <cell r="Q504" t="str">
            <v>tsi</v>
          </cell>
        </row>
        <row r="505">
          <cell r="A505">
            <v>30002416</v>
          </cell>
          <cell r="B505" t="str">
            <v>1.2 x 90+/-0.5 x 1219</v>
          </cell>
          <cell r="C505">
            <v>1.2</v>
          </cell>
          <cell r="D505">
            <v>90</v>
          </cell>
          <cell r="E505">
            <v>1219</v>
          </cell>
          <cell r="F505">
            <v>1.0334681999999999</v>
          </cell>
          <cell r="G505">
            <v>25</v>
          </cell>
          <cell r="H505">
            <v>77005275</v>
          </cell>
          <cell r="I505" t="str">
            <v>SPCC-SD</v>
          </cell>
          <cell r="J505" t="str">
            <v xml:space="preserve">BRKT 2 </v>
          </cell>
          <cell r="K505" t="str">
            <v>5VV-E4718-00-3</v>
          </cell>
          <cell r="L505" t="str">
            <v>T</v>
          </cell>
          <cell r="M505" t="str">
            <v>SPCC-SD</v>
          </cell>
          <cell r="N505" t="str">
            <v xml:space="preserve">BRKT 2 </v>
          </cell>
          <cell r="O505" t="str">
            <v>5VV-E4718-00-3</v>
          </cell>
          <cell r="P505" t="str">
            <v>T</v>
          </cell>
          <cell r="Q505" t="str">
            <v>epc</v>
          </cell>
        </row>
        <row r="506">
          <cell r="A506">
            <v>30002456</v>
          </cell>
          <cell r="B506" t="str">
            <v>1.6 x 80+/-0.5 x 1219</v>
          </cell>
          <cell r="C506">
            <v>1.6</v>
          </cell>
          <cell r="D506">
            <v>80</v>
          </cell>
          <cell r="E506">
            <v>1219</v>
          </cell>
          <cell r="F506">
            <v>1.2248512</v>
          </cell>
          <cell r="H506">
            <v>77005372</v>
          </cell>
          <cell r="I506" t="str">
            <v>SPHC P/O</v>
          </cell>
          <cell r="J506" t="str">
            <v xml:space="preserve">STOPPER </v>
          </cell>
          <cell r="L506" t="str">
            <v>T</v>
          </cell>
          <cell r="M506" t="str">
            <v>SPHC P/O</v>
          </cell>
          <cell r="N506" t="str">
            <v xml:space="preserve">STOPPER </v>
          </cell>
          <cell r="P506" t="str">
            <v>T</v>
          </cell>
          <cell r="Q506" t="str">
            <v>tsi</v>
          </cell>
          <cell r="R506">
            <v>200</v>
          </cell>
        </row>
        <row r="507">
          <cell r="A507">
            <v>30002486</v>
          </cell>
          <cell r="B507" t="str">
            <v>3.2 x 120+/-0.5 x 1219</v>
          </cell>
          <cell r="C507">
            <v>3.2</v>
          </cell>
          <cell r="D507">
            <v>120</v>
          </cell>
          <cell r="E507">
            <v>1219</v>
          </cell>
          <cell r="F507">
            <v>3.6745535999999994</v>
          </cell>
          <cell r="H507">
            <v>77005482</v>
          </cell>
          <cell r="I507" t="str">
            <v>SPHC P/O</v>
          </cell>
          <cell r="J507" t="str">
            <v xml:space="preserve">BRKT.,2 </v>
          </cell>
          <cell r="L507" t="str">
            <v>T</v>
          </cell>
          <cell r="M507" t="str">
            <v>SPHC P/O</v>
          </cell>
          <cell r="N507" t="str">
            <v xml:space="preserve">BRKT.,2 </v>
          </cell>
          <cell r="P507" t="str">
            <v>T</v>
          </cell>
          <cell r="Q507" t="str">
            <v>tsi</v>
          </cell>
        </row>
        <row r="508">
          <cell r="A508">
            <v>30002593</v>
          </cell>
          <cell r="B508" t="str">
            <v>2.6 x 130+/-0.5 x 1219</v>
          </cell>
          <cell r="C508">
            <v>2.6</v>
          </cell>
          <cell r="D508">
            <v>130</v>
          </cell>
          <cell r="E508">
            <v>1219</v>
          </cell>
          <cell r="F508">
            <v>3.2343726999999998</v>
          </cell>
          <cell r="G508">
            <v>21</v>
          </cell>
          <cell r="H508">
            <v>77005451</v>
          </cell>
          <cell r="I508" t="str">
            <v>SPHC-P/O</v>
          </cell>
          <cell r="J508" t="str">
            <v xml:space="preserve">BRKT.,RR CUSHION 1 </v>
          </cell>
          <cell r="K508" t="str">
            <v>5YP-F213E-00</v>
          </cell>
          <cell r="L508" t="str">
            <v>T</v>
          </cell>
          <cell r="M508" t="str">
            <v>SPHC-P/O</v>
          </cell>
          <cell r="N508" t="str">
            <v xml:space="preserve">BRKT.,RR CUSHION 1 </v>
          </cell>
          <cell r="O508" t="str">
            <v>5YP-F213E-00</v>
          </cell>
          <cell r="P508" t="str">
            <v>T</v>
          </cell>
          <cell r="Q508" t="str">
            <v>ps</v>
          </cell>
        </row>
        <row r="509">
          <cell r="A509">
            <v>30002595</v>
          </cell>
          <cell r="B509" t="str">
            <v>1.6 x 104+/-0.5 x 1219</v>
          </cell>
          <cell r="C509">
            <v>1.6</v>
          </cell>
          <cell r="D509">
            <v>104</v>
          </cell>
          <cell r="E509">
            <v>1219</v>
          </cell>
          <cell r="F509">
            <v>1.5923065600000001</v>
          </cell>
          <cell r="G509">
            <v>28</v>
          </cell>
          <cell r="H509">
            <v>77005320</v>
          </cell>
          <cell r="I509" t="str">
            <v>SPHC P/O</v>
          </cell>
          <cell r="J509" t="str">
            <v xml:space="preserve">BRKT  1 </v>
          </cell>
          <cell r="K509" t="str">
            <v>5YW-E4718-00-2</v>
          </cell>
          <cell r="L509" t="str">
            <v>T</v>
          </cell>
          <cell r="M509" t="str">
            <v>SPHC P/O</v>
          </cell>
          <cell r="N509" t="str">
            <v xml:space="preserve">BRKT  1 </v>
          </cell>
          <cell r="O509" t="str">
            <v>5YW-E4718-00-2</v>
          </cell>
          <cell r="P509" t="str">
            <v>T</v>
          </cell>
          <cell r="Q509" t="str">
            <v>tsi</v>
          </cell>
        </row>
        <row r="510">
          <cell r="A510">
            <v>30002598</v>
          </cell>
          <cell r="B510" t="str">
            <v>2.0 x 245+/-0.5 x 1219</v>
          </cell>
          <cell r="C510">
            <v>2</v>
          </cell>
          <cell r="D510">
            <v>245</v>
          </cell>
          <cell r="E510">
            <v>1219</v>
          </cell>
          <cell r="F510">
            <v>4.6888835000000002</v>
          </cell>
          <cell r="G510">
            <v>12</v>
          </cell>
          <cell r="H510">
            <v>77005405</v>
          </cell>
          <cell r="I510" t="str">
            <v>SPHC-P/O</v>
          </cell>
          <cell r="J510" t="str">
            <v xml:space="preserve">BRKT.,INNER  2 </v>
          </cell>
          <cell r="K510" t="str">
            <v>5MY-F113R-00</v>
          </cell>
          <cell r="L510" t="str">
            <v>T</v>
          </cell>
          <cell r="M510" t="str">
            <v>SPHC-P/O</v>
          </cell>
          <cell r="N510" t="str">
            <v xml:space="preserve">BRKT.,INNER  2 </v>
          </cell>
          <cell r="O510" t="str">
            <v>5MY-F113R-00</v>
          </cell>
          <cell r="P510" t="str">
            <v>T</v>
          </cell>
          <cell r="Q510" t="str">
            <v>epc</v>
          </cell>
        </row>
        <row r="511">
          <cell r="A511">
            <v>30002599</v>
          </cell>
          <cell r="B511" t="str">
            <v>2.0 x 245+/-0.5 x 1219</v>
          </cell>
          <cell r="C511">
            <v>2</v>
          </cell>
          <cell r="D511">
            <v>245</v>
          </cell>
          <cell r="E511">
            <v>1219</v>
          </cell>
          <cell r="F511">
            <v>4.6888835000000002</v>
          </cell>
          <cell r="G511">
            <v>12</v>
          </cell>
          <cell r="H511">
            <v>77005405</v>
          </cell>
          <cell r="I511" t="str">
            <v>SPHC-P/O</v>
          </cell>
          <cell r="J511" t="str">
            <v>BRKT.,OUTER  2</v>
          </cell>
          <cell r="K511" t="str">
            <v>5MY-F113U-00</v>
          </cell>
          <cell r="L511" t="str">
            <v>T</v>
          </cell>
          <cell r="M511" t="str">
            <v>SPHC-P/O</v>
          </cell>
          <cell r="N511" t="str">
            <v>BRKT.,OUTER  2</v>
          </cell>
          <cell r="O511" t="str">
            <v>5MY-F113U-00</v>
          </cell>
          <cell r="P511" t="str">
            <v>T</v>
          </cell>
          <cell r="Q511" t="str">
            <v>epc</v>
          </cell>
        </row>
        <row r="512">
          <cell r="A512">
            <v>30002601</v>
          </cell>
          <cell r="B512" t="str">
            <v>2.0 x 140+/-0.5 x 1219</v>
          </cell>
          <cell r="C512">
            <v>2</v>
          </cell>
          <cell r="D512">
            <v>140</v>
          </cell>
          <cell r="E512">
            <v>1219</v>
          </cell>
          <cell r="F512">
            <v>2.6793619999999998</v>
          </cell>
          <cell r="H512">
            <v>77005393</v>
          </cell>
          <cell r="I512" t="str">
            <v>SPHC P/O</v>
          </cell>
          <cell r="J512" t="str">
            <v xml:space="preserve">BRKT.,6 </v>
          </cell>
          <cell r="L512" t="str">
            <v>T</v>
          </cell>
          <cell r="M512" t="str">
            <v>SPHC P/O</v>
          </cell>
          <cell r="N512" t="str">
            <v xml:space="preserve">BRKT.,6 </v>
          </cell>
          <cell r="P512" t="str">
            <v>T</v>
          </cell>
          <cell r="Q512" t="str">
            <v>epc</v>
          </cell>
        </row>
        <row r="513">
          <cell r="A513">
            <v>30002664</v>
          </cell>
          <cell r="B513" t="str">
            <v>2.0 x 117+/-0.5 x 1219</v>
          </cell>
          <cell r="C513">
            <v>2</v>
          </cell>
          <cell r="D513">
            <v>117</v>
          </cell>
          <cell r="E513">
            <v>1219</v>
          </cell>
          <cell r="F513">
            <v>2.2391811000000001</v>
          </cell>
          <cell r="G513">
            <v>16</v>
          </cell>
          <cell r="H513">
            <v>77005388</v>
          </cell>
          <cell r="I513" t="str">
            <v>SPHC-P/O</v>
          </cell>
          <cell r="J513" t="str">
            <v xml:space="preserve">BRKT., 2 </v>
          </cell>
          <cell r="K513" t="str">
            <v>5YP-F138L-00</v>
          </cell>
          <cell r="L513" t="str">
            <v>T</v>
          </cell>
          <cell r="M513" t="str">
            <v>SPHC-P/O</v>
          </cell>
          <cell r="N513" t="str">
            <v xml:space="preserve">BRKT., 2 </v>
          </cell>
          <cell r="O513" t="str">
            <v>5YP-F138L-00</v>
          </cell>
          <cell r="P513" t="str">
            <v>T</v>
          </cell>
          <cell r="Q513" t="str">
            <v>epc</v>
          </cell>
        </row>
        <row r="514">
          <cell r="A514">
            <v>30002667</v>
          </cell>
          <cell r="B514" t="str">
            <v>2.0 x 117+/-0.5 x 1219</v>
          </cell>
          <cell r="C514">
            <v>2</v>
          </cell>
          <cell r="D514">
            <v>117</v>
          </cell>
          <cell r="E514">
            <v>1219</v>
          </cell>
          <cell r="F514">
            <v>2.2391811000000001</v>
          </cell>
          <cell r="H514">
            <v>77005388</v>
          </cell>
          <cell r="I514" t="str">
            <v>SPHC P/O</v>
          </cell>
          <cell r="J514" t="str">
            <v xml:space="preserve">BRKT., 3 </v>
          </cell>
          <cell r="L514" t="str">
            <v>T</v>
          </cell>
          <cell r="M514" t="str">
            <v>SPHC P/O</v>
          </cell>
          <cell r="N514" t="str">
            <v xml:space="preserve">BRKT., 3 </v>
          </cell>
          <cell r="P514" t="str">
            <v>T</v>
          </cell>
          <cell r="Q514" t="str">
            <v>epc</v>
          </cell>
        </row>
        <row r="515">
          <cell r="A515">
            <v>30002670</v>
          </cell>
          <cell r="B515" t="str">
            <v>1.6 x 84+/-0.5 x 1219</v>
          </cell>
          <cell r="C515">
            <v>1.6</v>
          </cell>
          <cell r="D515">
            <v>84</v>
          </cell>
          <cell r="E515">
            <v>1219</v>
          </cell>
          <cell r="F515">
            <v>1.28609376</v>
          </cell>
          <cell r="G515">
            <v>17</v>
          </cell>
          <cell r="H515">
            <v>77005374</v>
          </cell>
          <cell r="I515" t="str">
            <v>SPHC P/O</v>
          </cell>
          <cell r="J515" t="str">
            <v xml:space="preserve">BRKT., 4 </v>
          </cell>
          <cell r="K515" t="str">
            <v>5YP-F118V-00</v>
          </cell>
          <cell r="L515" t="str">
            <v>T</v>
          </cell>
          <cell r="M515" t="str">
            <v>SPHC P/O</v>
          </cell>
          <cell r="N515" t="str">
            <v xml:space="preserve">BRKT., 4 </v>
          </cell>
          <cell r="O515" t="str">
            <v>5YP-F118V-00</v>
          </cell>
          <cell r="P515" t="str">
            <v>T</v>
          </cell>
          <cell r="Q515" t="str">
            <v>ps</v>
          </cell>
          <cell r="R515">
            <v>200</v>
          </cell>
        </row>
        <row r="516">
          <cell r="A516">
            <v>30002692</v>
          </cell>
          <cell r="B516" t="str">
            <v>1.6 x 62+/-0.5 x 1219</v>
          </cell>
          <cell r="C516">
            <v>1.6</v>
          </cell>
          <cell r="D516">
            <v>62</v>
          </cell>
          <cell r="E516">
            <v>1219</v>
          </cell>
          <cell r="F516">
            <v>0.94925967999999994</v>
          </cell>
          <cell r="G516">
            <v>29</v>
          </cell>
          <cell r="H516">
            <v>77005360</v>
          </cell>
          <cell r="I516" t="str">
            <v>SPHC-P/O</v>
          </cell>
          <cell r="J516" t="str">
            <v xml:space="preserve">BRKT., RADIATOR 3 </v>
          </cell>
          <cell r="K516" t="str">
            <v>5YP-F142M-00</v>
          </cell>
          <cell r="L516" t="str">
            <v>T</v>
          </cell>
          <cell r="M516" t="str">
            <v>SPHC-P/O</v>
          </cell>
          <cell r="N516" t="str">
            <v xml:space="preserve">BRKT., RADIATOR 3 </v>
          </cell>
          <cell r="O516" t="str">
            <v>5YP-F142M-00</v>
          </cell>
          <cell r="P516" t="str">
            <v>T</v>
          </cell>
          <cell r="Q516" t="str">
            <v>epc</v>
          </cell>
        </row>
        <row r="517">
          <cell r="A517">
            <v>30002693</v>
          </cell>
          <cell r="B517" t="str">
            <v>2.0 x 155+/-0.5 x 1219</v>
          </cell>
          <cell r="C517">
            <v>2</v>
          </cell>
          <cell r="D517">
            <v>155</v>
          </cell>
          <cell r="E517">
            <v>1219</v>
          </cell>
          <cell r="F517">
            <v>2.9664364999999999</v>
          </cell>
          <cell r="G517">
            <v>16</v>
          </cell>
          <cell r="H517">
            <v>77005398</v>
          </cell>
          <cell r="I517" t="str">
            <v>SPHC-P/O</v>
          </cell>
          <cell r="J517" t="str">
            <v xml:space="preserve">BRKT.,3 </v>
          </cell>
          <cell r="K517" t="str">
            <v>5MY-F134N-00</v>
          </cell>
          <cell r="L517" t="str">
            <v>T</v>
          </cell>
          <cell r="M517" t="str">
            <v>SPHC-P/O</v>
          </cell>
          <cell r="N517" t="str">
            <v xml:space="preserve">BRKT.,3 </v>
          </cell>
          <cell r="O517" t="str">
            <v>5MY-F134N-00</v>
          </cell>
          <cell r="P517" t="str">
            <v>T</v>
          </cell>
          <cell r="Q517" t="str">
            <v>epc</v>
          </cell>
        </row>
        <row r="518">
          <cell r="A518">
            <v>30002694</v>
          </cell>
          <cell r="B518" t="str">
            <v>1.6 x 95+/-0.5 x 1219</v>
          </cell>
          <cell r="C518">
            <v>1.6</v>
          </cell>
          <cell r="D518">
            <v>95</v>
          </cell>
          <cell r="E518">
            <v>1219</v>
          </cell>
          <cell r="F518">
            <v>1.4545108</v>
          </cell>
          <cell r="G518">
            <v>20</v>
          </cell>
          <cell r="H518">
            <v>77005380</v>
          </cell>
          <cell r="I518" t="str">
            <v>SPHC-P/O</v>
          </cell>
          <cell r="J518" t="str">
            <v xml:space="preserve">BRKT  11 </v>
          </cell>
          <cell r="K518" t="str">
            <v>1P7-F139N-00</v>
          </cell>
          <cell r="L518" t="str">
            <v>T</v>
          </cell>
          <cell r="M518" t="str">
            <v>SPHC-P/O</v>
          </cell>
          <cell r="N518" t="str">
            <v xml:space="preserve">BRKT  11 </v>
          </cell>
          <cell r="O518" t="str">
            <v>1P7-F139N-00</v>
          </cell>
          <cell r="P518" t="str">
            <v>T</v>
          </cell>
          <cell r="Q518" t="str">
            <v>epc</v>
          </cell>
        </row>
        <row r="519">
          <cell r="A519">
            <v>30002695</v>
          </cell>
          <cell r="B519" t="str">
            <v>1.6 x 85+/-0.5 x 1219</v>
          </cell>
          <cell r="C519">
            <v>1.6</v>
          </cell>
          <cell r="D519">
            <v>85</v>
          </cell>
          <cell r="E519">
            <v>1219</v>
          </cell>
          <cell r="F519">
            <v>1.3014044</v>
          </cell>
          <cell r="G519">
            <v>41</v>
          </cell>
          <cell r="H519">
            <v>77005375</v>
          </cell>
          <cell r="I519" t="str">
            <v>SPHC-P/O</v>
          </cell>
          <cell r="J519" t="str">
            <v xml:space="preserve">BRKT., 12 </v>
          </cell>
          <cell r="K519" t="str">
            <v>5YP-F131L-00</v>
          </cell>
          <cell r="L519" t="str">
            <v>T</v>
          </cell>
          <cell r="M519" t="str">
            <v>SPHC-P/O</v>
          </cell>
          <cell r="N519" t="str">
            <v xml:space="preserve">BRKT., 12 </v>
          </cell>
          <cell r="O519" t="str">
            <v>5YP-F131L-00</v>
          </cell>
          <cell r="P519" t="str">
            <v>T</v>
          </cell>
          <cell r="Q519" t="str">
            <v>epc</v>
          </cell>
        </row>
        <row r="520">
          <cell r="A520">
            <v>30002696</v>
          </cell>
          <cell r="B520" t="str">
            <v>1.6 x 35+/-0.5 x 1219</v>
          </cell>
          <cell r="C520">
            <v>1.6</v>
          </cell>
          <cell r="D520">
            <v>35</v>
          </cell>
          <cell r="E520">
            <v>1219</v>
          </cell>
          <cell r="F520">
            <v>0.53587240000000003</v>
          </cell>
          <cell r="G520">
            <v>43</v>
          </cell>
          <cell r="I520" t="str">
            <v>SPHC-P/O</v>
          </cell>
          <cell r="J520" t="str">
            <v xml:space="preserve">BRKT., 2 </v>
          </cell>
          <cell r="K520" t="str">
            <v>5YP-F1239-00</v>
          </cell>
          <cell r="L520" t="str">
            <v>T</v>
          </cell>
          <cell r="M520" t="str">
            <v>SPHC-P/O</v>
          </cell>
          <cell r="N520" t="str">
            <v xml:space="preserve">BRKT., 2 </v>
          </cell>
          <cell r="O520" t="str">
            <v>5YP-F1239-00</v>
          </cell>
          <cell r="P520" t="str">
            <v>T</v>
          </cell>
          <cell r="Q520" t="e">
            <v>#N/A</v>
          </cell>
        </row>
        <row r="521">
          <cell r="A521">
            <v>30002697</v>
          </cell>
          <cell r="B521" t="str">
            <v>1.6 x 35+/-0.5 x 1219</v>
          </cell>
          <cell r="C521">
            <v>1.6</v>
          </cell>
          <cell r="D521">
            <v>35</v>
          </cell>
          <cell r="E521">
            <v>1219</v>
          </cell>
          <cell r="F521">
            <v>0.53587240000000003</v>
          </cell>
          <cell r="G521">
            <v>43</v>
          </cell>
          <cell r="I521" t="str">
            <v>SPHC-P/O</v>
          </cell>
          <cell r="J521" t="str">
            <v>BRKT., 1</v>
          </cell>
          <cell r="K521" t="str">
            <v>5YP-F1238-00</v>
          </cell>
          <cell r="L521" t="str">
            <v>T</v>
          </cell>
          <cell r="M521" t="str">
            <v>SPHC-P/O</v>
          </cell>
          <cell r="N521" t="str">
            <v>BRKT., 1</v>
          </cell>
          <cell r="O521" t="str">
            <v>5YP-F1238-00</v>
          </cell>
          <cell r="P521" t="str">
            <v>T</v>
          </cell>
          <cell r="Q521" t="e">
            <v>#N/A</v>
          </cell>
        </row>
        <row r="522">
          <cell r="A522">
            <v>30002700</v>
          </cell>
          <cell r="B522" t="str">
            <v>3.2 x 105+/-0.5 x 1219</v>
          </cell>
          <cell r="C522">
            <v>3.2</v>
          </cell>
          <cell r="D522">
            <v>105</v>
          </cell>
          <cell r="E522">
            <v>1219</v>
          </cell>
          <cell r="F522">
            <v>3.2152343999999999</v>
          </cell>
          <cell r="H522">
            <v>77005476</v>
          </cell>
          <cell r="I522" t="str">
            <v>SPHC P/O</v>
          </cell>
          <cell r="J522" t="str">
            <v xml:space="preserve">GUSSET </v>
          </cell>
          <cell r="L522" t="str">
            <v>T</v>
          </cell>
          <cell r="M522" t="str">
            <v>SPHC P/O</v>
          </cell>
          <cell r="N522" t="str">
            <v xml:space="preserve">GUSSET </v>
          </cell>
          <cell r="P522" t="str">
            <v>T</v>
          </cell>
          <cell r="Q522" t="str">
            <v>epc</v>
          </cell>
        </row>
        <row r="523">
          <cell r="A523">
            <v>30002701</v>
          </cell>
          <cell r="B523" t="str">
            <v>1.6 x 145+/-0.5 x 1219</v>
          </cell>
          <cell r="C523">
            <v>1.6</v>
          </cell>
          <cell r="D523">
            <v>145</v>
          </cell>
          <cell r="E523">
            <v>1219</v>
          </cell>
          <cell r="F523">
            <v>2.2200427999999999</v>
          </cell>
          <cell r="H523">
            <v>77005328</v>
          </cell>
          <cell r="I523" t="str">
            <v>SPHC P/O</v>
          </cell>
          <cell r="J523" t="str">
            <v xml:space="preserve">STAY 2 </v>
          </cell>
          <cell r="L523" t="str">
            <v>T</v>
          </cell>
          <cell r="M523" t="str">
            <v>SPHC P/O</v>
          </cell>
          <cell r="N523" t="str">
            <v xml:space="preserve">STAY 2 </v>
          </cell>
          <cell r="P523" t="str">
            <v>T</v>
          </cell>
          <cell r="Q523" t="str">
            <v>tsi</v>
          </cell>
        </row>
        <row r="524">
          <cell r="A524">
            <v>30002702</v>
          </cell>
          <cell r="B524" t="str">
            <v>1.6 x 145+/-0.5 x 1219</v>
          </cell>
          <cell r="C524">
            <v>1.6</v>
          </cell>
          <cell r="D524">
            <v>145</v>
          </cell>
          <cell r="E524">
            <v>1219</v>
          </cell>
          <cell r="F524">
            <v>2.2200427999999999</v>
          </cell>
          <cell r="H524">
            <v>77005328</v>
          </cell>
          <cell r="I524" t="str">
            <v>SPHC P/O</v>
          </cell>
          <cell r="J524" t="str">
            <v xml:space="preserve">STAY </v>
          </cell>
          <cell r="L524" t="str">
            <v>T</v>
          </cell>
          <cell r="M524" t="str">
            <v>SPHC P/O</v>
          </cell>
          <cell r="N524" t="str">
            <v xml:space="preserve">STAY </v>
          </cell>
          <cell r="P524" t="str">
            <v>T</v>
          </cell>
          <cell r="Q524" t="str">
            <v>tsi</v>
          </cell>
        </row>
        <row r="525">
          <cell r="A525">
            <v>30002704</v>
          </cell>
          <cell r="B525" t="str">
            <v>2.6 x 140+/-0.5 x 1219</v>
          </cell>
          <cell r="C525">
            <v>2.6</v>
          </cell>
          <cell r="D525">
            <v>140</v>
          </cell>
          <cell r="E525">
            <v>1219</v>
          </cell>
          <cell r="F525">
            <v>3.4831705999999998</v>
          </cell>
          <cell r="H525">
            <v>77005452</v>
          </cell>
          <cell r="I525" t="str">
            <v>SPHC P/O</v>
          </cell>
          <cell r="J525" t="str">
            <v xml:space="preserve">BRKT.,ENGINE  3 </v>
          </cell>
          <cell r="L525" t="str">
            <v>T</v>
          </cell>
          <cell r="M525" t="str">
            <v>SPHC P/O</v>
          </cell>
          <cell r="N525" t="str">
            <v xml:space="preserve">BRKT.,ENGINE  3 </v>
          </cell>
          <cell r="P525" t="str">
            <v>T</v>
          </cell>
          <cell r="Q525" t="str">
            <v>ps</v>
          </cell>
        </row>
        <row r="526">
          <cell r="A526">
            <v>30002705</v>
          </cell>
          <cell r="B526" t="str">
            <v>2.0 x 180+/-0.5 x 1219</v>
          </cell>
          <cell r="C526">
            <v>2</v>
          </cell>
          <cell r="D526">
            <v>180</v>
          </cell>
          <cell r="E526">
            <v>1219</v>
          </cell>
          <cell r="F526">
            <v>3.4448940000000001</v>
          </cell>
          <cell r="H526">
            <v>77005402</v>
          </cell>
          <cell r="I526" t="str">
            <v>SPHC P/O</v>
          </cell>
          <cell r="J526" t="str">
            <v xml:space="preserve">REINF.,ENG  BRKT,FR  UPR  1 </v>
          </cell>
          <cell r="L526" t="str">
            <v>T</v>
          </cell>
          <cell r="M526" t="str">
            <v>SPHC P/O</v>
          </cell>
          <cell r="N526" t="str">
            <v xml:space="preserve">REINF.,ENG  BRKT,FR  UPR  1 </v>
          </cell>
          <cell r="P526" t="str">
            <v>T</v>
          </cell>
          <cell r="Q526" t="str">
            <v>tsi</v>
          </cell>
        </row>
        <row r="527">
          <cell r="A527">
            <v>30002706</v>
          </cell>
          <cell r="B527" t="str">
            <v>1.6 x 160+/-0.5 x 1219</v>
          </cell>
          <cell r="C527">
            <v>1.6</v>
          </cell>
          <cell r="D527">
            <v>160</v>
          </cell>
          <cell r="E527">
            <v>1219</v>
          </cell>
          <cell r="F527">
            <v>2.4497024000000001</v>
          </cell>
          <cell r="G527">
            <v>12</v>
          </cell>
          <cell r="H527">
            <v>77005330</v>
          </cell>
          <cell r="I527" t="str">
            <v>SPHC-P/O</v>
          </cell>
          <cell r="J527" t="str">
            <v xml:space="preserve">BRKT.,FOOTREST </v>
          </cell>
          <cell r="K527" t="str">
            <v>1P7-F1447-00</v>
          </cell>
          <cell r="L527" t="str">
            <v>T</v>
          </cell>
          <cell r="M527" t="str">
            <v>SPHC-P/O</v>
          </cell>
          <cell r="N527" t="str">
            <v xml:space="preserve">BRKT.,FOOTREST </v>
          </cell>
          <cell r="O527" t="str">
            <v>1P7-F1447-00</v>
          </cell>
          <cell r="P527" t="str">
            <v>T</v>
          </cell>
          <cell r="Q527" t="str">
            <v>epc</v>
          </cell>
        </row>
        <row r="528">
          <cell r="A528">
            <v>30002734</v>
          </cell>
          <cell r="B528" t="str">
            <v>2.6 x 210+/-0.5 x 1219</v>
          </cell>
          <cell r="C528">
            <v>2.6</v>
          </cell>
          <cell r="D528">
            <v>210</v>
          </cell>
          <cell r="E528">
            <v>1219</v>
          </cell>
          <cell r="F528">
            <v>5.224755899999999</v>
          </cell>
          <cell r="G528">
            <v>41</v>
          </cell>
          <cell r="H528">
            <v>77005454</v>
          </cell>
          <cell r="I528" t="str">
            <v>SPHC-P/O</v>
          </cell>
          <cell r="J528" t="str">
            <v xml:space="preserve">LEVER CAM SHAFT RR </v>
          </cell>
          <cell r="K528" t="str">
            <v>23U-F5355-00</v>
          </cell>
          <cell r="L528" t="str">
            <v>T</v>
          </cell>
          <cell r="M528" t="str">
            <v>SPHC-P/O</v>
          </cell>
          <cell r="N528" t="str">
            <v xml:space="preserve">LEVER CAM SHAFT RR </v>
          </cell>
          <cell r="O528" t="str">
            <v>23U-F5355-00</v>
          </cell>
          <cell r="P528" t="str">
            <v>T</v>
          </cell>
          <cell r="Q528" t="str">
            <v>ps</v>
          </cell>
        </row>
        <row r="529">
          <cell r="A529">
            <v>30002738</v>
          </cell>
          <cell r="B529" t="str">
            <v>2.0 x 100+/-0.5 x 1219</v>
          </cell>
          <cell r="C529">
            <v>2</v>
          </cell>
          <cell r="D529">
            <v>100</v>
          </cell>
          <cell r="E529">
            <v>1219</v>
          </cell>
          <cell r="F529">
            <v>1.9138299999999999</v>
          </cell>
          <cell r="H529">
            <v>77005382</v>
          </cell>
          <cell r="I529" t="str">
            <v>SPHC P/O</v>
          </cell>
          <cell r="J529" t="str">
            <v>STAY</v>
          </cell>
          <cell r="L529" t="str">
            <v>T</v>
          </cell>
          <cell r="M529" t="str">
            <v>SPHC P/O</v>
          </cell>
          <cell r="N529" t="str">
            <v>STAY</v>
          </cell>
          <cell r="P529" t="str">
            <v>T</v>
          </cell>
          <cell r="Q529" t="str">
            <v>tsi</v>
          </cell>
        </row>
        <row r="530">
          <cell r="A530">
            <v>30002742</v>
          </cell>
          <cell r="B530" t="str">
            <v>1.6 x 144+/-0.5 x 1219</v>
          </cell>
          <cell r="C530">
            <v>1.6</v>
          </cell>
          <cell r="D530">
            <v>144</v>
          </cell>
          <cell r="E530">
            <v>1219</v>
          </cell>
          <cell r="F530">
            <v>2.2047321600000003</v>
          </cell>
          <cell r="H530">
            <v>77005327</v>
          </cell>
          <cell r="I530" t="str">
            <v>SPHC P/O</v>
          </cell>
          <cell r="J530" t="str">
            <v>STAY  2</v>
          </cell>
          <cell r="L530" t="str">
            <v>T</v>
          </cell>
          <cell r="M530" t="str">
            <v>SPHC P/O</v>
          </cell>
          <cell r="N530" t="str">
            <v>STAY  2</v>
          </cell>
          <cell r="P530" t="str">
            <v>T</v>
          </cell>
          <cell r="Q530" t="str">
            <v>tsi</v>
          </cell>
        </row>
        <row r="531">
          <cell r="A531">
            <v>30002768</v>
          </cell>
          <cell r="B531" t="str">
            <v>1.6 x 151+/-0.5 x 1219</v>
          </cell>
          <cell r="C531">
            <v>1.6</v>
          </cell>
          <cell r="D531">
            <v>151</v>
          </cell>
          <cell r="E531">
            <v>1219</v>
          </cell>
          <cell r="F531">
            <v>2.3119066400000001</v>
          </cell>
          <cell r="H531">
            <v>77005329</v>
          </cell>
          <cell r="I531" t="str">
            <v>SPHC P/O</v>
          </cell>
          <cell r="J531" t="str">
            <v xml:space="preserve">BRKT.,11 </v>
          </cell>
          <cell r="L531" t="str">
            <v>T</v>
          </cell>
          <cell r="M531" t="str">
            <v>SPHC P/O</v>
          </cell>
          <cell r="N531" t="str">
            <v xml:space="preserve">BRKT.,11 </v>
          </cell>
          <cell r="P531" t="str">
            <v>T</v>
          </cell>
          <cell r="Q531" t="str">
            <v>tsi</v>
          </cell>
        </row>
        <row r="532">
          <cell r="A532">
            <v>30002776</v>
          </cell>
          <cell r="B532" t="str">
            <v>2.0 x 147+/-0.5 x 1219</v>
          </cell>
          <cell r="C532">
            <v>2</v>
          </cell>
          <cell r="D532">
            <v>147</v>
          </cell>
          <cell r="E532">
            <v>1219</v>
          </cell>
          <cell r="F532">
            <v>2.8133300999999999</v>
          </cell>
          <cell r="G532">
            <v>13</v>
          </cell>
          <cell r="H532">
            <v>77005396</v>
          </cell>
          <cell r="I532" t="str">
            <v>SPHC-P/O</v>
          </cell>
          <cell r="J532" t="str">
            <v>REINF , TAIL 4</v>
          </cell>
          <cell r="K532" t="str">
            <v>5YP-F2114-00</v>
          </cell>
          <cell r="L532" t="str">
            <v>T</v>
          </cell>
          <cell r="M532" t="str">
            <v>SPHC-P/O</v>
          </cell>
          <cell r="N532" t="str">
            <v>REINF , TAIL 4</v>
          </cell>
          <cell r="O532" t="str">
            <v>5YP-F2114-00</v>
          </cell>
          <cell r="P532" t="str">
            <v>T</v>
          </cell>
          <cell r="Q532" t="str">
            <v>tsi</v>
          </cell>
        </row>
        <row r="533">
          <cell r="A533">
            <v>30002777</v>
          </cell>
          <cell r="B533" t="str">
            <v>2.0 x 147+/-0.5 x 1219</v>
          </cell>
          <cell r="C533">
            <v>2</v>
          </cell>
          <cell r="D533">
            <v>147</v>
          </cell>
          <cell r="E533">
            <v>1219</v>
          </cell>
          <cell r="F533">
            <v>2.8133300999999999</v>
          </cell>
          <cell r="G533">
            <v>13</v>
          </cell>
          <cell r="H533">
            <v>77005396</v>
          </cell>
          <cell r="I533" t="str">
            <v>SPHC-P/O</v>
          </cell>
          <cell r="J533" t="str">
            <v xml:space="preserve">REINF , TAIL 3 </v>
          </cell>
          <cell r="K533" t="str">
            <v>5YP-F2113-00</v>
          </cell>
          <cell r="L533" t="str">
            <v>T</v>
          </cell>
          <cell r="M533" t="str">
            <v>SPHC-P/O</v>
          </cell>
          <cell r="N533" t="str">
            <v xml:space="preserve">REINF , TAIL 3 </v>
          </cell>
          <cell r="O533" t="str">
            <v>5YP-F2113-00</v>
          </cell>
          <cell r="P533" t="str">
            <v>T</v>
          </cell>
          <cell r="Q533" t="str">
            <v>tsi</v>
          </cell>
        </row>
        <row r="534">
          <cell r="A534">
            <v>30002778</v>
          </cell>
          <cell r="B534" t="str">
            <v>2.0 x 118+/-0.5 x 1219</v>
          </cell>
          <cell r="C534">
            <v>2</v>
          </cell>
          <cell r="D534">
            <v>118</v>
          </cell>
          <cell r="E534">
            <v>1219</v>
          </cell>
          <cell r="F534">
            <v>2.2583194</v>
          </cell>
          <cell r="G534">
            <v>13</v>
          </cell>
          <cell r="H534">
            <v>77005389</v>
          </cell>
          <cell r="I534" t="str">
            <v>SPHC-P/O</v>
          </cell>
          <cell r="J534" t="str">
            <v xml:space="preserve">REINF , 2 </v>
          </cell>
          <cell r="K534" t="str">
            <v>5YP-F2112-00</v>
          </cell>
          <cell r="L534" t="str">
            <v>T</v>
          </cell>
          <cell r="M534" t="str">
            <v>SPHC-P/O</v>
          </cell>
          <cell r="N534" t="str">
            <v xml:space="preserve">REINF , 2 </v>
          </cell>
          <cell r="O534" t="str">
            <v>5YP-F2112-00</v>
          </cell>
          <cell r="P534" t="str">
            <v>T</v>
          </cell>
          <cell r="Q534" t="str">
            <v>epc</v>
          </cell>
        </row>
        <row r="535">
          <cell r="A535">
            <v>30002779</v>
          </cell>
          <cell r="B535" t="str">
            <v>2.0 x 118+/-0.5 x 1219</v>
          </cell>
          <cell r="C535">
            <v>2</v>
          </cell>
          <cell r="D535">
            <v>118</v>
          </cell>
          <cell r="E535">
            <v>1219</v>
          </cell>
          <cell r="F535">
            <v>2.2583194</v>
          </cell>
          <cell r="G535">
            <v>13</v>
          </cell>
          <cell r="H535">
            <v>77005389</v>
          </cell>
          <cell r="I535" t="str">
            <v>SPHC-P/O</v>
          </cell>
          <cell r="J535" t="str">
            <v xml:space="preserve">REINF , 1 </v>
          </cell>
          <cell r="K535" t="str">
            <v>5YP-F2111-00</v>
          </cell>
          <cell r="L535" t="str">
            <v>T</v>
          </cell>
          <cell r="M535" t="str">
            <v>SPHC-P/O</v>
          </cell>
          <cell r="N535" t="str">
            <v xml:space="preserve">REINF , 1 </v>
          </cell>
          <cell r="O535" t="str">
            <v>5YP-F2111-00</v>
          </cell>
          <cell r="P535" t="str">
            <v>T</v>
          </cell>
          <cell r="Q535" t="str">
            <v>epc</v>
          </cell>
        </row>
        <row r="536">
          <cell r="A536">
            <v>30002789</v>
          </cell>
          <cell r="B536" t="str">
            <v>1.6 x 139+/-0.5 x 1219</v>
          </cell>
          <cell r="C536">
            <v>1.6</v>
          </cell>
          <cell r="D536">
            <v>139</v>
          </cell>
          <cell r="E536">
            <v>1219</v>
          </cell>
          <cell r="F536">
            <v>2.1281789600000001</v>
          </cell>
          <cell r="G536">
            <v>17</v>
          </cell>
          <cell r="H536">
            <v>77005326</v>
          </cell>
          <cell r="I536" t="str">
            <v>SPHC-P/O</v>
          </cell>
          <cell r="J536" t="str">
            <v xml:space="preserve">BRKT.,4 </v>
          </cell>
          <cell r="K536" t="str">
            <v>1P7-F139F-00</v>
          </cell>
          <cell r="L536" t="str">
            <v>T</v>
          </cell>
          <cell r="M536" t="str">
            <v>SPHC-P/O</v>
          </cell>
          <cell r="N536" t="str">
            <v xml:space="preserve">BRKT.,4 </v>
          </cell>
          <cell r="O536" t="str">
            <v>1P7-F139F-00</v>
          </cell>
          <cell r="P536" t="str">
            <v>T</v>
          </cell>
          <cell r="Q536" t="str">
            <v>epc</v>
          </cell>
        </row>
        <row r="537">
          <cell r="A537">
            <v>30002914</v>
          </cell>
          <cell r="B537" t="str">
            <v>1.6 x 104+/-0.5 x 1219</v>
          </cell>
          <cell r="C537">
            <v>1.6</v>
          </cell>
          <cell r="D537">
            <v>104</v>
          </cell>
          <cell r="E537">
            <v>1219</v>
          </cell>
          <cell r="F537">
            <v>1.5923065600000001</v>
          </cell>
          <cell r="G537">
            <v>28</v>
          </cell>
          <cell r="H537">
            <v>77005320</v>
          </cell>
          <cell r="I537" t="str">
            <v>SPHC P/O</v>
          </cell>
          <cell r="J537" t="str">
            <v xml:space="preserve">BRKT.,2 </v>
          </cell>
          <cell r="K537" t="str">
            <v>5YW-E4718-00-3</v>
          </cell>
          <cell r="L537" t="str">
            <v>T</v>
          </cell>
          <cell r="M537" t="str">
            <v>SPHC P/O</v>
          </cell>
          <cell r="N537" t="str">
            <v xml:space="preserve">BRKT.,2 </v>
          </cell>
          <cell r="O537" t="str">
            <v>5YW-E4718-00-3</v>
          </cell>
          <cell r="P537" t="str">
            <v>T</v>
          </cell>
          <cell r="Q537" t="str">
            <v>tsi</v>
          </cell>
        </row>
        <row r="538">
          <cell r="A538">
            <v>30002915</v>
          </cell>
          <cell r="B538" t="str">
            <v>2.3 x 74+/-0.5 x 1219</v>
          </cell>
          <cell r="C538">
            <v>2.2999999999999998</v>
          </cell>
          <cell r="D538">
            <v>74</v>
          </cell>
          <cell r="E538">
            <v>1219</v>
          </cell>
          <cell r="F538">
            <v>1.6286693299999999</v>
          </cell>
          <cell r="G538">
            <v>16</v>
          </cell>
          <cell r="H538">
            <v>77005447</v>
          </cell>
          <cell r="I538" t="str">
            <v>SPHC-P/O</v>
          </cell>
          <cell r="J538" t="str">
            <v xml:space="preserve">BRKT.,  </v>
          </cell>
          <cell r="K538" t="str">
            <v>5YP-F134V-00</v>
          </cell>
          <cell r="L538" t="str">
            <v>T</v>
          </cell>
          <cell r="M538" t="str">
            <v>SPHC-P/O</v>
          </cell>
          <cell r="N538" t="str">
            <v xml:space="preserve">BRKT.,  </v>
          </cell>
          <cell r="O538" t="str">
            <v>5YP-F134V-00</v>
          </cell>
          <cell r="P538" t="str">
            <v>T</v>
          </cell>
          <cell r="Q538" t="str">
            <v>epc</v>
          </cell>
        </row>
        <row r="539">
          <cell r="A539">
            <v>30002916</v>
          </cell>
          <cell r="B539" t="str">
            <v>1.6 x 224+/-0.5 x 1219</v>
          </cell>
          <cell r="C539">
            <v>1.6</v>
          </cell>
          <cell r="D539">
            <v>224</v>
          </cell>
          <cell r="E539">
            <v>1219</v>
          </cell>
          <cell r="F539">
            <v>3.4295833600000005</v>
          </cell>
          <cell r="H539">
            <v>77005337</v>
          </cell>
          <cell r="I539" t="str">
            <v>SPHC P/O</v>
          </cell>
          <cell r="J539" t="str">
            <v xml:space="preserve">BRKT 11 </v>
          </cell>
          <cell r="L539" t="str">
            <v>T</v>
          </cell>
          <cell r="M539" t="str">
            <v>SPHC P/O</v>
          </cell>
          <cell r="N539" t="str">
            <v xml:space="preserve">BRKT 11 </v>
          </cell>
          <cell r="P539" t="str">
            <v>T</v>
          </cell>
          <cell r="Q539" t="str">
            <v>epc</v>
          </cell>
        </row>
        <row r="540">
          <cell r="A540">
            <v>30002589</v>
          </cell>
          <cell r="B540" t="str">
            <v>2.3 x 68+/-0.5 x 1219</v>
          </cell>
          <cell r="C540">
            <v>2.2999999999999998</v>
          </cell>
          <cell r="D540">
            <v>68</v>
          </cell>
          <cell r="E540">
            <v>1219</v>
          </cell>
          <cell r="F540">
            <v>1.4966150599999999</v>
          </cell>
          <cell r="H540">
            <v>77005444</v>
          </cell>
          <cell r="I540" t="str">
            <v>SPHC P/O</v>
          </cell>
          <cell r="J540" t="str">
            <v>STAY,1</v>
          </cell>
          <cell r="L540" t="str">
            <v>T</v>
          </cell>
          <cell r="M540" t="str">
            <v>SPHC P/O</v>
          </cell>
          <cell r="N540" t="str">
            <v>STAY,1</v>
          </cell>
          <cell r="P540" t="str">
            <v>T</v>
          </cell>
          <cell r="Q540" t="str">
            <v>epc</v>
          </cell>
        </row>
        <row r="541">
          <cell r="A541">
            <v>30002590</v>
          </cell>
          <cell r="B541" t="str">
            <v>1.6 x 73+/-0.5 x 1219</v>
          </cell>
          <cell r="C541">
            <v>1.6</v>
          </cell>
          <cell r="D541">
            <v>73</v>
          </cell>
          <cell r="E541">
            <v>1219</v>
          </cell>
          <cell r="F541">
            <v>1.11767672</v>
          </cell>
          <cell r="H541">
            <v>77005368</v>
          </cell>
          <cell r="I541" t="str">
            <v>SPHC P/O</v>
          </cell>
          <cell r="J541" t="str">
            <v xml:space="preserve">BRKT.,6 </v>
          </cell>
          <cell r="L541" t="str">
            <v>T</v>
          </cell>
          <cell r="M541" t="str">
            <v>SPHC P/O</v>
          </cell>
          <cell r="N541" t="str">
            <v xml:space="preserve">BRKT.,6 </v>
          </cell>
          <cell r="P541" t="str">
            <v>T</v>
          </cell>
          <cell r="Q541" t="str">
            <v>epc</v>
          </cell>
        </row>
        <row r="542">
          <cell r="A542">
            <v>30003966</v>
          </cell>
          <cell r="B542" t="str">
            <v>2.0 x 46+/-0.5 x 1219</v>
          </cell>
          <cell r="C542">
            <v>2</v>
          </cell>
          <cell r="D542">
            <v>46</v>
          </cell>
          <cell r="E542">
            <v>1219</v>
          </cell>
          <cell r="F542">
            <v>0.88036179999999997</v>
          </cell>
          <cell r="G542">
            <v>59</v>
          </cell>
          <cell r="H542">
            <v>77005408</v>
          </cell>
          <cell r="I542" t="str">
            <v>SPHC-P/O</v>
          </cell>
          <cell r="J542" t="str">
            <v xml:space="preserve">BRKT. 2 </v>
          </cell>
          <cell r="K542" t="str">
            <v>5PO-F1239-00</v>
          </cell>
          <cell r="L542" t="str">
            <v>T</v>
          </cell>
          <cell r="M542" t="str">
            <v>SPHC-P/O</v>
          </cell>
          <cell r="N542" t="str">
            <v xml:space="preserve">BRKT. 2 </v>
          </cell>
          <cell r="O542" t="str">
            <v>5PO-F1239-00</v>
          </cell>
          <cell r="P542" t="str">
            <v>T</v>
          </cell>
          <cell r="Q542" t="str">
            <v>epc</v>
          </cell>
        </row>
        <row r="543">
          <cell r="A543">
            <v>30003967</v>
          </cell>
          <cell r="B543" t="str">
            <v>1.6 x 120+/-0.5 x 1219</v>
          </cell>
          <cell r="C543">
            <v>1.6</v>
          </cell>
          <cell r="D543">
            <v>120</v>
          </cell>
          <cell r="E543">
            <v>1219</v>
          </cell>
          <cell r="F543">
            <v>1.8372767999999997</v>
          </cell>
          <cell r="G543">
            <v>27</v>
          </cell>
          <cell r="H543">
            <v>77005323</v>
          </cell>
          <cell r="I543" t="str">
            <v>SPHC-P/O</v>
          </cell>
          <cell r="J543" t="str">
            <v>BRKT. 1</v>
          </cell>
          <cell r="K543" t="str">
            <v>5PO-F148-U-00</v>
          </cell>
          <cell r="L543" t="str">
            <v>T</v>
          </cell>
          <cell r="M543" t="str">
            <v>SPHC-P/O</v>
          </cell>
          <cell r="N543" t="str">
            <v>BRKT. 1</v>
          </cell>
          <cell r="O543" t="str">
            <v>5PO-F148-U-00</v>
          </cell>
          <cell r="P543" t="str">
            <v>T</v>
          </cell>
          <cell r="Q543" t="str">
            <v>epc</v>
          </cell>
        </row>
        <row r="544">
          <cell r="A544">
            <v>30009640</v>
          </cell>
          <cell r="B544" t="str">
            <v>5.0 x 70+/-0.5 x 1219</v>
          </cell>
          <cell r="C544">
            <v>5</v>
          </cell>
          <cell r="D544">
            <v>70</v>
          </cell>
          <cell r="E544">
            <v>1219</v>
          </cell>
          <cell r="F544">
            <v>3.3492025000000001</v>
          </cell>
          <cell r="G544">
            <v>72</v>
          </cell>
          <cell r="H544">
            <v>77005532</v>
          </cell>
          <cell r="I544" t="str">
            <v>SPHC-P/O</v>
          </cell>
          <cell r="J544" t="str">
            <v xml:space="preserve">REINF </v>
          </cell>
          <cell r="K544" t="str">
            <v>4DO-F146R-00</v>
          </cell>
          <cell r="L544" t="str">
            <v>T</v>
          </cell>
          <cell r="M544" t="str">
            <v>SPHC-P/O</v>
          </cell>
          <cell r="N544" t="str">
            <v xml:space="preserve">REINF </v>
          </cell>
          <cell r="O544" t="str">
            <v>4DO-F146R-00</v>
          </cell>
          <cell r="P544" t="str">
            <v>T</v>
          </cell>
          <cell r="Q544" t="str">
            <v>epc</v>
          </cell>
        </row>
        <row r="545">
          <cell r="A545">
            <v>30021434</v>
          </cell>
          <cell r="B545" t="str">
            <v>4.0 x 129+/-0.5 x 1219</v>
          </cell>
          <cell r="C545">
            <v>4</v>
          </cell>
          <cell r="D545">
            <v>129</v>
          </cell>
          <cell r="E545">
            <v>1219</v>
          </cell>
          <cell r="F545">
            <v>4.9376813999999998</v>
          </cell>
          <cell r="G545">
            <v>17</v>
          </cell>
          <cell r="H545">
            <v>77005300</v>
          </cell>
          <cell r="I545" t="str">
            <v>JSH590R</v>
          </cell>
          <cell r="J545" t="str">
            <v>REINF RR CUSHION</v>
          </cell>
          <cell r="K545" t="str">
            <v>5YP-F1384-00</v>
          </cell>
          <cell r="L545" t="str">
            <v>T</v>
          </cell>
          <cell r="M545" t="str">
            <v>JSH590R</v>
          </cell>
          <cell r="N545" t="str">
            <v>REINF RR CUSHION</v>
          </cell>
          <cell r="O545" t="str">
            <v>5YP-F1384-00</v>
          </cell>
          <cell r="P545" t="str">
            <v>T</v>
          </cell>
          <cell r="Q545" t="e">
            <v>#N/A</v>
          </cell>
        </row>
        <row r="546">
          <cell r="A546">
            <v>30031946</v>
          </cell>
          <cell r="B546" t="str">
            <v>4.0 x 112+/-0.5 x 1219</v>
          </cell>
          <cell r="C546">
            <v>4</v>
          </cell>
          <cell r="D546">
            <v>112</v>
          </cell>
          <cell r="E546">
            <v>1219</v>
          </cell>
          <cell r="F546">
            <v>4.2869792000000002</v>
          </cell>
          <cell r="G546">
            <v>29</v>
          </cell>
          <cell r="H546">
            <v>77005262</v>
          </cell>
          <cell r="I546" t="str">
            <v>YSH440W-P</v>
          </cell>
          <cell r="J546" t="str">
            <v>BRKT., ENGINE 1</v>
          </cell>
          <cell r="K546" t="str">
            <v>SUB ASS'Y (BB81)</v>
          </cell>
          <cell r="L546" t="str">
            <v>BB81</v>
          </cell>
          <cell r="M546" t="str">
            <v>YSH440W-P</v>
          </cell>
          <cell r="N546" t="str">
            <v>BRKT., ENGINE 1</v>
          </cell>
          <cell r="O546" t="str">
            <v>SUB ASS'Y (BB81)</v>
          </cell>
          <cell r="P546" t="str">
            <v>BB81</v>
          </cell>
          <cell r="Q546" t="str">
            <v>bm</v>
          </cell>
        </row>
        <row r="547">
          <cell r="A547">
            <v>30031947</v>
          </cell>
          <cell r="B547" t="str">
            <v>4.0 x 112+/-0.5 x 1219</v>
          </cell>
          <cell r="C547">
            <v>4</v>
          </cell>
          <cell r="D547">
            <v>112</v>
          </cell>
          <cell r="E547">
            <v>1219</v>
          </cell>
          <cell r="F547">
            <v>4.2869792000000002</v>
          </cell>
          <cell r="G547">
            <v>29</v>
          </cell>
          <cell r="H547">
            <v>77005262</v>
          </cell>
          <cell r="I547" t="str">
            <v>YSH440W-P</v>
          </cell>
          <cell r="J547" t="str">
            <v>BRKT., ENGINE 2</v>
          </cell>
          <cell r="K547" t="str">
            <v>BB8-F194F-00(BB81)</v>
          </cell>
          <cell r="L547" t="str">
            <v>BB81</v>
          </cell>
          <cell r="M547" t="str">
            <v>YSH440W-P</v>
          </cell>
          <cell r="N547" t="str">
            <v>BRKT., ENGINE 2</v>
          </cell>
          <cell r="O547" t="str">
            <v>BB8-F194F-00(BB81)</v>
          </cell>
          <cell r="P547" t="str">
            <v>BB81</v>
          </cell>
          <cell r="Q547" t="str">
            <v>bm</v>
          </cell>
        </row>
        <row r="548">
          <cell r="A548">
            <v>30031953</v>
          </cell>
          <cell r="B548" t="str">
            <v>4.0 x 164+/-0.5 x 1219</v>
          </cell>
          <cell r="C548">
            <v>4</v>
          </cell>
          <cell r="D548">
            <v>164</v>
          </cell>
          <cell r="E548">
            <v>1219</v>
          </cell>
          <cell r="F548">
            <v>6.2773623999999995</v>
          </cell>
          <cell r="G548">
            <v>23</v>
          </cell>
          <cell r="H548">
            <v>77005263</v>
          </cell>
          <cell r="I548" t="str">
            <v>YSH440W-P</v>
          </cell>
          <cell r="J548" t="str">
            <v>BRKT RR FOOTREST</v>
          </cell>
          <cell r="K548" t="str">
            <v>BB8-F1153-00(BB81)</v>
          </cell>
          <cell r="L548" t="str">
            <v>BB81</v>
          </cell>
          <cell r="M548" t="str">
            <v>YSH440W-P</v>
          </cell>
          <cell r="N548" t="str">
            <v>BRKT RR FOOTREST</v>
          </cell>
          <cell r="O548" t="str">
            <v>BB8-F1153-00(BB81)</v>
          </cell>
          <cell r="P548" t="str">
            <v>BB81</v>
          </cell>
          <cell r="Q548" t="str">
            <v>bm</v>
          </cell>
        </row>
        <row r="549">
          <cell r="A549">
            <v>30031953</v>
          </cell>
          <cell r="B549" t="str">
            <v>4.0 x 164+/-0.5 x 1219</v>
          </cell>
          <cell r="C549">
            <v>4</v>
          </cell>
          <cell r="D549">
            <v>164</v>
          </cell>
          <cell r="E549">
            <v>1219</v>
          </cell>
          <cell r="F549">
            <v>6.2773623999999995</v>
          </cell>
          <cell r="G549">
            <v>23</v>
          </cell>
          <cell r="H549">
            <v>77005263</v>
          </cell>
          <cell r="I549" t="str">
            <v>YSH440W-P</v>
          </cell>
          <cell r="J549" t="str">
            <v>BRKT., RR FOOTREST</v>
          </cell>
          <cell r="K549" t="str">
            <v>BB8-F1154-00(BB81)</v>
          </cell>
          <cell r="L549" t="str">
            <v>BB81</v>
          </cell>
          <cell r="M549" t="str">
            <v>YSH440W-P</v>
          </cell>
          <cell r="N549" t="str">
            <v>BRKT., RR FOOTREST</v>
          </cell>
          <cell r="O549" t="str">
            <v>BB8-F1154-00(BB81)</v>
          </cell>
          <cell r="P549" t="str">
            <v>BB81</v>
          </cell>
          <cell r="Q549" t="str">
            <v>bm</v>
          </cell>
        </row>
        <row r="550">
          <cell r="A550">
            <v>30031957</v>
          </cell>
          <cell r="B550" t="str">
            <v>2.0 x 54+/-0.5 x 1219</v>
          </cell>
          <cell r="C550">
            <v>2</v>
          </cell>
          <cell r="D550">
            <v>54</v>
          </cell>
          <cell r="E550">
            <v>1219</v>
          </cell>
          <cell r="F550">
            <v>1.0334681999999999</v>
          </cell>
          <cell r="G550">
            <v>40</v>
          </cell>
          <cell r="H550">
            <v>77005411</v>
          </cell>
          <cell r="I550" t="str">
            <v>YSH270C-P</v>
          </cell>
          <cell r="J550" t="str">
            <v xml:space="preserve">STAY, 2 </v>
          </cell>
          <cell r="K550" t="str">
            <v>BB8-F116E-00(BB81)</v>
          </cell>
          <cell r="L550" t="str">
            <v>BB81</v>
          </cell>
          <cell r="M550" t="str">
            <v>YSH270C-P</v>
          </cell>
          <cell r="N550" t="str">
            <v xml:space="preserve">STAY, 2 </v>
          </cell>
          <cell r="O550" t="str">
            <v>BB8-F116E-00(BB81)</v>
          </cell>
          <cell r="P550" t="str">
            <v>BB81</v>
          </cell>
          <cell r="Q550" t="str">
            <v>epc</v>
          </cell>
        </row>
        <row r="551">
          <cell r="A551">
            <v>30031991</v>
          </cell>
          <cell r="B551" t="str">
            <v>4.0 x 164+/-0.5 x 1219</v>
          </cell>
          <cell r="C551">
            <v>4</v>
          </cell>
          <cell r="D551">
            <v>164</v>
          </cell>
          <cell r="E551">
            <v>1219</v>
          </cell>
          <cell r="F551">
            <v>6.2773623999999995</v>
          </cell>
          <cell r="G551">
            <v>23</v>
          </cell>
          <cell r="H551">
            <v>77005263</v>
          </cell>
          <cell r="I551" t="str">
            <v>YSH440W-P</v>
          </cell>
          <cell r="J551" t="str">
            <v>BRKT RR FOOTREST</v>
          </cell>
          <cell r="K551" t="str">
            <v>BB8-F1153-00(BB81)</v>
          </cell>
          <cell r="L551" t="str">
            <v>BB81</v>
          </cell>
          <cell r="M551" t="str">
            <v>YSH440W-P</v>
          </cell>
          <cell r="N551" t="str">
            <v>BRKT RR FOOTREST</v>
          </cell>
          <cell r="O551" t="str">
            <v>BB8-F1153-00(BB81)</v>
          </cell>
          <cell r="P551" t="str">
            <v>BB81</v>
          </cell>
          <cell r="Q551" t="str">
            <v>bm</v>
          </cell>
        </row>
        <row r="552">
          <cell r="A552">
            <v>30032069</v>
          </cell>
          <cell r="B552" t="str">
            <v>2.0 x 136+/-0.5 x 1219</v>
          </cell>
          <cell r="C552">
            <v>2</v>
          </cell>
          <cell r="D552">
            <v>136</v>
          </cell>
          <cell r="E552">
            <v>1219</v>
          </cell>
          <cell r="F552">
            <v>2.6028088</v>
          </cell>
          <cell r="G552">
            <v>19</v>
          </cell>
          <cell r="H552">
            <v>77005392</v>
          </cell>
          <cell r="I552" t="str">
            <v>YSH270C-P</v>
          </cell>
          <cell r="J552" t="str">
            <v>BRKT., TANK FITTING</v>
          </cell>
          <cell r="K552" t="str">
            <v>BB8-F1345-00(BB81)</v>
          </cell>
          <cell r="L552" t="str">
            <v>BB81</v>
          </cell>
          <cell r="M552" t="str">
            <v>YSH270C-P</v>
          </cell>
          <cell r="N552" t="str">
            <v>BRKT., TANK FITTING</v>
          </cell>
          <cell r="O552" t="str">
            <v>BB8-F1345-00(BB81)</v>
          </cell>
          <cell r="P552" t="str">
            <v>BB81</v>
          </cell>
          <cell r="Q552" t="str">
            <v>tsi</v>
          </cell>
        </row>
        <row r="553">
          <cell r="A553">
            <v>30032070</v>
          </cell>
          <cell r="B553" t="str">
            <v>2.0 x 136+/-0.5 x 1219</v>
          </cell>
          <cell r="C553">
            <v>2</v>
          </cell>
          <cell r="D553">
            <v>136</v>
          </cell>
          <cell r="E553">
            <v>1219</v>
          </cell>
          <cell r="F553">
            <v>2.6028088</v>
          </cell>
          <cell r="G553">
            <v>19</v>
          </cell>
          <cell r="H553">
            <v>77005392</v>
          </cell>
          <cell r="I553" t="str">
            <v>YSH270C-P</v>
          </cell>
          <cell r="J553" t="str">
            <v>BRKT., TANK FITTING</v>
          </cell>
          <cell r="K553" t="str">
            <v>BB8-F1346-00(BB81)</v>
          </cell>
          <cell r="L553" t="str">
            <v>BB81</v>
          </cell>
          <cell r="M553" t="str">
            <v>YSH270C-P</v>
          </cell>
          <cell r="N553" t="str">
            <v>BRKT., TANK FITTING</v>
          </cell>
          <cell r="O553" t="str">
            <v>BB8-F1346-00(BB81)</v>
          </cell>
          <cell r="P553" t="str">
            <v>BB81</v>
          </cell>
          <cell r="Q553" t="str">
            <v>tsi</v>
          </cell>
        </row>
        <row r="554">
          <cell r="A554">
            <v>30032072</v>
          </cell>
          <cell r="B554" t="str">
            <v>2.0 x 142+/-0.5 x 1219</v>
          </cell>
          <cell r="C554">
            <v>2</v>
          </cell>
          <cell r="D554">
            <v>142</v>
          </cell>
          <cell r="E554">
            <v>1219</v>
          </cell>
          <cell r="F554">
            <v>2.7176385999999999</v>
          </cell>
          <cell r="G554">
            <v>11</v>
          </cell>
          <cell r="H554">
            <v>77005394</v>
          </cell>
          <cell r="I554" t="str">
            <v>YSH270C-P</v>
          </cell>
          <cell r="J554" t="str">
            <v>BRKT REGULATOR</v>
          </cell>
          <cell r="K554" t="str">
            <v>BB8-F1287-00(BB81)</v>
          </cell>
          <cell r="L554" t="str">
            <v>BB81</v>
          </cell>
          <cell r="M554" t="str">
            <v>YSH270C-P</v>
          </cell>
          <cell r="N554" t="str">
            <v>BRKT REGULATOR</v>
          </cell>
          <cell r="O554" t="str">
            <v>BB8-F1287-00(BB81)</v>
          </cell>
          <cell r="P554" t="str">
            <v>BB81</v>
          </cell>
          <cell r="Q554" t="str">
            <v>epc</v>
          </cell>
        </row>
        <row r="555">
          <cell r="A555">
            <v>30034442</v>
          </cell>
          <cell r="B555" t="str">
            <v>2.0 x 136+/-0.5 x 1219</v>
          </cell>
          <cell r="C555">
            <v>2</v>
          </cell>
          <cell r="D555">
            <v>136</v>
          </cell>
          <cell r="E555">
            <v>1219</v>
          </cell>
          <cell r="F555">
            <v>2.6028088</v>
          </cell>
          <cell r="G555">
            <v>19</v>
          </cell>
          <cell r="H555">
            <v>77005392</v>
          </cell>
          <cell r="I555" t="str">
            <v>YSH270C-P</v>
          </cell>
          <cell r="J555" t="str">
            <v>BRKT., TANK FITTING</v>
          </cell>
          <cell r="K555" t="str">
            <v>BB8-F1345-01(BB81)</v>
          </cell>
          <cell r="L555" t="str">
            <v>BB81</v>
          </cell>
          <cell r="M555" t="str">
            <v>YSH270C-P</v>
          </cell>
          <cell r="N555" t="str">
            <v>BRKT., TANK FITTING</v>
          </cell>
          <cell r="O555" t="str">
            <v>BB8-F1345-01(BB81)</v>
          </cell>
          <cell r="P555" t="str">
            <v>BB81</v>
          </cell>
          <cell r="Q555" t="str">
            <v>tsi</v>
          </cell>
        </row>
        <row r="556">
          <cell r="A556">
            <v>30034443</v>
          </cell>
          <cell r="B556" t="str">
            <v>2.0 x 136+/-0.5 x 1219</v>
          </cell>
          <cell r="C556">
            <v>2</v>
          </cell>
          <cell r="D556">
            <v>136</v>
          </cell>
          <cell r="E556">
            <v>1219</v>
          </cell>
          <cell r="F556">
            <v>2.6028088</v>
          </cell>
          <cell r="G556">
            <v>19</v>
          </cell>
          <cell r="H556">
            <v>77005392</v>
          </cell>
          <cell r="I556" t="str">
            <v>YSH270C-P</v>
          </cell>
          <cell r="J556" t="str">
            <v>BRKT., TANK FITTING</v>
          </cell>
          <cell r="K556" t="str">
            <v>BB8-F1346-01(BB81)</v>
          </cell>
          <cell r="L556" t="str">
            <v>BB81</v>
          </cell>
          <cell r="M556" t="str">
            <v>YSH270C-P</v>
          </cell>
          <cell r="N556" t="str">
            <v>BRKT., TANK FITTING</v>
          </cell>
          <cell r="O556" t="str">
            <v>BB8-F1346-01(BB81)</v>
          </cell>
          <cell r="P556" t="str">
            <v>BB81</v>
          </cell>
          <cell r="Q556" t="str">
            <v>tsi</v>
          </cell>
        </row>
        <row r="557">
          <cell r="A557">
            <v>73000414</v>
          </cell>
          <cell r="B557" t="str">
            <v>2.0 x 90+/-0.5 x 1219</v>
          </cell>
          <cell r="C557">
            <v>2</v>
          </cell>
          <cell r="D557">
            <v>90</v>
          </cell>
          <cell r="E557">
            <v>1219</v>
          </cell>
          <cell r="F557">
            <v>1.7224470000000001</v>
          </cell>
          <cell r="G557">
            <v>23</v>
          </cell>
          <cell r="H557">
            <v>77005426</v>
          </cell>
          <cell r="I557" t="str">
            <v>SPHC-P/O</v>
          </cell>
          <cell r="J557" t="str">
            <v>BRKT TANK FITTING</v>
          </cell>
          <cell r="K557" t="str">
            <v>2S5-F1347-00</v>
          </cell>
          <cell r="L557" t="str">
            <v>T</v>
          </cell>
          <cell r="M557" t="str">
            <v>SPHC-P/O</v>
          </cell>
          <cell r="N557" t="str">
            <v>BRKT TANK FITTING</v>
          </cell>
          <cell r="O557" t="str">
            <v>2S5-F1347-00</v>
          </cell>
          <cell r="P557" t="str">
            <v>T</v>
          </cell>
          <cell r="Q557" t="str">
            <v>epc</v>
          </cell>
          <cell r="R557">
            <v>200</v>
          </cell>
        </row>
        <row r="558">
          <cell r="A558">
            <v>73000450</v>
          </cell>
          <cell r="B558" t="str">
            <v>1.6 x 64+/-0.5 x 1219</v>
          </cell>
          <cell r="C558">
            <v>1.6</v>
          </cell>
          <cell r="D558">
            <v>64</v>
          </cell>
          <cell r="E558">
            <v>1219</v>
          </cell>
          <cell r="F558">
            <v>0.97988095999999991</v>
          </cell>
          <cell r="G558">
            <v>14</v>
          </cell>
          <cell r="H558">
            <v>77005361</v>
          </cell>
          <cell r="I558" t="str">
            <v>SPHC-P/O</v>
          </cell>
          <cell r="J558" t="str">
            <v xml:space="preserve">BRKT STARTER SWITCH </v>
          </cell>
          <cell r="K558" t="str">
            <v>5MY-F189A-00</v>
          </cell>
          <cell r="L558" t="str">
            <v>T</v>
          </cell>
          <cell r="M558" t="str">
            <v>SPHC-P/O</v>
          </cell>
          <cell r="N558" t="str">
            <v xml:space="preserve">BRKT STARTER SWITCH </v>
          </cell>
          <cell r="O558" t="str">
            <v>5MY-F189A-00</v>
          </cell>
          <cell r="P558" t="str">
            <v>T</v>
          </cell>
          <cell r="Q558" t="str">
            <v>epc</v>
          </cell>
        </row>
        <row r="559">
          <cell r="A559">
            <v>73000456</v>
          </cell>
          <cell r="B559" t="str">
            <v>1.6 x 50+/-0.5 x 1219</v>
          </cell>
          <cell r="C559">
            <v>1.6</v>
          </cell>
          <cell r="D559">
            <v>50</v>
          </cell>
          <cell r="E559">
            <v>1219</v>
          </cell>
          <cell r="F559">
            <v>0.76553199999999999</v>
          </cell>
          <cell r="G559">
            <v>36</v>
          </cell>
          <cell r="H559">
            <v>77005351</v>
          </cell>
          <cell r="I559" t="str">
            <v>SPHC-P/O</v>
          </cell>
          <cell r="J559" t="str">
            <v xml:space="preserve">HOOK </v>
          </cell>
          <cell r="K559" t="str">
            <v>5MY-F139V-00</v>
          </cell>
          <cell r="L559" t="str">
            <v>T</v>
          </cell>
          <cell r="M559" t="str">
            <v>SPHC-P/O</v>
          </cell>
          <cell r="N559" t="str">
            <v xml:space="preserve">HOOK </v>
          </cell>
          <cell r="O559" t="str">
            <v>5MY-F139V-00</v>
          </cell>
          <cell r="P559" t="str">
            <v>T</v>
          </cell>
          <cell r="Q559" t="str">
            <v>epc</v>
          </cell>
        </row>
        <row r="560">
          <cell r="A560">
            <v>73000460</v>
          </cell>
          <cell r="B560" t="str">
            <v>2.0 x 159+/-0.5 x 1219</v>
          </cell>
          <cell r="C560">
            <v>2</v>
          </cell>
          <cell r="D560">
            <v>159</v>
          </cell>
          <cell r="E560">
            <v>1219</v>
          </cell>
          <cell r="F560">
            <v>3.0429896999999997</v>
          </cell>
          <cell r="G560">
            <v>24</v>
          </cell>
          <cell r="H560">
            <v>77005400</v>
          </cell>
          <cell r="I560" t="str">
            <v>SPHC-P/O</v>
          </cell>
          <cell r="J560" t="str">
            <v xml:space="preserve">BRKT  1 </v>
          </cell>
          <cell r="K560" t="str">
            <v>1P7-F115K-00-00-H1</v>
          </cell>
          <cell r="L560" t="str">
            <v>T</v>
          </cell>
          <cell r="M560" t="str">
            <v>SPHC-P/O</v>
          </cell>
          <cell r="N560" t="str">
            <v xml:space="preserve">BRKT  1 </v>
          </cell>
          <cell r="O560" t="str">
            <v>1P7-F115K-00-00-H1</v>
          </cell>
          <cell r="P560" t="str">
            <v>T</v>
          </cell>
          <cell r="Q560" t="str">
            <v>tsi</v>
          </cell>
        </row>
        <row r="561">
          <cell r="A561">
            <v>73000682</v>
          </cell>
          <cell r="B561" t="str">
            <v>2.0 x 90+/-0.5 x 1219</v>
          </cell>
          <cell r="C561">
            <v>2</v>
          </cell>
          <cell r="D561">
            <v>90</v>
          </cell>
          <cell r="E561">
            <v>1219</v>
          </cell>
          <cell r="F561">
            <v>1.7224470000000001</v>
          </cell>
          <cell r="G561">
            <v>28</v>
          </cell>
          <cell r="H561">
            <v>77005426</v>
          </cell>
          <cell r="I561" t="str">
            <v>SPHC-P/O</v>
          </cell>
          <cell r="J561" t="str">
            <v>BRKT STOP SWITCH</v>
          </cell>
          <cell r="K561" t="str">
            <v>4S3-F1441-00</v>
          </cell>
          <cell r="L561" t="str">
            <v>T</v>
          </cell>
          <cell r="M561" t="str">
            <v>SPHC-P/O</v>
          </cell>
          <cell r="N561" t="str">
            <v>BRKT STOP SWITCH</v>
          </cell>
          <cell r="O561" t="str">
            <v>4S3-F1441-00</v>
          </cell>
          <cell r="P561" t="str">
            <v>T</v>
          </cell>
          <cell r="Q561" t="str">
            <v>epc</v>
          </cell>
          <cell r="R561">
            <v>200</v>
          </cell>
        </row>
        <row r="562">
          <cell r="A562">
            <v>73000765</v>
          </cell>
          <cell r="B562" t="str">
            <v>1.6 x 71+/-0.5 x 1219</v>
          </cell>
          <cell r="C562">
            <v>1.6</v>
          </cell>
          <cell r="D562">
            <v>71</v>
          </cell>
          <cell r="E562">
            <v>1219</v>
          </cell>
          <cell r="F562">
            <v>1.0870554400000001</v>
          </cell>
          <cell r="G562">
            <v>28</v>
          </cell>
          <cell r="H562">
            <v>77005367</v>
          </cell>
          <cell r="I562" t="str">
            <v>SPHC-P/O</v>
          </cell>
          <cell r="J562" t="str">
            <v xml:space="preserve">GUSSET  3 </v>
          </cell>
          <cell r="K562" t="str">
            <v>5PO-F112A-00-00-80-7707-9112</v>
          </cell>
          <cell r="L562" t="str">
            <v>T</v>
          </cell>
          <cell r="M562" t="str">
            <v>SPHC-P/O</v>
          </cell>
          <cell r="N562" t="str">
            <v xml:space="preserve">GUSSET  3 </v>
          </cell>
          <cell r="O562" t="str">
            <v>5PO-F112A-00-00-80-7707-9112</v>
          </cell>
          <cell r="P562" t="str">
            <v>T</v>
          </cell>
          <cell r="Q562" t="str">
            <v>epc</v>
          </cell>
        </row>
        <row r="563">
          <cell r="A563">
            <v>73000766</v>
          </cell>
          <cell r="B563" t="str">
            <v>1.6 x 57+/-0.5 x 1219</v>
          </cell>
          <cell r="C563">
            <v>1.6</v>
          </cell>
          <cell r="D563">
            <v>57</v>
          </cell>
          <cell r="E563">
            <v>1219</v>
          </cell>
          <cell r="F563">
            <v>0.87270647999999995</v>
          </cell>
          <cell r="G563">
            <v>22</v>
          </cell>
          <cell r="H563">
            <v>77005357</v>
          </cell>
          <cell r="I563" t="str">
            <v>SPHC-P/O</v>
          </cell>
          <cell r="J563" t="str">
            <v>GUSSET  4</v>
          </cell>
          <cell r="K563" t="str">
            <v>5PO-F112E-00-00-80-7707-9112</v>
          </cell>
          <cell r="L563" t="str">
            <v>T</v>
          </cell>
          <cell r="M563" t="str">
            <v>SPHC-P/O</v>
          </cell>
          <cell r="N563" t="str">
            <v>GUSSET  4</v>
          </cell>
          <cell r="O563" t="str">
            <v>5PO-F112E-00-00-80-7707-9112</v>
          </cell>
          <cell r="P563" t="str">
            <v>T</v>
          </cell>
          <cell r="Q563" t="str">
            <v>tsi</v>
          </cell>
        </row>
        <row r="564">
          <cell r="A564">
            <v>73003289</v>
          </cell>
          <cell r="B564" t="str">
            <v>3.2 x 78+/-0.5 x 1219</v>
          </cell>
          <cell r="C564">
            <v>3.2</v>
          </cell>
          <cell r="D564">
            <v>78</v>
          </cell>
          <cell r="E564">
            <v>1219</v>
          </cell>
          <cell r="F564">
            <v>2.3884598399999999</v>
          </cell>
          <cell r="G564">
            <v>17</v>
          </cell>
          <cell r="H564">
            <v>77005515</v>
          </cell>
          <cell r="I564" t="str">
            <v>SPHC-P/O</v>
          </cell>
          <cell r="J564" t="str">
            <v>STAY MUFF 1-2</v>
          </cell>
          <cell r="K564" t="str">
            <v>Y50P-E4781-1000-3050</v>
          </cell>
          <cell r="L564" t="str">
            <v>T</v>
          </cell>
          <cell r="M564" t="str">
            <v>SPHC-P/O</v>
          </cell>
          <cell r="N564" t="str">
            <v>STAY MUFF 1-2</v>
          </cell>
          <cell r="O564" t="str">
            <v>Y50P-E4781-1000-3050</v>
          </cell>
          <cell r="P564" t="str">
            <v>T</v>
          </cell>
          <cell r="Q564" t="str">
            <v>tsi</v>
          </cell>
        </row>
        <row r="565">
          <cell r="A565">
            <v>73003813</v>
          </cell>
          <cell r="B565" t="str">
            <v>2.6 x 65+/-0.5 x 1219</v>
          </cell>
          <cell r="C565">
            <v>2.6</v>
          </cell>
          <cell r="D565">
            <v>65</v>
          </cell>
          <cell r="E565">
            <v>1219</v>
          </cell>
          <cell r="F565">
            <v>1.6171863499999999</v>
          </cell>
          <cell r="G565">
            <v>22</v>
          </cell>
          <cell r="H565">
            <v>77005467</v>
          </cell>
          <cell r="I565" t="str">
            <v>SPHC-P/O</v>
          </cell>
          <cell r="J565" t="str">
            <v>BRKT 1-1CP</v>
          </cell>
          <cell r="K565" t="str">
            <v>1P7-E471K-00</v>
          </cell>
          <cell r="L565" t="str">
            <v>T</v>
          </cell>
          <cell r="M565" t="str">
            <v>SPHC-P/O</v>
          </cell>
          <cell r="N565" t="str">
            <v>BRKT 1-1CP</v>
          </cell>
          <cell r="O565" t="str">
            <v>1P7-E471K-00</v>
          </cell>
          <cell r="P565" t="str">
            <v>T</v>
          </cell>
          <cell r="Q565" t="str">
            <v>epc</v>
          </cell>
        </row>
        <row r="566">
          <cell r="A566" t="str">
            <v>30024226-1</v>
          </cell>
          <cell r="B566" t="str">
            <v>1.6 x 80+/-0.5 x 1219</v>
          </cell>
          <cell r="C566">
            <v>1.6</v>
          </cell>
          <cell r="D566">
            <v>80</v>
          </cell>
          <cell r="E566">
            <v>1219</v>
          </cell>
          <cell r="F566">
            <v>1.2248512</v>
          </cell>
          <cell r="G566">
            <v>24</v>
          </cell>
          <cell r="H566">
            <v>77005372</v>
          </cell>
          <cell r="I566" t="str">
            <v>YSH270C-P</v>
          </cell>
          <cell r="J566" t="str">
            <v>STAY 3</v>
          </cell>
          <cell r="K566" t="str">
            <v>2BL-F122C-00</v>
          </cell>
          <cell r="L566" t="str">
            <v>T</v>
          </cell>
          <cell r="M566" t="str">
            <v>YSH270C-P</v>
          </cell>
          <cell r="N566" t="str">
            <v>STAY 3</v>
          </cell>
          <cell r="O566" t="str">
            <v>2BL-F122C-00</v>
          </cell>
          <cell r="P566" t="str">
            <v>T</v>
          </cell>
          <cell r="Q566" t="str">
            <v>tsi</v>
          </cell>
          <cell r="R566">
            <v>200</v>
          </cell>
        </row>
        <row r="567">
          <cell r="A567" t="str">
            <v>30031948-1</v>
          </cell>
          <cell r="B567" t="str">
            <v>2.3 x 257+/-0.5 x 1219</v>
          </cell>
          <cell r="C567">
            <v>2.2999999999999998</v>
          </cell>
          <cell r="D567">
            <v>257</v>
          </cell>
          <cell r="E567">
            <v>1219</v>
          </cell>
          <cell r="F567">
            <v>5.6563245649999994</v>
          </cell>
          <cell r="G567">
            <v>9</v>
          </cell>
          <cell r="H567">
            <v>77005256</v>
          </cell>
          <cell r="I567" t="str">
            <v>YSH440W-P</v>
          </cell>
          <cell r="J567" t="str">
            <v>BRKT ., BOX 1</v>
          </cell>
          <cell r="K567" t="str">
            <v>BB8-F133A-00(BB81)</v>
          </cell>
          <cell r="L567" t="str">
            <v>BB81</v>
          </cell>
          <cell r="M567" t="str">
            <v>YSH440W-P</v>
          </cell>
          <cell r="N567" t="str">
            <v>BRKT ., BOX 1</v>
          </cell>
          <cell r="O567" t="str">
            <v>BB8-F133A-00(BB81)</v>
          </cell>
          <cell r="P567" t="str">
            <v>BB81</v>
          </cell>
          <cell r="Q567" t="str">
            <v>bm</v>
          </cell>
        </row>
        <row r="568">
          <cell r="A568" t="str">
            <v>30031948-2</v>
          </cell>
          <cell r="B568" t="str">
            <v>2.0 x 247+/-0.5 x 1219</v>
          </cell>
          <cell r="C568">
            <v>2</v>
          </cell>
          <cell r="D568">
            <v>247</v>
          </cell>
          <cell r="E568">
            <v>1219</v>
          </cell>
          <cell r="F568">
            <v>4.7271600999999999</v>
          </cell>
          <cell r="G568">
            <v>8</v>
          </cell>
          <cell r="H568">
            <v>77005406</v>
          </cell>
          <cell r="I568" t="str">
            <v>YSH270C-P</v>
          </cell>
          <cell r="J568" t="str">
            <v>BRKT ., BOX 1</v>
          </cell>
          <cell r="K568" t="str">
            <v>BB8-F133A-00(BB81)</v>
          </cell>
          <cell r="L568" t="str">
            <v>BB81</v>
          </cell>
          <cell r="M568" t="str">
            <v>YSH270C-P</v>
          </cell>
          <cell r="N568" t="str">
            <v>BRKT ., BOX 1</v>
          </cell>
          <cell r="O568" t="str">
            <v>BB8-F133A-00(BB81)</v>
          </cell>
          <cell r="P568" t="str">
            <v>BB81</v>
          </cell>
          <cell r="Q568" t="str">
            <v>epc</v>
          </cell>
        </row>
        <row r="569">
          <cell r="A569" t="str">
            <v>30031948-3</v>
          </cell>
          <cell r="B569" t="str">
            <v>2.0 x 152+/-0.5 x 1219</v>
          </cell>
          <cell r="C569">
            <v>2</v>
          </cell>
          <cell r="D569">
            <v>152</v>
          </cell>
          <cell r="E569">
            <v>1219</v>
          </cell>
          <cell r="F569">
            <v>2.9090216</v>
          </cell>
          <cell r="G569">
            <v>17</v>
          </cell>
          <cell r="H569">
            <v>77005397</v>
          </cell>
          <cell r="I569" t="str">
            <v>YSH270C-P</v>
          </cell>
          <cell r="J569" t="str">
            <v>BRKT ., BOX 1</v>
          </cell>
          <cell r="K569" t="str">
            <v>BB8-F133A-00(BB81)</v>
          </cell>
          <cell r="L569" t="str">
            <v>BB81</v>
          </cell>
          <cell r="M569" t="str">
            <v>YSH270C-P</v>
          </cell>
          <cell r="N569" t="str">
            <v>BRKT ., BOX 1</v>
          </cell>
          <cell r="O569" t="str">
            <v>BB8-F133A-00(BB81)</v>
          </cell>
          <cell r="P569" t="str">
            <v>BB81</v>
          </cell>
          <cell r="Q569" t="str">
            <v>epc</v>
          </cell>
        </row>
        <row r="570">
          <cell r="A570" t="str">
            <v>30031948-4</v>
          </cell>
          <cell r="B570" t="str">
            <v>1.6 x 46+/-0.5 x 1219</v>
          </cell>
          <cell r="C570">
            <v>1.6</v>
          </cell>
          <cell r="D570">
            <v>46</v>
          </cell>
          <cell r="E570">
            <v>1219</v>
          </cell>
          <cell r="F570">
            <v>0.70428944000000004</v>
          </cell>
          <cell r="G570">
            <v>38</v>
          </cell>
          <cell r="H570">
            <v>77005348</v>
          </cell>
          <cell r="I570" t="str">
            <v>YSH270C-P</v>
          </cell>
          <cell r="J570" t="str">
            <v>BRKT ., BOX 1</v>
          </cell>
          <cell r="K570" t="str">
            <v>BB8-F133A-00(BB81)</v>
          </cell>
          <cell r="L570" t="str">
            <v>BB81</v>
          </cell>
          <cell r="M570" t="str">
            <v>YSH270C-P</v>
          </cell>
          <cell r="N570" t="str">
            <v>BRKT ., BOX 1</v>
          </cell>
          <cell r="O570" t="str">
            <v>BB8-F133A-00(BB81)</v>
          </cell>
          <cell r="P570" t="str">
            <v>BB81</v>
          </cell>
          <cell r="Q570" t="str">
            <v>epc</v>
          </cell>
        </row>
        <row r="571">
          <cell r="A571" t="str">
            <v>30031948-5</v>
          </cell>
          <cell r="B571" t="str">
            <v>2.0 x 145+/-0.5 x 1219</v>
          </cell>
          <cell r="C571">
            <v>2</v>
          </cell>
          <cell r="D571">
            <v>145</v>
          </cell>
          <cell r="E571">
            <v>1219</v>
          </cell>
          <cell r="F571">
            <v>2.7750534999999998</v>
          </cell>
          <cell r="G571">
            <v>31</v>
          </cell>
          <cell r="H571">
            <v>77005395</v>
          </cell>
          <cell r="I571" t="str">
            <v>YSH270C-P</v>
          </cell>
          <cell r="J571" t="str">
            <v>BRKT ., BOX 1</v>
          </cell>
          <cell r="K571" t="str">
            <v>BB8-F133A-00(BB81)</v>
          </cell>
          <cell r="L571" t="str">
            <v>BB81</v>
          </cell>
          <cell r="M571" t="str">
            <v>YSH270C-P</v>
          </cell>
          <cell r="N571" t="str">
            <v>BRKT ., BOX 1</v>
          </cell>
          <cell r="O571" t="str">
            <v>BB8-F133A-00(BB81)</v>
          </cell>
          <cell r="P571" t="str">
            <v>BB81</v>
          </cell>
          <cell r="Q571" t="str">
            <v>epc</v>
          </cell>
        </row>
        <row r="572">
          <cell r="A572" t="str">
            <v>30031948-6</v>
          </cell>
          <cell r="B572" t="str">
            <v>2.6 x 195+/-0.5 x 1219</v>
          </cell>
          <cell r="C572">
            <v>2.6</v>
          </cell>
          <cell r="D572">
            <v>195</v>
          </cell>
          <cell r="E572">
            <v>1219</v>
          </cell>
          <cell r="F572">
            <v>4.8515590499999997</v>
          </cell>
          <cell r="G572">
            <v>36</v>
          </cell>
          <cell r="H572">
            <v>77005453</v>
          </cell>
          <cell r="I572" t="str">
            <v>YSH270C-P</v>
          </cell>
          <cell r="J572" t="str">
            <v>BRKT ., BOX 1</v>
          </cell>
          <cell r="K572" t="str">
            <v>BB8-F133A-00(BB81)</v>
          </cell>
          <cell r="L572" t="str">
            <v>BB81</v>
          </cell>
          <cell r="M572" t="str">
            <v>YSH270C-P</v>
          </cell>
          <cell r="N572" t="str">
            <v>BRKT ., BOX 1</v>
          </cell>
          <cell r="O572" t="str">
            <v>BB8-F133A-00(BB81)</v>
          </cell>
          <cell r="P572" t="str">
            <v>BB81</v>
          </cell>
          <cell r="Q572" t="str">
            <v>tsi</v>
          </cell>
        </row>
        <row r="573">
          <cell r="A573" t="str">
            <v>30031952-1</v>
          </cell>
          <cell r="B573" t="str">
            <v>4.0 x 107+/-0.5 x 1219</v>
          </cell>
          <cell r="C573">
            <v>4</v>
          </cell>
          <cell r="D573">
            <v>107</v>
          </cell>
          <cell r="E573">
            <v>1219</v>
          </cell>
          <cell r="F573">
            <v>4.0955962000000001</v>
          </cell>
          <cell r="G573">
            <v>18</v>
          </cell>
          <cell r="H573">
            <v>77005261</v>
          </cell>
          <cell r="I573" t="str">
            <v>YSH440W-P</v>
          </cell>
          <cell r="J573" t="str">
            <v>BRKT., SIDE STAND</v>
          </cell>
          <cell r="K573" t="str">
            <v>BB8-F1458-00(BB81)</v>
          </cell>
          <cell r="L573" t="str">
            <v>BB81</v>
          </cell>
          <cell r="M573" t="str">
            <v>YSH440W-P</v>
          </cell>
          <cell r="N573" t="str">
            <v>BRKT., SIDE STAND</v>
          </cell>
          <cell r="O573" t="str">
            <v>BB8-F1458-00(BB81)</v>
          </cell>
          <cell r="P573" t="str">
            <v>BB81</v>
          </cell>
          <cell r="Q573" t="str">
            <v>bm</v>
          </cell>
        </row>
        <row r="574">
          <cell r="A574" t="str">
            <v>30031952-2</v>
          </cell>
          <cell r="B574" t="str">
            <v>8.0 x 66+/-0.5 x 1219</v>
          </cell>
          <cell r="C574">
            <v>8</v>
          </cell>
          <cell r="D574">
            <v>66</v>
          </cell>
          <cell r="E574">
            <v>1219</v>
          </cell>
          <cell r="F574">
            <v>5.0525112000000005</v>
          </cell>
          <cell r="G574">
            <v>19</v>
          </cell>
          <cell r="I574" t="str">
            <v>YSH440W-P</v>
          </cell>
          <cell r="J574" t="str">
            <v>BRKT., SIDE STAND</v>
          </cell>
          <cell r="K574" t="str">
            <v>BB8-F1458-00(BB81)</v>
          </cell>
          <cell r="L574" t="str">
            <v>BB81</v>
          </cell>
          <cell r="M574" t="str">
            <v>YSH440W-P</v>
          </cell>
          <cell r="N574" t="str">
            <v>BRKT., SIDE STAND</v>
          </cell>
          <cell r="O574" t="str">
            <v>BB8-F1458-00(BB81)</v>
          </cell>
          <cell r="P574" t="str">
            <v>BB81</v>
          </cell>
          <cell r="Q574" t="e">
            <v>#N/A</v>
          </cell>
        </row>
        <row r="575">
          <cell r="A575" t="str">
            <v>30031952-3</v>
          </cell>
          <cell r="B575" t="str">
            <v>1.6 x 44+/-0.5 x 1219</v>
          </cell>
          <cell r="C575">
            <v>1.6</v>
          </cell>
          <cell r="D575">
            <v>44</v>
          </cell>
          <cell r="E575">
            <v>1219</v>
          </cell>
          <cell r="F575">
            <v>0.67366816000000007</v>
          </cell>
          <cell r="G575">
            <v>35</v>
          </cell>
          <cell r="H575">
            <v>77005249</v>
          </cell>
          <cell r="I575" t="str">
            <v>YSH440W-P</v>
          </cell>
          <cell r="J575" t="str">
            <v>BRKT., SIDE STAND</v>
          </cell>
          <cell r="K575" t="str">
            <v>BB8-F1458-00(BB81)</v>
          </cell>
          <cell r="L575" t="str">
            <v>BB81</v>
          </cell>
          <cell r="M575" t="str">
            <v>YSH440W-P</v>
          </cell>
          <cell r="N575" t="str">
            <v>BRKT., SIDE STAND</v>
          </cell>
          <cell r="O575" t="str">
            <v>BB8-F1458-00(BB81)</v>
          </cell>
          <cell r="P575" t="str">
            <v>BB81</v>
          </cell>
          <cell r="Q575" t="str">
            <v>bm</v>
          </cell>
        </row>
        <row r="576">
          <cell r="A576" t="str">
            <v>30031952-4</v>
          </cell>
          <cell r="B576" t="str">
            <v>4.0 x 104+/-0.5 x 1219</v>
          </cell>
          <cell r="C576">
            <v>4</v>
          </cell>
          <cell r="D576">
            <v>104</v>
          </cell>
          <cell r="E576">
            <v>1219</v>
          </cell>
          <cell r="F576">
            <v>3.9807663999999998</v>
          </cell>
          <cell r="G576">
            <v>20</v>
          </cell>
          <cell r="H576">
            <v>77005259</v>
          </cell>
          <cell r="I576" t="str">
            <v>YSH440W-P</v>
          </cell>
          <cell r="J576" t="str">
            <v>BRKT., SIDE STAND</v>
          </cell>
          <cell r="K576" t="str">
            <v>BB8-F1458-00(BB81)</v>
          </cell>
          <cell r="L576" t="str">
            <v>BB81</v>
          </cell>
          <cell r="M576" t="str">
            <v>YSH440W-P</v>
          </cell>
          <cell r="N576" t="str">
            <v>BRKT., SIDE STAND</v>
          </cell>
          <cell r="O576" t="str">
            <v>BB8-F1458-00(BB81)</v>
          </cell>
          <cell r="P576" t="str">
            <v>BB81</v>
          </cell>
          <cell r="Q576" t="str">
            <v>bm</v>
          </cell>
        </row>
        <row r="577">
          <cell r="A577" t="str">
            <v>30031952-5</v>
          </cell>
          <cell r="B577" t="str">
            <v>4.0 x 105+/-0.5 x 1219</v>
          </cell>
          <cell r="C577">
            <v>4</v>
          </cell>
          <cell r="D577">
            <v>105</v>
          </cell>
          <cell r="E577">
            <v>1219</v>
          </cell>
          <cell r="F577">
            <v>4.0190429999999999</v>
          </cell>
          <cell r="G577">
            <v>50</v>
          </cell>
          <cell r="H577">
            <v>77005260</v>
          </cell>
          <cell r="I577" t="str">
            <v>YSH440W-P</v>
          </cell>
          <cell r="J577" t="str">
            <v>BRKT., SIDE STAND</v>
          </cell>
          <cell r="K577" t="str">
            <v>BB8-F1458-00(BB81)</v>
          </cell>
          <cell r="L577" t="str">
            <v>BB81</v>
          </cell>
          <cell r="M577" t="str">
            <v>YSH440W-P</v>
          </cell>
          <cell r="N577" t="str">
            <v>BRKT., SIDE STAND</v>
          </cell>
          <cell r="O577" t="str">
            <v>BB8-F1458-00(BB81)</v>
          </cell>
          <cell r="P577" t="str">
            <v>BB81</v>
          </cell>
          <cell r="Q577" t="str">
            <v>bm</v>
          </cell>
        </row>
        <row r="578">
          <cell r="A578" t="str">
            <v>30031952-6</v>
          </cell>
          <cell r="B578" t="str">
            <v>2.0 x 150+/-0.5 x 1219</v>
          </cell>
          <cell r="C578">
            <v>2</v>
          </cell>
          <cell r="D578">
            <v>150</v>
          </cell>
          <cell r="E578">
            <v>1219</v>
          </cell>
          <cell r="F578">
            <v>2.8707449999999999</v>
          </cell>
          <cell r="G578">
            <v>27</v>
          </cell>
          <cell r="H578">
            <v>77005250</v>
          </cell>
          <cell r="I578" t="str">
            <v>YSH440W-P</v>
          </cell>
          <cell r="J578" t="str">
            <v>BRKT., SIDE STAND</v>
          </cell>
          <cell r="K578" t="str">
            <v>BB8-F1458-00(BB81)</v>
          </cell>
          <cell r="L578" t="str">
            <v>BB81</v>
          </cell>
          <cell r="M578" t="str">
            <v>YSH440W-P</v>
          </cell>
          <cell r="N578" t="str">
            <v>BRKT., SIDE STAND</v>
          </cell>
          <cell r="O578" t="str">
            <v>BB8-F1458-00(BB81)</v>
          </cell>
          <cell r="P578" t="str">
            <v>BB81</v>
          </cell>
          <cell r="Q578" t="str">
            <v>bm</v>
          </cell>
        </row>
        <row r="579">
          <cell r="A579" t="str">
            <v>30032061-1</v>
          </cell>
          <cell r="B579" t="str">
            <v>2.0 x 208+/-0.5 x 1219</v>
          </cell>
          <cell r="C579">
            <v>2</v>
          </cell>
          <cell r="D579">
            <v>208</v>
          </cell>
          <cell r="E579">
            <v>1219</v>
          </cell>
          <cell r="F579">
            <v>3.9807663999999998</v>
          </cell>
          <cell r="G579">
            <v>5</v>
          </cell>
          <cell r="H579">
            <v>77005252</v>
          </cell>
          <cell r="I579" t="str">
            <v>YSH440W-P</v>
          </cell>
          <cell r="J579" t="str">
            <v>GUSSET - ASSY</v>
          </cell>
          <cell r="K579" t="str">
            <v>BB8-F113A-00-ASSY(BB81)</v>
          </cell>
          <cell r="L579" t="str">
            <v>BB81</v>
          </cell>
          <cell r="M579" t="str">
            <v>YSH440W-P</v>
          </cell>
          <cell r="N579" t="str">
            <v>GUSSET - ASSY</v>
          </cell>
          <cell r="O579" t="str">
            <v>BB8-F113A-00-ASSY(BB81)</v>
          </cell>
          <cell r="P579" t="str">
            <v>BB81</v>
          </cell>
          <cell r="Q579" t="str">
            <v>bm</v>
          </cell>
        </row>
        <row r="580">
          <cell r="A580" t="str">
            <v>30032061-2</v>
          </cell>
          <cell r="B580" t="str">
            <v>2.3 x 150+/-0.5 x 1219</v>
          </cell>
          <cell r="C580">
            <v>2.2999999999999998</v>
          </cell>
          <cell r="D580">
            <v>150</v>
          </cell>
          <cell r="E580">
            <v>1219</v>
          </cell>
          <cell r="F580">
            <v>3.3013567500000001</v>
          </cell>
          <cell r="G580">
            <v>30</v>
          </cell>
          <cell r="H580">
            <v>77005254</v>
          </cell>
          <cell r="I580" t="str">
            <v>YSH440W-P</v>
          </cell>
          <cell r="J580" t="str">
            <v>GUSSET - ASSY</v>
          </cell>
          <cell r="K580" t="str">
            <v>BB8-F113A-00-ASSY(BB81)</v>
          </cell>
          <cell r="L580" t="str">
            <v>BB81</v>
          </cell>
          <cell r="M580" t="str">
            <v>YSH440W-P</v>
          </cell>
          <cell r="N580" t="str">
            <v>GUSSET - ASSY</v>
          </cell>
          <cell r="O580" t="str">
            <v>BB8-F113A-00-ASSY(BB81)</v>
          </cell>
          <cell r="P580" t="str">
            <v>BB81</v>
          </cell>
          <cell r="Q580" t="str">
            <v>bm</v>
          </cell>
        </row>
        <row r="581">
          <cell r="A581" t="str">
            <v>30032061-3</v>
          </cell>
          <cell r="B581" t="str">
            <v>2.3 x 150+/-0.5 x 1219</v>
          </cell>
          <cell r="C581">
            <v>2.2999999999999998</v>
          </cell>
          <cell r="D581">
            <v>150</v>
          </cell>
          <cell r="E581">
            <v>1219</v>
          </cell>
          <cell r="F581">
            <v>3.3013567500000001</v>
          </cell>
          <cell r="G581">
            <v>30</v>
          </cell>
          <cell r="H581">
            <v>77005254</v>
          </cell>
          <cell r="I581" t="str">
            <v>YSH440W-P</v>
          </cell>
          <cell r="J581" t="str">
            <v>GUSSET - ASSY</v>
          </cell>
          <cell r="K581" t="str">
            <v>BB8-F113A-00-ASSY(BB81)</v>
          </cell>
          <cell r="L581" t="str">
            <v>BB81</v>
          </cell>
          <cell r="M581" t="str">
            <v>YSH440W-P</v>
          </cell>
          <cell r="N581" t="str">
            <v>GUSSET - ASSY</v>
          </cell>
          <cell r="O581" t="str">
            <v>BB8-F113A-00-ASSY(BB81)</v>
          </cell>
          <cell r="P581" t="str">
            <v>BB81</v>
          </cell>
          <cell r="Q581" t="str">
            <v>bm</v>
          </cell>
        </row>
        <row r="582">
          <cell r="A582" t="str">
            <v>30032061-4</v>
          </cell>
          <cell r="B582" t="str">
            <v>2.0 x 206+/-0.5 x 1219</v>
          </cell>
          <cell r="C582">
            <v>2</v>
          </cell>
          <cell r="D582">
            <v>206</v>
          </cell>
          <cell r="E582">
            <v>1219</v>
          </cell>
          <cell r="F582">
            <v>3.9424897999999997</v>
          </cell>
          <cell r="G582">
            <v>10</v>
          </cell>
          <cell r="H582">
            <v>77005251</v>
          </cell>
          <cell r="I582" t="str">
            <v>YSH440W-P</v>
          </cell>
          <cell r="J582" t="str">
            <v>GUSSET - ASSY</v>
          </cell>
          <cell r="K582" t="str">
            <v>BB8-F113A-00-ASSY(BB81)</v>
          </cell>
          <cell r="L582" t="str">
            <v>BB81</v>
          </cell>
          <cell r="M582" t="str">
            <v>YSH440W-P</v>
          </cell>
          <cell r="N582" t="str">
            <v>GUSSET - ASSY</v>
          </cell>
          <cell r="O582" t="str">
            <v>BB8-F113A-00-ASSY(BB81)</v>
          </cell>
          <cell r="P582" t="str">
            <v>BB81</v>
          </cell>
          <cell r="Q582" t="str">
            <v>bm</v>
          </cell>
        </row>
        <row r="583">
          <cell r="A583" t="str">
            <v>73001575-1</v>
          </cell>
          <cell r="B583" t="str">
            <v>1.6 x 83+/-0.5 x 1219</v>
          </cell>
          <cell r="C583">
            <v>1.6</v>
          </cell>
          <cell r="D583">
            <v>83</v>
          </cell>
          <cell r="E583">
            <v>1219</v>
          </cell>
          <cell r="F583">
            <v>1.2707831200000002</v>
          </cell>
          <cell r="G583">
            <v>23</v>
          </cell>
          <cell r="H583">
            <v>77005373</v>
          </cell>
          <cell r="I583" t="str">
            <v>SPHC-P/O</v>
          </cell>
          <cell r="J583" t="str">
            <v>STAY MUFF 1-1</v>
          </cell>
          <cell r="K583" t="str">
            <v>Y50P-E4771-1000-3050</v>
          </cell>
          <cell r="L583" t="str">
            <v>T</v>
          </cell>
          <cell r="M583" t="str">
            <v>SPHC-P/O</v>
          </cell>
          <cell r="N583" t="str">
            <v>STAY MUFF 1-1</v>
          </cell>
          <cell r="O583" t="str">
            <v>Y50P-E4771-1000-3050</v>
          </cell>
          <cell r="P583" t="str">
            <v>T</v>
          </cell>
          <cell r="Q583" t="str">
            <v>epc</v>
          </cell>
        </row>
        <row r="584">
          <cell r="A584" t="str">
            <v>73013139-1</v>
          </cell>
          <cell r="B584" t="str">
            <v>2.6 x 102+/-0.5 x 1219</v>
          </cell>
          <cell r="C584">
            <v>2.6</v>
          </cell>
          <cell r="D584">
            <v>102</v>
          </cell>
          <cell r="E584">
            <v>1219</v>
          </cell>
          <cell r="F584">
            <v>2.5377385799999996</v>
          </cell>
          <cell r="G584">
            <v>36</v>
          </cell>
          <cell r="H584">
            <v>77005450</v>
          </cell>
          <cell r="I584" t="str">
            <v>YSH270C-P</v>
          </cell>
          <cell r="J584" t="str">
            <v>BRKT, HORN 1</v>
          </cell>
          <cell r="K584" t="str">
            <v>2CM-F134K-10</v>
          </cell>
          <cell r="L584" t="str">
            <v>2CM4</v>
          </cell>
          <cell r="M584" t="str">
            <v>YSH270C-P</v>
          </cell>
          <cell r="N584" t="str">
            <v>BRKT, HORN 1</v>
          </cell>
          <cell r="O584" t="str">
            <v>2CM-F134K-10</v>
          </cell>
          <cell r="P584" t="str">
            <v>2CM4</v>
          </cell>
          <cell r="Q584" t="str">
            <v>epc</v>
          </cell>
        </row>
        <row r="585">
          <cell r="A585" t="str">
            <v>73013139-2</v>
          </cell>
          <cell r="B585" t="str">
            <v>2.6 x 81+/-0.5 x 1219</v>
          </cell>
          <cell r="C585">
            <v>2.6</v>
          </cell>
          <cell r="D585">
            <v>81</v>
          </cell>
          <cell r="E585">
            <v>1219</v>
          </cell>
          <cell r="F585">
            <v>2.0152629899999996</v>
          </cell>
          <cell r="G585">
            <v>19</v>
          </cell>
          <cell r="H585">
            <v>77005470</v>
          </cell>
          <cell r="I585" t="str">
            <v>YSH270C-P</v>
          </cell>
          <cell r="J585" t="str">
            <v>BRKT, HORN 2</v>
          </cell>
          <cell r="K585" t="str">
            <v>2CM-F134L-00</v>
          </cell>
          <cell r="L585" t="str">
            <v>2CM4</v>
          </cell>
          <cell r="M585" t="str">
            <v>YSH270C-P</v>
          </cell>
          <cell r="N585" t="str">
            <v>BRKT, HORN 2</v>
          </cell>
          <cell r="O585" t="str">
            <v>2CM-F134L-00</v>
          </cell>
          <cell r="P585" t="str">
            <v>2CM4</v>
          </cell>
          <cell r="Q585" t="str">
            <v>epc</v>
          </cell>
        </row>
        <row r="586">
          <cell r="A586" t="str">
            <v>73013139-3</v>
          </cell>
          <cell r="B586" t="str">
            <v>2.0 x 61+/-0.5 x 1219</v>
          </cell>
          <cell r="C586">
            <v>2</v>
          </cell>
          <cell r="D586">
            <v>61</v>
          </cell>
          <cell r="E586">
            <v>1219</v>
          </cell>
          <cell r="F586">
            <v>1.1674363000000001</v>
          </cell>
          <cell r="G586">
            <v>29</v>
          </cell>
          <cell r="H586">
            <v>77005414</v>
          </cell>
          <cell r="I586" t="str">
            <v>YSH270C-P</v>
          </cell>
          <cell r="J586" t="str">
            <v>BRKT, HORN-PLATE</v>
          </cell>
          <cell r="K586" t="str">
            <v>2CM-F1329-00</v>
          </cell>
          <cell r="L586" t="str">
            <v>2CM4</v>
          </cell>
          <cell r="M586" t="str">
            <v>YSH270C-P</v>
          </cell>
          <cell r="N586" t="str">
            <v>BRKT, HORN-PLATE</v>
          </cell>
          <cell r="O586" t="str">
            <v>2CM-F1329-00</v>
          </cell>
          <cell r="P586" t="str">
            <v>2CM4</v>
          </cell>
          <cell r="Q586" t="str">
            <v>epc</v>
          </cell>
        </row>
        <row r="587">
          <cell r="A587" t="str">
            <v>73013139-4</v>
          </cell>
          <cell r="B587" t="str">
            <v>2.6 x 62+/-0.5 x 1219</v>
          </cell>
          <cell r="C587">
            <v>2.6</v>
          </cell>
          <cell r="D587">
            <v>62</v>
          </cell>
          <cell r="E587">
            <v>1219</v>
          </cell>
          <cell r="F587">
            <v>1.54254698</v>
          </cell>
          <cell r="G587">
            <v>78</v>
          </cell>
          <cell r="H587">
            <v>77005466</v>
          </cell>
          <cell r="I587" t="str">
            <v>YSH270C-P</v>
          </cell>
          <cell r="J587" t="str">
            <v>BRKT, HORN</v>
          </cell>
          <cell r="K587" t="str">
            <v>2CM-F2657-00</v>
          </cell>
          <cell r="L587" t="str">
            <v>2CM4</v>
          </cell>
          <cell r="M587" t="str">
            <v>YSH270C-P</v>
          </cell>
          <cell r="N587" t="str">
            <v>BRKT, HORN</v>
          </cell>
          <cell r="O587" t="str">
            <v>2CM-F2657-00</v>
          </cell>
          <cell r="P587" t="str">
            <v>2CM4</v>
          </cell>
          <cell r="Q587" t="str">
            <v>epc</v>
          </cell>
        </row>
        <row r="588">
          <cell r="A588" t="str">
            <v>73014699-1</v>
          </cell>
          <cell r="B588" t="str">
            <v>2.3 x 342+/-0.5 x 1219</v>
          </cell>
          <cell r="C588">
            <v>2.2999999999999998</v>
          </cell>
          <cell r="D588">
            <v>342</v>
          </cell>
          <cell r="E588">
            <v>1219</v>
          </cell>
          <cell r="F588">
            <v>7.5270933899999983</v>
          </cell>
          <cell r="G588">
            <v>10</v>
          </cell>
          <cell r="H588">
            <v>77005437</v>
          </cell>
          <cell r="I588" t="str">
            <v>YSH270C-P</v>
          </cell>
          <cell r="J588" t="str">
            <v>STAY , REAR</v>
          </cell>
          <cell r="K588" t="str">
            <v>BB8-F116F-00-00-80(BB81)</v>
          </cell>
          <cell r="L588" t="str">
            <v>BB81</v>
          </cell>
          <cell r="M588" t="str">
            <v>YSH270C-P</v>
          </cell>
          <cell r="N588" t="str">
            <v>STAY , REAR</v>
          </cell>
          <cell r="O588" t="str">
            <v>BB8-F116F-00-00-80(BB81)</v>
          </cell>
          <cell r="P588" t="str">
            <v>BB81</v>
          </cell>
          <cell r="Q588" t="str">
            <v>epc</v>
          </cell>
        </row>
        <row r="589">
          <cell r="A589" t="str">
            <v>73014699-2</v>
          </cell>
          <cell r="B589" t="str">
            <v>2.3 x 132+/-0.5 x 1219</v>
          </cell>
          <cell r="C589">
            <v>2.2999999999999998</v>
          </cell>
          <cell r="D589">
            <v>132</v>
          </cell>
          <cell r="E589">
            <v>1219</v>
          </cell>
          <cell r="F589">
            <v>2.9051939399999993</v>
          </cell>
          <cell r="G589">
            <v>7</v>
          </cell>
          <cell r="H589">
            <v>77005431</v>
          </cell>
          <cell r="I589" t="str">
            <v>YSH270C-P</v>
          </cell>
          <cell r="J589" t="str">
            <v>STAY , REAR</v>
          </cell>
          <cell r="K589" t="str">
            <v>BB8-F116F-00-00-80(BB81)</v>
          </cell>
          <cell r="L589" t="str">
            <v>BB81</v>
          </cell>
          <cell r="M589" t="str">
            <v>YSH270C-P</v>
          </cell>
          <cell r="N589" t="str">
            <v>STAY , REAR</v>
          </cell>
          <cell r="O589" t="str">
            <v>BB8-F116F-00-00-80(BB81)</v>
          </cell>
          <cell r="P589" t="str">
            <v>BB81</v>
          </cell>
          <cell r="Q589" t="str">
            <v>bm</v>
          </cell>
        </row>
        <row r="590">
          <cell r="A590" t="str">
            <v>73014700-1</v>
          </cell>
          <cell r="B590" t="str">
            <v>2.0 x 111+/-0.5 x 1219</v>
          </cell>
          <cell r="C590">
            <v>2</v>
          </cell>
          <cell r="D590">
            <v>111</v>
          </cell>
          <cell r="E590">
            <v>1219</v>
          </cell>
          <cell r="F590">
            <v>2.1243512999999998</v>
          </cell>
          <cell r="G590">
            <v>17</v>
          </cell>
          <cell r="H590">
            <v>77005385</v>
          </cell>
          <cell r="I590" t="str">
            <v>YSH270C-P</v>
          </cell>
          <cell r="J590" t="str">
            <v>BRKT., SEAT 1</v>
          </cell>
          <cell r="K590" t="str">
            <v>BB8-F1341-00-00-80(BB81)</v>
          </cell>
          <cell r="L590" t="str">
            <v>BB81</v>
          </cell>
          <cell r="M590" t="str">
            <v>YSH270C-P</v>
          </cell>
          <cell r="N590" t="str">
            <v>BRKT., SEAT 1</v>
          </cell>
          <cell r="O590" t="str">
            <v>BB8-F1341-00-00-80(BB81)</v>
          </cell>
          <cell r="P590" t="str">
            <v>BB81</v>
          </cell>
          <cell r="Q590" t="str">
            <v>tsi</v>
          </cell>
        </row>
        <row r="591">
          <cell r="A591" t="str">
            <v>73014700-2</v>
          </cell>
          <cell r="B591" t="str">
            <v>2.3 x 45+/-0.5 x 1219</v>
          </cell>
          <cell r="C591">
            <v>2.2999999999999998</v>
          </cell>
          <cell r="D591">
            <v>45</v>
          </cell>
          <cell r="E591">
            <v>1219</v>
          </cell>
          <cell r="F591">
            <v>0.99040702499999977</v>
          </cell>
          <cell r="G591">
            <v>40</v>
          </cell>
          <cell r="H591">
            <v>77005440</v>
          </cell>
          <cell r="I591" t="str">
            <v>YSH270C-P</v>
          </cell>
          <cell r="J591" t="str">
            <v>BRKT., SEAT 1</v>
          </cell>
          <cell r="K591" t="str">
            <v>BB8-F1341-00-00-80(BB81)</v>
          </cell>
          <cell r="L591" t="str">
            <v>BB81</v>
          </cell>
          <cell r="M591" t="str">
            <v>YSH270C-P</v>
          </cell>
          <cell r="N591" t="str">
            <v>BRKT., SEAT 1</v>
          </cell>
          <cell r="O591" t="str">
            <v>BB8-F1341-00-00-80(BB81)</v>
          </cell>
          <cell r="P591" t="str">
            <v>BB81</v>
          </cell>
          <cell r="Q591" t="str">
            <v>epc</v>
          </cell>
        </row>
        <row r="592">
          <cell r="A592" t="str">
            <v>73014701-1</v>
          </cell>
          <cell r="B592" t="str">
            <v>2.0 x 111+/-0.5 x 1219</v>
          </cell>
          <cell r="C592">
            <v>2</v>
          </cell>
          <cell r="D592">
            <v>111</v>
          </cell>
          <cell r="E592">
            <v>1219</v>
          </cell>
          <cell r="F592">
            <v>2.1243512999999998</v>
          </cell>
          <cell r="G592">
            <v>17</v>
          </cell>
          <cell r="H592">
            <v>77005385</v>
          </cell>
          <cell r="I592" t="str">
            <v>YSH270C-P</v>
          </cell>
          <cell r="J592" t="str">
            <v>BRKT., SEAT 2 SUB ASSY</v>
          </cell>
          <cell r="K592" t="str">
            <v>BB8-XF13H-00(BB81)</v>
          </cell>
          <cell r="L592" t="str">
            <v>BB81</v>
          </cell>
          <cell r="M592" t="str">
            <v>YSH270C-P</v>
          </cell>
          <cell r="N592" t="str">
            <v>BRKT., SEAT 2 SUB ASSY</v>
          </cell>
          <cell r="O592" t="str">
            <v>BB8-XF13H-00(BB81)</v>
          </cell>
          <cell r="P592" t="str">
            <v>BB81</v>
          </cell>
          <cell r="Q592" t="str">
            <v>tsi</v>
          </cell>
        </row>
        <row r="593">
          <cell r="A593" t="str">
            <v>73014701-2</v>
          </cell>
          <cell r="B593" t="str">
            <v>2.3 x 45+/-0.5 x 1219</v>
          </cell>
          <cell r="C593">
            <v>2.2999999999999998</v>
          </cell>
          <cell r="D593">
            <v>45</v>
          </cell>
          <cell r="E593">
            <v>1219</v>
          </cell>
          <cell r="F593">
            <v>0.99040702499999977</v>
          </cell>
          <cell r="G593">
            <v>40</v>
          </cell>
          <cell r="H593">
            <v>77005440</v>
          </cell>
          <cell r="I593" t="str">
            <v>YSH270C-P</v>
          </cell>
          <cell r="J593" t="str">
            <v>BRKT., SEAT 2 SUB ASSY</v>
          </cell>
          <cell r="K593" t="str">
            <v>BB8-XF13H-00(BB81)</v>
          </cell>
          <cell r="L593" t="str">
            <v>BB81</v>
          </cell>
          <cell r="M593" t="str">
            <v>YSH270C-P</v>
          </cell>
          <cell r="N593" t="str">
            <v>BRKT., SEAT 2 SUB ASSY</v>
          </cell>
          <cell r="O593" t="str">
            <v>BB8-XF13H-00(BB81)</v>
          </cell>
          <cell r="P593" t="str">
            <v>BB81</v>
          </cell>
          <cell r="Q593" t="str">
            <v>epc</v>
          </cell>
        </row>
        <row r="594">
          <cell r="A594" t="str">
            <v>73014701-3</v>
          </cell>
          <cell r="B594" t="str">
            <v>1.6 x 45+/-0.5 x 1219</v>
          </cell>
          <cell r="C594">
            <v>1.6</v>
          </cell>
          <cell r="D594">
            <v>45</v>
          </cell>
          <cell r="E594">
            <v>1219</v>
          </cell>
          <cell r="F594">
            <v>0.68897879999999989</v>
          </cell>
          <cell r="G594">
            <v>58</v>
          </cell>
          <cell r="H594">
            <v>77005347</v>
          </cell>
          <cell r="I594" t="str">
            <v>YSH270C-P</v>
          </cell>
          <cell r="J594" t="str">
            <v>BRKT., SEAT 2 SUB ASSY</v>
          </cell>
          <cell r="K594" t="str">
            <v>BB8-XF13H-00(BB81)</v>
          </cell>
          <cell r="L594" t="str">
            <v>BB81</v>
          </cell>
          <cell r="M594" t="str">
            <v>YSH270C-P</v>
          </cell>
          <cell r="N594" t="str">
            <v>BRKT., SEAT 2 SUB ASSY</v>
          </cell>
          <cell r="O594" t="str">
            <v>BB8-XF13H-00(BB81)</v>
          </cell>
          <cell r="P594" t="str">
            <v>BB81</v>
          </cell>
          <cell r="Q594" t="str">
            <v>epc</v>
          </cell>
        </row>
        <row r="595">
          <cell r="A595" t="str">
            <v>ชิ้นงาน TSGP1</v>
          </cell>
          <cell r="B595" t="str">
            <v>KAWASAKI ไม่มีรายการใน Forecast จาก คุณเอกลัก TSGP 1</v>
          </cell>
          <cell r="J595">
            <v>0</v>
          </cell>
        </row>
        <row r="596">
          <cell r="A596">
            <v>30002924</v>
          </cell>
          <cell r="B596" t="str">
            <v>1.0 x 35+/-0.5 x 1219</v>
          </cell>
          <cell r="C596">
            <v>1</v>
          </cell>
          <cell r="D596">
            <v>35</v>
          </cell>
          <cell r="E596">
            <v>1219</v>
          </cell>
          <cell r="F596">
            <v>0.33492024999999997</v>
          </cell>
          <cell r="G596">
            <v>65</v>
          </cell>
          <cell r="H596">
            <v>77004074</v>
          </cell>
          <cell r="I596" t="str">
            <v>SPCC-SD</v>
          </cell>
          <cell r="J596" t="str">
            <v xml:space="preserve">CABLE CRIP </v>
          </cell>
          <cell r="K596" t="str">
            <v>2005430-03</v>
          </cell>
          <cell r="L596" t="str">
            <v>T</v>
          </cell>
          <cell r="M596" t="str">
            <v>SPCC-SD</v>
          </cell>
          <cell r="N596" t="str">
            <v xml:space="preserve">CABLE CRIP </v>
          </cell>
          <cell r="O596" t="str">
            <v>2005430-03</v>
          </cell>
          <cell r="P596" t="str">
            <v>T</v>
          </cell>
          <cell r="Q596" t="str">
            <v>เสนอราคาเป็น Price Sourcing</v>
          </cell>
        </row>
        <row r="597">
          <cell r="A597">
            <v>30033337</v>
          </cell>
          <cell r="B597" t="str">
            <v>7.0 x 98+/-0.5 x 1219</v>
          </cell>
          <cell r="C597">
            <v>7</v>
          </cell>
          <cell r="D597">
            <v>98</v>
          </cell>
          <cell r="E597">
            <v>1219</v>
          </cell>
          <cell r="F597">
            <v>6.5644368999999996</v>
          </cell>
          <cell r="G597">
            <v>30</v>
          </cell>
          <cell r="H597">
            <v>77005568</v>
          </cell>
          <cell r="I597" t="str">
            <v>SS400</v>
          </cell>
          <cell r="J597" t="str">
            <v>BRACKET</v>
          </cell>
          <cell r="K597">
            <v>20012731</v>
          </cell>
          <cell r="L597" t="str">
            <v>LX250</v>
          </cell>
          <cell r="M597" t="str">
            <v>SS400</v>
          </cell>
          <cell r="N597" t="str">
            <v>BRACKET</v>
          </cell>
          <cell r="O597">
            <v>20012731</v>
          </cell>
          <cell r="P597" t="str">
            <v>LX250</v>
          </cell>
          <cell r="Q597" t="str">
            <v>bm</v>
          </cell>
        </row>
        <row r="598">
          <cell r="A598" t="str">
            <v>30046426-1</v>
          </cell>
          <cell r="B598" t="str">
            <v>2.0 x 110+/-0.5 x 1219</v>
          </cell>
          <cell r="C598">
            <v>2</v>
          </cell>
          <cell r="D598">
            <v>110</v>
          </cell>
          <cell r="E598">
            <v>1219</v>
          </cell>
          <cell r="F598">
            <v>2.105213</v>
          </cell>
          <cell r="G598">
            <v>44</v>
          </cell>
          <cell r="H598">
            <v>77005284</v>
          </cell>
          <cell r="I598" t="str">
            <v>SPFH590</v>
          </cell>
          <cell r="J598" t="str">
            <v>BRACKET</v>
          </cell>
          <cell r="K598" t="str">
            <v>11057-7902A</v>
          </cell>
          <cell r="L598" t="str">
            <v>KAWA 1767</v>
          </cell>
          <cell r="M598" t="str">
            <v>SPFH590</v>
          </cell>
          <cell r="N598" t="str">
            <v>BRACKET</v>
          </cell>
          <cell r="O598" t="str">
            <v>11057-7902A</v>
          </cell>
          <cell r="P598" t="str">
            <v>KAWA 1767</v>
          </cell>
          <cell r="Q598" t="str">
            <v>tsi</v>
          </cell>
        </row>
        <row r="599">
          <cell r="A599" t="str">
            <v>30046426-2</v>
          </cell>
          <cell r="B599" t="str">
            <v>2.3 x 101+/-0.5 x 1219</v>
          </cell>
          <cell r="C599">
            <v>2.2999999999999998</v>
          </cell>
          <cell r="D599">
            <v>101</v>
          </cell>
          <cell r="E599">
            <v>1219</v>
          </cell>
          <cell r="F599">
            <v>2.2229135449999995</v>
          </cell>
          <cell r="G599">
            <v>19</v>
          </cell>
          <cell r="H599">
            <v>77005285</v>
          </cell>
          <cell r="I599" t="str">
            <v>SPFH590</v>
          </cell>
          <cell r="J599" t="str">
            <v>BRACKET</v>
          </cell>
          <cell r="K599" t="str">
            <v>11057-7903B</v>
          </cell>
          <cell r="L599" t="str">
            <v>KAWA 1767</v>
          </cell>
          <cell r="M599" t="str">
            <v>SPFH590</v>
          </cell>
          <cell r="N599" t="str">
            <v>BRACKET</v>
          </cell>
          <cell r="O599" t="str">
            <v>11057-7903B</v>
          </cell>
          <cell r="P599" t="str">
            <v>KAWA 1767</v>
          </cell>
          <cell r="Q599" t="str">
            <v>tsi</v>
          </cell>
        </row>
        <row r="600">
          <cell r="A600">
            <v>30009284</v>
          </cell>
          <cell r="B600" t="str">
            <v>3.2 x 98+/-0.5 x 1219</v>
          </cell>
          <cell r="C600">
            <v>3.2</v>
          </cell>
          <cell r="D600">
            <v>98</v>
          </cell>
          <cell r="E600">
            <v>1219</v>
          </cell>
          <cell r="F600">
            <v>3.0008854399999998</v>
          </cell>
          <cell r="G600">
            <v>18</v>
          </cell>
          <cell r="H600">
            <v>77005519</v>
          </cell>
          <cell r="I600" t="str">
            <v>SPHC-P/O</v>
          </cell>
          <cell r="J600" t="str">
            <v>BRKT-1200</v>
          </cell>
          <cell r="K600" t="str">
            <v>11055-1200</v>
          </cell>
          <cell r="L600" t="str">
            <v>T</v>
          </cell>
          <cell r="M600" t="str">
            <v>SPHC-P/O</v>
          </cell>
          <cell r="N600" t="str">
            <v>BRKT-1200</v>
          </cell>
          <cell r="O600" t="str">
            <v>11055-1200</v>
          </cell>
          <cell r="P600" t="str">
            <v>T</v>
          </cell>
          <cell r="Q600" t="str">
            <v>epc</v>
          </cell>
        </row>
        <row r="601">
          <cell r="A601">
            <v>30009285</v>
          </cell>
          <cell r="B601" t="str">
            <v>2.3 x 125+/-0.5 x 1219</v>
          </cell>
          <cell r="C601">
            <v>2.2999999999999998</v>
          </cell>
          <cell r="D601">
            <v>125</v>
          </cell>
          <cell r="E601">
            <v>1219</v>
          </cell>
          <cell r="F601">
            <v>2.7511306250000001</v>
          </cell>
          <cell r="G601">
            <v>13</v>
          </cell>
          <cell r="H601">
            <v>77005430</v>
          </cell>
          <cell r="I601" t="str">
            <v>SPHC-P/O</v>
          </cell>
          <cell r="J601" t="str">
            <v>BRKT-1199</v>
          </cell>
          <cell r="K601" t="str">
            <v>11055-1199</v>
          </cell>
          <cell r="L601" t="str">
            <v>T</v>
          </cell>
          <cell r="M601" t="str">
            <v>SPHC-P/O</v>
          </cell>
          <cell r="N601" t="str">
            <v>BRKT-1199</v>
          </cell>
          <cell r="O601" t="str">
            <v>11055-1199</v>
          </cell>
          <cell r="P601" t="str">
            <v>T</v>
          </cell>
          <cell r="Q601" t="str">
            <v>csp</v>
          </cell>
        </row>
        <row r="602">
          <cell r="A602">
            <v>30016666</v>
          </cell>
          <cell r="B602" t="str">
            <v>1.6 x 49+/-0.5 x 1219</v>
          </cell>
          <cell r="C602">
            <v>1.6</v>
          </cell>
          <cell r="D602">
            <v>49</v>
          </cell>
          <cell r="E602">
            <v>1219</v>
          </cell>
          <cell r="F602">
            <v>0.75022135999999995</v>
          </cell>
          <cell r="G602">
            <v>40</v>
          </cell>
          <cell r="H602">
            <v>77005350</v>
          </cell>
          <cell r="I602" t="str">
            <v>SPHC-P/O</v>
          </cell>
          <cell r="J602" t="str">
            <v>BRACKET</v>
          </cell>
          <cell r="K602" t="str">
            <v>11056-1878</v>
          </cell>
          <cell r="L602" t="str">
            <v>T</v>
          </cell>
          <cell r="M602" t="str">
            <v>SPHC-P/O</v>
          </cell>
          <cell r="N602" t="str">
            <v>BRACKET</v>
          </cell>
          <cell r="O602" t="str">
            <v>11056-1878</v>
          </cell>
          <cell r="P602" t="str">
            <v>T</v>
          </cell>
          <cell r="Q602" t="str">
            <v>epc</v>
          </cell>
        </row>
        <row r="603">
          <cell r="A603">
            <v>30017031</v>
          </cell>
          <cell r="B603" t="str">
            <v>2.0 x 62+/-0.5 x 1219</v>
          </cell>
          <cell r="C603">
            <v>2</v>
          </cell>
          <cell r="D603">
            <v>62</v>
          </cell>
          <cell r="E603">
            <v>1219</v>
          </cell>
          <cell r="F603">
            <v>1.1865745999999999</v>
          </cell>
          <cell r="G603">
            <v>21</v>
          </cell>
          <cell r="H603">
            <v>77005282</v>
          </cell>
          <cell r="I603" t="str">
            <v>SPCC-SD</v>
          </cell>
          <cell r="J603" t="str">
            <v>BRACKET -1760</v>
          </cell>
          <cell r="K603" t="str">
            <v>11056-1760</v>
          </cell>
          <cell r="M603" t="str">
            <v>SPCC-SD</v>
          </cell>
          <cell r="N603" t="str">
            <v>BRACKET -1760</v>
          </cell>
          <cell r="O603" t="str">
            <v>11056-1760</v>
          </cell>
          <cell r="Q603" t="str">
            <v>tsi</v>
          </cell>
        </row>
        <row r="604">
          <cell r="A604">
            <v>20037274</v>
          </cell>
          <cell r="B604" t="str">
            <v>1.2 x 37+/-0.5 x 1219</v>
          </cell>
          <cell r="C604">
            <v>1.2</v>
          </cell>
          <cell r="D604">
            <v>37</v>
          </cell>
          <cell r="E604">
            <v>1219</v>
          </cell>
          <cell r="F604">
            <v>0.42487025999999994</v>
          </cell>
          <cell r="G604">
            <v>110</v>
          </cell>
          <cell r="H604">
            <v>77005273</v>
          </cell>
          <cell r="I604" t="str">
            <v>SPCC-SD</v>
          </cell>
          <cell r="J604" t="str">
            <v>BRACKET MUFFLER</v>
          </cell>
          <cell r="K604" t="str">
            <v>32069-1686</v>
          </cell>
          <cell r="L604" t="str">
            <v>T</v>
          </cell>
          <cell r="M604" t="str">
            <v>SPCC-SD</v>
          </cell>
          <cell r="N604" t="str">
            <v>BRACKET MUFFLER</v>
          </cell>
          <cell r="O604" t="str">
            <v>32069-1686</v>
          </cell>
          <cell r="P604" t="str">
            <v>T</v>
          </cell>
          <cell r="Q604" t="str">
            <v>tsi</v>
          </cell>
        </row>
        <row r="605">
          <cell r="A605">
            <v>20037247</v>
          </cell>
          <cell r="B605" t="str">
            <v>2.3 x 96+/-0.5 x 1219(KB)</v>
          </cell>
          <cell r="C605">
            <v>2.2999999999999998</v>
          </cell>
          <cell r="D605">
            <v>96</v>
          </cell>
          <cell r="E605">
            <v>1219</v>
          </cell>
          <cell r="F605">
            <v>2.1128683199999996</v>
          </cell>
          <cell r="G605">
            <v>18</v>
          </cell>
          <cell r="H605">
            <v>77005449</v>
          </cell>
          <cell r="I605" t="str">
            <v>SPHC-P/O</v>
          </cell>
          <cell r="J605" t="str">
            <v>BRKT</v>
          </cell>
          <cell r="K605" t="str">
            <v>(11045-1340)(KL650)_PTP</v>
          </cell>
          <cell r="L605" t="str">
            <v>T</v>
          </cell>
          <cell r="M605" t="str">
            <v>SPHC-P/O</v>
          </cell>
          <cell r="N605" t="str">
            <v>BRKT</v>
          </cell>
          <cell r="O605" t="str">
            <v>(11045-1340)(KL650)_PTP</v>
          </cell>
          <cell r="P605" t="str">
            <v>T</v>
          </cell>
          <cell r="Q605" t="str">
            <v>epc</v>
          </cell>
        </row>
        <row r="606">
          <cell r="A606">
            <v>30023511</v>
          </cell>
          <cell r="B606" t="str">
            <v>1.6 x 230+/-0.5 x 1219</v>
          </cell>
          <cell r="C606">
            <v>1.6</v>
          </cell>
          <cell r="D606">
            <v>230</v>
          </cell>
          <cell r="E606">
            <v>1219</v>
          </cell>
          <cell r="F606">
            <v>3.5214471999999999</v>
          </cell>
          <cell r="G606">
            <v>35</v>
          </cell>
          <cell r="H606">
            <v>77005338</v>
          </cell>
          <cell r="I606" t="str">
            <v>SPHC-P/O</v>
          </cell>
          <cell r="J606" t="str">
            <v>PLATE</v>
          </cell>
          <cell r="K606" t="str">
            <v>13272-1790A</v>
          </cell>
          <cell r="L606">
            <v>0</v>
          </cell>
          <cell r="M606" t="str">
            <v>SPHC-P/O</v>
          </cell>
          <cell r="N606" t="str">
            <v>PLATE</v>
          </cell>
          <cell r="O606" t="str">
            <v>13272-1790A</v>
          </cell>
          <cell r="P606">
            <v>0</v>
          </cell>
          <cell r="Q606" t="str">
            <v>tsi</v>
          </cell>
        </row>
        <row r="607">
          <cell r="A607">
            <v>30028145</v>
          </cell>
          <cell r="B607" t="str">
            <v>3.2 x 73+/-0.5 x 1219</v>
          </cell>
          <cell r="C607">
            <v>3.2</v>
          </cell>
          <cell r="D607">
            <v>73</v>
          </cell>
          <cell r="E607">
            <v>1219</v>
          </cell>
          <cell r="F607">
            <v>2.2353534399999999</v>
          </cell>
          <cell r="G607">
            <v>21</v>
          </cell>
          <cell r="H607">
            <v>77005298</v>
          </cell>
          <cell r="I607" t="str">
            <v>SPFH590</v>
          </cell>
          <cell r="J607" t="str">
            <v>BRACKET ENGINE REAR LH</v>
          </cell>
          <cell r="K607" t="str">
            <v>32190-0708</v>
          </cell>
          <cell r="L607" t="str">
            <v>T</v>
          </cell>
          <cell r="M607" t="str">
            <v>SPFH590</v>
          </cell>
          <cell r="N607" t="str">
            <v>BRACKET ENGINE REAR LH</v>
          </cell>
          <cell r="O607" t="str">
            <v>32190-0708</v>
          </cell>
          <cell r="P607" t="str">
            <v>T</v>
          </cell>
          <cell r="Q607" t="e">
            <v>#N/A</v>
          </cell>
        </row>
        <row r="608">
          <cell r="A608">
            <v>30028146</v>
          </cell>
          <cell r="B608" t="str">
            <v>2.3 x 73+/-0.5 x 1219</v>
          </cell>
          <cell r="C608">
            <v>2.2999999999999998</v>
          </cell>
          <cell r="D608">
            <v>73</v>
          </cell>
          <cell r="E608">
            <v>1219</v>
          </cell>
          <cell r="F608">
            <v>1.6066602849999996</v>
          </cell>
          <cell r="G608">
            <v>23</v>
          </cell>
          <cell r="H608">
            <v>77005291</v>
          </cell>
          <cell r="I608" t="str">
            <v>SPFH590</v>
          </cell>
          <cell r="J608" t="str">
            <v>BRACKET ENGINE REAR RH</v>
          </cell>
          <cell r="K608" t="str">
            <v>32190-0709</v>
          </cell>
          <cell r="L608" t="str">
            <v>T</v>
          </cell>
          <cell r="M608" t="str">
            <v>SPFH590</v>
          </cell>
          <cell r="N608" t="str">
            <v>BRACKET ENGINE REAR RH</v>
          </cell>
          <cell r="O608" t="str">
            <v>32190-0709</v>
          </cell>
          <cell r="P608" t="str">
            <v>T</v>
          </cell>
          <cell r="Q608" t="e">
            <v>#N/A</v>
          </cell>
        </row>
        <row r="609">
          <cell r="A609">
            <v>30031542</v>
          </cell>
          <cell r="B609" t="str">
            <v>2.3 x 96+/-0.5 x 1219 (KB)</v>
          </cell>
          <cell r="C609">
            <v>2.2999999999999998</v>
          </cell>
          <cell r="D609">
            <v>96</v>
          </cell>
          <cell r="E609">
            <v>1219</v>
          </cell>
          <cell r="F609">
            <v>2.1128683199999996</v>
          </cell>
          <cell r="G609">
            <v>18</v>
          </cell>
          <cell r="H609">
            <v>77005449</v>
          </cell>
          <cell r="I609" t="str">
            <v>SPHC-P/O</v>
          </cell>
          <cell r="J609" t="str">
            <v>BRACKET</v>
          </cell>
          <cell r="K609" t="str">
            <v>11045-1340</v>
          </cell>
          <cell r="L609" t="str">
            <v>KL650</v>
          </cell>
          <cell r="M609" t="str">
            <v>SPHC-P/O</v>
          </cell>
          <cell r="N609" t="str">
            <v>BRACKET</v>
          </cell>
          <cell r="O609" t="str">
            <v>11045-1340</v>
          </cell>
          <cell r="P609" t="str">
            <v>KL650</v>
          </cell>
          <cell r="Q609" t="str">
            <v>epc</v>
          </cell>
        </row>
        <row r="610">
          <cell r="A610">
            <v>30032575</v>
          </cell>
          <cell r="B610" t="str">
            <v>1.6 x 85+/-0.5 x 1219</v>
          </cell>
          <cell r="C610">
            <v>1.6</v>
          </cell>
          <cell r="D610">
            <v>85</v>
          </cell>
          <cell r="E610">
            <v>1219</v>
          </cell>
          <cell r="F610">
            <v>1.3014044</v>
          </cell>
          <cell r="G610">
            <v>28</v>
          </cell>
          <cell r="H610">
            <v>77005375</v>
          </cell>
          <cell r="I610" t="str">
            <v>SPHC-P/O</v>
          </cell>
          <cell r="J610" t="str">
            <v>BRACKET</v>
          </cell>
          <cell r="K610" t="str">
            <v>11057-0361 (8098)</v>
          </cell>
          <cell r="L610" t="str">
            <v>KAWA 8098</v>
          </cell>
          <cell r="M610" t="str">
            <v>SPHC-P/O</v>
          </cell>
          <cell r="N610" t="str">
            <v>BRACKET</v>
          </cell>
          <cell r="O610" t="str">
            <v>11057-0361 (8098)</v>
          </cell>
          <cell r="P610" t="str">
            <v>KAWA 8098</v>
          </cell>
          <cell r="Q610" t="str">
            <v>epc</v>
          </cell>
        </row>
        <row r="611">
          <cell r="A611">
            <v>30032582</v>
          </cell>
          <cell r="B611" t="str">
            <v>1.6 x 45+/-0.5 x 1219</v>
          </cell>
          <cell r="C611">
            <v>1.6</v>
          </cell>
          <cell r="D611">
            <v>45</v>
          </cell>
          <cell r="E611">
            <v>1219</v>
          </cell>
          <cell r="F611">
            <v>0.68897879999999989</v>
          </cell>
          <cell r="G611">
            <v>56</v>
          </cell>
          <cell r="H611">
            <v>77005347</v>
          </cell>
          <cell r="I611" t="str">
            <v>SPHC-P/O</v>
          </cell>
          <cell r="J611" t="str">
            <v>BRACKET</v>
          </cell>
          <cell r="K611" t="str">
            <v>11057-0354 (8098)</v>
          </cell>
          <cell r="L611" t="str">
            <v>KAWA 8098</v>
          </cell>
          <cell r="M611" t="str">
            <v>SPHC-P/O</v>
          </cell>
          <cell r="N611" t="str">
            <v>BRACKET</v>
          </cell>
          <cell r="O611" t="str">
            <v>11057-0354 (8098)</v>
          </cell>
          <cell r="P611" t="str">
            <v>KAWA 8098</v>
          </cell>
          <cell r="Q611" t="str">
            <v>epc</v>
          </cell>
        </row>
        <row r="612">
          <cell r="A612">
            <v>30032587</v>
          </cell>
          <cell r="B612" t="str">
            <v>1.6 x 77+/-0.5 x 1219</v>
          </cell>
          <cell r="C612">
            <v>1.6</v>
          </cell>
          <cell r="D612">
            <v>77</v>
          </cell>
          <cell r="E612">
            <v>1219</v>
          </cell>
          <cell r="F612">
            <v>1.1789192800000001</v>
          </cell>
          <cell r="G612">
            <v>106</v>
          </cell>
          <cell r="H612">
            <v>77005371</v>
          </cell>
          <cell r="I612" t="str">
            <v>SPHC-P/O</v>
          </cell>
          <cell r="J612" t="str">
            <v>BRACKET</v>
          </cell>
          <cell r="K612" t="str">
            <v>11057-0355 (8098)</v>
          </cell>
          <cell r="L612" t="str">
            <v>KAWA 8098</v>
          </cell>
          <cell r="M612" t="str">
            <v>SPHC-P/O</v>
          </cell>
          <cell r="N612" t="str">
            <v>BRACKET</v>
          </cell>
          <cell r="O612" t="str">
            <v>11057-0355 (8098)</v>
          </cell>
          <cell r="P612" t="str">
            <v>KAWA 8098</v>
          </cell>
          <cell r="Q612" t="str">
            <v>tsi</v>
          </cell>
        </row>
        <row r="613">
          <cell r="A613">
            <v>30033044</v>
          </cell>
          <cell r="B613" t="str">
            <v>2.3 x 75+/-0.5 x 1219</v>
          </cell>
          <cell r="C613">
            <v>2.2999999999999998</v>
          </cell>
          <cell r="D613">
            <v>75</v>
          </cell>
          <cell r="E613">
            <v>1219</v>
          </cell>
          <cell r="F613">
            <v>1.650678375</v>
          </cell>
          <cell r="G613">
            <v>18</v>
          </cell>
          <cell r="H613">
            <v>77005292</v>
          </cell>
          <cell r="I613" t="str">
            <v>SPFH590-P/O</v>
          </cell>
          <cell r="J613" t="str">
            <v>GUSSET(8982)</v>
          </cell>
          <cell r="K613" t="str">
            <v>32170-2195</v>
          </cell>
          <cell r="L613" t="str">
            <v>KAWA</v>
          </cell>
          <cell r="M613" t="str">
            <v>SPFH590-P/O</v>
          </cell>
          <cell r="N613" t="str">
            <v>GUSSET(8982)</v>
          </cell>
          <cell r="O613" t="str">
            <v>32170-2195</v>
          </cell>
          <cell r="P613" t="str">
            <v>KAWA</v>
          </cell>
          <cell r="Q613" t="str">
            <v>tsi</v>
          </cell>
        </row>
        <row r="614">
          <cell r="A614">
            <v>30033056</v>
          </cell>
          <cell r="B614" t="str">
            <v>2.3 x 107+/-0.5 x 1219</v>
          </cell>
          <cell r="C614">
            <v>2.2999999999999998</v>
          </cell>
          <cell r="D614">
            <v>107</v>
          </cell>
          <cell r="E614">
            <v>1219</v>
          </cell>
          <cell r="F614">
            <v>2.3549678149999993</v>
          </cell>
          <cell r="G614">
            <v>21</v>
          </cell>
          <cell r="H614">
            <v>77005286</v>
          </cell>
          <cell r="I614" t="str">
            <v>SPFH590-P/O</v>
          </cell>
          <cell r="J614" t="str">
            <v>GUSSET(8982)</v>
          </cell>
          <cell r="K614" t="str">
            <v>32170-2205</v>
          </cell>
          <cell r="L614" t="str">
            <v>KAWA</v>
          </cell>
          <cell r="M614" t="str">
            <v>SPFH590-P/O</v>
          </cell>
          <cell r="N614" t="str">
            <v>GUSSET(8982)</v>
          </cell>
          <cell r="O614" t="str">
            <v>32170-2205</v>
          </cell>
          <cell r="P614" t="str">
            <v>KAWA</v>
          </cell>
          <cell r="Q614" t="str">
            <v>tsi</v>
          </cell>
        </row>
        <row r="615">
          <cell r="A615">
            <v>73003761</v>
          </cell>
          <cell r="B615" t="str">
            <v>1.6 x 93+/-0.5 x 1219</v>
          </cell>
          <cell r="C615">
            <v>1.6</v>
          </cell>
          <cell r="D615">
            <v>93</v>
          </cell>
          <cell r="E615">
            <v>1219</v>
          </cell>
          <cell r="F615">
            <v>1.4238895199999999</v>
          </cell>
          <cell r="G615">
            <v>37</v>
          </cell>
          <cell r="H615">
            <v>77005379</v>
          </cell>
          <cell r="I615" t="str">
            <v>SPHC-P/O</v>
          </cell>
          <cell r="J615" t="str">
            <v>PLATE</v>
          </cell>
          <cell r="K615" t="str">
            <v>13270-1272 1A</v>
          </cell>
          <cell r="L615" t="str">
            <v>T</v>
          </cell>
          <cell r="M615" t="str">
            <v>SPHC-P/O</v>
          </cell>
          <cell r="N615" t="str">
            <v>PLATE</v>
          </cell>
          <cell r="O615" t="str">
            <v>13270-1272 1A</v>
          </cell>
          <cell r="P615" t="str">
            <v>T</v>
          </cell>
          <cell r="Q615" t="str">
            <v>epc</v>
          </cell>
        </row>
        <row r="616">
          <cell r="A616">
            <v>73003762</v>
          </cell>
          <cell r="B616" t="str">
            <v>1.6 x 33+/-0.5 x 1219</v>
          </cell>
          <cell r="C616">
            <v>1.6</v>
          </cell>
          <cell r="D616">
            <v>33</v>
          </cell>
          <cell r="E616">
            <v>1219</v>
          </cell>
          <cell r="F616">
            <v>0.50525111999999994</v>
          </cell>
          <cell r="G616">
            <v>39</v>
          </cell>
          <cell r="H616">
            <v>77005340</v>
          </cell>
          <cell r="I616" t="str">
            <v>SPHC-P/O</v>
          </cell>
          <cell r="J616" t="str">
            <v>BRACKET (BODY)</v>
          </cell>
          <cell r="K616" t="str">
            <v>11051-1575-1A</v>
          </cell>
          <cell r="L616" t="str">
            <v>T</v>
          </cell>
          <cell r="M616" t="str">
            <v>SPHC-P/O</v>
          </cell>
          <cell r="N616" t="str">
            <v>BRACKET (BODY)</v>
          </cell>
          <cell r="O616" t="str">
            <v>11051-1575-1A</v>
          </cell>
          <cell r="P616" t="str">
            <v>T</v>
          </cell>
          <cell r="Q616" t="str">
            <v>epc</v>
          </cell>
        </row>
        <row r="617">
          <cell r="A617">
            <v>73000717</v>
          </cell>
          <cell r="B617" t="str">
            <v>0.6 x 83+/-0.5 x 1219</v>
          </cell>
          <cell r="C617">
            <v>0.6</v>
          </cell>
          <cell r="D617">
            <v>83</v>
          </cell>
          <cell r="E617">
            <v>1219</v>
          </cell>
          <cell r="F617">
            <v>0.47654366999999997</v>
          </cell>
          <cell r="G617">
            <v>52</v>
          </cell>
          <cell r="H617">
            <v>77005267</v>
          </cell>
          <cell r="I617" t="str">
            <v>SPCC-SD</v>
          </cell>
          <cell r="J617" t="str">
            <v>CLIP MB</v>
          </cell>
          <cell r="K617" t="str">
            <v>MB196524V</v>
          </cell>
          <cell r="L617" t="str">
            <v>T</v>
          </cell>
          <cell r="M617" t="str">
            <v>SPCC-SD</v>
          </cell>
          <cell r="N617" t="str">
            <v>CLIP MB</v>
          </cell>
          <cell r="O617" t="str">
            <v>MB196524V</v>
          </cell>
          <cell r="P617" t="str">
            <v>T</v>
          </cell>
          <cell r="Q617" t="str">
            <v>tsi</v>
          </cell>
        </row>
        <row r="618">
          <cell r="A618">
            <v>73017112</v>
          </cell>
          <cell r="B618" t="str">
            <v>1.6 x 99+/-0.5 x 1219</v>
          </cell>
          <cell r="C618">
            <v>1.6</v>
          </cell>
          <cell r="D618">
            <v>99</v>
          </cell>
          <cell r="E618">
            <v>1219</v>
          </cell>
          <cell r="F618">
            <v>1.5157533599999999</v>
          </cell>
          <cell r="G618">
            <v>27</v>
          </cell>
          <cell r="H618">
            <v>77005246</v>
          </cell>
          <cell r="I618" t="str">
            <v>SAPH440</v>
          </cell>
          <cell r="J618" t="str">
            <v>MOUNT TANK REAR</v>
          </cell>
          <cell r="K618">
            <v>2409895</v>
          </cell>
          <cell r="L618" t="str">
            <v>CG7</v>
          </cell>
          <cell r="M618" t="str">
            <v>SAPH440</v>
          </cell>
          <cell r="N618" t="str">
            <v>MOUNT TANK REAR</v>
          </cell>
          <cell r="O618">
            <v>2409895</v>
          </cell>
          <cell r="P618" t="str">
            <v>CG7</v>
          </cell>
          <cell r="Q618" t="str">
            <v>bm</v>
          </cell>
        </row>
        <row r="619">
          <cell r="A619" t="str">
            <v>30017032-1</v>
          </cell>
          <cell r="B619" t="str">
            <v>2.0 x 239+/-0.5 x 1219</v>
          </cell>
          <cell r="C619">
            <v>2</v>
          </cell>
          <cell r="D619">
            <v>239</v>
          </cell>
          <cell r="E619">
            <v>1219</v>
          </cell>
          <cell r="F619">
            <v>4.5740537000000003</v>
          </cell>
          <cell r="G619">
            <v>17</v>
          </cell>
          <cell r="H619">
            <v>77005280</v>
          </cell>
          <cell r="I619" t="str">
            <v>SPCC-SD</v>
          </cell>
          <cell r="J619" t="str">
            <v>BRACKET</v>
          </cell>
          <cell r="K619" t="str">
            <v>11056-1761C</v>
          </cell>
          <cell r="L619" t="str">
            <v>T</v>
          </cell>
          <cell r="M619" t="str">
            <v>SPCC-SD</v>
          </cell>
          <cell r="N619" t="str">
            <v>BRACKET</v>
          </cell>
          <cell r="O619" t="str">
            <v>11056-1761C</v>
          </cell>
          <cell r="P619" t="str">
            <v>T</v>
          </cell>
          <cell r="Q619" t="str">
            <v>tsi</v>
          </cell>
          <cell r="R619">
            <v>100</v>
          </cell>
        </row>
        <row r="620">
          <cell r="A620" t="str">
            <v>30017032-2</v>
          </cell>
          <cell r="B620" t="str">
            <v>1.6 x 70+/-0.5 x 1219</v>
          </cell>
          <cell r="C620">
            <v>1.6</v>
          </cell>
          <cell r="D620">
            <v>70</v>
          </cell>
          <cell r="E620">
            <v>1219</v>
          </cell>
          <cell r="F620">
            <v>1.0717448000000001</v>
          </cell>
          <cell r="G620">
            <v>28</v>
          </cell>
          <cell r="H620">
            <v>77005279</v>
          </cell>
          <cell r="I620" t="str">
            <v>SPCC-SD</v>
          </cell>
          <cell r="J620" t="str">
            <v>BRACKET - 227A</v>
          </cell>
          <cell r="K620" t="str">
            <v>11056-227A</v>
          </cell>
          <cell r="L620" t="str">
            <v>T</v>
          </cell>
          <cell r="M620" t="str">
            <v>SPCC-SD</v>
          </cell>
          <cell r="N620" t="str">
            <v>BRACKET - 227A</v>
          </cell>
          <cell r="O620" t="str">
            <v>11056-227A</v>
          </cell>
          <cell r="P620" t="str">
            <v>T</v>
          </cell>
          <cell r="Q620" t="str">
            <v>tsi</v>
          </cell>
        </row>
        <row r="621">
          <cell r="A621" t="str">
            <v>30017032-3</v>
          </cell>
          <cell r="B621" t="str">
            <v>1.6 x 70+/-0.5 x 1219</v>
          </cell>
          <cell r="C621">
            <v>1.6</v>
          </cell>
          <cell r="D621">
            <v>70</v>
          </cell>
          <cell r="E621">
            <v>1219</v>
          </cell>
          <cell r="F621">
            <v>1.0717448000000001</v>
          </cell>
          <cell r="G621">
            <v>28</v>
          </cell>
          <cell r="H621">
            <v>77005279</v>
          </cell>
          <cell r="I621" t="str">
            <v>SPCC-SD</v>
          </cell>
          <cell r="J621" t="str">
            <v>BRACKET - 228A</v>
          </cell>
          <cell r="K621" t="str">
            <v>11056-228A</v>
          </cell>
          <cell r="L621" t="str">
            <v>T</v>
          </cell>
          <cell r="M621" t="str">
            <v>SPCC-SD</v>
          </cell>
          <cell r="N621" t="str">
            <v>BRACKET - 228A</v>
          </cell>
          <cell r="O621" t="str">
            <v>11056-228A</v>
          </cell>
          <cell r="P621" t="str">
            <v>T</v>
          </cell>
          <cell r="Q621" t="str">
            <v>tsi</v>
          </cell>
        </row>
        <row r="622">
          <cell r="A622" t="str">
            <v>30032185-1</v>
          </cell>
          <cell r="B622" t="str">
            <v>3.2 x 178+/-0.5 x 1219</v>
          </cell>
          <cell r="C622">
            <v>3.2</v>
          </cell>
          <cell r="D622">
            <v>178</v>
          </cell>
          <cell r="E622">
            <v>1219</v>
          </cell>
          <cell r="F622">
            <v>5.4505878399999999</v>
          </cell>
          <cell r="G622">
            <v>18</v>
          </cell>
          <cell r="H622">
            <v>77005493</v>
          </cell>
          <cell r="I622" t="str">
            <v>SPHC-P/O</v>
          </cell>
          <cell r="J622" t="str">
            <v>BRACKET SHOCK ABSORBER(3478)</v>
          </cell>
          <cell r="K622" t="str">
            <v>32037-0377</v>
          </cell>
          <cell r="L622">
            <v>3478</v>
          </cell>
          <cell r="M622" t="str">
            <v>SPHC-P/O</v>
          </cell>
          <cell r="N622" t="str">
            <v>BRACKET SHOCK ABSORBER(3478)</v>
          </cell>
          <cell r="O622" t="str">
            <v>32037-0377</v>
          </cell>
          <cell r="P622">
            <v>3478</v>
          </cell>
          <cell r="Q622" t="str">
            <v>tsi</v>
          </cell>
        </row>
        <row r="623">
          <cell r="A623" t="str">
            <v>30032185-2</v>
          </cell>
          <cell r="B623" t="str">
            <v>3.2 x 41+/-0.5 x 1219</v>
          </cell>
          <cell r="C623">
            <v>3.2</v>
          </cell>
          <cell r="D623">
            <v>41</v>
          </cell>
          <cell r="E623">
            <v>1219</v>
          </cell>
          <cell r="F623">
            <v>1.2554724799999999</v>
          </cell>
          <cell r="G623">
            <v>172</v>
          </cell>
          <cell r="H623">
            <v>77005502</v>
          </cell>
          <cell r="I623" t="str">
            <v>SPHC-P/O</v>
          </cell>
          <cell r="J623" t="str">
            <v>BRACKET SHOCK ABSORBER(3478)</v>
          </cell>
          <cell r="K623" t="str">
            <v>32037-0377</v>
          </cell>
          <cell r="L623">
            <v>3478</v>
          </cell>
          <cell r="M623" t="str">
            <v>SPHC-P/O</v>
          </cell>
          <cell r="N623" t="str">
            <v>BRACKET SHOCK ABSORBER(3478)</v>
          </cell>
          <cell r="O623" t="str">
            <v>32037-0377</v>
          </cell>
          <cell r="P623">
            <v>3478</v>
          </cell>
          <cell r="Q623" t="str">
            <v>epc</v>
          </cell>
        </row>
        <row r="624">
          <cell r="A624" t="str">
            <v>30032185-3</v>
          </cell>
          <cell r="B624" t="str">
            <v>1.6 x 77+/-0.5 x 1219</v>
          </cell>
          <cell r="C624">
            <v>1.6</v>
          </cell>
          <cell r="D624">
            <v>77</v>
          </cell>
          <cell r="E624">
            <v>1219</v>
          </cell>
          <cell r="F624">
            <v>1.1789192800000001</v>
          </cell>
          <cell r="G624">
            <v>77</v>
          </cell>
          <cell r="H624">
            <v>77005371</v>
          </cell>
          <cell r="I624" t="str">
            <v>SPHC-P/O</v>
          </cell>
          <cell r="J624" t="str">
            <v>BRACKET SHOCK ABSORBER(3478)</v>
          </cell>
          <cell r="K624" t="str">
            <v>32037-0377</v>
          </cell>
          <cell r="L624">
            <v>3478</v>
          </cell>
          <cell r="M624" t="str">
            <v>SPHC-P/O</v>
          </cell>
          <cell r="N624" t="str">
            <v>BRACKET SHOCK ABSORBER(3478)</v>
          </cell>
          <cell r="O624" t="str">
            <v>32037-0377</v>
          </cell>
          <cell r="P624">
            <v>3478</v>
          </cell>
          <cell r="Q624" t="str">
            <v>tsi</v>
          </cell>
        </row>
        <row r="625">
          <cell r="A625" t="str">
            <v>30033540-1</v>
          </cell>
          <cell r="B625" t="str">
            <v>3.2 x 162+/-0.5 x 1219</v>
          </cell>
          <cell r="C625">
            <v>3.2</v>
          </cell>
          <cell r="D625">
            <v>162</v>
          </cell>
          <cell r="E625">
            <v>1219</v>
          </cell>
          <cell r="F625">
            <v>4.9606473599999994</v>
          </cell>
          <cell r="G625">
            <v>18</v>
          </cell>
          <cell r="H625">
            <v>77005489</v>
          </cell>
          <cell r="I625" t="str">
            <v>SPHC-P/O</v>
          </cell>
          <cell r="J625" t="str">
            <v>BRACKET SHOCK ABSORBER(3478)</v>
          </cell>
          <cell r="K625" t="str">
            <v>32037-0377</v>
          </cell>
          <cell r="L625">
            <v>3478</v>
          </cell>
          <cell r="M625" t="str">
            <v>SPHC-P/O</v>
          </cell>
          <cell r="N625" t="str">
            <v>BRACKET SHOCK ABSORBER(3478)</v>
          </cell>
          <cell r="O625" t="str">
            <v>32037-0377</v>
          </cell>
          <cell r="P625">
            <v>3478</v>
          </cell>
          <cell r="Q625" t="str">
            <v>tsi</v>
          </cell>
        </row>
        <row r="626">
          <cell r="A626" t="str">
            <v>30033540-2</v>
          </cell>
          <cell r="B626" t="str">
            <v>3.2 x 41+/-0.5 x 1219</v>
          </cell>
          <cell r="C626">
            <v>3.2</v>
          </cell>
          <cell r="D626">
            <v>41</v>
          </cell>
          <cell r="E626">
            <v>1219</v>
          </cell>
          <cell r="F626">
            <v>1.2554724799999999</v>
          </cell>
          <cell r="G626">
            <v>172</v>
          </cell>
          <cell r="H626">
            <v>77005502</v>
          </cell>
          <cell r="I626" t="str">
            <v>SPHC-P/O</v>
          </cell>
          <cell r="J626" t="str">
            <v>BRACKET SHOCK ABSORBER(3478)</v>
          </cell>
          <cell r="K626" t="str">
            <v>32037-0377</v>
          </cell>
          <cell r="L626">
            <v>3478</v>
          </cell>
          <cell r="M626" t="str">
            <v>SPHC-P/O</v>
          </cell>
          <cell r="N626" t="str">
            <v>BRACKET SHOCK ABSORBER(3478)</v>
          </cell>
          <cell r="O626" t="str">
            <v>32037-0377</v>
          </cell>
          <cell r="P626">
            <v>3478</v>
          </cell>
          <cell r="Q626" t="str">
            <v>epc</v>
          </cell>
        </row>
        <row r="627">
          <cell r="A627" t="str">
            <v>30033540-3</v>
          </cell>
          <cell r="B627" t="str">
            <v>1.6 x 77+/-0.5 x 1219</v>
          </cell>
          <cell r="C627">
            <v>1.6</v>
          </cell>
          <cell r="D627">
            <v>77</v>
          </cell>
          <cell r="E627">
            <v>1219</v>
          </cell>
          <cell r="F627">
            <v>1.1789192800000001</v>
          </cell>
          <cell r="G627">
            <v>77</v>
          </cell>
          <cell r="H627">
            <v>77005371</v>
          </cell>
          <cell r="I627" t="str">
            <v>SPHC-P/O</v>
          </cell>
          <cell r="J627" t="str">
            <v>BRACKET SHOCK ABSORBER(3478)</v>
          </cell>
          <cell r="K627" t="str">
            <v>32037-0377</v>
          </cell>
          <cell r="L627">
            <v>3478</v>
          </cell>
          <cell r="M627" t="str">
            <v>SPHC-P/O</v>
          </cell>
          <cell r="N627" t="str">
            <v>BRACKET SHOCK ABSORBER(3478)</v>
          </cell>
          <cell r="O627" t="str">
            <v>32037-0377</v>
          </cell>
          <cell r="P627">
            <v>3478</v>
          </cell>
          <cell r="Q627" t="str">
            <v>tsi</v>
          </cell>
        </row>
        <row r="628">
          <cell r="A628" t="str">
            <v>30035791-1</v>
          </cell>
          <cell r="B628" t="str">
            <v>2.3 x 122+/-0.5 x 1219</v>
          </cell>
          <cell r="C628">
            <v>2.2999999999999998</v>
          </cell>
          <cell r="D628">
            <v>122</v>
          </cell>
          <cell r="E628">
            <v>1219</v>
          </cell>
          <cell r="F628">
            <v>2.6851034899999999</v>
          </cell>
          <cell r="G628">
            <v>34</v>
          </cell>
          <cell r="H628">
            <v>77005287</v>
          </cell>
          <cell r="I628" t="str">
            <v>SPFH590-P/O</v>
          </cell>
          <cell r="J628" t="str">
            <v>BRACKET</v>
          </cell>
          <cell r="K628" t="str">
            <v>11057-0255(11057-0661)</v>
          </cell>
          <cell r="L628">
            <v>8098</v>
          </cell>
          <cell r="M628" t="str">
            <v>SPFH590-P/O</v>
          </cell>
          <cell r="N628" t="str">
            <v>BRACKET</v>
          </cell>
          <cell r="O628" t="str">
            <v>11057-0255(11057-0661)</v>
          </cell>
          <cell r="P628">
            <v>8098</v>
          </cell>
          <cell r="Q628" t="e">
            <v>#N/A</v>
          </cell>
          <cell r="R628">
            <v>0</v>
          </cell>
        </row>
        <row r="629">
          <cell r="A629" t="str">
            <v>30035791-2</v>
          </cell>
          <cell r="B629" t="str">
            <v>3.2 x 76+/-0.5 x 1219</v>
          </cell>
          <cell r="C629">
            <v>3.2</v>
          </cell>
          <cell r="D629">
            <v>76</v>
          </cell>
          <cell r="E629">
            <v>1219</v>
          </cell>
          <cell r="F629">
            <v>2.3272172800000002</v>
          </cell>
          <cell r="G629">
            <v>42</v>
          </cell>
          <cell r="H629">
            <v>77005299</v>
          </cell>
          <cell r="I629" t="str">
            <v>SPFH590-P/O</v>
          </cell>
          <cell r="J629" t="str">
            <v>BRACKET</v>
          </cell>
          <cell r="K629" t="str">
            <v>11057-0255(11057-0661)</v>
          </cell>
          <cell r="L629">
            <v>8098</v>
          </cell>
          <cell r="M629" t="str">
            <v>SPFH590-P/O</v>
          </cell>
          <cell r="N629" t="str">
            <v>BRACKET</v>
          </cell>
          <cell r="O629" t="str">
            <v>11057-0255(11057-0661)</v>
          </cell>
          <cell r="P629">
            <v>8098</v>
          </cell>
          <cell r="Q629" t="e">
            <v>#N/A</v>
          </cell>
        </row>
        <row r="630">
          <cell r="A630" t="str">
            <v>30035794-1</v>
          </cell>
          <cell r="B630" t="str">
            <v>2.3 x 122+/-0.5 x 1219</v>
          </cell>
          <cell r="C630">
            <v>2.2999999999999998</v>
          </cell>
          <cell r="D630">
            <v>122</v>
          </cell>
          <cell r="E630">
            <v>1219</v>
          </cell>
          <cell r="F630">
            <v>2.6851034899999999</v>
          </cell>
          <cell r="G630">
            <v>34</v>
          </cell>
          <cell r="H630">
            <v>77005287</v>
          </cell>
          <cell r="I630" t="str">
            <v>SPFH590-P/O</v>
          </cell>
          <cell r="J630" t="str">
            <v>BRACKET</v>
          </cell>
          <cell r="K630" t="str">
            <v>11057-0254(11057-0658)</v>
          </cell>
          <cell r="L630">
            <v>8098</v>
          </cell>
          <cell r="M630" t="str">
            <v>SPFH590-P/O</v>
          </cell>
          <cell r="N630" t="str">
            <v>BRACKET</v>
          </cell>
          <cell r="O630" t="str">
            <v>11057-0254(11057-0658)</v>
          </cell>
          <cell r="P630">
            <v>8098</v>
          </cell>
          <cell r="Q630" t="e">
            <v>#N/A</v>
          </cell>
          <cell r="R630">
            <v>0</v>
          </cell>
        </row>
        <row r="631">
          <cell r="A631" t="str">
            <v>30035794-2</v>
          </cell>
          <cell r="B631" t="str">
            <v>3.2 x 76+/-0.5 x 1219</v>
          </cell>
          <cell r="C631">
            <v>3.2</v>
          </cell>
          <cell r="D631">
            <v>76</v>
          </cell>
          <cell r="E631">
            <v>1219</v>
          </cell>
          <cell r="F631">
            <v>2.3272172800000002</v>
          </cell>
          <cell r="G631">
            <v>42</v>
          </cell>
          <cell r="H631">
            <v>77005299</v>
          </cell>
          <cell r="I631" t="str">
            <v>SPFH590-P/O</v>
          </cell>
          <cell r="J631" t="str">
            <v>BRACKET</v>
          </cell>
          <cell r="K631" t="str">
            <v>11057-0254(11057-0659)</v>
          </cell>
          <cell r="L631">
            <v>8098</v>
          </cell>
          <cell r="M631" t="str">
            <v>SPFH590-P/O</v>
          </cell>
          <cell r="N631" t="str">
            <v>BRACKET</v>
          </cell>
          <cell r="O631" t="str">
            <v>11057-0254(11057-0659)</v>
          </cell>
          <cell r="P631">
            <v>8098</v>
          </cell>
          <cell r="Q631" t="e">
            <v>#N/A</v>
          </cell>
        </row>
        <row r="632">
          <cell r="A632" t="str">
            <v>73003763/73003764-1</v>
          </cell>
          <cell r="B632" t="str">
            <v>1.6 x 119+/-0.5 x 1219</v>
          </cell>
          <cell r="C632">
            <v>1.6</v>
          </cell>
          <cell r="D632">
            <v>119</v>
          </cell>
          <cell r="E632">
            <v>1219</v>
          </cell>
          <cell r="F632">
            <v>1.8219661599999999</v>
          </cell>
          <cell r="G632">
            <v>22</v>
          </cell>
          <cell r="H632">
            <v>77005322</v>
          </cell>
          <cell r="I632" t="str">
            <v>SPHC-P/O</v>
          </cell>
          <cell r="J632" t="str">
            <v>BRACKET</v>
          </cell>
          <cell r="K632" t="str">
            <v>11051-1575-1A/11051-1574-1A</v>
          </cell>
          <cell r="L632" t="str">
            <v>T</v>
          </cell>
          <cell r="M632" t="str">
            <v>SPHC-P/O</v>
          </cell>
          <cell r="N632" t="str">
            <v>BRACKET</v>
          </cell>
          <cell r="O632" t="str">
            <v>11051-1575-1A/11051-1574-1A</v>
          </cell>
          <cell r="P632" t="str">
            <v>T</v>
          </cell>
          <cell r="Q632" t="str">
            <v>tsi</v>
          </cell>
        </row>
        <row r="633">
          <cell r="A633" t="str">
            <v>73003763/73003764-2</v>
          </cell>
          <cell r="B633" t="str">
            <v>1.6 x 100+/-0.5 x 1219</v>
          </cell>
          <cell r="C633">
            <v>1.6</v>
          </cell>
          <cell r="D633">
            <v>100</v>
          </cell>
          <cell r="E633">
            <v>1219</v>
          </cell>
          <cell r="F633">
            <v>1.531064</v>
          </cell>
          <cell r="G633">
            <v>21</v>
          </cell>
          <cell r="H633">
            <v>77005319</v>
          </cell>
          <cell r="I633" t="str">
            <v>SPHC-P/O</v>
          </cell>
          <cell r="J633" t="str">
            <v>BRACKET</v>
          </cell>
          <cell r="K633" t="str">
            <v>11051-1575-1A/11051-1574-1A</v>
          </cell>
          <cell r="L633" t="str">
            <v>T</v>
          </cell>
          <cell r="M633" t="str">
            <v>SPHC-P/O</v>
          </cell>
          <cell r="N633" t="str">
            <v>BRACKET</v>
          </cell>
          <cell r="O633" t="str">
            <v>11051-1575-1A/11051-1574-1A</v>
          </cell>
          <cell r="P633" t="str">
            <v>T</v>
          </cell>
          <cell r="Q633" t="str">
            <v>tsi</v>
          </cell>
          <cell r="R633">
            <v>200</v>
          </cell>
        </row>
        <row r="634">
          <cell r="A634" t="str">
            <v>ชิ้นงาน Kubota</v>
          </cell>
          <cell r="B634" t="str">
            <v>ไม่มีรายการใน Forecast จาก คุณเอกลัก TSGP 1</v>
          </cell>
        </row>
        <row r="635">
          <cell r="A635">
            <v>30031671</v>
          </cell>
          <cell r="B635" t="str">
            <v>2.0 x 170+0/-0.5 x 914+/-0.5</v>
          </cell>
          <cell r="C635">
            <v>2</v>
          </cell>
          <cell r="D635">
            <v>170</v>
          </cell>
          <cell r="E635">
            <v>914</v>
          </cell>
          <cell r="F635">
            <v>2.4394659999999999</v>
          </cell>
          <cell r="G635">
            <v>3</v>
          </cell>
          <cell r="H635">
            <v>77003622</v>
          </cell>
          <cell r="I635" t="str">
            <v>SK85</v>
          </cell>
          <cell r="J635" t="str">
            <v>LINER (2ND. 1)</v>
          </cell>
          <cell r="K635">
            <v>0</v>
          </cell>
          <cell r="L635" t="str">
            <v>DC-105X</v>
          </cell>
          <cell r="M635" t="str">
            <v>SK85</v>
          </cell>
          <cell r="N635" t="str">
            <v>LINER (2ND. 1)</v>
          </cell>
          <cell r="O635">
            <v>0</v>
          </cell>
          <cell r="P635" t="str">
            <v>DC-105X</v>
          </cell>
          <cell r="Q635" t="str">
            <v>ptt</v>
          </cell>
          <cell r="R635">
            <v>105</v>
          </cell>
        </row>
        <row r="636">
          <cell r="A636">
            <v>30031672</v>
          </cell>
          <cell r="B636" t="str">
            <v>2.0 x 170+0/-0.5 x 914+/-0.5</v>
          </cell>
          <cell r="C636">
            <v>2</v>
          </cell>
          <cell r="D636">
            <v>170</v>
          </cell>
          <cell r="E636">
            <v>914</v>
          </cell>
          <cell r="F636">
            <v>2.4394659999999999</v>
          </cell>
          <cell r="G636">
            <v>2</v>
          </cell>
          <cell r="H636">
            <v>77003622</v>
          </cell>
          <cell r="I636" t="str">
            <v>SK85</v>
          </cell>
          <cell r="J636" t="str">
            <v>LINER (2ND. 2)</v>
          </cell>
          <cell r="K636">
            <v>0</v>
          </cell>
          <cell r="L636" t="str">
            <v>DC-105X</v>
          </cell>
          <cell r="M636" t="str">
            <v>SK85</v>
          </cell>
          <cell r="N636" t="str">
            <v>LINER (2ND. 2)</v>
          </cell>
          <cell r="O636">
            <v>0</v>
          </cell>
          <cell r="P636" t="str">
            <v>DC-105X</v>
          </cell>
          <cell r="Q636" t="str">
            <v>ptt</v>
          </cell>
          <cell r="R636">
            <v>105</v>
          </cell>
        </row>
        <row r="637">
          <cell r="A637">
            <v>30030833</v>
          </cell>
          <cell r="B637" t="str">
            <v>4.5 x 204+/-0.5 x 1219 โก่ง 2 มม./เน้นเรียบ</v>
          </cell>
          <cell r="C637">
            <v>4.5</v>
          </cell>
          <cell r="D637">
            <v>204</v>
          </cell>
          <cell r="E637">
            <v>1219</v>
          </cell>
          <cell r="F637">
            <v>8.7844796999999986</v>
          </cell>
          <cell r="G637">
            <v>32</v>
          </cell>
          <cell r="H637">
            <v>77005550</v>
          </cell>
          <cell r="I637" t="str">
            <v>SS400</v>
          </cell>
          <cell r="J637" t="str">
            <v>SUPPORT(STEERING)SUB ASSY NO.3</v>
          </cell>
          <cell r="K637" t="str">
            <v>E52-B</v>
          </cell>
          <cell r="L637" t="str">
            <v>T</v>
          </cell>
          <cell r="M637" t="str">
            <v>SS400</v>
          </cell>
          <cell r="N637" t="str">
            <v>SUPPORT(STEERING)SUB ASSY NO.3</v>
          </cell>
          <cell r="O637" t="str">
            <v>E52-B</v>
          </cell>
          <cell r="P637" t="str">
            <v>T</v>
          </cell>
          <cell r="Q637" t="str">
            <v>csp</v>
          </cell>
        </row>
        <row r="638">
          <cell r="A638">
            <v>30030949</v>
          </cell>
          <cell r="B638" t="str">
            <v>6.0 x 59+/-0.5 x 1219</v>
          </cell>
          <cell r="C638">
            <v>6</v>
          </cell>
          <cell r="D638">
            <v>59</v>
          </cell>
          <cell r="E638">
            <v>1219</v>
          </cell>
          <cell r="F638">
            <v>3.3874790999999997</v>
          </cell>
          <cell r="G638">
            <v>22</v>
          </cell>
          <cell r="H638">
            <v>77005565</v>
          </cell>
          <cell r="I638" t="str">
            <v>SS400</v>
          </cell>
          <cell r="J638" t="str">
            <v>POST(STEERING)SUB ASSY 2</v>
          </cell>
          <cell r="K638" t="str">
            <v>E52-B</v>
          </cell>
          <cell r="L638" t="str">
            <v>T</v>
          </cell>
          <cell r="M638" t="str">
            <v>SS400</v>
          </cell>
          <cell r="N638" t="str">
            <v>POST(STEERING)SUB ASSY 2</v>
          </cell>
          <cell r="O638" t="str">
            <v>E52-B</v>
          </cell>
          <cell r="P638" t="str">
            <v>T</v>
          </cell>
          <cell r="Q638" t="str">
            <v>bm</v>
          </cell>
        </row>
        <row r="639">
          <cell r="A639" t="str">
            <v>30034394-0</v>
          </cell>
          <cell r="B639" t="str">
            <v>2.3 x 451+/-0.5 x 1219</v>
          </cell>
          <cell r="C639">
            <v>2.2999999999999998</v>
          </cell>
          <cell r="D639">
            <v>451</v>
          </cell>
          <cell r="E639">
            <v>1219</v>
          </cell>
          <cell r="F639">
            <v>9.9260792949999992</v>
          </cell>
          <cell r="G639">
            <v>4</v>
          </cell>
          <cell r="H639">
            <v>77005305</v>
          </cell>
          <cell r="I639" t="str">
            <v>SPHC</v>
          </cell>
          <cell r="J639" t="str">
            <v>PLATE BRACKET (BATTERY) NO. 1</v>
          </cell>
          <cell r="K639" t="str">
            <v>6C6265122-1-01</v>
          </cell>
          <cell r="L639" t="str">
            <v>D35B</v>
          </cell>
          <cell r="M639" t="str">
            <v>SPHC</v>
          </cell>
          <cell r="N639" t="str">
            <v>PLATE BRACKET (BATTERY) NO. 1</v>
          </cell>
          <cell r="O639" t="str">
            <v>6C6265122-1-01</v>
          </cell>
          <cell r="P639" t="str">
            <v>D35B</v>
          </cell>
          <cell r="Q639" t="str">
            <v>ps</v>
          </cell>
        </row>
        <row r="640">
          <cell r="A640">
            <v>30009847</v>
          </cell>
          <cell r="B640" t="str">
            <v>2.3 x 227+/-0.5 x 1219</v>
          </cell>
          <cell r="C640">
            <v>2.2999999999999998</v>
          </cell>
          <cell r="D640">
            <v>227</v>
          </cell>
          <cell r="E640">
            <v>1219</v>
          </cell>
          <cell r="F640">
            <v>4.996053214999999</v>
          </cell>
          <cell r="G640">
            <v>60</v>
          </cell>
          <cell r="H640">
            <v>77005436</v>
          </cell>
          <cell r="I640" t="str">
            <v>SPHC-P/O</v>
          </cell>
          <cell r="J640" t="str">
            <v>SPORT STRG ASSY-3</v>
          </cell>
          <cell r="K640" t="str">
            <v>TC422-4568-K2</v>
          </cell>
          <cell r="L640" t="str">
            <v>KUBOTA</v>
          </cell>
          <cell r="M640" t="str">
            <v>SPHC-P/O</v>
          </cell>
          <cell r="N640" t="str">
            <v>SPORT STRG ASSY-3</v>
          </cell>
          <cell r="O640" t="str">
            <v>TC422-4568-K2</v>
          </cell>
          <cell r="P640" t="str">
            <v>KUBOTA</v>
          </cell>
          <cell r="Q640" t="str">
            <v>epc</v>
          </cell>
        </row>
        <row r="641">
          <cell r="A641">
            <v>30011882</v>
          </cell>
          <cell r="B641" t="str">
            <v>3.2 x 228+/-0.5 x 1219 เน้นเรียบ</v>
          </cell>
          <cell r="C641">
            <v>3.2</v>
          </cell>
          <cell r="D641">
            <v>228</v>
          </cell>
          <cell r="E641">
            <v>1219</v>
          </cell>
          <cell r="F641">
            <v>6.9816518399999996</v>
          </cell>
          <cell r="G641">
            <v>16</v>
          </cell>
          <cell r="H641">
            <v>77005494</v>
          </cell>
          <cell r="I641" t="str">
            <v>SPHC-P/O</v>
          </cell>
          <cell r="J641" t="str">
            <v>PILLAR FR ASSY 1.3</v>
          </cell>
          <cell r="K641" t="str">
            <v>TC422-1831-K2</v>
          </cell>
          <cell r="L641" t="str">
            <v>KUBOTA</v>
          </cell>
          <cell r="M641" t="str">
            <v>SPHC-P/O</v>
          </cell>
          <cell r="N641" t="str">
            <v>PILLAR FR ASSY 1.3</v>
          </cell>
          <cell r="O641" t="str">
            <v>TC422-1831-K2</v>
          </cell>
          <cell r="P641" t="str">
            <v>KUBOTA</v>
          </cell>
          <cell r="Q641" t="str">
            <v>ps</v>
          </cell>
          <cell r="R641">
            <v>50</v>
          </cell>
        </row>
        <row r="642">
          <cell r="A642" t="str">
            <v>73016237-1</v>
          </cell>
          <cell r="B642" t="str">
            <v>2.6 x 468+/-0.5 x 1219  โก่ง 2 มม./เน้นเรียบ</v>
          </cell>
          <cell r="C642">
            <v>2.6</v>
          </cell>
          <cell r="D642">
            <v>468</v>
          </cell>
          <cell r="E642">
            <v>1219</v>
          </cell>
          <cell r="F642">
            <v>11.64374172</v>
          </cell>
          <cell r="G642">
            <v>65</v>
          </cell>
          <cell r="H642">
            <v>77005310</v>
          </cell>
          <cell r="I642" t="str">
            <v>SPHC</v>
          </cell>
          <cell r="J642" t="str">
            <v>PLATE STAY NO.1</v>
          </cell>
          <cell r="K642" t="str">
            <v>6C626-9195-2-01</v>
          </cell>
          <cell r="L642" t="str">
            <v>D35B</v>
          </cell>
          <cell r="M642" t="str">
            <v>SPHC</v>
          </cell>
          <cell r="N642" t="str">
            <v>PLATE STAY NO.1</v>
          </cell>
          <cell r="O642" t="str">
            <v>6C626-9195-2-01</v>
          </cell>
          <cell r="P642" t="str">
            <v>D35B</v>
          </cell>
          <cell r="Q642" t="str">
            <v>bm</v>
          </cell>
          <cell r="R642">
            <v>30</v>
          </cell>
        </row>
        <row r="643">
          <cell r="A643" t="str">
            <v>73016237-2</v>
          </cell>
          <cell r="B643" t="str">
            <v>2.6 x 133+/-0.5 x 1219</v>
          </cell>
          <cell r="C643">
            <v>2.6</v>
          </cell>
          <cell r="D643">
            <v>133</v>
          </cell>
          <cell r="E643">
            <v>1219</v>
          </cell>
          <cell r="F643">
            <v>3.3090120699999996</v>
          </cell>
          <cell r="G643">
            <v>42</v>
          </cell>
          <cell r="H643">
            <v>77005309</v>
          </cell>
          <cell r="I643" t="str">
            <v>SPHC</v>
          </cell>
          <cell r="J643" t="str">
            <v>PLATE STAY NO. 2</v>
          </cell>
          <cell r="K643" t="str">
            <v>6C626-9165-2-02</v>
          </cell>
          <cell r="L643" t="str">
            <v>D35B</v>
          </cell>
          <cell r="M643" t="str">
            <v>SPHC</v>
          </cell>
          <cell r="N643" t="str">
            <v>PLATE STAY NO. 2</v>
          </cell>
          <cell r="O643" t="str">
            <v>6C626-9165-2-02</v>
          </cell>
          <cell r="P643" t="str">
            <v>D35B</v>
          </cell>
          <cell r="Q643" t="str">
            <v>bm</v>
          </cell>
        </row>
        <row r="644">
          <cell r="A644" t="str">
            <v>73016237-3</v>
          </cell>
          <cell r="B644" t="str">
            <v>2.6 x 54+/-0.5 x 1219</v>
          </cell>
          <cell r="C644">
            <v>2.6</v>
          </cell>
          <cell r="D644">
            <v>54</v>
          </cell>
          <cell r="E644">
            <v>1219</v>
          </cell>
          <cell r="F644">
            <v>1.3435086599999999</v>
          </cell>
          <cell r="G644">
            <v>42</v>
          </cell>
          <cell r="H644">
            <v>77005311</v>
          </cell>
          <cell r="I644" t="str">
            <v>SPHC</v>
          </cell>
          <cell r="J644" t="str">
            <v>PLATE STAY NO. 3</v>
          </cell>
          <cell r="K644" t="str">
            <v>6C626-9165-2-03</v>
          </cell>
          <cell r="L644" t="str">
            <v>D35B</v>
          </cell>
          <cell r="M644" t="str">
            <v>SPHC</v>
          </cell>
          <cell r="N644" t="str">
            <v>PLATE STAY NO. 3</v>
          </cell>
          <cell r="O644" t="str">
            <v>6C626-9165-2-03</v>
          </cell>
          <cell r="P644" t="str">
            <v>D35B</v>
          </cell>
          <cell r="Q644" t="str">
            <v>ps</v>
          </cell>
        </row>
        <row r="645">
          <cell r="A645" t="str">
            <v>73016237-4</v>
          </cell>
          <cell r="B645" t="str">
            <v>2.6 x 133+/-0.5 x 1219</v>
          </cell>
          <cell r="C645">
            <v>2.6</v>
          </cell>
          <cell r="D645">
            <v>133</v>
          </cell>
          <cell r="E645">
            <v>1219</v>
          </cell>
          <cell r="F645">
            <v>3.3090120699999996</v>
          </cell>
          <cell r="G645">
            <v>65</v>
          </cell>
          <cell r="H645">
            <v>77005309</v>
          </cell>
          <cell r="I645" t="str">
            <v>SPHC</v>
          </cell>
          <cell r="J645" t="str">
            <v>PLATE STAY NO. 4</v>
          </cell>
          <cell r="K645" t="str">
            <v>6C626-9165-2-04</v>
          </cell>
          <cell r="L645" t="str">
            <v>D35B</v>
          </cell>
          <cell r="M645" t="str">
            <v>SPHC</v>
          </cell>
          <cell r="N645" t="str">
            <v>PLATE STAY NO. 4</v>
          </cell>
          <cell r="O645" t="str">
            <v>6C626-9165-2-04</v>
          </cell>
          <cell r="P645" t="str">
            <v>D35B</v>
          </cell>
          <cell r="Q645" t="str">
            <v>bm</v>
          </cell>
        </row>
        <row r="646">
          <cell r="A646" t="str">
            <v>73016237-5</v>
          </cell>
          <cell r="B646" t="str">
            <v>2.6 x 104+/-0.5 x 1219</v>
          </cell>
          <cell r="C646">
            <v>2.6</v>
          </cell>
          <cell r="D646">
            <v>104</v>
          </cell>
          <cell r="E646">
            <v>1219</v>
          </cell>
          <cell r="F646">
            <v>2.58749816</v>
          </cell>
          <cell r="G646">
            <v>42</v>
          </cell>
          <cell r="H646">
            <v>77005308</v>
          </cell>
          <cell r="I646" t="str">
            <v>SPHC</v>
          </cell>
          <cell r="J646" t="str">
            <v>PLATE STAY NO. 5</v>
          </cell>
          <cell r="K646" t="str">
            <v>6C626-9165-2-05</v>
          </cell>
          <cell r="L646" t="str">
            <v>D35B</v>
          </cell>
          <cell r="M646" t="str">
            <v>SPHC</v>
          </cell>
          <cell r="N646" t="str">
            <v>PLATE STAY NO. 5</v>
          </cell>
          <cell r="O646" t="str">
            <v>6C626-9165-2-05</v>
          </cell>
          <cell r="P646" t="str">
            <v>D35B</v>
          </cell>
          <cell r="Q646" t="str">
            <v>bm</v>
          </cell>
        </row>
        <row r="647">
          <cell r="A647" t="str">
            <v>73016237-6</v>
          </cell>
          <cell r="B647" t="str">
            <v>2.6 x 78+/-0.5 x 1219</v>
          </cell>
          <cell r="C647">
            <v>2.6</v>
          </cell>
          <cell r="D647">
            <v>78</v>
          </cell>
          <cell r="E647">
            <v>1219</v>
          </cell>
          <cell r="F647">
            <v>1.9406236200000002</v>
          </cell>
          <cell r="G647">
            <v>29</v>
          </cell>
          <cell r="H647">
            <v>77005469</v>
          </cell>
          <cell r="I647" t="str">
            <v>SPHC-P/O</v>
          </cell>
          <cell r="J647" t="str">
            <v>PLATE STAY NO. 6</v>
          </cell>
          <cell r="K647" t="str">
            <v>6C626-9165-2-06</v>
          </cell>
          <cell r="L647" t="str">
            <v>D35B</v>
          </cell>
          <cell r="M647" t="str">
            <v>SPHC-P/O</v>
          </cell>
          <cell r="N647" t="str">
            <v>PLATE STAY NO. 6</v>
          </cell>
          <cell r="O647" t="str">
            <v>6C626-9165-2-06</v>
          </cell>
          <cell r="P647" t="str">
            <v>D35B</v>
          </cell>
          <cell r="Q647" t="str">
            <v>epc</v>
          </cell>
        </row>
        <row r="648">
          <cell r="A648" t="str">
            <v>30043421-2</v>
          </cell>
          <cell r="B648" t="str">
            <v>3.2 x 130+/-0.5 x 1219</v>
          </cell>
          <cell r="C648">
            <v>3.2</v>
          </cell>
          <cell r="D648">
            <v>130</v>
          </cell>
          <cell r="E648">
            <v>1219</v>
          </cell>
          <cell r="F648">
            <v>3.9807663999999998</v>
          </cell>
          <cell r="G648">
            <v>22</v>
          </cell>
          <cell r="H648">
            <v>77005295</v>
          </cell>
          <cell r="I648" t="str">
            <v>SPFH590-PO</v>
          </cell>
          <cell r="J648" t="str">
            <v>BRACKET CASE (2ND) NO.</v>
          </cell>
          <cell r="K648" t="str">
            <v>5T124-6831-2-13</v>
          </cell>
          <cell r="L648" t="str">
            <v>KUBOTA DC-105X</v>
          </cell>
          <cell r="M648" t="str">
            <v>SPFH590-PO</v>
          </cell>
          <cell r="N648" t="str">
            <v>BRACKET CASE (2ND) NO.</v>
          </cell>
          <cell r="O648" t="str">
            <v>5T124-6831-2-13</v>
          </cell>
          <cell r="P648" t="str">
            <v>KUBOTA DC-105X</v>
          </cell>
          <cell r="Q648" t="str">
            <v>tsi</v>
          </cell>
        </row>
        <row r="649">
          <cell r="A649" t="str">
            <v>73016237-1</v>
          </cell>
          <cell r="B649" t="str">
            <v>2.6 x 468+/-0.5 x 1219 โก่ง 2 มม./เน้นเรียบ</v>
          </cell>
          <cell r="C649">
            <v>2.6</v>
          </cell>
          <cell r="D649">
            <v>468</v>
          </cell>
          <cell r="E649">
            <v>1219</v>
          </cell>
          <cell r="F649">
            <v>11.64374172</v>
          </cell>
          <cell r="G649">
            <v>65</v>
          </cell>
          <cell r="I649" t="str">
            <v>SPHC</v>
          </cell>
          <cell r="J649" t="str">
            <v>STAY NO. 1</v>
          </cell>
          <cell r="K649" t="str">
            <v>6C629165-1</v>
          </cell>
          <cell r="L649" t="str">
            <v>D35B</v>
          </cell>
          <cell r="M649" t="str">
            <v>SPHC</v>
          </cell>
          <cell r="N649" t="str">
            <v>STAY NO. 1</v>
          </cell>
          <cell r="O649" t="str">
            <v>6C629165-1</v>
          </cell>
          <cell r="P649" t="str">
            <v>D35B</v>
          </cell>
          <cell r="Q649" t="e">
            <v>#N/A</v>
          </cell>
          <cell r="R649">
            <v>30</v>
          </cell>
        </row>
        <row r="650">
          <cell r="A650">
            <v>30014198</v>
          </cell>
          <cell r="B650" t="str">
            <v>3.2 x 101+/-0.5 x 687+/-0.5</v>
          </cell>
          <cell r="C650">
            <v>3.2</v>
          </cell>
          <cell r="D650">
            <v>101</v>
          </cell>
          <cell r="E650">
            <v>687</v>
          </cell>
          <cell r="F650">
            <v>1.7430014400000002</v>
          </cell>
          <cell r="G650">
            <v>1</v>
          </cell>
          <cell r="H650">
            <v>77005603</v>
          </cell>
          <cell r="I650" t="str">
            <v>SPHC-P/O</v>
          </cell>
          <cell r="J650" t="str">
            <v>BRKT</v>
          </cell>
          <cell r="K650" t="str">
            <v>TC422-2944-1</v>
          </cell>
          <cell r="L650" t="str">
            <v>KUBOTA E40C</v>
          </cell>
          <cell r="M650" t="str">
            <v>SPHC-P/O</v>
          </cell>
          <cell r="N650" t="str">
            <v>BRKT</v>
          </cell>
          <cell r="O650" t="str">
            <v>TC422-2944-1</v>
          </cell>
          <cell r="P650" t="str">
            <v>KUBOTA E40C</v>
          </cell>
          <cell r="Q650" t="str">
            <v>tsi</v>
          </cell>
          <cell r="R650">
            <v>200</v>
          </cell>
        </row>
        <row r="651">
          <cell r="A651">
            <v>30014263</v>
          </cell>
          <cell r="B651" t="str">
            <v>3.2 x 101+/-0.5 x 668+0/-0.5</v>
          </cell>
          <cell r="C651">
            <v>3.2</v>
          </cell>
          <cell r="D651">
            <v>101</v>
          </cell>
          <cell r="E651">
            <v>668</v>
          </cell>
          <cell r="F651">
            <v>1.6947961600000001</v>
          </cell>
          <cell r="G651">
            <v>1</v>
          </cell>
          <cell r="H651">
            <v>77005475</v>
          </cell>
          <cell r="I651" t="str">
            <v>SPHC-P/O</v>
          </cell>
          <cell r="J651" t="str">
            <v>SUPPORT FD BRD ASSY-1</v>
          </cell>
          <cell r="K651" t="str">
            <v>TC422-2944-K1</v>
          </cell>
          <cell r="L651" t="str">
            <v>KUBOTA</v>
          </cell>
          <cell r="M651" t="str">
            <v>SPHC-P/O</v>
          </cell>
          <cell r="N651" t="str">
            <v>SUPPORT FD BRD ASSY-1</v>
          </cell>
          <cell r="O651" t="str">
            <v>TC422-2944-K1</v>
          </cell>
          <cell r="P651" t="str">
            <v>KUBOTA</v>
          </cell>
          <cell r="Q651" t="str">
            <v>tsi</v>
          </cell>
          <cell r="R651">
            <v>200</v>
          </cell>
        </row>
        <row r="652">
          <cell r="A652">
            <v>30021501</v>
          </cell>
          <cell r="B652" t="str">
            <v>3.2 x 60+/-0.5 x 1219</v>
          </cell>
          <cell r="C652">
            <v>3.2</v>
          </cell>
          <cell r="D652">
            <v>60</v>
          </cell>
          <cell r="E652">
            <v>1219</v>
          </cell>
          <cell r="F652">
            <v>1.8372767999999997</v>
          </cell>
          <cell r="G652">
            <v>43</v>
          </cell>
          <cell r="H652">
            <v>77005505</v>
          </cell>
          <cell r="I652" t="str">
            <v>SPHC-P/O</v>
          </cell>
          <cell r="J652" t="str">
            <v>BRKT NO.3</v>
          </cell>
          <cell r="K652" t="str">
            <v>TC522-2924-1-03</v>
          </cell>
          <cell r="L652" t="str">
            <v>KUBOTA</v>
          </cell>
          <cell r="M652" t="str">
            <v>SPHC-P/O</v>
          </cell>
          <cell r="N652" t="str">
            <v>BRKT NO.3</v>
          </cell>
          <cell r="O652" t="str">
            <v>TC522-2924-1-03</v>
          </cell>
          <cell r="P652" t="str">
            <v>KUBOTA</v>
          </cell>
          <cell r="Q652" t="str">
            <v>epc</v>
          </cell>
        </row>
        <row r="653">
          <cell r="A653">
            <v>30021505</v>
          </cell>
          <cell r="B653" t="str">
            <v>6.0 x 50+/-0.5 x 1219</v>
          </cell>
          <cell r="C653">
            <v>6</v>
          </cell>
          <cell r="D653">
            <v>50</v>
          </cell>
          <cell r="E653">
            <v>1219</v>
          </cell>
          <cell r="F653">
            <v>2.8707449999999999</v>
          </cell>
          <cell r="G653">
            <v>49</v>
          </cell>
          <cell r="H653">
            <v>77005537</v>
          </cell>
          <cell r="I653" t="str">
            <v>SPHC-P/O</v>
          </cell>
          <cell r="J653" t="str">
            <v>STAY STEERING NO.11</v>
          </cell>
          <cell r="K653" t="str">
            <v>TC522-4569-1-11</v>
          </cell>
          <cell r="L653" t="str">
            <v>E53B</v>
          </cell>
          <cell r="M653" t="str">
            <v>SPHC-P/O</v>
          </cell>
          <cell r="N653" t="str">
            <v>STAY STEERING NO.11</v>
          </cell>
          <cell r="O653" t="str">
            <v>TC522-4569-1-11</v>
          </cell>
          <cell r="P653" t="str">
            <v>E53B</v>
          </cell>
          <cell r="Q653" t="str">
            <v>epc</v>
          </cell>
        </row>
        <row r="654">
          <cell r="A654">
            <v>30029100</v>
          </cell>
          <cell r="B654" t="str">
            <v>6.0 x 32+/-0.5 x 223+/-0.5</v>
          </cell>
          <cell r="C654">
            <v>6</v>
          </cell>
          <cell r="D654">
            <v>32</v>
          </cell>
          <cell r="E654">
            <v>223</v>
          </cell>
          <cell r="F654">
            <v>0.3361056</v>
          </cell>
          <cell r="G654">
            <v>2</v>
          </cell>
          <cell r="H654">
            <v>77005563</v>
          </cell>
          <cell r="I654" t="str">
            <v>SS400</v>
          </cell>
          <cell r="J654" t="str">
            <v>BRACKET SUB ASSY 4</v>
          </cell>
          <cell r="K654" t="str">
            <v>TC422-2923-2-K1</v>
          </cell>
          <cell r="L654" t="str">
            <v>KUBOTA</v>
          </cell>
          <cell r="M654" t="str">
            <v>SS400</v>
          </cell>
          <cell r="N654" t="str">
            <v>BRACKET SUB ASSY 4</v>
          </cell>
          <cell r="O654" t="str">
            <v>TC422-2923-2-K1</v>
          </cell>
          <cell r="P654" t="str">
            <v>KUBOTA</v>
          </cell>
          <cell r="Q654" t="str">
            <v>ps</v>
          </cell>
        </row>
        <row r="655">
          <cell r="A655">
            <v>30030988</v>
          </cell>
          <cell r="B655" t="str">
            <v>1.6 x 368+/-0.5 x 368+/-0.5 เน้นเรียบ</v>
          </cell>
          <cell r="C655">
            <v>1.6</v>
          </cell>
          <cell r="D655">
            <v>368</v>
          </cell>
          <cell r="E655">
            <v>368</v>
          </cell>
          <cell r="F655">
            <v>1.7009254400000002</v>
          </cell>
          <cell r="G655">
            <v>1</v>
          </cell>
          <cell r="H655">
            <v>77005343</v>
          </cell>
          <cell r="I655" t="str">
            <v>SPHC-P</v>
          </cell>
          <cell r="J655" t="str">
            <v>BRACKET CASE (2ND)</v>
          </cell>
          <cell r="K655" t="str">
            <v>NO.1 SUB ASSY 1% DC-105X</v>
          </cell>
          <cell r="L655" t="str">
            <v>KUBOTA DC105X</v>
          </cell>
          <cell r="M655" t="str">
            <v>SPHC-P</v>
          </cell>
          <cell r="N655" t="str">
            <v>BRACKET CASE (2ND)</v>
          </cell>
          <cell r="O655" t="str">
            <v>NO.1 SUB ASSY 1% DC-105X</v>
          </cell>
          <cell r="P655" t="str">
            <v>KUBOTA DC105X</v>
          </cell>
          <cell r="Q655" t="str">
            <v>tsi</v>
          </cell>
        </row>
        <row r="656">
          <cell r="A656">
            <v>30031002</v>
          </cell>
          <cell r="B656" t="str">
            <v>1.6 x 168.5+/-0.5 x 169+/-0.5 มาร์คสีน้ำเงิน ด้าน 168.5</v>
          </cell>
          <cell r="C656">
            <v>1.6</v>
          </cell>
          <cell r="D656">
            <v>168.5</v>
          </cell>
          <cell r="E656">
            <v>169</v>
          </cell>
          <cell r="F656">
            <v>0.35766483999999998</v>
          </cell>
          <cell r="G656">
            <v>1</v>
          </cell>
          <cell r="H656">
            <v>77005277</v>
          </cell>
          <cell r="I656" t="str">
            <v>SPCC-SD</v>
          </cell>
          <cell r="J656" t="str">
            <v>BRACKET CASE (2ND)</v>
          </cell>
          <cell r="K656" t="str">
            <v>SUB ASSY 4 (DC-105X)</v>
          </cell>
          <cell r="L656" t="str">
            <v>KUBOTA DC105X</v>
          </cell>
          <cell r="M656" t="str">
            <v>SPCC-SD</v>
          </cell>
          <cell r="N656" t="str">
            <v>BRACKET CASE (2ND)</v>
          </cell>
          <cell r="O656" t="str">
            <v>SUB ASSY 4 (DC-105X)</v>
          </cell>
          <cell r="P656" t="str">
            <v>KUBOTA DC105X</v>
          </cell>
          <cell r="Q656" t="str">
            <v>tsi</v>
          </cell>
        </row>
        <row r="657">
          <cell r="A657">
            <v>30031004</v>
          </cell>
          <cell r="B657" t="str">
            <v>1.6 x 286+/-0.5 x 359+/-0.5 เน้นเรียบ</v>
          </cell>
          <cell r="C657">
            <v>1.6</v>
          </cell>
          <cell r="D657">
            <v>286</v>
          </cell>
          <cell r="E657">
            <v>359</v>
          </cell>
          <cell r="F657">
            <v>1.28958544</v>
          </cell>
          <cell r="G657">
            <v>1</v>
          </cell>
          <cell r="H657">
            <v>77005339</v>
          </cell>
          <cell r="I657" t="str">
            <v>SPHC-P</v>
          </cell>
          <cell r="J657" t="str">
            <v>BRACKET CASE (2ND)</v>
          </cell>
          <cell r="K657" t="str">
            <v>NO.6 SUB ASSY 5% DC-105X</v>
          </cell>
          <cell r="L657" t="str">
            <v>KUBOTA DC105X</v>
          </cell>
          <cell r="M657" t="str">
            <v>SPHC-P</v>
          </cell>
          <cell r="N657" t="str">
            <v>BRACKET CASE (2ND)</v>
          </cell>
          <cell r="O657" t="str">
            <v>NO.6 SUB ASSY 5% DC-105X</v>
          </cell>
          <cell r="P657" t="str">
            <v>KUBOTA DC105X</v>
          </cell>
          <cell r="Q657" t="str">
            <v>bm</v>
          </cell>
        </row>
        <row r="658">
          <cell r="A658">
            <v>30031005</v>
          </cell>
          <cell r="B658" t="str">
            <v>3.0 x 185+/-0.5 x 1219</v>
          </cell>
          <cell r="C658">
            <v>3</v>
          </cell>
          <cell r="D658">
            <v>185</v>
          </cell>
          <cell r="E658">
            <v>1219</v>
          </cell>
          <cell r="F658">
            <v>5.31087825</v>
          </cell>
          <cell r="G658">
            <v>7</v>
          </cell>
          <cell r="H658">
            <v>77005473</v>
          </cell>
          <cell r="I658" t="str">
            <v>SPHC-P</v>
          </cell>
          <cell r="J658" t="str">
            <v>BRACKET CASE (2ND)</v>
          </cell>
          <cell r="K658" t="str">
            <v>SUB ASSY 6 (DC-105X)</v>
          </cell>
          <cell r="L658" t="str">
            <v>KUBOTA DC105X</v>
          </cell>
          <cell r="M658" t="str">
            <v>SPHC-P</v>
          </cell>
          <cell r="N658" t="str">
            <v>BRACKET CASE (2ND)</v>
          </cell>
          <cell r="O658" t="str">
            <v>SUB ASSY 6 (DC-105X)</v>
          </cell>
          <cell r="P658" t="str">
            <v>KUBOTA DC105X</v>
          </cell>
          <cell r="Q658" t="str">
            <v>csp</v>
          </cell>
        </row>
        <row r="659">
          <cell r="A659">
            <v>30031510</v>
          </cell>
          <cell r="B659" t="str">
            <v>3.2 x 228+/-0.5 x 1219 เน้นเรียบ</v>
          </cell>
          <cell r="C659">
            <v>3.2</v>
          </cell>
          <cell r="D659">
            <v>228</v>
          </cell>
          <cell r="E659">
            <v>1219</v>
          </cell>
          <cell r="F659">
            <v>6.9816518399999996</v>
          </cell>
          <cell r="G659">
            <v>16</v>
          </cell>
          <cell r="H659">
            <v>77005494</v>
          </cell>
          <cell r="I659" t="str">
            <v>SPHC-P/O</v>
          </cell>
          <cell r="J659" t="str">
            <v>PILLAR FR ASSY 1.3</v>
          </cell>
          <cell r="K659" t="str">
            <v>TC422-1813-8-K1.3</v>
          </cell>
          <cell r="L659" t="str">
            <v>KUBOTA</v>
          </cell>
          <cell r="M659" t="str">
            <v>SPHC-P/O</v>
          </cell>
          <cell r="N659" t="str">
            <v>PILLAR FR ASSY 1.3</v>
          </cell>
          <cell r="O659" t="str">
            <v>TC422-1813-8-K1.3</v>
          </cell>
          <cell r="P659" t="str">
            <v>KUBOTA</v>
          </cell>
          <cell r="Q659" t="str">
            <v>ps</v>
          </cell>
          <cell r="R659">
            <v>50</v>
          </cell>
        </row>
        <row r="660">
          <cell r="A660">
            <v>30031510</v>
          </cell>
          <cell r="B660" t="str">
            <v>3.2 x 228+/-0.5 x 1219 เน้นเรียบ</v>
          </cell>
          <cell r="C660">
            <v>3.2</v>
          </cell>
          <cell r="D660">
            <v>228</v>
          </cell>
          <cell r="E660">
            <v>1219</v>
          </cell>
          <cell r="F660">
            <v>6.9816518399999996</v>
          </cell>
          <cell r="G660">
            <v>16</v>
          </cell>
          <cell r="H660">
            <v>77005494</v>
          </cell>
          <cell r="I660" t="str">
            <v>SPHC-P/O</v>
          </cell>
          <cell r="J660" t="str">
            <v>PILLAR FR SUB ASSY 1.3</v>
          </cell>
          <cell r="K660" t="str">
            <v>TC422-1813-8-K1.3</v>
          </cell>
          <cell r="L660" t="str">
            <v>E60AB</v>
          </cell>
          <cell r="M660" t="str">
            <v>SPHC-P/O</v>
          </cell>
          <cell r="N660" t="str">
            <v>PILLAR FR SUB ASSY 1.3</v>
          </cell>
          <cell r="O660" t="str">
            <v>TC422-1813-8-K1.3</v>
          </cell>
          <cell r="P660" t="str">
            <v>E60AB</v>
          </cell>
          <cell r="Q660" t="str">
            <v>ps</v>
          </cell>
          <cell r="R660">
            <v>50</v>
          </cell>
        </row>
        <row r="661">
          <cell r="A661">
            <v>30033740</v>
          </cell>
          <cell r="B661" t="str">
            <v>2.0x 302+0/-1 x 100</v>
          </cell>
          <cell r="C661">
            <v>2</v>
          </cell>
          <cell r="D661">
            <v>302</v>
          </cell>
          <cell r="E661">
            <v>100</v>
          </cell>
          <cell r="F661">
            <v>0.47414000000000001</v>
          </cell>
          <cell r="G661">
            <v>1</v>
          </cell>
          <cell r="H661">
            <v>77005281</v>
          </cell>
          <cell r="I661" t="str">
            <v>SPCC-SD</v>
          </cell>
          <cell r="J661" t="str">
            <v>STEP SUB</v>
          </cell>
          <cell r="K661" t="str">
            <v>EF-725T(Y704)</v>
          </cell>
          <cell r="M661" t="str">
            <v>SPCC-SD</v>
          </cell>
          <cell r="N661" t="str">
            <v>STEP SUB</v>
          </cell>
          <cell r="O661" t="str">
            <v>EF-725T(Y704)</v>
          </cell>
          <cell r="Q661" t="str">
            <v>tsi</v>
          </cell>
        </row>
        <row r="662">
          <cell r="A662">
            <v>30033742</v>
          </cell>
          <cell r="B662" t="str">
            <v>4.5 x 230+/-0.5 x 1219</v>
          </cell>
          <cell r="C662">
            <v>4.5</v>
          </cell>
          <cell r="D662">
            <v>230</v>
          </cell>
          <cell r="E662">
            <v>1219</v>
          </cell>
          <cell r="F662">
            <v>9.9040702500000002</v>
          </cell>
          <cell r="G662">
            <v>11</v>
          </cell>
          <cell r="H662">
            <v>77005552</v>
          </cell>
          <cell r="I662" t="str">
            <v>SS400</v>
          </cell>
          <cell r="J662" t="str">
            <v>SUPPORT REVERSER</v>
          </cell>
          <cell r="K662" t="str">
            <v>EF-725T(Y704)</v>
          </cell>
          <cell r="M662" t="str">
            <v>SS400</v>
          </cell>
          <cell r="N662" t="str">
            <v>SUPPORT REVERSER</v>
          </cell>
          <cell r="O662" t="str">
            <v>EF-725T(Y704)</v>
          </cell>
          <cell r="Q662" t="str">
            <v>ps</v>
          </cell>
        </row>
        <row r="663">
          <cell r="A663">
            <v>30035013</v>
          </cell>
          <cell r="B663" t="str">
            <v>2.3 x 110+/-0.5 x 292+/-0.5</v>
          </cell>
          <cell r="C663">
            <v>2.2999999999999998</v>
          </cell>
          <cell r="D663">
            <v>110</v>
          </cell>
          <cell r="E663">
            <v>292</v>
          </cell>
          <cell r="F663">
            <v>0.57992659999999985</v>
          </cell>
          <cell r="G663">
            <v>1</v>
          </cell>
          <cell r="H663">
            <v>77005303</v>
          </cell>
          <cell r="I663" t="str">
            <v>SPHC</v>
          </cell>
          <cell r="J663" t="str">
            <v>COVER SIDE</v>
          </cell>
          <cell r="K663" t="str">
            <v>EF-725T(Y704)</v>
          </cell>
          <cell r="M663" t="str">
            <v>SPHC</v>
          </cell>
          <cell r="N663" t="str">
            <v>COVER SIDE</v>
          </cell>
          <cell r="O663" t="str">
            <v>EF-725T(Y704)</v>
          </cell>
          <cell r="Q663" t="str">
            <v>ps</v>
          </cell>
        </row>
        <row r="664">
          <cell r="A664">
            <v>30035026</v>
          </cell>
          <cell r="B664" t="str">
            <v>1.5 x 175+/-0.5 x 1219</v>
          </cell>
          <cell r="C664">
            <v>1.5</v>
          </cell>
          <cell r="D664">
            <v>175</v>
          </cell>
          <cell r="E664">
            <v>1219</v>
          </cell>
          <cell r="F664">
            <v>2.511901875</v>
          </cell>
          <cell r="G664">
            <v>34</v>
          </cell>
          <cell r="H664">
            <v>77005265</v>
          </cell>
          <cell r="I664" t="str">
            <v>SK5</v>
          </cell>
          <cell r="J664" t="str">
            <v>LEVER PRO</v>
          </cell>
          <cell r="K664" t="str">
            <v>EF-725T(Y704)</v>
          </cell>
          <cell r="M664" t="str">
            <v>SK5</v>
          </cell>
          <cell r="N664" t="str">
            <v>LEVER PRO</v>
          </cell>
          <cell r="O664" t="str">
            <v>EF-725T(Y704)</v>
          </cell>
          <cell r="Q664" t="e">
            <v>#N/A</v>
          </cell>
        </row>
        <row r="665">
          <cell r="A665">
            <v>73016004</v>
          </cell>
          <cell r="B665" t="str">
            <v>1.5 x 175+/-0.5 x 1219</v>
          </cell>
          <cell r="C665">
            <v>1.5</v>
          </cell>
          <cell r="D665">
            <v>175</v>
          </cell>
          <cell r="E665">
            <v>1219</v>
          </cell>
          <cell r="F665">
            <v>2.511901875</v>
          </cell>
          <cell r="G665">
            <v>34</v>
          </cell>
          <cell r="H665">
            <v>77005265</v>
          </cell>
          <cell r="I665" t="str">
            <v>SK5</v>
          </cell>
          <cell r="J665" t="str">
            <v>LEVER PRO</v>
          </cell>
          <cell r="K665" t="str">
            <v>EF-725T(Y704)</v>
          </cell>
          <cell r="M665" t="str">
            <v>SK5</v>
          </cell>
          <cell r="N665" t="str">
            <v>LEVER PRO</v>
          </cell>
          <cell r="O665" t="str">
            <v>EF-725T(Y704)</v>
          </cell>
          <cell r="Q665" t="e">
            <v>#N/A</v>
          </cell>
        </row>
        <row r="666">
          <cell r="A666" t="str">
            <v>30033745-2</v>
          </cell>
          <cell r="B666" t="str">
            <v>4.5 x 251+/-0.5 x 1219 เน้นเรียบ</v>
          </cell>
          <cell r="C666">
            <v>4.5</v>
          </cell>
          <cell r="D666">
            <v>251</v>
          </cell>
          <cell r="E666">
            <v>1219</v>
          </cell>
          <cell r="F666">
            <v>10.808354925</v>
          </cell>
          <cell r="G666">
            <v>23</v>
          </cell>
          <cell r="H666">
            <v>77005553</v>
          </cell>
          <cell r="I666" t="str">
            <v>SS400</v>
          </cell>
          <cell r="J666" t="str">
            <v>BRACKET TANK COVER B</v>
          </cell>
          <cell r="K666" t="str">
            <v>EF-725T(Y704)</v>
          </cell>
          <cell r="M666" t="str">
            <v>SS400</v>
          </cell>
          <cell r="N666" t="str">
            <v>BRACKET TANK COVER B</v>
          </cell>
          <cell r="O666" t="str">
            <v>EF-725T(Y704)</v>
          </cell>
          <cell r="Q666" t="str">
            <v>ps</v>
          </cell>
        </row>
        <row r="667">
          <cell r="A667" t="str">
            <v>73016661-1,6662-1</v>
          </cell>
          <cell r="B667" t="str">
            <v>4.5 x 202+/-0.5 x 1219 เน้นเรียบ</v>
          </cell>
          <cell r="C667">
            <v>4.5</v>
          </cell>
          <cell r="D667">
            <v>202</v>
          </cell>
          <cell r="E667">
            <v>1219</v>
          </cell>
          <cell r="F667">
            <v>8.6983573500000002</v>
          </cell>
          <cell r="G667">
            <v>33</v>
          </cell>
          <cell r="H667">
            <v>77005549</v>
          </cell>
          <cell r="I667" t="str">
            <v>SS400</v>
          </cell>
          <cell r="J667" t="str">
            <v>BRACKET TANK COVER A</v>
          </cell>
          <cell r="K667" t="str">
            <v>1A8929-04820</v>
          </cell>
          <cell r="L667" t="str">
            <v>EF-725T(Y704)</v>
          </cell>
          <cell r="M667" t="str">
            <v>SS400</v>
          </cell>
          <cell r="N667" t="str">
            <v>BRACKET TANK COVER A</v>
          </cell>
          <cell r="O667" t="str">
            <v>1A8929-04820</v>
          </cell>
          <cell r="P667" t="str">
            <v>EF-725T(Y704)</v>
          </cell>
          <cell r="Q667" t="str">
            <v>bm</v>
          </cell>
        </row>
        <row r="668">
          <cell r="A668" t="str">
            <v>73016661-1</v>
          </cell>
          <cell r="B668" t="str">
            <v>4.5 x 202+/-0.5 x 1219 เน้นเรียบ</v>
          </cell>
          <cell r="C668">
            <v>4.5</v>
          </cell>
          <cell r="D668">
            <v>202</v>
          </cell>
          <cell r="E668">
            <v>1219</v>
          </cell>
          <cell r="F668">
            <v>8.6983573500000002</v>
          </cell>
          <cell r="G668">
            <v>33</v>
          </cell>
          <cell r="H668">
            <v>77005549</v>
          </cell>
          <cell r="I668" t="str">
            <v>SS400</v>
          </cell>
          <cell r="J668" t="str">
            <v>BRACKET TANK COVER A</v>
          </cell>
          <cell r="K668" t="str">
            <v>1A8929-04820</v>
          </cell>
          <cell r="L668" t="str">
            <v>EF-725T(Y704)</v>
          </cell>
          <cell r="M668" t="str">
            <v>SS400</v>
          </cell>
          <cell r="N668" t="str">
            <v>BRACKET TANK COVER A</v>
          </cell>
          <cell r="O668" t="str">
            <v>1A8929-04820</v>
          </cell>
          <cell r="P668" t="str">
            <v>EF-725T(Y704)</v>
          </cell>
          <cell r="Q668" t="str">
            <v>bm</v>
          </cell>
        </row>
        <row r="669">
          <cell r="A669" t="str">
            <v>73016661-2</v>
          </cell>
          <cell r="B669" t="str">
            <v>4.5 x 295+/-0.5 x 1219 เน้นเรียบ</v>
          </cell>
          <cell r="C669">
            <v>4.5</v>
          </cell>
          <cell r="D669">
            <v>295</v>
          </cell>
          <cell r="E669">
            <v>1219</v>
          </cell>
          <cell r="F669">
            <v>12.703046625000001</v>
          </cell>
          <cell r="G669">
            <v>22</v>
          </cell>
          <cell r="H669">
            <v>77005555</v>
          </cell>
          <cell r="I669" t="str">
            <v>SS400</v>
          </cell>
          <cell r="J669" t="str">
            <v>BRACKET TANK COVER C</v>
          </cell>
          <cell r="K669" t="str">
            <v>1A8929-04850</v>
          </cell>
          <cell r="L669" t="str">
            <v>EF-725T(Y704)</v>
          </cell>
          <cell r="M669" t="str">
            <v>SS400</v>
          </cell>
          <cell r="N669" t="str">
            <v>BRACKET TANK COVER C</v>
          </cell>
          <cell r="O669" t="str">
            <v>1A8929-04850</v>
          </cell>
          <cell r="P669" t="str">
            <v>EF-725T(Y704)</v>
          </cell>
          <cell r="Q669" t="str">
            <v>ps</v>
          </cell>
        </row>
        <row r="670">
          <cell r="A670" t="str">
            <v>73016661-3</v>
          </cell>
          <cell r="B670" t="str">
            <v>3.6 x 300+/-0.5 x 1219 เน้นเรียบ</v>
          </cell>
          <cell r="C670">
            <v>3.6</v>
          </cell>
          <cell r="D670">
            <v>300</v>
          </cell>
          <cell r="E670">
            <v>1219</v>
          </cell>
          <cell r="F670">
            <v>10.334682000000001</v>
          </cell>
          <cell r="G670">
            <v>10</v>
          </cell>
          <cell r="H670">
            <v>77005520</v>
          </cell>
          <cell r="I670" t="str">
            <v>SPHC-P/O</v>
          </cell>
          <cell r="J670" t="str">
            <v>BRACKET LICENSE</v>
          </cell>
          <cell r="K670" t="str">
            <v>1A8929-04841</v>
          </cell>
          <cell r="L670" t="str">
            <v>EF-725T(Y704)</v>
          </cell>
          <cell r="M670" t="str">
            <v>SPHC-P/O</v>
          </cell>
          <cell r="N670" t="str">
            <v>BRACKET LICENSE</v>
          </cell>
          <cell r="O670" t="str">
            <v>1A8929-04841</v>
          </cell>
          <cell r="P670" t="str">
            <v>EF-725T(Y704)</v>
          </cell>
          <cell r="Q670" t="str">
            <v>bm</v>
          </cell>
        </row>
        <row r="671">
          <cell r="A671" t="str">
            <v>73016662-2</v>
          </cell>
          <cell r="B671" t="str">
            <v>4.5 x 251+/-0.5 x 1219 เน้นเรียบ</v>
          </cell>
          <cell r="C671">
            <v>4.5</v>
          </cell>
          <cell r="D671">
            <v>251</v>
          </cell>
          <cell r="E671">
            <v>1219</v>
          </cell>
          <cell r="F671">
            <v>10.808354925</v>
          </cell>
          <cell r="G671">
            <v>23</v>
          </cell>
          <cell r="H671">
            <v>77005553</v>
          </cell>
          <cell r="I671" t="str">
            <v>SS400</v>
          </cell>
          <cell r="J671" t="str">
            <v>BRACKET TANK COVER B</v>
          </cell>
          <cell r="K671" t="str">
            <v>1A8292-04830</v>
          </cell>
          <cell r="L671" t="str">
            <v>EF-725T(Y704)</v>
          </cell>
          <cell r="M671" t="str">
            <v>SS400</v>
          </cell>
          <cell r="N671" t="str">
            <v>BRACKET TANK COVER B</v>
          </cell>
          <cell r="O671" t="str">
            <v>1A8292-04830</v>
          </cell>
          <cell r="P671" t="str">
            <v>EF-725T(Y704)</v>
          </cell>
          <cell r="Q671" t="str">
            <v>ps</v>
          </cell>
        </row>
        <row r="672">
          <cell r="A672">
            <v>30039324</v>
          </cell>
          <cell r="B672" t="str">
            <v>1.6 x 286+/-0.5 x 359+/-0.5 เน้นเรียบ</v>
          </cell>
          <cell r="C672">
            <v>1.6</v>
          </cell>
          <cell r="D672">
            <v>286</v>
          </cell>
          <cell r="E672">
            <v>359</v>
          </cell>
          <cell r="F672">
            <v>1.28958544</v>
          </cell>
          <cell r="G672">
            <v>1</v>
          </cell>
          <cell r="H672">
            <v>77005339</v>
          </cell>
          <cell r="I672" t="str">
            <v>SPHC-P</v>
          </cell>
          <cell r="J672" t="str">
            <v>BRACKET CASE (2ND) NO. 6</v>
          </cell>
          <cell r="K672" t="str">
            <v>5T124-6831-1-06</v>
          </cell>
          <cell r="L672" t="str">
            <v>DC105X</v>
          </cell>
          <cell r="M672" t="str">
            <v>SPHC-P</v>
          </cell>
          <cell r="N672" t="str">
            <v>BRACKET CASE (2ND) NO. 6</v>
          </cell>
          <cell r="O672" t="str">
            <v>5T124-6831-1-06</v>
          </cell>
          <cell r="P672" t="str">
            <v>DC105X</v>
          </cell>
          <cell r="Q672" t="str">
            <v>bm</v>
          </cell>
        </row>
        <row r="673">
          <cell r="A673" t="str">
            <v>30009782-1</v>
          </cell>
          <cell r="B673" t="str">
            <v>4.5 x 97+/-0.5 x 1219</v>
          </cell>
          <cell r="C673">
            <v>4.5</v>
          </cell>
          <cell r="D673">
            <v>97</v>
          </cell>
          <cell r="E673">
            <v>1219</v>
          </cell>
          <cell r="F673">
            <v>4.1769339749999999</v>
          </cell>
          <cell r="G673">
            <v>13</v>
          </cell>
          <cell r="H673">
            <v>77005530</v>
          </cell>
          <cell r="I673" t="str">
            <v>SPHC-P/O</v>
          </cell>
          <cell r="J673" t="str">
            <v>PILLAR FR ASSY 1.2</v>
          </cell>
          <cell r="K673" t="str">
            <v>TC422-1831-K1</v>
          </cell>
          <cell r="L673" t="str">
            <v>KUBOTA</v>
          </cell>
          <cell r="M673" t="str">
            <v>SPHC-P/O</v>
          </cell>
          <cell r="N673" t="str">
            <v>PILLAR FR ASSY 1.2</v>
          </cell>
          <cell r="O673" t="str">
            <v>TC422-1831-K1</v>
          </cell>
          <cell r="P673" t="str">
            <v>KUBOTA</v>
          </cell>
          <cell r="Q673" t="str">
            <v>ps</v>
          </cell>
          <cell r="R673">
            <v>40</v>
          </cell>
        </row>
        <row r="674">
          <cell r="A674" t="str">
            <v>30009782-2</v>
          </cell>
          <cell r="B674" t="str">
            <v>4.5 x 117+/-0.5 x 1219</v>
          </cell>
          <cell r="C674">
            <v>4.5</v>
          </cell>
          <cell r="D674">
            <v>117</v>
          </cell>
          <cell r="E674">
            <v>1219</v>
          </cell>
          <cell r="F674">
            <v>5.0381574749999993</v>
          </cell>
          <cell r="G674">
            <v>47</v>
          </cell>
          <cell r="H674">
            <v>77005543</v>
          </cell>
          <cell r="I674" t="str">
            <v>SS400</v>
          </cell>
          <cell r="J674" t="str">
            <v>PILLAR FR ASSY 1.2</v>
          </cell>
          <cell r="K674" t="str">
            <v>TC422-1831-K1-2</v>
          </cell>
          <cell r="L674" t="str">
            <v>KUBOTA</v>
          </cell>
          <cell r="M674" t="str">
            <v>SS400</v>
          </cell>
          <cell r="N674" t="str">
            <v>PILLAR FR ASSY 1.2</v>
          </cell>
          <cell r="O674" t="str">
            <v>TC422-1831-K1-2</v>
          </cell>
          <cell r="P674" t="str">
            <v>KUBOTA</v>
          </cell>
          <cell r="Q674" t="str">
            <v>bm</v>
          </cell>
        </row>
        <row r="675">
          <cell r="A675" t="str">
            <v>30009812-1</v>
          </cell>
          <cell r="B675" t="str">
            <v>3.2 x 257+/-0.5 x 1219 เน้นเรียบ</v>
          </cell>
          <cell r="C675">
            <v>3.2</v>
          </cell>
          <cell r="D675">
            <v>257</v>
          </cell>
          <cell r="E675">
            <v>1219</v>
          </cell>
          <cell r="F675">
            <v>7.8696689600000003</v>
          </cell>
          <cell r="G675">
            <v>8</v>
          </cell>
          <cell r="H675">
            <v>77005497</v>
          </cell>
          <cell r="I675" t="str">
            <v>SPHC-P/O</v>
          </cell>
          <cell r="J675" t="str">
            <v>SUPPORT FD R/L ASSY-3</v>
          </cell>
          <cell r="K675" t="str">
            <v>TC422-2922-K3-1, TC422-2921-K3-1</v>
          </cell>
          <cell r="L675" t="str">
            <v>KUBOTA</v>
          </cell>
          <cell r="M675" t="str">
            <v>SPHC-P/O</v>
          </cell>
          <cell r="N675" t="str">
            <v>SUPPORT FD R/L ASSY-3</v>
          </cell>
          <cell r="O675" t="str">
            <v>TC422-2922-K3-1, TC422-2921-K3-1</v>
          </cell>
          <cell r="P675" t="str">
            <v>KUBOTA</v>
          </cell>
          <cell r="Q675" t="str">
            <v>tsi</v>
          </cell>
          <cell r="R675">
            <v>50</v>
          </cell>
        </row>
        <row r="676">
          <cell r="A676" t="str">
            <v>30009812-2</v>
          </cell>
          <cell r="B676" t="str">
            <v>6.0 x 110+/-0.5 x 1219  เหล็กต้องตัดขอบหัว-ท้าย</v>
          </cell>
          <cell r="C676">
            <v>6</v>
          </cell>
          <cell r="D676">
            <v>110</v>
          </cell>
          <cell r="E676">
            <v>1219</v>
          </cell>
          <cell r="F676">
            <v>6.315639</v>
          </cell>
          <cell r="G676">
            <v>12</v>
          </cell>
          <cell r="H676">
            <v>77005533</v>
          </cell>
          <cell r="I676" t="str">
            <v>SPHC-P/O</v>
          </cell>
          <cell r="J676" t="str">
            <v>SUPPORT FD BRD ASSY-2/3</v>
          </cell>
          <cell r="K676" t="str">
            <v>TC422-2922-K3-1, TC422-2921-K3-1</v>
          </cell>
          <cell r="L676" t="str">
            <v>KUBOTA</v>
          </cell>
          <cell r="M676" t="str">
            <v>SPHC-P/O</v>
          </cell>
          <cell r="N676" t="str">
            <v>SUPPORT FD BRD ASSY-2/3</v>
          </cell>
          <cell r="O676" t="str">
            <v>TC422-2922-K3-1, TC422-2921-K3-1</v>
          </cell>
          <cell r="P676" t="str">
            <v>KUBOTA</v>
          </cell>
          <cell r="Q676" t="str">
            <v>tsi</v>
          </cell>
          <cell r="R676">
            <v>50</v>
          </cell>
        </row>
        <row r="677">
          <cell r="A677" t="str">
            <v>30009818-1</v>
          </cell>
          <cell r="B677" t="str">
            <v>3.2 x 257+/-0.5 x 1219</v>
          </cell>
          <cell r="C677">
            <v>3.2</v>
          </cell>
          <cell r="D677">
            <v>257</v>
          </cell>
          <cell r="E677">
            <v>1219</v>
          </cell>
          <cell r="F677">
            <v>7.8696689600000003</v>
          </cell>
          <cell r="G677">
            <v>8</v>
          </cell>
          <cell r="H677">
            <v>77005497</v>
          </cell>
          <cell r="I677" t="str">
            <v>SPHC-P/O</v>
          </cell>
          <cell r="J677" t="str">
            <v>SUPPORT FD R/L ASSY-3</v>
          </cell>
          <cell r="K677" t="str">
            <v>TC422-2922-K3-1, TC422-2921-K3-1</v>
          </cell>
          <cell r="L677" t="str">
            <v>KUBOTA</v>
          </cell>
          <cell r="M677" t="str">
            <v>SPHC-P/O</v>
          </cell>
          <cell r="N677" t="str">
            <v>SUPPORT FD R/L ASSY-3</v>
          </cell>
          <cell r="O677" t="str">
            <v>TC422-2922-K3-1, TC422-2921-K3-1</v>
          </cell>
          <cell r="P677" t="str">
            <v>KUBOTA</v>
          </cell>
          <cell r="Q677" t="str">
            <v>tsi</v>
          </cell>
          <cell r="R677">
            <v>50</v>
          </cell>
        </row>
        <row r="678">
          <cell r="A678" t="str">
            <v>30009818-2</v>
          </cell>
          <cell r="B678" t="str">
            <v>6.0 x 110+/-0.5 x 1219  เหล็กต้องตัดขอบหัว-ท้าย</v>
          </cell>
          <cell r="C678">
            <v>6</v>
          </cell>
          <cell r="D678">
            <v>110</v>
          </cell>
          <cell r="E678">
            <v>1219</v>
          </cell>
          <cell r="F678">
            <v>6.315639</v>
          </cell>
          <cell r="G678">
            <v>12</v>
          </cell>
          <cell r="H678">
            <v>77005533</v>
          </cell>
          <cell r="I678" t="str">
            <v>SPHC-P/O</v>
          </cell>
          <cell r="J678" t="str">
            <v>SUPPORT FD BRD ASSY-2/3</v>
          </cell>
          <cell r="K678" t="str">
            <v>TC422-2922-K3-1, TC422-2921-K3-1</v>
          </cell>
          <cell r="L678" t="str">
            <v>KUBOTA</v>
          </cell>
          <cell r="M678" t="str">
            <v>SPHC-P/O</v>
          </cell>
          <cell r="N678" t="str">
            <v>SUPPORT FD BRD ASSY-2/3</v>
          </cell>
          <cell r="O678" t="str">
            <v>TC422-2922-K3-1, TC422-2921-K3-1</v>
          </cell>
          <cell r="P678" t="str">
            <v>KUBOTA</v>
          </cell>
          <cell r="Q678" t="str">
            <v>tsi</v>
          </cell>
          <cell r="R678">
            <v>50</v>
          </cell>
        </row>
        <row r="679">
          <cell r="A679" t="str">
            <v>30009835-1</v>
          </cell>
          <cell r="B679" t="str">
            <v>6.0 x 296+/-0.5 x 580+0/-0.5</v>
          </cell>
          <cell r="C679">
            <v>6</v>
          </cell>
          <cell r="D679">
            <v>296</v>
          </cell>
          <cell r="E679">
            <v>580</v>
          </cell>
          <cell r="F679">
            <v>8.0861280000000004</v>
          </cell>
          <cell r="G679">
            <v>10</v>
          </cell>
          <cell r="H679">
            <v>77005535</v>
          </cell>
          <cell r="I679" t="str">
            <v>SPHC-P/O</v>
          </cell>
          <cell r="J679" t="str">
            <v>SUPPORT FD BRD ASSY 2</v>
          </cell>
          <cell r="K679" t="str">
            <v>TC422-2944-K2-1</v>
          </cell>
          <cell r="L679" t="str">
            <v>KUBOTA</v>
          </cell>
          <cell r="M679" t="str">
            <v>SPHC-P/O</v>
          </cell>
          <cell r="N679" t="str">
            <v>SUPPORT FD BRD ASSY 2</v>
          </cell>
          <cell r="O679" t="str">
            <v>TC422-2944-K2-1</v>
          </cell>
          <cell r="P679" t="str">
            <v>KUBOTA</v>
          </cell>
          <cell r="Q679" t="str">
            <v>ps</v>
          </cell>
          <cell r="R679">
            <v>50</v>
          </cell>
        </row>
        <row r="680">
          <cell r="A680" t="str">
            <v>30009835-2</v>
          </cell>
          <cell r="B680" t="str">
            <v>4.5 x 36+/-0.5 x 1219</v>
          </cell>
          <cell r="C680">
            <v>4.5</v>
          </cell>
          <cell r="D680">
            <v>36</v>
          </cell>
          <cell r="E680">
            <v>1219</v>
          </cell>
          <cell r="F680">
            <v>1.5502022999999998</v>
          </cell>
          <cell r="G680">
            <v>103</v>
          </cell>
          <cell r="H680">
            <v>77005526</v>
          </cell>
          <cell r="I680" t="str">
            <v>SPHC-P/O</v>
          </cell>
          <cell r="J680" t="str">
            <v>SUPPORT FD BRD ASSY 2 ( x 2)</v>
          </cell>
          <cell r="K680" t="str">
            <v>TC422-2944-K2-2</v>
          </cell>
          <cell r="L680" t="str">
            <v>KUBOTA</v>
          </cell>
          <cell r="M680" t="str">
            <v>SPHC-P/O</v>
          </cell>
          <cell r="N680" t="str">
            <v>SUPPORT FD BRD ASSY 2 ( x 2)</v>
          </cell>
          <cell r="O680" t="str">
            <v>TC422-2944-K2-2</v>
          </cell>
          <cell r="P680" t="str">
            <v>KUBOTA</v>
          </cell>
          <cell r="Q680" t="str">
            <v>ps</v>
          </cell>
        </row>
        <row r="681">
          <cell r="A681" t="str">
            <v>30009835-3</v>
          </cell>
          <cell r="B681" t="str">
            <v>6.0 x 296+/-0.5 x 640+0/-0.5</v>
          </cell>
          <cell r="C681">
            <v>6</v>
          </cell>
          <cell r="D681">
            <v>296</v>
          </cell>
          <cell r="E681">
            <v>640</v>
          </cell>
          <cell r="F681">
            <v>8.9226240000000008</v>
          </cell>
          <cell r="G681">
            <v>11</v>
          </cell>
          <cell r="H681">
            <v>77005536</v>
          </cell>
          <cell r="I681" t="str">
            <v>SPHC-P/O</v>
          </cell>
          <cell r="J681" t="str">
            <v>SUPPORT FD BRD ASSY 2</v>
          </cell>
          <cell r="K681" t="str">
            <v>TC422-2944-K2-1</v>
          </cell>
          <cell r="L681" t="str">
            <v>KUBOTA</v>
          </cell>
          <cell r="M681" t="str">
            <v>SPHC-P/O</v>
          </cell>
          <cell r="N681" t="str">
            <v>SUPPORT FD BRD ASSY 2</v>
          </cell>
          <cell r="O681" t="str">
            <v>TC422-2944-K2-1</v>
          </cell>
          <cell r="P681" t="str">
            <v>KUBOTA</v>
          </cell>
          <cell r="Q681" t="str">
            <v>ps</v>
          </cell>
          <cell r="R681">
            <v>50</v>
          </cell>
        </row>
        <row r="682">
          <cell r="A682" t="str">
            <v>30009836-1</v>
          </cell>
          <cell r="B682" t="str">
            <v>6.0 x 296+/-0.5 x 580+0/-0.5</v>
          </cell>
          <cell r="C682">
            <v>6</v>
          </cell>
          <cell r="D682">
            <v>296</v>
          </cell>
          <cell r="E682">
            <v>580</v>
          </cell>
          <cell r="F682">
            <v>8.0861280000000004</v>
          </cell>
          <cell r="G682">
            <v>10</v>
          </cell>
          <cell r="H682">
            <v>77005535</v>
          </cell>
          <cell r="I682" t="str">
            <v>SPHC-P/O</v>
          </cell>
          <cell r="J682" t="str">
            <v>SUPPORT FD BRD ASSY 3</v>
          </cell>
          <cell r="K682" t="str">
            <v>TC422-2944-K3-1</v>
          </cell>
          <cell r="L682" t="str">
            <v>KUBOTA</v>
          </cell>
          <cell r="M682" t="str">
            <v>SPHC-P/O</v>
          </cell>
          <cell r="N682" t="str">
            <v>SUPPORT FD BRD ASSY 3</v>
          </cell>
          <cell r="O682" t="str">
            <v>TC422-2944-K3-1</v>
          </cell>
          <cell r="P682" t="str">
            <v>KUBOTA</v>
          </cell>
          <cell r="Q682" t="str">
            <v>ps</v>
          </cell>
          <cell r="R682">
            <v>50</v>
          </cell>
        </row>
        <row r="683">
          <cell r="A683" t="str">
            <v>30009836-2</v>
          </cell>
          <cell r="B683" t="str">
            <v>6.0 x 296+/-0.5 x 640+0/-0.5</v>
          </cell>
          <cell r="C683">
            <v>6</v>
          </cell>
          <cell r="D683">
            <v>296</v>
          </cell>
          <cell r="E683">
            <v>640</v>
          </cell>
          <cell r="F683">
            <v>8.9226240000000008</v>
          </cell>
          <cell r="G683">
            <v>11</v>
          </cell>
          <cell r="H683">
            <v>77005536</v>
          </cell>
          <cell r="I683" t="str">
            <v>SPHC-P/O</v>
          </cell>
          <cell r="J683" t="str">
            <v>SUPPORT FD BRD ASSY 3</v>
          </cell>
          <cell r="K683" t="str">
            <v>TC422-2944-K3-2</v>
          </cell>
          <cell r="L683" t="str">
            <v>KUBOTA</v>
          </cell>
          <cell r="M683" t="str">
            <v>SPHC-P/O</v>
          </cell>
          <cell r="N683" t="str">
            <v>SUPPORT FD BRD ASSY 3</v>
          </cell>
          <cell r="O683" t="str">
            <v>TC422-2944-K3-2</v>
          </cell>
          <cell r="P683" t="str">
            <v>KUBOTA</v>
          </cell>
          <cell r="Q683" t="str">
            <v>ps</v>
          </cell>
          <cell r="R683">
            <v>50</v>
          </cell>
        </row>
        <row r="684">
          <cell r="A684" t="str">
            <v>30009836-3</v>
          </cell>
          <cell r="B684" t="str">
            <v>4.5 x 36+/-0.5 x 1219</v>
          </cell>
          <cell r="C684">
            <v>4.5</v>
          </cell>
          <cell r="D684">
            <v>36</v>
          </cell>
          <cell r="E684">
            <v>1219</v>
          </cell>
          <cell r="F684">
            <v>1.5502022999999998</v>
          </cell>
          <cell r="G684">
            <v>103</v>
          </cell>
          <cell r="H684">
            <v>77005526</v>
          </cell>
          <cell r="I684" t="str">
            <v>SPHC-P/O</v>
          </cell>
          <cell r="J684" t="str">
            <v>SUPPORT FD BRD ASSY 3 ( x 2)</v>
          </cell>
          <cell r="K684" t="str">
            <v>TC422-2944-K3-2</v>
          </cell>
          <cell r="L684" t="str">
            <v>KUBOTA</v>
          </cell>
          <cell r="M684" t="str">
            <v>SPHC-P/O</v>
          </cell>
          <cell r="N684" t="str">
            <v>SUPPORT FD BRD ASSY 3 ( x 2)</v>
          </cell>
          <cell r="O684" t="str">
            <v>TC422-2944-K3-2</v>
          </cell>
          <cell r="P684" t="str">
            <v>KUBOTA</v>
          </cell>
          <cell r="Q684" t="str">
            <v>ps</v>
          </cell>
        </row>
        <row r="685">
          <cell r="A685" t="str">
            <v>30011420-1</v>
          </cell>
          <cell r="B685" t="str">
            <v>1.2 x 111+/-0.5 x 1219</v>
          </cell>
          <cell r="C685">
            <v>1.2</v>
          </cell>
          <cell r="D685">
            <v>111</v>
          </cell>
          <cell r="E685">
            <v>1219</v>
          </cell>
          <cell r="F685">
            <v>1.2746107799999997</v>
          </cell>
          <cell r="G685">
            <v>32</v>
          </cell>
          <cell r="H685">
            <v>77005270</v>
          </cell>
          <cell r="I685" t="str">
            <v>SPCC-SD</v>
          </cell>
          <cell r="J685" t="str">
            <v>PLATE STRG SPORT ASSY-5</v>
          </cell>
          <cell r="K685" t="str">
            <v>TC422-4569-K5-1</v>
          </cell>
          <cell r="L685" t="str">
            <v>KUBOTA</v>
          </cell>
          <cell r="M685" t="str">
            <v>SPCC-SD</v>
          </cell>
          <cell r="N685" t="str">
            <v>PLATE STRG SPORT ASSY-5</v>
          </cell>
          <cell r="O685" t="str">
            <v>TC422-4569-K5-1</v>
          </cell>
          <cell r="P685" t="str">
            <v>KUBOTA</v>
          </cell>
          <cell r="Q685" t="str">
            <v>tsi</v>
          </cell>
          <cell r="R685">
            <v>10</v>
          </cell>
        </row>
        <row r="686">
          <cell r="A686" t="str">
            <v>30011420-2</v>
          </cell>
          <cell r="B686" t="str">
            <v>2.6 x 65+/-0.5 x 1219</v>
          </cell>
          <cell r="C686">
            <v>2.6</v>
          </cell>
          <cell r="D686">
            <v>65</v>
          </cell>
          <cell r="E686">
            <v>1219</v>
          </cell>
          <cell r="F686">
            <v>1.6171863499999999</v>
          </cell>
          <cell r="G686">
            <v>64</v>
          </cell>
          <cell r="H686">
            <v>77005467</v>
          </cell>
          <cell r="I686" t="str">
            <v>SPHC-P/O</v>
          </cell>
          <cell r="J686" t="str">
            <v>PLATE STRG SPORT ASSY-5</v>
          </cell>
          <cell r="K686" t="str">
            <v>TC422-4569-K5-1</v>
          </cell>
          <cell r="L686" t="str">
            <v>KUBOTA</v>
          </cell>
          <cell r="M686" t="str">
            <v>SPHC-P/O</v>
          </cell>
          <cell r="N686" t="str">
            <v>PLATE STRG SPORT ASSY-5</v>
          </cell>
          <cell r="O686" t="str">
            <v>TC422-4569-K5-1</v>
          </cell>
          <cell r="P686" t="str">
            <v>KUBOTA</v>
          </cell>
          <cell r="Q686" t="str">
            <v>epc</v>
          </cell>
        </row>
        <row r="687">
          <cell r="A687" t="str">
            <v>30013355-1</v>
          </cell>
          <cell r="B687" t="str">
            <v>6.0 x 296+/-0.5 x 580+0/-0.5</v>
          </cell>
          <cell r="C687">
            <v>6</v>
          </cell>
          <cell r="D687">
            <v>296</v>
          </cell>
          <cell r="E687">
            <v>580</v>
          </cell>
          <cell r="F687">
            <v>8.0861280000000004</v>
          </cell>
          <cell r="G687">
            <v>10</v>
          </cell>
          <cell r="H687">
            <v>77005535</v>
          </cell>
          <cell r="I687" t="str">
            <v>SPHC-P/O</v>
          </cell>
          <cell r="J687" t="str">
            <v>BRKT</v>
          </cell>
          <cell r="K687" t="str">
            <v>TC422-2944-2</v>
          </cell>
          <cell r="L687" t="str">
            <v>KUBOTA E40C</v>
          </cell>
          <cell r="M687" t="str">
            <v>SPHC-P/O</v>
          </cell>
          <cell r="N687" t="str">
            <v>BRKT</v>
          </cell>
          <cell r="O687" t="str">
            <v>TC422-2944-2</v>
          </cell>
          <cell r="P687" t="str">
            <v>KUBOTA E40C</v>
          </cell>
          <cell r="Q687" t="str">
            <v>ps</v>
          </cell>
          <cell r="R687">
            <v>50</v>
          </cell>
        </row>
        <row r="688">
          <cell r="A688" t="str">
            <v>30013355-2</v>
          </cell>
          <cell r="B688" t="str">
            <v>6.0 x 296+/-0.5 x 640+0/-0.5</v>
          </cell>
          <cell r="C688">
            <v>6</v>
          </cell>
          <cell r="D688">
            <v>296</v>
          </cell>
          <cell r="E688">
            <v>640</v>
          </cell>
          <cell r="F688">
            <v>8.9226240000000008</v>
          </cell>
          <cell r="G688">
            <v>11</v>
          </cell>
          <cell r="H688">
            <v>77005536</v>
          </cell>
          <cell r="I688" t="str">
            <v>SPHC-P/O</v>
          </cell>
          <cell r="J688" t="str">
            <v>BRKT</v>
          </cell>
          <cell r="K688" t="str">
            <v>TC422-2944-2</v>
          </cell>
          <cell r="L688" t="str">
            <v>KUBOTA E40C</v>
          </cell>
          <cell r="M688" t="str">
            <v>SPHC-P/O</v>
          </cell>
          <cell r="N688" t="str">
            <v>BRKT</v>
          </cell>
          <cell r="O688" t="str">
            <v>TC422-2944-2</v>
          </cell>
          <cell r="P688" t="str">
            <v>KUBOTA E40C</v>
          </cell>
          <cell r="Q688" t="str">
            <v>ps</v>
          </cell>
          <cell r="R688">
            <v>50</v>
          </cell>
        </row>
        <row r="689">
          <cell r="A689" t="str">
            <v>30013356-1</v>
          </cell>
          <cell r="B689" t="str">
            <v>6.0 x 296+/-0.5 x 580+0/-0.5</v>
          </cell>
          <cell r="C689">
            <v>6</v>
          </cell>
          <cell r="D689">
            <v>296</v>
          </cell>
          <cell r="E689">
            <v>580</v>
          </cell>
          <cell r="F689">
            <v>8.0861280000000004</v>
          </cell>
          <cell r="G689">
            <v>10</v>
          </cell>
          <cell r="H689">
            <v>77005535</v>
          </cell>
          <cell r="I689" t="str">
            <v>SPHC-P/O</v>
          </cell>
          <cell r="J689" t="str">
            <v>BRKT</v>
          </cell>
          <cell r="K689" t="str">
            <v>TC422-2944-3</v>
          </cell>
          <cell r="L689" t="str">
            <v>KUBOTA E40C</v>
          </cell>
          <cell r="M689" t="str">
            <v>SPHC-P/O</v>
          </cell>
          <cell r="N689" t="str">
            <v>BRKT</v>
          </cell>
          <cell r="O689" t="str">
            <v>TC422-2944-3</v>
          </cell>
          <cell r="P689" t="str">
            <v>KUBOTA E40C</v>
          </cell>
          <cell r="Q689" t="str">
            <v>ps</v>
          </cell>
          <cell r="R689">
            <v>50</v>
          </cell>
        </row>
        <row r="690">
          <cell r="A690" t="str">
            <v>30013356-2</v>
          </cell>
          <cell r="B690" t="str">
            <v>6.0 x 296+-0.5 x 640+0/-0.5</v>
          </cell>
          <cell r="C690">
            <v>6</v>
          </cell>
          <cell r="D690">
            <v>296</v>
          </cell>
          <cell r="E690">
            <v>640</v>
          </cell>
          <cell r="F690">
            <v>8.9226240000000008</v>
          </cell>
          <cell r="G690">
            <v>11</v>
          </cell>
          <cell r="H690">
            <v>77005536</v>
          </cell>
          <cell r="I690" t="str">
            <v>SPHC-P/O</v>
          </cell>
          <cell r="J690" t="str">
            <v>BRKT</v>
          </cell>
          <cell r="K690" t="str">
            <v>TC422-2944-3</v>
          </cell>
          <cell r="L690" t="str">
            <v>KUBOTA E40C</v>
          </cell>
          <cell r="M690" t="str">
            <v>SPHC-P/O</v>
          </cell>
          <cell r="N690" t="str">
            <v>BRKT</v>
          </cell>
          <cell r="O690" t="str">
            <v>TC422-2944-3</v>
          </cell>
          <cell r="P690" t="str">
            <v>KUBOTA E40C</v>
          </cell>
          <cell r="Q690" t="str">
            <v>ps</v>
          </cell>
          <cell r="R690">
            <v>50</v>
          </cell>
        </row>
        <row r="691">
          <cell r="A691" t="str">
            <v>30013618-1</v>
          </cell>
          <cell r="B691" t="str">
            <v>3.2 x 148+/-0.5 x 1219</v>
          </cell>
          <cell r="C691">
            <v>3.2</v>
          </cell>
          <cell r="D691">
            <v>148</v>
          </cell>
          <cell r="E691">
            <v>1219</v>
          </cell>
          <cell r="F691">
            <v>4.53194944</v>
          </cell>
          <cell r="G691">
            <v>18</v>
          </cell>
          <cell r="H691">
            <v>77005486</v>
          </cell>
          <cell r="I691" t="str">
            <v>SPHC-P/O</v>
          </cell>
          <cell r="J691" t="str">
            <v>PILLAR FR ASSY 2.3</v>
          </cell>
          <cell r="K691" t="str">
            <v>TC422-1831-K5-1</v>
          </cell>
          <cell r="L691" t="str">
            <v>KUBOTA</v>
          </cell>
          <cell r="M691" t="str">
            <v>SPHC-P/O</v>
          </cell>
          <cell r="N691" t="str">
            <v>PILLAR FR ASSY 2.3</v>
          </cell>
          <cell r="O691" t="str">
            <v>TC422-1831-K5-1</v>
          </cell>
          <cell r="P691" t="str">
            <v>KUBOTA</v>
          </cell>
          <cell r="Q691" t="str">
            <v>ps</v>
          </cell>
        </row>
        <row r="692">
          <cell r="A692" t="str">
            <v>30013618-2</v>
          </cell>
          <cell r="B692" t="str">
            <v>1.6 x 64+/-0.5 x 1219</v>
          </cell>
          <cell r="C692">
            <v>1.6</v>
          </cell>
          <cell r="D692">
            <v>64</v>
          </cell>
          <cell r="E692">
            <v>1219</v>
          </cell>
          <cell r="F692">
            <v>0.97988095999999991</v>
          </cell>
          <cell r="G692">
            <v>54</v>
          </cell>
          <cell r="H692">
            <v>77005361</v>
          </cell>
          <cell r="I692" t="str">
            <v>SPHC-P/O</v>
          </cell>
          <cell r="J692" t="str">
            <v>PILLAR FR ASSY 2.3</v>
          </cell>
          <cell r="K692" t="str">
            <v>TC422-1831-K5-1</v>
          </cell>
          <cell r="L692" t="str">
            <v>KUBOTA</v>
          </cell>
          <cell r="M692" t="str">
            <v>SPHC-P/O</v>
          </cell>
          <cell r="N692" t="str">
            <v>PILLAR FR ASSY 2.3</v>
          </cell>
          <cell r="O692" t="str">
            <v>TC422-1831-K5-1</v>
          </cell>
          <cell r="P692" t="str">
            <v>KUBOTA</v>
          </cell>
          <cell r="Q692" t="str">
            <v>epc</v>
          </cell>
        </row>
        <row r="693">
          <cell r="A693" t="str">
            <v>30013618-3</v>
          </cell>
          <cell r="B693" t="str">
            <v>4.5 x 342.8+/-0.5 x 1219 เหล็กต้องตัดขอบหัว-ท้าย</v>
          </cell>
          <cell r="C693">
            <v>4.5</v>
          </cell>
          <cell r="D693">
            <v>342.8</v>
          </cell>
          <cell r="E693">
            <v>1219</v>
          </cell>
          <cell r="F693">
            <v>14.761370790000001</v>
          </cell>
          <cell r="G693">
            <v>32</v>
          </cell>
          <cell r="H693">
            <v>77005314</v>
          </cell>
          <cell r="I693" t="str">
            <v>SPHC</v>
          </cell>
          <cell r="J693" t="str">
            <v>PILLAR FR ASSY 2.3</v>
          </cell>
          <cell r="K693" t="str">
            <v>TC422-1831-K5-2</v>
          </cell>
          <cell r="L693" t="str">
            <v>KUBOTA</v>
          </cell>
          <cell r="M693" t="str">
            <v>SPHC</v>
          </cell>
          <cell r="N693" t="str">
            <v>PILLAR FR ASSY 2.3</v>
          </cell>
          <cell r="O693" t="str">
            <v>TC422-1831-K5-2</v>
          </cell>
          <cell r="P693" t="str">
            <v>KUBOTA</v>
          </cell>
          <cell r="Q693" t="str">
            <v>ps</v>
          </cell>
        </row>
        <row r="694">
          <cell r="A694" t="str">
            <v>30016092-1</v>
          </cell>
          <cell r="B694" t="str">
            <v>3.2 x 72+/-0.5 x 1219</v>
          </cell>
          <cell r="C694">
            <v>3.2</v>
          </cell>
          <cell r="D694">
            <v>72</v>
          </cell>
          <cell r="E694">
            <v>1219</v>
          </cell>
          <cell r="F694">
            <v>2.2047321600000003</v>
          </cell>
          <cell r="G694">
            <v>48</v>
          </cell>
          <cell r="H694">
            <v>77005511</v>
          </cell>
          <cell r="I694" t="str">
            <v>SPHC-P/O</v>
          </cell>
          <cell r="J694" t="str">
            <v>SUB ASSY 1.3</v>
          </cell>
          <cell r="K694" t="str">
            <v>TC430-1831-7</v>
          </cell>
          <cell r="L694" t="str">
            <v>KUBOTA</v>
          </cell>
          <cell r="M694" t="str">
            <v>SPHC-P/O</v>
          </cell>
          <cell r="N694" t="str">
            <v>SUB ASSY 1.3</v>
          </cell>
          <cell r="O694" t="str">
            <v>TC430-1831-7</v>
          </cell>
          <cell r="P694" t="str">
            <v>KUBOTA</v>
          </cell>
          <cell r="Q694" t="str">
            <v>epc</v>
          </cell>
        </row>
        <row r="695">
          <cell r="A695" t="str">
            <v>30016092-2</v>
          </cell>
          <cell r="B695" t="str">
            <v>0.8 x 46+/-0.5 x 1219</v>
          </cell>
          <cell r="C695">
            <v>0.8</v>
          </cell>
          <cell r="D695">
            <v>46</v>
          </cell>
          <cell r="E695">
            <v>1219</v>
          </cell>
          <cell r="F695">
            <v>0.35214472000000002</v>
          </cell>
          <cell r="G695">
            <v>47</v>
          </cell>
          <cell r="H695">
            <v>77005268</v>
          </cell>
          <cell r="I695" t="str">
            <v>SPCC-SD</v>
          </cell>
          <cell r="J695" t="str">
            <v>SUB ASSY 1.3</v>
          </cell>
          <cell r="K695" t="str">
            <v>TC430-1831-11</v>
          </cell>
          <cell r="L695" t="str">
            <v>KUBOTA</v>
          </cell>
          <cell r="M695" t="str">
            <v>SPCC-SD</v>
          </cell>
          <cell r="N695" t="str">
            <v>SUB ASSY 1.3</v>
          </cell>
          <cell r="O695" t="str">
            <v>TC430-1831-11</v>
          </cell>
          <cell r="P695" t="str">
            <v>KUBOTA</v>
          </cell>
          <cell r="Q695" t="str">
            <v>epc</v>
          </cell>
        </row>
        <row r="696">
          <cell r="A696" t="str">
            <v>30016092-3</v>
          </cell>
          <cell r="B696" t="str">
            <v>3.2 x 98+/-0.5 x 1219</v>
          </cell>
          <cell r="C696">
            <v>3.2</v>
          </cell>
          <cell r="D696">
            <v>98</v>
          </cell>
          <cell r="E696">
            <v>1219</v>
          </cell>
          <cell r="F696">
            <v>3.0008854399999998</v>
          </cell>
          <cell r="G696">
            <v>43</v>
          </cell>
          <cell r="H696">
            <v>77005519</v>
          </cell>
          <cell r="I696" t="str">
            <v>SPHC-P/O</v>
          </cell>
          <cell r="J696" t="str">
            <v>SUB ASSY 1.3</v>
          </cell>
          <cell r="K696" t="str">
            <v>TC430-1831-10</v>
          </cell>
          <cell r="L696" t="str">
            <v>KUBOTA</v>
          </cell>
          <cell r="M696" t="str">
            <v>SPHC-P/O</v>
          </cell>
          <cell r="N696" t="str">
            <v>SUB ASSY 1.3</v>
          </cell>
          <cell r="O696" t="str">
            <v>TC430-1831-10</v>
          </cell>
          <cell r="P696" t="str">
            <v>KUBOTA</v>
          </cell>
          <cell r="Q696" t="str">
            <v>epc</v>
          </cell>
        </row>
        <row r="697">
          <cell r="A697" t="str">
            <v>30016092-4</v>
          </cell>
          <cell r="B697" t="str">
            <v>3.2 x 58+/-0.5 x 1219</v>
          </cell>
          <cell r="C697">
            <v>3.2</v>
          </cell>
          <cell r="D697">
            <v>58</v>
          </cell>
          <cell r="E697">
            <v>1219</v>
          </cell>
          <cell r="F697">
            <v>1.77603424</v>
          </cell>
          <cell r="G697">
            <v>48</v>
          </cell>
          <cell r="H697">
            <v>77005504</v>
          </cell>
          <cell r="I697" t="str">
            <v>SPHC-P/O</v>
          </cell>
          <cell r="J697" t="str">
            <v>SUB ASSY 1.3</v>
          </cell>
          <cell r="K697" t="str">
            <v>TC430-1831-21</v>
          </cell>
          <cell r="L697" t="str">
            <v>KUBOTA</v>
          </cell>
          <cell r="M697" t="str">
            <v>SPHC-P/O</v>
          </cell>
          <cell r="N697" t="str">
            <v>SUB ASSY 1.3</v>
          </cell>
          <cell r="O697" t="str">
            <v>TC430-1831-21</v>
          </cell>
          <cell r="P697" t="str">
            <v>KUBOTA</v>
          </cell>
          <cell r="Q697" t="str">
            <v>epc</v>
          </cell>
        </row>
        <row r="698">
          <cell r="A698" t="str">
            <v>30016092-5</v>
          </cell>
          <cell r="B698" t="str">
            <v>3.2 x 228+/-0.5 x 1219 เน้นเรียบ</v>
          </cell>
          <cell r="C698">
            <v>3.2</v>
          </cell>
          <cell r="D698">
            <v>228</v>
          </cell>
          <cell r="E698">
            <v>1219</v>
          </cell>
          <cell r="F698">
            <v>6.9816518399999996</v>
          </cell>
          <cell r="G698">
            <v>16</v>
          </cell>
          <cell r="H698">
            <v>77005494</v>
          </cell>
          <cell r="I698" t="str">
            <v>SPHC-P/O</v>
          </cell>
          <cell r="J698" t="str">
            <v>PILLAR FR ASSY 1.3</v>
          </cell>
          <cell r="K698" t="str">
            <v>TC422-1831-K2</v>
          </cell>
          <cell r="L698" t="str">
            <v>KUBOTA</v>
          </cell>
          <cell r="M698" t="str">
            <v>SPHC-P/O</v>
          </cell>
          <cell r="N698" t="str">
            <v>PILLAR FR ASSY 1.3</v>
          </cell>
          <cell r="O698" t="str">
            <v>TC422-1831-K2</v>
          </cell>
          <cell r="P698" t="str">
            <v>KUBOTA</v>
          </cell>
          <cell r="Q698" t="str">
            <v>ps</v>
          </cell>
          <cell r="R698">
            <v>30</v>
          </cell>
        </row>
        <row r="699">
          <cell r="A699" t="str">
            <v>30020436-1</v>
          </cell>
          <cell r="B699" t="str">
            <v>3.2 x 148+/-0.5 x 1219</v>
          </cell>
          <cell r="C699">
            <v>3.2</v>
          </cell>
          <cell r="D699">
            <v>148</v>
          </cell>
          <cell r="E699">
            <v>1219</v>
          </cell>
          <cell r="F699">
            <v>4.53194944</v>
          </cell>
          <cell r="G699">
            <v>18</v>
          </cell>
          <cell r="H699">
            <v>77005486</v>
          </cell>
          <cell r="I699" t="str">
            <v>SPHC-P/O</v>
          </cell>
          <cell r="J699" t="str">
            <v>PILLAR FR ASSY 2.3</v>
          </cell>
          <cell r="K699" t="str">
            <v>TC422-1831-K5-1</v>
          </cell>
          <cell r="L699" t="str">
            <v>KUBOTA</v>
          </cell>
          <cell r="M699" t="str">
            <v>SPHC-P/O</v>
          </cell>
          <cell r="N699" t="str">
            <v>PILLAR FR ASSY 2.3</v>
          </cell>
          <cell r="O699" t="str">
            <v>TC422-1831-K5-1</v>
          </cell>
          <cell r="P699" t="str">
            <v>KUBOTA</v>
          </cell>
          <cell r="Q699" t="str">
            <v>ps</v>
          </cell>
        </row>
        <row r="700">
          <cell r="A700" t="str">
            <v>30020436-2</v>
          </cell>
          <cell r="B700" t="str">
            <v>1.6 x 64+/-0.5 x 1219</v>
          </cell>
          <cell r="C700">
            <v>1.6</v>
          </cell>
          <cell r="D700">
            <v>64</v>
          </cell>
          <cell r="E700">
            <v>1219</v>
          </cell>
          <cell r="F700">
            <v>0.97988095999999991</v>
          </cell>
          <cell r="G700">
            <v>54</v>
          </cell>
          <cell r="H700">
            <v>77005361</v>
          </cell>
          <cell r="I700" t="str">
            <v>SPHC-P/O</v>
          </cell>
          <cell r="J700" t="str">
            <v>PILLAR FR ASSY 2.3 ( x2)</v>
          </cell>
          <cell r="K700" t="str">
            <v>TC422-1831-K5-2</v>
          </cell>
          <cell r="L700" t="str">
            <v>KUBOTA</v>
          </cell>
          <cell r="M700" t="str">
            <v>SPHC-P/O</v>
          </cell>
          <cell r="N700" t="str">
            <v>PILLAR FR ASSY 2.3 ( x2)</v>
          </cell>
          <cell r="O700" t="str">
            <v>TC422-1831-K5-2</v>
          </cell>
          <cell r="P700" t="str">
            <v>KUBOTA</v>
          </cell>
          <cell r="Q700" t="str">
            <v>epc</v>
          </cell>
        </row>
        <row r="701">
          <cell r="A701" t="str">
            <v>30020436-3</v>
          </cell>
          <cell r="B701" t="str">
            <v>4.5 x 342.8+/-0.5 x 1219 เหล็กต้องตัดขอบหัว-ท้าย</v>
          </cell>
          <cell r="C701">
            <v>4.5</v>
          </cell>
          <cell r="D701">
            <v>342.8</v>
          </cell>
          <cell r="E701">
            <v>1219</v>
          </cell>
          <cell r="F701">
            <v>14.761370790000001</v>
          </cell>
          <cell r="G701">
            <v>32</v>
          </cell>
          <cell r="H701">
            <v>77005314</v>
          </cell>
          <cell r="I701" t="str">
            <v>SPHC</v>
          </cell>
          <cell r="J701" t="str">
            <v>PILLAR FR ASSY 2.3</v>
          </cell>
          <cell r="K701" t="str">
            <v>TC422-1831-K5-2</v>
          </cell>
          <cell r="L701" t="str">
            <v>KUBOTA</v>
          </cell>
          <cell r="M701" t="str">
            <v>SPHC</v>
          </cell>
          <cell r="N701" t="str">
            <v>PILLAR FR ASSY 2.3</v>
          </cell>
          <cell r="O701" t="str">
            <v>TC422-1831-K5-2</v>
          </cell>
          <cell r="P701" t="str">
            <v>KUBOTA</v>
          </cell>
          <cell r="Q701" t="str">
            <v>ps</v>
          </cell>
        </row>
        <row r="702">
          <cell r="A702" t="str">
            <v>30021503-1</v>
          </cell>
          <cell r="B702" t="str">
            <v>6.0 x 110+/-0.5 x 1219  เหล็กต้องตัดขอบหัว-ท้าย</v>
          </cell>
          <cell r="C702">
            <v>6</v>
          </cell>
          <cell r="D702">
            <v>110</v>
          </cell>
          <cell r="E702">
            <v>1219</v>
          </cell>
          <cell r="F702">
            <v>6.315639</v>
          </cell>
          <cell r="G702">
            <v>12</v>
          </cell>
          <cell r="H702">
            <v>77005533</v>
          </cell>
          <cell r="I702" t="str">
            <v>SPHC-P/O</v>
          </cell>
          <cell r="J702" t="str">
            <v>SUPPORT FR ASSY 1.5</v>
          </cell>
          <cell r="K702" t="str">
            <v>TC522-2922-1-K1.5</v>
          </cell>
          <cell r="L702" t="str">
            <v>KUBOTA</v>
          </cell>
          <cell r="M702" t="str">
            <v>SPHC-P/O</v>
          </cell>
          <cell r="N702" t="str">
            <v>SUPPORT FR ASSY 1.5</v>
          </cell>
          <cell r="O702" t="str">
            <v>TC522-2922-1-K1.5</v>
          </cell>
          <cell r="P702" t="str">
            <v>KUBOTA</v>
          </cell>
          <cell r="Q702" t="str">
            <v>tsi</v>
          </cell>
          <cell r="R702">
            <v>50</v>
          </cell>
        </row>
        <row r="703">
          <cell r="A703" t="str">
            <v>30021503-2</v>
          </cell>
          <cell r="B703" t="str">
            <v>3.2 x 257+/-0.5 x 1219</v>
          </cell>
          <cell r="C703">
            <v>3.2</v>
          </cell>
          <cell r="D703">
            <v>257</v>
          </cell>
          <cell r="E703">
            <v>1219</v>
          </cell>
          <cell r="F703">
            <v>7.8696689600000003</v>
          </cell>
          <cell r="G703">
            <v>8</v>
          </cell>
          <cell r="H703">
            <v>77005497</v>
          </cell>
          <cell r="I703" t="str">
            <v>SPHC-P/O</v>
          </cell>
          <cell r="J703" t="str">
            <v>SUPPORT FR ASSY 1.5</v>
          </cell>
          <cell r="K703" t="str">
            <v>TC522-2922-1-K1.5</v>
          </cell>
          <cell r="L703" t="str">
            <v>KUBOTA</v>
          </cell>
          <cell r="M703" t="str">
            <v>SPHC-P/O</v>
          </cell>
          <cell r="N703" t="str">
            <v>SUPPORT FR ASSY 1.5</v>
          </cell>
          <cell r="O703" t="str">
            <v>TC522-2922-1-K1.5</v>
          </cell>
          <cell r="P703" t="str">
            <v>KUBOTA</v>
          </cell>
          <cell r="Q703" t="str">
            <v>tsi</v>
          </cell>
          <cell r="R703">
            <v>50</v>
          </cell>
        </row>
        <row r="704">
          <cell r="A704" t="str">
            <v>30021503-3</v>
          </cell>
          <cell r="B704" t="str">
            <v>6.0 x 145+/-0.5 x 1219</v>
          </cell>
          <cell r="C704">
            <v>6</v>
          </cell>
          <cell r="D704">
            <v>145</v>
          </cell>
          <cell r="E704">
            <v>1219</v>
          </cell>
          <cell r="F704">
            <v>8.3251605000000009</v>
          </cell>
          <cell r="G704">
            <v>32</v>
          </cell>
          <cell r="I704" t="str">
            <v>SS400</v>
          </cell>
          <cell r="J704" t="str">
            <v>SUPPORT FR ASSY 1.5</v>
          </cell>
          <cell r="K704" t="str">
            <v>TC522-2922-1-K1.5</v>
          </cell>
          <cell r="L704" t="str">
            <v>KUBOTA</v>
          </cell>
          <cell r="M704" t="str">
            <v>SS400</v>
          </cell>
          <cell r="N704" t="str">
            <v>SUPPORT FR ASSY 1.5</v>
          </cell>
          <cell r="O704" t="str">
            <v>TC522-2922-1-K1.5</v>
          </cell>
          <cell r="P704" t="str">
            <v>KUBOTA</v>
          </cell>
          <cell r="Q704" t="e">
            <v>#N/A</v>
          </cell>
        </row>
        <row r="705">
          <cell r="A705" t="str">
            <v>30021504-1</v>
          </cell>
          <cell r="B705" t="str">
            <v>6.0 x 110+/-0.5 x 1219  เหล็กต้องตัดขอบหัว-ท้าย</v>
          </cell>
          <cell r="C705">
            <v>6</v>
          </cell>
          <cell r="D705">
            <v>110</v>
          </cell>
          <cell r="E705">
            <v>1219</v>
          </cell>
          <cell r="F705">
            <v>6.315639</v>
          </cell>
          <cell r="G705">
            <v>12</v>
          </cell>
          <cell r="H705">
            <v>77005533</v>
          </cell>
          <cell r="I705" t="str">
            <v>SPHC-P/O</v>
          </cell>
          <cell r="J705" t="str">
            <v>SUPPORT FR ASSY 1.5</v>
          </cell>
          <cell r="K705" t="str">
            <v>TC522-2922-1-K1.5</v>
          </cell>
          <cell r="L705" t="str">
            <v>KUBOTA</v>
          </cell>
          <cell r="M705" t="str">
            <v>SPHC-P/O</v>
          </cell>
          <cell r="N705" t="str">
            <v>SUPPORT FR ASSY 1.5</v>
          </cell>
          <cell r="O705" t="str">
            <v>TC522-2922-1-K1.5</v>
          </cell>
          <cell r="P705" t="str">
            <v>KUBOTA</v>
          </cell>
          <cell r="Q705" t="str">
            <v>tsi</v>
          </cell>
          <cell r="R705">
            <v>50</v>
          </cell>
        </row>
        <row r="706">
          <cell r="A706" t="str">
            <v>30021504-2</v>
          </cell>
          <cell r="B706" t="str">
            <v>3.2 x 257+/-0.5 x 1219</v>
          </cell>
          <cell r="C706">
            <v>3.2</v>
          </cell>
          <cell r="D706">
            <v>257</v>
          </cell>
          <cell r="E706">
            <v>1219</v>
          </cell>
          <cell r="F706">
            <v>7.8696689600000003</v>
          </cell>
          <cell r="G706">
            <v>8</v>
          </cell>
          <cell r="H706">
            <v>77005497</v>
          </cell>
          <cell r="I706" t="str">
            <v>SPHC-P/O</v>
          </cell>
          <cell r="J706" t="str">
            <v>SUPPORT FR ASSY 1.5</v>
          </cell>
          <cell r="K706" t="str">
            <v>TC522-2922-1-K1.5</v>
          </cell>
          <cell r="L706" t="str">
            <v>KUBOTA</v>
          </cell>
          <cell r="M706" t="str">
            <v>SPHC-P/O</v>
          </cell>
          <cell r="N706" t="str">
            <v>SUPPORT FR ASSY 1.5</v>
          </cell>
          <cell r="O706" t="str">
            <v>TC522-2922-1-K1.5</v>
          </cell>
          <cell r="P706" t="str">
            <v>KUBOTA</v>
          </cell>
          <cell r="Q706" t="str">
            <v>tsi</v>
          </cell>
          <cell r="R706">
            <v>50</v>
          </cell>
        </row>
        <row r="707">
          <cell r="A707" t="str">
            <v>30021504-3</v>
          </cell>
          <cell r="B707" t="str">
            <v>6.0 x 145+/-0.5 x 1219</v>
          </cell>
          <cell r="C707">
            <v>6</v>
          </cell>
          <cell r="D707">
            <v>145</v>
          </cell>
          <cell r="E707">
            <v>1219</v>
          </cell>
          <cell r="F707">
            <v>8.3251605000000009</v>
          </cell>
          <cell r="G707">
            <v>32</v>
          </cell>
          <cell r="I707" t="str">
            <v>SS400</v>
          </cell>
          <cell r="J707" t="str">
            <v>SUPPORT FR ASSY 1.5</v>
          </cell>
          <cell r="K707" t="str">
            <v>TC522-2921-1-K1.5</v>
          </cell>
          <cell r="L707" t="str">
            <v>KUBOTA</v>
          </cell>
          <cell r="M707" t="str">
            <v>SS400</v>
          </cell>
          <cell r="N707" t="str">
            <v>SUPPORT FR ASSY 1.5</v>
          </cell>
          <cell r="O707" t="str">
            <v>TC522-2921-1-K1.5</v>
          </cell>
          <cell r="P707" t="str">
            <v>KUBOTA</v>
          </cell>
          <cell r="Q707" t="e">
            <v>#N/A</v>
          </cell>
        </row>
        <row r="708">
          <cell r="A708" t="str">
            <v>30022657-1</v>
          </cell>
          <cell r="B708" t="str">
            <v>6.0 x 110+/-0.5 x 1219  เหล็กต้องตัดขอบหัว-ท้าย</v>
          </cell>
          <cell r="C708">
            <v>6</v>
          </cell>
          <cell r="D708">
            <v>110</v>
          </cell>
          <cell r="E708">
            <v>1219</v>
          </cell>
          <cell r="F708">
            <v>6.315639</v>
          </cell>
          <cell r="G708">
            <v>12</v>
          </cell>
          <cell r="H708">
            <v>77005533</v>
          </cell>
          <cell r="I708" t="str">
            <v>SPHC-P/O</v>
          </cell>
          <cell r="J708" t="str">
            <v>SUPPORT FD LH SUB ASSY 2</v>
          </cell>
          <cell r="K708" t="str">
            <v>TC620-2921-2-K2</v>
          </cell>
          <cell r="L708" t="str">
            <v>KUBOTA E50-B</v>
          </cell>
          <cell r="M708" t="str">
            <v>SPHC-P/O</v>
          </cell>
          <cell r="N708" t="str">
            <v>SUPPORT FD LH SUB ASSY 2</v>
          </cell>
          <cell r="O708" t="str">
            <v>TC620-2921-2-K2</v>
          </cell>
          <cell r="P708" t="str">
            <v>KUBOTA E50-B</v>
          </cell>
          <cell r="Q708" t="str">
            <v>tsi</v>
          </cell>
          <cell r="R708">
            <v>50</v>
          </cell>
        </row>
        <row r="709">
          <cell r="A709" t="str">
            <v>30022657-2</v>
          </cell>
          <cell r="B709" t="str">
            <v>3.2 x 257+/-0.5 x 1219</v>
          </cell>
          <cell r="C709">
            <v>3.2</v>
          </cell>
          <cell r="D709">
            <v>257</v>
          </cell>
          <cell r="E709">
            <v>1219</v>
          </cell>
          <cell r="F709">
            <v>7.8696689600000003</v>
          </cell>
          <cell r="G709">
            <v>8</v>
          </cell>
          <cell r="H709">
            <v>77005497</v>
          </cell>
          <cell r="I709" t="str">
            <v>SPHC-P/O</v>
          </cell>
          <cell r="J709" t="str">
            <v>SUPPORT FD LH SUB ASSY 2</v>
          </cell>
          <cell r="K709" t="str">
            <v>TC620-2921-2-K2</v>
          </cell>
          <cell r="L709" t="str">
            <v>KUBOTA E50-B</v>
          </cell>
          <cell r="M709" t="str">
            <v>SPHC-P/O</v>
          </cell>
          <cell r="N709" t="str">
            <v>SUPPORT FD LH SUB ASSY 2</v>
          </cell>
          <cell r="O709" t="str">
            <v>TC620-2921-2-K2</v>
          </cell>
          <cell r="P709" t="str">
            <v>KUBOTA E50-B</v>
          </cell>
          <cell r="Q709" t="str">
            <v>tsi</v>
          </cell>
          <cell r="R709">
            <v>50</v>
          </cell>
        </row>
        <row r="710">
          <cell r="A710" t="str">
            <v>30022657-3</v>
          </cell>
          <cell r="B710" t="str">
            <v>4.5 x 93+/-0.5 x 1219</v>
          </cell>
          <cell r="C710">
            <v>4.5</v>
          </cell>
          <cell r="D710">
            <v>93</v>
          </cell>
          <cell r="E710">
            <v>1219</v>
          </cell>
          <cell r="F710">
            <v>4.0046892749999996</v>
          </cell>
          <cell r="G710">
            <v>32</v>
          </cell>
          <cell r="H710">
            <v>77005557</v>
          </cell>
          <cell r="I710" t="str">
            <v>SS400</v>
          </cell>
          <cell r="J710" t="str">
            <v>SUPPORT FD LH SUB ASSY 2</v>
          </cell>
          <cell r="K710" t="str">
            <v>TC620-2921-2-K2</v>
          </cell>
          <cell r="L710" t="str">
            <v>KUBOTA E50-B</v>
          </cell>
          <cell r="M710" t="str">
            <v>SS400</v>
          </cell>
          <cell r="N710" t="str">
            <v>SUPPORT FD LH SUB ASSY 2</v>
          </cell>
          <cell r="O710" t="str">
            <v>TC620-2921-2-K2</v>
          </cell>
          <cell r="P710" t="str">
            <v>KUBOTA E50-B</v>
          </cell>
          <cell r="Q710" t="str">
            <v>csp</v>
          </cell>
        </row>
        <row r="711">
          <cell r="A711" t="str">
            <v>30022658-1</v>
          </cell>
          <cell r="B711" t="str">
            <v>6.0 x 110+/-0.5 x 1219  เหล็กต้องตัดขอบหัว-ท้าย</v>
          </cell>
          <cell r="C711">
            <v>6</v>
          </cell>
          <cell r="D711">
            <v>110</v>
          </cell>
          <cell r="E711">
            <v>1219</v>
          </cell>
          <cell r="F711">
            <v>6.315639</v>
          </cell>
          <cell r="G711">
            <v>12</v>
          </cell>
          <cell r="H711">
            <v>77005533</v>
          </cell>
          <cell r="I711" t="str">
            <v>SPHC-P/O</v>
          </cell>
          <cell r="J711" t="str">
            <v>SUPPORT FD LH SUB ASSY 2</v>
          </cell>
          <cell r="K711" t="str">
            <v>TC620-2921-2-K2</v>
          </cell>
          <cell r="L711" t="str">
            <v>KUBOTA E50-B</v>
          </cell>
          <cell r="M711" t="str">
            <v>SPHC-P/O</v>
          </cell>
          <cell r="N711" t="str">
            <v>SUPPORT FD LH SUB ASSY 2</v>
          </cell>
          <cell r="O711" t="str">
            <v>TC620-2921-2-K2</v>
          </cell>
          <cell r="P711" t="str">
            <v>KUBOTA E50-B</v>
          </cell>
          <cell r="Q711" t="str">
            <v>tsi</v>
          </cell>
          <cell r="R711">
            <v>50</v>
          </cell>
        </row>
        <row r="712">
          <cell r="A712" t="str">
            <v>30022658-2</v>
          </cell>
          <cell r="B712" t="str">
            <v>3.2 x 257+/-0.5 x 1219</v>
          </cell>
          <cell r="C712">
            <v>3.2</v>
          </cell>
          <cell r="D712">
            <v>257</v>
          </cell>
          <cell r="E712">
            <v>1219</v>
          </cell>
          <cell r="F712">
            <v>7.8696689600000003</v>
          </cell>
          <cell r="G712">
            <v>8</v>
          </cell>
          <cell r="H712">
            <v>77005497</v>
          </cell>
          <cell r="I712" t="str">
            <v>SPHC-P/O</v>
          </cell>
          <cell r="J712" t="str">
            <v>SUPPORT FD LH SUB ASSY 2</v>
          </cell>
          <cell r="K712" t="str">
            <v>TC620-2921-2-K2</v>
          </cell>
          <cell r="L712" t="str">
            <v>KUBOTA E50-B</v>
          </cell>
          <cell r="M712" t="str">
            <v>SPHC-P/O</v>
          </cell>
          <cell r="N712" t="str">
            <v>SUPPORT FD LH SUB ASSY 2</v>
          </cell>
          <cell r="O712" t="str">
            <v>TC620-2921-2-K2</v>
          </cell>
          <cell r="P712" t="str">
            <v>KUBOTA E50-B</v>
          </cell>
          <cell r="Q712" t="str">
            <v>tsi</v>
          </cell>
          <cell r="R712">
            <v>50</v>
          </cell>
        </row>
        <row r="713">
          <cell r="A713" t="str">
            <v>30030989-1</v>
          </cell>
          <cell r="B713" t="str">
            <v>1.6 x 180+/-0.5 x 341+/-0.5</v>
          </cell>
          <cell r="C713">
            <v>1.6</v>
          </cell>
          <cell r="D713">
            <v>180</v>
          </cell>
          <cell r="E713">
            <v>341</v>
          </cell>
          <cell r="F713">
            <v>0.77093279999999997</v>
          </cell>
          <cell r="G713">
            <v>1</v>
          </cell>
          <cell r="H713">
            <v>77005333</v>
          </cell>
          <cell r="I713" t="str">
            <v>SPHC-P</v>
          </cell>
          <cell r="J713" t="str">
            <v>BRACKET CASE (2ND)</v>
          </cell>
          <cell r="K713" t="str">
            <v>SUB ASSY 2 (DC-105X)</v>
          </cell>
          <cell r="L713" t="str">
            <v>KUBOTA DC105X</v>
          </cell>
          <cell r="M713" t="str">
            <v>SPHC-P</v>
          </cell>
          <cell r="N713" t="str">
            <v>BRACKET CASE (2ND)</v>
          </cell>
          <cell r="O713" t="str">
            <v>SUB ASSY 2 (DC-105X)</v>
          </cell>
          <cell r="P713" t="str">
            <v>KUBOTA DC105X</v>
          </cell>
          <cell r="Q713" t="str">
            <v>bm</v>
          </cell>
        </row>
        <row r="714">
          <cell r="A714" t="str">
            <v>30030989-2</v>
          </cell>
          <cell r="B714" t="str">
            <v>1.2 x 145+/-0.5 x 1219</v>
          </cell>
          <cell r="C714">
            <v>1.2</v>
          </cell>
          <cell r="D714">
            <v>145</v>
          </cell>
          <cell r="E714">
            <v>1219</v>
          </cell>
          <cell r="F714">
            <v>1.6650320999999999</v>
          </cell>
          <cell r="G714">
            <v>30</v>
          </cell>
          <cell r="H714">
            <v>77005272</v>
          </cell>
          <cell r="I714" t="str">
            <v>SPCC</v>
          </cell>
          <cell r="J714" t="str">
            <v>BRACKET CASE (2ND)</v>
          </cell>
          <cell r="K714" t="str">
            <v>SUB ASSY 2 (DC-105X)</v>
          </cell>
          <cell r="L714" t="str">
            <v>KUBOTA DC105X</v>
          </cell>
          <cell r="M714" t="str">
            <v>SPCC</v>
          </cell>
          <cell r="N714" t="str">
            <v>BRACKET CASE (2ND)</v>
          </cell>
          <cell r="O714" t="str">
            <v>SUB ASSY 2 (DC-105X)</v>
          </cell>
          <cell r="P714" t="str">
            <v>KUBOTA DC105X</v>
          </cell>
          <cell r="Q714" t="str">
            <v>bm</v>
          </cell>
        </row>
        <row r="715">
          <cell r="A715">
            <v>30034054</v>
          </cell>
          <cell r="B715" t="str">
            <v>4.5 x 99+/-0.5 x 1219</v>
          </cell>
          <cell r="C715">
            <v>4.5</v>
          </cell>
          <cell r="D715">
            <v>99</v>
          </cell>
          <cell r="E715">
            <v>1219</v>
          </cell>
          <cell r="F715">
            <v>4.263056325</v>
          </cell>
          <cell r="G715">
            <v>12</v>
          </cell>
          <cell r="I715" t="str">
            <v>SPHC</v>
          </cell>
          <cell r="J715" t="str">
            <v>BRACKET MUFFLER ENGINE NO.5</v>
          </cell>
          <cell r="K715">
            <v>0</v>
          </cell>
          <cell r="M715" t="str">
            <v>SPHC</v>
          </cell>
          <cell r="N715" t="str">
            <v>BRACKET MUFFLER ENGINE NO.5</v>
          </cell>
          <cell r="O715">
            <v>0</v>
          </cell>
          <cell r="Q715" t="e">
            <v>#N/A</v>
          </cell>
        </row>
        <row r="716">
          <cell r="A716">
            <v>30034054</v>
          </cell>
          <cell r="B716" t="str">
            <v>3.2 x 58+/-0.5 x 1219</v>
          </cell>
          <cell r="C716">
            <v>3.2</v>
          </cell>
          <cell r="D716">
            <v>58</v>
          </cell>
          <cell r="E716">
            <v>1219</v>
          </cell>
          <cell r="F716">
            <v>1.77603424</v>
          </cell>
          <cell r="G716">
            <v>63</v>
          </cell>
          <cell r="I716" t="str">
            <v>SS400</v>
          </cell>
          <cell r="J716" t="str">
            <v>BRACKET MUFFLER ENGINE NO.8</v>
          </cell>
          <cell r="K716">
            <v>0</v>
          </cell>
          <cell r="M716" t="str">
            <v>SS400</v>
          </cell>
          <cell r="N716" t="str">
            <v>BRACKET MUFFLER ENGINE NO.8</v>
          </cell>
          <cell r="O716">
            <v>0</v>
          </cell>
          <cell r="Q716" t="e">
            <v>#N/A</v>
          </cell>
        </row>
        <row r="718">
          <cell r="A718" t="str">
            <v>Current Model</v>
          </cell>
          <cell r="B718" t="str">
            <v>เหล็ก Penta</v>
          </cell>
        </row>
        <row r="719">
          <cell r="A719" t="str">
            <v>30036267-1</v>
          </cell>
          <cell r="B719" t="str">
            <v>2.3 x 178+/-0.5 x 1219</v>
          </cell>
          <cell r="C719">
            <v>2.2999999999999998</v>
          </cell>
          <cell r="D719">
            <v>178</v>
          </cell>
          <cell r="E719">
            <v>1219</v>
          </cell>
          <cell r="F719">
            <v>3.9176100099999998</v>
          </cell>
          <cell r="G719">
            <v>6</v>
          </cell>
          <cell r="H719">
            <v>77004685</v>
          </cell>
          <cell r="I719" t="str">
            <v>JSH440W</v>
          </cell>
          <cell r="J719" t="str">
            <v>GUSSET (HEAD PIPE SUB)</v>
          </cell>
          <cell r="K719" t="str">
            <v>50120-K40-F000-H1</v>
          </cell>
          <cell r="L719" t="str">
            <v>K0BA</v>
          </cell>
          <cell r="M719" t="str">
            <v>JSH440W</v>
          </cell>
          <cell r="N719" t="str">
            <v>GUSSET (HEAD PIPE SUB)</v>
          </cell>
          <cell r="O719" t="str">
            <v>50120-K40-F000-H1</v>
          </cell>
          <cell r="P719" t="str">
            <v>K0BA</v>
          </cell>
          <cell r="Q719" t="e">
            <v>#N/A</v>
          </cell>
        </row>
        <row r="720">
          <cell r="A720" t="str">
            <v>30036267-2</v>
          </cell>
          <cell r="B720" t="str">
            <v>4.0 x 55+/-0.5 x 1219</v>
          </cell>
          <cell r="C720">
            <v>4</v>
          </cell>
          <cell r="D720">
            <v>55</v>
          </cell>
          <cell r="E720">
            <v>1219</v>
          </cell>
          <cell r="F720">
            <v>2.105213</v>
          </cell>
          <cell r="G720">
            <v>24</v>
          </cell>
          <cell r="H720">
            <v>77003671</v>
          </cell>
          <cell r="I720" t="str">
            <v>JSH270C</v>
          </cell>
          <cell r="J720" t="str">
            <v>PLATE (GUSSET HEAT PIPE SUB)</v>
          </cell>
          <cell r="K720" t="str">
            <v>50120-K40-F000-21</v>
          </cell>
          <cell r="L720" t="str">
            <v>K0BA</v>
          </cell>
          <cell r="M720" t="str">
            <v>JSH270C</v>
          </cell>
          <cell r="N720" t="str">
            <v>PLATE (GUSSET HEAT PIPE SUB)</v>
          </cell>
          <cell r="O720" t="str">
            <v>50120-K40-F000-21</v>
          </cell>
          <cell r="P720" t="str">
            <v>K0BA</v>
          </cell>
          <cell r="Q720" t="str">
            <v>ptt</v>
          </cell>
        </row>
        <row r="721">
          <cell r="A721" t="str">
            <v>30036267-3</v>
          </cell>
          <cell r="B721" t="str">
            <v>1.6 x 64+/-0.5 x 1219</v>
          </cell>
          <cell r="C721">
            <v>1.6</v>
          </cell>
          <cell r="D721">
            <v>64</v>
          </cell>
          <cell r="E721">
            <v>1219</v>
          </cell>
          <cell r="F721">
            <v>0.97988095999999991</v>
          </cell>
          <cell r="G721">
            <v>18</v>
          </cell>
          <cell r="H721">
            <v>77004451</v>
          </cell>
          <cell r="I721" t="str">
            <v>JSH270C</v>
          </cell>
          <cell r="J721" t="str">
            <v>STAY A (EART-CABLE)</v>
          </cell>
          <cell r="K721" t="str">
            <v>50181-K0BA-T002-20</v>
          </cell>
          <cell r="L721" t="str">
            <v>K0BA</v>
          </cell>
          <cell r="M721" t="str">
            <v>JSH270C</v>
          </cell>
          <cell r="N721" t="str">
            <v>STAY A (EART-CABLE)</v>
          </cell>
          <cell r="O721" t="str">
            <v>50181-K0BA-T002-20</v>
          </cell>
          <cell r="P721" t="str">
            <v>K0BA</v>
          </cell>
          <cell r="Q721" t="str">
            <v>ptt</v>
          </cell>
        </row>
        <row r="722">
          <cell r="J722">
            <v>0</v>
          </cell>
        </row>
        <row r="723">
          <cell r="A723" t="str">
            <v>TSGP 1 พ่นสี SWINGARM  K. นิสา</v>
          </cell>
          <cell r="J723">
            <v>0</v>
          </cell>
        </row>
        <row r="724">
          <cell r="A724">
            <v>30020965</v>
          </cell>
          <cell r="B724" t="str">
            <v>1.6 x 100+/-0.5 x 1219</v>
          </cell>
          <cell r="C724">
            <v>1.6</v>
          </cell>
          <cell r="D724">
            <v>100</v>
          </cell>
          <cell r="E724">
            <v>1219</v>
          </cell>
          <cell r="F724">
            <v>1.531064</v>
          </cell>
          <cell r="G724">
            <v>21</v>
          </cell>
          <cell r="H724">
            <v>77004282</v>
          </cell>
          <cell r="I724" t="str">
            <v>SPHC-P/O</v>
          </cell>
          <cell r="J724" t="str">
            <v>PATCH COSS</v>
          </cell>
          <cell r="K724" t="str">
            <v>52113-K26A-9000-H1</v>
          </cell>
          <cell r="L724" t="str">
            <v>K26A</v>
          </cell>
          <cell r="M724" t="str">
            <v>SPHC-P/O</v>
          </cell>
          <cell r="N724" t="str">
            <v>PATCH COSS</v>
          </cell>
          <cell r="O724" t="str">
            <v>52113-K26A-9000-H1</v>
          </cell>
          <cell r="P724" t="str">
            <v>K26A</v>
          </cell>
          <cell r="Q724" t="str">
            <v>ptt</v>
          </cell>
          <cell r="R724">
            <v>200</v>
          </cell>
        </row>
        <row r="725">
          <cell r="A725">
            <v>30020965.100000001</v>
          </cell>
          <cell r="B725" t="str">
            <v>1.6 x 100+/-0.5 x 1219</v>
          </cell>
          <cell r="C725">
            <v>1.6</v>
          </cell>
          <cell r="D725">
            <v>100</v>
          </cell>
          <cell r="E725">
            <v>1219</v>
          </cell>
          <cell r="F725">
            <v>1.531064</v>
          </cell>
          <cell r="G725">
            <v>21</v>
          </cell>
          <cell r="H725">
            <v>77004282</v>
          </cell>
          <cell r="I725" t="str">
            <v>SPHC-P/O</v>
          </cell>
          <cell r="J725" t="str">
            <v>PATCH COSS</v>
          </cell>
          <cell r="K725" t="str">
            <v>52113-K26A-9000-H1</v>
          </cell>
          <cell r="L725" t="str">
            <v>K26A</v>
          </cell>
          <cell r="M725" t="str">
            <v>SPHC-P/O</v>
          </cell>
          <cell r="N725" t="str">
            <v>PATCH COSS</v>
          </cell>
          <cell r="O725" t="str">
            <v>52113-K26A-9000-H1</v>
          </cell>
          <cell r="P725" t="str">
            <v>K26A</v>
          </cell>
          <cell r="Q725" t="str">
            <v>ptt</v>
          </cell>
          <cell r="R725">
            <v>200</v>
          </cell>
        </row>
        <row r="726">
          <cell r="A726">
            <v>30032503</v>
          </cell>
          <cell r="B726" t="str">
            <v>0.5 x 70+/-0.5 x 1219</v>
          </cell>
          <cell r="C726">
            <v>0.5</v>
          </cell>
          <cell r="D726">
            <v>70</v>
          </cell>
          <cell r="E726">
            <v>1219</v>
          </cell>
          <cell r="F726">
            <v>0.33492024999999997</v>
          </cell>
          <cell r="G726">
            <v>78</v>
          </cell>
          <cell r="H726">
            <v>77005266</v>
          </cell>
          <cell r="I726" t="str">
            <v>YSC270C</v>
          </cell>
          <cell r="J726" t="str">
            <v>PLATE GUIDE 3</v>
          </cell>
          <cell r="K726" t="str">
            <v>1FP-F2343-00</v>
          </cell>
          <cell r="L726" t="str">
            <v>1FPG</v>
          </cell>
          <cell r="M726" t="str">
            <v>YSC270C</v>
          </cell>
          <cell r="N726" t="str">
            <v>PLATE GUIDE 3</v>
          </cell>
          <cell r="O726" t="str">
            <v>1FP-F2343-00</v>
          </cell>
          <cell r="P726" t="str">
            <v>1FPG</v>
          </cell>
          <cell r="Q726" t="str">
            <v>tsi</v>
          </cell>
        </row>
        <row r="727">
          <cell r="A727">
            <v>30032504</v>
          </cell>
          <cell r="B727" t="str">
            <v>0.5 x 70+/-0.5 x 1219</v>
          </cell>
          <cell r="C727">
            <v>0.5</v>
          </cell>
          <cell r="D727">
            <v>70</v>
          </cell>
          <cell r="E727">
            <v>1219</v>
          </cell>
          <cell r="F727">
            <v>0.33492024999999997</v>
          </cell>
          <cell r="G727">
            <v>94</v>
          </cell>
          <cell r="H727">
            <v>77005266</v>
          </cell>
          <cell r="I727" t="str">
            <v>YSC270C</v>
          </cell>
          <cell r="J727" t="str">
            <v>PLATE GUIDE 3</v>
          </cell>
          <cell r="K727" t="str">
            <v>1FP-F2343-10</v>
          </cell>
          <cell r="L727" t="str">
            <v>1FPG</v>
          </cell>
          <cell r="M727" t="str">
            <v>YSC270C</v>
          </cell>
          <cell r="N727" t="str">
            <v>PLATE GUIDE 3</v>
          </cell>
          <cell r="O727" t="str">
            <v>1FP-F2343-10</v>
          </cell>
          <cell r="P727" t="str">
            <v>1FPG</v>
          </cell>
          <cell r="Q727" t="str">
            <v>tsi</v>
          </cell>
        </row>
        <row r="728">
          <cell r="A728">
            <v>30037093</v>
          </cell>
          <cell r="B728" t="str">
            <v>1.6 x 107+/-0.5 x 1219</v>
          </cell>
          <cell r="C728">
            <v>1.6</v>
          </cell>
          <cell r="D728">
            <v>107</v>
          </cell>
          <cell r="E728">
            <v>1219</v>
          </cell>
          <cell r="F728">
            <v>1.6382384800000001</v>
          </cell>
          <cell r="G728">
            <v>51</v>
          </cell>
          <cell r="H728">
            <v>77005321</v>
          </cell>
          <cell r="I728" t="str">
            <v>YSH270C</v>
          </cell>
          <cell r="J728" t="str">
            <v>STAY FUEL TANK 4</v>
          </cell>
          <cell r="K728" t="str">
            <v>B7D-F4118-00</v>
          </cell>
          <cell r="L728" t="str">
            <v>T</v>
          </cell>
          <cell r="M728" t="str">
            <v>YSH270C</v>
          </cell>
          <cell r="N728" t="str">
            <v>STAY FUEL TANK 4</v>
          </cell>
          <cell r="O728" t="str">
            <v>B7D-F4118-00</v>
          </cell>
          <cell r="P728" t="str">
            <v>T</v>
          </cell>
          <cell r="Q728" t="str">
            <v>epc</v>
          </cell>
        </row>
        <row r="729">
          <cell r="A729">
            <v>30048196</v>
          </cell>
          <cell r="B729" t="str">
            <v>2.0 x 78+/-0.5 x 1219</v>
          </cell>
          <cell r="C729">
            <v>2</v>
          </cell>
          <cell r="D729">
            <v>78</v>
          </cell>
          <cell r="E729">
            <v>1219</v>
          </cell>
          <cell r="F729">
            <v>1.4927873999999999</v>
          </cell>
          <cell r="G729">
            <v>20</v>
          </cell>
          <cell r="H729">
            <v>77004146</v>
          </cell>
          <cell r="I729" t="str">
            <v>SPHC-P/O</v>
          </cell>
          <cell r="J729" t="str">
            <v>PATCH SWING ARM CORSS</v>
          </cell>
          <cell r="K729" t="str">
            <v>52113-KWBA-6000-H1</v>
          </cell>
          <cell r="L729" t="str">
            <v>KWBA</v>
          </cell>
          <cell r="M729" t="str">
            <v>SPHC-P/O</v>
          </cell>
          <cell r="N729" t="str">
            <v>PATCH SWING ARM CORSS</v>
          </cell>
          <cell r="O729" t="str">
            <v>52113-KWBA-6000-H1</v>
          </cell>
          <cell r="P729" t="str">
            <v>KWBA</v>
          </cell>
          <cell r="Q729" t="str">
            <v>ptt</v>
          </cell>
          <cell r="R729">
            <v>200</v>
          </cell>
        </row>
        <row r="730">
          <cell r="A730">
            <v>30048197</v>
          </cell>
          <cell r="B730" t="str">
            <v>5.5 x 119+/-0.5 x 1219</v>
          </cell>
          <cell r="C730">
            <v>5.5</v>
          </cell>
          <cell r="D730">
            <v>119</v>
          </cell>
          <cell r="E730">
            <v>1219</v>
          </cell>
          <cell r="F730">
            <v>6.263008675</v>
          </cell>
          <cell r="G730">
            <v>17</v>
          </cell>
          <cell r="H730">
            <v>77004054</v>
          </cell>
          <cell r="I730" t="str">
            <v>JSH440W</v>
          </cell>
          <cell r="J730" t="str">
            <v>STAY R END PIECE</v>
          </cell>
          <cell r="K730" t="str">
            <v>52121-K03-6400 (K03T)</v>
          </cell>
          <cell r="L730" t="str">
            <v>K03T, K3FA</v>
          </cell>
          <cell r="M730" t="str">
            <v>JSH440W</v>
          </cell>
          <cell r="N730" t="str">
            <v>STAY R END PIECE</v>
          </cell>
          <cell r="O730" t="str">
            <v>52121-K03-6400 (K03T)</v>
          </cell>
          <cell r="P730" t="str">
            <v>K03T, K3FA</v>
          </cell>
          <cell r="Q730" t="str">
            <v>su</v>
          </cell>
          <cell r="R730">
            <v>100</v>
          </cell>
        </row>
        <row r="731">
          <cell r="A731">
            <v>30048198</v>
          </cell>
          <cell r="B731" t="str">
            <v>5.5 x 90+/-0.5 x 1219</v>
          </cell>
          <cell r="C731">
            <v>5.5</v>
          </cell>
          <cell r="D731">
            <v>90</v>
          </cell>
          <cell r="E731">
            <v>1219</v>
          </cell>
          <cell r="F731">
            <v>4.7367292499999998</v>
          </cell>
          <cell r="G731">
            <v>14</v>
          </cell>
          <cell r="H731">
            <v>77004053</v>
          </cell>
          <cell r="I731" t="str">
            <v>JSH440W</v>
          </cell>
          <cell r="J731" t="str">
            <v>STAY L END PIECE</v>
          </cell>
          <cell r="K731" t="str">
            <v>52126-KWW-6400</v>
          </cell>
          <cell r="L731" t="str">
            <v>K03T, K3FA</v>
          </cell>
          <cell r="M731" t="str">
            <v>JSH440W</v>
          </cell>
          <cell r="N731" t="str">
            <v>STAY L END PIECE</v>
          </cell>
          <cell r="O731" t="str">
            <v>52126-KWW-6400</v>
          </cell>
          <cell r="P731" t="str">
            <v>K03T, K3FA</v>
          </cell>
          <cell r="Q731" t="str">
            <v>su</v>
          </cell>
          <cell r="R731">
            <v>100</v>
          </cell>
        </row>
        <row r="732">
          <cell r="A732">
            <v>30051568</v>
          </cell>
          <cell r="B732" t="str">
            <v>2.0 x 78+/-0.5 x 1219</v>
          </cell>
          <cell r="C732">
            <v>2</v>
          </cell>
          <cell r="D732">
            <v>78</v>
          </cell>
          <cell r="E732">
            <v>1219</v>
          </cell>
          <cell r="F732">
            <v>1.4927873999999999</v>
          </cell>
          <cell r="G732">
            <v>20</v>
          </cell>
          <cell r="H732">
            <v>77004146</v>
          </cell>
          <cell r="I732" t="str">
            <v>SPHC-P/O</v>
          </cell>
          <cell r="J732" t="str">
            <v>PATCH SWING ARM CORSS</v>
          </cell>
          <cell r="K732" t="str">
            <v>52113-KWBA-6000-H1</v>
          </cell>
          <cell r="L732" t="str">
            <v>KWBA</v>
          </cell>
          <cell r="M732" t="str">
            <v>SPHC-P/O</v>
          </cell>
          <cell r="N732" t="str">
            <v>PATCH SWING ARM CORSS</v>
          </cell>
          <cell r="O732" t="str">
            <v>52113-KWBA-6000-H1</v>
          </cell>
          <cell r="P732" t="str">
            <v>KWBA</v>
          </cell>
          <cell r="Q732" t="str">
            <v>ptt</v>
          </cell>
          <cell r="R732">
            <v>200</v>
          </cell>
        </row>
        <row r="733">
          <cell r="A733" t="str">
            <v>30020165-2</v>
          </cell>
          <cell r="B733" t="str">
            <v>2.3 x 105+/-0.5 x 1219</v>
          </cell>
          <cell r="C733">
            <v>2.2999999999999998</v>
          </cell>
          <cell r="D733">
            <v>105</v>
          </cell>
          <cell r="E733">
            <v>1219</v>
          </cell>
          <cell r="F733">
            <v>2.3109497249999995</v>
          </cell>
          <cell r="G733">
            <v>19</v>
          </cell>
          <cell r="H733">
            <v>77004720</v>
          </cell>
          <cell r="I733" t="str">
            <v>SPHC-P/O</v>
          </cell>
          <cell r="J733" t="str">
            <v>BRKT R  CUSH</v>
          </cell>
          <cell r="K733" t="str">
            <v>52115-KYZJ-9000-H1</v>
          </cell>
          <cell r="L733" t="str">
            <v>KYZJ</v>
          </cell>
          <cell r="M733" t="str">
            <v>SPHC-P/O</v>
          </cell>
          <cell r="N733" t="str">
            <v>BRKT R  CUSH</v>
          </cell>
          <cell r="O733" t="str">
            <v>52115-KYZJ-9000-H1</v>
          </cell>
          <cell r="P733" t="str">
            <v>KYZJ</v>
          </cell>
          <cell r="Q733" t="str">
            <v>ptt</v>
          </cell>
        </row>
        <row r="734">
          <cell r="A734" t="str">
            <v>30020165-4</v>
          </cell>
          <cell r="B734" t="str">
            <v>1.6 x 43+/-0.5 x 1219</v>
          </cell>
          <cell r="C734">
            <v>1.6</v>
          </cell>
          <cell r="D734">
            <v>43</v>
          </cell>
          <cell r="E734">
            <v>1219</v>
          </cell>
          <cell r="F734">
            <v>0.65835751999999992</v>
          </cell>
          <cell r="G734">
            <v>220</v>
          </cell>
          <cell r="H734">
            <v>77004127</v>
          </cell>
          <cell r="I734" t="str">
            <v>JSH270C</v>
          </cell>
          <cell r="J734" t="str">
            <v>STAY E CHAIN CASE</v>
          </cell>
          <cell r="K734" t="str">
            <v>52133-KYZ-V000-H1</v>
          </cell>
          <cell r="L734" t="str">
            <v>KYZJ</v>
          </cell>
          <cell r="M734" t="str">
            <v>JSH270C</v>
          </cell>
          <cell r="N734" t="str">
            <v>STAY E CHAIN CASE</v>
          </cell>
          <cell r="O734" t="str">
            <v>52133-KYZ-V000-H1</v>
          </cell>
          <cell r="P734" t="str">
            <v>KYZJ</v>
          </cell>
          <cell r="Q734" t="e">
            <v>#N/A</v>
          </cell>
        </row>
        <row r="735">
          <cell r="A735" t="str">
            <v>30020166-2</v>
          </cell>
          <cell r="B735" t="str">
            <v>2.3 x 108+/-0.5 x 1219</v>
          </cell>
          <cell r="C735">
            <v>2.2999999999999998</v>
          </cell>
          <cell r="D735">
            <v>108</v>
          </cell>
          <cell r="E735">
            <v>1219</v>
          </cell>
          <cell r="F735">
            <v>2.3769768600000001</v>
          </cell>
          <cell r="G735">
            <v>19</v>
          </cell>
          <cell r="H735">
            <v>77004171</v>
          </cell>
          <cell r="I735" t="str">
            <v>SPHC-P/O</v>
          </cell>
          <cell r="J735" t="str">
            <v>BRKT L  CUSH</v>
          </cell>
          <cell r="K735" t="str">
            <v>52114-KYZ-9000-H1</v>
          </cell>
          <cell r="L735" t="str">
            <v>KYZJ</v>
          </cell>
          <cell r="M735" t="str">
            <v>SPHC-P/O</v>
          </cell>
          <cell r="N735" t="str">
            <v>BRKT L  CUSH</v>
          </cell>
          <cell r="O735" t="str">
            <v>52114-KYZ-9000-H1</v>
          </cell>
          <cell r="P735" t="str">
            <v>KYZJ</v>
          </cell>
          <cell r="Q735" t="str">
            <v>ptt</v>
          </cell>
        </row>
        <row r="736">
          <cell r="A736" t="str">
            <v>30020166-3</v>
          </cell>
          <cell r="B736" t="str">
            <v>4.0 x 47+/-0.5 x 1219</v>
          </cell>
          <cell r="C736">
            <v>4</v>
          </cell>
          <cell r="D736">
            <v>47</v>
          </cell>
          <cell r="E736">
            <v>1219</v>
          </cell>
          <cell r="F736">
            <v>1.7990002</v>
          </cell>
          <cell r="I736" t="str">
            <v>SPHC-P/O</v>
          </cell>
          <cell r="J736" t="str">
            <v>STAY C CHAIN CASE</v>
          </cell>
          <cell r="K736" t="str">
            <v>52135-KYZ-V000-H1</v>
          </cell>
          <cell r="L736" t="str">
            <v>KYZJ</v>
          </cell>
          <cell r="M736" t="str">
            <v>SPHC-P/O</v>
          </cell>
          <cell r="N736" t="str">
            <v>STAY C CHAIN CASE</v>
          </cell>
          <cell r="O736" t="str">
            <v>52135-KYZ-V000-H1</v>
          </cell>
          <cell r="P736" t="str">
            <v>KYZJ</v>
          </cell>
          <cell r="Q736" t="e">
            <v>#N/A</v>
          </cell>
        </row>
        <row r="737">
          <cell r="A737" t="str">
            <v>30020166-4</v>
          </cell>
          <cell r="B737" t="str">
            <v>1.6 x 43+/-0.5 x 1219</v>
          </cell>
          <cell r="C737">
            <v>1.6</v>
          </cell>
          <cell r="D737">
            <v>43</v>
          </cell>
          <cell r="E737">
            <v>1219</v>
          </cell>
          <cell r="F737">
            <v>0.65835751999999992</v>
          </cell>
          <cell r="G737">
            <v>220</v>
          </cell>
          <cell r="H737">
            <v>77004880</v>
          </cell>
          <cell r="I737" t="str">
            <v>JSH270C</v>
          </cell>
          <cell r="J737" t="str">
            <v>STAY E CHAIN CASE</v>
          </cell>
          <cell r="K737" t="str">
            <v>52133-KYZ-V000-H1</v>
          </cell>
          <cell r="L737" t="str">
            <v>KYZJ</v>
          </cell>
          <cell r="M737" t="str">
            <v>JSH270C</v>
          </cell>
          <cell r="N737" t="str">
            <v>STAY E CHAIN CASE</v>
          </cell>
          <cell r="O737" t="str">
            <v>52133-KYZ-V000-H1</v>
          </cell>
          <cell r="P737" t="str">
            <v>KYZJ</v>
          </cell>
          <cell r="Q737" t="e">
            <v>#N/A</v>
          </cell>
        </row>
        <row r="738">
          <cell r="A738" t="str">
            <v>30035337-2</v>
          </cell>
          <cell r="B738" t="str">
            <v>4.5 x 124+/-0.5 x 1219</v>
          </cell>
          <cell r="C738">
            <v>4.5</v>
          </cell>
          <cell r="D738">
            <v>124</v>
          </cell>
          <cell r="E738">
            <v>1219</v>
          </cell>
          <cell r="F738">
            <v>5.3395856999999998</v>
          </cell>
          <cell r="G738">
            <v>18</v>
          </cell>
          <cell r="H738">
            <v>77004201</v>
          </cell>
          <cell r="I738" t="str">
            <v>SPHC-P/O</v>
          </cell>
          <cell r="J738" t="str">
            <v>STAY (PIPE R SWINGARM COMP)</v>
          </cell>
          <cell r="K738" t="str">
            <v>52121-KPWP-7100-H1</v>
          </cell>
          <cell r="L738" t="str">
            <v>KPWP</v>
          </cell>
          <cell r="M738" t="str">
            <v>SPHC-P/O</v>
          </cell>
          <cell r="N738" t="str">
            <v>STAY (PIPE R SWINGARM COMP)</v>
          </cell>
          <cell r="O738" t="str">
            <v>52121-KPWP-7100-H1</v>
          </cell>
          <cell r="P738" t="str">
            <v>KPWP</v>
          </cell>
          <cell r="Q738" t="str">
            <v>ptt</v>
          </cell>
          <cell r="R738">
            <v>100</v>
          </cell>
        </row>
        <row r="739">
          <cell r="A739" t="str">
            <v>30035338-2</v>
          </cell>
          <cell r="B739" t="str">
            <v>4.5 x 124+/-0.5 x 1219</v>
          </cell>
          <cell r="C739">
            <v>4.5</v>
          </cell>
          <cell r="D739">
            <v>124</v>
          </cell>
          <cell r="E739">
            <v>1219</v>
          </cell>
          <cell r="F739">
            <v>5.3395856999999998</v>
          </cell>
          <cell r="G739">
            <v>18</v>
          </cell>
          <cell r="H739">
            <v>77004201</v>
          </cell>
          <cell r="I739" t="str">
            <v>SPHC-P/O</v>
          </cell>
          <cell r="J739" t="str">
            <v>STAY (PIPE L SWINGARM COMP)</v>
          </cell>
          <cell r="K739" t="str">
            <v>52121-KPWP-7100-H1</v>
          </cell>
          <cell r="L739" t="str">
            <v>KPWP</v>
          </cell>
          <cell r="M739" t="str">
            <v>SPHC-P/O</v>
          </cell>
          <cell r="N739" t="str">
            <v>STAY (PIPE L SWINGARM COMP)</v>
          </cell>
          <cell r="O739" t="str">
            <v>52121-KPWP-7100-H1</v>
          </cell>
          <cell r="P739" t="str">
            <v>KPWP</v>
          </cell>
          <cell r="Q739" t="str">
            <v>ptt</v>
          </cell>
          <cell r="R739">
            <v>100</v>
          </cell>
        </row>
        <row r="740">
          <cell r="A740" t="str">
            <v>30041279-3</v>
          </cell>
          <cell r="B740" t="str">
            <v>2.0 x 63+/-0.5 x 1219</v>
          </cell>
          <cell r="C740">
            <v>2</v>
          </cell>
          <cell r="D740">
            <v>63</v>
          </cell>
          <cell r="E740">
            <v>1219</v>
          </cell>
          <cell r="F740">
            <v>1.2057129</v>
          </cell>
          <cell r="G740">
            <v>118</v>
          </cell>
          <cell r="H740">
            <v>77004489</v>
          </cell>
          <cell r="I740" t="str">
            <v>JSH270C</v>
          </cell>
          <cell r="J740" t="str">
            <v>STAY RR BRAKE HOSE</v>
          </cell>
          <cell r="K740" t="str">
            <v>5224-MLAA-A000-H1</v>
          </cell>
          <cell r="L740" t="str">
            <v>MLAA</v>
          </cell>
          <cell r="M740" t="str">
            <v>JSH270C</v>
          </cell>
          <cell r="N740" t="str">
            <v>STAY RR BRAKE HOSE</v>
          </cell>
          <cell r="O740" t="str">
            <v>5224-MLAA-A000-H1</v>
          </cell>
          <cell r="P740" t="str">
            <v>MLAA</v>
          </cell>
          <cell r="Q740" t="str">
            <v>ptt</v>
          </cell>
        </row>
        <row r="741">
          <cell r="A741" t="str">
            <v>30048197-2</v>
          </cell>
          <cell r="B741" t="str">
            <v>5.5 x 119+/-0.5 x 1219</v>
          </cell>
          <cell r="C741">
            <v>5.5</v>
          </cell>
          <cell r="D741">
            <v>119</v>
          </cell>
          <cell r="E741">
            <v>1219</v>
          </cell>
          <cell r="F741">
            <v>6.263008675</v>
          </cell>
          <cell r="G741">
            <v>17</v>
          </cell>
          <cell r="H741">
            <v>77004054</v>
          </cell>
          <cell r="I741" t="str">
            <v>JSH440W</v>
          </cell>
          <cell r="J741" t="str">
            <v>STAY R END PIECE</v>
          </cell>
          <cell r="K741" t="str">
            <v>52121-K03-6400 (K03T)</v>
          </cell>
          <cell r="L741" t="str">
            <v>K3FA</v>
          </cell>
          <cell r="M741" t="str">
            <v>JSH440W</v>
          </cell>
          <cell r="N741" t="str">
            <v>STAY R END PIECE</v>
          </cell>
          <cell r="O741" t="str">
            <v>52121-K03-6400 (K03T)</v>
          </cell>
          <cell r="P741" t="str">
            <v>K3FA</v>
          </cell>
          <cell r="Q741" t="str">
            <v>su</v>
          </cell>
          <cell r="R741">
            <v>100</v>
          </cell>
        </row>
        <row r="742">
          <cell r="A742" t="str">
            <v>30048198-2</v>
          </cell>
          <cell r="B742" t="str">
            <v>5.5 x 90+/-0.5 x 1219</v>
          </cell>
          <cell r="C742">
            <v>5.5</v>
          </cell>
          <cell r="D742">
            <v>90</v>
          </cell>
          <cell r="E742">
            <v>1219</v>
          </cell>
          <cell r="F742">
            <v>4.7367292499999998</v>
          </cell>
          <cell r="G742">
            <v>14</v>
          </cell>
          <cell r="H742">
            <v>77004053</v>
          </cell>
          <cell r="I742" t="str">
            <v>JSH440W</v>
          </cell>
          <cell r="J742" t="str">
            <v>STAY L END PIECE</v>
          </cell>
          <cell r="K742" t="str">
            <v>52126-KWW-6400</v>
          </cell>
          <cell r="L742" t="str">
            <v>K3FA</v>
          </cell>
          <cell r="M742" t="str">
            <v>JSH440W</v>
          </cell>
          <cell r="N742" t="str">
            <v>STAY L END PIECE</v>
          </cell>
          <cell r="O742" t="str">
            <v>52126-KWW-6400</v>
          </cell>
          <cell r="P742" t="str">
            <v>K3FA</v>
          </cell>
          <cell r="Q742" t="str">
            <v>su</v>
          </cell>
          <cell r="R742">
            <v>100</v>
          </cell>
        </row>
        <row r="743">
          <cell r="A743" t="str">
            <v>30048216-2</v>
          </cell>
          <cell r="B743" t="str">
            <v>4.5 x 124+/-0.5 x 1219</v>
          </cell>
          <cell r="C743">
            <v>4.5</v>
          </cell>
          <cell r="D743">
            <v>124</v>
          </cell>
          <cell r="E743">
            <v>1219</v>
          </cell>
          <cell r="F743">
            <v>5.3395856999999998</v>
          </cell>
          <cell r="G743">
            <v>18</v>
          </cell>
          <cell r="H743">
            <v>77004201</v>
          </cell>
          <cell r="I743" t="str">
            <v>SPHC-P/O</v>
          </cell>
          <cell r="J743" t="str">
            <v>STAY (PIPE R SWINGARM COMP)</v>
          </cell>
          <cell r="K743" t="str">
            <v>52121-KPWP-7100-H1</v>
          </cell>
          <cell r="L743" t="str">
            <v>K3GA</v>
          </cell>
          <cell r="M743" t="str">
            <v>SPHC-P/O</v>
          </cell>
          <cell r="N743" t="str">
            <v>STAY (PIPE R SWINGARM COMP)</v>
          </cell>
          <cell r="O743" t="str">
            <v>52121-KPWP-7100-H1</v>
          </cell>
          <cell r="P743" t="str">
            <v>K3GA</v>
          </cell>
          <cell r="Q743" t="str">
            <v>ptt</v>
          </cell>
          <cell r="R743">
            <v>100</v>
          </cell>
        </row>
        <row r="744">
          <cell r="A744" t="str">
            <v>30048217-2</v>
          </cell>
          <cell r="B744" t="str">
            <v>4.5 x 124+/-0.5 x 1219</v>
          </cell>
          <cell r="C744">
            <v>4.5</v>
          </cell>
          <cell r="D744">
            <v>124</v>
          </cell>
          <cell r="E744">
            <v>1219</v>
          </cell>
          <cell r="F744">
            <v>5.3395856999999998</v>
          </cell>
          <cell r="G744">
            <v>18</v>
          </cell>
          <cell r="H744">
            <v>77004201</v>
          </cell>
          <cell r="I744" t="str">
            <v>SPHC-P/O</v>
          </cell>
          <cell r="J744" t="str">
            <v>STAY (PIPE L SWINGARM COMP)</v>
          </cell>
          <cell r="K744" t="str">
            <v>52121-KPWP-7100-H1</v>
          </cell>
          <cell r="L744" t="str">
            <v>K3GA</v>
          </cell>
          <cell r="M744" t="str">
            <v>SPHC-P/O</v>
          </cell>
          <cell r="N744" t="str">
            <v>STAY (PIPE L SWINGARM COMP)</v>
          </cell>
          <cell r="O744" t="str">
            <v>52121-KPWP-7100-H1</v>
          </cell>
          <cell r="P744" t="str">
            <v>K3GA</v>
          </cell>
          <cell r="Q744" t="str">
            <v>ptt</v>
          </cell>
          <cell r="R744">
            <v>100</v>
          </cell>
        </row>
        <row r="745">
          <cell r="A745" t="str">
            <v>30048217-5</v>
          </cell>
          <cell r="B745" t="str">
            <v>3.2 x 68+/-0.5 x 1219</v>
          </cell>
          <cell r="C745">
            <v>3.2</v>
          </cell>
          <cell r="D745">
            <v>68</v>
          </cell>
          <cell r="E745">
            <v>1219</v>
          </cell>
          <cell r="F745">
            <v>2.0822470399999999</v>
          </cell>
          <cell r="G745">
            <v>53</v>
          </cell>
          <cell r="H745" t="str">
            <v>ซื้อเอง</v>
          </cell>
          <cell r="I745" t="str">
            <v>SPHC-P/O</v>
          </cell>
          <cell r="J745" t="str">
            <v>STAY B CHAIN CASE</v>
          </cell>
          <cell r="K745" t="str">
            <v>52134-KPH-9000-H1</v>
          </cell>
          <cell r="L745" t="str">
            <v>K3GA</v>
          </cell>
          <cell r="M745" t="str">
            <v>SPHC-P/O</v>
          </cell>
          <cell r="N745" t="str">
            <v>STAY B CHAIN CASE</v>
          </cell>
          <cell r="O745" t="str">
            <v>52134-KPH-9000-H1</v>
          </cell>
          <cell r="P745" t="str">
            <v>K3GA</v>
          </cell>
          <cell r="Q745" t="str">
            <v>ซื้อเอง</v>
          </cell>
        </row>
        <row r="746">
          <cell r="A746" t="str">
            <v>30051566-2</v>
          </cell>
          <cell r="B746" t="str">
            <v>5.5 x 119+/-0.5 x 1219</v>
          </cell>
          <cell r="C746">
            <v>5.5</v>
          </cell>
          <cell r="D746">
            <v>119</v>
          </cell>
          <cell r="E746">
            <v>1219</v>
          </cell>
          <cell r="F746">
            <v>6.263008675</v>
          </cell>
          <cell r="G746">
            <v>17</v>
          </cell>
          <cell r="H746">
            <v>77004054</v>
          </cell>
          <cell r="I746" t="str">
            <v>JSH440W</v>
          </cell>
          <cell r="J746" t="str">
            <v>STAY R END PIECE(PIPE L SWING ARM)</v>
          </cell>
          <cell r="K746" t="str">
            <v>52121-KZV-T000-H1(5211A-K2JG-TH01)</v>
          </cell>
          <cell r="L746" t="str">
            <v>K2JG</v>
          </cell>
          <cell r="M746" t="str">
            <v>JSH440W</v>
          </cell>
          <cell r="N746" t="str">
            <v>STAY R END PIECE(PIPE L SWING ARM)</v>
          </cell>
          <cell r="O746" t="str">
            <v>52121-KZV-T000-H1(5211A-K2JG-TH01)</v>
          </cell>
          <cell r="P746" t="str">
            <v>K2JG</v>
          </cell>
          <cell r="Q746" t="str">
            <v>su</v>
          </cell>
          <cell r="R746">
            <v>100</v>
          </cell>
        </row>
        <row r="747">
          <cell r="A747" t="str">
            <v>30051567-2</v>
          </cell>
          <cell r="B747" t="str">
            <v>5.5 x 90+/-0.5 x 1219</v>
          </cell>
          <cell r="C747">
            <v>5.5</v>
          </cell>
          <cell r="D747">
            <v>90</v>
          </cell>
          <cell r="E747">
            <v>1219</v>
          </cell>
          <cell r="F747">
            <v>4.7367292499999998</v>
          </cell>
          <cell r="G747">
            <v>14</v>
          </cell>
          <cell r="H747">
            <v>77004053</v>
          </cell>
          <cell r="I747" t="str">
            <v>JSH440W</v>
          </cell>
          <cell r="J747" t="str">
            <v>STAY L END PIECE(PIPE L SWING ARM)</v>
          </cell>
          <cell r="K747" t="str">
            <v>52126-KZV-T000-H1</v>
          </cell>
          <cell r="L747" t="str">
            <v>K2JG</v>
          </cell>
          <cell r="M747" t="str">
            <v>JSH440W</v>
          </cell>
          <cell r="N747" t="str">
            <v>STAY L END PIECE(PIPE L SWING ARM)</v>
          </cell>
          <cell r="O747" t="str">
            <v>52126-KZV-T000-H1</v>
          </cell>
          <cell r="P747" t="str">
            <v>K2JG</v>
          </cell>
          <cell r="Q747" t="str">
            <v>su</v>
          </cell>
          <cell r="R747">
            <v>100</v>
          </cell>
        </row>
        <row r="748">
          <cell r="J748">
            <v>0</v>
          </cell>
        </row>
        <row r="749">
          <cell r="A749" t="str">
            <v>ชิ้นงาน Swing Arm "1FPG" K. สมเด็จ</v>
          </cell>
          <cell r="J749">
            <v>0</v>
          </cell>
        </row>
        <row r="750">
          <cell r="A750" t="str">
            <v>30032464-4</v>
          </cell>
          <cell r="B750" t="str">
            <v>3.2 x 62+/-0.5 x 1219</v>
          </cell>
          <cell r="C750">
            <v>3.2</v>
          </cell>
          <cell r="D750">
            <v>62</v>
          </cell>
          <cell r="E750">
            <v>1219</v>
          </cell>
          <cell r="F750">
            <v>1.8985193599999999</v>
          </cell>
          <cell r="G750">
            <v>37</v>
          </cell>
          <cell r="H750">
            <v>77005507</v>
          </cell>
          <cell r="I750" t="str">
            <v>YSH270C-P</v>
          </cell>
          <cell r="J750" t="str">
            <v>STAY 3</v>
          </cell>
          <cell r="K750" t="str">
            <v>1FC-F2133-00</v>
          </cell>
          <cell r="L750" t="str">
            <v>1FPG</v>
          </cell>
          <cell r="M750" t="str">
            <v>YSH270C-P</v>
          </cell>
          <cell r="N750" t="str">
            <v>STAY 3</v>
          </cell>
          <cell r="O750" t="str">
            <v>1FC-F2133-00</v>
          </cell>
          <cell r="P750" t="str">
            <v>1FPG</v>
          </cell>
          <cell r="Q750" t="str">
            <v>epc</v>
          </cell>
          <cell r="R750">
            <v>100</v>
          </cell>
        </row>
        <row r="751">
          <cell r="A751" t="str">
            <v>30020747-2</v>
          </cell>
          <cell r="B751" t="str">
            <v>4.5 x 124+/-0.5 x 1219</v>
          </cell>
          <cell r="C751">
            <v>4.5</v>
          </cell>
          <cell r="D751">
            <v>124</v>
          </cell>
          <cell r="E751">
            <v>1219</v>
          </cell>
          <cell r="F751">
            <v>5.3395856999999998</v>
          </cell>
          <cell r="G751">
            <v>18</v>
          </cell>
          <cell r="H751">
            <v>77004201</v>
          </cell>
          <cell r="I751" t="str">
            <v>SPHC-P/O</v>
          </cell>
          <cell r="J751" t="str">
            <v>STAY (PIPE L SWINGARM COMP)</v>
          </cell>
          <cell r="K751" t="str">
            <v>52126-KPHA-7100-H1</v>
          </cell>
          <cell r="L751" t="str">
            <v>KPHA, KTMM</v>
          </cell>
          <cell r="M751" t="str">
            <v>SPHC-P/O</v>
          </cell>
          <cell r="N751" t="str">
            <v>STAY (PIPE L SWINGARM COMP)</v>
          </cell>
          <cell r="O751" t="str">
            <v>52126-KPHA-7100-H1</v>
          </cell>
          <cell r="P751" t="str">
            <v>KPHA, KTMM</v>
          </cell>
          <cell r="Q751" t="str">
            <v>ptt</v>
          </cell>
          <cell r="R751">
            <v>100</v>
          </cell>
        </row>
        <row r="752">
          <cell r="A752" t="str">
            <v>30020748-2</v>
          </cell>
          <cell r="B752" t="str">
            <v>4.5 x 124+/-0.5 x 1219</v>
          </cell>
          <cell r="C752">
            <v>4.5</v>
          </cell>
          <cell r="D752">
            <v>124</v>
          </cell>
          <cell r="E752">
            <v>1219</v>
          </cell>
          <cell r="F752">
            <v>5.3395856999999998</v>
          </cell>
          <cell r="G752">
            <v>18</v>
          </cell>
          <cell r="H752">
            <v>77004201</v>
          </cell>
          <cell r="I752" t="str">
            <v>SPHC-P/O</v>
          </cell>
          <cell r="J752" t="str">
            <v>STAY (PIPE R SWINGARM COMP)</v>
          </cell>
          <cell r="K752" t="str">
            <v>52126-KPHA-7100-H1</v>
          </cell>
          <cell r="L752" t="str">
            <v>KPHA, KTMM</v>
          </cell>
          <cell r="M752" t="str">
            <v>SPHC-P/O</v>
          </cell>
          <cell r="N752" t="str">
            <v>STAY (PIPE R SWINGARM COMP)</v>
          </cell>
          <cell r="O752" t="str">
            <v>52126-KPHA-7100-H1</v>
          </cell>
          <cell r="P752" t="str">
            <v>KPHA, KTMM</v>
          </cell>
          <cell r="Q752" t="str">
            <v>ptt</v>
          </cell>
          <cell r="R752">
            <v>100</v>
          </cell>
        </row>
        <row r="753">
          <cell r="A753" t="str">
            <v>30021420-2</v>
          </cell>
          <cell r="B753" t="str">
            <v>4.0 x 93+/-0.5 x 1219</v>
          </cell>
          <cell r="C753">
            <v>4</v>
          </cell>
          <cell r="D753">
            <v>93</v>
          </cell>
          <cell r="E753">
            <v>1219</v>
          </cell>
          <cell r="F753">
            <v>3.5597238</v>
          </cell>
          <cell r="G753">
            <v>30</v>
          </cell>
          <cell r="H753">
            <v>77005523</v>
          </cell>
          <cell r="I753" t="str">
            <v>SPHC-P/O</v>
          </cell>
          <cell r="J753" t="str">
            <v>END 1</v>
          </cell>
          <cell r="K753" t="str">
            <v>5OP-F2171-00</v>
          </cell>
          <cell r="L753" t="str">
            <v>T</v>
          </cell>
          <cell r="M753" t="str">
            <v>SPHC-P/O</v>
          </cell>
          <cell r="N753" t="str">
            <v>END 1</v>
          </cell>
          <cell r="O753" t="str">
            <v>5OP-F2171-00</v>
          </cell>
          <cell r="P753" t="str">
            <v>T</v>
          </cell>
          <cell r="Q753" t="str">
            <v>epc</v>
          </cell>
          <cell r="R753">
            <v>100</v>
          </cell>
        </row>
        <row r="754">
          <cell r="A754" t="str">
            <v>30032464-2</v>
          </cell>
          <cell r="B754" t="str">
            <v>4.5 x 147+/-0.5 x 1219</v>
          </cell>
          <cell r="C754">
            <v>4.5</v>
          </cell>
          <cell r="D754">
            <v>147</v>
          </cell>
          <cell r="E754">
            <v>1219</v>
          </cell>
          <cell r="F754">
            <v>6.3299927249999994</v>
          </cell>
          <cell r="G754">
            <v>17</v>
          </cell>
          <cell r="H754">
            <v>77005524</v>
          </cell>
          <cell r="I754" t="str">
            <v>YSH270C-P</v>
          </cell>
          <cell r="J754" t="str">
            <v>END 1</v>
          </cell>
          <cell r="K754" t="str">
            <v>1FP-F2174-00</v>
          </cell>
          <cell r="L754" t="str">
            <v>1FPG</v>
          </cell>
          <cell r="M754" t="str">
            <v>YSH270C-P</v>
          </cell>
          <cell r="N754" t="str">
            <v>END 1</v>
          </cell>
          <cell r="O754" t="str">
            <v>1FP-F2174-00</v>
          </cell>
          <cell r="P754" t="str">
            <v>1FPG</v>
          </cell>
          <cell r="Q754" t="str">
            <v>tsi</v>
          </cell>
          <cell r="R754">
            <v>50</v>
          </cell>
        </row>
        <row r="755">
          <cell r="A755" t="str">
            <v>30032464-3</v>
          </cell>
          <cell r="B755" t="str">
            <v>3.2 x 74+/-0.5 x 1219</v>
          </cell>
          <cell r="C755">
            <v>3.2</v>
          </cell>
          <cell r="D755">
            <v>74</v>
          </cell>
          <cell r="E755">
            <v>1219</v>
          </cell>
          <cell r="F755">
            <v>2.26597472</v>
          </cell>
          <cell r="G755">
            <v>19</v>
          </cell>
          <cell r="H755">
            <v>77005512</v>
          </cell>
          <cell r="I755" t="str">
            <v>YSH270C-P</v>
          </cell>
          <cell r="J755" t="str">
            <v>BRKT RR CUSHION 1</v>
          </cell>
          <cell r="K755" t="str">
            <v>1FC-F213E-00</v>
          </cell>
          <cell r="L755" t="str">
            <v>1FPG</v>
          </cell>
          <cell r="M755" t="str">
            <v>YSH270C-P</v>
          </cell>
          <cell r="N755" t="str">
            <v>BRKT RR CUSHION 1</v>
          </cell>
          <cell r="O755" t="str">
            <v>1FC-F213E-00</v>
          </cell>
          <cell r="P755" t="str">
            <v>1FPG</v>
          </cell>
          <cell r="Q755" t="str">
            <v>tsi</v>
          </cell>
          <cell r="R755">
            <v>100</v>
          </cell>
        </row>
        <row r="756">
          <cell r="A756" t="str">
            <v>30032465-2</v>
          </cell>
          <cell r="B756" t="str">
            <v>4.5 x 147+/-0.5 x 1219</v>
          </cell>
          <cell r="C756">
            <v>4.5</v>
          </cell>
          <cell r="D756">
            <v>147</v>
          </cell>
          <cell r="E756">
            <v>1219</v>
          </cell>
          <cell r="F756">
            <v>6.3299927249999994</v>
          </cell>
          <cell r="G756">
            <v>17</v>
          </cell>
          <cell r="H756">
            <v>77005524</v>
          </cell>
          <cell r="I756" t="str">
            <v>YSH270C-P</v>
          </cell>
          <cell r="J756" t="str">
            <v>END 2</v>
          </cell>
          <cell r="K756" t="str">
            <v>1FP-F2175-00</v>
          </cell>
          <cell r="L756" t="str">
            <v>1FPG</v>
          </cell>
          <cell r="M756" t="str">
            <v>YSH270C-P</v>
          </cell>
          <cell r="N756" t="str">
            <v>END 2</v>
          </cell>
          <cell r="O756" t="str">
            <v>1FP-F2175-00</v>
          </cell>
          <cell r="P756" t="str">
            <v>1FPG</v>
          </cell>
          <cell r="Q756" t="str">
            <v>tsi</v>
          </cell>
          <cell r="R756">
            <v>50</v>
          </cell>
        </row>
        <row r="757">
          <cell r="A757" t="str">
            <v>30032465-3</v>
          </cell>
          <cell r="B757" t="str">
            <v>3.2 x 74+/-0.5 x 1219</v>
          </cell>
          <cell r="C757">
            <v>3.2</v>
          </cell>
          <cell r="D757">
            <v>74</v>
          </cell>
          <cell r="E757">
            <v>1219</v>
          </cell>
          <cell r="F757">
            <v>2.26597472</v>
          </cell>
          <cell r="G757">
            <v>19</v>
          </cell>
          <cell r="H757">
            <v>77005512</v>
          </cell>
          <cell r="I757" t="str">
            <v>YSH270C-P</v>
          </cell>
          <cell r="J757" t="str">
            <v>BRKT RR CUSHION 2</v>
          </cell>
          <cell r="K757" t="str">
            <v>1FC-F213F-00</v>
          </cell>
          <cell r="L757" t="str">
            <v>1FPG</v>
          </cell>
          <cell r="M757" t="str">
            <v>YSH270C-P</v>
          </cell>
          <cell r="N757" t="str">
            <v>BRKT RR CUSHION 2</v>
          </cell>
          <cell r="O757" t="str">
            <v>1FC-F213F-00</v>
          </cell>
          <cell r="P757" t="str">
            <v>1FPG</v>
          </cell>
          <cell r="Q757" t="str">
            <v>tsi</v>
          </cell>
          <cell r="R757">
            <v>100</v>
          </cell>
        </row>
        <row r="758">
          <cell r="A758" t="str">
            <v>ไม่มีรายการใน Forecast</v>
          </cell>
        </row>
        <row r="759">
          <cell r="A759" t="str">
            <v>30020740-2</v>
          </cell>
          <cell r="B759" t="str">
            <v>4.5 x 124+/-0.5 x 1219</v>
          </cell>
          <cell r="C759">
            <v>4.5</v>
          </cell>
          <cell r="D759">
            <v>124</v>
          </cell>
          <cell r="E759">
            <v>1219</v>
          </cell>
          <cell r="F759">
            <v>5.3395856999999998</v>
          </cell>
          <cell r="G759">
            <v>18</v>
          </cell>
          <cell r="H759">
            <v>77004201</v>
          </cell>
          <cell r="I759" t="str">
            <v>SPHC-P/O</v>
          </cell>
          <cell r="J759" t="str">
            <v>STAY (PIPE R SWINGARM COMP)</v>
          </cell>
          <cell r="K759" t="str">
            <v>52121-KPW-7100-H1</v>
          </cell>
          <cell r="L759" t="str">
            <v>T</v>
          </cell>
          <cell r="M759" t="str">
            <v>SPHC-P/O</v>
          </cell>
          <cell r="N759" t="str">
            <v>STAY (PIPE R SWINGARM COMP)</v>
          </cell>
          <cell r="O759" t="str">
            <v>52121-KPW-7100-H1</v>
          </cell>
          <cell r="P759" t="str">
            <v>T</v>
          </cell>
          <cell r="Q759" t="str">
            <v>ptt</v>
          </cell>
          <cell r="R759">
            <v>100</v>
          </cell>
        </row>
        <row r="760">
          <cell r="A760" t="str">
            <v>30020746-2</v>
          </cell>
          <cell r="B760" t="str">
            <v>4.5 x 124+/-0.5 x 1219</v>
          </cell>
          <cell r="C760">
            <v>4.5</v>
          </cell>
          <cell r="D760">
            <v>124</v>
          </cell>
          <cell r="E760">
            <v>1219</v>
          </cell>
          <cell r="F760">
            <v>5.3395856999999998</v>
          </cell>
          <cell r="G760">
            <v>18</v>
          </cell>
          <cell r="H760">
            <v>77004201</v>
          </cell>
          <cell r="I760" t="str">
            <v>SPHC-P/O</v>
          </cell>
          <cell r="J760" t="str">
            <v>STAY (PIPE L SWINGARM COMP)</v>
          </cell>
          <cell r="K760" t="str">
            <v>52126-KPW-9001-01</v>
          </cell>
          <cell r="L760" t="str">
            <v>T</v>
          </cell>
          <cell r="M760" t="str">
            <v>SPHC-P/O</v>
          </cell>
          <cell r="N760" t="str">
            <v>STAY (PIPE L SWINGARM COMP)</v>
          </cell>
          <cell r="O760" t="str">
            <v>52126-KPW-9001-01</v>
          </cell>
          <cell r="P760" t="str">
            <v>T</v>
          </cell>
          <cell r="Q760" t="str">
            <v>ptt</v>
          </cell>
          <cell r="R760">
            <v>100</v>
          </cell>
        </row>
        <row r="761">
          <cell r="A761" t="str">
            <v>30021400-2</v>
          </cell>
          <cell r="B761" t="str">
            <v>5.5 x 119+/-0.5 x 1219</v>
          </cell>
          <cell r="C761">
            <v>5.5</v>
          </cell>
          <cell r="D761">
            <v>119</v>
          </cell>
          <cell r="E761">
            <v>1219</v>
          </cell>
          <cell r="F761">
            <v>6.263008675</v>
          </cell>
          <cell r="G761">
            <v>17</v>
          </cell>
          <cell r="H761">
            <v>77004054</v>
          </cell>
          <cell r="I761" t="str">
            <v>JSH440W</v>
          </cell>
          <cell r="J761" t="str">
            <v>STAY R END PIECE(PIPE L SWING ARM)</v>
          </cell>
          <cell r="K761" t="str">
            <v>52151-KWWM-6400-H1</v>
          </cell>
          <cell r="L761" t="str">
            <v>KWWA, KWWM, KWBA, KZVA</v>
          </cell>
          <cell r="M761" t="str">
            <v>JSH440W</v>
          </cell>
          <cell r="N761" t="str">
            <v>STAY R END PIECE(PIPE L SWING ARM)</v>
          </cell>
          <cell r="O761" t="str">
            <v>52151-KWWM-6400-H1</v>
          </cell>
          <cell r="P761" t="str">
            <v>KWWA, KWWM, KWBA, KZVA</v>
          </cell>
          <cell r="Q761" t="str">
            <v>su</v>
          </cell>
          <cell r="R761">
            <v>100</v>
          </cell>
        </row>
        <row r="762">
          <cell r="A762" t="str">
            <v>30021402-2</v>
          </cell>
          <cell r="B762" t="str">
            <v>5.5 x 90+/-0.5 x 1219</v>
          </cell>
          <cell r="C762">
            <v>5.5</v>
          </cell>
          <cell r="D762">
            <v>90</v>
          </cell>
          <cell r="E762">
            <v>1219</v>
          </cell>
          <cell r="F762">
            <v>4.7367292499999998</v>
          </cell>
          <cell r="G762">
            <v>14</v>
          </cell>
          <cell r="H762">
            <v>77004053</v>
          </cell>
          <cell r="I762" t="str">
            <v>JSH440W</v>
          </cell>
          <cell r="J762" t="str">
            <v>STAY L END PIECE(PIPE L SWING ARM)</v>
          </cell>
          <cell r="K762" t="str">
            <v>52126-KWWM-6400-H1</v>
          </cell>
          <cell r="L762" t="str">
            <v>KWWA, KWWM, KZVA</v>
          </cell>
          <cell r="M762" t="str">
            <v>JSH440W</v>
          </cell>
          <cell r="N762" t="str">
            <v>STAY L END PIECE(PIPE L SWING ARM)</v>
          </cell>
          <cell r="O762" t="str">
            <v>52126-KWWM-6400-H1</v>
          </cell>
          <cell r="P762" t="str">
            <v>KWWA, KWWM, KZVA</v>
          </cell>
          <cell r="Q762" t="str">
            <v>su</v>
          </cell>
          <cell r="R762">
            <v>100</v>
          </cell>
        </row>
        <row r="763">
          <cell r="A763" t="str">
            <v>30021404-2</v>
          </cell>
          <cell r="B763" t="str">
            <v>5.5 x 119+/-0.5 x 1219</v>
          </cell>
          <cell r="C763">
            <v>5.5</v>
          </cell>
          <cell r="D763">
            <v>119</v>
          </cell>
          <cell r="E763">
            <v>1219</v>
          </cell>
          <cell r="F763">
            <v>6.263008675</v>
          </cell>
          <cell r="G763">
            <v>17</v>
          </cell>
          <cell r="H763">
            <v>77004054</v>
          </cell>
          <cell r="I763" t="str">
            <v>JSH440W</v>
          </cell>
          <cell r="J763" t="str">
            <v>STAY R END PIECE(PIPE L SWING ARM)</v>
          </cell>
          <cell r="K763" t="str">
            <v>52121-KZV-T000-H1</v>
          </cell>
          <cell r="L763" t="str">
            <v>T</v>
          </cell>
          <cell r="M763" t="str">
            <v>JSH440W</v>
          </cell>
          <cell r="N763" t="str">
            <v>STAY R END PIECE(PIPE L SWING ARM)</v>
          </cell>
          <cell r="O763" t="str">
            <v>52121-KZV-T000-H1</v>
          </cell>
          <cell r="P763" t="str">
            <v>T</v>
          </cell>
          <cell r="Q763" t="str">
            <v>su</v>
          </cell>
          <cell r="R763">
            <v>100</v>
          </cell>
        </row>
        <row r="764">
          <cell r="A764" t="str">
            <v>30021406-2</v>
          </cell>
          <cell r="B764" t="str">
            <v>5.5 x 90+/-0.5 x 1219</v>
          </cell>
          <cell r="C764">
            <v>5.5</v>
          </cell>
          <cell r="D764">
            <v>90</v>
          </cell>
          <cell r="E764">
            <v>1219</v>
          </cell>
          <cell r="F764">
            <v>4.7367292499999998</v>
          </cell>
          <cell r="G764">
            <v>14</v>
          </cell>
          <cell r="H764">
            <v>77004053</v>
          </cell>
          <cell r="I764" t="str">
            <v>JSH440W</v>
          </cell>
          <cell r="J764" t="str">
            <v>STAY L END PIECE(PIPE L SWING ARM)</v>
          </cell>
          <cell r="K764" t="str">
            <v>52126-KZV-T000-H1</v>
          </cell>
          <cell r="L764" t="str">
            <v>T</v>
          </cell>
          <cell r="M764" t="str">
            <v>JSH440W</v>
          </cell>
          <cell r="N764" t="str">
            <v>STAY L END PIECE(PIPE L SWING ARM)</v>
          </cell>
          <cell r="O764" t="str">
            <v>52126-KZV-T000-H1</v>
          </cell>
          <cell r="P764" t="str">
            <v>T</v>
          </cell>
          <cell r="Q764" t="str">
            <v>su</v>
          </cell>
          <cell r="R764">
            <v>100</v>
          </cell>
        </row>
        <row r="765">
          <cell r="A765" t="str">
            <v>30021439-2</v>
          </cell>
          <cell r="B765" t="str">
            <v>4.0 x 124+/-0.5 x 1219</v>
          </cell>
          <cell r="C765">
            <v>4</v>
          </cell>
          <cell r="D765">
            <v>124</v>
          </cell>
          <cell r="E765">
            <v>1219</v>
          </cell>
          <cell r="F765">
            <v>4.7462983999999997</v>
          </cell>
          <cell r="G765">
            <v>24</v>
          </cell>
          <cell r="H765">
            <v>77005522</v>
          </cell>
          <cell r="I765" t="str">
            <v>SPHC-P/O</v>
          </cell>
          <cell r="J765" t="str">
            <v>END 1</v>
          </cell>
          <cell r="K765" t="str">
            <v>5YP-F2174-00</v>
          </cell>
          <cell r="L765" t="str">
            <v>T</v>
          </cell>
          <cell r="M765" t="str">
            <v>SPHC-P/O</v>
          </cell>
          <cell r="N765" t="str">
            <v>END 1</v>
          </cell>
          <cell r="O765" t="str">
            <v>5YP-F2174-00</v>
          </cell>
          <cell r="P765" t="str">
            <v>T</v>
          </cell>
          <cell r="Q765" t="str">
            <v>tsi</v>
          </cell>
          <cell r="R765">
            <v>100</v>
          </cell>
        </row>
        <row r="766">
          <cell r="A766" t="str">
            <v>30021440-2</v>
          </cell>
          <cell r="B766" t="str">
            <v>4.0 x 124+/-0.5 x 1219</v>
          </cell>
          <cell r="C766">
            <v>4</v>
          </cell>
          <cell r="D766">
            <v>124</v>
          </cell>
          <cell r="E766">
            <v>1219</v>
          </cell>
          <cell r="F766">
            <v>4.7462983999999997</v>
          </cell>
          <cell r="G766">
            <v>24</v>
          </cell>
          <cell r="H766">
            <v>77005522</v>
          </cell>
          <cell r="I766" t="str">
            <v>SPHC-P/O</v>
          </cell>
          <cell r="J766" t="str">
            <v>END 1</v>
          </cell>
          <cell r="K766" t="str">
            <v>5YP-F2174-00</v>
          </cell>
          <cell r="L766" t="str">
            <v>T</v>
          </cell>
          <cell r="M766" t="str">
            <v>SPHC-P/O</v>
          </cell>
          <cell r="N766" t="str">
            <v>END 1</v>
          </cell>
          <cell r="O766" t="str">
            <v>5YP-F2174-00</v>
          </cell>
          <cell r="P766" t="str">
            <v>T</v>
          </cell>
          <cell r="Q766" t="str">
            <v>tsi</v>
          </cell>
          <cell r="R766">
            <v>100</v>
          </cell>
        </row>
        <row r="767">
          <cell r="A767" t="str">
            <v>30029483-2</v>
          </cell>
          <cell r="B767" t="str">
            <v>5.5 x 119+/-0.5 x 1219</v>
          </cell>
          <cell r="C767">
            <v>5.5</v>
          </cell>
          <cell r="D767">
            <v>119</v>
          </cell>
          <cell r="E767">
            <v>1219</v>
          </cell>
          <cell r="F767">
            <v>6.263008675</v>
          </cell>
          <cell r="G767">
            <v>17</v>
          </cell>
          <cell r="H767">
            <v>77004054</v>
          </cell>
          <cell r="I767" t="str">
            <v>JSH440W</v>
          </cell>
          <cell r="J767" t="str">
            <v>STAY R END PIECE(PIPE R SWING ARM)</v>
          </cell>
          <cell r="K767" t="str">
            <v>52151-KWWM-6400-H1</v>
          </cell>
          <cell r="L767" t="str">
            <v>T</v>
          </cell>
          <cell r="M767" t="str">
            <v>JSH440W</v>
          </cell>
          <cell r="N767" t="str">
            <v>STAY R END PIECE(PIPE R SWING ARM)</v>
          </cell>
          <cell r="O767" t="str">
            <v>52151-KWWM-6400-H1</v>
          </cell>
          <cell r="P767" t="str">
            <v>T</v>
          </cell>
          <cell r="Q767" t="str">
            <v>su</v>
          </cell>
          <cell r="R767">
            <v>100</v>
          </cell>
        </row>
        <row r="768">
          <cell r="A768" t="str">
            <v>30029484-2</v>
          </cell>
          <cell r="B768" t="str">
            <v>5.5 x 90+/-0.5 x 1219</v>
          </cell>
          <cell r="C768">
            <v>5.5</v>
          </cell>
          <cell r="D768">
            <v>90</v>
          </cell>
          <cell r="E768">
            <v>1219</v>
          </cell>
          <cell r="F768">
            <v>4.7367292499999998</v>
          </cell>
          <cell r="G768">
            <v>14</v>
          </cell>
          <cell r="H768">
            <v>77004053</v>
          </cell>
          <cell r="I768" t="str">
            <v>JSH440W</v>
          </cell>
          <cell r="J768" t="str">
            <v>STAY L END PIECE(PIPE L SWING ARM)</v>
          </cell>
          <cell r="K768" t="str">
            <v>52126-KWWM-6400-H1</v>
          </cell>
          <cell r="L768" t="str">
            <v>T</v>
          </cell>
          <cell r="M768" t="str">
            <v>JSH440W</v>
          </cell>
          <cell r="N768" t="str">
            <v>STAY L END PIECE(PIPE L SWING ARM)</v>
          </cell>
          <cell r="O768" t="str">
            <v>52126-KWWM-6400-H1</v>
          </cell>
          <cell r="P768" t="str">
            <v>T</v>
          </cell>
          <cell r="Q768" t="str">
            <v>su</v>
          </cell>
          <cell r="R768">
            <v>100</v>
          </cell>
        </row>
        <row r="770">
          <cell r="A770" t="str">
            <v>ชิ้นงาน ประสานมิตร</v>
          </cell>
        </row>
        <row r="771">
          <cell r="A771">
            <v>30006709</v>
          </cell>
          <cell r="B771" t="str">
            <v>1.6 x 34.5 x Coil</v>
          </cell>
          <cell r="C771">
            <v>1.6</v>
          </cell>
          <cell r="D771">
            <v>34.5</v>
          </cell>
          <cell r="E771" t="str">
            <v>Coil</v>
          </cell>
          <cell r="F771">
            <v>1.0999999999999999E-2</v>
          </cell>
          <cell r="G771">
            <v>1.0999999999999999E-2</v>
          </cell>
          <cell r="H771">
            <v>77005341</v>
          </cell>
          <cell r="I771" t="str">
            <v>SPHC-P/O</v>
          </cell>
          <cell r="J771" t="str">
            <v>REINF PLN FTRT R.L KB</v>
          </cell>
          <cell r="K771">
            <v>0</v>
          </cell>
          <cell r="L771" t="str">
            <v>T</v>
          </cell>
          <cell r="M771" t="str">
            <v>SPHC-P/O</v>
          </cell>
          <cell r="N771" t="str">
            <v>REINF PLN FTRT R.L KB</v>
          </cell>
          <cell r="O771">
            <v>0</v>
          </cell>
          <cell r="P771" t="str">
            <v>T</v>
          </cell>
          <cell r="Q771" t="str">
            <v>tsi</v>
          </cell>
        </row>
        <row r="772">
          <cell r="A772">
            <v>30006710</v>
          </cell>
          <cell r="B772" t="str">
            <v>1.4 x 46.5 x Coil</v>
          </cell>
          <cell r="C772">
            <v>1.4</v>
          </cell>
          <cell r="D772">
            <v>46.5</v>
          </cell>
          <cell r="E772" t="str">
            <v>Coil</v>
          </cell>
          <cell r="F772">
            <v>1.2999999999999999E-2</v>
          </cell>
          <cell r="G772">
            <v>1.2E-2</v>
          </cell>
          <cell r="H772">
            <v>77005276</v>
          </cell>
          <cell r="I772" t="str">
            <v>SPCC-SD</v>
          </cell>
          <cell r="J772" t="str">
            <v>PLATE PLN FTRT R.L KB</v>
          </cell>
          <cell r="K772">
            <v>0</v>
          </cell>
          <cell r="L772" t="str">
            <v>T</v>
          </cell>
          <cell r="M772" t="str">
            <v>SPCC-SD</v>
          </cell>
          <cell r="N772" t="str">
            <v>PLATE PLN FTRT R.L KB</v>
          </cell>
          <cell r="O772">
            <v>0</v>
          </cell>
          <cell r="P772" t="str">
            <v>T</v>
          </cell>
          <cell r="Q772" t="str">
            <v>tsi</v>
          </cell>
        </row>
        <row r="774">
          <cell r="A774" t="str">
            <v>ชิ้นงาน TSGP 3</v>
          </cell>
        </row>
        <row r="775">
          <cell r="A775">
            <v>30013152</v>
          </cell>
          <cell r="B775" t="str">
            <v>1.2 x 35+/-0.5 x 1219</v>
          </cell>
          <cell r="C775">
            <v>1.2</v>
          </cell>
          <cell r="D775">
            <v>35</v>
          </cell>
          <cell r="E775">
            <v>1219</v>
          </cell>
          <cell r="F775">
            <v>0.40190429999999999</v>
          </cell>
          <cell r="G775">
            <v>67</v>
          </cell>
          <cell r="H775">
            <v>77004278</v>
          </cell>
          <cell r="I775" t="str">
            <v>SPCC-SD</v>
          </cell>
          <cell r="J775" t="str">
            <v>BRKT C (HM)</v>
          </cell>
          <cell r="K775" t="str">
            <v>31614-Z5T-W100-21</v>
          </cell>
          <cell r="L775" t="str">
            <v>Z5TZ</v>
          </cell>
          <cell r="M775" t="str">
            <v>SPCC-SD</v>
          </cell>
          <cell r="N775" t="str">
            <v>BRKT C (HM)</v>
          </cell>
          <cell r="O775" t="str">
            <v>31614-Z5T-W100-21</v>
          </cell>
          <cell r="P775" t="str">
            <v>Z5TZ</v>
          </cell>
          <cell r="Q775" t="e">
            <v>#N/A</v>
          </cell>
        </row>
        <row r="776">
          <cell r="A776" t="str">
            <v>New Model TSGP 1</v>
          </cell>
          <cell r="B776" t="str">
            <v>เหล็ก Honda Trade</v>
          </cell>
        </row>
        <row r="777">
          <cell r="A777" t="str">
            <v>30044948-1</v>
          </cell>
          <cell r="B777" t="str">
            <v>2.3 x 198+/-0.5 x 1219</v>
          </cell>
          <cell r="C777">
            <v>2.2999999999999998</v>
          </cell>
          <cell r="D777">
            <v>198</v>
          </cell>
          <cell r="E777">
            <v>1219</v>
          </cell>
          <cell r="F777">
            <v>4.3577909099999994</v>
          </cell>
          <cell r="H777">
            <v>77004604</v>
          </cell>
          <cell r="I777" t="str">
            <v>JSH440W</v>
          </cell>
          <cell r="J777" t="str">
            <v xml:space="preserve">GUSSET </v>
          </cell>
          <cell r="L777" t="str">
            <v>K2LF</v>
          </cell>
          <cell r="M777" t="str">
            <v>JSH440W</v>
          </cell>
          <cell r="N777" t="str">
            <v xml:space="preserve">GUSSET </v>
          </cell>
          <cell r="P777" t="str">
            <v>K2LF</v>
          </cell>
          <cell r="Q777" t="str">
            <v>ptt</v>
          </cell>
          <cell r="R777">
            <v>100</v>
          </cell>
        </row>
        <row r="778">
          <cell r="A778" t="str">
            <v>30044948-2</v>
          </cell>
          <cell r="B778" t="str">
            <v>4.0 x 55+/-0.5 x 1219</v>
          </cell>
          <cell r="C778">
            <v>4</v>
          </cell>
          <cell r="D778">
            <v>55</v>
          </cell>
          <cell r="E778">
            <v>1219</v>
          </cell>
          <cell r="F778">
            <v>2.105213</v>
          </cell>
          <cell r="H778">
            <v>77003671</v>
          </cell>
          <cell r="I778" t="str">
            <v>JSH270C</v>
          </cell>
          <cell r="J778" t="str">
            <v>PLATE</v>
          </cell>
          <cell r="L778" t="str">
            <v>K2LF</v>
          </cell>
          <cell r="M778" t="str">
            <v>JSH270C</v>
          </cell>
          <cell r="N778" t="str">
            <v>PLATE</v>
          </cell>
          <cell r="P778" t="str">
            <v>K2LF</v>
          </cell>
          <cell r="Q778" t="str">
            <v>ptt</v>
          </cell>
        </row>
        <row r="779">
          <cell r="A779" t="str">
            <v>30044948-3</v>
          </cell>
          <cell r="B779" t="str">
            <v>1.6 x 50+/-0.5 x 1219</v>
          </cell>
          <cell r="C779">
            <v>1.6</v>
          </cell>
          <cell r="D779">
            <v>50</v>
          </cell>
          <cell r="E779">
            <v>1219</v>
          </cell>
          <cell r="F779">
            <v>0.76553199999999999</v>
          </cell>
          <cell r="G779">
            <v>31</v>
          </cell>
          <cell r="H779">
            <v>77004442</v>
          </cell>
          <cell r="I779" t="str">
            <v>JSH270C</v>
          </cell>
          <cell r="J779" t="str">
            <v>STAY G HARNESS</v>
          </cell>
          <cell r="K779" t="str">
            <v>50181-K2LA-0001-H1</v>
          </cell>
          <cell r="L779" t="str">
            <v>K2LF</v>
          </cell>
          <cell r="M779" t="str">
            <v>JSH270C</v>
          </cell>
          <cell r="N779" t="str">
            <v>STAY G HARNESS</v>
          </cell>
          <cell r="O779" t="str">
            <v>50181-K2LA-0001-H1</v>
          </cell>
          <cell r="P779" t="str">
            <v>K2LF</v>
          </cell>
          <cell r="Q779" t="str">
            <v>ptt</v>
          </cell>
        </row>
        <row r="780">
          <cell r="A780" t="str">
            <v>30050143-1</v>
          </cell>
          <cell r="B780" t="str">
            <v>2.0 x 54+/-0.5 x 1219</v>
          </cell>
          <cell r="C780">
            <v>2</v>
          </cell>
          <cell r="D780">
            <v>54</v>
          </cell>
          <cell r="E780">
            <v>1219</v>
          </cell>
          <cell r="F780">
            <v>1.0334681999999999</v>
          </cell>
          <cell r="G780">
            <v>42</v>
          </cell>
          <cell r="H780">
            <v>77004591</v>
          </cell>
          <cell r="I780" t="str">
            <v>JSH440W</v>
          </cell>
          <cell r="J780" t="str">
            <v>STAY L COWL FR</v>
          </cell>
          <cell r="K780" t="str">
            <v>61356-K94-T000-H1</v>
          </cell>
          <cell r="L780" t="str">
            <v>K94A</v>
          </cell>
          <cell r="M780" t="str">
            <v>JSH440W</v>
          </cell>
          <cell r="N780" t="str">
            <v>STAY L COWL FR</v>
          </cell>
          <cell r="O780" t="str">
            <v>61356-K94-T000-H1</v>
          </cell>
          <cell r="P780" t="str">
            <v>K94A</v>
          </cell>
          <cell r="Q780" t="str">
            <v>ptt</v>
          </cell>
        </row>
        <row r="781">
          <cell r="A781" t="str">
            <v>30050144-1</v>
          </cell>
          <cell r="B781" t="str">
            <v>2.0 x 54+/-0.5 x 1219</v>
          </cell>
          <cell r="C781">
            <v>2</v>
          </cell>
          <cell r="D781">
            <v>54</v>
          </cell>
          <cell r="E781">
            <v>1219</v>
          </cell>
          <cell r="F781">
            <v>1.0334681999999999</v>
          </cell>
          <cell r="G781">
            <v>42</v>
          </cell>
          <cell r="H781">
            <v>77004591</v>
          </cell>
          <cell r="I781" t="str">
            <v>JSH440W</v>
          </cell>
          <cell r="J781" t="str">
            <v>STAY R COWL FR</v>
          </cell>
          <cell r="K781" t="str">
            <v>61346-K94-T000-H1</v>
          </cell>
          <cell r="L781" t="str">
            <v>K94A</v>
          </cell>
          <cell r="M781" t="str">
            <v>JSH440W</v>
          </cell>
          <cell r="N781" t="str">
            <v>STAY R COWL FR</v>
          </cell>
          <cell r="O781" t="str">
            <v>61346-K94-T000-H1</v>
          </cell>
          <cell r="P781" t="str">
            <v>K94A</v>
          </cell>
          <cell r="Q781" t="str">
            <v>ptt</v>
          </cell>
        </row>
        <row r="782">
          <cell r="A782" t="str">
            <v>30049888-2</v>
          </cell>
          <cell r="B782" t="str">
            <v>2.0 x 141+/-0.5 x 1219</v>
          </cell>
          <cell r="C782">
            <v>2</v>
          </cell>
          <cell r="D782">
            <v>141</v>
          </cell>
          <cell r="E782">
            <v>1219</v>
          </cell>
          <cell r="F782">
            <v>2.6985002999999996</v>
          </cell>
          <cell r="I782" t="str">
            <v>JSH270C</v>
          </cell>
          <cell r="J782" t="str">
            <v>STAY R FR FUEL TANK</v>
          </cell>
          <cell r="K782" t="str">
            <v>50135-K2T-V000-H1</v>
          </cell>
          <cell r="L782" t="str">
            <v>K3MF</v>
          </cell>
          <cell r="M782" t="str">
            <v>JSH270C</v>
          </cell>
          <cell r="N782" t="str">
            <v>STAY R FR FUEL TANK</v>
          </cell>
          <cell r="O782" t="str">
            <v>50135-K2T-V000-H1</v>
          </cell>
          <cell r="P782" t="str">
            <v>K3MF</v>
          </cell>
          <cell r="Q782" t="e">
            <v>#N/A</v>
          </cell>
        </row>
        <row r="783">
          <cell r="A783" t="str">
            <v>30049888-3</v>
          </cell>
          <cell r="B783" t="str">
            <v>2.0 x 181+/-0.5 x 1219</v>
          </cell>
          <cell r="C783">
            <v>2</v>
          </cell>
          <cell r="D783">
            <v>181</v>
          </cell>
          <cell r="E783">
            <v>1219</v>
          </cell>
          <cell r="F783">
            <v>3.4640323</v>
          </cell>
          <cell r="I783" t="str">
            <v>JSH270C</v>
          </cell>
          <cell r="J783" t="str">
            <v>STAY L FR FUEL TANK</v>
          </cell>
          <cell r="K783" t="str">
            <v>50136-K2T-V000-H1</v>
          </cell>
          <cell r="L783" t="str">
            <v>K3MF</v>
          </cell>
          <cell r="M783" t="str">
            <v>JSH270C</v>
          </cell>
          <cell r="N783" t="str">
            <v>STAY L FR FUEL TANK</v>
          </cell>
          <cell r="O783" t="str">
            <v>50136-K2T-V000-H1</v>
          </cell>
          <cell r="P783" t="str">
            <v>K3MF</v>
          </cell>
          <cell r="Q783" t="e">
            <v>#N/A</v>
          </cell>
        </row>
        <row r="784">
          <cell r="A784">
            <v>30003261</v>
          </cell>
          <cell r="B784" t="str">
            <v>1.2 x 45+/-0.5 x 1219</v>
          </cell>
          <cell r="C784">
            <v>1.2</v>
          </cell>
          <cell r="D784">
            <v>45</v>
          </cell>
          <cell r="E784">
            <v>1219</v>
          </cell>
          <cell r="F784">
            <v>0.51673409999999997</v>
          </cell>
          <cell r="G784">
            <v>127</v>
          </cell>
          <cell r="H784">
            <v>77004283</v>
          </cell>
          <cell r="I784" t="str">
            <v>SPCC-SD</v>
          </cell>
          <cell r="J784" t="str">
            <v>WASHER PLAIN 7 MM (Cr+3)</v>
          </cell>
          <cell r="K784" t="str">
            <v>90502-155-0000</v>
          </cell>
          <cell r="L784" t="str">
            <v>K26</v>
          </cell>
          <cell r="M784" t="str">
            <v>SPCC-SD</v>
          </cell>
          <cell r="N784" t="str">
            <v>WASHER PLAIN 7 MM (Cr+3)</v>
          </cell>
          <cell r="O784" t="str">
            <v>90502-155-0000</v>
          </cell>
          <cell r="P784" t="str">
            <v>K26</v>
          </cell>
          <cell r="Q784" t="str">
            <v>ptt</v>
          </cell>
          <cell r="R784">
            <v>300</v>
          </cell>
        </row>
        <row r="785">
          <cell r="A785">
            <v>30013151</v>
          </cell>
          <cell r="B785" t="str">
            <v>1.2 x 50+/-0.5 x 1219</v>
          </cell>
          <cell r="C785">
            <v>1.2</v>
          </cell>
          <cell r="D785">
            <v>50</v>
          </cell>
          <cell r="E785">
            <v>1219</v>
          </cell>
          <cell r="F785">
            <v>0.57414900000000002</v>
          </cell>
          <cell r="G785">
            <v>64</v>
          </cell>
          <cell r="H785">
            <v>77004286</v>
          </cell>
          <cell r="I785" t="str">
            <v>SPCC-SD</v>
          </cell>
          <cell r="J785" t="str">
            <v>BRKT B</v>
          </cell>
          <cell r="K785" t="str">
            <v>31614-Z5T-W100-21</v>
          </cell>
          <cell r="L785" t="str">
            <v>Z5TZ</v>
          </cell>
          <cell r="M785" t="str">
            <v>SPCC-SD</v>
          </cell>
          <cell r="N785" t="str">
            <v>BRKT B</v>
          </cell>
          <cell r="O785" t="str">
            <v>31614-Z5T-W100-21</v>
          </cell>
          <cell r="P785" t="str">
            <v>Z5TZ</v>
          </cell>
          <cell r="Q785" t="str">
            <v>ptt</v>
          </cell>
        </row>
        <row r="786">
          <cell r="A786" t="str">
            <v>30013153-1</v>
          </cell>
          <cell r="B786" t="str">
            <v>1.2 x 84+/-0.5 x 1219</v>
          </cell>
          <cell r="C786">
            <v>1.2</v>
          </cell>
          <cell r="D786">
            <v>84</v>
          </cell>
          <cell r="E786">
            <v>1219</v>
          </cell>
          <cell r="F786">
            <v>0.96457031999999998</v>
          </cell>
          <cell r="G786">
            <v>40</v>
          </cell>
          <cell r="H786">
            <v>77004305</v>
          </cell>
          <cell r="I786" t="str">
            <v>SPCC-SD</v>
          </cell>
          <cell r="J786" t="str">
            <v>BRKT C</v>
          </cell>
          <cell r="K786" t="str">
            <v>31614-Z5T-W100-22</v>
          </cell>
          <cell r="L786" t="str">
            <v>Z5TZ</v>
          </cell>
          <cell r="M786" t="str">
            <v>SPCC-SD</v>
          </cell>
          <cell r="N786" t="str">
            <v>BRKT C</v>
          </cell>
          <cell r="O786" t="str">
            <v>31614-Z5T-W100-22</v>
          </cell>
          <cell r="P786" t="str">
            <v>Z5TZ</v>
          </cell>
          <cell r="Q786" t="str">
            <v>ptt</v>
          </cell>
        </row>
        <row r="787">
          <cell r="A787">
            <v>30018873</v>
          </cell>
          <cell r="B787" t="str">
            <v>2.0 x 67+/-0.5 x 1219</v>
          </cell>
          <cell r="C787">
            <v>2</v>
          </cell>
          <cell r="D787">
            <v>67</v>
          </cell>
          <cell r="E787">
            <v>1219</v>
          </cell>
          <cell r="F787">
            <v>1.2822661</v>
          </cell>
          <cell r="G787">
            <v>24</v>
          </cell>
          <cell r="H787">
            <v>77004759</v>
          </cell>
          <cell r="I787" t="str">
            <v>SPHC-P/O</v>
          </cell>
          <cell r="J787" t="str">
            <v>STAY, R MIRROR</v>
          </cell>
          <cell r="K787" t="str">
            <v>64221-MGZA-J001-24</v>
          </cell>
          <cell r="L787" t="str">
            <v>MGZA</v>
          </cell>
          <cell r="M787" t="str">
            <v>SPHC-P/O</v>
          </cell>
          <cell r="N787" t="str">
            <v>STAY, R MIRROR</v>
          </cell>
          <cell r="O787" t="str">
            <v>64221-MGZA-J001-24</v>
          </cell>
          <cell r="P787" t="str">
            <v>MGZA</v>
          </cell>
          <cell r="Q787" t="e">
            <v>#N/A</v>
          </cell>
        </row>
        <row r="788">
          <cell r="A788">
            <v>30018874</v>
          </cell>
          <cell r="B788" t="str">
            <v>2.0 x 67+/-0.5 x 1219</v>
          </cell>
          <cell r="C788">
            <v>2</v>
          </cell>
          <cell r="D788">
            <v>67</v>
          </cell>
          <cell r="E788">
            <v>1219</v>
          </cell>
          <cell r="F788">
            <v>1.2822661</v>
          </cell>
          <cell r="G788">
            <v>24</v>
          </cell>
          <cell r="H788">
            <v>77004759</v>
          </cell>
          <cell r="I788" t="str">
            <v>SPHC-P/O</v>
          </cell>
          <cell r="J788" t="str">
            <v>STAY L MIRROR</v>
          </cell>
          <cell r="K788" t="str">
            <v>64221-MGZA-J001-25</v>
          </cell>
          <cell r="L788" t="str">
            <v>MGZA</v>
          </cell>
          <cell r="M788" t="str">
            <v>SPHC-P/O</v>
          </cell>
          <cell r="N788" t="str">
            <v>STAY L MIRROR</v>
          </cell>
          <cell r="O788" t="str">
            <v>64221-MGZA-J001-25</v>
          </cell>
          <cell r="P788" t="str">
            <v>MGZA</v>
          </cell>
          <cell r="Q788" t="e">
            <v>#N/A</v>
          </cell>
        </row>
        <row r="789">
          <cell r="A789">
            <v>30019292</v>
          </cell>
          <cell r="B789" t="str">
            <v>1.0 x 90+/-0.5 x 1219</v>
          </cell>
          <cell r="C789">
            <v>1</v>
          </cell>
          <cell r="D789">
            <v>90</v>
          </cell>
          <cell r="E789">
            <v>1219</v>
          </cell>
          <cell r="F789">
            <v>0.86122350000000003</v>
          </cell>
          <cell r="G789">
            <v>82</v>
          </cell>
          <cell r="H789">
            <v>77004272</v>
          </cell>
          <cell r="I789" t="str">
            <v>JSC270C</v>
          </cell>
          <cell r="J789" t="str">
            <v>PLATE</v>
          </cell>
          <cell r="K789" t="str">
            <v>17507-KPB-7700-H1</v>
          </cell>
          <cell r="L789" t="str">
            <v>KPB</v>
          </cell>
          <cell r="M789" t="str">
            <v>JSC270C</v>
          </cell>
          <cell r="N789" t="str">
            <v>PLATE</v>
          </cell>
          <cell r="O789" t="str">
            <v>17507-KPB-7700-H1</v>
          </cell>
          <cell r="P789" t="str">
            <v>KPB</v>
          </cell>
          <cell r="Q789" t="str">
            <v>ptt</v>
          </cell>
        </row>
        <row r="790">
          <cell r="A790">
            <v>30020962</v>
          </cell>
          <cell r="B790" t="str">
            <v>6.0 x 157+/-0.5 x 1219</v>
          </cell>
          <cell r="C790">
            <v>6</v>
          </cell>
          <cell r="D790">
            <v>157</v>
          </cell>
          <cell r="E790">
            <v>1219</v>
          </cell>
          <cell r="F790">
            <v>9.0141392999999983</v>
          </cell>
          <cell r="G790">
            <v>29</v>
          </cell>
          <cell r="H790">
            <v>77004929</v>
          </cell>
          <cell r="I790" t="str">
            <v>SPHC-P/O</v>
          </cell>
          <cell r="J790" t="str">
            <v>ARM</v>
          </cell>
          <cell r="K790" t="str">
            <v>24701-K26A-9002-22</v>
          </cell>
          <cell r="L790" t="str">
            <v>K26A</v>
          </cell>
          <cell r="M790" t="str">
            <v>SPHC-P/O</v>
          </cell>
          <cell r="N790" t="str">
            <v>ARM</v>
          </cell>
          <cell r="O790" t="str">
            <v>24701-K26A-9002-22</v>
          </cell>
          <cell r="P790" t="str">
            <v>K26A</v>
          </cell>
          <cell r="Q790" t="str">
            <v>ptt</v>
          </cell>
          <cell r="R790">
            <v>50</v>
          </cell>
        </row>
        <row r="791">
          <cell r="A791">
            <v>30020965</v>
          </cell>
          <cell r="B791" t="str">
            <v>1.6 x 100+/-0.5 x 1219</v>
          </cell>
          <cell r="C791">
            <v>1.6</v>
          </cell>
          <cell r="D791">
            <v>100</v>
          </cell>
          <cell r="E791">
            <v>1219</v>
          </cell>
          <cell r="F791">
            <v>1.531064</v>
          </cell>
          <cell r="G791">
            <v>21</v>
          </cell>
          <cell r="H791">
            <v>77004282</v>
          </cell>
          <cell r="I791" t="str">
            <v>SPHC-P/O</v>
          </cell>
          <cell r="J791" t="str">
            <v>PATCH COSS</v>
          </cell>
          <cell r="K791" t="str">
            <v>52113-K26A-9000-H1</v>
          </cell>
          <cell r="L791" t="str">
            <v>K26</v>
          </cell>
          <cell r="M791" t="str">
            <v>SPHC-P/O</v>
          </cell>
          <cell r="N791" t="str">
            <v>PATCH COSS</v>
          </cell>
          <cell r="O791" t="str">
            <v>52113-K26A-9000-H1</v>
          </cell>
          <cell r="P791" t="str">
            <v>K26</v>
          </cell>
          <cell r="Q791" t="str">
            <v>ptt</v>
          </cell>
        </row>
        <row r="792">
          <cell r="A792">
            <v>30024525</v>
          </cell>
          <cell r="B792" t="str">
            <v>2.6 x 112+/-0.5 x 1219</v>
          </cell>
          <cell r="C792">
            <v>2.6</v>
          </cell>
          <cell r="D792">
            <v>112</v>
          </cell>
          <cell r="E792">
            <v>1219</v>
          </cell>
          <cell r="F792">
            <v>2.7865364800000001</v>
          </cell>
          <cell r="G792">
            <v>24</v>
          </cell>
          <cell r="H792">
            <v>77004371</v>
          </cell>
          <cell r="I792" t="str">
            <v>SPHC-P/O</v>
          </cell>
          <cell r="J792" t="str">
            <v>STAY PILLION STEP BRKT</v>
          </cell>
          <cell r="K792" t="str">
            <v>50165-KWNJ-7100-H1</v>
          </cell>
          <cell r="L792" t="str">
            <v>KWNJ</v>
          </cell>
          <cell r="M792" t="str">
            <v>SPHC-P/O</v>
          </cell>
          <cell r="N792" t="str">
            <v>STAY PILLION STEP BRKT</v>
          </cell>
          <cell r="O792" t="str">
            <v>50165-KWNJ-7100-H1</v>
          </cell>
          <cell r="P792" t="str">
            <v>KWNJ</v>
          </cell>
          <cell r="Q792" t="e">
            <v>#N/A</v>
          </cell>
        </row>
        <row r="793">
          <cell r="A793">
            <v>30030649</v>
          </cell>
          <cell r="B793" t="str">
            <v>2.0 x 127+/-0.5 x 1219</v>
          </cell>
          <cell r="C793">
            <v>2</v>
          </cell>
          <cell r="D793">
            <v>127</v>
          </cell>
          <cell r="E793">
            <v>1219</v>
          </cell>
          <cell r="F793">
            <v>2.4305641000000002</v>
          </cell>
          <cell r="G793">
            <v>20</v>
          </cell>
          <cell r="H793">
            <v>77004797</v>
          </cell>
          <cell r="I793" t="str">
            <v>JSH440W</v>
          </cell>
          <cell r="J793" t="str">
            <v>BRKT R SCREEN STAY</v>
          </cell>
          <cell r="K793" t="str">
            <v>64223-MJWA-J802-H1</v>
          </cell>
          <cell r="L793" t="str">
            <v>MJWA</v>
          </cell>
          <cell r="M793" t="str">
            <v>JSH440W</v>
          </cell>
          <cell r="N793" t="str">
            <v>BRKT R SCREEN STAY</v>
          </cell>
          <cell r="O793" t="str">
            <v>64223-MJWA-J802-H1</v>
          </cell>
          <cell r="P793" t="str">
            <v>MJWA</v>
          </cell>
          <cell r="Q793" t="str">
            <v>ptt</v>
          </cell>
        </row>
        <row r="794">
          <cell r="A794">
            <v>30030650</v>
          </cell>
          <cell r="B794" t="str">
            <v>2.0 x 127+/-0.5 x 1219</v>
          </cell>
          <cell r="C794">
            <v>2</v>
          </cell>
          <cell r="D794">
            <v>127</v>
          </cell>
          <cell r="E794">
            <v>1219</v>
          </cell>
          <cell r="F794">
            <v>2.4305641000000002</v>
          </cell>
          <cell r="G794">
            <v>20</v>
          </cell>
          <cell r="H794">
            <v>77004797</v>
          </cell>
          <cell r="I794" t="str">
            <v>JSH440W</v>
          </cell>
          <cell r="J794" t="str">
            <v>BRKT L SCREEN STAY</v>
          </cell>
          <cell r="K794" t="str">
            <v>64223-MJWA-J802-H1</v>
          </cell>
          <cell r="L794" t="str">
            <v>MJWA</v>
          </cell>
          <cell r="M794" t="str">
            <v>JSH440W</v>
          </cell>
          <cell r="N794" t="str">
            <v>BRKT L SCREEN STAY</v>
          </cell>
          <cell r="O794" t="str">
            <v>64223-MJWA-J802-H1</v>
          </cell>
          <cell r="P794" t="str">
            <v>MJWA</v>
          </cell>
          <cell r="Q794" t="str">
            <v>ptt</v>
          </cell>
        </row>
        <row r="795">
          <cell r="A795" t="str">
            <v>30030651-1</v>
          </cell>
          <cell r="B795" t="str">
            <v>2.0 x 292+/-0.5 x 1219</v>
          </cell>
          <cell r="C795">
            <v>2</v>
          </cell>
          <cell r="D795">
            <v>292</v>
          </cell>
          <cell r="E795">
            <v>1219</v>
          </cell>
          <cell r="F795">
            <v>5.5883835999999993</v>
          </cell>
          <cell r="G795">
            <v>12</v>
          </cell>
          <cell r="H795">
            <v>77004749</v>
          </cell>
          <cell r="I795" t="str">
            <v>JSH270C</v>
          </cell>
          <cell r="J795" t="str">
            <v>STAY A METER PANEL</v>
          </cell>
          <cell r="K795" t="str">
            <v>64222-MJWA-J801-H1</v>
          </cell>
          <cell r="L795" t="str">
            <v>MJWA</v>
          </cell>
          <cell r="M795" t="str">
            <v>JSH270C</v>
          </cell>
          <cell r="N795" t="str">
            <v>STAY A METER PANEL</v>
          </cell>
          <cell r="O795" t="str">
            <v>64222-MJWA-J801-H1</v>
          </cell>
          <cell r="P795" t="str">
            <v>MJWA</v>
          </cell>
          <cell r="Q795" t="e">
            <v>#N/A</v>
          </cell>
        </row>
        <row r="796">
          <cell r="A796">
            <v>30030652</v>
          </cell>
          <cell r="B796" t="str">
            <v>2.3 x 56+/-0.5 x 1219</v>
          </cell>
          <cell r="C796">
            <v>2.2999999999999998</v>
          </cell>
          <cell r="D796">
            <v>56</v>
          </cell>
          <cell r="E796">
            <v>1219</v>
          </cell>
          <cell r="F796">
            <v>1.2325065199999998</v>
          </cell>
          <cell r="G796">
            <v>47</v>
          </cell>
          <cell r="H796">
            <v>77004530</v>
          </cell>
          <cell r="I796" t="str">
            <v>JSH270C</v>
          </cell>
          <cell r="J796" t="str">
            <v>STAY HEAD LIGHT</v>
          </cell>
          <cell r="K796" t="str">
            <v>64228-MJWA-J800-H1</v>
          </cell>
          <cell r="L796" t="str">
            <v>MJWA</v>
          </cell>
          <cell r="M796" t="str">
            <v>JSH270C</v>
          </cell>
          <cell r="N796" t="str">
            <v>STAY HEAD LIGHT</v>
          </cell>
          <cell r="O796" t="str">
            <v>64228-MJWA-J800-H1</v>
          </cell>
          <cell r="P796" t="str">
            <v>MJWA</v>
          </cell>
          <cell r="Q796" t="str">
            <v>ptt</v>
          </cell>
        </row>
        <row r="797">
          <cell r="A797">
            <v>30030993</v>
          </cell>
          <cell r="B797" t="str">
            <v>0.7 x 105+/-0.5 x Coil</v>
          </cell>
          <cell r="C797">
            <v>0.7</v>
          </cell>
          <cell r="D797">
            <v>105</v>
          </cell>
          <cell r="E797" t="str">
            <v>Coil</v>
          </cell>
          <cell r="F797">
            <v>6.0000000000000001E-3</v>
          </cell>
          <cell r="G797">
            <v>6.0000000000000001E-3</v>
          </cell>
          <cell r="H797">
            <v>77004218</v>
          </cell>
          <cell r="I797" t="str">
            <v>SPCC-SD</v>
          </cell>
          <cell r="J797" t="str">
            <v>CLIP FUEL TUBE</v>
          </cell>
          <cell r="K797" t="str">
            <v>19615-ZE0-3000</v>
          </cell>
          <cell r="L797" t="str">
            <v>ZE0</v>
          </cell>
          <cell r="M797" t="str">
            <v>SPCC-SD</v>
          </cell>
          <cell r="N797" t="str">
            <v>CLIP FUEL TUBE</v>
          </cell>
          <cell r="O797" t="str">
            <v>19615-ZE0-3000</v>
          </cell>
          <cell r="P797" t="str">
            <v>ZE0</v>
          </cell>
          <cell r="Q797" t="str">
            <v>ptt</v>
          </cell>
        </row>
        <row r="798">
          <cell r="A798" t="str">
            <v>30031000-1</v>
          </cell>
          <cell r="B798" t="str">
            <v>4.5 x 192+/-0.5 x 1219</v>
          </cell>
          <cell r="C798">
            <v>4.5</v>
          </cell>
          <cell r="D798">
            <v>192</v>
          </cell>
          <cell r="E798">
            <v>1219</v>
          </cell>
          <cell r="F798">
            <v>8.2677455999999996</v>
          </cell>
          <cell r="G798">
            <v>18</v>
          </cell>
          <cell r="H798">
            <v>77004575</v>
          </cell>
          <cell r="I798" t="str">
            <v>SPHC-P/O</v>
          </cell>
          <cell r="J798" t="str">
            <v>BRACKET CUSH</v>
          </cell>
          <cell r="K798">
            <v>0</v>
          </cell>
          <cell r="L798" t="str">
            <v>Honda</v>
          </cell>
          <cell r="M798" t="str">
            <v>SPHC-P/O</v>
          </cell>
          <cell r="N798" t="str">
            <v>BRACKET CUSH</v>
          </cell>
          <cell r="O798">
            <v>0</v>
          </cell>
          <cell r="P798" t="str">
            <v>Honda</v>
          </cell>
          <cell r="Q798" t="str">
            <v>ptt</v>
          </cell>
          <cell r="R798">
            <v>50</v>
          </cell>
        </row>
        <row r="799">
          <cell r="A799" t="str">
            <v>30031000-2</v>
          </cell>
          <cell r="B799" t="str">
            <v>4.0 x 121+/-0.5 x 1219</v>
          </cell>
          <cell r="C799">
            <v>4</v>
          </cell>
          <cell r="D799">
            <v>121</v>
          </cell>
          <cell r="E799">
            <v>1219</v>
          </cell>
          <cell r="F799">
            <v>4.6314685999999998</v>
          </cell>
          <cell r="G799">
            <v>13</v>
          </cell>
          <cell r="H799">
            <v>77004568</v>
          </cell>
          <cell r="I799" t="str">
            <v>SPHC-P/O</v>
          </cell>
          <cell r="J799" t="str">
            <v>PLATE CUSH</v>
          </cell>
          <cell r="K799">
            <v>0</v>
          </cell>
          <cell r="L799" t="str">
            <v>Honda</v>
          </cell>
          <cell r="M799" t="str">
            <v>SPHC-P/O</v>
          </cell>
          <cell r="N799" t="str">
            <v>PLATE CUSH</v>
          </cell>
          <cell r="O799">
            <v>0</v>
          </cell>
          <cell r="P799" t="str">
            <v>Honda</v>
          </cell>
          <cell r="Q799" t="str">
            <v>ptt</v>
          </cell>
          <cell r="R799">
            <v>100</v>
          </cell>
        </row>
        <row r="800">
          <cell r="A800">
            <v>30031027</v>
          </cell>
          <cell r="B800" t="str">
            <v>1.6 x 45+/-0.5 x 1219</v>
          </cell>
          <cell r="C800">
            <v>1.6</v>
          </cell>
          <cell r="D800">
            <v>45</v>
          </cell>
          <cell r="E800">
            <v>1219</v>
          </cell>
          <cell r="F800">
            <v>0.68897879999999989</v>
          </cell>
          <cell r="G800">
            <v>52</v>
          </cell>
          <cell r="H800">
            <v>77004437</v>
          </cell>
          <cell r="I800" t="str">
            <v>JSH270C</v>
          </cell>
          <cell r="J800" t="str">
            <v>STAY D HARNESS</v>
          </cell>
          <cell r="K800" t="str">
            <v>50159-K20J-T200-H1</v>
          </cell>
          <cell r="L800" t="str">
            <v>K20J</v>
          </cell>
          <cell r="M800" t="str">
            <v>JSH270C</v>
          </cell>
          <cell r="N800" t="str">
            <v>STAY D HARNESS</v>
          </cell>
          <cell r="O800" t="str">
            <v>50159-K20J-T200-H1</v>
          </cell>
          <cell r="P800" t="str">
            <v>K20J</v>
          </cell>
          <cell r="Q800" t="e">
            <v>#N/A</v>
          </cell>
        </row>
        <row r="801">
          <cell r="A801">
            <v>30031753</v>
          </cell>
          <cell r="B801" t="str">
            <v>6.0 x 185+/-0.5 x 1219</v>
          </cell>
          <cell r="C801">
            <v>6</v>
          </cell>
          <cell r="D801">
            <v>185</v>
          </cell>
          <cell r="E801">
            <v>1219</v>
          </cell>
          <cell r="F801">
            <v>10.6217565</v>
          </cell>
          <cell r="G801">
            <v>35</v>
          </cell>
          <cell r="H801">
            <v>77004791</v>
          </cell>
          <cell r="I801" t="str">
            <v>JSH270C</v>
          </cell>
          <cell r="J801" t="str">
            <v>ARM</v>
          </cell>
          <cell r="K801" t="str">
            <v>24701-K26H-B002-22</v>
          </cell>
          <cell r="L801" t="str">
            <v>K26</v>
          </cell>
          <cell r="M801" t="str">
            <v>JSH270C</v>
          </cell>
          <cell r="N801" t="str">
            <v>ARM</v>
          </cell>
          <cell r="O801" t="str">
            <v>24701-K26H-B002-22</v>
          </cell>
          <cell r="P801" t="str">
            <v>K26</v>
          </cell>
          <cell r="Q801" t="str">
            <v>ptt</v>
          </cell>
        </row>
        <row r="802">
          <cell r="A802">
            <v>30032472</v>
          </cell>
          <cell r="B802" t="str">
            <v>3.2 x 164+/-0.5 x 296+/-0.5</v>
          </cell>
          <cell r="C802">
            <v>3.2</v>
          </cell>
          <cell r="D802">
            <v>164</v>
          </cell>
          <cell r="E802">
            <v>296</v>
          </cell>
          <cell r="F802">
            <v>1.2194252800000001</v>
          </cell>
          <cell r="G802">
            <v>1</v>
          </cell>
          <cell r="H802">
            <v>77005490</v>
          </cell>
          <cell r="I802" t="str">
            <v>SPHC P/O</v>
          </cell>
          <cell r="J802" t="str">
            <v>HOLDER SPEED CHANGE LEVER</v>
          </cell>
          <cell r="K802" t="str">
            <v>62735-38104</v>
          </cell>
          <cell r="L802" t="str">
            <v>NC131</v>
          </cell>
          <cell r="M802" t="str">
            <v>SPHC P/O</v>
          </cell>
          <cell r="N802" t="str">
            <v>HOLDER SPEED CHANGE LEVER</v>
          </cell>
          <cell r="O802" t="str">
            <v>62735-38104</v>
          </cell>
          <cell r="P802" t="str">
            <v>NC131</v>
          </cell>
          <cell r="Q802" t="str">
            <v>tsi</v>
          </cell>
          <cell r="R802">
            <v>300</v>
          </cell>
        </row>
        <row r="803">
          <cell r="A803">
            <v>30033038</v>
          </cell>
          <cell r="B803" t="str">
            <v>1.6 x 57+/-0.5 x 1219</v>
          </cell>
          <cell r="C803">
            <v>1.6</v>
          </cell>
          <cell r="D803">
            <v>57</v>
          </cell>
          <cell r="E803">
            <v>1219</v>
          </cell>
          <cell r="F803">
            <v>0.87270647999999995</v>
          </cell>
          <cell r="G803">
            <v>49</v>
          </cell>
          <cell r="H803">
            <v>77004447</v>
          </cell>
          <cell r="I803" t="str">
            <v>JSH270C</v>
          </cell>
          <cell r="J803" t="str">
            <v>STAY L FR BRAKE HOSE</v>
          </cell>
          <cell r="K803">
            <v>0</v>
          </cell>
          <cell r="L803" t="str">
            <v>KZZJ</v>
          </cell>
          <cell r="M803" t="str">
            <v>JSH270C</v>
          </cell>
          <cell r="N803" t="str">
            <v>STAY L FR BRAKE HOSE</v>
          </cell>
          <cell r="O803">
            <v>0</v>
          </cell>
          <cell r="P803" t="str">
            <v>KZZJ</v>
          </cell>
          <cell r="Q803" t="str">
            <v>ptt</v>
          </cell>
        </row>
        <row r="804">
          <cell r="A804">
            <v>30033039</v>
          </cell>
          <cell r="B804" t="str">
            <v>1.6 x 75+/-0.5 x 1219</v>
          </cell>
          <cell r="C804">
            <v>1.6</v>
          </cell>
          <cell r="D804">
            <v>75</v>
          </cell>
          <cell r="E804">
            <v>1219</v>
          </cell>
          <cell r="F804">
            <v>1.148298</v>
          </cell>
          <cell r="G804">
            <v>35</v>
          </cell>
          <cell r="H804">
            <v>77004796</v>
          </cell>
          <cell r="I804" t="str">
            <v>SPHC-P/O</v>
          </cell>
          <cell r="J804" t="str">
            <v>STAY L FR BRAKE PIPE</v>
          </cell>
          <cell r="K804">
            <v>0</v>
          </cell>
          <cell r="L804" t="str">
            <v>KZZJ</v>
          </cell>
          <cell r="M804" t="str">
            <v>SPHC-P/O</v>
          </cell>
          <cell r="N804" t="str">
            <v>STAY L FR BRAKE PIPE</v>
          </cell>
          <cell r="O804">
            <v>0</v>
          </cell>
          <cell r="P804" t="str">
            <v>KZZJ</v>
          </cell>
          <cell r="Q804" t="e">
            <v>#N/A</v>
          </cell>
        </row>
        <row r="805">
          <cell r="A805">
            <v>30033078</v>
          </cell>
          <cell r="B805" t="str">
            <v>1.4 x 47+/-0.5 x 1219</v>
          </cell>
          <cell r="C805">
            <v>1.4</v>
          </cell>
          <cell r="D805">
            <v>47</v>
          </cell>
          <cell r="E805">
            <v>1219</v>
          </cell>
          <cell r="F805">
            <v>0.62965006999999995</v>
          </cell>
          <cell r="G805">
            <v>35</v>
          </cell>
          <cell r="H805">
            <v>77005241</v>
          </cell>
          <cell r="I805" t="str">
            <v>JSC440W</v>
          </cell>
          <cell r="J805" t="str">
            <v>STAY COMP UNDER COWL</v>
          </cell>
          <cell r="K805">
            <v>0</v>
          </cell>
          <cell r="L805" t="str">
            <v>KZZJ</v>
          </cell>
          <cell r="M805" t="str">
            <v>JSC440W</v>
          </cell>
          <cell r="N805" t="str">
            <v>STAY COMP UNDER COWL</v>
          </cell>
          <cell r="O805">
            <v>0</v>
          </cell>
          <cell r="P805" t="str">
            <v>KZZJ</v>
          </cell>
          <cell r="Q805" t="str">
            <v>bm</v>
          </cell>
        </row>
        <row r="806">
          <cell r="A806">
            <v>30033388</v>
          </cell>
          <cell r="B806" t="str">
            <v>6.0 x 143+/-0.5 x 1219</v>
          </cell>
          <cell r="C806">
            <v>6</v>
          </cell>
          <cell r="D806">
            <v>143</v>
          </cell>
          <cell r="E806">
            <v>1219</v>
          </cell>
          <cell r="F806">
            <v>8.2103307000000001</v>
          </cell>
          <cell r="G806">
            <v>18</v>
          </cell>
          <cell r="H806">
            <v>77004581</v>
          </cell>
          <cell r="I806" t="str">
            <v>JSH270C</v>
          </cell>
          <cell r="J806" t="str">
            <v>ARM</v>
          </cell>
          <cell r="K806" t="str">
            <v>46501-K87A-A000-21</v>
          </cell>
          <cell r="L806" t="str">
            <v>K87A</v>
          </cell>
          <cell r="M806" t="str">
            <v>JSH270C</v>
          </cell>
          <cell r="N806" t="str">
            <v>ARM</v>
          </cell>
          <cell r="O806" t="str">
            <v>46501-K87A-A000-21</v>
          </cell>
          <cell r="P806" t="str">
            <v>K87A</v>
          </cell>
          <cell r="Q806" t="str">
            <v>ptt</v>
          </cell>
          <cell r="R806">
            <v>50</v>
          </cell>
        </row>
        <row r="807">
          <cell r="A807">
            <v>30033390</v>
          </cell>
          <cell r="B807" t="str">
            <v>1.6 x 32+/-0.5 x 1219</v>
          </cell>
          <cell r="C807">
            <v>1.6</v>
          </cell>
          <cell r="D807">
            <v>32</v>
          </cell>
          <cell r="E807">
            <v>1219</v>
          </cell>
          <cell r="F807">
            <v>0.48994047999999996</v>
          </cell>
          <cell r="G807">
            <v>76</v>
          </cell>
          <cell r="H807">
            <v>77004433</v>
          </cell>
          <cell r="I807" t="str">
            <v>JSH270C</v>
          </cell>
          <cell r="J807" t="str">
            <v>HOOK STOP SPRING</v>
          </cell>
          <cell r="K807" t="str">
            <v>46501-K87A-A000-21</v>
          </cell>
          <cell r="L807" t="str">
            <v>K87A</v>
          </cell>
          <cell r="M807" t="str">
            <v>JSH270C</v>
          </cell>
          <cell r="N807" t="str">
            <v>HOOK STOP SPRING</v>
          </cell>
          <cell r="O807" t="str">
            <v>46501-K87A-A000-21</v>
          </cell>
          <cell r="P807" t="str">
            <v>K87A</v>
          </cell>
          <cell r="Q807" t="str">
            <v>ptt</v>
          </cell>
        </row>
        <row r="808">
          <cell r="A808">
            <v>30033736</v>
          </cell>
          <cell r="B808" t="str">
            <v>6.0 x 115+/-0.5 x 1219</v>
          </cell>
          <cell r="C808">
            <v>6</v>
          </cell>
          <cell r="D808">
            <v>115</v>
          </cell>
          <cell r="E808">
            <v>1219</v>
          </cell>
          <cell r="F808">
            <v>6.6027135000000001</v>
          </cell>
          <cell r="G808">
            <v>11</v>
          </cell>
          <cell r="H808">
            <v>77005558</v>
          </cell>
          <cell r="I808" t="str">
            <v>SS400</v>
          </cell>
          <cell r="J808" t="str">
            <v>PLATE REINFORECMENT</v>
          </cell>
          <cell r="K808" t="str">
            <v>1A8296-85150EF-725T(Y704)</v>
          </cell>
          <cell r="L808" t="str">
            <v>Y704</v>
          </cell>
          <cell r="M808" t="str">
            <v>SS400</v>
          </cell>
          <cell r="N808" t="str">
            <v>PLATE REINFORECMENT</v>
          </cell>
          <cell r="O808" t="str">
            <v>1A8296-85150EF-725T(Y704)</v>
          </cell>
          <cell r="P808" t="str">
            <v>Y704</v>
          </cell>
          <cell r="Q808" t="str">
            <v>ps</v>
          </cell>
        </row>
        <row r="809">
          <cell r="A809">
            <v>30033737</v>
          </cell>
          <cell r="B809" t="str">
            <v>4.5 x 123+/-0.5 x 1219</v>
          </cell>
          <cell r="C809">
            <v>4.5</v>
          </cell>
          <cell r="D809">
            <v>123</v>
          </cell>
          <cell r="E809">
            <v>1219</v>
          </cell>
          <cell r="F809">
            <v>5.2965245249999997</v>
          </cell>
          <cell r="G809">
            <v>11</v>
          </cell>
          <cell r="H809">
            <v>77005544</v>
          </cell>
          <cell r="I809" t="str">
            <v>SS400</v>
          </cell>
          <cell r="J809" t="str">
            <v>BRACKET ASSY FENDER</v>
          </cell>
          <cell r="K809" t="str">
            <v>1A8292-85110EF-725T(Y704)</v>
          </cell>
          <cell r="L809" t="str">
            <v>Y704</v>
          </cell>
          <cell r="M809" t="str">
            <v>SS400</v>
          </cell>
          <cell r="N809" t="str">
            <v>BRACKET ASSY FENDER</v>
          </cell>
          <cell r="O809" t="str">
            <v>1A8292-85110EF-725T(Y704)</v>
          </cell>
          <cell r="P809" t="str">
            <v>Y704</v>
          </cell>
          <cell r="Q809" t="str">
            <v>bm</v>
          </cell>
        </row>
        <row r="810">
          <cell r="A810">
            <v>30033738</v>
          </cell>
          <cell r="B810" t="str">
            <v>3.6 x 420+/-0.5 x 1219</v>
          </cell>
          <cell r="C810">
            <v>3.6</v>
          </cell>
          <cell r="D810">
            <v>420</v>
          </cell>
          <cell r="E810">
            <v>1219</v>
          </cell>
          <cell r="F810">
            <v>14.4685548</v>
          </cell>
          <cell r="G810">
            <v>10</v>
          </cell>
          <cell r="H810">
            <v>77004780</v>
          </cell>
          <cell r="I810" t="str">
            <v>SPHC-P/O</v>
          </cell>
          <cell r="J810" t="str">
            <v>PLATE L</v>
          </cell>
          <cell r="K810" t="str">
            <v>1A8296-62310EF-725T(Y704)</v>
          </cell>
          <cell r="L810" t="str">
            <v>Y704</v>
          </cell>
          <cell r="M810" t="str">
            <v>SPHC-P/O</v>
          </cell>
          <cell r="N810" t="str">
            <v>PLATE L</v>
          </cell>
          <cell r="O810" t="str">
            <v>1A8296-62310EF-725T(Y704)</v>
          </cell>
          <cell r="P810" t="str">
            <v>Y704</v>
          </cell>
          <cell r="Q810" t="str">
            <v>ptt</v>
          </cell>
        </row>
        <row r="811">
          <cell r="A811">
            <v>30033739</v>
          </cell>
          <cell r="B811" t="str">
            <v>3.6 x 420+/-0.5 x 1219</v>
          </cell>
          <cell r="C811">
            <v>3.6</v>
          </cell>
          <cell r="D811">
            <v>420</v>
          </cell>
          <cell r="E811">
            <v>1219</v>
          </cell>
          <cell r="F811">
            <v>14.4685548</v>
          </cell>
          <cell r="G811">
            <v>10</v>
          </cell>
          <cell r="H811">
            <v>77004780</v>
          </cell>
          <cell r="I811" t="str">
            <v>SPHC-P/O</v>
          </cell>
          <cell r="J811" t="str">
            <v>PLATE R</v>
          </cell>
          <cell r="K811" t="str">
            <v>1A8296-62320EF-725T(Y704)</v>
          </cell>
          <cell r="L811" t="str">
            <v>Y704</v>
          </cell>
          <cell r="M811" t="str">
            <v>SPHC-P/O</v>
          </cell>
          <cell r="N811" t="str">
            <v>PLATE R</v>
          </cell>
          <cell r="O811" t="str">
            <v>1A8296-62320EF-725T(Y704)</v>
          </cell>
          <cell r="P811" t="str">
            <v>Y704</v>
          </cell>
          <cell r="Q811" t="str">
            <v>ptt</v>
          </cell>
        </row>
        <row r="812">
          <cell r="A812">
            <v>30033740</v>
          </cell>
          <cell r="B812" t="str">
            <v>2.0x 302+0/-1 x 100</v>
          </cell>
          <cell r="C812">
            <v>2</v>
          </cell>
          <cell r="D812">
            <v>302</v>
          </cell>
          <cell r="E812">
            <v>100</v>
          </cell>
          <cell r="F812">
            <v>0.47414000000000001</v>
          </cell>
          <cell r="G812">
            <v>1</v>
          </cell>
          <cell r="H812">
            <v>77005281</v>
          </cell>
          <cell r="I812" t="str">
            <v>SPCC-SD</v>
          </cell>
          <cell r="J812" t="str">
            <v>STEP SUB</v>
          </cell>
          <cell r="K812" t="str">
            <v>1A8296-62330EF-725T(Y704)</v>
          </cell>
          <cell r="L812" t="str">
            <v>Y704</v>
          </cell>
          <cell r="M812" t="str">
            <v>SPCC-SD</v>
          </cell>
          <cell r="N812" t="str">
            <v>STEP SUB</v>
          </cell>
          <cell r="O812" t="str">
            <v>1A8296-62330EF-725T(Y704)</v>
          </cell>
          <cell r="P812" t="str">
            <v>Y704</v>
          </cell>
          <cell r="Q812" t="str">
            <v>tsi</v>
          </cell>
        </row>
        <row r="813">
          <cell r="A813" t="str">
            <v>30033744-1</v>
          </cell>
          <cell r="B813" t="str">
            <v>4.5 x 202+/-0.5 x 1219</v>
          </cell>
          <cell r="C813">
            <v>4.5</v>
          </cell>
          <cell r="D813">
            <v>202</v>
          </cell>
          <cell r="E813">
            <v>1219</v>
          </cell>
          <cell r="F813">
            <v>8.6983573500000002</v>
          </cell>
          <cell r="G813">
            <v>33</v>
          </cell>
          <cell r="H813">
            <v>77005549</v>
          </cell>
          <cell r="I813" t="str">
            <v>SS400</v>
          </cell>
          <cell r="J813" t="str">
            <v>BRACKET TANK COVER A</v>
          </cell>
          <cell r="K813" t="str">
            <v>EF-725T(Y704)</v>
          </cell>
          <cell r="L813" t="str">
            <v>Y704</v>
          </cell>
          <cell r="M813" t="str">
            <v>SS400</v>
          </cell>
          <cell r="N813" t="str">
            <v>BRACKET TANK COVER A</v>
          </cell>
          <cell r="O813" t="str">
            <v>EF-725T(Y704)</v>
          </cell>
          <cell r="P813" t="str">
            <v>Y704</v>
          </cell>
          <cell r="Q813" t="str">
            <v>bm</v>
          </cell>
        </row>
        <row r="814">
          <cell r="A814" t="str">
            <v>30033744-1,6662-1</v>
          </cell>
          <cell r="B814" t="str">
            <v>4.5 x 202+/-0.5 x 1219</v>
          </cell>
          <cell r="C814">
            <v>4.5</v>
          </cell>
          <cell r="D814">
            <v>202</v>
          </cell>
          <cell r="E814">
            <v>1219</v>
          </cell>
          <cell r="F814">
            <v>8.6983573500000002</v>
          </cell>
          <cell r="G814">
            <v>33</v>
          </cell>
          <cell r="H814">
            <v>77005549</v>
          </cell>
          <cell r="I814" t="str">
            <v>SS400</v>
          </cell>
          <cell r="J814" t="str">
            <v>BRACKET TANK COVER A</v>
          </cell>
          <cell r="K814" t="str">
            <v>1A8929-04820</v>
          </cell>
          <cell r="L814" t="str">
            <v>EF-725T(Y704)</v>
          </cell>
          <cell r="M814" t="str">
            <v>SS400</v>
          </cell>
          <cell r="N814" t="str">
            <v>BRACKET TANK COVER A</v>
          </cell>
          <cell r="O814" t="str">
            <v>1A8929-04820</v>
          </cell>
          <cell r="P814" t="str">
            <v>EF-725T(Y704)</v>
          </cell>
          <cell r="Q814" t="str">
            <v>bm</v>
          </cell>
        </row>
        <row r="815">
          <cell r="A815" t="str">
            <v>30033744-2</v>
          </cell>
          <cell r="B815" t="str">
            <v>4.5 x 295+/-0.5 x 1219 โก่ง 2 มม./เน้นเรียบ</v>
          </cell>
          <cell r="C815">
            <v>4.5</v>
          </cell>
          <cell r="D815">
            <v>295</v>
          </cell>
          <cell r="E815">
            <v>1219</v>
          </cell>
          <cell r="F815">
            <v>12.703046625000001</v>
          </cell>
          <cell r="G815">
            <v>22</v>
          </cell>
          <cell r="H815">
            <v>77005555</v>
          </cell>
          <cell r="I815" t="str">
            <v>SS400</v>
          </cell>
          <cell r="J815" t="str">
            <v>BRACKET TANK COVER C</v>
          </cell>
          <cell r="K815" t="str">
            <v>EF-725T(Y704)</v>
          </cell>
          <cell r="L815" t="str">
            <v>Y704</v>
          </cell>
          <cell r="M815" t="str">
            <v>SS400</v>
          </cell>
          <cell r="N815" t="str">
            <v>BRACKET TANK COVER C</v>
          </cell>
          <cell r="O815" t="str">
            <v>EF-725T(Y704)</v>
          </cell>
          <cell r="P815" t="str">
            <v>Y704</v>
          </cell>
          <cell r="Q815" t="str">
            <v>ps</v>
          </cell>
        </row>
        <row r="816">
          <cell r="A816" t="str">
            <v>30033744-3</v>
          </cell>
          <cell r="B816" t="str">
            <v>3.6 x 300+/-0.5 x 1219</v>
          </cell>
          <cell r="C816">
            <v>3.6</v>
          </cell>
          <cell r="D816">
            <v>300</v>
          </cell>
          <cell r="E816">
            <v>1219</v>
          </cell>
          <cell r="F816">
            <v>10.334682000000001</v>
          </cell>
          <cell r="G816">
            <v>10</v>
          </cell>
          <cell r="H816">
            <v>77005520</v>
          </cell>
          <cell r="I816" t="str">
            <v>SPHC-P/O</v>
          </cell>
          <cell r="J816" t="str">
            <v>BRACKET LICENSE</v>
          </cell>
          <cell r="K816" t="str">
            <v>EF-725T(Y704)</v>
          </cell>
          <cell r="L816" t="str">
            <v>Y704</v>
          </cell>
          <cell r="M816" t="str">
            <v>SPHC-P/O</v>
          </cell>
          <cell r="N816" t="str">
            <v>BRACKET LICENSE</v>
          </cell>
          <cell r="O816" t="str">
            <v>EF-725T(Y704)</v>
          </cell>
          <cell r="P816" t="str">
            <v>Y704</v>
          </cell>
          <cell r="Q816" t="str">
            <v>bm</v>
          </cell>
        </row>
        <row r="817">
          <cell r="A817">
            <v>30033764</v>
          </cell>
          <cell r="B817" t="str">
            <v>3.6 x 440+/-0.5 x 1219</v>
          </cell>
          <cell r="C817">
            <v>3.6</v>
          </cell>
          <cell r="D817">
            <v>440</v>
          </cell>
          <cell r="E817">
            <v>1219</v>
          </cell>
          <cell r="F817">
            <v>15.157533599999999</v>
          </cell>
          <cell r="G817">
            <v>27</v>
          </cell>
          <cell r="H817">
            <v>77004782</v>
          </cell>
          <cell r="I817" t="str">
            <v>SPHC-P/O</v>
          </cell>
          <cell r="J817" t="str">
            <v>PLATE LOWER</v>
          </cell>
          <cell r="K817" t="str">
            <v>1A8296-60110EF-725T(Y704)</v>
          </cell>
          <cell r="L817" t="str">
            <v>Y704</v>
          </cell>
          <cell r="M817" t="str">
            <v>SPHC-P/O</v>
          </cell>
          <cell r="N817" t="str">
            <v>PLATE LOWER</v>
          </cell>
          <cell r="O817" t="str">
            <v>1A8296-60110EF-725T(Y704)</v>
          </cell>
          <cell r="P817" t="str">
            <v>Y704</v>
          </cell>
          <cell r="Q817" t="str">
            <v>ptt</v>
          </cell>
        </row>
        <row r="818">
          <cell r="A818">
            <v>30033845</v>
          </cell>
          <cell r="B818" t="str">
            <v>4.5 x 146+/-0.5 x 1219</v>
          </cell>
          <cell r="C818">
            <v>4.5</v>
          </cell>
          <cell r="D818">
            <v>146</v>
          </cell>
          <cell r="E818">
            <v>1219</v>
          </cell>
          <cell r="F818">
            <v>6.2869315500000003</v>
          </cell>
          <cell r="G818">
            <v>12</v>
          </cell>
          <cell r="H818">
            <v>77005547</v>
          </cell>
          <cell r="I818" t="str">
            <v>SS400</v>
          </cell>
          <cell r="J818" t="str">
            <v>BRACKET TANK L</v>
          </cell>
          <cell r="K818" t="str">
            <v>1A8292-04970EF-725T(Y704)</v>
          </cell>
          <cell r="L818" t="str">
            <v>Y704</v>
          </cell>
          <cell r="M818" t="str">
            <v>SS400</v>
          </cell>
          <cell r="N818" t="str">
            <v>BRACKET TANK L</v>
          </cell>
          <cell r="O818" t="str">
            <v>1A8292-04970EF-725T(Y704)</v>
          </cell>
          <cell r="P818" t="str">
            <v>Y704</v>
          </cell>
          <cell r="Q818" t="str">
            <v>bm</v>
          </cell>
        </row>
        <row r="819">
          <cell r="A819">
            <v>30033846</v>
          </cell>
          <cell r="B819" t="str">
            <v>4.5 x 146+/-0.5 x 1219</v>
          </cell>
          <cell r="C819">
            <v>4.5</v>
          </cell>
          <cell r="D819">
            <v>146</v>
          </cell>
          <cell r="E819">
            <v>1219</v>
          </cell>
          <cell r="F819">
            <v>6.2869315500000003</v>
          </cell>
          <cell r="G819">
            <v>12</v>
          </cell>
          <cell r="H819">
            <v>77005547</v>
          </cell>
          <cell r="I819" t="str">
            <v>SS400</v>
          </cell>
          <cell r="J819" t="str">
            <v>BRACKET TANK R</v>
          </cell>
          <cell r="K819" t="str">
            <v>1A8292-04980EF-725T(Y704)</v>
          </cell>
          <cell r="L819" t="str">
            <v>Y704</v>
          </cell>
          <cell r="M819" t="str">
            <v>SS400</v>
          </cell>
          <cell r="N819" t="str">
            <v>BRACKET TANK R</v>
          </cell>
          <cell r="O819" t="str">
            <v>1A8292-04980EF-725T(Y704)</v>
          </cell>
          <cell r="P819" t="str">
            <v>Y704</v>
          </cell>
          <cell r="Q819" t="str">
            <v>bm</v>
          </cell>
        </row>
        <row r="820">
          <cell r="A820" t="str">
            <v>30035044-1</v>
          </cell>
          <cell r="B820" t="str">
            <v>1.6 x 106+/-0.5 x 1219</v>
          </cell>
          <cell r="C820">
            <v>1.6</v>
          </cell>
          <cell r="D820">
            <v>106</v>
          </cell>
          <cell r="E820">
            <v>1219</v>
          </cell>
          <cell r="F820">
            <v>1.62292784</v>
          </cell>
          <cell r="G820">
            <v>12</v>
          </cell>
          <cell r="H820">
            <v>77004588</v>
          </cell>
          <cell r="I820" t="str">
            <v>JSH440W</v>
          </cell>
          <cell r="J820" t="str">
            <v>PLATE BASE</v>
          </cell>
          <cell r="K820" t="str">
            <v>64343-K94A-T000-H1</v>
          </cell>
          <cell r="L820" t="str">
            <v>K94A</v>
          </cell>
          <cell r="M820" t="str">
            <v>JSH440W</v>
          </cell>
          <cell r="N820" t="str">
            <v>PLATE BASE</v>
          </cell>
          <cell r="O820" t="str">
            <v>64343-K94A-T000-H1</v>
          </cell>
          <cell r="P820" t="str">
            <v>K94A</v>
          </cell>
          <cell r="Q820" t="str">
            <v>ptt</v>
          </cell>
          <cell r="R820">
            <v>50</v>
          </cell>
        </row>
        <row r="821">
          <cell r="A821" t="str">
            <v>30035048-2</v>
          </cell>
          <cell r="B821" t="str">
            <v>2.0 x 54+/-0.5 x 1219</v>
          </cell>
          <cell r="C821">
            <v>2</v>
          </cell>
          <cell r="D821">
            <v>54</v>
          </cell>
          <cell r="E821">
            <v>1219</v>
          </cell>
          <cell r="F821">
            <v>1.0334681999999999</v>
          </cell>
          <cell r="G821">
            <v>42</v>
          </cell>
          <cell r="H821">
            <v>77004591</v>
          </cell>
          <cell r="I821" t="str">
            <v>JSH440W</v>
          </cell>
          <cell r="J821" t="str">
            <v>STAY R COWL FR</v>
          </cell>
          <cell r="K821" t="str">
            <v>61346-K94AT000-H1</v>
          </cell>
          <cell r="L821" t="str">
            <v>K94A</v>
          </cell>
          <cell r="M821" t="str">
            <v>JSH440W</v>
          </cell>
          <cell r="N821" t="str">
            <v>STAY R COWL FR</v>
          </cell>
          <cell r="O821" t="str">
            <v>61346-K94AT000-H1</v>
          </cell>
          <cell r="P821" t="str">
            <v>K94A</v>
          </cell>
          <cell r="Q821" t="str">
            <v>ptt</v>
          </cell>
        </row>
        <row r="822">
          <cell r="A822" t="str">
            <v>30035049-1</v>
          </cell>
          <cell r="B822" t="str">
            <v>1.0 x 30+/-0.5 x 1219</v>
          </cell>
          <cell r="C822">
            <v>1</v>
          </cell>
          <cell r="D822">
            <v>30</v>
          </cell>
          <cell r="E822">
            <v>1219</v>
          </cell>
          <cell r="F822">
            <v>0.28707450000000001</v>
          </cell>
          <cell r="G822">
            <v>78</v>
          </cell>
          <cell r="H822">
            <v>77004236</v>
          </cell>
          <cell r="I822" t="str">
            <v>JSC270C</v>
          </cell>
          <cell r="J822" t="str">
            <v>STAY COUPLER (ใช้ R+L)</v>
          </cell>
          <cell r="K822" t="str">
            <v>61348-K94A-T000-H1</v>
          </cell>
          <cell r="L822" t="str">
            <v>K94A</v>
          </cell>
          <cell r="M822" t="str">
            <v>JSC270C</v>
          </cell>
          <cell r="N822" t="str">
            <v>STAY COUPLER (ใช้ R+L)</v>
          </cell>
          <cell r="O822" t="str">
            <v>61348-K94A-T000-H1</v>
          </cell>
          <cell r="P822" t="str">
            <v>K94A</v>
          </cell>
          <cell r="Q822" t="str">
            <v>ptt</v>
          </cell>
        </row>
        <row r="823">
          <cell r="A823" t="str">
            <v>30035049-2</v>
          </cell>
          <cell r="B823" t="str">
            <v>2.0 x 54+/-0.5 x 1219</v>
          </cell>
          <cell r="C823">
            <v>2</v>
          </cell>
          <cell r="D823">
            <v>54</v>
          </cell>
          <cell r="E823">
            <v>1219</v>
          </cell>
          <cell r="F823">
            <v>1.0334681999999999</v>
          </cell>
          <cell r="G823">
            <v>42</v>
          </cell>
          <cell r="H823">
            <v>77004591</v>
          </cell>
          <cell r="I823" t="str">
            <v>JSH440W</v>
          </cell>
          <cell r="J823" t="str">
            <v>STAY L COWL FR</v>
          </cell>
          <cell r="K823" t="str">
            <v>50500-KSSX-J301-24</v>
          </cell>
          <cell r="L823" t="str">
            <v>K94A</v>
          </cell>
          <cell r="M823" t="str">
            <v>JSH440W</v>
          </cell>
          <cell r="N823" t="str">
            <v>STAY L COWL FR</v>
          </cell>
          <cell r="O823" t="str">
            <v>50500-KSSX-J301-24</v>
          </cell>
          <cell r="P823" t="str">
            <v>K94A</v>
          </cell>
          <cell r="Q823" t="str">
            <v>ptt</v>
          </cell>
        </row>
        <row r="824">
          <cell r="A824">
            <v>30035052</v>
          </cell>
          <cell r="B824" t="str">
            <v>6.0 x 68+/-0.5 x 1219</v>
          </cell>
          <cell r="C824">
            <v>6</v>
          </cell>
          <cell r="D824">
            <v>68</v>
          </cell>
          <cell r="E824">
            <v>1219</v>
          </cell>
          <cell r="F824">
            <v>3.9042131999999996</v>
          </cell>
          <cell r="G824">
            <v>52</v>
          </cell>
          <cell r="H824">
            <v>77004579</v>
          </cell>
          <cell r="I824" t="str">
            <v>JSH270C</v>
          </cell>
          <cell r="J824" t="str">
            <v>ARM</v>
          </cell>
          <cell r="K824" t="str">
            <v>24701-K94A-T00-20</v>
          </cell>
          <cell r="L824" t="str">
            <v>K94A</v>
          </cell>
          <cell r="M824" t="str">
            <v>JSH270C</v>
          </cell>
          <cell r="N824" t="str">
            <v>ARM</v>
          </cell>
          <cell r="O824" t="str">
            <v>24701-K94A-T00-20</v>
          </cell>
          <cell r="P824" t="str">
            <v>K94A</v>
          </cell>
          <cell r="Q824" t="str">
            <v>ptt</v>
          </cell>
          <cell r="R824">
            <v>100</v>
          </cell>
        </row>
        <row r="825">
          <cell r="A825">
            <v>30035054</v>
          </cell>
          <cell r="B825" t="str">
            <v>4.0 x 150+/-0.5 x 1219</v>
          </cell>
          <cell r="C825">
            <v>4</v>
          </cell>
          <cell r="D825">
            <v>150</v>
          </cell>
          <cell r="E825">
            <v>1219</v>
          </cell>
          <cell r="F825">
            <v>5.7414899999999998</v>
          </cell>
          <cell r="G825">
            <v>20</v>
          </cell>
          <cell r="H825">
            <v>77004571</v>
          </cell>
          <cell r="I825" t="str">
            <v>JSH270C</v>
          </cell>
          <cell r="J825" t="str">
            <v>ARM</v>
          </cell>
          <cell r="K825" t="str">
            <v>24701-K94A-T000-20</v>
          </cell>
          <cell r="L825" t="str">
            <v>K94A</v>
          </cell>
          <cell r="M825" t="str">
            <v>JSH270C</v>
          </cell>
          <cell r="N825" t="str">
            <v>ARM</v>
          </cell>
          <cell r="O825" t="str">
            <v>24701-K94A-T000-20</v>
          </cell>
          <cell r="P825" t="str">
            <v>K94A</v>
          </cell>
          <cell r="Q825" t="str">
            <v>ptt</v>
          </cell>
        </row>
        <row r="826">
          <cell r="A826" t="str">
            <v>30041189-1</v>
          </cell>
          <cell r="B826" t="str">
            <v>2.3 x 198+/-0.5 x 1220</v>
          </cell>
          <cell r="C826">
            <v>2.2999999999999998</v>
          </cell>
          <cell r="D826">
            <v>198</v>
          </cell>
          <cell r="E826">
            <v>1219</v>
          </cell>
          <cell r="F826">
            <v>4.3577909099999994</v>
          </cell>
          <cell r="G826">
            <v>8</v>
          </cell>
          <cell r="H826">
            <v>77004604</v>
          </cell>
          <cell r="I826" t="str">
            <v>JSH440W</v>
          </cell>
          <cell r="J826" t="str">
            <v>GUSSET</v>
          </cell>
          <cell r="K826" t="str">
            <v>50120-K1B-T000-20</v>
          </cell>
          <cell r="L826" t="str">
            <v>K1BG</v>
          </cell>
          <cell r="M826" t="str">
            <v>JSH440W</v>
          </cell>
          <cell r="N826" t="str">
            <v>GUSSET</v>
          </cell>
          <cell r="O826" t="str">
            <v>50120-K1B-T000-20</v>
          </cell>
          <cell r="P826" t="str">
            <v>K1BG</v>
          </cell>
          <cell r="Q826" t="str">
            <v>ptt</v>
          </cell>
          <cell r="R826">
            <v>100</v>
          </cell>
        </row>
        <row r="827">
          <cell r="A827" t="str">
            <v>30041190-2</v>
          </cell>
          <cell r="B827" t="str">
            <v>2.0 x 110+/-0.5 x 1219</v>
          </cell>
          <cell r="C827">
            <v>2</v>
          </cell>
          <cell r="D827">
            <v>110</v>
          </cell>
          <cell r="E827">
            <v>1220</v>
          </cell>
          <cell r="F827">
            <v>2.1069399999999998</v>
          </cell>
          <cell r="G827">
            <v>16</v>
          </cell>
          <cell r="H827">
            <v>77004514</v>
          </cell>
          <cell r="I827" t="str">
            <v>JSH270C</v>
          </cell>
          <cell r="J827" t="str">
            <v>GUSSET FR, MAIN LOWER PIPE</v>
          </cell>
          <cell r="K827" t="str">
            <v>50154-K1B-T000-H1</v>
          </cell>
          <cell r="L827" t="str">
            <v>K1BG</v>
          </cell>
          <cell r="M827" t="str">
            <v>JSH270C</v>
          </cell>
          <cell r="N827" t="str">
            <v>GUSSET FR, MAIN LOWER PIPE</v>
          </cell>
          <cell r="O827" t="str">
            <v>50154-K1B-T000-H1</v>
          </cell>
          <cell r="P827" t="str">
            <v>K1BG</v>
          </cell>
          <cell r="Q827" t="str">
            <v>ptt</v>
          </cell>
        </row>
        <row r="828">
          <cell r="A828" t="str">
            <v>30041190-3</v>
          </cell>
          <cell r="B828" t="str">
            <v>1.6 x 140+/-0.5 x 1219</v>
          </cell>
          <cell r="C828">
            <v>1.6</v>
          </cell>
          <cell r="D828">
            <v>140</v>
          </cell>
          <cell r="E828">
            <v>1219</v>
          </cell>
          <cell r="F828">
            <v>2.1434896000000001</v>
          </cell>
          <cell r="G828">
            <v>17</v>
          </cell>
          <cell r="H828">
            <v>77004863</v>
          </cell>
          <cell r="I828" t="str">
            <v>JSH270C</v>
          </cell>
          <cell r="J828" t="str">
            <v>GUSSET RR, MAIN LOWER PIPE</v>
          </cell>
          <cell r="K828" t="str">
            <v>50155-K1B-T000-H1</v>
          </cell>
          <cell r="L828" t="str">
            <v>K1BG</v>
          </cell>
          <cell r="M828" t="str">
            <v>JSH270C</v>
          </cell>
          <cell r="N828" t="str">
            <v>GUSSET RR, MAIN LOWER PIPE</v>
          </cell>
          <cell r="O828" t="str">
            <v>50155-K1B-T000-H1</v>
          </cell>
          <cell r="P828" t="str">
            <v>K1BG</v>
          </cell>
          <cell r="Q828" t="str">
            <v>ptt</v>
          </cell>
        </row>
        <row r="829">
          <cell r="A829">
            <v>30013847</v>
          </cell>
          <cell r="B829" t="str">
            <v>2.5 x 75+/-0.5 x 1219</v>
          </cell>
          <cell r="C829">
            <v>2.5</v>
          </cell>
          <cell r="D829">
            <v>75</v>
          </cell>
          <cell r="E829">
            <v>1219</v>
          </cell>
          <cell r="F829">
            <v>1.7942156250000001</v>
          </cell>
          <cell r="G829">
            <v>116</v>
          </cell>
          <cell r="H829">
            <v>77004361</v>
          </cell>
          <cell r="I829" t="str">
            <v>SPHC-P/O</v>
          </cell>
          <cell r="J829" t="str">
            <v>STAY CTR SIDE COVER</v>
          </cell>
          <cell r="K829" t="str">
            <v>50147-KYJA-9001-H1</v>
          </cell>
          <cell r="M829" t="str">
            <v>SPHC-P/O</v>
          </cell>
          <cell r="N829" t="str">
            <v>STAY CTR SIDE COVER</v>
          </cell>
          <cell r="O829" t="str">
            <v>50147-KYJA-9001-H1</v>
          </cell>
          <cell r="Q829" t="e">
            <v>#N/A</v>
          </cell>
        </row>
        <row r="830">
          <cell r="A830">
            <v>30016639</v>
          </cell>
          <cell r="B830" t="str">
            <v>1.4 x 43+/-0.5 x 1219</v>
          </cell>
          <cell r="C830">
            <v>1.4</v>
          </cell>
          <cell r="D830">
            <v>43</v>
          </cell>
          <cell r="E830">
            <v>1219</v>
          </cell>
          <cell r="F830">
            <v>0.5760628299999998</v>
          </cell>
          <cell r="G830">
            <v>37</v>
          </cell>
          <cell r="H830">
            <v>77004676</v>
          </cell>
          <cell r="I830" t="str">
            <v>SPCC-SD</v>
          </cell>
          <cell r="J830" t="str">
            <v>STAY L SKID PLATE</v>
          </cell>
          <cell r="K830" t="str">
            <v>50142-KZZA-9000-H1</v>
          </cell>
          <cell r="L830" t="str">
            <v>T</v>
          </cell>
          <cell r="M830" t="str">
            <v>SPCC-SD</v>
          </cell>
          <cell r="N830" t="str">
            <v>STAY L SKID PLATE</v>
          </cell>
          <cell r="O830" t="str">
            <v>50142-KZZA-9000-H1</v>
          </cell>
          <cell r="P830" t="str">
            <v>T</v>
          </cell>
          <cell r="Q830" t="e">
            <v>#N/A</v>
          </cell>
        </row>
        <row r="831">
          <cell r="A831">
            <v>30016642</v>
          </cell>
          <cell r="B831" t="str">
            <v>1.4 x 43+/-0.5 x 1219</v>
          </cell>
          <cell r="C831">
            <v>1.4</v>
          </cell>
          <cell r="D831">
            <v>43</v>
          </cell>
          <cell r="E831">
            <v>1219</v>
          </cell>
          <cell r="F831">
            <v>0.5760628299999998</v>
          </cell>
          <cell r="G831">
            <v>37</v>
          </cell>
          <cell r="H831">
            <v>77004676</v>
          </cell>
          <cell r="I831" t="str">
            <v>SPCC-SD</v>
          </cell>
          <cell r="J831" t="str">
            <v>STAY R SKID PLATE</v>
          </cell>
          <cell r="K831" t="str">
            <v>50142-KZZA-9000-H1</v>
          </cell>
          <cell r="L831" t="str">
            <v>T</v>
          </cell>
          <cell r="M831" t="str">
            <v>SPCC-SD</v>
          </cell>
          <cell r="N831" t="str">
            <v>STAY R SKID PLATE</v>
          </cell>
          <cell r="O831" t="str">
            <v>50142-KZZA-9000-H1</v>
          </cell>
          <cell r="P831" t="str">
            <v>T</v>
          </cell>
          <cell r="Q831" t="e">
            <v>#N/A</v>
          </cell>
        </row>
        <row r="832">
          <cell r="A832">
            <v>30029208</v>
          </cell>
          <cell r="B832" t="str">
            <v>1.2 x 61+/-0.5 x 1219</v>
          </cell>
          <cell r="C832">
            <v>1.2</v>
          </cell>
          <cell r="D832">
            <v>61</v>
          </cell>
          <cell r="E832">
            <v>1219</v>
          </cell>
          <cell r="F832">
            <v>0.70046178000000003</v>
          </cell>
          <cell r="H832">
            <v>77004890</v>
          </cell>
          <cell r="I832" t="str">
            <v>JSC270C</v>
          </cell>
          <cell r="J832" t="str">
            <v>COLLAR DRIVE C/C</v>
          </cell>
          <cell r="K832" t="str">
            <v>40511-KYJ-9000</v>
          </cell>
          <cell r="L832" t="str">
            <v>K20J</v>
          </cell>
          <cell r="M832" t="str">
            <v>JSC270C</v>
          </cell>
          <cell r="N832" t="str">
            <v>COLLAR DRIVE C/C</v>
          </cell>
          <cell r="O832" t="str">
            <v>40511-KYJ-9000</v>
          </cell>
          <cell r="P832" t="str">
            <v>K20J</v>
          </cell>
          <cell r="Q832" t="e">
            <v>#N/A</v>
          </cell>
        </row>
        <row r="833">
          <cell r="A833">
            <v>30035048</v>
          </cell>
          <cell r="B833" t="str">
            <v>1.0 x 30+/-0.5 x 1219</v>
          </cell>
          <cell r="C833">
            <v>1</v>
          </cell>
          <cell r="D833">
            <v>30</v>
          </cell>
          <cell r="E833">
            <v>1219</v>
          </cell>
          <cell r="F833">
            <v>0.28707450000000001</v>
          </cell>
          <cell r="G833">
            <v>78</v>
          </cell>
          <cell r="H833">
            <v>77004236</v>
          </cell>
          <cell r="I833" t="str">
            <v>JSC270C</v>
          </cell>
          <cell r="J833" t="str">
            <v>STAY COUPLER (ใช้ R+L)</v>
          </cell>
          <cell r="K833" t="str">
            <v>61348-K94A-T000-H1</v>
          </cell>
          <cell r="L833" t="str">
            <v>K94A</v>
          </cell>
          <cell r="M833" t="str">
            <v>JSC270C</v>
          </cell>
          <cell r="N833" t="str">
            <v>STAY COUPLER (ใช้ R+L)</v>
          </cell>
          <cell r="O833" t="str">
            <v>61348-K94A-T000-H1</v>
          </cell>
          <cell r="P833" t="str">
            <v>K94A</v>
          </cell>
          <cell r="Q833" t="str">
            <v>ptt</v>
          </cell>
        </row>
        <row r="834">
          <cell r="A834">
            <v>30035317</v>
          </cell>
          <cell r="B834" t="str">
            <v>2.3 x 316+/-0.5 x 1219</v>
          </cell>
          <cell r="C834">
            <v>2.2999999999999998</v>
          </cell>
          <cell r="D834">
            <v>316</v>
          </cell>
          <cell r="E834">
            <v>1219</v>
          </cell>
          <cell r="F834">
            <v>6.9548582199999993</v>
          </cell>
          <cell r="G834">
            <v>11</v>
          </cell>
          <cell r="H834">
            <v>77006044</v>
          </cell>
          <cell r="I834" t="str">
            <v>SPHC-P/O</v>
          </cell>
          <cell r="J834" t="str">
            <v>BRACKET SEAT LOCK</v>
          </cell>
          <cell r="K834" t="str">
            <v>41131-45H00</v>
          </cell>
          <cell r="L834" t="str">
            <v>KC601</v>
          </cell>
          <cell r="M834" t="str">
            <v>SPHC-P/O</v>
          </cell>
          <cell r="N834" t="str">
            <v>BRACKET SEAT LOCK</v>
          </cell>
          <cell r="O834" t="str">
            <v>41131-45H00</v>
          </cell>
          <cell r="P834" t="str">
            <v>KC601</v>
          </cell>
          <cell r="Q834" t="str">
            <v>tsi</v>
          </cell>
          <cell r="R834">
            <v>50</v>
          </cell>
        </row>
        <row r="835">
          <cell r="A835">
            <v>30035699</v>
          </cell>
          <cell r="B835" t="str">
            <v>1.6 x 97+/-0.5 x 1219</v>
          </cell>
          <cell r="C835">
            <v>1.6</v>
          </cell>
          <cell r="D835">
            <v>97</v>
          </cell>
          <cell r="E835">
            <v>1219</v>
          </cell>
          <cell r="F835">
            <v>1.4851320800000001</v>
          </cell>
          <cell r="G835">
            <v>46</v>
          </cell>
          <cell r="H835">
            <v>77004587</v>
          </cell>
          <cell r="I835" t="str">
            <v>SAPH440</v>
          </cell>
          <cell r="J835" t="str">
            <v>GUSSET FR INNER</v>
          </cell>
          <cell r="K835" t="str">
            <v>50197-K97F-T004-H1</v>
          </cell>
          <cell r="L835" t="str">
            <v>K97F</v>
          </cell>
          <cell r="M835" t="str">
            <v>SAPH440</v>
          </cell>
          <cell r="N835" t="str">
            <v>GUSSET FR INNER</v>
          </cell>
          <cell r="O835" t="str">
            <v>50197-K97F-T004-H1</v>
          </cell>
          <cell r="P835" t="str">
            <v>K97F</v>
          </cell>
          <cell r="Q835" t="str">
            <v>ptt</v>
          </cell>
        </row>
        <row r="836">
          <cell r="A836">
            <v>30035700</v>
          </cell>
          <cell r="B836" t="str">
            <v>1.4 x 59+/-0.5 x 1219</v>
          </cell>
          <cell r="C836">
            <v>1.4</v>
          </cell>
          <cell r="D836">
            <v>59</v>
          </cell>
          <cell r="E836">
            <v>1219</v>
          </cell>
          <cell r="F836">
            <v>0.79041178999999995</v>
          </cell>
          <cell r="G836">
            <v>66</v>
          </cell>
          <cell r="H836">
            <v>77004230</v>
          </cell>
          <cell r="I836" t="str">
            <v>JSC440W</v>
          </cell>
          <cell r="J836" t="str">
            <v>GUSSET FR UPPER</v>
          </cell>
          <cell r="K836" t="str">
            <v>50146-K97F-T004-H1</v>
          </cell>
          <cell r="L836" t="str">
            <v>K97F</v>
          </cell>
          <cell r="M836" t="str">
            <v>JSC440W</v>
          </cell>
          <cell r="N836" t="str">
            <v>GUSSET FR UPPER</v>
          </cell>
          <cell r="O836" t="str">
            <v>50146-K97F-T004-H1</v>
          </cell>
          <cell r="P836" t="str">
            <v>K97F</v>
          </cell>
          <cell r="Q836" t="str">
            <v>ptt</v>
          </cell>
        </row>
        <row r="837">
          <cell r="A837">
            <v>30035702</v>
          </cell>
          <cell r="B837" t="str">
            <v>2.0 x 122+/-0.5 x 1219</v>
          </cell>
          <cell r="C837">
            <v>2</v>
          </cell>
          <cell r="D837">
            <v>122</v>
          </cell>
          <cell r="E837">
            <v>1219</v>
          </cell>
          <cell r="F837">
            <v>2.3348726000000002</v>
          </cell>
          <cell r="G837">
            <v>22</v>
          </cell>
          <cell r="H837">
            <v>77004595</v>
          </cell>
          <cell r="I837" t="str">
            <v>SAPH440</v>
          </cell>
          <cell r="J837" t="str">
            <v>GUSSET R FR MID SIZE</v>
          </cell>
          <cell r="K837" t="str">
            <v>50125-K97F-T000-H1</v>
          </cell>
          <cell r="L837" t="str">
            <v>K97F</v>
          </cell>
          <cell r="M837" t="str">
            <v>SAPH440</v>
          </cell>
          <cell r="N837" t="str">
            <v>GUSSET R FR MID SIZE</v>
          </cell>
          <cell r="O837" t="str">
            <v>50125-K97F-T000-H1</v>
          </cell>
          <cell r="P837" t="str">
            <v>K97F</v>
          </cell>
          <cell r="Q837" t="e">
            <v>#N/A</v>
          </cell>
        </row>
        <row r="838">
          <cell r="A838">
            <v>30035703</v>
          </cell>
          <cell r="B838" t="str">
            <v>1.6 x 54+/-0.5 x 1219</v>
          </cell>
          <cell r="C838">
            <v>1.6</v>
          </cell>
          <cell r="D838">
            <v>54</v>
          </cell>
          <cell r="E838">
            <v>1219</v>
          </cell>
          <cell r="F838">
            <v>0.82677456000000005</v>
          </cell>
          <cell r="G838">
            <v>24</v>
          </cell>
          <cell r="H838">
            <v>77004585</v>
          </cell>
          <cell r="I838" t="str">
            <v>SAPH440</v>
          </cell>
          <cell r="J838" t="str">
            <v>PATCH R SUB PIPE FR</v>
          </cell>
          <cell r="K838" t="str">
            <v>50155-K97F-T002-H1</v>
          </cell>
          <cell r="L838" t="str">
            <v>K97F</v>
          </cell>
          <cell r="M838" t="str">
            <v>SAPH440</v>
          </cell>
          <cell r="N838" t="str">
            <v>PATCH R SUB PIPE FR</v>
          </cell>
          <cell r="O838" t="str">
            <v>50155-K97F-T002-H1</v>
          </cell>
          <cell r="P838" t="str">
            <v>K97F</v>
          </cell>
          <cell r="Q838" t="str">
            <v>ptt</v>
          </cell>
        </row>
        <row r="839">
          <cell r="A839">
            <v>30035705</v>
          </cell>
          <cell r="B839" t="str">
            <v>1.6 x 52+/-0.5 x 1219</v>
          </cell>
          <cell r="C839">
            <v>1.6</v>
          </cell>
          <cell r="D839">
            <v>52</v>
          </cell>
          <cell r="E839">
            <v>1219</v>
          </cell>
          <cell r="F839">
            <v>0.79615328000000007</v>
          </cell>
          <cell r="G839">
            <v>49</v>
          </cell>
          <cell r="H839">
            <v>77004444</v>
          </cell>
          <cell r="I839" t="str">
            <v>JSH270C</v>
          </cell>
          <cell r="J839" t="str">
            <v>STAY A COUPLER</v>
          </cell>
          <cell r="K839" t="str">
            <v>50184-K97F-T003-H1</v>
          </cell>
          <cell r="L839" t="str">
            <v>K97F</v>
          </cell>
          <cell r="M839" t="str">
            <v>JSH270C</v>
          </cell>
          <cell r="N839" t="str">
            <v>STAY A COUPLER</v>
          </cell>
          <cell r="O839" t="str">
            <v>50184-K97F-T003-H1</v>
          </cell>
          <cell r="P839" t="str">
            <v>K97F</v>
          </cell>
          <cell r="Q839" t="str">
            <v>ptt</v>
          </cell>
        </row>
        <row r="840">
          <cell r="A840">
            <v>30035718</v>
          </cell>
          <cell r="B840" t="str">
            <v>2.0 x 122+/-0.5 x 1219</v>
          </cell>
          <cell r="C840">
            <v>2</v>
          </cell>
          <cell r="D840">
            <v>122</v>
          </cell>
          <cell r="E840">
            <v>1219</v>
          </cell>
          <cell r="F840">
            <v>2.3348726000000002</v>
          </cell>
          <cell r="G840">
            <v>22</v>
          </cell>
          <cell r="H840">
            <v>77004595</v>
          </cell>
          <cell r="I840" t="str">
            <v>SAPH440</v>
          </cell>
          <cell r="J840" t="str">
            <v>GUSSET L</v>
          </cell>
          <cell r="K840" t="str">
            <v>50126-K97F-T000-H1</v>
          </cell>
          <cell r="L840" t="str">
            <v>K97F</v>
          </cell>
          <cell r="M840" t="str">
            <v>SAPH440</v>
          </cell>
          <cell r="N840" t="str">
            <v>GUSSET L</v>
          </cell>
          <cell r="O840" t="str">
            <v>50126-K97F-T000-H1</v>
          </cell>
          <cell r="P840" t="str">
            <v>K97F</v>
          </cell>
          <cell r="Q840" t="e">
            <v>#N/A</v>
          </cell>
        </row>
        <row r="841">
          <cell r="A841">
            <v>30035719</v>
          </cell>
          <cell r="B841" t="str">
            <v>1.6 x 54+/-0.5 x 1219</v>
          </cell>
          <cell r="C841">
            <v>1.6</v>
          </cell>
          <cell r="D841">
            <v>54</v>
          </cell>
          <cell r="E841">
            <v>1219</v>
          </cell>
          <cell r="F841">
            <v>0.82677456000000005</v>
          </cell>
          <cell r="G841">
            <v>24</v>
          </cell>
          <cell r="H841">
            <v>77004585</v>
          </cell>
          <cell r="I841" t="str">
            <v>SAPH440</v>
          </cell>
          <cell r="J841" t="str">
            <v>PATCH L SUB PIPE FR</v>
          </cell>
          <cell r="K841" t="str">
            <v>50156-K97F-T002-H1</v>
          </cell>
          <cell r="L841" t="str">
            <v>K97F</v>
          </cell>
          <cell r="M841" t="str">
            <v>SAPH440</v>
          </cell>
          <cell r="N841" t="str">
            <v>PATCH L SUB PIPE FR</v>
          </cell>
          <cell r="O841" t="str">
            <v>50156-K97F-T002-H1</v>
          </cell>
          <cell r="P841" t="str">
            <v>K97F</v>
          </cell>
          <cell r="Q841" t="str">
            <v>ptt</v>
          </cell>
        </row>
        <row r="842">
          <cell r="A842">
            <v>30035783</v>
          </cell>
          <cell r="B842" t="str">
            <v>6.0 x 62+/-0.5 x 1219</v>
          </cell>
          <cell r="C842">
            <v>6</v>
          </cell>
          <cell r="D842">
            <v>62</v>
          </cell>
          <cell r="E842">
            <v>1219</v>
          </cell>
          <cell r="F842">
            <v>3.5597238</v>
          </cell>
          <cell r="G842">
            <v>50</v>
          </cell>
          <cell r="H842">
            <v>77004578</v>
          </cell>
          <cell r="I842" t="str">
            <v>JSH270C</v>
          </cell>
          <cell r="J842" t="str">
            <v>ARM</v>
          </cell>
          <cell r="K842" t="str">
            <v>24711-KOAA-E102-21</v>
          </cell>
          <cell r="L842" t="str">
            <v>KOAA</v>
          </cell>
          <cell r="M842" t="str">
            <v>JSH270C</v>
          </cell>
          <cell r="N842" t="str">
            <v>ARM</v>
          </cell>
          <cell r="O842" t="str">
            <v>24711-KOAA-E102-21</v>
          </cell>
          <cell r="P842" t="str">
            <v>KOAA</v>
          </cell>
          <cell r="Q842" t="str">
            <v>ptt</v>
          </cell>
        </row>
        <row r="843">
          <cell r="A843">
            <v>30036259</v>
          </cell>
          <cell r="B843" t="str">
            <v>1.0 x 71+/-0.5 x 1219</v>
          </cell>
          <cell r="C843">
            <v>1</v>
          </cell>
          <cell r="D843">
            <v>71</v>
          </cell>
          <cell r="E843">
            <v>1219</v>
          </cell>
          <cell r="F843">
            <v>0.67940964999999998</v>
          </cell>
          <cell r="H843">
            <v>77004262</v>
          </cell>
          <cell r="I843" t="str">
            <v>JSC270C</v>
          </cell>
          <cell r="J843" t="str">
            <v>STAY L (COVER BATTERY)</v>
          </cell>
          <cell r="M843" t="str">
            <v>JSC270C</v>
          </cell>
          <cell r="N843" t="str">
            <v>STAY L (COVER BATTERY)</v>
          </cell>
          <cell r="Q843" t="str">
            <v>ptt</v>
          </cell>
        </row>
        <row r="844">
          <cell r="A844">
            <v>30036259</v>
          </cell>
          <cell r="B844" t="str">
            <v>3.2 x 78+/-0.5 x 1219</v>
          </cell>
          <cell r="C844">
            <v>3.2</v>
          </cell>
          <cell r="D844">
            <v>78</v>
          </cell>
          <cell r="E844">
            <v>1219</v>
          </cell>
          <cell r="F844">
            <v>2.3884598399999999</v>
          </cell>
          <cell r="H844">
            <v>77004559</v>
          </cell>
          <cell r="I844" t="str">
            <v>JSH270C</v>
          </cell>
          <cell r="J844" t="str">
            <v>STAY L (RADIATOR)</v>
          </cell>
          <cell r="M844" t="str">
            <v>JSH270C</v>
          </cell>
          <cell r="N844" t="str">
            <v>STAY L (RADIATOR)</v>
          </cell>
          <cell r="Q844" t="str">
            <v>ptt</v>
          </cell>
        </row>
        <row r="845">
          <cell r="A845">
            <v>30036268</v>
          </cell>
          <cell r="B845" t="str">
            <v>1.0 x 55+/-0.5 x 1219</v>
          </cell>
          <cell r="C845">
            <v>1</v>
          </cell>
          <cell r="D845">
            <v>55</v>
          </cell>
          <cell r="E845">
            <v>1219</v>
          </cell>
          <cell r="F845">
            <v>0.52630325</v>
          </cell>
          <cell r="G845">
            <v>69</v>
          </cell>
          <cell r="H845">
            <v>77004258</v>
          </cell>
          <cell r="I845" t="str">
            <v>JSC270C</v>
          </cell>
          <cell r="J845" t="str">
            <v>CLAMP CABLE</v>
          </cell>
          <cell r="K845" t="str">
            <v>50191-GAV-7000-H1</v>
          </cell>
          <cell r="L845" t="str">
            <v>K0FA</v>
          </cell>
          <cell r="M845" t="str">
            <v>JSC270C</v>
          </cell>
          <cell r="N845" t="str">
            <v>CLAMP CABLE</v>
          </cell>
          <cell r="O845" t="str">
            <v>50191-GAV-7000-H1</v>
          </cell>
          <cell r="P845" t="str">
            <v>K0FA</v>
          </cell>
          <cell r="Q845" t="str">
            <v>ptt</v>
          </cell>
        </row>
        <row r="846">
          <cell r="A846">
            <v>30036272</v>
          </cell>
          <cell r="B846" t="str">
            <v>1.6 x 87+/-0.5 x 1219</v>
          </cell>
          <cell r="C846">
            <v>1.6</v>
          </cell>
          <cell r="D846">
            <v>87</v>
          </cell>
          <cell r="E846">
            <v>1219</v>
          </cell>
          <cell r="F846">
            <v>1.3320256800000001</v>
          </cell>
          <cell r="G846">
            <v>26</v>
          </cell>
          <cell r="H846">
            <v>77004459</v>
          </cell>
          <cell r="I846" t="str">
            <v>JSH270C</v>
          </cell>
          <cell r="J846" t="str">
            <v>PLATE</v>
          </cell>
          <cell r="K846" t="str">
            <v>50102-K26-9000-21</v>
          </cell>
          <cell r="L846" t="str">
            <v>K0FA</v>
          </cell>
          <cell r="M846" t="str">
            <v>JSH270C</v>
          </cell>
          <cell r="N846" t="str">
            <v>PLATE</v>
          </cell>
          <cell r="O846" t="str">
            <v>50102-K26-9000-21</v>
          </cell>
          <cell r="P846" t="str">
            <v>K0FA</v>
          </cell>
          <cell r="Q846" t="str">
            <v>ptt</v>
          </cell>
        </row>
        <row r="847">
          <cell r="A847" t="str">
            <v>30036276-1</v>
          </cell>
          <cell r="B847" t="str">
            <v>2.0 x 75+/-0.5 x 1219</v>
          </cell>
          <cell r="C847">
            <v>2</v>
          </cell>
          <cell r="D847">
            <v>75</v>
          </cell>
          <cell r="E847">
            <v>1219</v>
          </cell>
          <cell r="F847">
            <v>1.4353724999999999</v>
          </cell>
          <cell r="G847">
            <v>23</v>
          </cell>
          <cell r="H847">
            <v>77004498</v>
          </cell>
          <cell r="I847" t="str">
            <v>JSH270C</v>
          </cell>
          <cell r="J847" t="str">
            <v>STAY L FR AIR/C</v>
          </cell>
          <cell r="K847" t="str">
            <v>50157-K0FA-T000-H1</v>
          </cell>
          <cell r="L847" t="str">
            <v>K0FA</v>
          </cell>
          <cell r="M847" t="str">
            <v>JSH270C</v>
          </cell>
          <cell r="N847" t="str">
            <v>STAY L FR AIR/C</v>
          </cell>
          <cell r="O847" t="str">
            <v>50157-K0FA-T000-H1</v>
          </cell>
          <cell r="P847" t="str">
            <v>K0FA</v>
          </cell>
          <cell r="Q847" t="str">
            <v>ptt</v>
          </cell>
        </row>
        <row r="848">
          <cell r="A848">
            <v>30036280</v>
          </cell>
          <cell r="B848" t="str">
            <v>1.6 x 60+/-0.5 x 1219</v>
          </cell>
          <cell r="C848">
            <v>1.6</v>
          </cell>
          <cell r="D848">
            <v>60</v>
          </cell>
          <cell r="E848">
            <v>1219</v>
          </cell>
          <cell r="F848">
            <v>0.91863839999999986</v>
          </cell>
          <cell r="G848">
            <v>47</v>
          </cell>
          <cell r="H848">
            <v>77004449</v>
          </cell>
          <cell r="I848" t="str">
            <v>JSH270C</v>
          </cell>
          <cell r="J848" t="str">
            <v>STAY HARNESS CLIP</v>
          </cell>
          <cell r="K848" t="str">
            <v>50161-KOFA-T000-H1</v>
          </cell>
          <cell r="L848" t="str">
            <v>K0FA</v>
          </cell>
          <cell r="M848" t="str">
            <v>JSH270C</v>
          </cell>
          <cell r="N848" t="str">
            <v>STAY HARNESS CLIP</v>
          </cell>
          <cell r="O848" t="str">
            <v>50161-KOFA-T000-H1</v>
          </cell>
          <cell r="P848" t="str">
            <v>K0FA</v>
          </cell>
          <cell r="Q848" t="str">
            <v>ptt</v>
          </cell>
        </row>
        <row r="849">
          <cell r="A849" t="str">
            <v>30036282-1</v>
          </cell>
          <cell r="B849" t="str">
            <v>2.6 x 85+/-0.5 x 1219</v>
          </cell>
          <cell r="C849">
            <v>2.6</v>
          </cell>
          <cell r="D849">
            <v>85</v>
          </cell>
          <cell r="E849">
            <v>1219</v>
          </cell>
          <cell r="F849">
            <v>2.1147821499999999</v>
          </cell>
          <cell r="G849">
            <v>23</v>
          </cell>
          <cell r="H849">
            <v>77004543</v>
          </cell>
          <cell r="I849" t="str">
            <v>JSH270C</v>
          </cell>
          <cell r="J849" t="str">
            <v>STAY IGN COIL</v>
          </cell>
          <cell r="K849" t="str">
            <v>50143-K0FA-T000-H1</v>
          </cell>
          <cell r="L849" t="str">
            <v>K0FA</v>
          </cell>
          <cell r="M849" t="str">
            <v>JSH270C</v>
          </cell>
          <cell r="N849" t="str">
            <v>STAY IGN COIL</v>
          </cell>
          <cell r="O849" t="str">
            <v>50143-K0FA-T000-H1</v>
          </cell>
          <cell r="P849" t="str">
            <v>K0FA</v>
          </cell>
          <cell r="Q849" t="str">
            <v>ptt</v>
          </cell>
        </row>
        <row r="850">
          <cell r="A850" t="str">
            <v>30036285-1</v>
          </cell>
          <cell r="B850" t="str">
            <v>2.0 x 95+/-0.5 x 1219</v>
          </cell>
          <cell r="C850">
            <v>2</v>
          </cell>
          <cell r="D850">
            <v>95</v>
          </cell>
          <cell r="E850">
            <v>1219</v>
          </cell>
          <cell r="F850">
            <v>1.8181385000000001</v>
          </cell>
          <cell r="G850">
            <v>78</v>
          </cell>
          <cell r="H850">
            <v>77004510</v>
          </cell>
          <cell r="I850" t="str">
            <v>JSH270C</v>
          </cell>
          <cell r="J850" t="str">
            <v>STAY FR ABS</v>
          </cell>
          <cell r="K850" t="str">
            <v>50156-K0FA-T000-H1</v>
          </cell>
          <cell r="L850" t="str">
            <v>K0FA</v>
          </cell>
          <cell r="M850" t="str">
            <v>JSH270C</v>
          </cell>
          <cell r="N850" t="str">
            <v>STAY FR ABS</v>
          </cell>
          <cell r="O850" t="str">
            <v>50156-K0FA-T000-H1</v>
          </cell>
          <cell r="P850" t="str">
            <v>K0FA</v>
          </cell>
          <cell r="Q850" t="str">
            <v>ptt</v>
          </cell>
        </row>
        <row r="851">
          <cell r="A851">
            <v>30036287</v>
          </cell>
          <cell r="B851" t="str">
            <v>6.0 x 205+/-0.5 x 1219</v>
          </cell>
          <cell r="C851">
            <v>6</v>
          </cell>
          <cell r="D851">
            <v>205</v>
          </cell>
          <cell r="E851">
            <v>1219</v>
          </cell>
          <cell r="F851">
            <v>11.770054500000001</v>
          </cell>
          <cell r="G851">
            <v>36</v>
          </cell>
          <cell r="H851">
            <v>77004795</v>
          </cell>
          <cell r="I851" t="str">
            <v>JSH270C</v>
          </cell>
          <cell r="J851" t="str">
            <v>ARM</v>
          </cell>
          <cell r="K851" t="str">
            <v>24701-K0FA-T003-20</v>
          </cell>
          <cell r="L851" t="str">
            <v>T</v>
          </cell>
          <cell r="M851" t="str">
            <v>JSH270C</v>
          </cell>
          <cell r="N851" t="str">
            <v>ARM</v>
          </cell>
          <cell r="O851" t="str">
            <v>24701-K0FA-T003-20</v>
          </cell>
          <cell r="P851" t="str">
            <v>T</v>
          </cell>
          <cell r="Q851" t="e">
            <v>#N/A</v>
          </cell>
        </row>
        <row r="852">
          <cell r="A852">
            <v>30037033</v>
          </cell>
          <cell r="B852" t="str">
            <v>2.0 x 115+/-0.5 x 1219</v>
          </cell>
          <cell r="C852">
            <v>2</v>
          </cell>
          <cell r="D852">
            <v>115</v>
          </cell>
          <cell r="E852">
            <v>1219</v>
          </cell>
          <cell r="F852">
            <v>2.2009045</v>
          </cell>
          <cell r="G852">
            <v>31</v>
          </cell>
          <cell r="H852">
            <v>77004799</v>
          </cell>
          <cell r="I852" t="str">
            <v>JSH270C</v>
          </cell>
          <cell r="J852" t="str">
            <v>STAY R BAT BOX FR</v>
          </cell>
          <cell r="K852" t="str">
            <v>50141-K0HA-J000-H1</v>
          </cell>
          <cell r="L852" t="str">
            <v>T</v>
          </cell>
          <cell r="M852" t="str">
            <v>JSH270C</v>
          </cell>
          <cell r="N852" t="str">
            <v>STAY R BAT BOX FR</v>
          </cell>
          <cell r="O852" t="str">
            <v>50141-K0HA-J000-H1</v>
          </cell>
          <cell r="P852" t="str">
            <v>T</v>
          </cell>
          <cell r="Q852" t="e">
            <v>#N/A</v>
          </cell>
        </row>
        <row r="853">
          <cell r="A853">
            <v>30037034</v>
          </cell>
          <cell r="B853" t="str">
            <v>2.0 x 55+/-0.5 x 1219</v>
          </cell>
          <cell r="C853">
            <v>2</v>
          </cell>
          <cell r="D853">
            <v>55</v>
          </cell>
          <cell r="E853">
            <v>1219</v>
          </cell>
          <cell r="F853">
            <v>1.0526065</v>
          </cell>
          <cell r="G853">
            <v>21</v>
          </cell>
          <cell r="H853">
            <v>77004752</v>
          </cell>
          <cell r="I853" t="str">
            <v>JSH270C</v>
          </cell>
          <cell r="J853" t="str">
            <v>STAY PWR CONRL UNIT</v>
          </cell>
          <cell r="K853" t="str">
            <v>50147-K0HA-J000-H1</v>
          </cell>
          <cell r="L853" t="str">
            <v>T</v>
          </cell>
          <cell r="M853" t="str">
            <v>JSH270C</v>
          </cell>
          <cell r="N853" t="str">
            <v>STAY PWR CONRL UNIT</v>
          </cell>
          <cell r="O853" t="str">
            <v>50147-K0HA-J000-H1</v>
          </cell>
          <cell r="P853" t="str">
            <v>T</v>
          </cell>
          <cell r="Q853" t="e">
            <v>#N/A</v>
          </cell>
        </row>
        <row r="854">
          <cell r="A854">
            <v>30037037</v>
          </cell>
          <cell r="B854" t="str">
            <v>2.0 x 71+/-0.5 x 1219</v>
          </cell>
          <cell r="C854">
            <v>2</v>
          </cell>
          <cell r="D854">
            <v>71</v>
          </cell>
          <cell r="E854">
            <v>1219</v>
          </cell>
          <cell r="F854">
            <v>1.3588193</v>
          </cell>
          <cell r="G854">
            <v>29</v>
          </cell>
          <cell r="H854">
            <v>77004800</v>
          </cell>
          <cell r="I854" t="str">
            <v>JSH440W</v>
          </cell>
          <cell r="J854" t="str">
            <v>STAY R BOX AC CORD</v>
          </cell>
          <cell r="K854" t="str">
            <v>50348-K0HA-J000-H1</v>
          </cell>
          <cell r="L854" t="str">
            <v>T</v>
          </cell>
          <cell r="M854" t="str">
            <v>JSH440W</v>
          </cell>
          <cell r="N854" t="str">
            <v>STAY R BOX AC CORD</v>
          </cell>
          <cell r="O854" t="str">
            <v>50348-K0HA-J000-H1</v>
          </cell>
          <cell r="P854" t="str">
            <v>T</v>
          </cell>
          <cell r="Q854" t="e">
            <v>#N/A</v>
          </cell>
        </row>
        <row r="855">
          <cell r="A855">
            <v>30037040</v>
          </cell>
          <cell r="B855" t="str">
            <v>2.0 x 71+/-0.5 x 1219</v>
          </cell>
          <cell r="C855">
            <v>2</v>
          </cell>
          <cell r="D855">
            <v>71</v>
          </cell>
          <cell r="E855">
            <v>1219</v>
          </cell>
          <cell r="F855">
            <v>1.3588193</v>
          </cell>
          <cell r="G855">
            <v>29</v>
          </cell>
          <cell r="H855">
            <v>77004800</v>
          </cell>
          <cell r="I855" t="str">
            <v>JSH440W</v>
          </cell>
          <cell r="J855" t="str">
            <v>STAY L BOX AC CORD</v>
          </cell>
          <cell r="K855" t="str">
            <v>50348-K0HA-J000-H1</v>
          </cell>
          <cell r="L855" t="str">
            <v>T</v>
          </cell>
          <cell r="M855" t="str">
            <v>JSH440W</v>
          </cell>
          <cell r="N855" t="str">
            <v>STAY L BOX AC CORD</v>
          </cell>
          <cell r="O855" t="str">
            <v>50348-K0HA-J000-H1</v>
          </cell>
          <cell r="P855" t="str">
            <v>T</v>
          </cell>
          <cell r="Q855" t="e">
            <v>#N/A</v>
          </cell>
        </row>
        <row r="856">
          <cell r="A856">
            <v>30037041</v>
          </cell>
          <cell r="B856" t="str">
            <v>2.0 x 115+/-0.5 x 1219</v>
          </cell>
          <cell r="C856">
            <v>2</v>
          </cell>
          <cell r="D856">
            <v>115</v>
          </cell>
          <cell r="E856">
            <v>1219</v>
          </cell>
          <cell r="F856">
            <v>2.2009045</v>
          </cell>
          <cell r="G856">
            <v>31</v>
          </cell>
          <cell r="H856">
            <v>77004799</v>
          </cell>
          <cell r="I856" t="str">
            <v>JSH270C</v>
          </cell>
          <cell r="J856" t="str">
            <v>STAY L BAT BOX FR</v>
          </cell>
          <cell r="K856" t="str">
            <v>50142-K0HA-J000-H1</v>
          </cell>
          <cell r="L856" t="str">
            <v>T</v>
          </cell>
          <cell r="M856" t="str">
            <v>JSH270C</v>
          </cell>
          <cell r="N856" t="str">
            <v>STAY L BAT BOX FR</v>
          </cell>
          <cell r="O856" t="str">
            <v>50142-K0HA-J000-H1</v>
          </cell>
          <cell r="P856" t="str">
            <v>T</v>
          </cell>
          <cell r="Q856" t="e">
            <v>#N/A</v>
          </cell>
        </row>
        <row r="857">
          <cell r="A857">
            <v>30037447</v>
          </cell>
          <cell r="B857" t="str">
            <v>2.0 x 280+/-0.5 x 1219</v>
          </cell>
          <cell r="C857">
            <v>2</v>
          </cell>
          <cell r="D857">
            <v>280</v>
          </cell>
          <cell r="E857">
            <v>1219</v>
          </cell>
          <cell r="F857">
            <v>5.3587239999999996</v>
          </cell>
          <cell r="G857">
            <v>11</v>
          </cell>
          <cell r="H857">
            <v>77004528</v>
          </cell>
          <cell r="I857" t="str">
            <v>JSH270C</v>
          </cell>
          <cell r="J857" t="str">
            <v>STAY A METER PANEL</v>
          </cell>
          <cell r="K857" t="str">
            <v>64222-MKPA-JE04-H1</v>
          </cell>
          <cell r="L857" t="str">
            <v>MKPA</v>
          </cell>
          <cell r="M857" t="str">
            <v>JSH270C</v>
          </cell>
          <cell r="N857" t="str">
            <v>STAY A METER PANEL</v>
          </cell>
          <cell r="O857" t="str">
            <v>64222-MKPA-JE04-H1</v>
          </cell>
          <cell r="P857" t="str">
            <v>MKPA</v>
          </cell>
          <cell r="Q857" t="str">
            <v>ptt</v>
          </cell>
        </row>
        <row r="858">
          <cell r="A858">
            <v>30039726</v>
          </cell>
          <cell r="B858" t="str">
            <v>2.0 x 102+/-0.5 x 1219</v>
          </cell>
          <cell r="C858">
            <v>2</v>
          </cell>
          <cell r="D858">
            <v>102</v>
          </cell>
          <cell r="E858">
            <v>1219</v>
          </cell>
          <cell r="F858">
            <v>1.9521065999999998</v>
          </cell>
          <cell r="G858">
            <v>45</v>
          </cell>
          <cell r="H858">
            <v>77004594</v>
          </cell>
          <cell r="I858" t="str">
            <v>JSH440W</v>
          </cell>
          <cell r="J858" t="str">
            <v>GUSSET FR INNER</v>
          </cell>
          <cell r="K858" t="str">
            <v>50197-K0WA-N000-H1</v>
          </cell>
          <cell r="L858" t="str">
            <v>K0WF</v>
          </cell>
          <cell r="M858" t="str">
            <v>JSH440W</v>
          </cell>
          <cell r="N858" t="str">
            <v>GUSSET FR INNER</v>
          </cell>
          <cell r="O858" t="str">
            <v>50197-K0WA-N000-H1</v>
          </cell>
          <cell r="P858" t="str">
            <v>K0WF</v>
          </cell>
          <cell r="Q858" t="str">
            <v>ptt</v>
          </cell>
        </row>
        <row r="859">
          <cell r="A859">
            <v>30039733</v>
          </cell>
          <cell r="B859" t="str">
            <v>2.0 x 124+/-0.5 x 1219</v>
          </cell>
          <cell r="C859">
            <v>2</v>
          </cell>
          <cell r="D859">
            <v>124</v>
          </cell>
          <cell r="E859">
            <v>1219</v>
          </cell>
          <cell r="F859">
            <v>2.3731491999999998</v>
          </cell>
          <cell r="G859">
            <v>22</v>
          </cell>
          <cell r="H859">
            <v>77005243</v>
          </cell>
          <cell r="I859" t="str">
            <v>JSC590R</v>
          </cell>
          <cell r="J859" t="str">
            <v>GUSSET R FR MID SIDE</v>
          </cell>
          <cell r="K859" t="str">
            <v>50125-K97-B000-H1</v>
          </cell>
          <cell r="L859" t="str">
            <v>K0WF</v>
          </cell>
          <cell r="M859" t="str">
            <v>JSC590R</v>
          </cell>
          <cell r="N859" t="str">
            <v>GUSSET R FR MID SIDE</v>
          </cell>
          <cell r="O859" t="str">
            <v>50125-K97-B000-H1</v>
          </cell>
          <cell r="P859" t="str">
            <v>K0WF</v>
          </cell>
          <cell r="Q859" t="e">
            <v>#N/A</v>
          </cell>
        </row>
        <row r="860">
          <cell r="A860">
            <v>30039734</v>
          </cell>
          <cell r="B860" t="str">
            <v>2.0 x 124+/-0.5 x 1219</v>
          </cell>
          <cell r="C860">
            <v>2</v>
          </cell>
          <cell r="D860">
            <v>124</v>
          </cell>
          <cell r="E860">
            <v>1219</v>
          </cell>
          <cell r="F860">
            <v>2.3731491999999998</v>
          </cell>
          <cell r="G860">
            <v>22</v>
          </cell>
          <cell r="H860">
            <v>77004640</v>
          </cell>
          <cell r="I860" t="str">
            <v>JSC590R</v>
          </cell>
          <cell r="J860" t="str">
            <v>GUSSET L FR MID SIDE</v>
          </cell>
          <cell r="K860" t="str">
            <v>50126-K97-B000-H1</v>
          </cell>
          <cell r="L860" t="str">
            <v>K0WF</v>
          </cell>
          <cell r="M860" t="str">
            <v>JSC590R</v>
          </cell>
          <cell r="N860" t="str">
            <v>GUSSET L FR MID SIDE</v>
          </cell>
          <cell r="O860" t="str">
            <v>50126-K97-B000-H1</v>
          </cell>
          <cell r="P860" t="str">
            <v>K0WF</v>
          </cell>
          <cell r="Q860" t="str">
            <v>ptt</v>
          </cell>
        </row>
        <row r="861">
          <cell r="A861">
            <v>30039735</v>
          </cell>
          <cell r="B861" t="str">
            <v>2.0 x 93+/-0.5 x 1219</v>
          </cell>
          <cell r="C861">
            <v>2</v>
          </cell>
          <cell r="D861">
            <v>93</v>
          </cell>
          <cell r="E861">
            <v>1219</v>
          </cell>
          <cell r="F861">
            <v>1.7798619</v>
          </cell>
          <cell r="G861">
            <v>22</v>
          </cell>
          <cell r="H861">
            <v>77004509</v>
          </cell>
          <cell r="I861" t="str">
            <v>JSH270C</v>
          </cell>
          <cell r="J861" t="str">
            <v>STAY R F TANK FR</v>
          </cell>
          <cell r="K861" t="str">
            <v>50147-K0WA-N000-H1</v>
          </cell>
          <cell r="L861" t="str">
            <v>K0WF</v>
          </cell>
          <cell r="M861" t="str">
            <v>JSH270C</v>
          </cell>
          <cell r="N861" t="str">
            <v>STAY R F TANK FR</v>
          </cell>
          <cell r="O861" t="str">
            <v>50147-K0WA-N000-H1</v>
          </cell>
          <cell r="P861" t="str">
            <v>K0WF</v>
          </cell>
          <cell r="Q861" t="str">
            <v>ptt</v>
          </cell>
        </row>
        <row r="862">
          <cell r="A862">
            <v>30039736</v>
          </cell>
          <cell r="B862" t="str">
            <v>2.0 x 93+/-0.5 x 1219</v>
          </cell>
          <cell r="C862">
            <v>2</v>
          </cell>
          <cell r="D862">
            <v>93</v>
          </cell>
          <cell r="E862">
            <v>1219</v>
          </cell>
          <cell r="F862">
            <v>1.7798619</v>
          </cell>
          <cell r="G862">
            <v>22</v>
          </cell>
          <cell r="H862">
            <v>77004509</v>
          </cell>
          <cell r="I862" t="str">
            <v>JSH270C</v>
          </cell>
          <cell r="J862" t="str">
            <v>STAY L F TANK FR</v>
          </cell>
          <cell r="K862" t="str">
            <v>50148-K0WA-N000-H2</v>
          </cell>
          <cell r="L862" t="str">
            <v>K0WF</v>
          </cell>
          <cell r="M862" t="str">
            <v>JSH270C</v>
          </cell>
          <cell r="N862" t="str">
            <v>STAY L F TANK FR</v>
          </cell>
          <cell r="O862" t="str">
            <v>50148-K0WA-N000-H2</v>
          </cell>
          <cell r="P862" t="str">
            <v>K0WF</v>
          </cell>
          <cell r="Q862" t="str">
            <v>ptt</v>
          </cell>
        </row>
        <row r="863">
          <cell r="A863">
            <v>30040670</v>
          </cell>
          <cell r="B863" t="str">
            <v>0.8 x 69+/-0.5 x 1219</v>
          </cell>
          <cell r="C863">
            <v>0.8</v>
          </cell>
          <cell r="D863">
            <v>69</v>
          </cell>
          <cell r="E863">
            <v>1219</v>
          </cell>
          <cell r="F863">
            <v>0.52821708000000001</v>
          </cell>
          <cell r="H863">
            <v>77004231</v>
          </cell>
          <cell r="I863" t="str">
            <v>JSC270C</v>
          </cell>
          <cell r="J863" t="str">
            <v xml:space="preserve">STAY </v>
          </cell>
          <cell r="M863" t="str">
            <v>JSC270C</v>
          </cell>
          <cell r="N863" t="str">
            <v xml:space="preserve">STAY </v>
          </cell>
          <cell r="Q863" t="e">
            <v>#N/A</v>
          </cell>
        </row>
        <row r="864">
          <cell r="A864">
            <v>30040672</v>
          </cell>
          <cell r="B864" t="str">
            <v>2.6 x 40+/-0.5 x 1219</v>
          </cell>
          <cell r="C864">
            <v>2.6</v>
          </cell>
          <cell r="D864">
            <v>40</v>
          </cell>
          <cell r="E864">
            <v>1219</v>
          </cell>
          <cell r="F864">
            <v>0.99519159999999995</v>
          </cell>
          <cell r="H864">
            <v>77004540</v>
          </cell>
          <cell r="I864" t="str">
            <v>JSH270C</v>
          </cell>
          <cell r="J864" t="str">
            <v>STAY RETURN SPG</v>
          </cell>
          <cell r="K864" t="str">
            <v>46500-T0021</v>
          </cell>
          <cell r="L864" t="str">
            <v>K2EA</v>
          </cell>
          <cell r="M864" t="str">
            <v>JSH270C</v>
          </cell>
          <cell r="N864" t="str">
            <v>STAY RETURN SPG</v>
          </cell>
          <cell r="O864" t="str">
            <v>46500-T0021</v>
          </cell>
          <cell r="P864" t="str">
            <v>K2EA</v>
          </cell>
          <cell r="Q864" t="str">
            <v>ptt</v>
          </cell>
        </row>
        <row r="865">
          <cell r="A865">
            <v>30040673</v>
          </cell>
          <cell r="B865" t="str">
            <v>2.0 x 79+/-0.5 x 1219</v>
          </cell>
          <cell r="C865">
            <v>2</v>
          </cell>
          <cell r="D865">
            <v>79</v>
          </cell>
          <cell r="E865">
            <v>1219</v>
          </cell>
          <cell r="F865">
            <v>1.5119256999999999</v>
          </cell>
          <cell r="H865">
            <v>77004501</v>
          </cell>
          <cell r="I865" t="str">
            <v>JSH270C</v>
          </cell>
          <cell r="J865" t="str">
            <v>STAY STOP SW SPG</v>
          </cell>
          <cell r="K865" t="str">
            <v>46500-T001-22</v>
          </cell>
          <cell r="L865" t="str">
            <v>K2EA</v>
          </cell>
          <cell r="M865" t="str">
            <v>JSH270C</v>
          </cell>
          <cell r="N865" t="str">
            <v>STAY STOP SW SPG</v>
          </cell>
          <cell r="O865" t="str">
            <v>46500-T001-22</v>
          </cell>
          <cell r="P865" t="str">
            <v>K2EA</v>
          </cell>
          <cell r="Q865" t="str">
            <v>ptt</v>
          </cell>
        </row>
        <row r="866">
          <cell r="A866">
            <v>30040677</v>
          </cell>
          <cell r="B866" t="str">
            <v>2.3 x 59+/-0.5 x 1219</v>
          </cell>
          <cell r="C866">
            <v>2.2999999999999998</v>
          </cell>
          <cell r="D866">
            <v>59</v>
          </cell>
          <cell r="E866">
            <v>1219</v>
          </cell>
          <cell r="F866">
            <v>1.2985336549999997</v>
          </cell>
          <cell r="H866">
            <v>77004531</v>
          </cell>
          <cell r="I866" t="str">
            <v>JSH270C</v>
          </cell>
          <cell r="J866" t="str">
            <v>STAY R</v>
          </cell>
          <cell r="K866" t="str">
            <v>64100-K2EA-T001-21</v>
          </cell>
          <cell r="L866" t="str">
            <v>K2EA</v>
          </cell>
          <cell r="M866" t="str">
            <v>JSH270C</v>
          </cell>
          <cell r="N866" t="str">
            <v>STAY R</v>
          </cell>
          <cell r="O866" t="str">
            <v>64100-K2EA-T001-21</v>
          </cell>
          <cell r="P866" t="str">
            <v>K2EA</v>
          </cell>
          <cell r="Q866" t="str">
            <v>ptt</v>
          </cell>
        </row>
        <row r="867">
          <cell r="A867">
            <v>30040679</v>
          </cell>
          <cell r="B867" t="str">
            <v>2.3 x 59+/-0.5 x 1219</v>
          </cell>
          <cell r="C867">
            <v>2.2999999999999998</v>
          </cell>
          <cell r="D867">
            <v>59</v>
          </cell>
          <cell r="E867">
            <v>1219</v>
          </cell>
          <cell r="F867">
            <v>1.2985336549999997</v>
          </cell>
          <cell r="H867">
            <v>77004531</v>
          </cell>
          <cell r="I867" t="str">
            <v>JSH270C</v>
          </cell>
          <cell r="J867" t="str">
            <v>STAY L</v>
          </cell>
          <cell r="K867" t="str">
            <v>64200-K2EA-T001-21</v>
          </cell>
          <cell r="L867" t="str">
            <v>K2EA</v>
          </cell>
          <cell r="M867" t="str">
            <v>JSH270C</v>
          </cell>
          <cell r="N867" t="str">
            <v>STAY L</v>
          </cell>
          <cell r="O867" t="str">
            <v>64200-K2EA-T001-21</v>
          </cell>
          <cell r="P867" t="str">
            <v>K2EA</v>
          </cell>
          <cell r="Q867" t="str">
            <v>ptt</v>
          </cell>
        </row>
        <row r="868">
          <cell r="A868">
            <v>30040691</v>
          </cell>
          <cell r="B868" t="str">
            <v>1.4 x 67+/-0.5 x 1219</v>
          </cell>
          <cell r="C868">
            <v>1.4</v>
          </cell>
          <cell r="D868">
            <v>67</v>
          </cell>
          <cell r="E868">
            <v>1219</v>
          </cell>
          <cell r="F868">
            <v>0.89758626999999991</v>
          </cell>
          <cell r="H868">
            <v>77004235</v>
          </cell>
          <cell r="I868" t="str">
            <v>JSC270C</v>
          </cell>
          <cell r="J868" t="str">
            <v>GUSSET R RR SIDE</v>
          </cell>
          <cell r="L868" t="str">
            <v>K2EA</v>
          </cell>
          <cell r="M868" t="str">
            <v>JSC270C</v>
          </cell>
          <cell r="N868" t="str">
            <v>GUSSET R RR SIDE</v>
          </cell>
          <cell r="P868" t="str">
            <v>K2EA</v>
          </cell>
          <cell r="Q868" t="str">
            <v>ptt</v>
          </cell>
        </row>
        <row r="869">
          <cell r="A869">
            <v>30040692</v>
          </cell>
          <cell r="B869" t="str">
            <v>1.4 x 67+/-0.5 x 1219</v>
          </cell>
          <cell r="C869">
            <v>1.4</v>
          </cell>
          <cell r="D869">
            <v>67</v>
          </cell>
          <cell r="E869">
            <v>1219</v>
          </cell>
          <cell r="F869">
            <v>0.89758626999999991</v>
          </cell>
          <cell r="H869">
            <v>77004235</v>
          </cell>
          <cell r="I869" t="str">
            <v>JSC270C</v>
          </cell>
          <cell r="J869" t="str">
            <v>GUSSET L RR SIDE</v>
          </cell>
          <cell r="L869" t="str">
            <v>K2EA</v>
          </cell>
          <cell r="M869" t="str">
            <v>JSC270C</v>
          </cell>
          <cell r="N869" t="str">
            <v>GUSSET L RR SIDE</v>
          </cell>
          <cell r="P869" t="str">
            <v>K2EA</v>
          </cell>
          <cell r="Q869" t="str">
            <v>ptt</v>
          </cell>
        </row>
        <row r="870">
          <cell r="A870">
            <v>30040723</v>
          </cell>
          <cell r="B870" t="str">
            <v>1.0 x 55+/-0.5 x 1219</v>
          </cell>
          <cell r="C870">
            <v>1</v>
          </cell>
          <cell r="D870">
            <v>55</v>
          </cell>
          <cell r="E870">
            <v>1219</v>
          </cell>
          <cell r="F870">
            <v>0.52630325</v>
          </cell>
          <cell r="H870">
            <v>77004258</v>
          </cell>
          <cell r="I870" t="str">
            <v>JSC270C</v>
          </cell>
          <cell r="J870" t="str">
            <v>STAY A</v>
          </cell>
          <cell r="M870" t="str">
            <v>JSC270C</v>
          </cell>
          <cell r="N870" t="str">
            <v>STAY A</v>
          </cell>
          <cell r="Q870" t="str">
            <v>ptt</v>
          </cell>
        </row>
        <row r="871">
          <cell r="A871">
            <v>30040723</v>
          </cell>
          <cell r="B871" t="str">
            <v>1.0 x 52+/-0.5 x 1219</v>
          </cell>
          <cell r="C871">
            <v>1</v>
          </cell>
          <cell r="D871">
            <v>52</v>
          </cell>
          <cell r="E871">
            <v>1219</v>
          </cell>
          <cell r="F871">
            <v>0.49759579999999998</v>
          </cell>
          <cell r="H871">
            <v>77004252</v>
          </cell>
          <cell r="I871" t="str">
            <v>JSC270C</v>
          </cell>
          <cell r="J871" t="str">
            <v>STAY B</v>
          </cell>
          <cell r="M871" t="str">
            <v>JSC270C</v>
          </cell>
          <cell r="N871" t="str">
            <v>STAY B</v>
          </cell>
          <cell r="Q871" t="e">
            <v>#N/A</v>
          </cell>
        </row>
        <row r="872">
          <cell r="A872">
            <v>30040724</v>
          </cell>
          <cell r="B872" t="str">
            <v>1.0 x 55+/-0.5 x 1219</v>
          </cell>
          <cell r="C872">
            <v>1</v>
          </cell>
          <cell r="D872">
            <v>55</v>
          </cell>
          <cell r="E872">
            <v>1219</v>
          </cell>
          <cell r="F872">
            <v>0.52630325</v>
          </cell>
          <cell r="H872">
            <v>77004258</v>
          </cell>
          <cell r="I872" t="str">
            <v>JSC270C</v>
          </cell>
          <cell r="J872" t="str">
            <v>STAY STOPPER R</v>
          </cell>
          <cell r="M872" t="str">
            <v>JSC270C</v>
          </cell>
          <cell r="N872" t="str">
            <v>STAY STOPPER R</v>
          </cell>
          <cell r="Q872" t="str">
            <v>ptt</v>
          </cell>
        </row>
        <row r="873">
          <cell r="A873">
            <v>30040725</v>
          </cell>
          <cell r="B873" t="str">
            <v>1.0 x 55+/-0.5 x 1219</v>
          </cell>
          <cell r="C873">
            <v>1</v>
          </cell>
          <cell r="D873">
            <v>55</v>
          </cell>
          <cell r="E873">
            <v>1219</v>
          </cell>
          <cell r="F873">
            <v>0.52630325</v>
          </cell>
          <cell r="H873">
            <v>77004258</v>
          </cell>
          <cell r="I873" t="str">
            <v>JSC270C</v>
          </cell>
          <cell r="J873" t="str">
            <v>STAY STOPPER L</v>
          </cell>
          <cell r="M873" t="str">
            <v>JSC270C</v>
          </cell>
          <cell r="N873" t="str">
            <v>STAY STOPPER L</v>
          </cell>
          <cell r="Q873" t="str">
            <v>ptt</v>
          </cell>
        </row>
        <row r="874">
          <cell r="A874">
            <v>30040726</v>
          </cell>
          <cell r="B874" t="str">
            <v>0.8 x 55+/-0.5 x 1219</v>
          </cell>
          <cell r="C874">
            <v>0.8</v>
          </cell>
          <cell r="D874">
            <v>55</v>
          </cell>
          <cell r="E874">
            <v>1219</v>
          </cell>
          <cell r="F874">
            <v>0.42104259999999999</v>
          </cell>
          <cell r="H874">
            <v>77004228</v>
          </cell>
          <cell r="I874" t="str">
            <v>JSC270C</v>
          </cell>
          <cell r="J874" t="str">
            <v>STOPPER MOUNT RUBBER</v>
          </cell>
          <cell r="M874" t="str">
            <v>JSC270C</v>
          </cell>
          <cell r="N874" t="str">
            <v>STOPPER MOUNT RUBBER</v>
          </cell>
          <cell r="Q874" t="e">
            <v>#N/A</v>
          </cell>
        </row>
        <row r="875">
          <cell r="A875">
            <v>30040911</v>
          </cell>
          <cell r="B875" t="str">
            <v>1.6 x 52+/-0.5 x 1219</v>
          </cell>
          <cell r="C875">
            <v>1.6</v>
          </cell>
          <cell r="D875">
            <v>52</v>
          </cell>
          <cell r="E875">
            <v>1219</v>
          </cell>
          <cell r="F875">
            <v>0.79615328000000007</v>
          </cell>
          <cell r="G875">
            <v>49</v>
          </cell>
          <cell r="H875">
            <v>77004444</v>
          </cell>
          <cell r="I875" t="str">
            <v>JSH270C</v>
          </cell>
          <cell r="J875" t="str">
            <v>STAY A COUPLER</v>
          </cell>
          <cell r="K875" t="str">
            <v>50184-K97F-T003-H1</v>
          </cell>
          <cell r="L875" t="str">
            <v>K97F</v>
          </cell>
          <cell r="M875" t="str">
            <v>JSH270C</v>
          </cell>
          <cell r="N875" t="str">
            <v>STAY A COUPLER</v>
          </cell>
          <cell r="O875" t="str">
            <v>50184-K97F-T003-H1</v>
          </cell>
          <cell r="P875" t="str">
            <v>K97F</v>
          </cell>
          <cell r="Q875" t="str">
            <v>ptt</v>
          </cell>
        </row>
        <row r="876">
          <cell r="A876">
            <v>30040912</v>
          </cell>
          <cell r="B876" t="str">
            <v>1.4 x 59+/-0.5 x 1219</v>
          </cell>
          <cell r="C876">
            <v>1.4</v>
          </cell>
          <cell r="D876">
            <v>59</v>
          </cell>
          <cell r="E876">
            <v>1219</v>
          </cell>
          <cell r="F876">
            <v>0.79041178999999995</v>
          </cell>
          <cell r="G876">
            <v>66</v>
          </cell>
          <cell r="H876">
            <v>77004230</v>
          </cell>
          <cell r="I876" t="str">
            <v>JSC440W</v>
          </cell>
          <cell r="J876" t="str">
            <v>GUSSET FR UPPER</v>
          </cell>
          <cell r="K876" t="str">
            <v>50146-K97F-T004-H1</v>
          </cell>
          <cell r="L876" t="str">
            <v>K97F</v>
          </cell>
          <cell r="M876" t="str">
            <v>JSC440W</v>
          </cell>
          <cell r="N876" t="str">
            <v>GUSSET FR UPPER</v>
          </cell>
          <cell r="O876" t="str">
            <v>50146-K97F-T004-H1</v>
          </cell>
          <cell r="P876" t="str">
            <v>K97F</v>
          </cell>
          <cell r="Q876" t="str">
            <v>ptt</v>
          </cell>
        </row>
        <row r="877">
          <cell r="A877">
            <v>30040913</v>
          </cell>
          <cell r="B877" t="str">
            <v>1.6 x 54+/-0.5 x 1219</v>
          </cell>
          <cell r="C877">
            <v>1.6</v>
          </cell>
          <cell r="D877">
            <v>54</v>
          </cell>
          <cell r="E877">
            <v>1219</v>
          </cell>
          <cell r="F877">
            <v>0.82677456000000005</v>
          </cell>
          <cell r="G877">
            <v>24</v>
          </cell>
          <cell r="H877">
            <v>77004585</v>
          </cell>
          <cell r="I877" t="str">
            <v>SAPH440</v>
          </cell>
          <cell r="J877" t="str">
            <v>PATCH R SUB PIPE FR</v>
          </cell>
          <cell r="K877" t="str">
            <v>50155-K97F-T002-H1</v>
          </cell>
          <cell r="L877" t="str">
            <v>K97F</v>
          </cell>
          <cell r="M877" t="str">
            <v>SAPH440</v>
          </cell>
          <cell r="N877" t="str">
            <v>PATCH R SUB PIPE FR</v>
          </cell>
          <cell r="O877" t="str">
            <v>50155-K97F-T002-H1</v>
          </cell>
          <cell r="P877" t="str">
            <v>K97F</v>
          </cell>
          <cell r="Q877" t="str">
            <v>ptt</v>
          </cell>
        </row>
        <row r="878">
          <cell r="A878">
            <v>30040916</v>
          </cell>
          <cell r="B878" t="str">
            <v>1.6 x 54+/-0.5 x 1219</v>
          </cell>
          <cell r="C878">
            <v>1.6</v>
          </cell>
          <cell r="D878">
            <v>54</v>
          </cell>
          <cell r="E878">
            <v>1219</v>
          </cell>
          <cell r="F878">
            <v>0.82677456000000005</v>
          </cell>
          <cell r="G878">
            <v>24</v>
          </cell>
          <cell r="H878">
            <v>77004585</v>
          </cell>
          <cell r="I878" t="str">
            <v>SAPH440</v>
          </cell>
          <cell r="J878" t="str">
            <v>PATCH L SUB PIPE FR</v>
          </cell>
          <cell r="K878" t="str">
            <v>50156-K97F-T002-H1</v>
          </cell>
          <cell r="L878" t="str">
            <v>K97F</v>
          </cell>
          <cell r="M878" t="str">
            <v>SAPH440</v>
          </cell>
          <cell r="N878" t="str">
            <v>PATCH L SUB PIPE FR</v>
          </cell>
          <cell r="O878" t="str">
            <v>50156-K97F-T002-H1</v>
          </cell>
          <cell r="P878" t="str">
            <v>K97F</v>
          </cell>
          <cell r="Q878" t="str">
            <v>ptt</v>
          </cell>
        </row>
        <row r="879">
          <cell r="A879">
            <v>30041072</v>
          </cell>
          <cell r="B879" t="str">
            <v>5.0 x 115+/-0.5 x 1219</v>
          </cell>
          <cell r="C879">
            <v>5</v>
          </cell>
          <cell r="D879">
            <v>115</v>
          </cell>
          <cell r="E879">
            <v>1219</v>
          </cell>
          <cell r="F879">
            <v>5.5022612500000001</v>
          </cell>
          <cell r="H879">
            <v>77004689</v>
          </cell>
          <cell r="I879" t="str">
            <v>JSH440W</v>
          </cell>
          <cell r="J879" t="str">
            <v>STAY A,R</v>
          </cell>
          <cell r="M879" t="str">
            <v>JSH440W</v>
          </cell>
          <cell r="N879" t="str">
            <v>STAY A,R</v>
          </cell>
          <cell r="Q879" t="e">
            <v>#N/A</v>
          </cell>
        </row>
        <row r="880">
          <cell r="A880">
            <v>30041072</v>
          </cell>
          <cell r="B880" t="str">
            <v>5.0 x 200+/-0.5 x 1219</v>
          </cell>
          <cell r="C880">
            <v>5</v>
          </cell>
          <cell r="D880">
            <v>200</v>
          </cell>
          <cell r="E880">
            <v>1219</v>
          </cell>
          <cell r="F880">
            <v>9.5691500000000005</v>
          </cell>
          <cell r="G880">
            <v>20</v>
          </cell>
          <cell r="H880">
            <v>77004690</v>
          </cell>
          <cell r="I880" t="str">
            <v>JSH440W</v>
          </cell>
          <cell r="J880" t="str">
            <v>STAY B,R</v>
          </cell>
          <cell r="K880" t="str">
            <v>81200-KOWF-J001-23</v>
          </cell>
          <cell r="L880" t="str">
            <v>KOWF</v>
          </cell>
          <cell r="M880" t="str">
            <v>JSH440W</v>
          </cell>
          <cell r="N880" t="str">
            <v>STAY B,R</v>
          </cell>
          <cell r="O880" t="str">
            <v>81200-KOWF-J001-23</v>
          </cell>
          <cell r="P880" t="str">
            <v>KOWF</v>
          </cell>
          <cell r="Q880" t="e">
            <v>#N/A</v>
          </cell>
        </row>
        <row r="881">
          <cell r="A881">
            <v>30041072</v>
          </cell>
          <cell r="B881" t="str">
            <v>5.0 x 200+/-0.5 x 1219</v>
          </cell>
          <cell r="C881">
            <v>5</v>
          </cell>
          <cell r="D881">
            <v>200</v>
          </cell>
          <cell r="E881">
            <v>1219</v>
          </cell>
          <cell r="F881">
            <v>9.5691500000000005</v>
          </cell>
          <cell r="G881">
            <v>20</v>
          </cell>
          <cell r="H881">
            <v>77004690</v>
          </cell>
          <cell r="I881" t="str">
            <v>JSH440W</v>
          </cell>
          <cell r="J881" t="str">
            <v>STAY B,L</v>
          </cell>
          <cell r="K881" t="str">
            <v>81200-KOWF-J001-23</v>
          </cell>
          <cell r="L881" t="str">
            <v>KOWF</v>
          </cell>
          <cell r="M881" t="str">
            <v>JSH440W</v>
          </cell>
          <cell r="N881" t="str">
            <v>STAY B,L</v>
          </cell>
          <cell r="O881" t="str">
            <v>81200-KOWF-J001-23</v>
          </cell>
          <cell r="P881" t="str">
            <v>KOWF</v>
          </cell>
          <cell r="Q881" t="e">
            <v>#N/A</v>
          </cell>
        </row>
        <row r="882">
          <cell r="A882">
            <v>30041072</v>
          </cell>
          <cell r="B882" t="str">
            <v>2.3 x 62+/-0.5 x 1219</v>
          </cell>
          <cell r="C882">
            <v>2.2999999999999998</v>
          </cell>
          <cell r="D882">
            <v>62</v>
          </cell>
          <cell r="E882">
            <v>1219</v>
          </cell>
          <cell r="F882">
            <v>1.3645607899999999</v>
          </cell>
          <cell r="G882">
            <v>29</v>
          </cell>
          <cell r="H882">
            <v>77004691</v>
          </cell>
          <cell r="I882" t="str">
            <v>JSH440W</v>
          </cell>
          <cell r="J882" t="str">
            <v>STAY D</v>
          </cell>
          <cell r="K882" t="str">
            <v>81200-KOWF-J001-26</v>
          </cell>
          <cell r="L882" t="str">
            <v>KOWF</v>
          </cell>
          <cell r="M882" t="str">
            <v>JSH440W</v>
          </cell>
          <cell r="N882" t="str">
            <v>STAY D</v>
          </cell>
          <cell r="O882" t="str">
            <v>81200-KOWF-J001-26</v>
          </cell>
          <cell r="P882" t="str">
            <v>KOWF</v>
          </cell>
          <cell r="Q882" t="e">
            <v>#N/A</v>
          </cell>
        </row>
        <row r="883">
          <cell r="A883" t="str">
            <v>30041072-6</v>
          </cell>
          <cell r="B883" t="str">
            <v>2.3 x 236+/-0.5 x 1219</v>
          </cell>
          <cell r="C883">
            <v>2.2999999999999998</v>
          </cell>
          <cell r="D883">
            <v>236</v>
          </cell>
          <cell r="E883">
            <v>1219</v>
          </cell>
          <cell r="F883">
            <v>5.1941346199999989</v>
          </cell>
          <cell r="G883">
            <v>18</v>
          </cell>
          <cell r="H883">
            <v>77004013</v>
          </cell>
          <cell r="I883" t="str">
            <v>JSH440W</v>
          </cell>
          <cell r="J883" t="str">
            <v>STAY C</v>
          </cell>
          <cell r="K883" t="str">
            <v>81200-KOWF-J001-25</v>
          </cell>
          <cell r="L883" t="str">
            <v>KOWF</v>
          </cell>
          <cell r="M883" t="str">
            <v>JSH440W</v>
          </cell>
          <cell r="N883" t="str">
            <v>STAY C</v>
          </cell>
          <cell r="O883" t="str">
            <v>81200-KOWF-J001-25</v>
          </cell>
          <cell r="P883" t="str">
            <v>KOWF</v>
          </cell>
          <cell r="Q883" t="e">
            <v>#N/A</v>
          </cell>
        </row>
        <row r="884">
          <cell r="A884">
            <v>30041192</v>
          </cell>
          <cell r="B884" t="str">
            <v>1.0 x 71+/-0.5 x 1219</v>
          </cell>
          <cell r="C884">
            <v>1</v>
          </cell>
          <cell r="D884">
            <v>71</v>
          </cell>
          <cell r="E884">
            <v>1219</v>
          </cell>
          <cell r="F884">
            <v>0.67940964999999998</v>
          </cell>
          <cell r="H884">
            <v>77004262</v>
          </cell>
          <cell r="I884" t="str">
            <v>JSC270C</v>
          </cell>
          <cell r="J884" t="str">
            <v>CLIP HARNESS</v>
          </cell>
          <cell r="L884" t="str">
            <v>K1BA</v>
          </cell>
          <cell r="M884" t="str">
            <v>JSC270C</v>
          </cell>
          <cell r="N884" t="str">
            <v>CLIP HARNESS</v>
          </cell>
          <cell r="P884" t="str">
            <v>K1BA</v>
          </cell>
          <cell r="Q884" t="str">
            <v>ptt</v>
          </cell>
        </row>
        <row r="885">
          <cell r="A885">
            <v>30041192</v>
          </cell>
          <cell r="B885" t="str">
            <v>3.2 x 78+/-0.5 x 1219</v>
          </cell>
          <cell r="C885">
            <v>3.2</v>
          </cell>
          <cell r="D885">
            <v>78</v>
          </cell>
          <cell r="E885">
            <v>1219</v>
          </cell>
          <cell r="F885">
            <v>2.3884598399999999</v>
          </cell>
          <cell r="H885">
            <v>77004559</v>
          </cell>
          <cell r="I885" t="str">
            <v>JSH270C</v>
          </cell>
          <cell r="J885" t="str">
            <v>PITCH FR SUB PIPE</v>
          </cell>
          <cell r="L885" t="str">
            <v xml:space="preserve"> </v>
          </cell>
          <cell r="M885" t="str">
            <v>JSH270C</v>
          </cell>
          <cell r="N885" t="str">
            <v>PITCH FR SUB PIPE</v>
          </cell>
          <cell r="P885" t="str">
            <v xml:space="preserve"> </v>
          </cell>
          <cell r="Q885" t="str">
            <v>ptt</v>
          </cell>
        </row>
        <row r="886">
          <cell r="A886">
            <v>30041192</v>
          </cell>
          <cell r="B886" t="str">
            <v>1.6 x 61+/-0.5 x 1219</v>
          </cell>
          <cell r="C886">
            <v>1.6</v>
          </cell>
          <cell r="D886">
            <v>61</v>
          </cell>
          <cell r="E886">
            <v>1219</v>
          </cell>
          <cell r="F886">
            <v>0.93394904000000001</v>
          </cell>
          <cell r="G886">
            <v>33</v>
          </cell>
          <cell r="H886">
            <v>77004794</v>
          </cell>
          <cell r="I886" t="str">
            <v>JSH270C</v>
          </cell>
          <cell r="J886" t="str">
            <v>STAY R (COVER BATTERY)</v>
          </cell>
          <cell r="K886" t="str">
            <v>50195-K0BA-T002-20</v>
          </cell>
          <cell r="L886" t="str">
            <v>K0BA</v>
          </cell>
          <cell r="M886" t="str">
            <v>JSH270C</v>
          </cell>
          <cell r="N886" t="str">
            <v>STAY R (COVER BATTERY)</v>
          </cell>
          <cell r="O886" t="str">
            <v>50195-K0BA-T002-20</v>
          </cell>
          <cell r="P886" t="str">
            <v>K0BA</v>
          </cell>
          <cell r="Q886" t="e">
            <v>#N/A</v>
          </cell>
        </row>
        <row r="887">
          <cell r="A887">
            <v>30041192</v>
          </cell>
          <cell r="B887" t="str">
            <v>1.6 x 50+/-0.5 x 1219</v>
          </cell>
          <cell r="C887">
            <v>1.6</v>
          </cell>
          <cell r="D887">
            <v>50</v>
          </cell>
          <cell r="E887">
            <v>1219</v>
          </cell>
          <cell r="F887">
            <v>0.76553199999999999</v>
          </cell>
          <cell r="H887">
            <v>77004442</v>
          </cell>
          <cell r="I887" t="str">
            <v>JSH270C</v>
          </cell>
          <cell r="J887" t="str">
            <v>STAY R HOSE CLAMPER</v>
          </cell>
          <cell r="L887" t="str">
            <v>K1BA</v>
          </cell>
          <cell r="M887" t="str">
            <v>JSH270C</v>
          </cell>
          <cell r="N887" t="str">
            <v>STAY R HOSE CLAMPER</v>
          </cell>
          <cell r="P887" t="str">
            <v>K1BA</v>
          </cell>
          <cell r="Q887" t="str">
            <v>ptt</v>
          </cell>
        </row>
        <row r="888">
          <cell r="A888">
            <v>30041192</v>
          </cell>
          <cell r="B888" t="str">
            <v>1.4 x 65+/-0.5 x 1219</v>
          </cell>
          <cell r="C888">
            <v>1.4</v>
          </cell>
          <cell r="D888">
            <v>65</v>
          </cell>
          <cell r="E888">
            <v>1219</v>
          </cell>
          <cell r="F888">
            <v>0.87079264999999995</v>
          </cell>
          <cell r="H888">
            <v>77004234</v>
          </cell>
          <cell r="I888" t="str">
            <v>JSH270C</v>
          </cell>
          <cell r="J888" t="str">
            <v>STAY R L WETER HOSE RR</v>
          </cell>
          <cell r="L888" t="str">
            <v>K1BA</v>
          </cell>
          <cell r="M888" t="str">
            <v>JSH270C</v>
          </cell>
          <cell r="N888" t="str">
            <v>STAY R L WETER HOSE RR</v>
          </cell>
          <cell r="P888" t="str">
            <v>K1BA</v>
          </cell>
          <cell r="Q888" t="str">
            <v>ptt</v>
          </cell>
        </row>
        <row r="889">
          <cell r="A889" t="str">
            <v>30041201-1</v>
          </cell>
          <cell r="B889" t="str">
            <v>1.6 x 57+/-0.5 x 1219</v>
          </cell>
          <cell r="C889">
            <v>1.6</v>
          </cell>
          <cell r="D889">
            <v>57</v>
          </cell>
          <cell r="E889">
            <v>1219</v>
          </cell>
          <cell r="F889">
            <v>0.87270647999999995</v>
          </cell>
          <cell r="G889">
            <v>45</v>
          </cell>
          <cell r="H889">
            <v>77004447</v>
          </cell>
          <cell r="I889" t="str">
            <v>JSH270C</v>
          </cell>
          <cell r="J889" t="str">
            <v>STAY R/L</v>
          </cell>
          <cell r="K889" t="str">
            <v>50313-K1BA-T002-20</v>
          </cell>
          <cell r="L889" t="str">
            <v>K1BA</v>
          </cell>
          <cell r="M889" t="str">
            <v>JSH270C</v>
          </cell>
          <cell r="N889" t="str">
            <v>STAY R/L</v>
          </cell>
          <cell r="O889" t="str">
            <v>50313-K1BA-T002-20</v>
          </cell>
          <cell r="P889" t="str">
            <v>K1BA</v>
          </cell>
          <cell r="Q889" t="str">
            <v>ptt</v>
          </cell>
        </row>
        <row r="890">
          <cell r="A890">
            <v>30041291</v>
          </cell>
          <cell r="B890" t="str">
            <v>2.6 x 230+/-0.5 x 1219</v>
          </cell>
          <cell r="C890">
            <v>2.6</v>
          </cell>
          <cell r="D890">
            <v>230</v>
          </cell>
          <cell r="E890">
            <v>1219</v>
          </cell>
          <cell r="F890">
            <v>5.7223516999999999</v>
          </cell>
          <cell r="H890">
            <v>77004912</v>
          </cell>
          <cell r="I890" t="str">
            <v>JSH440W</v>
          </cell>
          <cell r="J890" t="str">
            <v>PLATE COMP R PIVOT(PLATE R OUT)</v>
          </cell>
          <cell r="L890" t="str">
            <v>MLAA</v>
          </cell>
          <cell r="M890" t="str">
            <v>JSH440W</v>
          </cell>
          <cell r="N890" t="str">
            <v>PLATE COMP R PIVOT(PLATE R OUT)</v>
          </cell>
          <cell r="P890" t="str">
            <v>MLAA</v>
          </cell>
          <cell r="Q890" t="e">
            <v>#N/A</v>
          </cell>
        </row>
        <row r="891">
          <cell r="A891">
            <v>30041668</v>
          </cell>
          <cell r="B891" t="str">
            <v>2.0 x 83+/-0.5 x 1219</v>
          </cell>
          <cell r="C891">
            <v>2</v>
          </cell>
          <cell r="D891">
            <v>83</v>
          </cell>
          <cell r="E891">
            <v>1219</v>
          </cell>
          <cell r="F891">
            <v>1.5884788999999999</v>
          </cell>
          <cell r="G891">
            <v>146</v>
          </cell>
          <cell r="H891">
            <v>77004504</v>
          </cell>
          <cell r="I891" t="str">
            <v>JSH270C</v>
          </cell>
          <cell r="J891" t="str">
            <v>STAY HARNESS</v>
          </cell>
          <cell r="K891" t="str">
            <v>53100-K1A-N000-26</v>
          </cell>
          <cell r="L891" t="str">
            <v>K2FF</v>
          </cell>
          <cell r="M891" t="str">
            <v>JSH270C</v>
          </cell>
          <cell r="N891" t="str">
            <v>STAY HARNESS</v>
          </cell>
          <cell r="O891" t="str">
            <v>53100-K1A-N000-26</v>
          </cell>
          <cell r="P891" t="str">
            <v>K2FF</v>
          </cell>
          <cell r="Q891" t="str">
            <v>ptt</v>
          </cell>
        </row>
        <row r="892">
          <cell r="A892">
            <v>30041718</v>
          </cell>
          <cell r="B892" t="str">
            <v>2.3 x 305+/-0.5 x 1219</v>
          </cell>
          <cell r="C892">
            <v>2.2999999999999998</v>
          </cell>
          <cell r="D892">
            <v>305</v>
          </cell>
          <cell r="E892">
            <v>1219</v>
          </cell>
          <cell r="F892">
            <v>6.7127587249999996</v>
          </cell>
          <cell r="G892">
            <v>30</v>
          </cell>
          <cell r="H892">
            <v>77004643</v>
          </cell>
          <cell r="I892" t="str">
            <v>JSH590R</v>
          </cell>
          <cell r="J892" t="str">
            <v>PLATE R FR HANGER</v>
          </cell>
          <cell r="K892" t="str">
            <v>50114-K1TA-E100-H1</v>
          </cell>
          <cell r="L892" t="str">
            <v>K1TA</v>
          </cell>
          <cell r="M892" t="str">
            <v>JSH590R</v>
          </cell>
          <cell r="N892" t="str">
            <v>PLATE R FR HANGER</v>
          </cell>
          <cell r="O892" t="str">
            <v>50114-K1TA-E100-H1</v>
          </cell>
          <cell r="P892" t="str">
            <v>K1TA</v>
          </cell>
          <cell r="Q892" t="str">
            <v>ptt</v>
          </cell>
        </row>
        <row r="893">
          <cell r="A893">
            <v>30041719</v>
          </cell>
          <cell r="B893" t="str">
            <v>2.3 x 305+/-0.5 x 1219</v>
          </cell>
          <cell r="C893">
            <v>2.2999999999999998</v>
          </cell>
          <cell r="D893">
            <v>305</v>
          </cell>
          <cell r="E893">
            <v>1219</v>
          </cell>
          <cell r="F893">
            <v>6.7127587249999996</v>
          </cell>
          <cell r="G893">
            <v>30</v>
          </cell>
          <cell r="H893">
            <v>77004643</v>
          </cell>
          <cell r="I893" t="str">
            <v>JSH590R</v>
          </cell>
          <cell r="J893" t="str">
            <v>PLATE L FR HANGER</v>
          </cell>
          <cell r="K893" t="str">
            <v>50115-K1TA-E100-H1</v>
          </cell>
          <cell r="L893" t="str">
            <v>K1TA</v>
          </cell>
          <cell r="M893" t="str">
            <v>JSH590R</v>
          </cell>
          <cell r="N893" t="str">
            <v>PLATE L FR HANGER</v>
          </cell>
          <cell r="O893" t="str">
            <v>50115-K1TA-E100-H1</v>
          </cell>
          <cell r="P893" t="str">
            <v>K1TA</v>
          </cell>
          <cell r="Q893" t="str">
            <v>ptt</v>
          </cell>
        </row>
        <row r="894">
          <cell r="A894" t="str">
            <v>30041720-1</v>
          </cell>
          <cell r="B894" t="str">
            <v>2.0 x 52+/-0.5 x 1219</v>
          </cell>
          <cell r="C894">
            <v>2</v>
          </cell>
          <cell r="D894">
            <v>52</v>
          </cell>
          <cell r="E894">
            <v>1219</v>
          </cell>
          <cell r="F894">
            <v>0.99519159999999995</v>
          </cell>
          <cell r="G894">
            <v>34</v>
          </cell>
          <cell r="H894">
            <v>77004478</v>
          </cell>
          <cell r="I894" t="str">
            <v>JSH270C</v>
          </cell>
          <cell r="J894" t="str">
            <v>STAY UNDER COWL</v>
          </cell>
          <cell r="K894" t="str">
            <v>50192-K1TA-E100-H1</v>
          </cell>
          <cell r="L894" t="str">
            <v>K1TA</v>
          </cell>
          <cell r="M894" t="str">
            <v>JSH270C</v>
          </cell>
          <cell r="N894" t="str">
            <v>STAY UNDER COWL</v>
          </cell>
          <cell r="O894" t="str">
            <v>50192-K1TA-E100-H1</v>
          </cell>
          <cell r="P894" t="str">
            <v>K1TA</v>
          </cell>
          <cell r="Q894" t="str">
            <v>ptt</v>
          </cell>
        </row>
        <row r="895">
          <cell r="A895">
            <v>30041808</v>
          </cell>
          <cell r="B895" t="str">
            <v>2.0 x 77+/-0.5 x 1219</v>
          </cell>
          <cell r="C895">
            <v>2</v>
          </cell>
          <cell r="D895">
            <v>77</v>
          </cell>
          <cell r="E895">
            <v>1219</v>
          </cell>
          <cell r="F895">
            <v>1.4736490999999998</v>
          </cell>
          <cell r="G895">
            <v>24</v>
          </cell>
          <cell r="H895">
            <v>77004499</v>
          </cell>
          <cell r="I895" t="str">
            <v>JSH270C</v>
          </cell>
          <cell r="J895" t="str">
            <v>STAY L TANK FR (STAY L R)</v>
          </cell>
          <cell r="K895" t="str">
            <v>50142-K26P-G000-H1</v>
          </cell>
          <cell r="L895" t="str">
            <v>K26P</v>
          </cell>
          <cell r="M895" t="str">
            <v>JSH270C</v>
          </cell>
          <cell r="N895" t="str">
            <v>STAY L TANK FR (STAY L R)</v>
          </cell>
          <cell r="O895" t="str">
            <v>50142-K26P-G000-H1</v>
          </cell>
          <cell r="P895" t="str">
            <v>K26P</v>
          </cell>
          <cell r="Q895" t="str">
            <v>ptt</v>
          </cell>
        </row>
        <row r="896">
          <cell r="A896" t="str">
            <v>30041961-1</v>
          </cell>
          <cell r="B896" t="str">
            <v>2.0 x 69+/-0.5 x 1219</v>
          </cell>
          <cell r="C896">
            <v>2</v>
          </cell>
          <cell r="D896">
            <v>69</v>
          </cell>
          <cell r="E896">
            <v>1219</v>
          </cell>
          <cell r="F896">
            <v>1.3205426999999998</v>
          </cell>
          <cell r="G896">
            <v>20</v>
          </cell>
          <cell r="H896">
            <v>77004493</v>
          </cell>
          <cell r="I896" t="str">
            <v>JSH270C</v>
          </cell>
          <cell r="J896" t="str">
            <v>STAY FLOOR MID</v>
          </cell>
          <cell r="K896" t="str">
            <v>50126-K1ZA-J102-20</v>
          </cell>
          <cell r="L896" t="str">
            <v>K1ZF</v>
          </cell>
          <cell r="M896" t="str">
            <v>JSH270C</v>
          </cell>
          <cell r="N896" t="str">
            <v>STAY FLOOR MID</v>
          </cell>
          <cell r="O896" t="str">
            <v>50126-K1ZA-J102-20</v>
          </cell>
          <cell r="P896" t="str">
            <v>K1ZF</v>
          </cell>
          <cell r="Q896" t="str">
            <v>ptt</v>
          </cell>
        </row>
        <row r="897">
          <cell r="A897" t="str">
            <v>30041963-1</v>
          </cell>
          <cell r="B897" t="str">
            <v>2.0 x 70+/-0.5 x 1219</v>
          </cell>
          <cell r="C897">
            <v>2</v>
          </cell>
          <cell r="D897">
            <v>70</v>
          </cell>
          <cell r="E897">
            <v>1219</v>
          </cell>
          <cell r="F897">
            <v>1.3396809999999999</v>
          </cell>
          <cell r="G897">
            <v>30</v>
          </cell>
          <cell r="H897">
            <v>77004494</v>
          </cell>
          <cell r="I897" t="str">
            <v>JSH270C</v>
          </cell>
          <cell r="J897" t="str">
            <v>STAY L FLOOR RR</v>
          </cell>
          <cell r="K897" t="str">
            <v>50129-K1ZA-J101-20</v>
          </cell>
          <cell r="L897" t="str">
            <v>K1ZF</v>
          </cell>
          <cell r="M897" t="str">
            <v>JSH270C</v>
          </cell>
          <cell r="N897" t="str">
            <v>STAY L FLOOR RR</v>
          </cell>
          <cell r="O897" t="str">
            <v>50129-K1ZA-J101-20</v>
          </cell>
          <cell r="P897" t="str">
            <v>K1ZF</v>
          </cell>
          <cell r="Q897" t="str">
            <v>ptt</v>
          </cell>
        </row>
        <row r="898">
          <cell r="A898" t="str">
            <v>30042019-1</v>
          </cell>
          <cell r="B898" t="str">
            <v>1.6 x 110+/-0.5 x 1219</v>
          </cell>
          <cell r="C898">
            <v>1.6</v>
          </cell>
          <cell r="D898">
            <v>110</v>
          </cell>
          <cell r="E898">
            <v>1219</v>
          </cell>
          <cell r="F898">
            <v>1.6841704</v>
          </cell>
          <cell r="H898">
            <v>77004844</v>
          </cell>
          <cell r="I898" t="str">
            <v>JSH270C</v>
          </cell>
          <cell r="J898" t="str">
            <v>STAY AIR/C FR</v>
          </cell>
          <cell r="K898" t="str">
            <v>50121-MLAA-001-H1</v>
          </cell>
          <cell r="L898" t="str">
            <v>MLAA</v>
          </cell>
          <cell r="M898" t="str">
            <v>JSH270C</v>
          </cell>
          <cell r="N898" t="str">
            <v>STAY AIR/C FR</v>
          </cell>
          <cell r="O898" t="str">
            <v>50121-MLAA-001-H1</v>
          </cell>
          <cell r="P898" t="str">
            <v>MLAA</v>
          </cell>
          <cell r="Q898" t="str">
            <v>ptt</v>
          </cell>
        </row>
        <row r="899">
          <cell r="A899">
            <v>30042157</v>
          </cell>
          <cell r="B899" t="str">
            <v>1.6 x 79+/-0.5 x 1219</v>
          </cell>
          <cell r="C899">
            <v>1.6</v>
          </cell>
          <cell r="D899">
            <v>79</v>
          </cell>
          <cell r="E899">
            <v>1219</v>
          </cell>
          <cell r="F899">
            <v>1.20954056</v>
          </cell>
          <cell r="H899">
            <v>77004456</v>
          </cell>
          <cell r="I899" t="str">
            <v>JSH270C</v>
          </cell>
          <cell r="J899" t="str">
            <v>STAY FR COVER</v>
          </cell>
          <cell r="K899">
            <v>4500</v>
          </cell>
          <cell r="M899" t="str">
            <v>JSH270C</v>
          </cell>
          <cell r="N899" t="str">
            <v>STAY FR COVER</v>
          </cell>
          <cell r="O899">
            <v>4500</v>
          </cell>
          <cell r="Q899" t="e">
            <v>#N/A</v>
          </cell>
        </row>
        <row r="900">
          <cell r="A900" t="str">
            <v>30042553-2</v>
          </cell>
          <cell r="B900" t="str">
            <v>1.6 x 87+/-0.5 x 1219</v>
          </cell>
          <cell r="C900">
            <v>1.6</v>
          </cell>
          <cell r="D900">
            <v>87</v>
          </cell>
          <cell r="E900">
            <v>1219</v>
          </cell>
          <cell r="F900">
            <v>1.3320256800000001</v>
          </cell>
          <cell r="H900">
            <v>77004459</v>
          </cell>
          <cell r="I900" t="str">
            <v>SPHC-P/O</v>
          </cell>
          <cell r="J900" t="str">
            <v>PLATE</v>
          </cell>
          <cell r="L900" t="str">
            <v>K0FG</v>
          </cell>
          <cell r="M900" t="str">
            <v>SPHC-P/O</v>
          </cell>
          <cell r="N900" t="str">
            <v>PLATE</v>
          </cell>
          <cell r="P900" t="str">
            <v>K0FG</v>
          </cell>
          <cell r="Q900" t="str">
            <v>ptt</v>
          </cell>
        </row>
        <row r="901">
          <cell r="A901" t="str">
            <v>30045039-1</v>
          </cell>
          <cell r="B901" t="str">
            <v>1.6 x 137+/-0.5 x 1219</v>
          </cell>
          <cell r="C901">
            <v>1.6</v>
          </cell>
          <cell r="D901">
            <v>137</v>
          </cell>
          <cell r="E901">
            <v>1219</v>
          </cell>
          <cell r="F901">
            <v>2.09755768</v>
          </cell>
          <cell r="G901">
            <v>29</v>
          </cell>
          <cell r="H901">
            <v>77004775</v>
          </cell>
          <cell r="I901" t="str">
            <v>JSH270C</v>
          </cell>
          <cell r="J901" t="str">
            <v>STAY ABS</v>
          </cell>
          <cell r="K901" t="str">
            <v>50116-K2WA-J102-H1</v>
          </cell>
          <cell r="L901" t="str">
            <v>K2WA</v>
          </cell>
          <cell r="M901" t="str">
            <v>JSH270C</v>
          </cell>
          <cell r="N901" t="str">
            <v>STAY ABS</v>
          </cell>
          <cell r="O901" t="str">
            <v>50116-K2WA-J102-H1</v>
          </cell>
          <cell r="P901" t="str">
            <v>K2WA</v>
          </cell>
          <cell r="Q901" t="str">
            <v>ptt</v>
          </cell>
        </row>
        <row r="902">
          <cell r="A902">
            <v>30045048</v>
          </cell>
          <cell r="B902" t="str">
            <v>1.4 x 65+/-0.5 x 1219</v>
          </cell>
          <cell r="C902">
            <v>1.4</v>
          </cell>
          <cell r="D902">
            <v>65</v>
          </cell>
          <cell r="E902">
            <v>1219</v>
          </cell>
          <cell r="F902">
            <v>0.87079264999999995</v>
          </cell>
          <cell r="H902">
            <v>77004756</v>
          </cell>
          <cell r="I902" t="str">
            <v>JSC270C</v>
          </cell>
          <cell r="J902" t="str">
            <v>STAY R SEAT MT</v>
          </cell>
          <cell r="L902" t="str">
            <v>K2WA</v>
          </cell>
          <cell r="M902" t="str">
            <v>JSC270C</v>
          </cell>
          <cell r="N902" t="str">
            <v>STAY R SEAT MT</v>
          </cell>
          <cell r="P902" t="str">
            <v>K2WA</v>
          </cell>
          <cell r="Q902" t="str">
            <v>ptt</v>
          </cell>
        </row>
        <row r="903">
          <cell r="A903">
            <v>30045049</v>
          </cell>
          <cell r="B903" t="str">
            <v>1.4 x 65+/-0.5 x 1219</v>
          </cell>
          <cell r="C903">
            <v>1.4</v>
          </cell>
          <cell r="D903">
            <v>65</v>
          </cell>
          <cell r="E903">
            <v>1219</v>
          </cell>
          <cell r="F903">
            <v>0.87079264999999995</v>
          </cell>
          <cell r="H903">
            <v>77004756</v>
          </cell>
          <cell r="I903" t="str">
            <v>JSC270C</v>
          </cell>
          <cell r="J903" t="str">
            <v>STAY L SEAT MT</v>
          </cell>
          <cell r="L903" t="str">
            <v>K2WA</v>
          </cell>
          <cell r="M903" t="str">
            <v>JSC270C</v>
          </cell>
          <cell r="N903" t="str">
            <v>STAY L SEAT MT</v>
          </cell>
          <cell r="P903" t="str">
            <v>K2WA</v>
          </cell>
          <cell r="Q903" t="str">
            <v>ptt</v>
          </cell>
        </row>
        <row r="904">
          <cell r="A904" t="str">
            <v>30045050-1</v>
          </cell>
          <cell r="B904" t="str">
            <v>2.3 x 80+/-0.5 x 1219</v>
          </cell>
          <cell r="C904">
            <v>2.2999999999999998</v>
          </cell>
          <cell r="D904">
            <v>80</v>
          </cell>
          <cell r="E904">
            <v>1219</v>
          </cell>
          <cell r="F904">
            <v>1.7607235999999999</v>
          </cell>
          <cell r="G904">
            <v>24</v>
          </cell>
          <cell r="H904">
            <v>77004770</v>
          </cell>
          <cell r="I904" t="str">
            <v>JSH270C</v>
          </cell>
          <cell r="J904" t="str">
            <v>STAY FR SEAT MT</v>
          </cell>
          <cell r="L904" t="str">
            <v>K2WA</v>
          </cell>
          <cell r="M904" t="str">
            <v>JSH270C</v>
          </cell>
          <cell r="N904" t="str">
            <v>STAY FR SEAT MT</v>
          </cell>
          <cell r="P904" t="str">
            <v>K2WA</v>
          </cell>
          <cell r="Q904" t="str">
            <v>ptt</v>
          </cell>
        </row>
        <row r="905">
          <cell r="A905">
            <v>30045276</v>
          </cell>
          <cell r="B905" t="str">
            <v>2.0 x 55+/-0.5 x 1219</v>
          </cell>
          <cell r="C905">
            <v>2</v>
          </cell>
          <cell r="D905">
            <v>55</v>
          </cell>
          <cell r="E905">
            <v>1219</v>
          </cell>
          <cell r="F905">
            <v>1.0526065</v>
          </cell>
          <cell r="H905">
            <v>77004752</v>
          </cell>
          <cell r="I905" t="str">
            <v>JSH270C</v>
          </cell>
          <cell r="J905" t="str">
            <v>STAY FR COVER</v>
          </cell>
          <cell r="K905" t="str">
            <v>64223-KYZ-9000-H1</v>
          </cell>
          <cell r="L905" t="str">
            <v>K73L</v>
          </cell>
          <cell r="M905" t="str">
            <v>JSH270C</v>
          </cell>
          <cell r="N905" t="str">
            <v>STAY FR COVER</v>
          </cell>
          <cell r="O905" t="str">
            <v>64223-KYZ-9000-H1</v>
          </cell>
          <cell r="P905" t="str">
            <v>K73L</v>
          </cell>
          <cell r="Q905" t="e">
            <v>#N/A</v>
          </cell>
        </row>
        <row r="906">
          <cell r="A906">
            <v>30045277</v>
          </cell>
          <cell r="B906" t="str">
            <v>2.0 x 58+/-0.5 x 1219</v>
          </cell>
          <cell r="C906">
            <v>2</v>
          </cell>
          <cell r="D906">
            <v>58</v>
          </cell>
          <cell r="E906">
            <v>1219</v>
          </cell>
          <cell r="F906">
            <v>1.1100213999999999</v>
          </cell>
          <cell r="G906">
            <v>26</v>
          </cell>
          <cell r="H906">
            <v>77004754</v>
          </cell>
          <cell r="I906" t="str">
            <v>JSH270C</v>
          </cell>
          <cell r="J906" t="str">
            <v>STAY AIR C CASE</v>
          </cell>
          <cell r="K906" t="str">
            <v>64225-KYZ-9000-H1</v>
          </cell>
          <cell r="L906" t="str">
            <v>K73L</v>
          </cell>
          <cell r="M906" t="str">
            <v>JSH270C</v>
          </cell>
          <cell r="N906" t="str">
            <v>STAY AIR C CASE</v>
          </cell>
          <cell r="O906" t="str">
            <v>64225-KYZ-9000-H1</v>
          </cell>
          <cell r="P906" t="str">
            <v>K73L</v>
          </cell>
          <cell r="Q906" t="e">
            <v>#N/A</v>
          </cell>
        </row>
        <row r="907">
          <cell r="A907">
            <v>30045278</v>
          </cell>
          <cell r="B907" t="str">
            <v>2.0 x 60+/-0.5 x 1219</v>
          </cell>
          <cell r="C907">
            <v>2</v>
          </cell>
          <cell r="D907">
            <v>60</v>
          </cell>
          <cell r="E907">
            <v>1219</v>
          </cell>
          <cell r="F907">
            <v>1.148298</v>
          </cell>
          <cell r="G907">
            <v>100</v>
          </cell>
          <cell r="H907">
            <v>77004755</v>
          </cell>
          <cell r="I907" t="str">
            <v>JSH270C</v>
          </cell>
          <cell r="J907" t="str">
            <v>STAY HARNESS</v>
          </cell>
          <cell r="K907" t="str">
            <v>64220-KYZ-9000-H1</v>
          </cell>
          <cell r="L907" t="str">
            <v>K73L</v>
          </cell>
          <cell r="M907" t="str">
            <v>JSH270C</v>
          </cell>
          <cell r="N907" t="str">
            <v>STAY HARNESS</v>
          </cell>
          <cell r="O907" t="str">
            <v>64220-KYZ-9000-H1</v>
          </cell>
          <cell r="P907" t="str">
            <v>K73L</v>
          </cell>
          <cell r="Q907" t="e">
            <v>#N/A</v>
          </cell>
        </row>
        <row r="908">
          <cell r="A908">
            <v>30046850</v>
          </cell>
          <cell r="B908" t="str">
            <v>3.2 x 78+/-0.5 x 1219</v>
          </cell>
          <cell r="C908">
            <v>3.2</v>
          </cell>
          <cell r="D908">
            <v>78</v>
          </cell>
          <cell r="E908">
            <v>1219</v>
          </cell>
          <cell r="F908">
            <v>2.3884598399999999</v>
          </cell>
          <cell r="G908">
            <v>22</v>
          </cell>
          <cell r="H908">
            <v>77004559</v>
          </cell>
          <cell r="I908" t="str">
            <v>JSH270C</v>
          </cell>
          <cell r="J908" t="str">
            <v>PITCH FR SUB PIPE</v>
          </cell>
          <cell r="K908" t="str">
            <v>50161-K0BA-T001-H1</v>
          </cell>
          <cell r="L908" t="str">
            <v>K1BA</v>
          </cell>
          <cell r="M908" t="str">
            <v>JSH270C</v>
          </cell>
          <cell r="N908" t="str">
            <v>PITCH FR SUB PIPE</v>
          </cell>
          <cell r="O908" t="str">
            <v>50161-K0BA-T001-H1</v>
          </cell>
          <cell r="P908" t="str">
            <v>K1BA</v>
          </cell>
          <cell r="Q908" t="str">
            <v>ptt</v>
          </cell>
        </row>
        <row r="909">
          <cell r="A909" t="str">
            <v>30046850-1</v>
          </cell>
          <cell r="B909" t="str">
            <v>3.2 x 78+/-0.5 x 1220</v>
          </cell>
          <cell r="C909">
            <v>3.2</v>
          </cell>
          <cell r="D909">
            <v>78</v>
          </cell>
          <cell r="E909">
            <v>1219</v>
          </cell>
          <cell r="F909">
            <v>2.3884598399999999</v>
          </cell>
          <cell r="G909">
            <v>22</v>
          </cell>
          <cell r="H909">
            <v>77004560</v>
          </cell>
          <cell r="I909" t="str">
            <v>JSH270C</v>
          </cell>
          <cell r="J909" t="str">
            <v>PITCH FR SUB PIPE</v>
          </cell>
          <cell r="K909" t="str">
            <v>50161-K0BA-T001-H2</v>
          </cell>
          <cell r="L909" t="str">
            <v>K1BA</v>
          </cell>
          <cell r="M909" t="str">
            <v>JSH270C</v>
          </cell>
          <cell r="N909" t="str">
            <v>PITCH FR SUB PIPE</v>
          </cell>
          <cell r="O909" t="str">
            <v>50161-K0BA-T001-H2</v>
          </cell>
          <cell r="P909" t="str">
            <v>K1BA</v>
          </cell>
          <cell r="Q909" t="str">
            <v>TSI</v>
          </cell>
        </row>
        <row r="910">
          <cell r="A910" t="str">
            <v>30046850-2</v>
          </cell>
          <cell r="B910" t="str">
            <v>3.2 x 78+/-0.5 x 1221</v>
          </cell>
          <cell r="C910">
            <v>3.2</v>
          </cell>
          <cell r="D910">
            <v>78</v>
          </cell>
          <cell r="E910">
            <v>1219</v>
          </cell>
          <cell r="F910">
            <v>2.3884598399999999</v>
          </cell>
          <cell r="G910">
            <v>22</v>
          </cell>
          <cell r="H910">
            <v>77004561</v>
          </cell>
          <cell r="I910" t="str">
            <v>JSH270C</v>
          </cell>
          <cell r="J910" t="str">
            <v>PITCH FR SUB PIPE</v>
          </cell>
          <cell r="K910" t="str">
            <v>50161-K0BA-T001-H3</v>
          </cell>
          <cell r="L910" t="str">
            <v>K1BA</v>
          </cell>
          <cell r="M910" t="str">
            <v>JSH270C</v>
          </cell>
          <cell r="N910" t="str">
            <v>PITCH FR SUB PIPE</v>
          </cell>
          <cell r="O910" t="str">
            <v>50161-K0BA-T001-H3</v>
          </cell>
          <cell r="P910" t="str">
            <v>K1BA</v>
          </cell>
          <cell r="Q910" t="str">
            <v>ECP</v>
          </cell>
        </row>
        <row r="911">
          <cell r="A911">
            <v>30046851</v>
          </cell>
          <cell r="B911" t="str">
            <v>1.6 x 50+/-0.5 x 1219</v>
          </cell>
          <cell r="C911">
            <v>1.6</v>
          </cell>
          <cell r="D911">
            <v>50</v>
          </cell>
          <cell r="E911">
            <v>1219</v>
          </cell>
          <cell r="F911">
            <v>0.76553199999999999</v>
          </cell>
          <cell r="G911">
            <v>112</v>
          </cell>
          <cell r="H911">
            <v>77004442</v>
          </cell>
          <cell r="I911" t="str">
            <v>JSH270C</v>
          </cell>
          <cell r="J911" t="str">
            <v>STAY A HOSE CLAMPER</v>
          </cell>
          <cell r="K911" t="str">
            <v>50169-K0BA-T001-H1</v>
          </cell>
          <cell r="L911" t="str">
            <v>K1BA</v>
          </cell>
          <cell r="M911" t="str">
            <v>JSH270C</v>
          </cell>
          <cell r="N911" t="str">
            <v>STAY A HOSE CLAMPER</v>
          </cell>
          <cell r="O911" t="str">
            <v>50169-K0BA-T001-H1</v>
          </cell>
          <cell r="P911" t="str">
            <v>K1BA</v>
          </cell>
          <cell r="Q911" t="str">
            <v>ptt</v>
          </cell>
        </row>
        <row r="912">
          <cell r="A912">
            <v>30046852</v>
          </cell>
          <cell r="B912" t="str">
            <v>1.4 x 65+/-0.5 x 1219</v>
          </cell>
          <cell r="C912">
            <v>1.4</v>
          </cell>
          <cell r="D912">
            <v>65</v>
          </cell>
          <cell r="E912">
            <v>1219</v>
          </cell>
          <cell r="F912">
            <v>0.87079264999999995</v>
          </cell>
          <cell r="G912">
            <v>78</v>
          </cell>
          <cell r="H912">
            <v>77004234</v>
          </cell>
          <cell r="I912" t="str">
            <v>JSH270C</v>
          </cell>
          <cell r="J912" t="str">
            <v>STAY R L WETER HOSE RR</v>
          </cell>
          <cell r="K912" t="str">
            <v>50223/24-K1BA-T001-H1</v>
          </cell>
          <cell r="L912" t="str">
            <v>K1BA</v>
          </cell>
          <cell r="M912" t="str">
            <v>JSH270C</v>
          </cell>
          <cell r="N912" t="str">
            <v>STAY R L WETER HOSE RR</v>
          </cell>
          <cell r="O912" t="str">
            <v>50223/24-K1BA-T001-H1</v>
          </cell>
          <cell r="P912" t="str">
            <v>K1BA</v>
          </cell>
          <cell r="Q912" t="str">
            <v>ptt</v>
          </cell>
        </row>
        <row r="913">
          <cell r="A913" t="str">
            <v>30046853-1</v>
          </cell>
          <cell r="B913" t="str">
            <v>1.6 x 61+/-0.5 x 1219</v>
          </cell>
          <cell r="C913">
            <v>1.6</v>
          </cell>
          <cell r="D913">
            <v>61</v>
          </cell>
          <cell r="E913">
            <v>1219</v>
          </cell>
          <cell r="F913">
            <v>0.93394904000000001</v>
          </cell>
          <cell r="G913">
            <v>33</v>
          </cell>
          <cell r="H913">
            <v>77004450</v>
          </cell>
          <cell r="I913" t="str">
            <v>JSH270C</v>
          </cell>
          <cell r="J913" t="str">
            <v>STAY R (COVER BATTERY)</v>
          </cell>
          <cell r="K913" t="str">
            <v>50195-K0BA-T002-20</v>
          </cell>
          <cell r="L913" t="str">
            <v>K1BA</v>
          </cell>
          <cell r="M913" t="str">
            <v>JSH270C</v>
          </cell>
          <cell r="N913" t="str">
            <v>STAY R (COVER BATTERY)</v>
          </cell>
          <cell r="O913" t="str">
            <v>50195-K0BA-T002-20</v>
          </cell>
          <cell r="P913" t="str">
            <v>K1BA</v>
          </cell>
          <cell r="Q913" t="str">
            <v>ptt</v>
          </cell>
        </row>
        <row r="914">
          <cell r="A914">
            <v>30046854</v>
          </cell>
          <cell r="B914" t="str">
            <v>1.0 x 71+/-0.5 x 1219</v>
          </cell>
          <cell r="C914">
            <v>1</v>
          </cell>
          <cell r="D914">
            <v>71</v>
          </cell>
          <cell r="E914">
            <v>1219</v>
          </cell>
          <cell r="F914">
            <v>0.67940964999999998</v>
          </cell>
          <cell r="G914">
            <v>69</v>
          </cell>
          <cell r="H914">
            <v>77004262</v>
          </cell>
          <cell r="I914" t="str">
            <v>JSC270C</v>
          </cell>
          <cell r="J914" t="str">
            <v>CLIP HARNESS</v>
          </cell>
          <cell r="K914" t="str">
            <v>50128-GFM-9000-H1</v>
          </cell>
          <cell r="L914" t="str">
            <v>K1BA</v>
          </cell>
          <cell r="M914" t="str">
            <v>JSC270C</v>
          </cell>
          <cell r="N914" t="str">
            <v>CLIP HARNESS</v>
          </cell>
          <cell r="O914" t="str">
            <v>50128-GFM-9000-H1</v>
          </cell>
          <cell r="P914" t="str">
            <v>K1BA</v>
          </cell>
          <cell r="Q914" t="str">
            <v>ptt</v>
          </cell>
        </row>
        <row r="915">
          <cell r="A915">
            <v>73004287</v>
          </cell>
          <cell r="B915" t="str">
            <v>1.6 x 60+/-0.5 x 1219</v>
          </cell>
          <cell r="C915">
            <v>1.6</v>
          </cell>
          <cell r="D915">
            <v>60</v>
          </cell>
          <cell r="E915">
            <v>1219</v>
          </cell>
          <cell r="F915">
            <v>0.91863839999999986</v>
          </cell>
          <cell r="H915">
            <v>77004449</v>
          </cell>
          <cell r="I915" t="str">
            <v>JSH270C</v>
          </cell>
          <cell r="J915" t="str">
            <v>WASHER LEG SHIELD BOSS</v>
          </cell>
          <cell r="M915" t="str">
            <v>JSH270C</v>
          </cell>
          <cell r="N915" t="str">
            <v>WASHER LEG SHIELD BOSS</v>
          </cell>
          <cell r="Q915" t="str">
            <v>ptt</v>
          </cell>
        </row>
        <row r="916">
          <cell r="A916">
            <v>73012105</v>
          </cell>
          <cell r="B916" t="str">
            <v>0.7 x 105+/-0.5 x Coil</v>
          </cell>
          <cell r="C916">
            <v>0.7</v>
          </cell>
          <cell r="D916">
            <v>105</v>
          </cell>
          <cell r="E916" t="str">
            <v>Coil</v>
          </cell>
          <cell r="F916">
            <v>6.0000000000000001E-3</v>
          </cell>
          <cell r="G916">
            <v>6.0000000000000001E-3</v>
          </cell>
          <cell r="H916">
            <v>77004218</v>
          </cell>
          <cell r="I916" t="str">
            <v>SPCC-SD</v>
          </cell>
          <cell r="J916" t="str">
            <v>CLIP FUEL TUBE</v>
          </cell>
          <cell r="K916" t="str">
            <v>19615-ZE0-3000</v>
          </cell>
          <cell r="L916">
            <v>0</v>
          </cell>
          <cell r="M916" t="str">
            <v>SPCC-SD</v>
          </cell>
          <cell r="N916" t="str">
            <v>CLIP FUEL TUBE</v>
          </cell>
          <cell r="O916" t="str">
            <v>19615-ZE0-3000</v>
          </cell>
          <cell r="P916">
            <v>0</v>
          </cell>
          <cell r="Q916" t="str">
            <v>ptt</v>
          </cell>
        </row>
        <row r="917">
          <cell r="A917" t="str">
            <v>73017893-1</v>
          </cell>
          <cell r="B917" t="str">
            <v>2.3 x 316+/-0.5 x 1219</v>
          </cell>
          <cell r="C917">
            <v>2.2999999999999998</v>
          </cell>
          <cell r="D917">
            <v>316</v>
          </cell>
          <cell r="E917">
            <v>1219</v>
          </cell>
          <cell r="F917">
            <v>6.9548582199999993</v>
          </cell>
          <cell r="G917">
            <v>11</v>
          </cell>
          <cell r="H917">
            <v>77006044</v>
          </cell>
          <cell r="I917" t="str">
            <v>SPHC-P/O</v>
          </cell>
          <cell r="J917" t="str">
            <v>BRACKET SEAT LOCK</v>
          </cell>
          <cell r="K917" t="str">
            <v>41131-45H00</v>
          </cell>
          <cell r="L917" t="str">
            <v>KC601</v>
          </cell>
          <cell r="M917" t="str">
            <v>SPHC-P/O</v>
          </cell>
          <cell r="N917" t="str">
            <v>BRACKET SEAT LOCK</v>
          </cell>
          <cell r="O917" t="str">
            <v>41131-45H00</v>
          </cell>
          <cell r="P917" t="str">
            <v>KC601</v>
          </cell>
          <cell r="Q917" t="str">
            <v>tsi</v>
          </cell>
          <cell r="R917">
            <v>50</v>
          </cell>
        </row>
        <row r="918">
          <cell r="A918">
            <v>73018996</v>
          </cell>
          <cell r="B918" t="str">
            <v>1.6 x 30+/-0.5 x 1219</v>
          </cell>
          <cell r="C918">
            <v>1.6</v>
          </cell>
          <cell r="D918">
            <v>30</v>
          </cell>
          <cell r="E918">
            <v>1219</v>
          </cell>
          <cell r="F918">
            <v>0.45931919999999993</v>
          </cell>
          <cell r="H918">
            <v>77004431</v>
          </cell>
          <cell r="I918" t="str">
            <v>JSH270C</v>
          </cell>
          <cell r="J918" t="str">
            <v>GUSSET R INNER</v>
          </cell>
          <cell r="M918" t="str">
            <v>JSH270C</v>
          </cell>
          <cell r="N918" t="str">
            <v>GUSSET R INNER</v>
          </cell>
          <cell r="Q918" t="e">
            <v>#N/A</v>
          </cell>
        </row>
        <row r="919">
          <cell r="A919" t="str">
            <v>30020962-1</v>
          </cell>
          <cell r="B919" t="str">
            <v>6.0 x 160+/-0.5 x 1219</v>
          </cell>
          <cell r="C919">
            <v>6</v>
          </cell>
          <cell r="D919">
            <v>160</v>
          </cell>
          <cell r="E919">
            <v>1219</v>
          </cell>
          <cell r="F919">
            <v>9.1863840000000003</v>
          </cell>
          <cell r="G919">
            <v>29</v>
          </cell>
          <cell r="H919">
            <v>77004410</v>
          </cell>
          <cell r="I919" t="str">
            <v>SPHC-P/O</v>
          </cell>
          <cell r="J919" t="str">
            <v>ARM</v>
          </cell>
          <cell r="K919">
            <v>0</v>
          </cell>
          <cell r="L919" t="str">
            <v>GPI</v>
          </cell>
          <cell r="M919" t="str">
            <v>SPHC-P/O</v>
          </cell>
          <cell r="N919" t="str">
            <v>ARM</v>
          </cell>
          <cell r="O919">
            <v>0</v>
          </cell>
          <cell r="P919" t="str">
            <v>GPI</v>
          </cell>
          <cell r="Q919" t="e">
            <v>#N/A</v>
          </cell>
        </row>
        <row r="920">
          <cell r="A920" t="str">
            <v>30034300-1</v>
          </cell>
          <cell r="B920" t="str">
            <v>3.2 x 75+/-0.5 x 1219</v>
          </cell>
          <cell r="C920">
            <v>3.2</v>
          </cell>
          <cell r="D920">
            <v>75</v>
          </cell>
          <cell r="E920">
            <v>1219</v>
          </cell>
          <cell r="F920">
            <v>2.2965960000000001</v>
          </cell>
          <cell r="G920">
            <v>44</v>
          </cell>
          <cell r="H920">
            <v>77004557</v>
          </cell>
          <cell r="I920" t="str">
            <v>JSH270C</v>
          </cell>
          <cell r="J920" t="str">
            <v>PLATE A STOPPER</v>
          </cell>
          <cell r="K920" t="str">
            <v>50500-KSSX-J301-24</v>
          </cell>
          <cell r="L920" t="str">
            <v>KSSX</v>
          </cell>
          <cell r="M920" t="str">
            <v>JSH270C</v>
          </cell>
          <cell r="N920" t="str">
            <v>PLATE A STOPPER</v>
          </cell>
          <cell r="O920" t="str">
            <v>50500-KSSX-J301-24</v>
          </cell>
          <cell r="P920" t="str">
            <v>KSSX</v>
          </cell>
          <cell r="Q920" t="e">
            <v>#N/A</v>
          </cell>
        </row>
        <row r="921">
          <cell r="A921" t="str">
            <v>30034300-2</v>
          </cell>
          <cell r="B921" t="str">
            <v>3.2 x 79+/-0.5 x 1219</v>
          </cell>
          <cell r="C921">
            <v>3.2</v>
          </cell>
          <cell r="D921">
            <v>79</v>
          </cell>
          <cell r="E921">
            <v>1219</v>
          </cell>
          <cell r="F921">
            <v>2.41908112</v>
          </cell>
          <cell r="G921">
            <v>53</v>
          </cell>
          <cell r="H921">
            <v>77004682</v>
          </cell>
          <cell r="I921" t="str">
            <v>JSH270C</v>
          </cell>
          <cell r="J921" t="str">
            <v>PLATE B STOPPER</v>
          </cell>
          <cell r="K921" t="str">
            <v>50500-KSSX-J302-25</v>
          </cell>
          <cell r="L921" t="str">
            <v>KSSX</v>
          </cell>
          <cell r="M921" t="str">
            <v>JSH270C</v>
          </cell>
          <cell r="N921" t="str">
            <v>PLATE B STOPPER</v>
          </cell>
          <cell r="O921" t="str">
            <v>50500-KSSX-J302-25</v>
          </cell>
          <cell r="P921" t="str">
            <v>KSSX</v>
          </cell>
          <cell r="Q921" t="e">
            <v>#N/A</v>
          </cell>
        </row>
        <row r="922">
          <cell r="A922" t="str">
            <v>30034400-2</v>
          </cell>
          <cell r="B922" t="str">
            <v>2.3 x 85+/-0.5 x 1219</v>
          </cell>
          <cell r="C922">
            <v>2.2999999999999998</v>
          </cell>
          <cell r="D922">
            <v>85</v>
          </cell>
          <cell r="E922">
            <v>1219</v>
          </cell>
          <cell r="F922">
            <v>1.8707688249999996</v>
          </cell>
          <cell r="G922">
            <v>63</v>
          </cell>
          <cell r="H922">
            <v>77004535</v>
          </cell>
          <cell r="I922" t="str">
            <v>JSH270C</v>
          </cell>
          <cell r="J922" t="str">
            <v>PLATE B TREAD BAR</v>
          </cell>
          <cell r="K922" t="str">
            <v>50500-KSSX-J300-20</v>
          </cell>
          <cell r="L922" t="str">
            <v>KSSX</v>
          </cell>
          <cell r="M922" t="str">
            <v>JSH270C</v>
          </cell>
          <cell r="N922" t="str">
            <v>PLATE B TREAD BAR</v>
          </cell>
          <cell r="O922" t="str">
            <v>50500-KSSX-J300-20</v>
          </cell>
          <cell r="P922" t="str">
            <v>KSSX</v>
          </cell>
          <cell r="Q922" t="str">
            <v>ptt</v>
          </cell>
        </row>
        <row r="923">
          <cell r="A923" t="str">
            <v>30035698-0</v>
          </cell>
          <cell r="B923" t="str">
            <v>0.8 x 45+/-0.5 x 1219</v>
          </cell>
          <cell r="C923">
            <v>0.8</v>
          </cell>
          <cell r="D923">
            <v>45</v>
          </cell>
          <cell r="E923">
            <v>1219</v>
          </cell>
          <cell r="F923">
            <v>0.34448939999999995</v>
          </cell>
          <cell r="G923">
            <v>82</v>
          </cell>
          <cell r="H923">
            <v>77004743</v>
          </cell>
          <cell r="I923" t="str">
            <v>SPCC-SD</v>
          </cell>
          <cell r="J923" t="str">
            <v>CLIP B FUEL HOSE</v>
          </cell>
          <cell r="K923" t="str">
            <v>50122-MF2-3000</v>
          </cell>
          <cell r="L923" t="str">
            <v>K97F</v>
          </cell>
          <cell r="M923" t="str">
            <v>SPCC-SD</v>
          </cell>
          <cell r="N923" t="str">
            <v>CLIP B FUEL HOSE</v>
          </cell>
          <cell r="O923" t="str">
            <v>50122-MF2-3000</v>
          </cell>
          <cell r="P923" t="str">
            <v>K97F</v>
          </cell>
          <cell r="Q923" t="e">
            <v>#N/A</v>
          </cell>
        </row>
        <row r="924">
          <cell r="A924" t="str">
            <v>30035708-1</v>
          </cell>
          <cell r="B924" t="str">
            <v>2.0 x 93+/-0.5 x 1219</v>
          </cell>
          <cell r="C924">
            <v>2</v>
          </cell>
          <cell r="D924">
            <v>93</v>
          </cell>
          <cell r="E924">
            <v>1219</v>
          </cell>
          <cell r="F924">
            <v>1.7798619</v>
          </cell>
          <cell r="G924">
            <v>22</v>
          </cell>
          <cell r="H924">
            <v>77004509</v>
          </cell>
          <cell r="I924" t="str">
            <v>JSH270C</v>
          </cell>
          <cell r="J924" t="str">
            <v>STAY R</v>
          </cell>
          <cell r="K924" t="str">
            <v>50147-K97F-T000-H1</v>
          </cell>
          <cell r="L924" t="str">
            <v>K97F</v>
          </cell>
          <cell r="M924" t="str">
            <v>JSH270C</v>
          </cell>
          <cell r="N924" t="str">
            <v>STAY R</v>
          </cell>
          <cell r="O924" t="str">
            <v>50147-K97F-T000-H1</v>
          </cell>
          <cell r="P924" t="str">
            <v>K97F</v>
          </cell>
          <cell r="Q924" t="str">
            <v>ptt</v>
          </cell>
        </row>
        <row r="925">
          <cell r="A925" t="str">
            <v>30035722-1</v>
          </cell>
          <cell r="B925" t="str">
            <v>2.0 x 93+/-0.5 x 1219</v>
          </cell>
          <cell r="C925">
            <v>2</v>
          </cell>
          <cell r="D925">
            <v>93</v>
          </cell>
          <cell r="E925">
            <v>1219</v>
          </cell>
          <cell r="F925">
            <v>1.7798619</v>
          </cell>
          <cell r="G925">
            <v>22</v>
          </cell>
          <cell r="H925">
            <v>77004509</v>
          </cell>
          <cell r="I925" t="str">
            <v>JSH270C</v>
          </cell>
          <cell r="J925" t="str">
            <v>STAY L</v>
          </cell>
          <cell r="K925" t="str">
            <v>50148-K97F-T000-H1</v>
          </cell>
          <cell r="L925" t="str">
            <v>K97F</v>
          </cell>
          <cell r="M925" t="str">
            <v>JSH270C</v>
          </cell>
          <cell r="N925" t="str">
            <v>STAY L</v>
          </cell>
          <cell r="O925" t="str">
            <v>50148-K97F-T000-H1</v>
          </cell>
          <cell r="P925" t="str">
            <v>K97F</v>
          </cell>
          <cell r="Q925" t="str">
            <v>ptt</v>
          </cell>
        </row>
        <row r="926">
          <cell r="A926" t="str">
            <v>30036257-2</v>
          </cell>
          <cell r="B926" t="str">
            <v>3.2 x 78+/-0.5 x 1219</v>
          </cell>
          <cell r="C926">
            <v>3.2</v>
          </cell>
          <cell r="D926">
            <v>78</v>
          </cell>
          <cell r="E926">
            <v>1219</v>
          </cell>
          <cell r="F926">
            <v>2.3884598399999999</v>
          </cell>
          <cell r="G926">
            <v>22</v>
          </cell>
          <cell r="H926">
            <v>77004559</v>
          </cell>
          <cell r="I926" t="str">
            <v>JSH270C</v>
          </cell>
          <cell r="J926" t="str">
            <v>PATCH FR SUB PIPE</v>
          </cell>
          <cell r="K926" t="str">
            <v>50161-K0BA-T001-H1</v>
          </cell>
          <cell r="L926" t="str">
            <v>K0BA</v>
          </cell>
          <cell r="M926" t="str">
            <v>JSH270C</v>
          </cell>
          <cell r="N926" t="str">
            <v>PATCH FR SUB PIPE</v>
          </cell>
          <cell r="O926" t="str">
            <v>50161-K0BA-T001-H1</v>
          </cell>
          <cell r="P926" t="str">
            <v>K0BA</v>
          </cell>
          <cell r="Q926" t="str">
            <v>ptt</v>
          </cell>
        </row>
        <row r="927">
          <cell r="A927" t="str">
            <v>30036257-3</v>
          </cell>
          <cell r="B927" t="str">
            <v>1.6 x 50+/-0.5 x 1219</v>
          </cell>
          <cell r="C927">
            <v>1.6</v>
          </cell>
          <cell r="D927">
            <v>50</v>
          </cell>
          <cell r="E927">
            <v>1219</v>
          </cell>
          <cell r="F927">
            <v>0.76553199999999999</v>
          </cell>
          <cell r="G927">
            <v>112</v>
          </cell>
          <cell r="H927">
            <v>77004442</v>
          </cell>
          <cell r="I927" t="str">
            <v>JSH270C</v>
          </cell>
          <cell r="J927" t="str">
            <v>STAY B HOSE CLAMPER</v>
          </cell>
          <cell r="K927" t="str">
            <v>50169-K0BA-T000-H1</v>
          </cell>
          <cell r="L927" t="str">
            <v>K0BA</v>
          </cell>
          <cell r="M927" t="str">
            <v>JSH270C</v>
          </cell>
          <cell r="N927" t="str">
            <v>STAY B HOSE CLAMPER</v>
          </cell>
          <cell r="O927" t="str">
            <v>50169-K0BA-T000-H1</v>
          </cell>
          <cell r="P927" t="str">
            <v>K0BA</v>
          </cell>
          <cell r="Q927" t="str">
            <v>ptt</v>
          </cell>
        </row>
        <row r="928">
          <cell r="A928" t="str">
            <v>30036257-4</v>
          </cell>
          <cell r="B928" t="str">
            <v>1.6 x 67+/-0.5 x 1219</v>
          </cell>
          <cell r="C928">
            <v>1.6</v>
          </cell>
          <cell r="D928">
            <v>67</v>
          </cell>
          <cell r="E928">
            <v>1219</v>
          </cell>
          <cell r="F928">
            <v>1.0258128799999999</v>
          </cell>
          <cell r="G928">
            <v>36</v>
          </cell>
          <cell r="H928">
            <v>77004452</v>
          </cell>
          <cell r="I928" t="str">
            <v>JSH270C</v>
          </cell>
          <cell r="J928" t="str">
            <v>STAY R (RADIATOR)</v>
          </cell>
          <cell r="K928" t="str">
            <v>50191-K0BA-T001-20</v>
          </cell>
          <cell r="L928" t="str">
            <v>K0BA</v>
          </cell>
          <cell r="M928" t="str">
            <v>JSH270C</v>
          </cell>
          <cell r="N928" t="str">
            <v>STAY R (RADIATOR)</v>
          </cell>
          <cell r="O928" t="str">
            <v>50191-K0BA-T001-20</v>
          </cell>
          <cell r="P928" t="str">
            <v>K0BA</v>
          </cell>
          <cell r="Q928" t="e">
            <v>#N/A</v>
          </cell>
        </row>
        <row r="929">
          <cell r="A929" t="str">
            <v>30036257-5</v>
          </cell>
          <cell r="B929" t="str">
            <v>1.6 x 61+/-0.5 x 1219</v>
          </cell>
          <cell r="C929">
            <v>1.6</v>
          </cell>
          <cell r="D929">
            <v>61</v>
          </cell>
          <cell r="E929">
            <v>1219</v>
          </cell>
          <cell r="F929">
            <v>0.93394904000000001</v>
          </cell>
          <cell r="G929">
            <v>33</v>
          </cell>
          <cell r="H929">
            <v>77004450</v>
          </cell>
          <cell r="I929" t="str">
            <v>JSH270C</v>
          </cell>
          <cell r="J929" t="str">
            <v>STAY R (COVER BATTERY)</v>
          </cell>
          <cell r="K929" t="str">
            <v>50195-K0BA-T002-20</v>
          </cell>
          <cell r="L929" t="str">
            <v>K0BA</v>
          </cell>
          <cell r="M929" t="str">
            <v>JSH270C</v>
          </cell>
          <cell r="N929" t="str">
            <v>STAY R (COVER BATTERY)</v>
          </cell>
          <cell r="O929" t="str">
            <v>50195-K0BA-T002-20</v>
          </cell>
          <cell r="P929" t="str">
            <v>K0BA</v>
          </cell>
          <cell r="Q929" t="str">
            <v>ptt</v>
          </cell>
        </row>
        <row r="930">
          <cell r="A930" t="str">
            <v>30036257-6</v>
          </cell>
          <cell r="B930" t="str">
            <v>1.0 x 71+/-0.5 x 1219</v>
          </cell>
          <cell r="C930">
            <v>1</v>
          </cell>
          <cell r="D930">
            <v>71</v>
          </cell>
          <cell r="E930">
            <v>1219</v>
          </cell>
          <cell r="F930">
            <v>0.67940964999999998</v>
          </cell>
          <cell r="G930">
            <v>69</v>
          </cell>
          <cell r="H930">
            <v>77004262</v>
          </cell>
          <cell r="I930" t="str">
            <v>JSC270C</v>
          </cell>
          <cell r="J930" t="str">
            <v>CLIP HARNESS</v>
          </cell>
          <cell r="K930" t="str">
            <v>50128-GFM-9000-H1</v>
          </cell>
          <cell r="L930" t="str">
            <v>K0BA</v>
          </cell>
          <cell r="M930" t="str">
            <v>JSC270C</v>
          </cell>
          <cell r="N930" t="str">
            <v>CLIP HARNESS</v>
          </cell>
          <cell r="O930" t="str">
            <v>50128-GFM-9000-H1</v>
          </cell>
          <cell r="P930" t="str">
            <v>K0BA</v>
          </cell>
          <cell r="Q930" t="str">
            <v>ptt</v>
          </cell>
        </row>
        <row r="931">
          <cell r="A931" t="str">
            <v>30036259-2</v>
          </cell>
          <cell r="B931" t="str">
            <v>1.6 x 61+/-0.5 x 1219</v>
          </cell>
          <cell r="C931">
            <v>1.6</v>
          </cell>
          <cell r="D931">
            <v>61</v>
          </cell>
          <cell r="E931">
            <v>1219</v>
          </cell>
          <cell r="F931">
            <v>0.93394904000000001</v>
          </cell>
          <cell r="G931">
            <v>30</v>
          </cell>
          <cell r="H931">
            <v>77004450</v>
          </cell>
          <cell r="I931" t="str">
            <v>JSH270C</v>
          </cell>
          <cell r="J931" t="str">
            <v>STAY (FUEL FEED HOSE)</v>
          </cell>
          <cell r="K931" t="str">
            <v>50164-K0BA-T001-20</v>
          </cell>
          <cell r="L931" t="str">
            <v>K0BA</v>
          </cell>
          <cell r="M931" t="str">
            <v>JSH270C</v>
          </cell>
          <cell r="N931" t="str">
            <v>STAY (FUEL FEED HOSE)</v>
          </cell>
          <cell r="O931" t="str">
            <v>50164-K0BA-T001-20</v>
          </cell>
          <cell r="P931" t="str">
            <v>K0BA</v>
          </cell>
          <cell r="Q931" t="str">
            <v>ptt</v>
          </cell>
        </row>
        <row r="932">
          <cell r="A932" t="str">
            <v>30036259-3</v>
          </cell>
          <cell r="B932" t="str">
            <v>1.6 x 59+/-0.5 x 1219</v>
          </cell>
          <cell r="C932">
            <v>1.6</v>
          </cell>
          <cell r="D932">
            <v>59</v>
          </cell>
          <cell r="E932">
            <v>1219</v>
          </cell>
          <cell r="F932">
            <v>0.90332776000000004</v>
          </cell>
          <cell r="G932">
            <v>51</v>
          </cell>
          <cell r="H932">
            <v>77004683</v>
          </cell>
          <cell r="I932" t="str">
            <v>JSH270C</v>
          </cell>
          <cell r="J932" t="str">
            <v>STAY L (RADIATOR)</v>
          </cell>
          <cell r="K932" t="str">
            <v>50192-K0BA-T001-20</v>
          </cell>
          <cell r="L932" t="str">
            <v>K0BA</v>
          </cell>
          <cell r="M932" t="str">
            <v>JSH270C</v>
          </cell>
          <cell r="N932" t="str">
            <v>STAY L (RADIATOR)</v>
          </cell>
          <cell r="O932" t="str">
            <v>50192-K0BA-T001-20</v>
          </cell>
          <cell r="P932" t="str">
            <v>K0BA</v>
          </cell>
          <cell r="Q932" t="e">
            <v>#N/A</v>
          </cell>
        </row>
        <row r="933">
          <cell r="A933" t="str">
            <v>30036259-4</v>
          </cell>
          <cell r="B933" t="str">
            <v>1.6 x 61+/-0.5 x 1219</v>
          </cell>
          <cell r="C933">
            <v>1.6</v>
          </cell>
          <cell r="D933">
            <v>61</v>
          </cell>
          <cell r="E933">
            <v>1219</v>
          </cell>
          <cell r="F933">
            <v>0.93394904000000001</v>
          </cell>
          <cell r="G933">
            <v>33</v>
          </cell>
          <cell r="H933">
            <v>77004450</v>
          </cell>
          <cell r="I933" t="str">
            <v>JSH270C</v>
          </cell>
          <cell r="J933" t="str">
            <v>STAY L (COVER BATTERY)</v>
          </cell>
          <cell r="K933" t="str">
            <v>50196-K0BA-T002-20</v>
          </cell>
          <cell r="L933" t="str">
            <v>K0BA</v>
          </cell>
          <cell r="M933" t="str">
            <v>JSH270C</v>
          </cell>
          <cell r="N933" t="str">
            <v>STAY L (COVER BATTERY)</v>
          </cell>
          <cell r="O933" t="str">
            <v>50196-K0BA-T002-20</v>
          </cell>
          <cell r="P933" t="str">
            <v>K0BA</v>
          </cell>
          <cell r="Q933" t="str">
            <v>ptt</v>
          </cell>
        </row>
        <row r="934">
          <cell r="A934" t="str">
            <v>30036259-5</v>
          </cell>
          <cell r="B934" t="str">
            <v>1.6 x 61+/-0.5 x 1219</v>
          </cell>
          <cell r="C934">
            <v>1.6</v>
          </cell>
          <cell r="D934">
            <v>61</v>
          </cell>
          <cell r="E934">
            <v>1219</v>
          </cell>
          <cell r="F934">
            <v>0.93394904000000001</v>
          </cell>
          <cell r="G934">
            <v>33</v>
          </cell>
          <cell r="H934">
            <v>77004450</v>
          </cell>
          <cell r="I934" t="str">
            <v>JSH270C</v>
          </cell>
          <cell r="J934" t="str">
            <v>STAY L (COVER BATTERY)</v>
          </cell>
          <cell r="K934" t="str">
            <v>50196-K0BA-T002-20</v>
          </cell>
          <cell r="L934" t="str">
            <v>K0BA</v>
          </cell>
          <cell r="M934" t="str">
            <v>JSH270C</v>
          </cell>
          <cell r="N934" t="str">
            <v>STAY L (COVER BATTERY)</v>
          </cell>
          <cell r="O934" t="str">
            <v>50196-K0BA-T002-20</v>
          </cell>
          <cell r="P934" t="str">
            <v>K0BA</v>
          </cell>
          <cell r="Q934" t="str">
            <v>ptt</v>
          </cell>
        </row>
        <row r="935">
          <cell r="A935" t="str">
            <v>30036259-6</v>
          </cell>
          <cell r="B935" t="str">
            <v>1.0 x 55+/-0.5 x 1219</v>
          </cell>
          <cell r="C935">
            <v>1</v>
          </cell>
          <cell r="D935">
            <v>55</v>
          </cell>
          <cell r="E935">
            <v>1219</v>
          </cell>
          <cell r="F935">
            <v>0.52630325</v>
          </cell>
          <cell r="G935">
            <v>69</v>
          </cell>
          <cell r="H935">
            <v>77004684</v>
          </cell>
          <cell r="I935" t="str">
            <v>JSH270C</v>
          </cell>
          <cell r="J935" t="str">
            <v>CLAMP CABLE</v>
          </cell>
          <cell r="K935" t="str">
            <v>50191-GAV-7000-H1</v>
          </cell>
          <cell r="L935" t="str">
            <v>KOBA</v>
          </cell>
          <cell r="M935" t="str">
            <v>JSH270C</v>
          </cell>
          <cell r="N935" t="str">
            <v>CLAMP CABLE</v>
          </cell>
          <cell r="O935" t="str">
            <v>50191-GAV-7000-H1</v>
          </cell>
          <cell r="P935" t="str">
            <v>KOBA</v>
          </cell>
          <cell r="Q935" t="e">
            <v>#N/A</v>
          </cell>
        </row>
        <row r="936">
          <cell r="A936" t="str">
            <v>30036272-2</v>
          </cell>
          <cell r="B936" t="str">
            <v>1.6 x 87+/-0.5 x 1219</v>
          </cell>
          <cell r="C936">
            <v>1.6</v>
          </cell>
          <cell r="D936">
            <v>87</v>
          </cell>
          <cell r="E936">
            <v>1219</v>
          </cell>
          <cell r="F936">
            <v>1.3320256800000001</v>
          </cell>
          <cell r="G936">
            <v>26</v>
          </cell>
          <cell r="H936">
            <v>77004459</v>
          </cell>
          <cell r="I936" t="str">
            <v>JSH270C</v>
          </cell>
          <cell r="J936" t="str">
            <v>PLATE</v>
          </cell>
          <cell r="K936" t="str">
            <v>50102-K26-9000-21</v>
          </cell>
          <cell r="L936" t="str">
            <v>K0FA</v>
          </cell>
          <cell r="M936" t="str">
            <v>JSH270C</v>
          </cell>
          <cell r="N936" t="str">
            <v>PLATE</v>
          </cell>
          <cell r="O936" t="str">
            <v>50102-K26-9000-21</v>
          </cell>
          <cell r="P936" t="str">
            <v>K0FA</v>
          </cell>
          <cell r="Q936" t="str">
            <v>ptt</v>
          </cell>
        </row>
        <row r="937">
          <cell r="A937" t="str">
            <v>30037119-1</v>
          </cell>
          <cell r="B937" t="str">
            <v>2.0 x 189+/-0.5 x 1219</v>
          </cell>
          <cell r="C937">
            <v>2</v>
          </cell>
          <cell r="D937">
            <v>189</v>
          </cell>
          <cell r="E937">
            <v>1219</v>
          </cell>
          <cell r="F937">
            <v>3.6171386999999999</v>
          </cell>
          <cell r="G937">
            <v>19</v>
          </cell>
          <cell r="H937">
            <v>77004522</v>
          </cell>
          <cell r="I937" t="str">
            <v>JSH270C</v>
          </cell>
          <cell r="J937" t="str">
            <v>STAY REGULATOR (PLATE)</v>
          </cell>
          <cell r="K937" t="str">
            <v>50156-K73K-V400-20</v>
          </cell>
          <cell r="L937" t="str">
            <v>K73L</v>
          </cell>
          <cell r="M937" t="str">
            <v>JSH270C</v>
          </cell>
          <cell r="N937" t="str">
            <v>STAY REGULATOR (PLATE)</v>
          </cell>
          <cell r="O937" t="str">
            <v>50156-K73K-V400-20</v>
          </cell>
          <cell r="P937" t="str">
            <v>K73L</v>
          </cell>
          <cell r="Q937" t="e">
            <v>#N/A</v>
          </cell>
        </row>
        <row r="938">
          <cell r="A938" t="str">
            <v>30037120-1</v>
          </cell>
          <cell r="B938" t="str">
            <v>2.0 x 116+/-0.5 x 1219</v>
          </cell>
          <cell r="C938">
            <v>2</v>
          </cell>
          <cell r="D938">
            <v>116</v>
          </cell>
          <cell r="E938">
            <v>1219</v>
          </cell>
          <cell r="F938">
            <v>2.2200427999999999</v>
          </cell>
          <cell r="G938">
            <v>16</v>
          </cell>
          <cell r="H938">
            <v>77004515</v>
          </cell>
          <cell r="I938" t="str">
            <v>JSH270C</v>
          </cell>
          <cell r="J938" t="str">
            <v>STAY IGN COIL SUB COMP (STAY IGN COIL)</v>
          </cell>
          <cell r="K938" t="str">
            <v>50157-K73L9000-H1-1</v>
          </cell>
          <cell r="L938" t="str">
            <v>K73L</v>
          </cell>
          <cell r="M938" t="str">
            <v>JSH270C</v>
          </cell>
          <cell r="N938" t="str">
            <v>STAY IGN COIL SUB COMP (STAY IGN COIL)</v>
          </cell>
          <cell r="O938" t="str">
            <v>50157-K73L9000-H1-1</v>
          </cell>
          <cell r="P938" t="str">
            <v>K73L</v>
          </cell>
          <cell r="Q938" t="e">
            <v>#N/A</v>
          </cell>
        </row>
        <row r="939">
          <cell r="A939" t="str">
            <v>30037121-1</v>
          </cell>
          <cell r="B939" t="str">
            <v>2.3 x 110+/-0.5 x 1219</v>
          </cell>
          <cell r="C939">
            <v>2.2999999999999998</v>
          </cell>
          <cell r="D939">
            <v>110</v>
          </cell>
          <cell r="E939">
            <v>1219</v>
          </cell>
          <cell r="F939">
            <v>2.4209949499999994</v>
          </cell>
          <cell r="G939">
            <v>20</v>
          </cell>
          <cell r="H939">
            <v>77004537</v>
          </cell>
          <cell r="I939" t="str">
            <v>JSH270C</v>
          </cell>
          <cell r="J939" t="str">
            <v>STAY COMP HORN (STAY HORN)</v>
          </cell>
          <cell r="K939" t="str">
            <v>50158-K73L-T600-20</v>
          </cell>
          <cell r="L939" t="str">
            <v>K73L</v>
          </cell>
          <cell r="M939" t="str">
            <v>JSH270C</v>
          </cell>
          <cell r="N939" t="str">
            <v>STAY COMP HORN (STAY HORN)</v>
          </cell>
          <cell r="O939" t="str">
            <v>50158-K73L-T600-20</v>
          </cell>
          <cell r="P939" t="str">
            <v>K73L</v>
          </cell>
          <cell r="Q939" t="e">
            <v>#N/A</v>
          </cell>
        </row>
        <row r="940">
          <cell r="A940" t="str">
            <v>30037125-1</v>
          </cell>
          <cell r="B940" t="str">
            <v>1.6 x 108+/-0.5 x 1219</v>
          </cell>
          <cell r="C940">
            <v>1.6</v>
          </cell>
          <cell r="D940">
            <v>108</v>
          </cell>
          <cell r="E940">
            <v>1219</v>
          </cell>
          <cell r="F940">
            <v>1.6535491200000001</v>
          </cell>
          <cell r="G940">
            <v>25</v>
          </cell>
          <cell r="H940">
            <v>77004463</v>
          </cell>
          <cell r="I940" t="str">
            <v>JSC270C</v>
          </cell>
          <cell r="J940" t="str">
            <v>STAY COMP R SIDE COVER (PLATE)</v>
          </cell>
          <cell r="K940" t="str">
            <v>50133-K73KV400-20</v>
          </cell>
          <cell r="L940" t="str">
            <v>K73L</v>
          </cell>
          <cell r="M940" t="str">
            <v>JSC270C</v>
          </cell>
          <cell r="N940" t="str">
            <v>STAY COMP R SIDE COVER (PLATE)</v>
          </cell>
          <cell r="O940" t="str">
            <v>50133-K73KV400-20</v>
          </cell>
          <cell r="P940" t="str">
            <v>K73L</v>
          </cell>
          <cell r="Q940" t="e">
            <v>#N/A</v>
          </cell>
        </row>
        <row r="941">
          <cell r="A941" t="str">
            <v>30037129-1</v>
          </cell>
          <cell r="B941" t="str">
            <v>2.0 x 178+/-0.5 x 1219</v>
          </cell>
          <cell r="C941">
            <v>2</v>
          </cell>
          <cell r="D941">
            <v>178</v>
          </cell>
          <cell r="E941">
            <v>1219</v>
          </cell>
          <cell r="F941">
            <v>3.4066174</v>
          </cell>
          <cell r="G941">
            <v>28</v>
          </cell>
          <cell r="H941">
            <v>77004840</v>
          </cell>
          <cell r="I941" t="str">
            <v>JSH270C</v>
          </cell>
          <cell r="J941" t="str">
            <v>STAY BASE SUB COMP (STAY)</v>
          </cell>
          <cell r="K941" t="str">
            <v>64222-KYZ-T000-20</v>
          </cell>
          <cell r="L941" t="str">
            <v>K73L</v>
          </cell>
          <cell r="M941" t="str">
            <v>JSH270C</v>
          </cell>
          <cell r="N941" t="str">
            <v>STAY BASE SUB COMP (STAY)</v>
          </cell>
          <cell r="O941" t="str">
            <v>64222-KYZ-T000-20</v>
          </cell>
          <cell r="P941" t="str">
            <v>K73L</v>
          </cell>
          <cell r="Q941" t="e">
            <v>#N/A</v>
          </cell>
        </row>
        <row r="942">
          <cell r="A942" t="str">
            <v>30037129-1</v>
          </cell>
          <cell r="B942" t="str">
            <v>2.0 x 175+/-0.5 x 1219</v>
          </cell>
          <cell r="C942">
            <v>2</v>
          </cell>
          <cell r="D942">
            <v>175</v>
          </cell>
          <cell r="E942">
            <v>1219</v>
          </cell>
          <cell r="F942">
            <v>3.3492025000000001</v>
          </cell>
          <cell r="G942">
            <v>28</v>
          </cell>
          <cell r="H942">
            <v>77004521</v>
          </cell>
          <cell r="I942" t="str">
            <v>JSH270C</v>
          </cell>
          <cell r="J942" t="str">
            <v>STAY BASE SUB COMP (STAY)</v>
          </cell>
          <cell r="K942" t="str">
            <v>64222-KYZ-T000-20</v>
          </cell>
          <cell r="L942" t="str">
            <v>K73L</v>
          </cell>
          <cell r="M942" t="str">
            <v>JSH270C</v>
          </cell>
          <cell r="N942" t="str">
            <v>STAY BASE SUB COMP (STAY)</v>
          </cell>
          <cell r="O942" t="str">
            <v>64222-KYZ-T000-20</v>
          </cell>
          <cell r="P942" t="str">
            <v>K73L</v>
          </cell>
          <cell r="Q942" t="e">
            <v>#N/A</v>
          </cell>
        </row>
        <row r="943">
          <cell r="A943" t="str">
            <v>30037445-1</v>
          </cell>
          <cell r="B943" t="str">
            <v>2.9 x 155+/-0.5 x 1219</v>
          </cell>
          <cell r="C943">
            <v>2.9</v>
          </cell>
          <cell r="D943">
            <v>155</v>
          </cell>
          <cell r="E943">
            <v>1219</v>
          </cell>
          <cell r="F943">
            <v>4.3013329249999996</v>
          </cell>
          <cell r="G943">
            <v>9</v>
          </cell>
          <cell r="H943">
            <v>77004550</v>
          </cell>
          <cell r="I943" t="str">
            <v>JSH270C</v>
          </cell>
          <cell r="J943" t="str">
            <v>BRACKET SUB COMP "BRKT"</v>
          </cell>
          <cell r="K943" t="str">
            <v>64242-MKPA-J802-H1</v>
          </cell>
          <cell r="L943" t="str">
            <v>MKPA</v>
          </cell>
          <cell r="M943" t="str">
            <v>JSH270C</v>
          </cell>
          <cell r="N943" t="str">
            <v>BRACKET SUB COMP "BRKT"</v>
          </cell>
          <cell r="O943" t="str">
            <v>64242-MKPA-J802-H1</v>
          </cell>
          <cell r="P943" t="str">
            <v>MKPA</v>
          </cell>
          <cell r="Q943" t="str">
            <v>ptt</v>
          </cell>
          <cell r="R943">
            <v>100</v>
          </cell>
        </row>
        <row r="944">
          <cell r="A944" t="str">
            <v>30037445-2</v>
          </cell>
          <cell r="B944" t="str">
            <v>2.6 x 88+/-0.5 x 1219</v>
          </cell>
          <cell r="C944">
            <v>2.6</v>
          </cell>
          <cell r="D944">
            <v>88</v>
          </cell>
          <cell r="E944">
            <v>1219</v>
          </cell>
          <cell r="F944">
            <v>2.1894215200000002</v>
          </cell>
          <cell r="G944">
            <v>31</v>
          </cell>
          <cell r="H944">
            <v>77004544</v>
          </cell>
          <cell r="I944" t="str">
            <v>JSH270C</v>
          </cell>
          <cell r="J944" t="str">
            <v>BRACKET SUB COMP "PATCH"</v>
          </cell>
          <cell r="K944" t="str">
            <v>64221-MKPA-J800-22</v>
          </cell>
          <cell r="L944" t="str">
            <v>MKPA</v>
          </cell>
          <cell r="M944" t="str">
            <v>JSH270C</v>
          </cell>
          <cell r="N944" t="str">
            <v>BRACKET SUB COMP "PATCH"</v>
          </cell>
          <cell r="O944" t="str">
            <v>64221-MKPA-J800-22</v>
          </cell>
          <cell r="P944" t="str">
            <v>MKPA</v>
          </cell>
          <cell r="Q944" t="str">
            <v>ptt</v>
          </cell>
        </row>
        <row r="945">
          <cell r="A945" t="str">
            <v>30040321-2</v>
          </cell>
          <cell r="B945" t="str">
            <v>5.0 x 115+/-0.5 x 1219</v>
          </cell>
          <cell r="C945">
            <v>5</v>
          </cell>
          <cell r="D945">
            <v>115</v>
          </cell>
          <cell r="E945">
            <v>1219</v>
          </cell>
          <cell r="F945">
            <v>5.5022612500000001</v>
          </cell>
          <cell r="G945">
            <v>23</v>
          </cell>
          <cell r="H945">
            <v>77004689</v>
          </cell>
          <cell r="I945" t="str">
            <v>JSH440W</v>
          </cell>
          <cell r="J945" t="str">
            <v>STAY A,R</v>
          </cell>
          <cell r="K945" t="str">
            <v>81200-KOWF-J001-21</v>
          </cell>
          <cell r="L945" t="str">
            <v>KOWF</v>
          </cell>
          <cell r="M945" t="str">
            <v>JSH440W</v>
          </cell>
          <cell r="N945" t="str">
            <v>STAY A,R</v>
          </cell>
          <cell r="O945" t="str">
            <v>81200-KOWF-J001-21</v>
          </cell>
          <cell r="P945" t="str">
            <v>KOWF</v>
          </cell>
          <cell r="Q945" t="e">
            <v>#N/A</v>
          </cell>
        </row>
        <row r="946">
          <cell r="A946" t="str">
            <v>30040321-3</v>
          </cell>
          <cell r="B946" t="str">
            <v>5.0 x 115+/-0.5 x 1219</v>
          </cell>
          <cell r="C946">
            <v>5</v>
          </cell>
          <cell r="D946">
            <v>115</v>
          </cell>
          <cell r="E946">
            <v>1219</v>
          </cell>
          <cell r="F946">
            <v>5.5022612500000001</v>
          </cell>
          <cell r="G946">
            <v>23</v>
          </cell>
          <cell r="H946">
            <v>77004689</v>
          </cell>
          <cell r="I946" t="str">
            <v>JSH440W</v>
          </cell>
          <cell r="J946" t="str">
            <v>STAY A,L</v>
          </cell>
          <cell r="K946" t="str">
            <v>81200-KOWF-J001-22</v>
          </cell>
          <cell r="L946" t="str">
            <v>KOWF</v>
          </cell>
          <cell r="M946" t="str">
            <v>JSH440W</v>
          </cell>
          <cell r="N946" t="str">
            <v>STAY A,L</v>
          </cell>
          <cell r="O946" t="str">
            <v>81200-KOWF-J001-22</v>
          </cell>
          <cell r="P946" t="str">
            <v>KOWF</v>
          </cell>
          <cell r="Q946" t="e">
            <v>#N/A</v>
          </cell>
        </row>
        <row r="947">
          <cell r="A947" t="str">
            <v>30040688-1</v>
          </cell>
          <cell r="B947" t="str">
            <v>2.0 x 220+/-0.5 x 1219</v>
          </cell>
          <cell r="C947">
            <v>2</v>
          </cell>
          <cell r="D947">
            <v>220</v>
          </cell>
          <cell r="E947">
            <v>1219</v>
          </cell>
          <cell r="F947">
            <v>4.210426</v>
          </cell>
          <cell r="G947">
            <v>14</v>
          </cell>
          <cell r="H947">
            <v>77004688</v>
          </cell>
          <cell r="I947" t="str">
            <v>JSH270C</v>
          </cell>
          <cell r="J947" t="str">
            <v>STAY R FR OUTER</v>
          </cell>
          <cell r="K947" t="str">
            <v>81200-K2EA-T001-30</v>
          </cell>
          <cell r="L947" t="str">
            <v>K2EA</v>
          </cell>
          <cell r="M947" t="str">
            <v>JSH270C</v>
          </cell>
          <cell r="N947" t="str">
            <v>STAY R FR OUTER</v>
          </cell>
          <cell r="O947" t="str">
            <v>81200-K2EA-T001-30</v>
          </cell>
          <cell r="P947" t="str">
            <v>K2EA</v>
          </cell>
          <cell r="Q947" t="str">
            <v>ptt</v>
          </cell>
          <cell r="R947">
            <v>100</v>
          </cell>
        </row>
        <row r="948">
          <cell r="A948" t="str">
            <v>30040688-2</v>
          </cell>
          <cell r="B948" t="str">
            <v>2.0 x 230+/-0.5 x 1219</v>
          </cell>
          <cell r="C948">
            <v>2</v>
          </cell>
          <cell r="D948">
            <v>230</v>
          </cell>
          <cell r="E948">
            <v>1219</v>
          </cell>
          <cell r="F948">
            <v>4.4018090000000001</v>
          </cell>
          <cell r="G948">
            <v>12</v>
          </cell>
          <cell r="H948">
            <v>77004876</v>
          </cell>
          <cell r="I948" t="str">
            <v>JSH270C</v>
          </cell>
          <cell r="J948" t="str">
            <v>STAY R FR INNER</v>
          </cell>
          <cell r="K948" t="str">
            <v>81200-K2EA-T001-32</v>
          </cell>
          <cell r="L948" t="str">
            <v>K2EA</v>
          </cell>
          <cell r="M948" t="str">
            <v>JSH270C</v>
          </cell>
          <cell r="N948" t="str">
            <v>STAY R FR INNER</v>
          </cell>
          <cell r="O948" t="str">
            <v>81200-K2EA-T001-32</v>
          </cell>
          <cell r="P948" t="str">
            <v>K2EA</v>
          </cell>
          <cell r="Q948" t="str">
            <v>ptt</v>
          </cell>
          <cell r="R948">
            <v>100</v>
          </cell>
        </row>
        <row r="949">
          <cell r="A949" t="str">
            <v>30040689-1</v>
          </cell>
          <cell r="B949" t="str">
            <v>2.0 x 220+/-0.5 x 1219</v>
          </cell>
          <cell r="C949">
            <v>2</v>
          </cell>
          <cell r="D949">
            <v>220</v>
          </cell>
          <cell r="E949">
            <v>1219</v>
          </cell>
          <cell r="F949">
            <v>4.210426</v>
          </cell>
          <cell r="G949">
            <v>14</v>
          </cell>
          <cell r="H949">
            <v>77004688</v>
          </cell>
          <cell r="I949" t="str">
            <v>JSH270C</v>
          </cell>
          <cell r="J949" t="str">
            <v>STAY L FR OUTER</v>
          </cell>
          <cell r="L949" t="str">
            <v>K2EA</v>
          </cell>
          <cell r="M949" t="str">
            <v>JSH270C</v>
          </cell>
          <cell r="N949" t="str">
            <v>STAY L FR OUTER</v>
          </cell>
          <cell r="P949" t="str">
            <v>K2EA</v>
          </cell>
          <cell r="Q949" t="str">
            <v>ptt</v>
          </cell>
        </row>
        <row r="950">
          <cell r="A950" t="str">
            <v>30040689-2</v>
          </cell>
          <cell r="B950" t="str">
            <v>2.0 x 230+/-0.5 x 1219</v>
          </cell>
          <cell r="C950">
            <v>2</v>
          </cell>
          <cell r="D950">
            <v>230</v>
          </cell>
          <cell r="E950">
            <v>1219</v>
          </cell>
          <cell r="F950">
            <v>4.4018090000000001</v>
          </cell>
          <cell r="H950">
            <v>77004876</v>
          </cell>
          <cell r="I950" t="str">
            <v>JSH270C</v>
          </cell>
          <cell r="J950" t="str">
            <v>STAY R/L FR OUTER</v>
          </cell>
          <cell r="L950" t="str">
            <v>K2EA</v>
          </cell>
          <cell r="M950" t="str">
            <v>JSH270C</v>
          </cell>
          <cell r="N950" t="str">
            <v>STAY R/L FR OUTER</v>
          </cell>
          <cell r="P950" t="str">
            <v>K2EA</v>
          </cell>
          <cell r="Q950" t="str">
            <v>ptt</v>
          </cell>
        </row>
        <row r="951">
          <cell r="A951" t="str">
            <v>30041189-1</v>
          </cell>
          <cell r="B951" t="str">
            <v>2.3 x 198+/-0.5 x 1219</v>
          </cell>
          <cell r="C951">
            <v>2.2999999999999998</v>
          </cell>
          <cell r="D951">
            <v>198</v>
          </cell>
          <cell r="E951">
            <v>1219</v>
          </cell>
          <cell r="F951">
            <v>4.3577909099999994</v>
          </cell>
          <cell r="G951">
            <v>8</v>
          </cell>
          <cell r="H951">
            <v>77004604</v>
          </cell>
          <cell r="I951" t="str">
            <v>JSH440W</v>
          </cell>
          <cell r="J951" t="str">
            <v>GUSSET</v>
          </cell>
          <cell r="K951" t="str">
            <v>50120-K1BA-T002-20</v>
          </cell>
          <cell r="L951" t="str">
            <v>K1BA</v>
          </cell>
          <cell r="M951" t="str">
            <v>JSH440W</v>
          </cell>
          <cell r="N951" t="str">
            <v>GUSSET</v>
          </cell>
          <cell r="O951" t="str">
            <v>50120-K1BA-T002-20</v>
          </cell>
          <cell r="P951" t="str">
            <v>K1BA</v>
          </cell>
          <cell r="Q951" t="str">
            <v>ptt</v>
          </cell>
          <cell r="R951">
            <v>100</v>
          </cell>
        </row>
        <row r="952">
          <cell r="A952" t="str">
            <v>30041189-2</v>
          </cell>
          <cell r="B952" t="str">
            <v>4.0 x 55+/-0.5 x 1219</v>
          </cell>
          <cell r="C952">
            <v>4</v>
          </cell>
          <cell r="D952">
            <v>55</v>
          </cell>
          <cell r="E952">
            <v>1219</v>
          </cell>
          <cell r="F952">
            <v>2.105213</v>
          </cell>
          <cell r="G952">
            <v>26</v>
          </cell>
          <cell r="H952">
            <v>77003671</v>
          </cell>
          <cell r="I952" t="str">
            <v>JSH270C</v>
          </cell>
          <cell r="J952" t="str">
            <v>PLATE (GUSSET HEAD PIPE SUB)</v>
          </cell>
          <cell r="K952" t="str">
            <v>50120-K40-F000-21</v>
          </cell>
          <cell r="L952" t="str">
            <v>K1BA</v>
          </cell>
          <cell r="M952" t="str">
            <v>JSH270C</v>
          </cell>
          <cell r="N952" t="str">
            <v>PLATE (GUSSET HEAD PIPE SUB)</v>
          </cell>
          <cell r="O952" t="str">
            <v>50120-K40-F000-21</v>
          </cell>
          <cell r="P952" t="str">
            <v>K1BA</v>
          </cell>
          <cell r="Q952" t="str">
            <v>ptt</v>
          </cell>
        </row>
        <row r="953">
          <cell r="A953" t="str">
            <v>30041189-3</v>
          </cell>
          <cell r="B953" t="str">
            <v>1.6 x 64+/-0.5 x 1219</v>
          </cell>
          <cell r="C953">
            <v>1.6</v>
          </cell>
          <cell r="D953">
            <v>64</v>
          </cell>
          <cell r="E953">
            <v>1219</v>
          </cell>
          <cell r="F953">
            <v>0.97988095999999991</v>
          </cell>
          <cell r="G953">
            <v>19</v>
          </cell>
          <cell r="H953">
            <v>77004451</v>
          </cell>
          <cell r="I953" t="str">
            <v>JSH270C</v>
          </cell>
          <cell r="J953" t="str">
            <v>STAY A (EART-CABLE)</v>
          </cell>
          <cell r="L953" t="str">
            <v>K1BA</v>
          </cell>
          <cell r="M953" t="str">
            <v>JSH270C</v>
          </cell>
          <cell r="N953" t="str">
            <v>STAY A (EART-CABLE)</v>
          </cell>
          <cell r="P953" t="str">
            <v>K1BA</v>
          </cell>
          <cell r="Q953" t="str">
            <v>ptt</v>
          </cell>
        </row>
        <row r="954">
          <cell r="A954">
            <v>30041190</v>
          </cell>
          <cell r="B954" t="str">
            <v>2.0 x 88+/-0.5 x 1219</v>
          </cell>
          <cell r="C954">
            <v>2</v>
          </cell>
          <cell r="D954">
            <v>88</v>
          </cell>
          <cell r="E954">
            <v>1219</v>
          </cell>
          <cell r="F954">
            <v>1.6841704</v>
          </cell>
          <cell r="G954">
            <v>20</v>
          </cell>
          <cell r="H954">
            <v>77004149</v>
          </cell>
          <cell r="I954" t="str">
            <v>JSH270C</v>
          </cell>
          <cell r="J954" t="str">
            <v>GUSSET FR MAIN LOWER PIPE</v>
          </cell>
          <cell r="K954" t="str">
            <v>50154-K1BA-T000-H1</v>
          </cell>
          <cell r="L954" t="str">
            <v>K1BA</v>
          </cell>
          <cell r="M954" t="str">
            <v>JSH270C</v>
          </cell>
          <cell r="N954" t="str">
            <v>GUSSET FR MAIN LOWER PIPE</v>
          </cell>
          <cell r="O954" t="str">
            <v>50154-K1BA-T000-H1</v>
          </cell>
          <cell r="P954" t="str">
            <v>K1BA</v>
          </cell>
          <cell r="Q954" t="str">
            <v>ptt</v>
          </cell>
        </row>
        <row r="955">
          <cell r="A955" t="str">
            <v>30041190-2</v>
          </cell>
          <cell r="B955" t="str">
            <v>2.0 x 110+/-0.5 x 1219</v>
          </cell>
          <cell r="C955">
            <v>2</v>
          </cell>
          <cell r="D955">
            <v>110</v>
          </cell>
          <cell r="E955">
            <v>1219</v>
          </cell>
          <cell r="F955">
            <v>2.105213</v>
          </cell>
          <cell r="G955">
            <v>20</v>
          </cell>
          <cell r="H955">
            <v>77004514</v>
          </cell>
          <cell r="I955" t="str">
            <v>JSH270C</v>
          </cell>
          <cell r="J955" t="str">
            <v>GUSSET FR MAIN LOWER PIPE</v>
          </cell>
          <cell r="K955" t="str">
            <v>50154-K1BA-T000-H1</v>
          </cell>
          <cell r="L955" t="str">
            <v>K1BA</v>
          </cell>
          <cell r="M955" t="str">
            <v>JSH270C</v>
          </cell>
          <cell r="N955" t="str">
            <v>GUSSET FR MAIN LOWER PIPE</v>
          </cell>
          <cell r="O955" t="str">
            <v>50154-K1BA-T000-H1</v>
          </cell>
          <cell r="P955" t="str">
            <v>K1BA</v>
          </cell>
          <cell r="Q955" t="str">
            <v>ptt</v>
          </cell>
        </row>
        <row r="956">
          <cell r="A956" t="str">
            <v>30041190-3</v>
          </cell>
          <cell r="B956" t="str">
            <v>1.6 x 140+/-0.5 x 1219</v>
          </cell>
          <cell r="C956">
            <v>1.6</v>
          </cell>
          <cell r="D956">
            <v>140</v>
          </cell>
          <cell r="E956">
            <v>1219</v>
          </cell>
          <cell r="F956">
            <v>2.1434896000000001</v>
          </cell>
          <cell r="G956">
            <v>18</v>
          </cell>
          <cell r="H956">
            <v>77004863</v>
          </cell>
          <cell r="I956" t="str">
            <v>JSH270C</v>
          </cell>
          <cell r="J956" t="str">
            <v>GUSSET RR MAIN LOWER PIPE</v>
          </cell>
          <cell r="K956" t="str">
            <v>50155-K1BA-T001-H1</v>
          </cell>
          <cell r="L956" t="str">
            <v>K1BA</v>
          </cell>
          <cell r="M956" t="str">
            <v>JSH270C</v>
          </cell>
          <cell r="N956" t="str">
            <v>GUSSET RR MAIN LOWER PIPE</v>
          </cell>
          <cell r="O956" t="str">
            <v>50155-K1BA-T001-H1</v>
          </cell>
          <cell r="P956" t="str">
            <v>K1BA</v>
          </cell>
          <cell r="Q956" t="str">
            <v>ptt</v>
          </cell>
        </row>
        <row r="957">
          <cell r="A957">
            <v>30041190.300000001</v>
          </cell>
          <cell r="B957" t="str">
            <v>1.6 x 120+/-0.5 x 1219</v>
          </cell>
          <cell r="C957">
            <v>1.6</v>
          </cell>
          <cell r="D957">
            <v>120</v>
          </cell>
          <cell r="E957">
            <v>1219</v>
          </cell>
          <cell r="F957">
            <v>1.8372767999999997</v>
          </cell>
          <cell r="H957">
            <v>77005323</v>
          </cell>
          <cell r="I957" t="str">
            <v>JSH270C</v>
          </cell>
          <cell r="J957" t="str">
            <v>GUSSET RR MAIN LOWER PIPE</v>
          </cell>
          <cell r="M957" t="str">
            <v>JSH270C</v>
          </cell>
          <cell r="N957" t="str">
            <v>GUSSET RR MAIN LOWER PIPE</v>
          </cell>
          <cell r="Q957" t="str">
            <v>epc</v>
          </cell>
        </row>
        <row r="958">
          <cell r="A958" t="str">
            <v>30041194-10</v>
          </cell>
          <cell r="B958" t="str">
            <v>1.4 x 65+/-0.5 x 1219</v>
          </cell>
          <cell r="C958">
            <v>1.4</v>
          </cell>
          <cell r="D958">
            <v>65</v>
          </cell>
          <cell r="E958">
            <v>1219</v>
          </cell>
          <cell r="F958">
            <v>0.87079264999999995</v>
          </cell>
          <cell r="G958">
            <v>78</v>
          </cell>
          <cell r="H958">
            <v>77004234</v>
          </cell>
          <cell r="I958" t="str">
            <v>JSH270C</v>
          </cell>
          <cell r="J958" t="str">
            <v>STAY R L WETER HOSE RR</v>
          </cell>
          <cell r="K958">
            <v>2400</v>
          </cell>
          <cell r="L958" t="str">
            <v>K1BA</v>
          </cell>
          <cell r="M958" t="str">
            <v>JSH270C</v>
          </cell>
          <cell r="N958" t="str">
            <v>STAY R L WETER HOSE RR</v>
          </cell>
          <cell r="O958">
            <v>2400</v>
          </cell>
          <cell r="P958" t="str">
            <v>K1BA</v>
          </cell>
          <cell r="Q958" t="str">
            <v>ptt</v>
          </cell>
        </row>
        <row r="959">
          <cell r="A959" t="str">
            <v>30041194-2</v>
          </cell>
          <cell r="B959" t="str">
            <v>3.2 x 78+/-0.5 x 1219</v>
          </cell>
          <cell r="C959">
            <v>3.2</v>
          </cell>
          <cell r="D959">
            <v>78</v>
          </cell>
          <cell r="E959">
            <v>1219</v>
          </cell>
          <cell r="F959">
            <v>2.3884598399999999</v>
          </cell>
          <cell r="G959">
            <v>22</v>
          </cell>
          <cell r="H959">
            <v>77004559</v>
          </cell>
          <cell r="I959" t="str">
            <v>JSH270C</v>
          </cell>
          <cell r="J959" t="str">
            <v>PITCH FR SUB PIPE</v>
          </cell>
          <cell r="L959" t="str">
            <v>K1BA</v>
          </cell>
          <cell r="M959" t="str">
            <v>JSH270C</v>
          </cell>
          <cell r="N959" t="str">
            <v>PITCH FR SUB PIPE</v>
          </cell>
          <cell r="P959" t="str">
            <v>K1BA</v>
          </cell>
          <cell r="Q959" t="str">
            <v>ptt</v>
          </cell>
        </row>
        <row r="960">
          <cell r="A960" t="str">
            <v>30041194-4</v>
          </cell>
          <cell r="B960" t="str">
            <v>1.6 x 61+/-0.5 x 1219</v>
          </cell>
          <cell r="C960">
            <v>1.6</v>
          </cell>
          <cell r="D960">
            <v>61</v>
          </cell>
          <cell r="E960">
            <v>1219</v>
          </cell>
          <cell r="F960">
            <v>0.93394904000000001</v>
          </cell>
          <cell r="G960">
            <v>30</v>
          </cell>
          <cell r="H960">
            <v>77004450</v>
          </cell>
          <cell r="I960" t="str">
            <v>JSH270C</v>
          </cell>
          <cell r="J960" t="str">
            <v>STAY (FUEL FEED HOSE)</v>
          </cell>
          <cell r="L960" t="str">
            <v>K1BA</v>
          </cell>
          <cell r="M960" t="str">
            <v>JSH270C</v>
          </cell>
          <cell r="N960" t="str">
            <v>STAY (FUEL FEED HOSE)</v>
          </cell>
          <cell r="P960" t="str">
            <v>K1BA</v>
          </cell>
          <cell r="Q960" t="str">
            <v>ptt</v>
          </cell>
        </row>
        <row r="961">
          <cell r="A961" t="str">
            <v>30041194-6</v>
          </cell>
          <cell r="B961" t="str">
            <v>1.6 x 61+/-0.5 x 1219</v>
          </cell>
          <cell r="C961">
            <v>1.6</v>
          </cell>
          <cell r="D961">
            <v>61</v>
          </cell>
          <cell r="E961">
            <v>1219</v>
          </cell>
          <cell r="F961">
            <v>0.93394904000000001</v>
          </cell>
          <cell r="G961">
            <v>33</v>
          </cell>
          <cell r="H961">
            <v>77004450</v>
          </cell>
          <cell r="I961" t="str">
            <v>JSH270C</v>
          </cell>
          <cell r="J961" t="str">
            <v>STAY L (COVER BATTERY)</v>
          </cell>
          <cell r="L961" t="str">
            <v>K1BA</v>
          </cell>
          <cell r="M961" t="str">
            <v>JSH270C</v>
          </cell>
          <cell r="N961" t="str">
            <v>STAY L (COVER BATTERY)</v>
          </cell>
          <cell r="P961" t="str">
            <v>K1BA</v>
          </cell>
          <cell r="Q961" t="str">
            <v>ptt</v>
          </cell>
        </row>
        <row r="962">
          <cell r="A962" t="str">
            <v>30041194-7</v>
          </cell>
          <cell r="B962" t="str">
            <v>1.0 x 55+/-0.5 x 1219</v>
          </cell>
          <cell r="C962">
            <v>1</v>
          </cell>
          <cell r="D962">
            <v>55</v>
          </cell>
          <cell r="E962">
            <v>1219</v>
          </cell>
          <cell r="F962">
            <v>0.52630325</v>
          </cell>
          <cell r="H962">
            <v>77004258</v>
          </cell>
          <cell r="I962" t="str">
            <v>JSC270C</v>
          </cell>
          <cell r="J962" t="str">
            <v>CLAMP CABLE</v>
          </cell>
          <cell r="L962" t="str">
            <v>K1BA</v>
          </cell>
          <cell r="M962" t="str">
            <v>JSC270C</v>
          </cell>
          <cell r="N962" t="str">
            <v>CLAMP CABLE</v>
          </cell>
          <cell r="P962" t="str">
            <v>K1BA</v>
          </cell>
          <cell r="Q962" t="str">
            <v>ptt</v>
          </cell>
        </row>
        <row r="963">
          <cell r="A963" t="str">
            <v>30041200-1</v>
          </cell>
          <cell r="B963" t="str">
            <v>1.2 x 80+/-0.5 x 1219</v>
          </cell>
          <cell r="C963">
            <v>1.2</v>
          </cell>
          <cell r="D963">
            <v>80</v>
          </cell>
          <cell r="E963">
            <v>1219</v>
          </cell>
          <cell r="F963">
            <v>0.91863839999999986</v>
          </cell>
          <cell r="G963">
            <v>18</v>
          </cell>
          <cell r="H963">
            <v>77004304</v>
          </cell>
          <cell r="I963" t="str">
            <v>JSC270C</v>
          </cell>
          <cell r="J963" t="str">
            <v>STAY</v>
          </cell>
          <cell r="K963" t="str">
            <v>50329-K1BA-T002-20</v>
          </cell>
          <cell r="L963" t="str">
            <v>K1BA</v>
          </cell>
          <cell r="M963" t="str">
            <v>JSC270C</v>
          </cell>
          <cell r="N963" t="str">
            <v>STAY</v>
          </cell>
          <cell r="O963" t="str">
            <v>50329-K1BA-T002-20</v>
          </cell>
          <cell r="P963" t="str">
            <v>K1BA</v>
          </cell>
          <cell r="Q963" t="str">
            <v>ptt</v>
          </cell>
        </row>
        <row r="964">
          <cell r="A964" t="str">
            <v>30041200-2</v>
          </cell>
          <cell r="B964" t="str">
            <v>1.0 x 72+/-0.5 x 1219</v>
          </cell>
          <cell r="C964">
            <v>1</v>
          </cell>
          <cell r="D964">
            <v>72</v>
          </cell>
          <cell r="E964">
            <v>1219</v>
          </cell>
          <cell r="F964">
            <v>0.68897879999999989</v>
          </cell>
          <cell r="G964">
            <v>156</v>
          </cell>
          <cell r="H964">
            <v>77004266</v>
          </cell>
          <cell r="I964" t="str">
            <v>JSC270C</v>
          </cell>
          <cell r="J964" t="str">
            <v>STAY COUPLER</v>
          </cell>
          <cell r="K964" t="str">
            <v>50198-MCT-3000</v>
          </cell>
          <cell r="L964" t="str">
            <v>K1BA</v>
          </cell>
          <cell r="M964" t="str">
            <v>JSC270C</v>
          </cell>
          <cell r="N964" t="str">
            <v>STAY COUPLER</v>
          </cell>
          <cell r="O964" t="str">
            <v>50198-MCT-3000</v>
          </cell>
          <cell r="P964" t="str">
            <v>K1BA</v>
          </cell>
          <cell r="Q964" t="str">
            <v>ptt</v>
          </cell>
        </row>
        <row r="965">
          <cell r="A965" t="str">
            <v>30041291-1</v>
          </cell>
          <cell r="B965" t="str">
            <v>2.6 x 260+/-0.5 x 1219</v>
          </cell>
          <cell r="C965">
            <v>2.6</v>
          </cell>
          <cell r="D965">
            <v>260</v>
          </cell>
          <cell r="E965">
            <v>1219</v>
          </cell>
          <cell r="F965">
            <v>6.4687453999999995</v>
          </cell>
          <cell r="G965">
            <v>6</v>
          </cell>
          <cell r="H965">
            <v>77004692</v>
          </cell>
          <cell r="I965" t="str">
            <v>JSH440W</v>
          </cell>
          <cell r="J965" t="str">
            <v>PLATE COMP R PIVOT(PLATE R OUT)</v>
          </cell>
          <cell r="K965" t="str">
            <v>50117-MLAA-A003-20</v>
          </cell>
          <cell r="L965" t="str">
            <v>MLAA</v>
          </cell>
          <cell r="M965" t="str">
            <v>JSH440W</v>
          </cell>
          <cell r="N965" t="str">
            <v>PLATE COMP R PIVOT(PLATE R OUT)</v>
          </cell>
          <cell r="O965" t="str">
            <v>50117-MLAA-A003-20</v>
          </cell>
          <cell r="P965" t="str">
            <v>MLAA</v>
          </cell>
          <cell r="Q965" t="str">
            <v>ptt</v>
          </cell>
          <cell r="R965">
            <v>50</v>
          </cell>
        </row>
        <row r="966">
          <cell r="A966" t="str">
            <v>30041291-2</v>
          </cell>
          <cell r="B966" t="str">
            <v>2.6 x 170+/-0.5 x 1219</v>
          </cell>
          <cell r="C966">
            <v>2.6</v>
          </cell>
          <cell r="D966">
            <v>170</v>
          </cell>
          <cell r="E966">
            <v>1219</v>
          </cell>
          <cell r="F966">
            <v>4.2295642999999998</v>
          </cell>
          <cell r="G966">
            <v>6</v>
          </cell>
          <cell r="H966">
            <v>77004610</v>
          </cell>
          <cell r="I966" t="str">
            <v>JSH440W</v>
          </cell>
          <cell r="J966" t="str">
            <v>PLATE COMP R PIVOT(PLATE R OUT)</v>
          </cell>
          <cell r="K966" t="str">
            <v>50117-MLAA-A003-21</v>
          </cell>
          <cell r="L966" t="str">
            <v>MLAA</v>
          </cell>
          <cell r="M966" t="str">
            <v>JSH440W</v>
          </cell>
          <cell r="N966" t="str">
            <v>PLATE COMP R PIVOT(PLATE R OUT)</v>
          </cell>
          <cell r="O966" t="str">
            <v>50117-MLAA-A003-21</v>
          </cell>
          <cell r="P966" t="str">
            <v>MLAA</v>
          </cell>
          <cell r="Q966" t="str">
            <v>ptt</v>
          </cell>
          <cell r="R966">
            <v>100</v>
          </cell>
        </row>
        <row r="967">
          <cell r="A967" t="str">
            <v>30041292-1</v>
          </cell>
          <cell r="B967" t="str">
            <v>2.6 x 260+/-0.5 x 1219</v>
          </cell>
          <cell r="C967">
            <v>2.6</v>
          </cell>
          <cell r="D967">
            <v>260</v>
          </cell>
          <cell r="E967">
            <v>1219</v>
          </cell>
          <cell r="F967">
            <v>6.4687453999999995</v>
          </cell>
          <cell r="H967">
            <v>77004692</v>
          </cell>
          <cell r="I967" t="str">
            <v>JSH440W</v>
          </cell>
          <cell r="J967" t="str">
            <v>PLATE COMP R PIVOT(PLATE R IN)</v>
          </cell>
          <cell r="K967" t="str">
            <v>50118-MLAA-A003-20</v>
          </cell>
          <cell r="L967" t="str">
            <v>MLAA</v>
          </cell>
          <cell r="M967" t="str">
            <v>JSH440W</v>
          </cell>
          <cell r="N967" t="str">
            <v>PLATE COMP R PIVOT(PLATE R IN)</v>
          </cell>
          <cell r="O967" t="str">
            <v>50118-MLAA-A003-20</v>
          </cell>
          <cell r="P967" t="str">
            <v>MLAA</v>
          </cell>
          <cell r="Q967" t="str">
            <v>ptt</v>
          </cell>
          <cell r="R967">
            <v>50</v>
          </cell>
        </row>
        <row r="968">
          <cell r="A968" t="str">
            <v>30041292-2</v>
          </cell>
          <cell r="B968" t="str">
            <v>2.6 x 170+/-0.5 x 1219</v>
          </cell>
          <cell r="C968">
            <v>2.6</v>
          </cell>
          <cell r="D968">
            <v>170</v>
          </cell>
          <cell r="E968">
            <v>1219</v>
          </cell>
          <cell r="F968">
            <v>4.2295642999999998</v>
          </cell>
          <cell r="H968">
            <v>77004610</v>
          </cell>
          <cell r="I968" t="str">
            <v>JSH440W</v>
          </cell>
          <cell r="J968" t="str">
            <v>PLATE COMP R PIVOT(PLATE R IN)</v>
          </cell>
          <cell r="K968" t="str">
            <v>50117-MLAA-A003-21</v>
          </cell>
          <cell r="L968" t="str">
            <v>MLAA</v>
          </cell>
          <cell r="M968" t="str">
            <v>JSH440W</v>
          </cell>
          <cell r="N968" t="str">
            <v>PLATE COMP R PIVOT(PLATE R IN)</v>
          </cell>
          <cell r="O968" t="str">
            <v>50117-MLAA-A003-21</v>
          </cell>
          <cell r="P968" t="str">
            <v>MLAA</v>
          </cell>
          <cell r="Q968" t="str">
            <v>ptt</v>
          </cell>
          <cell r="R968">
            <v>100</v>
          </cell>
        </row>
        <row r="969">
          <cell r="A969" t="str">
            <v>30041579-1</v>
          </cell>
          <cell r="B969" t="str">
            <v>2.6 x 66+/-0.5 x 1219</v>
          </cell>
          <cell r="C969">
            <v>2.6</v>
          </cell>
          <cell r="D969">
            <v>66</v>
          </cell>
          <cell r="E969">
            <v>1219</v>
          </cell>
          <cell r="F969">
            <v>1.6420661399999998</v>
          </cell>
          <cell r="G969">
            <v>36</v>
          </cell>
          <cell r="H969">
            <v>77004541</v>
          </cell>
          <cell r="I969" t="str">
            <v>JSH270C</v>
          </cell>
          <cell r="J969" t="str">
            <v>STAY SIDE</v>
          </cell>
          <cell r="K969" t="str">
            <v>8110-K1MA-T0001-30</v>
          </cell>
          <cell r="L969" t="str">
            <v>K1MA</v>
          </cell>
          <cell r="M969" t="str">
            <v>JSH270C</v>
          </cell>
          <cell r="N969" t="str">
            <v>STAY SIDE</v>
          </cell>
          <cell r="O969" t="str">
            <v>8110-K1MA-T0001-30</v>
          </cell>
          <cell r="P969" t="str">
            <v>K1MA</v>
          </cell>
          <cell r="Q969" t="str">
            <v>ptt</v>
          </cell>
        </row>
        <row r="970">
          <cell r="A970" t="str">
            <v>30041673-2</v>
          </cell>
          <cell r="B970" t="str">
            <v>4.5 x 192+/-0.5 x 1219</v>
          </cell>
          <cell r="C970">
            <v>4.5</v>
          </cell>
          <cell r="D970">
            <v>192</v>
          </cell>
          <cell r="E970">
            <v>1219</v>
          </cell>
          <cell r="F970">
            <v>8.2677455999999996</v>
          </cell>
          <cell r="G970">
            <v>18</v>
          </cell>
          <cell r="H970">
            <v>77004575</v>
          </cell>
          <cell r="I970" t="str">
            <v>SPHC-P/O</v>
          </cell>
          <cell r="J970" t="str">
            <v>BRACKET CUSH</v>
          </cell>
          <cell r="K970" t="str">
            <v>52115-K26P-G001-H</v>
          </cell>
          <cell r="L970" t="str">
            <v>K26P</v>
          </cell>
          <cell r="M970" t="str">
            <v>SPHC-P/O</v>
          </cell>
          <cell r="N970" t="str">
            <v>BRACKET CUSH</v>
          </cell>
          <cell r="O970" t="str">
            <v>52115-K26P-G001-H</v>
          </cell>
          <cell r="P970" t="str">
            <v>K26P</v>
          </cell>
          <cell r="Q970" t="str">
            <v>ptt</v>
          </cell>
          <cell r="R970">
            <v>50</v>
          </cell>
        </row>
        <row r="971">
          <cell r="A971" t="str">
            <v>30041673-3</v>
          </cell>
          <cell r="B971" t="str">
            <v>4.0 x 121+/-0.5 x 1219</v>
          </cell>
          <cell r="C971">
            <v>4</v>
          </cell>
          <cell r="D971">
            <v>121</v>
          </cell>
          <cell r="E971">
            <v>1219</v>
          </cell>
          <cell r="F971">
            <v>4.6314685999999998</v>
          </cell>
          <cell r="G971">
            <v>13</v>
          </cell>
          <cell r="H971">
            <v>77004568</v>
          </cell>
          <cell r="I971" t="str">
            <v>SPHC-P/O</v>
          </cell>
          <cell r="J971" t="str">
            <v>PLATE CUSH</v>
          </cell>
          <cell r="K971" t="str">
            <v>52114-K26P-G001-H1</v>
          </cell>
          <cell r="L971" t="str">
            <v>K26P</v>
          </cell>
          <cell r="M971" t="str">
            <v>SPHC-P/O</v>
          </cell>
          <cell r="N971" t="str">
            <v>PLATE CUSH</v>
          </cell>
          <cell r="O971" t="str">
            <v>52114-K26P-G001-H1</v>
          </cell>
          <cell r="P971" t="str">
            <v>K26P</v>
          </cell>
          <cell r="Q971" t="str">
            <v>ptt</v>
          </cell>
          <cell r="R971">
            <v>100</v>
          </cell>
        </row>
        <row r="972">
          <cell r="A972" t="str">
            <v>30041805-2</v>
          </cell>
          <cell r="B972" t="str">
            <v>1.6 x 87+/-0.5 x 1219</v>
          </cell>
          <cell r="C972">
            <v>1.6</v>
          </cell>
          <cell r="D972">
            <v>87</v>
          </cell>
          <cell r="E972">
            <v>1219</v>
          </cell>
          <cell r="F972">
            <v>1.3320256800000001</v>
          </cell>
          <cell r="G972">
            <v>26</v>
          </cell>
          <cell r="H972">
            <v>77004459</v>
          </cell>
          <cell r="I972" t="str">
            <v>SPHC-P/O</v>
          </cell>
          <cell r="J972" t="str">
            <v>PLATE</v>
          </cell>
          <cell r="K972" t="str">
            <v>50102-K26P-9000-21</v>
          </cell>
          <cell r="L972" t="str">
            <v>K26P</v>
          </cell>
          <cell r="M972" t="str">
            <v>SPHC-P/O</v>
          </cell>
          <cell r="N972" t="str">
            <v>PLATE</v>
          </cell>
          <cell r="O972" t="str">
            <v>50102-K26P-9000-21</v>
          </cell>
          <cell r="P972" t="str">
            <v>K26P</v>
          </cell>
          <cell r="Q972" t="str">
            <v>ptt</v>
          </cell>
        </row>
        <row r="973">
          <cell r="A973">
            <v>30041805</v>
          </cell>
          <cell r="B973" t="str">
            <v>1.4 x 40+/-0.5 x 1219 ราคาไม่ได้ ต้องซื้อข้างนอก</v>
          </cell>
          <cell r="C973">
            <v>1.4</v>
          </cell>
          <cell r="D973">
            <v>40</v>
          </cell>
          <cell r="E973">
            <v>1219</v>
          </cell>
          <cell r="F973">
            <v>0.53587240000000003</v>
          </cell>
          <cell r="G973">
            <v>68</v>
          </cell>
          <cell r="H973">
            <v>77004123</v>
          </cell>
          <cell r="I973" t="str">
            <v>SPCC-SD</v>
          </cell>
          <cell r="J973" t="str">
            <v>STAY A/C</v>
          </cell>
          <cell r="K973" t="str">
            <v>50124-KWWW-6200-H1</v>
          </cell>
          <cell r="L973" t="str">
            <v>K26P</v>
          </cell>
          <cell r="M973" t="str">
            <v>SPCC-SD</v>
          </cell>
          <cell r="N973" t="str">
            <v>STAY A/C</v>
          </cell>
          <cell r="O973" t="str">
            <v>50124-KWWW-6200-H1</v>
          </cell>
          <cell r="P973" t="str">
            <v>K26P</v>
          </cell>
          <cell r="Q973" t="str">
            <v>ptt</v>
          </cell>
        </row>
        <row r="974">
          <cell r="A974" t="str">
            <v>30041805-3</v>
          </cell>
          <cell r="B974" t="str">
            <v>1.4 x 80+/-0.5 x 1219 ราคาไม่ได้ ต้องซื้อข้างนอก</v>
          </cell>
          <cell r="C974">
            <v>1.4</v>
          </cell>
          <cell r="D974">
            <v>80</v>
          </cell>
          <cell r="E974">
            <v>1219</v>
          </cell>
          <cell r="F974">
            <v>1.0717448000000001</v>
          </cell>
          <cell r="G974">
            <v>136</v>
          </cell>
          <cell r="H974">
            <v>77004123</v>
          </cell>
          <cell r="I974" t="str">
            <v>SPCC-SD</v>
          </cell>
          <cell r="J974" t="str">
            <v>STAY A/C</v>
          </cell>
          <cell r="K974" t="str">
            <v>50124-KWWW-6200-H1</v>
          </cell>
          <cell r="L974" t="str">
            <v>K26P</v>
          </cell>
          <cell r="M974" t="str">
            <v>SPCC-SD</v>
          </cell>
          <cell r="N974" t="str">
            <v>STAY A/C</v>
          </cell>
          <cell r="O974" t="str">
            <v>50124-KWWW-6200-H1</v>
          </cell>
          <cell r="P974" t="str">
            <v>K26P</v>
          </cell>
          <cell r="Q974" t="str">
            <v>ptt</v>
          </cell>
        </row>
        <row r="975">
          <cell r="A975" t="str">
            <v>30041807-1</v>
          </cell>
          <cell r="B975" t="str">
            <v>2.0 x 81+/-0.5 x 1219</v>
          </cell>
          <cell r="C975">
            <v>2</v>
          </cell>
          <cell r="D975">
            <v>81</v>
          </cell>
          <cell r="E975">
            <v>1219</v>
          </cell>
          <cell r="F975">
            <v>1.5502022999999998</v>
          </cell>
          <cell r="G975">
            <v>17</v>
          </cell>
          <cell r="H975">
            <v>77004503</v>
          </cell>
          <cell r="I975" t="str">
            <v>JSH270C</v>
          </cell>
          <cell r="J975" t="str">
            <v>STAY R TANK FR (STAY R)</v>
          </cell>
          <cell r="K975" t="str">
            <v>50141-K26P-G000-H1</v>
          </cell>
          <cell r="L975" t="str">
            <v>K26P</v>
          </cell>
          <cell r="M975" t="str">
            <v>JSH270C</v>
          </cell>
          <cell r="N975" t="str">
            <v>STAY R TANK FR (STAY R)</v>
          </cell>
          <cell r="O975" t="str">
            <v>50141-K26P-G000-H1</v>
          </cell>
          <cell r="P975" t="str">
            <v>K26P</v>
          </cell>
          <cell r="Q975" t="str">
            <v>ptt</v>
          </cell>
        </row>
        <row r="976">
          <cell r="A976" t="str">
            <v>30041808-1</v>
          </cell>
          <cell r="B976" t="str">
            <v>2.0 x 77+/-0.5 x 1219</v>
          </cell>
          <cell r="C976">
            <v>2</v>
          </cell>
          <cell r="D976">
            <v>77</v>
          </cell>
          <cell r="E976">
            <v>1219</v>
          </cell>
          <cell r="F976">
            <v>1.4736490999999998</v>
          </cell>
          <cell r="G976">
            <v>24</v>
          </cell>
          <cell r="H976">
            <v>77004499</v>
          </cell>
          <cell r="I976" t="str">
            <v>JSH270C</v>
          </cell>
          <cell r="J976" t="str">
            <v>STAY L TANK FR (STAY L R)</v>
          </cell>
          <cell r="K976" t="str">
            <v>50142-K26P-G000-H1</v>
          </cell>
          <cell r="L976" t="str">
            <v>K26P</v>
          </cell>
          <cell r="M976" t="str">
            <v>JSH270C</v>
          </cell>
          <cell r="N976" t="str">
            <v>STAY L TANK FR (STAY L R)</v>
          </cell>
          <cell r="O976" t="str">
            <v>50142-K26P-G000-H1</v>
          </cell>
          <cell r="P976" t="str">
            <v>K26P</v>
          </cell>
          <cell r="Q976" t="str">
            <v>ptt</v>
          </cell>
        </row>
        <row r="977">
          <cell r="A977" t="str">
            <v>30041811-1</v>
          </cell>
          <cell r="B977" t="str">
            <v>2.3 x 87+/-0.5 x 1219</v>
          </cell>
          <cell r="C977">
            <v>2.2999999999999998</v>
          </cell>
          <cell r="D977">
            <v>87</v>
          </cell>
          <cell r="E977">
            <v>1219</v>
          </cell>
          <cell r="F977">
            <v>1.9147869149999999</v>
          </cell>
          <cell r="G977">
            <v>15</v>
          </cell>
          <cell r="H977">
            <v>77004536</v>
          </cell>
          <cell r="I977" t="str">
            <v>JSH270C</v>
          </cell>
          <cell r="J977" t="str">
            <v>STAY ING COIL (STAY)</v>
          </cell>
          <cell r="K977" t="str">
            <v>50134-K26P-G000-H1</v>
          </cell>
          <cell r="L977" t="str">
            <v>K26P</v>
          </cell>
          <cell r="M977" t="str">
            <v>JSH270C</v>
          </cell>
          <cell r="N977" t="str">
            <v>STAY ING COIL (STAY)</v>
          </cell>
          <cell r="O977" t="str">
            <v>50134-K26P-G000-H1</v>
          </cell>
          <cell r="P977" t="str">
            <v>K26P</v>
          </cell>
          <cell r="Q977" t="str">
            <v>ptt</v>
          </cell>
        </row>
        <row r="978">
          <cell r="A978" t="str">
            <v>30041811-2</v>
          </cell>
          <cell r="B978" t="str">
            <v>1.2 x 73+/-0.5 x 1219</v>
          </cell>
          <cell r="C978">
            <v>1.2</v>
          </cell>
          <cell r="D978">
            <v>73</v>
          </cell>
          <cell r="E978">
            <v>1219</v>
          </cell>
          <cell r="F978">
            <v>0.83825753999999997</v>
          </cell>
          <cell r="G978">
            <v>94</v>
          </cell>
          <cell r="H978">
            <v>77004301</v>
          </cell>
          <cell r="I978" t="str">
            <v>JSC270C</v>
          </cell>
          <cell r="J978" t="str">
            <v>PLATE HARNESS</v>
          </cell>
          <cell r="K978" t="str">
            <v>50134-K26P-G001-21</v>
          </cell>
          <cell r="L978" t="str">
            <v>K26P</v>
          </cell>
          <cell r="M978" t="str">
            <v>JSC270C</v>
          </cell>
          <cell r="N978" t="str">
            <v>PLATE HARNESS</v>
          </cell>
          <cell r="O978" t="str">
            <v>50134-K26P-G001-21</v>
          </cell>
          <cell r="P978" t="str">
            <v>K26P</v>
          </cell>
          <cell r="Q978" t="str">
            <v>ptt</v>
          </cell>
        </row>
        <row r="979">
          <cell r="A979" t="str">
            <v>30041962-1</v>
          </cell>
          <cell r="B979" t="str">
            <v>2.6 x 96+/-0.5 x 1219</v>
          </cell>
          <cell r="C979">
            <v>2.6</v>
          </cell>
          <cell r="D979">
            <v>96</v>
          </cell>
          <cell r="E979">
            <v>1219</v>
          </cell>
          <cell r="F979">
            <v>2.3884598399999999</v>
          </cell>
          <cell r="G979">
            <v>45</v>
          </cell>
          <cell r="H979">
            <v>77004546</v>
          </cell>
          <cell r="I979" t="str">
            <v>JSH270C</v>
          </cell>
          <cell r="J979" t="str">
            <v>STAY (STAY HORN)</v>
          </cell>
          <cell r="K979" t="str">
            <v>50143-K1ZA-J101-20</v>
          </cell>
          <cell r="L979" t="str">
            <v>K1ZF</v>
          </cell>
          <cell r="M979" t="str">
            <v>JSH270C</v>
          </cell>
          <cell r="N979" t="str">
            <v>STAY (STAY HORN)</v>
          </cell>
          <cell r="O979" t="str">
            <v>50143-K1ZA-J101-20</v>
          </cell>
          <cell r="P979" t="str">
            <v>K1ZF</v>
          </cell>
          <cell r="Q979" t="str">
            <v>ptt</v>
          </cell>
        </row>
        <row r="980">
          <cell r="A980" t="str">
            <v>30041964-1</v>
          </cell>
          <cell r="B980" t="str">
            <v>2.0 x 69+/-0.5 x 1219</v>
          </cell>
          <cell r="C980">
            <v>2</v>
          </cell>
          <cell r="D980">
            <v>69</v>
          </cell>
          <cell r="E980">
            <v>1219</v>
          </cell>
          <cell r="F980">
            <v>1.3205426999999998</v>
          </cell>
          <cell r="G980">
            <v>20</v>
          </cell>
          <cell r="H980">
            <v>77004493</v>
          </cell>
          <cell r="I980" t="str">
            <v>JSH270C</v>
          </cell>
          <cell r="J980" t="str">
            <v>STAY R FLOOR MID</v>
          </cell>
          <cell r="K980" t="str">
            <v>50128-K1ZA-J101-20</v>
          </cell>
          <cell r="L980" t="str">
            <v>K1ZF</v>
          </cell>
          <cell r="M980" t="str">
            <v>JSH270C</v>
          </cell>
          <cell r="N980" t="str">
            <v>STAY R FLOOR MID</v>
          </cell>
          <cell r="O980" t="str">
            <v>50128-K1ZA-J101-20</v>
          </cell>
          <cell r="P980" t="str">
            <v>K1ZF</v>
          </cell>
          <cell r="Q980" t="str">
            <v>ptt</v>
          </cell>
        </row>
        <row r="981">
          <cell r="A981" t="str">
            <v>30041964-3</v>
          </cell>
          <cell r="B981" t="str">
            <v>2.0 x 51+/-0.5 x 1219</v>
          </cell>
          <cell r="C981">
            <v>2</v>
          </cell>
          <cell r="D981">
            <v>51</v>
          </cell>
          <cell r="E981">
            <v>1219</v>
          </cell>
          <cell r="F981">
            <v>0.9760532999999999</v>
          </cell>
          <cell r="G981">
            <v>59</v>
          </cell>
          <cell r="H981">
            <v>77004477</v>
          </cell>
          <cell r="I981" t="str">
            <v>JSH270C</v>
          </cell>
          <cell r="J981" t="str">
            <v>STAY</v>
          </cell>
          <cell r="K981" t="str">
            <v>50151-K1ZA-J103-20</v>
          </cell>
          <cell r="L981" t="str">
            <v>K1ZF</v>
          </cell>
          <cell r="M981" t="str">
            <v>JSH270C</v>
          </cell>
          <cell r="N981" t="str">
            <v>STAY</v>
          </cell>
          <cell r="O981" t="str">
            <v>50151-K1ZA-J103-20</v>
          </cell>
          <cell r="P981" t="str">
            <v>K1ZF</v>
          </cell>
          <cell r="Q981" t="str">
            <v>ptt</v>
          </cell>
        </row>
        <row r="982">
          <cell r="A982" t="str">
            <v>30041965-1</v>
          </cell>
          <cell r="B982" t="str">
            <v>2.0 x 74+/-0.5 x 1219</v>
          </cell>
          <cell r="C982">
            <v>2</v>
          </cell>
          <cell r="D982">
            <v>74</v>
          </cell>
          <cell r="E982">
            <v>1219</v>
          </cell>
          <cell r="F982">
            <v>1.4162341999999999</v>
          </cell>
          <cell r="G982">
            <v>23</v>
          </cell>
          <cell r="H982">
            <v>77004497</v>
          </cell>
          <cell r="I982" t="str">
            <v>JSH270C</v>
          </cell>
          <cell r="J982" t="str">
            <v>STAY R FLOOR RR</v>
          </cell>
          <cell r="K982" t="str">
            <v>50128-K1ZA-J101-20</v>
          </cell>
          <cell r="L982" t="str">
            <v>K1ZF</v>
          </cell>
          <cell r="M982" t="str">
            <v>JSH270C</v>
          </cell>
          <cell r="N982" t="str">
            <v>STAY R FLOOR RR</v>
          </cell>
          <cell r="O982" t="str">
            <v>50128-K1ZA-J101-20</v>
          </cell>
          <cell r="P982" t="str">
            <v>K1ZF</v>
          </cell>
          <cell r="Q982" t="str">
            <v>ptt</v>
          </cell>
        </row>
        <row r="983">
          <cell r="A983">
            <v>30042019</v>
          </cell>
          <cell r="B983" t="str">
            <v>1.6 x 115+/-0.5 x 1219</v>
          </cell>
          <cell r="C983">
            <v>1.6</v>
          </cell>
          <cell r="D983">
            <v>115</v>
          </cell>
          <cell r="E983">
            <v>1219</v>
          </cell>
          <cell r="F983">
            <v>1.7607235999999999</v>
          </cell>
          <cell r="H983">
            <v>77004464</v>
          </cell>
          <cell r="I983" t="str">
            <v>JSH270C</v>
          </cell>
          <cell r="J983" t="str">
            <v>STAY AIR/C FR</v>
          </cell>
          <cell r="K983" t="str">
            <v>50121-MLAA-001-H1</v>
          </cell>
          <cell r="L983" t="str">
            <v>MLAA</v>
          </cell>
          <cell r="M983" t="str">
            <v>JSH270C</v>
          </cell>
          <cell r="N983" t="str">
            <v>STAY AIR/C FR</v>
          </cell>
          <cell r="O983" t="str">
            <v>50121-MLAA-001-H1</v>
          </cell>
          <cell r="P983" t="str">
            <v>MLAA</v>
          </cell>
          <cell r="Q983" t="e">
            <v>#N/A</v>
          </cell>
        </row>
        <row r="984">
          <cell r="A984" t="str">
            <v>73018928-1</v>
          </cell>
          <cell r="B984" t="str">
            <v>3.2 x 232+/-0.5 x 1219</v>
          </cell>
          <cell r="C984">
            <v>3.2</v>
          </cell>
          <cell r="D984">
            <v>232</v>
          </cell>
          <cell r="E984">
            <v>1219</v>
          </cell>
          <cell r="F984">
            <v>7.1041369599999999</v>
          </cell>
          <cell r="G984">
            <v>5</v>
          </cell>
          <cell r="H984">
            <v>77004564</v>
          </cell>
          <cell r="I984" t="str">
            <v>JSH270C</v>
          </cell>
          <cell r="J984" t="str">
            <v>BRKT</v>
          </cell>
          <cell r="K984" t="str">
            <v>50201-MLAA-A003-20</v>
          </cell>
          <cell r="L984" t="str">
            <v>MLAA</v>
          </cell>
          <cell r="M984" t="str">
            <v>JSH270C</v>
          </cell>
          <cell r="N984" t="str">
            <v>BRKT</v>
          </cell>
          <cell r="O984" t="str">
            <v>50201-MLAA-A003-20</v>
          </cell>
          <cell r="P984" t="str">
            <v>MLAA</v>
          </cell>
          <cell r="Q984" t="str">
            <v>ptt</v>
          </cell>
        </row>
        <row r="985">
          <cell r="A985" t="str">
            <v>73018928-6</v>
          </cell>
          <cell r="B985" t="str">
            <v>1.2 x 72+/-0.5 x 1219</v>
          </cell>
          <cell r="C985">
            <v>1.2</v>
          </cell>
          <cell r="D985">
            <v>72</v>
          </cell>
          <cell r="E985">
            <v>1219</v>
          </cell>
          <cell r="F985">
            <v>0.82677455999999994</v>
          </cell>
          <cell r="H985">
            <v>77004298</v>
          </cell>
          <cell r="I985" t="str">
            <v>JSC270C</v>
          </cell>
          <cell r="J985" t="str">
            <v>STAY RUBBER</v>
          </cell>
          <cell r="K985" t="str">
            <v>50201-MLAA-A003-26</v>
          </cell>
          <cell r="L985" t="str">
            <v>MLAA</v>
          </cell>
          <cell r="M985" t="str">
            <v>JSC270C</v>
          </cell>
          <cell r="N985" t="str">
            <v>STAY RUBBER</v>
          </cell>
          <cell r="O985" t="str">
            <v>50201-MLAA-A003-26</v>
          </cell>
          <cell r="P985" t="str">
            <v>MLAA</v>
          </cell>
          <cell r="Q985" t="str">
            <v>ptt</v>
          </cell>
        </row>
        <row r="986">
          <cell r="A986" t="str">
            <v>73018996-3</v>
          </cell>
          <cell r="B986" t="str">
            <v>1.6 x 105+/-0.5 x 1219</v>
          </cell>
          <cell r="C986">
            <v>1.6</v>
          </cell>
          <cell r="D986">
            <v>105</v>
          </cell>
          <cell r="E986">
            <v>1219</v>
          </cell>
          <cell r="F986">
            <v>1.6076172</v>
          </cell>
          <cell r="G986">
            <v>13</v>
          </cell>
          <cell r="H986">
            <v>77004638</v>
          </cell>
          <cell r="I986" t="str">
            <v>JSH590C</v>
          </cell>
          <cell r="J986" t="str">
            <v>GUSSET R INNER</v>
          </cell>
          <cell r="K986" t="str">
            <v>50180-K2FA-N000-21</v>
          </cell>
          <cell r="L986" t="str">
            <v>K2FF</v>
          </cell>
          <cell r="M986" t="str">
            <v>JSH590C</v>
          </cell>
          <cell r="N986" t="str">
            <v>GUSSET R INNER</v>
          </cell>
          <cell r="O986" t="str">
            <v>50180-K2FA-N000-21</v>
          </cell>
          <cell r="P986" t="str">
            <v>K2FF</v>
          </cell>
          <cell r="Q986" t="str">
            <v>ptt</v>
          </cell>
          <cell r="R986">
            <v>200</v>
          </cell>
        </row>
        <row r="987">
          <cell r="A987" t="str">
            <v>73018996-4</v>
          </cell>
          <cell r="B987" t="str">
            <v>2.0 x 115+/-0.5 x 1219</v>
          </cell>
          <cell r="C987">
            <v>2</v>
          </cell>
          <cell r="D987">
            <v>115</v>
          </cell>
          <cell r="E987">
            <v>1219</v>
          </cell>
          <cell r="F987">
            <v>2.2009045</v>
          </cell>
          <cell r="G987">
            <v>16</v>
          </cell>
          <cell r="H987">
            <v>77004639</v>
          </cell>
          <cell r="I987" t="str">
            <v>JSH590C</v>
          </cell>
          <cell r="J987" t="str">
            <v>GUSSET L INNER</v>
          </cell>
          <cell r="K987" t="str">
            <v>50180-K2FA-N000-22</v>
          </cell>
          <cell r="L987" t="str">
            <v>K2FF</v>
          </cell>
          <cell r="M987" t="str">
            <v>JSH590C</v>
          </cell>
          <cell r="N987" t="str">
            <v>GUSSET L INNER</v>
          </cell>
          <cell r="O987" t="str">
            <v>50180-K2FA-N000-22</v>
          </cell>
          <cell r="P987" t="str">
            <v>K2FF</v>
          </cell>
          <cell r="Q987" t="str">
            <v>ptt</v>
          </cell>
          <cell r="R987">
            <v>200</v>
          </cell>
        </row>
        <row r="988">
          <cell r="A988" t="str">
            <v>73018996-5</v>
          </cell>
          <cell r="B988" t="str">
            <v>2.0 x 50+/-0.5 x 1219</v>
          </cell>
          <cell r="C988">
            <v>2</v>
          </cell>
          <cell r="D988">
            <v>50</v>
          </cell>
          <cell r="E988">
            <v>1219</v>
          </cell>
          <cell r="F988">
            <v>0.95691499999999996</v>
          </cell>
          <cell r="G988">
            <v>40</v>
          </cell>
          <cell r="H988">
            <v>77004476</v>
          </cell>
          <cell r="I988" t="str">
            <v>JSH270C</v>
          </cell>
          <cell r="J988" t="str">
            <v>STAY R ECU</v>
          </cell>
          <cell r="K988" t="str">
            <v>50180-K2FA-N002-23</v>
          </cell>
          <cell r="L988" t="str">
            <v>K2FF</v>
          </cell>
          <cell r="M988" t="str">
            <v>JSH270C</v>
          </cell>
          <cell r="N988" t="str">
            <v>STAY R ECU</v>
          </cell>
          <cell r="O988" t="str">
            <v>50180-K2FA-N002-23</v>
          </cell>
          <cell r="P988" t="str">
            <v>K2FF</v>
          </cell>
          <cell r="Q988" t="str">
            <v>ptt</v>
          </cell>
        </row>
        <row r="989">
          <cell r="A989" t="str">
            <v>73018996-6</v>
          </cell>
          <cell r="B989" t="str">
            <v>2.0 x 50+/-0.5 x 1219</v>
          </cell>
          <cell r="C989">
            <v>2</v>
          </cell>
          <cell r="D989">
            <v>50</v>
          </cell>
          <cell r="E989">
            <v>1219</v>
          </cell>
          <cell r="F989">
            <v>0.95691499999999996</v>
          </cell>
          <cell r="G989">
            <v>40</v>
          </cell>
          <cell r="H989">
            <v>77004476</v>
          </cell>
          <cell r="I989" t="str">
            <v>JSH270C</v>
          </cell>
          <cell r="J989" t="str">
            <v>STAY L ECU</v>
          </cell>
          <cell r="K989" t="str">
            <v>50180-K2FA-N002-24</v>
          </cell>
          <cell r="L989" t="str">
            <v>K2FF</v>
          </cell>
          <cell r="M989" t="str">
            <v>JSH270C</v>
          </cell>
          <cell r="N989" t="str">
            <v>STAY L ECU</v>
          </cell>
          <cell r="O989" t="str">
            <v>50180-K2FA-N002-24</v>
          </cell>
          <cell r="P989" t="str">
            <v>K2FF</v>
          </cell>
          <cell r="Q989" t="str">
            <v>ptt</v>
          </cell>
        </row>
        <row r="990">
          <cell r="J990" t="str">
            <v>STAY R COWL FR</v>
          </cell>
          <cell r="N990" t="str">
            <v>STAY R COWL FR</v>
          </cell>
        </row>
        <row r="992">
          <cell r="H992">
            <v>2800</v>
          </cell>
          <cell r="N992">
            <v>1400</v>
          </cell>
        </row>
        <row r="994">
          <cell r="A994">
            <v>73016002</v>
          </cell>
          <cell r="B994" t="str">
            <v>2.6 x 70+/-0.5 x 1219</v>
          </cell>
          <cell r="C994">
            <v>2.6</v>
          </cell>
          <cell r="D994">
            <v>70</v>
          </cell>
          <cell r="E994">
            <v>1219</v>
          </cell>
          <cell r="F994">
            <v>1.7415852999999999</v>
          </cell>
          <cell r="G994">
            <v>78</v>
          </cell>
          <cell r="H994">
            <v>77005283</v>
          </cell>
          <cell r="I994" t="str">
            <v>SPCC-SD</v>
          </cell>
          <cell r="J994" t="str">
            <v>CLEVIS</v>
          </cell>
          <cell r="K994" t="str">
            <v>EF-725T(Y704)</v>
          </cell>
          <cell r="M994" t="str">
            <v>SPCC-SD</v>
          </cell>
          <cell r="N994" t="str">
            <v>CLEVIS</v>
          </cell>
          <cell r="O994" t="str">
            <v>EF-725T(Y704)</v>
          </cell>
          <cell r="Q994" t="str">
            <v>ps</v>
          </cell>
        </row>
        <row r="995">
          <cell r="A995" t="str">
            <v>73016662-2</v>
          </cell>
          <cell r="B995" t="str">
            <v>4.5 x 251+/-0.5 x 1219</v>
          </cell>
          <cell r="C995">
            <v>4.5</v>
          </cell>
          <cell r="D995">
            <v>251</v>
          </cell>
          <cell r="E995">
            <v>1219</v>
          </cell>
          <cell r="F995">
            <v>10.808354925</v>
          </cell>
          <cell r="G995">
            <v>23</v>
          </cell>
          <cell r="H995">
            <v>77005553</v>
          </cell>
          <cell r="I995" t="str">
            <v>SS400</v>
          </cell>
          <cell r="J995" t="str">
            <v>BRACKET TANK COVER B</v>
          </cell>
          <cell r="K995" t="str">
            <v>1A8929-04830</v>
          </cell>
          <cell r="L995" t="str">
            <v>EF-725T(Y704)</v>
          </cell>
          <cell r="M995" t="str">
            <v>SS400</v>
          </cell>
          <cell r="N995" t="str">
            <v>BRACKET TANK COVER B</v>
          </cell>
          <cell r="O995" t="str">
            <v>1A8929-04830</v>
          </cell>
          <cell r="P995" t="str">
            <v>EF-725T(Y704)</v>
          </cell>
          <cell r="Q995" t="str">
            <v>ps</v>
          </cell>
        </row>
        <row r="996">
          <cell r="A996">
            <v>73016663</v>
          </cell>
          <cell r="B996" t="str">
            <v>4.5 x 230+/-0.5 x 1219</v>
          </cell>
          <cell r="C996">
            <v>4.5</v>
          </cell>
          <cell r="D996">
            <v>230</v>
          </cell>
          <cell r="E996">
            <v>1219</v>
          </cell>
          <cell r="F996">
            <v>9.9040702500000002</v>
          </cell>
          <cell r="G996">
            <v>11</v>
          </cell>
          <cell r="H996">
            <v>77005552</v>
          </cell>
          <cell r="I996" t="str">
            <v>SS400</v>
          </cell>
          <cell r="J996" t="str">
            <v>SUPPORT REVERSER</v>
          </cell>
          <cell r="K996" t="str">
            <v>1A8292-21190</v>
          </cell>
          <cell r="L996" t="str">
            <v>EF-725T(Y704)</v>
          </cell>
          <cell r="M996" t="str">
            <v>SS400</v>
          </cell>
          <cell r="N996" t="str">
            <v>SUPPORT REVERSER</v>
          </cell>
          <cell r="O996" t="str">
            <v>1A8292-21190</v>
          </cell>
          <cell r="P996" t="str">
            <v>EF-725T(Y704)</v>
          </cell>
          <cell r="Q996" t="str">
            <v>ps</v>
          </cell>
        </row>
        <row r="997">
          <cell r="A997">
            <v>73016667</v>
          </cell>
          <cell r="B997" t="str">
            <v>2.3 x 110+/-0.5 x 292+/-0.5</v>
          </cell>
          <cell r="C997">
            <v>2.2999999999999998</v>
          </cell>
          <cell r="D997">
            <v>110</v>
          </cell>
          <cell r="E997">
            <v>292</v>
          </cell>
          <cell r="F997">
            <v>0.57992659999999985</v>
          </cell>
          <cell r="G997">
            <v>1</v>
          </cell>
          <cell r="H997">
            <v>77005303</v>
          </cell>
          <cell r="I997" t="str">
            <v>SPHC</v>
          </cell>
          <cell r="J997" t="str">
            <v>COVER SIDE</v>
          </cell>
          <cell r="K997" t="str">
            <v>EF-725T(Y704)</v>
          </cell>
          <cell r="M997" t="str">
            <v>SPHC</v>
          </cell>
          <cell r="N997" t="str">
            <v>COVER SIDE</v>
          </cell>
          <cell r="O997" t="str">
            <v>EF-725T(Y704)</v>
          </cell>
          <cell r="Q997" t="str">
            <v>ps</v>
          </cell>
        </row>
        <row r="998">
          <cell r="A998">
            <v>73016935</v>
          </cell>
          <cell r="B998" t="str">
            <v>5.0 x 188+/-0.5 x 1219</v>
          </cell>
          <cell r="C998">
            <v>5</v>
          </cell>
          <cell r="D998">
            <v>188</v>
          </cell>
          <cell r="E998">
            <v>1219</v>
          </cell>
          <cell r="F998">
            <v>8.9950010000000002</v>
          </cell>
          <cell r="G998">
            <v>14</v>
          </cell>
          <cell r="H998">
            <v>77005531</v>
          </cell>
          <cell r="I998" t="str">
            <v>SPHC-P/O</v>
          </cell>
          <cell r="J998" t="str">
            <v>PLATE PILL FOOTREST L.</v>
          </cell>
          <cell r="K998">
            <v>10023445</v>
          </cell>
          <cell r="L998" t="str">
            <v>XC601</v>
          </cell>
          <cell r="M998" t="str">
            <v>SPHC-P/O</v>
          </cell>
          <cell r="N998" t="str">
            <v>PLATE PILL FOOTREST L.</v>
          </cell>
          <cell r="O998">
            <v>10023445</v>
          </cell>
          <cell r="P998" t="str">
            <v>XC601</v>
          </cell>
          <cell r="Q998" t="str">
            <v>tsi</v>
          </cell>
          <cell r="R998">
            <v>50</v>
          </cell>
        </row>
        <row r="999">
          <cell r="A999">
            <v>73018597</v>
          </cell>
          <cell r="B999" t="str">
            <v>1.4 x 58+/-0.5 x 1219</v>
          </cell>
          <cell r="C999">
            <v>1.4</v>
          </cell>
          <cell r="D999">
            <v>58</v>
          </cell>
          <cell r="E999">
            <v>1219</v>
          </cell>
          <cell r="F999">
            <v>0.77701497999999991</v>
          </cell>
          <cell r="G999">
            <v>50</v>
          </cell>
          <cell r="H999">
            <v>77005316</v>
          </cell>
          <cell r="I999" t="str">
            <v>SPHC-P/O</v>
          </cell>
          <cell r="J999" t="str">
            <v>PLATE IGNITION COIL RR</v>
          </cell>
          <cell r="K999" t="str">
            <v>41289-45H00</v>
          </cell>
          <cell r="L999" t="str">
            <v>GPI</v>
          </cell>
          <cell r="M999" t="str">
            <v>SPHC-P/O</v>
          </cell>
          <cell r="N999" t="str">
            <v>PLATE IGNITION COIL RR</v>
          </cell>
          <cell r="O999" t="str">
            <v>41289-45H00</v>
          </cell>
          <cell r="P999" t="str">
            <v>GPI</v>
          </cell>
          <cell r="Q999" t="str">
            <v>tsi</v>
          </cell>
          <cell r="R999">
            <v>300</v>
          </cell>
        </row>
        <row r="1000">
          <cell r="A1000" t="str">
            <v>73019569-1</v>
          </cell>
          <cell r="B1000" t="str">
            <v>3.2 x 250+/-0.5 x 1219</v>
          </cell>
          <cell r="C1000">
            <v>3.2</v>
          </cell>
          <cell r="D1000">
            <v>250</v>
          </cell>
          <cell r="E1000">
            <v>1219</v>
          </cell>
          <cell r="F1000">
            <v>7.6553199999999997</v>
          </cell>
          <cell r="G1000">
            <v>7</v>
          </cell>
          <cell r="H1000">
            <v>77005495</v>
          </cell>
          <cell r="I1000" t="str">
            <v>SPHC-P</v>
          </cell>
          <cell r="J1000" t="str">
            <v>PLATE HINGE</v>
          </cell>
          <cell r="K1000" t="str">
            <v>1A8330-61311</v>
          </cell>
          <cell r="L1000" t="str">
            <v>SA(YANMAR)</v>
          </cell>
          <cell r="M1000" t="str">
            <v>SPHC-P</v>
          </cell>
          <cell r="N1000" t="str">
            <v>PLATE HINGE</v>
          </cell>
          <cell r="O1000" t="str">
            <v>1A8330-61311</v>
          </cell>
          <cell r="P1000" t="str">
            <v>SA(YANMAR)</v>
          </cell>
          <cell r="Q1000" t="str">
            <v>epc</v>
          </cell>
        </row>
        <row r="1001">
          <cell r="A1001" t="str">
            <v>73019569-3</v>
          </cell>
          <cell r="B1001" t="str">
            <v>3.2 x 107+/-0.5 x 1219</v>
          </cell>
          <cell r="C1001">
            <v>3.2</v>
          </cell>
          <cell r="D1001">
            <v>107</v>
          </cell>
          <cell r="E1001">
            <v>1219</v>
          </cell>
          <cell r="F1001">
            <v>3.2764769600000001</v>
          </cell>
          <cell r="G1001">
            <v>40</v>
          </cell>
          <cell r="H1001">
            <v>77005477</v>
          </cell>
          <cell r="I1001" t="str">
            <v>SPHC-P</v>
          </cell>
          <cell r="J1001" t="str">
            <v>PLATE SUPPORT</v>
          </cell>
          <cell r="K1001" t="str">
            <v>1A8330-61330</v>
          </cell>
          <cell r="L1001" t="str">
            <v>SA(YANMAR)</v>
          </cell>
          <cell r="M1001" t="str">
            <v>SPHC-P</v>
          </cell>
          <cell r="N1001" t="str">
            <v>PLATE SUPPORT</v>
          </cell>
          <cell r="O1001" t="str">
            <v>1A8330-61330</v>
          </cell>
          <cell r="P1001" t="str">
            <v>SA(YANMAR)</v>
          </cell>
          <cell r="Q1001" t="str">
            <v>epc</v>
          </cell>
        </row>
        <row r="1002">
          <cell r="A1002" t="str">
            <v>73019569-6</v>
          </cell>
          <cell r="B1002" t="str">
            <v>2.3 x 47+/-0.5 x 1219</v>
          </cell>
          <cell r="C1002">
            <v>2.2999999999999998</v>
          </cell>
          <cell r="D1002">
            <v>47</v>
          </cell>
          <cell r="E1002">
            <v>1219</v>
          </cell>
          <cell r="F1002">
            <v>1.0344251149999999</v>
          </cell>
          <cell r="G1002">
            <v>51</v>
          </cell>
          <cell r="H1002">
            <v>77005441</v>
          </cell>
          <cell r="I1002" t="str">
            <v>SPHC-P</v>
          </cell>
          <cell r="J1002" t="str">
            <v>STAY</v>
          </cell>
          <cell r="K1002" t="str">
            <v>1A8330-61370</v>
          </cell>
          <cell r="L1002" t="str">
            <v>SA(YANMAR)</v>
          </cell>
          <cell r="M1002" t="str">
            <v>SPHC-P</v>
          </cell>
          <cell r="N1002" t="str">
            <v>STAY</v>
          </cell>
          <cell r="O1002" t="str">
            <v>1A8330-61370</v>
          </cell>
          <cell r="P1002" t="str">
            <v>SA(YANMAR)</v>
          </cell>
          <cell r="Q1002" t="str">
            <v>epc</v>
          </cell>
        </row>
        <row r="1003">
          <cell r="A1003" t="str">
            <v>73019569-8</v>
          </cell>
          <cell r="B1003" t="str">
            <v>2.3 x 52+/-0.5 x 1219</v>
          </cell>
          <cell r="C1003">
            <v>2.2999999999999998</v>
          </cell>
          <cell r="D1003">
            <v>52</v>
          </cell>
          <cell r="E1003">
            <v>1219</v>
          </cell>
          <cell r="F1003">
            <v>1.1444703399999998</v>
          </cell>
          <cell r="G1003">
            <v>56</v>
          </cell>
          <cell r="H1003">
            <v>77005443</v>
          </cell>
          <cell r="I1003" t="str">
            <v>SPHC-P</v>
          </cell>
          <cell r="J1003" t="str">
            <v>STAY</v>
          </cell>
          <cell r="K1003" t="str">
            <v>1A8330-61340</v>
          </cell>
          <cell r="L1003" t="str">
            <v>SA(YANMAR)</v>
          </cell>
          <cell r="M1003" t="str">
            <v>SPHC-P</v>
          </cell>
          <cell r="N1003" t="str">
            <v>STAY</v>
          </cell>
          <cell r="O1003" t="str">
            <v>1A8330-61340</v>
          </cell>
          <cell r="P1003" t="str">
            <v>SA(YANMAR)</v>
          </cell>
          <cell r="Q1003" t="str">
            <v>epc</v>
          </cell>
        </row>
        <row r="1004">
          <cell r="A1004" t="str">
            <v>73021307-1</v>
          </cell>
          <cell r="B1004" t="str">
            <v>3.2 x 256+/-0.5 x 1219</v>
          </cell>
          <cell r="C1004">
            <v>3.2</v>
          </cell>
          <cell r="D1004">
            <v>256</v>
          </cell>
          <cell r="E1004">
            <v>1219</v>
          </cell>
          <cell r="F1004">
            <v>7.8390476799999993</v>
          </cell>
          <cell r="G1004">
            <v>7</v>
          </cell>
          <cell r="H1004">
            <v>77005496</v>
          </cell>
          <cell r="I1004" t="str">
            <v>SPHC-P</v>
          </cell>
          <cell r="J1004" t="str">
            <v>PLATE HINGE</v>
          </cell>
          <cell r="K1004" t="str">
            <v>1A8330-61311</v>
          </cell>
          <cell r="L1004" t="str">
            <v>SA(YANMAR)</v>
          </cell>
          <cell r="M1004" t="str">
            <v>SPHC-P</v>
          </cell>
          <cell r="N1004" t="str">
            <v>PLATE HINGE</v>
          </cell>
          <cell r="O1004" t="str">
            <v>1A8330-61311</v>
          </cell>
          <cell r="P1004" t="str">
            <v>SA(YANMAR)</v>
          </cell>
          <cell r="Q1004" t="str">
            <v>epc</v>
          </cell>
          <cell r="R1004">
            <v>50</v>
          </cell>
        </row>
        <row r="1005">
          <cell r="A1005" t="str">
            <v>73021307-3</v>
          </cell>
          <cell r="B1005" t="str">
            <v>3.2 x 107+/-0.5 x 1219</v>
          </cell>
          <cell r="C1005">
            <v>3.2</v>
          </cell>
          <cell r="D1005">
            <v>107</v>
          </cell>
          <cell r="E1005">
            <v>1219</v>
          </cell>
          <cell r="F1005">
            <v>3.2764769600000001</v>
          </cell>
          <cell r="G1005">
            <v>40</v>
          </cell>
          <cell r="H1005">
            <v>77005477</v>
          </cell>
          <cell r="I1005" t="str">
            <v>SPHC-P</v>
          </cell>
          <cell r="J1005" t="str">
            <v>PLATE SUPPORT</v>
          </cell>
          <cell r="K1005" t="str">
            <v>1A8330-61330</v>
          </cell>
          <cell r="L1005" t="str">
            <v>SA(YANMAR)</v>
          </cell>
          <cell r="M1005" t="str">
            <v>SPHC-P</v>
          </cell>
          <cell r="N1005" t="str">
            <v>PLATE SUPPORT</v>
          </cell>
          <cell r="O1005" t="str">
            <v>1A8330-61330</v>
          </cell>
          <cell r="P1005" t="str">
            <v>SA(YANMAR)</v>
          </cell>
          <cell r="Q1005" t="str">
            <v>epc</v>
          </cell>
        </row>
        <row r="1006">
          <cell r="A1006" t="str">
            <v>73021307-6</v>
          </cell>
          <cell r="B1006" t="str">
            <v>2.3 x 47+/-0.5 x 1219</v>
          </cell>
          <cell r="C1006">
            <v>2.2999999999999998</v>
          </cell>
          <cell r="D1006">
            <v>47</v>
          </cell>
          <cell r="E1006">
            <v>1219</v>
          </cell>
          <cell r="F1006">
            <v>1.0344251149999999</v>
          </cell>
          <cell r="G1006">
            <v>51</v>
          </cell>
          <cell r="H1006">
            <v>77005441</v>
          </cell>
          <cell r="I1006" t="str">
            <v>SPHC-P</v>
          </cell>
          <cell r="J1006" t="str">
            <v>STAY</v>
          </cell>
          <cell r="K1006" t="str">
            <v>1A8330-61370</v>
          </cell>
          <cell r="L1006" t="str">
            <v>SA(YANMAR)</v>
          </cell>
          <cell r="M1006" t="str">
            <v>SPHC-P</v>
          </cell>
          <cell r="N1006" t="str">
            <v>STAY</v>
          </cell>
          <cell r="O1006" t="str">
            <v>1A8330-61370</v>
          </cell>
          <cell r="P1006" t="str">
            <v>SA(YANMAR)</v>
          </cell>
          <cell r="Q1006" t="str">
            <v>epc</v>
          </cell>
        </row>
        <row r="1007">
          <cell r="A1007" t="str">
            <v>73021307-8</v>
          </cell>
          <cell r="B1007" t="str">
            <v>2.3 x 52+/-0.5 x 1219</v>
          </cell>
          <cell r="C1007">
            <v>2.2999999999999998</v>
          </cell>
          <cell r="D1007">
            <v>52</v>
          </cell>
          <cell r="E1007">
            <v>1219</v>
          </cell>
          <cell r="F1007">
            <v>1.1444703399999998</v>
          </cell>
          <cell r="G1007">
            <v>56</v>
          </cell>
          <cell r="H1007">
            <v>77005443</v>
          </cell>
          <cell r="I1007" t="str">
            <v>SPHC-P</v>
          </cell>
          <cell r="J1007" t="str">
            <v>STAY</v>
          </cell>
          <cell r="K1007" t="str">
            <v>1A8330-61340</v>
          </cell>
          <cell r="L1007" t="str">
            <v>SA(YANMAR)</v>
          </cell>
          <cell r="M1007" t="str">
            <v>SPHC-P</v>
          </cell>
          <cell r="N1007" t="str">
            <v>STAY</v>
          </cell>
          <cell r="O1007" t="str">
            <v>1A8330-61340</v>
          </cell>
          <cell r="P1007" t="str">
            <v>SA(YANMAR)</v>
          </cell>
          <cell r="Q1007" t="str">
            <v>epc</v>
          </cell>
        </row>
        <row r="1008">
          <cell r="A1008">
            <v>73017327</v>
          </cell>
          <cell r="B1008" t="str">
            <v>5.0 x 188+/-0.5 x 1219</v>
          </cell>
          <cell r="C1008">
            <v>5</v>
          </cell>
          <cell r="D1008">
            <v>188</v>
          </cell>
          <cell r="E1008">
            <v>1219</v>
          </cell>
          <cell r="F1008">
            <v>8.9950010000000002</v>
          </cell>
          <cell r="G1008">
            <v>14</v>
          </cell>
          <cell r="H1008">
            <v>77005531</v>
          </cell>
          <cell r="I1008" t="str">
            <v>SPHC-P/O</v>
          </cell>
          <cell r="J1008" t="str">
            <v>PLATE PILL FOOTREST L.</v>
          </cell>
          <cell r="K1008">
            <v>10023445</v>
          </cell>
          <cell r="L1008" t="str">
            <v>XC601</v>
          </cell>
          <cell r="M1008" t="str">
            <v>SPHC-P/O</v>
          </cell>
          <cell r="N1008" t="str">
            <v>PLATE PILL FOOTREST L.</v>
          </cell>
          <cell r="O1008">
            <v>10023445</v>
          </cell>
          <cell r="P1008" t="str">
            <v>XC601</v>
          </cell>
          <cell r="Q1008" t="str">
            <v>tsi</v>
          </cell>
          <cell r="R1008">
            <v>50</v>
          </cell>
        </row>
        <row r="1009">
          <cell r="A1009">
            <v>30035147</v>
          </cell>
          <cell r="B1009" t="str">
            <v>1.6 x 60+/-0.5 x 325+/-0.5</v>
          </cell>
          <cell r="C1009">
            <v>1.6</v>
          </cell>
          <cell r="D1009">
            <v>60</v>
          </cell>
          <cell r="E1009">
            <v>325</v>
          </cell>
          <cell r="F1009">
            <v>0.24492</v>
          </cell>
          <cell r="G1009">
            <v>1</v>
          </cell>
          <cell r="H1009">
            <v>77005278</v>
          </cell>
          <cell r="I1009" t="str">
            <v>SPCC-SD</v>
          </cell>
          <cell r="J1009" t="str">
            <v>BRACKET COVER TOP 1</v>
          </cell>
          <cell r="K1009" t="str">
            <v>1W071-4176-10-02</v>
          </cell>
          <cell r="L1009" t="str">
            <v>E13</v>
          </cell>
          <cell r="M1009" t="str">
            <v>SPCC-SD</v>
          </cell>
          <cell r="N1009" t="str">
            <v>BRACKET COVER TOP 1</v>
          </cell>
          <cell r="O1009" t="str">
            <v>1W071-4176-10-02</v>
          </cell>
          <cell r="P1009" t="str">
            <v>E13</v>
          </cell>
          <cell r="Q1009" t="str">
            <v>tsi</v>
          </cell>
          <cell r="R1009">
            <v>1000</v>
          </cell>
        </row>
        <row r="1010">
          <cell r="A1010" t="str">
            <v>30035316-1</v>
          </cell>
          <cell r="B1010" t="str">
            <v>2.6 x 265+/-0.5 x 1219 โก่ง 2 มม./เน้นเรียบ</v>
          </cell>
          <cell r="C1010">
            <v>2.6</v>
          </cell>
          <cell r="D1010">
            <v>265</v>
          </cell>
          <cell r="E1010">
            <v>1219</v>
          </cell>
          <cell r="F1010">
            <v>6.5931443499999993</v>
          </cell>
          <cell r="G1010">
            <v>14</v>
          </cell>
          <cell r="H1010">
            <v>77005458</v>
          </cell>
          <cell r="I1010" t="str">
            <v>SPHC-P/O</v>
          </cell>
          <cell r="J1010" t="str">
            <v>PLATE PILL RIDER HANDLE</v>
          </cell>
          <cell r="K1010">
            <v>20031319</v>
          </cell>
          <cell r="L1010">
            <v>0</v>
          </cell>
          <cell r="M1010" t="str">
            <v>SPHC-P/O</v>
          </cell>
          <cell r="N1010" t="str">
            <v>PLATE PILL RIDER HANDLE</v>
          </cell>
          <cell r="O1010">
            <v>20031319</v>
          </cell>
          <cell r="P1010">
            <v>0</v>
          </cell>
          <cell r="Q1010" t="str">
            <v>tsi</v>
          </cell>
        </row>
        <row r="1011">
          <cell r="A1011">
            <v>30040909</v>
          </cell>
          <cell r="B1011" t="str">
            <v>เหรียญ Blank Cover Comp Fan OD 139 (Spcen 0.7)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82</v>
          </cell>
          <cell r="I1011" t="str">
            <v>SPCEN-SD</v>
          </cell>
          <cell r="J1011" t="str">
            <v>CLIP B FUEL HOSE</v>
          </cell>
          <cell r="K1011" t="str">
            <v>50122-MF2-3000</v>
          </cell>
          <cell r="L1011" t="str">
            <v>K0WF</v>
          </cell>
          <cell r="M1011" t="str">
            <v>SPCEN-SD</v>
          </cell>
          <cell r="N1011" t="str">
            <v>CLIP B FUEL HOSE</v>
          </cell>
          <cell r="O1011" t="str">
            <v>50122-MF2-3000</v>
          </cell>
          <cell r="P1011" t="str">
            <v>K0WF</v>
          </cell>
          <cell r="Q1011" t="str">
            <v>tsgp3</v>
          </cell>
        </row>
        <row r="1012">
          <cell r="A1012">
            <v>30035698</v>
          </cell>
          <cell r="B1012" t="str">
            <v>เหรียญ Blank Cover Comp Fan OD 139 (Spcen 0.7)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19</v>
          </cell>
          <cell r="I1012" t="str">
            <v>SPCEN-SD</v>
          </cell>
          <cell r="J1012" t="str">
            <v>CLIP B FUEL HOSE</v>
          </cell>
          <cell r="K1012" t="str">
            <v>50122-MF2-3000</v>
          </cell>
          <cell r="L1012" t="str">
            <v>MF2</v>
          </cell>
          <cell r="M1012" t="str">
            <v>SPCEN-SD</v>
          </cell>
          <cell r="N1012" t="str">
            <v>CLIP B FUEL HOSE</v>
          </cell>
          <cell r="O1012" t="str">
            <v>50122-MF2-3000</v>
          </cell>
          <cell r="P1012" t="str">
            <v>MF2</v>
          </cell>
          <cell r="Q1012" t="str">
            <v>tsgp3</v>
          </cell>
        </row>
        <row r="1013">
          <cell r="A1013">
            <v>30040247</v>
          </cell>
          <cell r="B1013" t="str">
            <v>1.4 x 58+/-0.5 x 1219</v>
          </cell>
          <cell r="C1013">
            <v>1.4</v>
          </cell>
          <cell r="D1013">
            <v>58</v>
          </cell>
          <cell r="E1013">
            <v>1219</v>
          </cell>
          <cell r="F1013">
            <v>0.77701497999999991</v>
          </cell>
          <cell r="G1013">
            <v>50</v>
          </cell>
          <cell r="H1013">
            <v>77005316</v>
          </cell>
          <cell r="I1013" t="str">
            <v>SPHC-P/O</v>
          </cell>
          <cell r="J1013" t="str">
            <v>PLATE IGNITION COIL RR SPOT M.6</v>
          </cell>
          <cell r="K1013" t="str">
            <v>41289-45H00</v>
          </cell>
          <cell r="L1013" t="str">
            <v>XC601</v>
          </cell>
          <cell r="M1013" t="str">
            <v>SPHC-P/O</v>
          </cell>
          <cell r="N1013" t="str">
            <v>PLATE IGNITION COIL RR SPOT M.6</v>
          </cell>
          <cell r="O1013" t="str">
            <v>41289-45H00</v>
          </cell>
          <cell r="P1013" t="str">
            <v>XC601</v>
          </cell>
          <cell r="Q1013" t="str">
            <v>tsi</v>
          </cell>
        </row>
        <row r="1014">
          <cell r="A1014" t="str">
            <v>PIPE PIPE</v>
          </cell>
        </row>
        <row r="1015">
          <cell r="A1015" t="str">
            <v>PIPE TSGP</v>
          </cell>
          <cell r="B1015" t="str">
            <v>Honda Trading</v>
          </cell>
        </row>
        <row r="1016">
          <cell r="B1016" t="str">
            <v>Ø 31.8 x 2.0 x 6770</v>
          </cell>
          <cell r="H1016">
            <v>77003092</v>
          </cell>
          <cell r="I1016" t="str">
            <v>HSSTS590H (IBC)</v>
          </cell>
          <cell r="J1016" t="str">
            <v>PIPE, L DOWN</v>
          </cell>
          <cell r="K1016" t="str">
            <v>30041301 30041302</v>
          </cell>
          <cell r="L1016" t="str">
            <v>MLAA</v>
          </cell>
          <cell r="M1016" t="str">
            <v>HSSTS590H (IBC)</v>
          </cell>
          <cell r="N1016" t="str">
            <v>PIPE, L DOWN</v>
          </cell>
          <cell r="O1016" t="str">
            <v>30041301 30041302</v>
          </cell>
          <cell r="P1016" t="str">
            <v>MLAA</v>
          </cell>
          <cell r="R1016">
            <v>100</v>
          </cell>
        </row>
        <row r="1017">
          <cell r="B1017" t="str">
            <v>Ø 31.8 x 1.0 x 4000</v>
          </cell>
          <cell r="H1017">
            <v>77003950</v>
          </cell>
          <cell r="I1017" t="str">
            <v>STAM290GA (IBC)</v>
          </cell>
          <cell r="J1017" t="str">
            <v>SLEEVE</v>
          </cell>
          <cell r="K1017">
            <v>30040694</v>
          </cell>
          <cell r="L1017" t="str">
            <v>K2EF</v>
          </cell>
          <cell r="M1017" t="str">
            <v>STAM290GA (IBC)</v>
          </cell>
          <cell r="N1017" t="str">
            <v>SLEEVE</v>
          </cell>
          <cell r="O1017">
            <v>30040694</v>
          </cell>
          <cell r="P1017" t="str">
            <v>K2EF</v>
          </cell>
        </row>
        <row r="1018">
          <cell r="B1018" t="str">
            <v>Ø 25.4 x 2.0 x 1151</v>
          </cell>
          <cell r="H1018">
            <v>77004843</v>
          </cell>
          <cell r="I1018" t="str">
            <v>STAM390G (IBC)</v>
          </cell>
          <cell r="J1018" t="str">
            <v>PIPE</v>
          </cell>
          <cell r="K1018">
            <v>30048096</v>
          </cell>
          <cell r="L1018" t="str">
            <v>K0WM</v>
          </cell>
          <cell r="M1018" t="str">
            <v>STAM390G (IBC)</v>
          </cell>
          <cell r="N1018" t="str">
            <v>PIPE</v>
          </cell>
          <cell r="O1018">
            <v>30048096</v>
          </cell>
          <cell r="P1018" t="str">
            <v>K0WM</v>
          </cell>
        </row>
        <row r="1019">
          <cell r="B1019" t="str">
            <v>Ø 28.6 x 1.4 x 6100</v>
          </cell>
          <cell r="H1019">
            <v>77003966</v>
          </cell>
          <cell r="I1019" t="str">
            <v>STAM390G</v>
          </cell>
          <cell r="J1019" t="str">
            <v>PIPE, MAIN LOWER</v>
          </cell>
          <cell r="K1019">
            <v>0</v>
          </cell>
          <cell r="L1019" t="str">
            <v>K1BG</v>
          </cell>
          <cell r="M1019" t="str">
            <v>STAM390G</v>
          </cell>
          <cell r="N1019" t="str">
            <v>PIPE, MAIN LOWER</v>
          </cell>
          <cell r="O1019">
            <v>0</v>
          </cell>
          <cell r="P1019" t="str">
            <v>K1BG</v>
          </cell>
        </row>
        <row r="1020">
          <cell r="A1020" t="str">
            <v>30048216/30048217</v>
          </cell>
          <cell r="B1020" t="str">
            <v>Ø 40 x 20 x 1.6 x 5165</v>
          </cell>
          <cell r="H1020">
            <v>77004868</v>
          </cell>
          <cell r="I1020" t="str">
            <v>STKM11A (N-IBC)</v>
          </cell>
          <cell r="J1020" t="str">
            <v>PIPE R/L SWG ASSY</v>
          </cell>
          <cell r="K1020" t="str">
            <v>52121-K3GA-7100-H1-01</v>
          </cell>
          <cell r="L1020" t="str">
            <v>K3GA</v>
          </cell>
          <cell r="M1020" t="str">
            <v>STKM11A (N-IBC)</v>
          </cell>
          <cell r="N1020" t="str">
            <v>PIPE R/L SWG ASSY</v>
          </cell>
          <cell r="O1020" t="str">
            <v>52121-K3GA-7100-H1-01</v>
          </cell>
          <cell r="P1020" t="str">
            <v>K3GA</v>
          </cell>
          <cell r="R1020">
            <v>91</v>
          </cell>
        </row>
        <row r="1021">
          <cell r="A1021" t="str">
            <v>30048197/30048198</v>
          </cell>
          <cell r="B1021" t="str">
            <v>Ø 40 x 20 x 1.6 x 5935</v>
          </cell>
          <cell r="H1021">
            <v>77004869</v>
          </cell>
          <cell r="I1021" t="str">
            <v>STKM290GA (N-IBC)</v>
          </cell>
          <cell r="J1021" t="str">
            <v>PIPE R/L SWG COMP</v>
          </cell>
          <cell r="K1021" t="str">
            <v>52121-K03-6400</v>
          </cell>
          <cell r="L1021" t="str">
            <v>K3FA</v>
          </cell>
          <cell r="M1021" t="str">
            <v>STKM290GA (N-IBC)</v>
          </cell>
          <cell r="N1021" t="str">
            <v>PIPE R/L SWG COMP</v>
          </cell>
          <cell r="O1021" t="str">
            <v>52121-K03-6400</v>
          </cell>
          <cell r="P1021" t="str">
            <v>K3FA</v>
          </cell>
          <cell r="R1021">
            <v>91</v>
          </cell>
        </row>
        <row r="1022">
          <cell r="A1022" t="str">
            <v>PIPE TSGP</v>
          </cell>
          <cell r="B1022" t="str">
            <v>NSPT</v>
          </cell>
        </row>
        <row r="1023">
          <cell r="A1023">
            <v>30033376</v>
          </cell>
          <cell r="B1023" t="str">
            <v>Ø 31.8 x 3.0 x 284</v>
          </cell>
          <cell r="C1023">
            <v>31.8</v>
          </cell>
          <cell r="D1023">
            <v>3</v>
          </cell>
          <cell r="E1023">
            <v>284</v>
          </cell>
          <cell r="H1023">
            <v>77002455</v>
          </cell>
          <cell r="I1023" t="str">
            <v>STKM11A (IBC) OD</v>
          </cell>
          <cell r="J1023" t="str">
            <v>PIPE-CROSS LOWER</v>
          </cell>
          <cell r="K1023" t="str">
            <v>32155-2490(9246)</v>
          </cell>
          <cell r="L1023" t="str">
            <v>KAWA BR125A</v>
          </cell>
          <cell r="M1023" t="str">
            <v>STKM11A (IBC) OD</v>
          </cell>
          <cell r="N1023" t="str">
            <v>PIPE-CROSS LOWER</v>
          </cell>
          <cell r="O1023" t="str">
            <v>32155-2490(9246)</v>
          </cell>
          <cell r="P1023" t="str">
            <v>KAWA BR125A</v>
          </cell>
          <cell r="Q1023" t="str">
            <v>np</v>
          </cell>
          <cell r="R1023">
            <v>400</v>
          </cell>
        </row>
        <row r="1024">
          <cell r="A1024">
            <v>73017268</v>
          </cell>
          <cell r="B1024" t="str">
            <v>Ø 38.1 x 2.3 x 6000</v>
          </cell>
          <cell r="C1024">
            <v>38.1</v>
          </cell>
          <cell r="D1024">
            <v>2.2999999999999998</v>
          </cell>
          <cell r="E1024">
            <v>6000</v>
          </cell>
          <cell r="G1024">
            <v>24</v>
          </cell>
          <cell r="H1024">
            <v>77002498</v>
          </cell>
          <cell r="I1024" t="str">
            <v>STKM-HTB60 (IBC) OD20</v>
          </cell>
          <cell r="J1024" t="str">
            <v>PIPE SUB CROSS</v>
          </cell>
          <cell r="K1024" t="str">
            <v>32155-2287(3478)</v>
          </cell>
          <cell r="L1024">
            <v>3478</v>
          </cell>
          <cell r="M1024" t="str">
            <v>STKM-HTB60 (IBC) OD20</v>
          </cell>
          <cell r="N1024" t="str">
            <v>PIPE SUB CROSS</v>
          </cell>
          <cell r="O1024" t="str">
            <v>32155-2287(3478)</v>
          </cell>
          <cell r="P1024">
            <v>3478</v>
          </cell>
          <cell r="Q1024" t="str">
            <v>np</v>
          </cell>
          <cell r="R1024">
            <v>50</v>
          </cell>
        </row>
        <row r="1025">
          <cell r="A1025">
            <v>30032183</v>
          </cell>
          <cell r="B1025" t="str">
            <v>Ø 38.1 x 2.3 x 6000</v>
          </cell>
          <cell r="C1025">
            <v>38.1</v>
          </cell>
          <cell r="D1025">
            <v>2.2999999999999998</v>
          </cell>
          <cell r="E1025">
            <v>6000</v>
          </cell>
          <cell r="G1025">
            <v>24</v>
          </cell>
          <cell r="H1025">
            <v>77002498</v>
          </cell>
          <cell r="I1025" t="str">
            <v>STKM-HTB60 (IBC) OD20</v>
          </cell>
          <cell r="J1025" t="str">
            <v>PIPE SUB CROSS</v>
          </cell>
          <cell r="K1025" t="str">
            <v>32155-2287(3478)</v>
          </cell>
          <cell r="L1025">
            <v>3478</v>
          </cell>
          <cell r="M1025" t="str">
            <v>STKM-HTB60 (IBC) OD20</v>
          </cell>
          <cell r="N1025" t="str">
            <v>PIPE SUB CROSS</v>
          </cell>
          <cell r="O1025" t="str">
            <v>32155-2287(3478)</v>
          </cell>
          <cell r="P1025">
            <v>3478</v>
          </cell>
          <cell r="Q1025" t="str">
            <v>np</v>
          </cell>
          <cell r="R1025">
            <v>50</v>
          </cell>
        </row>
        <row r="1026">
          <cell r="A1026" t="str">
            <v>30032183/73017268</v>
          </cell>
          <cell r="B1026" t="str">
            <v>Ø 38.1 x 2.3 x 6000</v>
          </cell>
          <cell r="C1026">
            <v>38.1</v>
          </cell>
          <cell r="D1026">
            <v>2.2999999999999998</v>
          </cell>
          <cell r="E1026">
            <v>6000</v>
          </cell>
          <cell r="G1026">
            <v>24</v>
          </cell>
          <cell r="H1026">
            <v>77002498</v>
          </cell>
          <cell r="I1026" t="str">
            <v>STKM-HTB60 (IBC) OD20</v>
          </cell>
          <cell r="J1026" t="str">
            <v>PIPE SUB CROSS</v>
          </cell>
          <cell r="K1026" t="str">
            <v>32155-2287(3478)</v>
          </cell>
          <cell r="L1026">
            <v>3478</v>
          </cell>
          <cell r="M1026" t="str">
            <v>STKM-HTB60 (IBC) OD20</v>
          </cell>
          <cell r="N1026" t="str">
            <v>PIPE SUB CROSS</v>
          </cell>
          <cell r="O1026" t="str">
            <v>32155-2287(3478)</v>
          </cell>
          <cell r="P1026">
            <v>3478</v>
          </cell>
          <cell r="Q1026" t="str">
            <v>np</v>
          </cell>
          <cell r="R1026">
            <v>50</v>
          </cell>
        </row>
        <row r="1027">
          <cell r="A1027">
            <v>73017267</v>
          </cell>
          <cell r="B1027" t="str">
            <v>Ø 28.6 x 1.6 x 6000</v>
          </cell>
          <cell r="C1027">
            <v>28.6</v>
          </cell>
          <cell r="D1027">
            <v>1.6</v>
          </cell>
          <cell r="E1027">
            <v>6000</v>
          </cell>
          <cell r="G1027">
            <v>23</v>
          </cell>
          <cell r="H1027">
            <v>77002499</v>
          </cell>
          <cell r="I1027" t="str">
            <v>STKM-HTB60 (IBC)</v>
          </cell>
          <cell r="J1027" t="str">
            <v>PIPE LOWER CROSS</v>
          </cell>
          <cell r="K1027" t="str">
            <v>32155-2290(3478)</v>
          </cell>
          <cell r="L1027">
            <v>3478</v>
          </cell>
          <cell r="M1027" t="str">
            <v>STKM-HTB60 (IBC)</v>
          </cell>
          <cell r="N1027" t="str">
            <v>PIPE LOWER CROSS</v>
          </cell>
          <cell r="O1027" t="str">
            <v>32155-2290(3478)</v>
          </cell>
          <cell r="P1027">
            <v>3478</v>
          </cell>
          <cell r="Q1027" t="str">
            <v>np</v>
          </cell>
          <cell r="R1027">
            <v>100</v>
          </cell>
        </row>
        <row r="1028">
          <cell r="A1028">
            <v>30032186</v>
          </cell>
          <cell r="B1028" t="str">
            <v>Ø 28.6 x 1.6 x 6000</v>
          </cell>
          <cell r="C1028">
            <v>28.6</v>
          </cell>
          <cell r="D1028">
            <v>1.6</v>
          </cell>
          <cell r="E1028">
            <v>6000</v>
          </cell>
          <cell r="G1028">
            <v>23</v>
          </cell>
          <cell r="H1028">
            <v>77002499</v>
          </cell>
          <cell r="I1028" t="str">
            <v>STKM-HTB60 (IBC)</v>
          </cell>
          <cell r="J1028" t="str">
            <v>PIPE LOWER CROSS</v>
          </cell>
          <cell r="K1028" t="str">
            <v>32155-2290(3478)</v>
          </cell>
          <cell r="L1028">
            <v>3478</v>
          </cell>
          <cell r="M1028" t="str">
            <v>STKM-HTB60 (IBC)</v>
          </cell>
          <cell r="N1028" t="str">
            <v>PIPE LOWER CROSS</v>
          </cell>
          <cell r="O1028" t="str">
            <v>32155-2290(3478)</v>
          </cell>
          <cell r="P1028">
            <v>3478</v>
          </cell>
          <cell r="Q1028" t="str">
            <v>np</v>
          </cell>
          <cell r="R1028">
            <v>100</v>
          </cell>
        </row>
        <row r="1029">
          <cell r="A1029" t="str">
            <v>30032186/73017267</v>
          </cell>
          <cell r="B1029" t="str">
            <v>Ø 28.6 x 1.6 x 6000</v>
          </cell>
          <cell r="C1029">
            <v>28.6</v>
          </cell>
          <cell r="D1029">
            <v>1.6</v>
          </cell>
          <cell r="E1029">
            <v>6000</v>
          </cell>
          <cell r="G1029">
            <v>23</v>
          </cell>
          <cell r="H1029">
            <v>77002499</v>
          </cell>
          <cell r="I1029" t="str">
            <v>STKM-HTB60 (IBC)</v>
          </cell>
          <cell r="J1029" t="str">
            <v>PIPE LOWER CROSS</v>
          </cell>
          <cell r="K1029" t="str">
            <v>32155-2290(3478)</v>
          </cell>
          <cell r="L1029">
            <v>3478</v>
          </cell>
          <cell r="M1029" t="str">
            <v>STKM-HTB60 (IBC)</v>
          </cell>
          <cell r="N1029" t="str">
            <v>PIPE LOWER CROSS</v>
          </cell>
          <cell r="O1029" t="str">
            <v>32155-2290(3478)</v>
          </cell>
          <cell r="P1029">
            <v>3478</v>
          </cell>
          <cell r="Q1029" t="str">
            <v>np</v>
          </cell>
          <cell r="R1029">
            <v>100</v>
          </cell>
        </row>
        <row r="1030">
          <cell r="A1030">
            <v>30032573</v>
          </cell>
          <cell r="B1030" t="str">
            <v>Ø 38.1 x 2.0 x 6000</v>
          </cell>
          <cell r="C1030">
            <v>38.1</v>
          </cell>
          <cell r="D1030">
            <v>2</v>
          </cell>
          <cell r="E1030">
            <v>6000</v>
          </cell>
          <cell r="G1030">
            <v>17</v>
          </cell>
          <cell r="H1030">
            <v>77002504</v>
          </cell>
          <cell r="I1030" t="str">
            <v>STKM-HTB60 (IBC)</v>
          </cell>
          <cell r="J1030" t="str">
            <v>PIPE (32155-2336)(8098)</v>
          </cell>
          <cell r="K1030" t="str">
            <v>32155-2336</v>
          </cell>
          <cell r="L1030">
            <v>8098</v>
          </cell>
          <cell r="M1030" t="str">
            <v>STKM-HTB60 (IBC)</v>
          </cell>
          <cell r="N1030" t="str">
            <v>PIPE (32155-2336)(8098)</v>
          </cell>
          <cell r="O1030" t="str">
            <v>32155-2336</v>
          </cell>
          <cell r="P1030">
            <v>8098</v>
          </cell>
          <cell r="Q1030" t="str">
            <v>np</v>
          </cell>
          <cell r="R1030">
            <v>50</v>
          </cell>
        </row>
        <row r="1031">
          <cell r="A1031">
            <v>73017258</v>
          </cell>
          <cell r="B1031" t="str">
            <v>Ø 38.1 x 2.0 x 6000</v>
          </cell>
          <cell r="C1031">
            <v>38.1</v>
          </cell>
          <cell r="D1031">
            <v>2</v>
          </cell>
          <cell r="E1031">
            <v>6000</v>
          </cell>
          <cell r="G1031">
            <v>17</v>
          </cell>
          <cell r="H1031">
            <v>77002504</v>
          </cell>
          <cell r="I1031" t="str">
            <v>STKM-HTB60 (IBC)</v>
          </cell>
          <cell r="J1031" t="str">
            <v>PIPE (32155-2336)(8098)</v>
          </cell>
          <cell r="K1031" t="str">
            <v>32155-2336</v>
          </cell>
          <cell r="L1031">
            <v>8098</v>
          </cell>
          <cell r="M1031" t="str">
            <v>STKM-HTB60 (IBC)</v>
          </cell>
          <cell r="N1031" t="str">
            <v>PIPE (32155-2336)(8098)</v>
          </cell>
          <cell r="O1031" t="str">
            <v>32155-2336</v>
          </cell>
          <cell r="P1031">
            <v>8098</v>
          </cell>
          <cell r="Q1031" t="str">
            <v>np</v>
          </cell>
          <cell r="R1031">
            <v>50</v>
          </cell>
        </row>
        <row r="1032">
          <cell r="A1032" t="str">
            <v>30032573/73017258</v>
          </cell>
          <cell r="B1032" t="str">
            <v>Ø 38.1 x 2.0 x 6000</v>
          </cell>
          <cell r="C1032">
            <v>38.1</v>
          </cell>
          <cell r="D1032">
            <v>2</v>
          </cell>
          <cell r="E1032">
            <v>6000</v>
          </cell>
          <cell r="G1032">
            <v>17</v>
          </cell>
          <cell r="H1032">
            <v>77002504</v>
          </cell>
          <cell r="I1032" t="str">
            <v>STKM-HTB60 (IBC)</v>
          </cell>
          <cell r="J1032" t="str">
            <v>PIPE (32155-2336)(8098)</v>
          </cell>
          <cell r="K1032" t="str">
            <v>32155-2336</v>
          </cell>
          <cell r="L1032">
            <v>8098</v>
          </cell>
          <cell r="M1032" t="str">
            <v>STKM-HTB60 (IBC)</v>
          </cell>
          <cell r="N1032" t="str">
            <v>PIPE (32155-2336)(8098)</v>
          </cell>
          <cell r="O1032" t="str">
            <v>32155-2336</v>
          </cell>
          <cell r="P1032">
            <v>8098</v>
          </cell>
          <cell r="Q1032" t="str">
            <v>np</v>
          </cell>
          <cell r="R1032">
            <v>50</v>
          </cell>
        </row>
        <row r="1033">
          <cell r="A1033">
            <v>30037347</v>
          </cell>
          <cell r="B1033" t="str">
            <v>Ø 22.2 x 1.6 x 6000</v>
          </cell>
          <cell r="C1033">
            <v>22.2</v>
          </cell>
          <cell r="D1033">
            <v>1.6</v>
          </cell>
          <cell r="E1033">
            <v>6000</v>
          </cell>
          <cell r="G1033">
            <v>17</v>
          </cell>
          <cell r="H1033">
            <v>77003707</v>
          </cell>
          <cell r="I1033" t="str">
            <v>STKM-HTB60 (IBC)</v>
          </cell>
          <cell r="J1033" t="str">
            <v>PIPE</v>
          </cell>
          <cell r="K1033" t="str">
            <v>32155-0159</v>
          </cell>
          <cell r="M1033" t="str">
            <v>STKM-HTB60 (IBC)</v>
          </cell>
          <cell r="N1033" t="str">
            <v>PIPE</v>
          </cell>
          <cell r="O1033" t="str">
            <v>32155-0159</v>
          </cell>
          <cell r="Q1033" t="str">
            <v>np</v>
          </cell>
          <cell r="R1033">
            <v>50</v>
          </cell>
        </row>
        <row r="1034">
          <cell r="A1034">
            <v>30037646</v>
          </cell>
          <cell r="B1034" t="str">
            <v>Ø 22.2 x 1.6 x 6000</v>
          </cell>
          <cell r="C1034">
            <v>22.2</v>
          </cell>
          <cell r="D1034">
            <v>1.6</v>
          </cell>
          <cell r="E1034">
            <v>6000</v>
          </cell>
          <cell r="G1034">
            <v>17</v>
          </cell>
          <cell r="H1034">
            <v>77003707</v>
          </cell>
          <cell r="I1034" t="str">
            <v>STKM-HTB60 (IBC)</v>
          </cell>
          <cell r="J1034" t="str">
            <v>PIPE ( CUT 300 MM.)</v>
          </cell>
          <cell r="K1034" t="str">
            <v>32155-0158</v>
          </cell>
          <cell r="L1034" t="str">
            <v>LX250</v>
          </cell>
          <cell r="M1034" t="str">
            <v>STKM-HTB60 (IBC)</v>
          </cell>
          <cell r="N1034" t="str">
            <v>PIPE ( CUT 300 MM.)</v>
          </cell>
          <cell r="O1034" t="str">
            <v>32155-0158</v>
          </cell>
          <cell r="P1034" t="str">
            <v>LX250</v>
          </cell>
          <cell r="Q1034" t="str">
            <v>np</v>
          </cell>
          <cell r="R1034">
            <v>50</v>
          </cell>
        </row>
        <row r="1035">
          <cell r="A1035">
            <v>30037647</v>
          </cell>
          <cell r="B1035" t="str">
            <v>Ø 22.2 x 1.6 x 6000</v>
          </cell>
          <cell r="C1035">
            <v>22.2</v>
          </cell>
          <cell r="D1035">
            <v>1.6</v>
          </cell>
          <cell r="E1035">
            <v>6000</v>
          </cell>
          <cell r="G1035">
            <v>17</v>
          </cell>
          <cell r="H1035">
            <v>77003707</v>
          </cell>
          <cell r="I1035" t="str">
            <v>STKM-HTB60 (IBC)</v>
          </cell>
          <cell r="J1035" t="str">
            <v>PIPE ( CUT 350 MM.)</v>
          </cell>
          <cell r="K1035" t="str">
            <v>32155-0159</v>
          </cell>
          <cell r="L1035" t="str">
            <v>LX250</v>
          </cell>
          <cell r="M1035" t="str">
            <v>STKM-HTB60 (IBC)</v>
          </cell>
          <cell r="N1035" t="str">
            <v>PIPE ( CUT 350 MM.)</v>
          </cell>
          <cell r="O1035" t="str">
            <v>32155-0159</v>
          </cell>
          <cell r="P1035" t="str">
            <v>LX250</v>
          </cell>
          <cell r="Q1035" t="str">
            <v>np</v>
          </cell>
          <cell r="R1035">
            <v>50</v>
          </cell>
        </row>
        <row r="1036">
          <cell r="A1036">
            <v>30046427</v>
          </cell>
          <cell r="B1036" t="str">
            <v>Ø 25.4 x 2.0 x 6515</v>
          </cell>
          <cell r="C1036">
            <v>25.4</v>
          </cell>
          <cell r="D1036">
            <v>2</v>
          </cell>
          <cell r="E1036">
            <v>6515</v>
          </cell>
          <cell r="H1036">
            <v>77003758</v>
          </cell>
          <cell r="I1036" t="str">
            <v>STKM-HTB60 (IBC)</v>
          </cell>
          <cell r="J1036" t="str">
            <v>PIPE ASS'Y (1767)</v>
          </cell>
          <cell r="K1036" t="str">
            <v>32155-7124-1</v>
          </cell>
          <cell r="L1036" t="str">
            <v>KL650F-C5F5</v>
          </cell>
          <cell r="M1036" t="str">
            <v>STKM-HTB60 (IBC)</v>
          </cell>
          <cell r="N1036" t="str">
            <v>PIPE ASS'Y (1767)</v>
          </cell>
          <cell r="O1036" t="str">
            <v>32155-7124-1</v>
          </cell>
          <cell r="P1036" t="str">
            <v>KL650F-C5F5</v>
          </cell>
          <cell r="Q1036" t="str">
            <v>np</v>
          </cell>
        </row>
        <row r="1037">
          <cell r="A1037" t="str">
            <v>30046427-1</v>
          </cell>
          <cell r="B1037" t="str">
            <v>Ø 25.4 x 2.0 x 6000</v>
          </cell>
          <cell r="C1037">
            <v>25.4</v>
          </cell>
          <cell r="D1037">
            <v>2</v>
          </cell>
          <cell r="E1037">
            <v>6000</v>
          </cell>
          <cell r="H1037">
            <v>77003758</v>
          </cell>
          <cell r="I1037" t="str">
            <v>STKM-HTB60 (IBC)</v>
          </cell>
          <cell r="J1037" t="str">
            <v>PIPE ASS'Y (1767)</v>
          </cell>
          <cell r="K1037" t="str">
            <v>32155-7124-1</v>
          </cell>
          <cell r="L1037" t="str">
            <v>KL650F-C5F5</v>
          </cell>
          <cell r="M1037" t="str">
            <v>STKM-HTB60 (IBC)</v>
          </cell>
          <cell r="N1037" t="str">
            <v>PIPE ASS'Y (1767)</v>
          </cell>
          <cell r="O1037" t="str">
            <v>32155-7124-1</v>
          </cell>
          <cell r="P1037" t="str">
            <v>KL650F-C5F5</v>
          </cell>
          <cell r="Q1037" t="str">
            <v>np</v>
          </cell>
        </row>
        <row r="1038">
          <cell r="A1038" t="str">
            <v>30049888-1</v>
          </cell>
          <cell r="B1038" t="str">
            <v>Ø 17.3 x 1.4 x 373</v>
          </cell>
          <cell r="C1038">
            <v>17.3</v>
          </cell>
          <cell r="D1038">
            <v>1.4</v>
          </cell>
          <cell r="E1038">
            <v>373</v>
          </cell>
          <cell r="H1038">
            <v>77005110</v>
          </cell>
          <cell r="I1038" t="str">
            <v>STAM390GA (IBC)</v>
          </cell>
          <cell r="J1038" t="str">
            <v>PIPE, FR LOWER CROSS</v>
          </cell>
          <cell r="L1038" t="str">
            <v>K3MF</v>
          </cell>
          <cell r="M1038" t="str">
            <v>STAM390GA (IBC)</v>
          </cell>
          <cell r="N1038" t="str">
            <v>PIPE, FR LOWER CROSS</v>
          </cell>
          <cell r="P1038" t="str">
            <v>K3MF</v>
          </cell>
          <cell r="Q1038" t="str">
            <v>np</v>
          </cell>
        </row>
        <row r="1039">
          <cell r="A1039" t="str">
            <v>30049888-1</v>
          </cell>
          <cell r="B1039" t="str">
            <v>Ø 17.3 x 1.4 x 373</v>
          </cell>
          <cell r="C1039">
            <v>17.3</v>
          </cell>
          <cell r="D1039">
            <v>1.4</v>
          </cell>
          <cell r="E1039">
            <v>373</v>
          </cell>
          <cell r="H1039">
            <v>77005110</v>
          </cell>
          <cell r="I1039" t="str">
            <v>STAM390GA (IBC)</v>
          </cell>
          <cell r="J1039" t="str">
            <v>PIPE, FR LOWER CROSS</v>
          </cell>
          <cell r="L1039" t="str">
            <v>K3MF</v>
          </cell>
          <cell r="M1039" t="str">
            <v>STAM390GA (IBC)</v>
          </cell>
          <cell r="N1039" t="str">
            <v>PIPE, FR LOWER CROSS</v>
          </cell>
          <cell r="P1039" t="str">
            <v>K3MF</v>
          </cell>
          <cell r="Q1039" t="str">
            <v>np</v>
          </cell>
        </row>
        <row r="1040">
          <cell r="A1040" t="str">
            <v>73022309-1</v>
          </cell>
          <cell r="B1040" t="str">
            <v>Ø 17.3 x 1.4 x 373</v>
          </cell>
          <cell r="C1040">
            <v>17.3</v>
          </cell>
          <cell r="D1040">
            <v>1.4</v>
          </cell>
          <cell r="E1040">
            <v>373</v>
          </cell>
          <cell r="H1040">
            <v>77005110</v>
          </cell>
          <cell r="I1040" t="str">
            <v>STAM390GA (IBC)</v>
          </cell>
          <cell r="J1040" t="str">
            <v>PIPE, FR LOWER CROSS</v>
          </cell>
          <cell r="L1040" t="str">
            <v>K3MF</v>
          </cell>
          <cell r="M1040" t="str">
            <v>STAM390GA (IBC)</v>
          </cell>
          <cell r="N1040" t="str">
            <v>PIPE, FR LOWER CROSS</v>
          </cell>
          <cell r="P1040" t="str">
            <v>K3MF</v>
          </cell>
          <cell r="Q1040" t="str">
            <v>np</v>
          </cell>
        </row>
        <row r="1041">
          <cell r="A1041" t="str">
            <v>PIPE TSGP</v>
          </cell>
          <cell r="B1041" t="str">
            <v>PSP</v>
          </cell>
        </row>
        <row r="1042">
          <cell r="A1042" t="str">
            <v>30032464/30032465</v>
          </cell>
          <cell r="B1042" t="str">
            <v>Ø 40 x 20 x 1.6 x 6380</v>
          </cell>
          <cell r="H1042">
            <v>77003256</v>
          </cell>
          <cell r="I1042" t="str">
            <v>STKM290GA (N-IBC)</v>
          </cell>
          <cell r="J1042" t="str">
            <v>ARM SUB COMP_1</v>
          </cell>
          <cell r="L1042" t="str">
            <v>1FPG</v>
          </cell>
          <cell r="M1042" t="str">
            <v>STKM290GA (N-IBC)</v>
          </cell>
          <cell r="N1042" t="str">
            <v>ARM SUB COMP_1</v>
          </cell>
          <cell r="P1042" t="str">
            <v>1FPG</v>
          </cell>
          <cell r="R1042">
            <v>91</v>
          </cell>
        </row>
        <row r="1043">
          <cell r="A1043">
            <v>30041279</v>
          </cell>
          <cell r="B1043" t="str">
            <v>Ø 48.6 x 2.0 x 6000</v>
          </cell>
          <cell r="H1043">
            <v>77003607</v>
          </cell>
          <cell r="I1043" t="str">
            <v>STAM290G</v>
          </cell>
          <cell r="J1043" t="str">
            <v>PIPE CROSS ASSY</v>
          </cell>
          <cell r="L1043" t="str">
            <v>MLAA</v>
          </cell>
          <cell r="M1043" t="str">
            <v>STAM290G</v>
          </cell>
          <cell r="N1043" t="str">
            <v>PIPE CROSS ASSY</v>
          </cell>
          <cell r="P1043" t="str">
            <v>MLAA</v>
          </cell>
          <cell r="R1043">
            <v>50</v>
          </cell>
        </row>
        <row r="1044">
          <cell r="A1044">
            <v>30041673</v>
          </cell>
          <cell r="B1044" t="str">
            <v>Ø 60 x 30 x 2.3 x 5610</v>
          </cell>
          <cell r="H1044">
            <v>77003259</v>
          </cell>
          <cell r="I1044" t="str">
            <v>STKM13A</v>
          </cell>
          <cell r="J1044" t="str">
            <v>MEBER CROSS COMP</v>
          </cell>
          <cell r="L1044" t="str">
            <v>K26P</v>
          </cell>
          <cell r="M1044" t="str">
            <v>STKM13A</v>
          </cell>
          <cell r="N1044" t="str">
            <v>MEBER CROSS COMP</v>
          </cell>
          <cell r="P1044" t="str">
            <v>K26P</v>
          </cell>
        </row>
        <row r="1045">
          <cell r="A1045" t="str">
            <v>PIPE TSGP</v>
          </cell>
          <cell r="B1045" t="str">
            <v>EAST</v>
          </cell>
        </row>
        <row r="1046">
          <cell r="A1046" t="str">
            <v>30035337/30035338</v>
          </cell>
          <cell r="B1046" t="str">
            <v>Ø 40 x 20 x 1.6 x 5165</v>
          </cell>
          <cell r="H1046">
            <v>77003250</v>
          </cell>
          <cell r="I1046" t="str">
            <v>STKM290GA (N-IBC)</v>
          </cell>
          <cell r="J1046" t="str">
            <v>PIPE R SWINGARM SUB ASSY</v>
          </cell>
          <cell r="L1046" t="str">
            <v>KPW</v>
          </cell>
          <cell r="M1046" t="str">
            <v>STKM290GA (N-IBC)</v>
          </cell>
          <cell r="N1046" t="str">
            <v>PIPE R SWINGARM SUB ASSY</v>
          </cell>
          <cell r="P1046" t="str">
            <v>KPW</v>
          </cell>
          <cell r="R1046">
            <v>91</v>
          </cell>
        </row>
        <row r="1047">
          <cell r="A1047" t="str">
            <v>30029483/30029484</v>
          </cell>
          <cell r="B1047" t="str">
            <v>Ø 40 x 20 x 1.6 x 5935</v>
          </cell>
          <cell r="H1047">
            <v>77003252</v>
          </cell>
          <cell r="I1047" t="str">
            <v>STKM290GA (N-IBC)</v>
          </cell>
          <cell r="J1047" t="str">
            <v>PIPE R SWINGARM COMP</v>
          </cell>
          <cell r="L1047" t="str">
            <v>K03T</v>
          </cell>
          <cell r="M1047" t="str">
            <v>STKM290GA (N-IBC)</v>
          </cell>
          <cell r="N1047" t="str">
            <v>PIPE R SWINGARM COMP</v>
          </cell>
          <cell r="P1047" t="str">
            <v>K03T</v>
          </cell>
          <cell r="R1047">
            <v>91</v>
          </cell>
        </row>
        <row r="1048">
          <cell r="A1048" t="str">
            <v>30020165/30020166</v>
          </cell>
          <cell r="B1048" t="str">
            <v>Ø 40 x 20 x 1.6 x 6460</v>
          </cell>
          <cell r="H1048">
            <v>77003258</v>
          </cell>
          <cell r="I1048" t="str">
            <v>STKM290GA (IBC)</v>
          </cell>
          <cell r="J1048" t="str">
            <v>SWINGARM SUB</v>
          </cell>
          <cell r="L1048" t="str">
            <v>KYZ</v>
          </cell>
          <cell r="M1048" t="str">
            <v>STKM290GA (IBC)</v>
          </cell>
          <cell r="N1048" t="str">
            <v>SWINGARM SUB</v>
          </cell>
          <cell r="P1048" t="str">
            <v>KYZ</v>
          </cell>
          <cell r="R1048">
            <v>91</v>
          </cell>
        </row>
        <row r="1049">
          <cell r="A1049" t="str">
            <v>30041805/30042553</v>
          </cell>
          <cell r="B1049" t="str">
            <v>Ø 60 x 47.6 x 2.0 x 6040</v>
          </cell>
          <cell r="H1049">
            <v>77003260</v>
          </cell>
          <cell r="I1049" t="str">
            <v>STAM390GA (N-IBC)</v>
          </cell>
          <cell r="J1049" t="str">
            <v>PIPE MAIN</v>
          </cell>
          <cell r="L1049" t="str">
            <v>K0FG, K26P</v>
          </cell>
          <cell r="M1049" t="str">
            <v>STAM390GA (N-IBC)</v>
          </cell>
          <cell r="N1049" t="str">
            <v>PIPE MAIN</v>
          </cell>
          <cell r="P1049" t="str">
            <v>K0FG, K26P</v>
          </cell>
          <cell r="R1049">
            <v>42</v>
          </cell>
        </row>
        <row r="1050">
          <cell r="A1050" t="str">
            <v>PIPE TSGP</v>
          </cell>
          <cell r="B1050" t="str">
            <v>IN-TECH</v>
          </cell>
        </row>
        <row r="1051">
          <cell r="A1051">
            <v>30041236</v>
          </cell>
          <cell r="B1051" t="str">
            <v>Ø 22.2 x 2.3 x 6000</v>
          </cell>
          <cell r="H1051">
            <v>77003248</v>
          </cell>
          <cell r="I1051" t="str">
            <v>STAM290GA (IBC)</v>
          </cell>
          <cell r="J1051" t="str">
            <v>PIPE BRAKE</v>
          </cell>
          <cell r="L1051" t="str">
            <v>K37S</v>
          </cell>
          <cell r="M1051" t="str">
            <v>STAM290GA (IBC)</v>
          </cell>
          <cell r="N1051" t="str">
            <v>PIPE BRAKE</v>
          </cell>
          <cell r="P1051" t="str">
            <v>K37S</v>
          </cell>
          <cell r="R1051">
            <v>200</v>
          </cell>
        </row>
        <row r="1052">
          <cell r="A1052">
            <v>73018996</v>
          </cell>
          <cell r="B1052" t="str">
            <v>Ø 19.1 x 1.2 x 5990</v>
          </cell>
          <cell r="H1052">
            <v>77003606</v>
          </cell>
          <cell r="I1052" t="str">
            <v>STAM390GA</v>
          </cell>
          <cell r="J1052" t="str">
            <v>PIPE COMP LAGGAGE BOX</v>
          </cell>
          <cell r="L1052" t="str">
            <v>K2FF</v>
          </cell>
          <cell r="M1052" t="str">
            <v>STAM390GA</v>
          </cell>
          <cell r="N1052" t="str">
            <v>PIPE COMP LAGGAGE BOX</v>
          </cell>
          <cell r="P1052" t="str">
            <v>K2FF</v>
          </cell>
          <cell r="R1052">
            <v>150</v>
          </cell>
        </row>
        <row r="1053">
          <cell r="B1053" t="str">
            <v>Ø 22.2 x 2.3 x 6180</v>
          </cell>
          <cell r="H1053">
            <v>77003984</v>
          </cell>
          <cell r="I1053" t="str">
            <v>STKM11A (N-IBC)</v>
          </cell>
          <cell r="L1053" t="str">
            <v>MLAA</v>
          </cell>
          <cell r="M1053" t="str">
            <v>STKM11A (N-IBC)</v>
          </cell>
          <cell r="P1053" t="str">
            <v>MLAA</v>
          </cell>
          <cell r="R1053">
            <v>200</v>
          </cell>
        </row>
        <row r="1054">
          <cell r="B1054" t="str">
            <v>Ø 22.2 x 2.3 x 6180</v>
          </cell>
          <cell r="H1054">
            <v>77003310</v>
          </cell>
          <cell r="I1054" t="str">
            <v>STKM290GA (IBC)</v>
          </cell>
          <cell r="M1054" t="str">
            <v>STKM290GA (IBC)</v>
          </cell>
          <cell r="R1054">
            <v>200</v>
          </cell>
        </row>
        <row r="1055">
          <cell r="A1055">
            <v>30048649</v>
          </cell>
          <cell r="B1055" t="str">
            <v>Ø 25.4 x 1.4 x 5790</v>
          </cell>
          <cell r="H1055">
            <v>77005154</v>
          </cell>
          <cell r="I1055" t="str">
            <v>STAM390GA (IBC)</v>
          </cell>
          <cell r="J1055" t="str">
            <v>PIPR R FR</v>
          </cell>
          <cell r="L1055" t="str">
            <v>K1BA</v>
          </cell>
          <cell r="M1055" t="str">
            <v>STAM390GA (IBC)</v>
          </cell>
          <cell r="N1055" t="str">
            <v>PIPR R FR</v>
          </cell>
          <cell r="P1055" t="str">
            <v>K1BA</v>
          </cell>
        </row>
        <row r="1056">
          <cell r="A1056" t="str">
            <v>Non Forecast</v>
          </cell>
        </row>
        <row r="1057">
          <cell r="A1057">
            <v>30032181</v>
          </cell>
          <cell r="B1057" t="str">
            <v>Ø 19.1 x 1.4 x 6000</v>
          </cell>
          <cell r="I1057" t="str">
            <v>STKM-HTB60(IBC)</v>
          </cell>
          <cell r="J1057" t="str">
            <v>PIPE FRONT CROSS</v>
          </cell>
          <cell r="K1057" t="str">
            <v>32155-2281(3478)</v>
          </cell>
          <cell r="M1057" t="str">
            <v>STKM-HTB60(IBC)</v>
          </cell>
          <cell r="N1057" t="str">
            <v>PIPE FRONT CROSS</v>
          </cell>
          <cell r="O1057" t="str">
            <v>32155-2281(3478)</v>
          </cell>
          <cell r="R1057">
            <v>50</v>
          </cell>
        </row>
        <row r="1058">
          <cell r="A1058">
            <v>30032584</v>
          </cell>
          <cell r="B1058" t="str">
            <v>Ø 48.6 x 2.0 x 6000</v>
          </cell>
          <cell r="C1058">
            <v>48.6</v>
          </cell>
          <cell r="D1058">
            <v>2</v>
          </cell>
          <cell r="E1058" t="str">
            <v>317+/-0.5</v>
          </cell>
          <cell r="G1058">
            <v>18</v>
          </cell>
          <cell r="I1058" t="str">
            <v>STKM-HTB60(IBC)</v>
          </cell>
          <cell r="J1058" t="str">
            <v>PIPE (32155-2338)(8098)</v>
          </cell>
          <cell r="K1058" t="str">
            <v>32155-2338</v>
          </cell>
          <cell r="M1058" t="str">
            <v>STKM-HTB60(IBC)</v>
          </cell>
          <cell r="N1058" t="str">
            <v>PIPE (32155-2338)(8098)</v>
          </cell>
          <cell r="O1058" t="str">
            <v>32155-2338</v>
          </cell>
          <cell r="R1058">
            <v>50</v>
          </cell>
        </row>
        <row r="1059">
          <cell r="A1059">
            <v>73017260</v>
          </cell>
          <cell r="B1059" t="str">
            <v>Ø 48.6 x 2.0 x 6000</v>
          </cell>
          <cell r="C1059">
            <v>48.6</v>
          </cell>
          <cell r="D1059">
            <v>2</v>
          </cell>
          <cell r="E1059" t="str">
            <v>317+/-0.5</v>
          </cell>
          <cell r="G1059">
            <v>18</v>
          </cell>
          <cell r="I1059" t="str">
            <v>STKM-HTB60(IBC)</v>
          </cell>
          <cell r="J1059" t="str">
            <v>PIPE (32155-2338)(8098)</v>
          </cell>
          <cell r="K1059" t="str">
            <v>32155-2338</v>
          </cell>
          <cell r="M1059" t="str">
            <v>STKM-HTB60(IBC)</v>
          </cell>
          <cell r="N1059" t="str">
            <v>PIPE (32155-2338)(8098)</v>
          </cell>
          <cell r="O1059" t="str">
            <v>32155-2338</v>
          </cell>
          <cell r="R1059">
            <v>50</v>
          </cell>
        </row>
        <row r="1060">
          <cell r="B1060" t="str">
            <v>Ø 31.8 x 2.6 x 6000</v>
          </cell>
          <cell r="H1060">
            <v>77003089</v>
          </cell>
          <cell r="I1060" t="str">
            <v>HSSTS590H (IBC)</v>
          </cell>
          <cell r="M1060" t="str">
            <v>HSSTS590H (IBC)</v>
          </cell>
        </row>
        <row r="1061">
          <cell r="B1061" t="str">
            <v>Ø 31.8 x 2.6 x 6470</v>
          </cell>
          <cell r="H1061">
            <v>77003090</v>
          </cell>
          <cell r="I1061" t="str">
            <v>HSSTS590H (N-IBC)</v>
          </cell>
          <cell r="M1061" t="str">
            <v>HSSTS590H (N-IBC)</v>
          </cell>
        </row>
        <row r="1062">
          <cell r="B1062" t="str">
            <v>Ø 31.8 x 2.0 x 6000</v>
          </cell>
          <cell r="H1062">
            <v>77003088</v>
          </cell>
          <cell r="I1062" t="str">
            <v>HSSTS590H (IBC)</v>
          </cell>
          <cell r="M1062" t="str">
            <v>HSSTS590H (IBC)</v>
          </cell>
        </row>
        <row r="1063">
          <cell r="A1063" t="str">
            <v xml:space="preserve"> -</v>
          </cell>
          <cell r="B1063" t="str">
            <v>เพลาขาวกลมขัดผิว 13มิลx6000</v>
          </cell>
          <cell r="I1063" t="str">
            <v>SS400</v>
          </cell>
          <cell r="M1063" t="str">
            <v>SS400</v>
          </cell>
        </row>
        <row r="1065">
          <cell r="A1065" t="str">
            <v>Non Forecast</v>
          </cell>
        </row>
        <row r="1066">
          <cell r="A1066">
            <v>30007603</v>
          </cell>
          <cell r="B1066" t="str">
            <v>3.2 x 73 x 1219</v>
          </cell>
          <cell r="C1066">
            <v>3.2</v>
          </cell>
          <cell r="D1066">
            <v>73</v>
          </cell>
          <cell r="E1066">
            <v>1219</v>
          </cell>
          <cell r="F1066">
            <v>2.2353534399999999</v>
          </cell>
          <cell r="G1066">
            <v>22</v>
          </cell>
          <cell r="I1066" t="str">
            <v>SPHC</v>
          </cell>
          <cell r="J1066" t="str">
            <v>BRACKET ENGINE</v>
          </cell>
          <cell r="K1066" t="str">
            <v>32190-0743</v>
          </cell>
          <cell r="L1066" t="str">
            <v>GPI</v>
          </cell>
          <cell r="M1066" t="str">
            <v>SPHC</v>
          </cell>
          <cell r="N1066" t="str">
            <v>BRACKET ENGINE</v>
          </cell>
          <cell r="O1066" t="str">
            <v>32190-0743</v>
          </cell>
          <cell r="P1066" t="str">
            <v>GPI</v>
          </cell>
        </row>
        <row r="1067">
          <cell r="A1067">
            <v>30008940</v>
          </cell>
          <cell r="B1067" t="str">
            <v>1.4 x 58 x 1219</v>
          </cell>
          <cell r="C1067">
            <v>1.4</v>
          </cell>
          <cell r="D1067">
            <v>58</v>
          </cell>
          <cell r="E1067">
            <v>1219</v>
          </cell>
          <cell r="F1067">
            <v>0.77701497999999991</v>
          </cell>
          <cell r="G1067">
            <v>50</v>
          </cell>
          <cell r="I1067" t="str">
            <v>SPHC-P/O</v>
          </cell>
          <cell r="J1067" t="str">
            <v>PLATE IGNITION COIL RR</v>
          </cell>
          <cell r="K1067" t="str">
            <v>41289-45H00</v>
          </cell>
          <cell r="L1067" t="str">
            <v>GPI</v>
          </cell>
          <cell r="M1067" t="str">
            <v>SPHC-P/O</v>
          </cell>
          <cell r="N1067" t="str">
            <v>PLATE IGNITION COIL RR</v>
          </cell>
          <cell r="O1067" t="str">
            <v>41289-45H00</v>
          </cell>
          <cell r="P1067" t="str">
            <v>GPI</v>
          </cell>
          <cell r="R1067">
            <v>300</v>
          </cell>
        </row>
        <row r="1068">
          <cell r="A1068">
            <v>30011221</v>
          </cell>
          <cell r="B1068" t="str">
            <v>1.0 x 42 x 1219</v>
          </cell>
          <cell r="C1068">
            <v>1</v>
          </cell>
          <cell r="D1068">
            <v>42</v>
          </cell>
          <cell r="E1068">
            <v>1219</v>
          </cell>
          <cell r="F1068">
            <v>0.40190429999999999</v>
          </cell>
          <cell r="G1068">
            <v>31</v>
          </cell>
          <cell r="I1068" t="str">
            <v>SPCC-SD</v>
          </cell>
          <cell r="J1068" t="str">
            <v>PLUG</v>
          </cell>
          <cell r="K1068" t="str">
            <v>92066-0152</v>
          </cell>
          <cell r="L1068" t="str">
            <v>GPI</v>
          </cell>
          <cell r="M1068" t="str">
            <v>SPCC-SD</v>
          </cell>
          <cell r="N1068" t="str">
            <v>PLUG</v>
          </cell>
          <cell r="O1068" t="str">
            <v>92066-0152</v>
          </cell>
          <cell r="P1068" t="str">
            <v>GPI</v>
          </cell>
        </row>
        <row r="1069">
          <cell r="A1069">
            <v>30020963</v>
          </cell>
          <cell r="B1069" t="str">
            <v>4.5 x 192 x 1219</v>
          </cell>
          <cell r="C1069">
            <v>4.5</v>
          </cell>
          <cell r="D1069">
            <v>192</v>
          </cell>
          <cell r="E1069">
            <v>1219</v>
          </cell>
          <cell r="F1069">
            <v>8.2677455999999996</v>
          </cell>
          <cell r="G1069">
            <v>18</v>
          </cell>
          <cell r="H1069">
            <v>77004575</v>
          </cell>
          <cell r="I1069" t="str">
            <v>SPHC-P/O</v>
          </cell>
          <cell r="J1069" t="str">
            <v>BRACKET CUSH</v>
          </cell>
          <cell r="K1069">
            <v>0</v>
          </cell>
          <cell r="L1069" t="str">
            <v>GPI</v>
          </cell>
          <cell r="M1069" t="str">
            <v>SPHC-P/O</v>
          </cell>
          <cell r="N1069" t="str">
            <v>BRACKET CUSH</v>
          </cell>
          <cell r="O1069">
            <v>0</v>
          </cell>
          <cell r="P1069" t="str">
            <v>GPI</v>
          </cell>
          <cell r="R1069">
            <v>50</v>
          </cell>
        </row>
        <row r="1070">
          <cell r="A1070">
            <v>30020964</v>
          </cell>
          <cell r="B1070" t="str">
            <v>4.0 x 121 x 1219</v>
          </cell>
          <cell r="C1070">
            <v>4</v>
          </cell>
          <cell r="D1070">
            <v>121</v>
          </cell>
          <cell r="E1070">
            <v>1219</v>
          </cell>
          <cell r="F1070">
            <v>4.6314685999999998</v>
          </cell>
          <cell r="G1070">
            <v>13</v>
          </cell>
          <cell r="H1070">
            <v>77004568</v>
          </cell>
          <cell r="I1070" t="str">
            <v>SPHC-P/O</v>
          </cell>
          <cell r="J1070" t="str">
            <v>PLATE CUSH</v>
          </cell>
          <cell r="K1070">
            <v>0</v>
          </cell>
          <cell r="L1070" t="str">
            <v>GPI</v>
          </cell>
          <cell r="M1070" t="str">
            <v>SPHC-P/O</v>
          </cell>
          <cell r="N1070" t="str">
            <v>PLATE CUSH</v>
          </cell>
          <cell r="O1070">
            <v>0</v>
          </cell>
          <cell r="P1070" t="str">
            <v>GPI</v>
          </cell>
          <cell r="R1070">
            <v>100</v>
          </cell>
        </row>
        <row r="1071">
          <cell r="A1071">
            <v>30024004</v>
          </cell>
          <cell r="B1071" t="str">
            <v>6.0 x 123 x 1219</v>
          </cell>
          <cell r="C1071">
            <v>6</v>
          </cell>
          <cell r="D1071">
            <v>123</v>
          </cell>
          <cell r="E1071">
            <v>1219</v>
          </cell>
          <cell r="F1071">
            <v>7.0620326999999996</v>
          </cell>
          <cell r="G1071">
            <v>44</v>
          </cell>
          <cell r="I1071" t="str">
            <v>SS400</v>
          </cell>
          <cell r="J1071" t="str">
            <v>BRKT LEVER DT 2</v>
          </cell>
          <cell r="K1071" t="str">
            <v>TC402-4436-1-1</v>
          </cell>
          <cell r="L1071" t="str">
            <v>GPI</v>
          </cell>
          <cell r="M1071" t="str">
            <v>SS400</v>
          </cell>
          <cell r="N1071" t="str">
            <v>BRKT LEVER DT 2</v>
          </cell>
          <cell r="O1071" t="str">
            <v>TC402-4436-1-1</v>
          </cell>
          <cell r="P1071" t="str">
            <v>GPI</v>
          </cell>
        </row>
        <row r="1072">
          <cell r="A1072">
            <v>30024452</v>
          </cell>
          <cell r="B1072" t="str">
            <v>3.0 x 32 x 1219</v>
          </cell>
          <cell r="C1072">
            <v>3</v>
          </cell>
          <cell r="D1072">
            <v>32</v>
          </cell>
          <cell r="E1072">
            <v>1219</v>
          </cell>
          <cell r="F1072">
            <v>0.91863839999999986</v>
          </cell>
          <cell r="G1072">
            <v>37</v>
          </cell>
          <cell r="I1072" t="str">
            <v>SS400</v>
          </cell>
          <cell r="J1072" t="str">
            <v>BRKT NO.8</v>
          </cell>
          <cell r="K1072">
            <v>0</v>
          </cell>
          <cell r="L1072" t="str">
            <v>GPI</v>
          </cell>
          <cell r="M1072" t="str">
            <v>SS400</v>
          </cell>
          <cell r="N1072" t="str">
            <v>BRKT NO.8</v>
          </cell>
          <cell r="O1072">
            <v>0</v>
          </cell>
          <cell r="P1072" t="str">
            <v>GPI</v>
          </cell>
        </row>
        <row r="1073">
          <cell r="A1073">
            <v>30033970</v>
          </cell>
          <cell r="B1073" t="str">
            <v>1.6 x 100 x 1219</v>
          </cell>
          <cell r="C1073">
            <v>1.6</v>
          </cell>
          <cell r="D1073">
            <v>100</v>
          </cell>
          <cell r="E1073">
            <v>1219</v>
          </cell>
          <cell r="F1073">
            <v>1.531064</v>
          </cell>
          <cell r="G1073">
            <v>21</v>
          </cell>
          <cell r="I1073" t="str">
            <v>SPHC-P/O</v>
          </cell>
          <cell r="J1073" t="str">
            <v>PATCH COSS</v>
          </cell>
          <cell r="K1073" t="str">
            <v>52113-k26-9000-H1</v>
          </cell>
          <cell r="L1073" t="str">
            <v>GPI</v>
          </cell>
          <cell r="M1073" t="str">
            <v>SPHC-P/O</v>
          </cell>
          <cell r="N1073" t="str">
            <v>PATCH COSS</v>
          </cell>
          <cell r="O1073" t="str">
            <v>52113-k26-9000-H1</v>
          </cell>
          <cell r="P1073" t="str">
            <v>GPI</v>
          </cell>
          <cell r="R1073">
            <v>200</v>
          </cell>
        </row>
        <row r="1074">
          <cell r="A1074">
            <v>30034772</v>
          </cell>
          <cell r="B1074" t="str">
            <v>3.2 x 167 x 1219</v>
          </cell>
          <cell r="C1074">
            <v>3.2</v>
          </cell>
          <cell r="D1074">
            <v>167</v>
          </cell>
          <cell r="E1074">
            <v>1219</v>
          </cell>
          <cell r="F1074">
            <v>5.1137537599999998</v>
          </cell>
          <cell r="H1074">
            <v>77005491</v>
          </cell>
          <cell r="I1074" t="str">
            <v>YSH270C-P</v>
          </cell>
          <cell r="J1074" t="str">
            <v>BRKT FOOTREST 3</v>
          </cell>
          <cell r="K1074" t="str">
            <v>J1E-F144H-00</v>
          </cell>
          <cell r="M1074" t="str">
            <v>YSH270C-P</v>
          </cell>
          <cell r="N1074" t="str">
            <v>BRKT FOOTREST 3</v>
          </cell>
          <cell r="O1074" t="str">
            <v>J1E-F144H-00</v>
          </cell>
        </row>
        <row r="1075">
          <cell r="A1075" t="str">
            <v>30035698-P</v>
          </cell>
          <cell r="B1075" t="str">
            <v>เหรียญ Blank Cover Comp Fan OD 139 (Spcen 0.7)</v>
          </cell>
          <cell r="C1075">
            <v>0.7</v>
          </cell>
          <cell r="F1075">
            <v>0</v>
          </cell>
          <cell r="G1075">
            <v>16</v>
          </cell>
          <cell r="I1075" t="str">
            <v>SPCEN</v>
          </cell>
          <cell r="J1075" t="str">
            <v>CLIP B FUEL HOSE</v>
          </cell>
          <cell r="K1075" t="str">
            <v>K97F</v>
          </cell>
          <cell r="L1075" t="str">
            <v>K97F</v>
          </cell>
          <cell r="M1075" t="str">
            <v>SPCEN</v>
          </cell>
          <cell r="N1075" t="str">
            <v>CLIP B FUEL HOSE</v>
          </cell>
          <cell r="O1075" t="str">
            <v>K97F</v>
          </cell>
          <cell r="P1075" t="str">
            <v>K97F</v>
          </cell>
          <cell r="Q1075" t="str">
            <v>tsgp3</v>
          </cell>
        </row>
        <row r="1076">
          <cell r="A1076" t="str">
            <v>30037130-2</v>
          </cell>
          <cell r="B1076" t="str">
            <v>2.0 x 55 x 1219</v>
          </cell>
          <cell r="C1076">
            <v>2</v>
          </cell>
          <cell r="D1076">
            <v>55</v>
          </cell>
          <cell r="E1076">
            <v>1219</v>
          </cell>
          <cell r="F1076">
            <v>1.0526065</v>
          </cell>
          <cell r="G1076">
            <v>38</v>
          </cell>
          <cell r="H1076">
            <v>77004481</v>
          </cell>
          <cell r="I1076" t="str">
            <v>JSH270C</v>
          </cell>
          <cell r="J1076" t="str">
            <v>STAY FR COVER</v>
          </cell>
          <cell r="K1076" t="str">
            <v>64223-KYZ-9000-H1</v>
          </cell>
          <cell r="L1076" t="str">
            <v>K73L</v>
          </cell>
          <cell r="M1076" t="str">
            <v>JSH270C</v>
          </cell>
          <cell r="N1076" t="str">
            <v>STAY FR COVER</v>
          </cell>
          <cell r="O1076" t="str">
            <v>64223-KYZ-9000-H1</v>
          </cell>
          <cell r="P1076" t="str">
            <v>K73L</v>
          </cell>
        </row>
        <row r="1077">
          <cell r="A1077" t="str">
            <v>30037130-3</v>
          </cell>
          <cell r="B1077" t="str">
            <v>2.0 x 58 x 1219</v>
          </cell>
          <cell r="C1077">
            <v>2</v>
          </cell>
          <cell r="D1077">
            <v>58</v>
          </cell>
          <cell r="E1077">
            <v>1219</v>
          </cell>
          <cell r="F1077">
            <v>1.1100213999999999</v>
          </cell>
          <cell r="G1077">
            <v>26</v>
          </cell>
          <cell r="H1077">
            <v>77004754</v>
          </cell>
          <cell r="I1077" t="str">
            <v>JSH270C</v>
          </cell>
          <cell r="J1077" t="str">
            <v>STAY AIR C CASE</v>
          </cell>
          <cell r="K1077" t="str">
            <v>64225-KYZ-9000-H1</v>
          </cell>
          <cell r="L1077" t="str">
            <v>K73L</v>
          </cell>
          <cell r="M1077" t="str">
            <v>JSH270C</v>
          </cell>
          <cell r="N1077" t="str">
            <v>STAY AIR C CASE</v>
          </cell>
          <cell r="O1077" t="str">
            <v>64225-KYZ-9000-H1</v>
          </cell>
          <cell r="P1077" t="str">
            <v>K73L</v>
          </cell>
        </row>
        <row r="1078">
          <cell r="A1078" t="str">
            <v>30037130-4</v>
          </cell>
          <cell r="B1078" t="str">
            <v>2.0 x 60 x 1219</v>
          </cell>
          <cell r="C1078">
            <v>2</v>
          </cell>
          <cell r="D1078">
            <v>60</v>
          </cell>
          <cell r="E1078">
            <v>1219</v>
          </cell>
          <cell r="F1078">
            <v>1.148298</v>
          </cell>
          <cell r="G1078">
            <v>100</v>
          </cell>
          <cell r="H1078">
            <v>77004487</v>
          </cell>
          <cell r="I1078" t="str">
            <v>JSH270C</v>
          </cell>
          <cell r="J1078" t="str">
            <v>STAY HARNESS</v>
          </cell>
          <cell r="K1078" t="str">
            <v>64220-KYZ-9000-H1</v>
          </cell>
          <cell r="L1078" t="str">
            <v>K73L</v>
          </cell>
          <cell r="M1078" t="str">
            <v>JSH270C</v>
          </cell>
          <cell r="N1078" t="str">
            <v>STAY HARNESS</v>
          </cell>
          <cell r="O1078" t="str">
            <v>64220-KYZ-9000-H1</v>
          </cell>
          <cell r="P1078" t="str">
            <v>K73L</v>
          </cell>
        </row>
        <row r="1079">
          <cell r="A1079" t="str">
            <v>30040321-4</v>
          </cell>
          <cell r="B1079" t="str">
            <v>5.0 x 200 x 1219</v>
          </cell>
          <cell r="C1079">
            <v>5</v>
          </cell>
          <cell r="D1079">
            <v>200</v>
          </cell>
          <cell r="E1079">
            <v>1219</v>
          </cell>
          <cell r="F1079">
            <v>9.5691500000000005</v>
          </cell>
          <cell r="G1079">
            <v>20</v>
          </cell>
          <cell r="I1079" t="str">
            <v>JSH440W</v>
          </cell>
          <cell r="J1079" t="str">
            <v>STAY B,R</v>
          </cell>
          <cell r="K1079" t="str">
            <v>81200-KOWF-J001-23</v>
          </cell>
          <cell r="L1079" t="str">
            <v>KOWF</v>
          </cell>
          <cell r="M1079" t="str">
            <v>JSH440W</v>
          </cell>
          <cell r="N1079" t="str">
            <v>STAY B,R</v>
          </cell>
          <cell r="O1079" t="str">
            <v>81200-KOWF-J001-23</v>
          </cell>
          <cell r="P1079" t="str">
            <v>KOWF</v>
          </cell>
        </row>
        <row r="1080">
          <cell r="A1080" t="str">
            <v>30040321-5</v>
          </cell>
          <cell r="B1080" t="str">
            <v>5.0 x 200 x 1219</v>
          </cell>
          <cell r="C1080">
            <v>5</v>
          </cell>
          <cell r="D1080">
            <v>200</v>
          </cell>
          <cell r="E1080">
            <v>1219</v>
          </cell>
          <cell r="F1080">
            <v>9.5691500000000005</v>
          </cell>
          <cell r="G1080">
            <v>20</v>
          </cell>
          <cell r="I1080" t="str">
            <v>JSH440W</v>
          </cell>
          <cell r="J1080" t="str">
            <v>STAY B,L</v>
          </cell>
          <cell r="K1080" t="str">
            <v>81200-KOWF-J001-24</v>
          </cell>
          <cell r="L1080" t="str">
            <v>KOWF</v>
          </cell>
          <cell r="M1080" t="str">
            <v>JSH440W</v>
          </cell>
          <cell r="N1080" t="str">
            <v>STAY B,L</v>
          </cell>
          <cell r="O1080" t="str">
            <v>81200-KOWF-J001-24</v>
          </cell>
          <cell r="P1080" t="str">
            <v>KOWF</v>
          </cell>
        </row>
        <row r="1081">
          <cell r="A1081" t="str">
            <v>30040321-6</v>
          </cell>
          <cell r="B1081" t="str">
            <v>2.3 x 236 x 1219</v>
          </cell>
          <cell r="C1081">
            <v>2.2999999999999998</v>
          </cell>
          <cell r="D1081">
            <v>236</v>
          </cell>
          <cell r="E1081">
            <v>1219</v>
          </cell>
          <cell r="F1081">
            <v>5.1941346199999989</v>
          </cell>
          <cell r="G1081">
            <v>18</v>
          </cell>
          <cell r="I1081" t="str">
            <v>JSH440W</v>
          </cell>
          <cell r="J1081" t="str">
            <v>STAY C</v>
          </cell>
          <cell r="K1081" t="str">
            <v>81200-KOWF-J001-25</v>
          </cell>
          <cell r="L1081" t="str">
            <v>KOWF</v>
          </cell>
          <cell r="M1081" t="str">
            <v>JSH440W</v>
          </cell>
          <cell r="N1081" t="str">
            <v>STAY C</v>
          </cell>
          <cell r="O1081" t="str">
            <v>81200-KOWF-J001-25</v>
          </cell>
          <cell r="P1081" t="str">
            <v>KOWF</v>
          </cell>
        </row>
        <row r="1082">
          <cell r="A1082" t="str">
            <v>30040321-7</v>
          </cell>
          <cell r="B1082" t="str">
            <v>2.3 x 62 x 1219</v>
          </cell>
          <cell r="C1082">
            <v>2.2999999999999998</v>
          </cell>
          <cell r="D1082">
            <v>62</v>
          </cell>
          <cell r="E1082">
            <v>1219</v>
          </cell>
          <cell r="F1082">
            <v>1.3645607899999999</v>
          </cell>
          <cell r="G1082">
            <v>29</v>
          </cell>
          <cell r="I1082" t="str">
            <v>JSH440W</v>
          </cell>
          <cell r="J1082" t="str">
            <v>STAY D</v>
          </cell>
          <cell r="K1082" t="str">
            <v>81200-KOWF-J001-26</v>
          </cell>
          <cell r="L1082" t="str">
            <v>KOWF</v>
          </cell>
          <cell r="M1082" t="str">
            <v>JSH440W</v>
          </cell>
          <cell r="N1082" t="str">
            <v>STAY D</v>
          </cell>
          <cell r="O1082" t="str">
            <v>81200-KOWF-J001-26</v>
          </cell>
          <cell r="P1082" t="str">
            <v>KOWF</v>
          </cell>
        </row>
        <row r="1083">
          <cell r="A1083" t="str">
            <v>73016002-2</v>
          </cell>
          <cell r="B1083" t="str">
            <v>2.6 x 70 x 1219</v>
          </cell>
          <cell r="C1083">
            <v>2.6</v>
          </cell>
          <cell r="D1083">
            <v>70</v>
          </cell>
          <cell r="E1083">
            <v>1219</v>
          </cell>
          <cell r="F1083">
            <v>1.7415852999999999</v>
          </cell>
          <cell r="G1083">
            <v>78</v>
          </cell>
          <cell r="H1083">
            <v>77005283</v>
          </cell>
          <cell r="I1083" t="str">
            <v>SPCC-SD</v>
          </cell>
          <cell r="J1083" t="str">
            <v>CLEVIS</v>
          </cell>
          <cell r="K1083" t="str">
            <v>1A8292-27950</v>
          </cell>
          <cell r="L1083" t="str">
            <v>EF-725T</v>
          </cell>
          <cell r="M1083" t="str">
            <v>SPCC-SD</v>
          </cell>
          <cell r="N1083" t="str">
            <v>CLEVIS</v>
          </cell>
          <cell r="O1083" t="str">
            <v>1A8292-27950</v>
          </cell>
          <cell r="P1083" t="str">
            <v>EF-725T</v>
          </cell>
        </row>
        <row r="1084">
          <cell r="A1084" t="str">
            <v>ชิ้นงานซื้อผ่าน TSGP</v>
          </cell>
          <cell r="B1084" t="str">
            <v>ชิ้นงานเลิกผลิต</v>
          </cell>
        </row>
        <row r="1085">
          <cell r="A1085">
            <v>30021434</v>
          </cell>
          <cell r="B1085" t="str">
            <v>4.0 x 129 x 1219</v>
          </cell>
          <cell r="C1085">
            <v>4</v>
          </cell>
          <cell r="D1085">
            <v>129</v>
          </cell>
          <cell r="E1085">
            <v>1219</v>
          </cell>
          <cell r="F1085">
            <v>4.9376813999999998</v>
          </cell>
          <cell r="G1085">
            <v>17</v>
          </cell>
          <cell r="H1085">
            <v>77005300</v>
          </cell>
          <cell r="I1085" t="str">
            <v>JSH590R</v>
          </cell>
          <cell r="J1085" t="str">
            <v>REINF RR CUSHION</v>
          </cell>
          <cell r="K1085" t="str">
            <v>5YP-F1384-00</v>
          </cell>
          <cell r="L1085" t="str">
            <v>T</v>
          </cell>
          <cell r="M1085" t="str">
            <v>JSH590R</v>
          </cell>
          <cell r="N1085" t="str">
            <v>REINF RR CUSHION</v>
          </cell>
          <cell r="O1085" t="str">
            <v>5YP-F1384-00</v>
          </cell>
          <cell r="P1085" t="str">
            <v>T</v>
          </cell>
        </row>
        <row r="1086">
          <cell r="A1086">
            <v>30024080</v>
          </cell>
          <cell r="B1086" t="str">
            <v>2.3 x 48 x 1219</v>
          </cell>
          <cell r="C1086">
            <v>2.2999999999999998</v>
          </cell>
          <cell r="D1086">
            <v>48</v>
          </cell>
          <cell r="E1086">
            <v>1219</v>
          </cell>
          <cell r="F1086">
            <v>1.0564341599999998</v>
          </cell>
          <cell r="G1086">
            <v>32</v>
          </cell>
          <cell r="H1086">
            <v>77004211</v>
          </cell>
          <cell r="I1086" t="str">
            <v>JSH490W</v>
          </cell>
          <cell r="J1086" t="str">
            <v>PLATE R REAR</v>
          </cell>
          <cell r="K1086" t="str">
            <v>50186-K33-D000-29</v>
          </cell>
          <cell r="L1086" t="str">
            <v>T</v>
          </cell>
          <cell r="M1086" t="str">
            <v>JSH490W</v>
          </cell>
          <cell r="N1086" t="str">
            <v>PLATE R REAR</v>
          </cell>
          <cell r="O1086" t="str">
            <v>50186-K33-D000-29</v>
          </cell>
          <cell r="P1086" t="str">
            <v>T</v>
          </cell>
          <cell r="Q1086" t="str">
            <v>ยกเลิกผลิต เสนอราคา Price Sourcing</v>
          </cell>
          <cell r="R1086">
            <v>50</v>
          </cell>
        </row>
        <row r="1087">
          <cell r="A1087">
            <v>30024081</v>
          </cell>
          <cell r="B1087" t="str">
            <v>2.3 x 48 x 1219</v>
          </cell>
          <cell r="C1087">
            <v>2.2999999999999998</v>
          </cell>
          <cell r="D1087">
            <v>48</v>
          </cell>
          <cell r="E1087">
            <v>1219</v>
          </cell>
          <cell r="F1087">
            <v>1.0564341599999998</v>
          </cell>
          <cell r="G1087">
            <v>32</v>
          </cell>
          <cell r="H1087">
            <v>50015851</v>
          </cell>
          <cell r="I1087" t="str">
            <v>JSH490W</v>
          </cell>
          <cell r="J1087" t="str">
            <v>PLATE L REAR</v>
          </cell>
          <cell r="K1087" t="str">
            <v>50186-K33-D000-30</v>
          </cell>
          <cell r="L1087" t="str">
            <v>T</v>
          </cell>
          <cell r="M1087" t="str">
            <v>JSH490W</v>
          </cell>
          <cell r="N1087" t="str">
            <v>PLATE L REAR</v>
          </cell>
          <cell r="O1087" t="str">
            <v>50186-K33-D000-30</v>
          </cell>
          <cell r="P1087" t="str">
            <v>T</v>
          </cell>
          <cell r="Q1087" t="str">
            <v>ยกเลิกผลิต เสนอราคา Price Sourcing</v>
          </cell>
          <cell r="R1087">
            <v>50</v>
          </cell>
        </row>
        <row r="1088">
          <cell r="A1088">
            <v>50000823</v>
          </cell>
          <cell r="B1088" t="str">
            <v>2.8 x 175 x 1219</v>
          </cell>
          <cell r="C1088">
            <v>2.8</v>
          </cell>
          <cell r="D1088">
            <v>175</v>
          </cell>
          <cell r="E1088">
            <v>1219</v>
          </cell>
          <cell r="F1088">
            <v>4.6888834999999993</v>
          </cell>
          <cell r="H1088">
            <v>50000823</v>
          </cell>
          <cell r="I1088" t="str">
            <v>SP231-440PQ</v>
          </cell>
          <cell r="J1088" t="str">
            <v>PLATE NUT SEAT BELT LH</v>
          </cell>
          <cell r="L1088" t="str">
            <v>T</v>
          </cell>
          <cell r="M1088" t="str">
            <v>SP231-440PQ</v>
          </cell>
          <cell r="N1088" t="str">
            <v>PLATE NUT SEAT BELT LH</v>
          </cell>
          <cell r="P1088" t="str">
            <v>T</v>
          </cell>
        </row>
        <row r="1089">
          <cell r="A1089">
            <v>50000824</v>
          </cell>
          <cell r="B1089" t="str">
            <v>2.8 x 192 x 1219</v>
          </cell>
          <cell r="C1089">
            <v>2.8</v>
          </cell>
          <cell r="D1089">
            <v>192</v>
          </cell>
          <cell r="E1089">
            <v>1219</v>
          </cell>
          <cell r="F1089">
            <v>5.144375039999999</v>
          </cell>
          <cell r="H1089">
            <v>50000824</v>
          </cell>
          <cell r="I1089" t="str">
            <v>SP231-440PQ</v>
          </cell>
          <cell r="J1089" t="str">
            <v>PLATE NUT SEAT BELT RH</v>
          </cell>
          <cell r="L1089" t="str">
            <v>T</v>
          </cell>
          <cell r="M1089" t="str">
            <v>SP231-440PQ</v>
          </cell>
          <cell r="N1089" t="str">
            <v>PLATE NUT SEAT BELT RH</v>
          </cell>
          <cell r="P1089" t="str">
            <v>T</v>
          </cell>
        </row>
        <row r="1091">
          <cell r="A1091">
            <v>30000899</v>
          </cell>
          <cell r="B1091" t="str">
            <v>0.7 x 100 x 1219</v>
          </cell>
          <cell r="C1091">
            <v>0.7</v>
          </cell>
          <cell r="D1091">
            <v>100</v>
          </cell>
          <cell r="E1091">
            <v>1219</v>
          </cell>
          <cell r="F1091">
            <v>0.66984049999999995</v>
          </cell>
          <cell r="G1091">
            <v>90</v>
          </cell>
          <cell r="I1091" t="str">
            <v>SECC-V2X</v>
          </cell>
          <cell r="J1091" t="str">
            <v>FIX BEND</v>
          </cell>
          <cell r="K1091" t="str">
            <v>ซื้อที่ ตะวันออก ที่อื่น ไม่มีขาย</v>
          </cell>
          <cell r="L1091" t="str">
            <v>T</v>
          </cell>
          <cell r="M1091" t="str">
            <v>SECC-V2X</v>
          </cell>
          <cell r="N1091" t="str">
            <v>FIX BEND</v>
          </cell>
          <cell r="O1091" t="str">
            <v>ซื้อที่ ตะวันออก ที่อื่น ไม่มีขาย</v>
          </cell>
          <cell r="P1091" t="str">
            <v>T</v>
          </cell>
        </row>
        <row r="1092">
          <cell r="A1092">
            <v>30001026</v>
          </cell>
          <cell r="B1092" t="str">
            <v>0.5 x 60 x 1219</v>
          </cell>
          <cell r="C1092">
            <v>0.5</v>
          </cell>
          <cell r="D1092">
            <v>60</v>
          </cell>
          <cell r="E1092">
            <v>1219</v>
          </cell>
          <cell r="F1092">
            <v>0.28707450000000001</v>
          </cell>
          <cell r="G1092">
            <v>0</v>
          </cell>
          <cell r="I1092" t="str">
            <v>SPCC-SD</v>
          </cell>
          <cell r="J1092" t="str">
            <v>CLIP 10*25</v>
          </cell>
          <cell r="K1092" t="str">
            <v>10*25</v>
          </cell>
          <cell r="L1092" t="str">
            <v>T</v>
          </cell>
          <cell r="M1092" t="str">
            <v>SPCC-SD</v>
          </cell>
          <cell r="N1092" t="str">
            <v>CLIP 10*25</v>
          </cell>
          <cell r="O1092" t="str">
            <v>10*25</v>
          </cell>
          <cell r="P1092" t="str">
            <v>T</v>
          </cell>
        </row>
        <row r="1093">
          <cell r="A1093">
            <v>30023063</v>
          </cell>
          <cell r="B1093" t="str">
            <v>3.2 x 164 x 296</v>
          </cell>
          <cell r="C1093">
            <v>3.2</v>
          </cell>
          <cell r="D1093">
            <v>164</v>
          </cell>
          <cell r="E1093">
            <v>296</v>
          </cell>
          <cell r="F1093">
            <v>1.2194252800000001</v>
          </cell>
          <cell r="G1093">
            <v>1</v>
          </cell>
          <cell r="I1093" t="str">
            <v>SPHC</v>
          </cell>
          <cell r="J1093" t="str">
            <v>HOLDER SPEED CHANGE LEVER</v>
          </cell>
          <cell r="K1093">
            <v>0</v>
          </cell>
          <cell r="L1093" t="str">
            <v>T</v>
          </cell>
          <cell r="M1093" t="str">
            <v>SPHC</v>
          </cell>
          <cell r="N1093" t="str">
            <v>HOLDER SPEED CHANGE LEVER</v>
          </cell>
          <cell r="O1093">
            <v>0</v>
          </cell>
          <cell r="P1093" t="str">
            <v>T</v>
          </cell>
          <cell r="R1093">
            <v>300</v>
          </cell>
        </row>
        <row r="1094">
          <cell r="A1094">
            <v>73000452</v>
          </cell>
          <cell r="B1094" t="str">
            <v>2.0 x 75 x 1219</v>
          </cell>
          <cell r="C1094">
            <v>2</v>
          </cell>
          <cell r="D1094">
            <v>75</v>
          </cell>
          <cell r="E1094">
            <v>1219</v>
          </cell>
          <cell r="F1094">
            <v>1.4353724999999999</v>
          </cell>
          <cell r="I1094" t="str">
            <v>SPHC P/O</v>
          </cell>
          <cell r="J1094" t="str">
            <v>PATCH RH</v>
          </cell>
          <cell r="L1094" t="str">
            <v>T</v>
          </cell>
          <cell r="M1094" t="str">
            <v>SPHC P/O</v>
          </cell>
          <cell r="N1094" t="str">
            <v>PATCH RH</v>
          </cell>
          <cell r="P1094" t="str">
            <v>T</v>
          </cell>
        </row>
        <row r="1095">
          <cell r="A1095">
            <v>73000453</v>
          </cell>
          <cell r="B1095" t="str">
            <v>2.0 x 75 x 1219</v>
          </cell>
          <cell r="C1095">
            <v>2</v>
          </cell>
          <cell r="D1095">
            <v>75</v>
          </cell>
          <cell r="E1095">
            <v>1219</v>
          </cell>
          <cell r="F1095">
            <v>1.4353724999999999</v>
          </cell>
          <cell r="I1095" t="str">
            <v>SPHC P/O</v>
          </cell>
          <cell r="J1095" t="str">
            <v>PATCH LH</v>
          </cell>
          <cell r="L1095" t="str">
            <v>T</v>
          </cell>
          <cell r="M1095" t="str">
            <v>SPHC P/O</v>
          </cell>
          <cell r="N1095" t="str">
            <v>PATCH LH</v>
          </cell>
          <cell r="P1095" t="str">
            <v>T</v>
          </cell>
        </row>
        <row r="1096">
          <cell r="A1096">
            <v>73000683</v>
          </cell>
          <cell r="B1096" t="str">
            <v>1.6 x 90 x 1219</v>
          </cell>
          <cell r="C1096">
            <v>1.6</v>
          </cell>
          <cell r="D1096">
            <v>90</v>
          </cell>
          <cell r="E1096">
            <v>1219</v>
          </cell>
          <cell r="F1096">
            <v>1.3779575999999998</v>
          </cell>
          <cell r="I1096" t="str">
            <v>SPHC-P/O</v>
          </cell>
          <cell r="J1096" t="str">
            <v>BRKT SWITCH</v>
          </cell>
          <cell r="L1096" t="str">
            <v>T</v>
          </cell>
          <cell r="M1096" t="str">
            <v>SPHC-P/O</v>
          </cell>
          <cell r="N1096" t="str">
            <v>BRKT SWITCH</v>
          </cell>
          <cell r="P1096" t="str">
            <v>T</v>
          </cell>
        </row>
        <row r="1097">
          <cell r="A1097" t="str">
            <v>30020962-1</v>
          </cell>
          <cell r="B1097" t="str">
            <v>6.0 x 164 x 1219</v>
          </cell>
          <cell r="C1097">
            <v>6</v>
          </cell>
          <cell r="D1097">
            <v>164</v>
          </cell>
          <cell r="E1097">
            <v>1219</v>
          </cell>
          <cell r="F1097">
            <v>9.4160436000000001</v>
          </cell>
          <cell r="G1097">
            <v>29</v>
          </cell>
          <cell r="I1097" t="str">
            <v>SPHC-P/O</v>
          </cell>
          <cell r="J1097" t="str">
            <v>ARM</v>
          </cell>
          <cell r="L1097" t="str">
            <v>T</v>
          </cell>
          <cell r="M1097" t="str">
            <v>SPHC-P/O</v>
          </cell>
          <cell r="N1097" t="str">
            <v>ARM</v>
          </cell>
          <cell r="P1097" t="str">
            <v>T</v>
          </cell>
        </row>
        <row r="1099">
          <cell r="A1099" t="str">
            <v>ชิ้นงาน TSIS</v>
          </cell>
          <cell r="B1099" t="str">
            <v>เหล็ก PO ซื้อ BM    เหล็ก SPFH590 ซื้อ PM/PF  เหล็ก PO บางรายการแอบซื้อผ่าน TSGP ดูรหัสใช้ซื้อผ่าน(77) ดูรหัสชิ้นงาน (300)ให้ดี ๆ อย่าโป๊ะ</v>
          </cell>
        </row>
        <row r="1100">
          <cell r="A1100">
            <v>30010512</v>
          </cell>
          <cell r="B1100" t="str">
            <v>2.0 x 90 x 1219</v>
          </cell>
          <cell r="C1100">
            <v>2</v>
          </cell>
          <cell r="D1100">
            <v>90</v>
          </cell>
          <cell r="E1100">
            <v>1219</v>
          </cell>
          <cell r="F1100">
            <v>1.7224470000000001</v>
          </cell>
          <cell r="G1100">
            <v>35</v>
          </cell>
          <cell r="H1100" t="str">
            <v>ใช้77005426 (73000414) ผ่าน tsgp(epc)</v>
          </cell>
          <cell r="I1100" t="str">
            <v>SPHC-P/O</v>
          </cell>
          <cell r="J1100" t="str">
            <v xml:space="preserve">BRACKET SEAT </v>
          </cell>
          <cell r="K1100" t="str">
            <v>4110/4111</v>
          </cell>
          <cell r="L1100" t="str">
            <v>TSIS</v>
          </cell>
          <cell r="M1100" t="str">
            <v>SPHC-P/O</v>
          </cell>
          <cell r="N1100" t="str">
            <v xml:space="preserve">BRACKET SEAT </v>
          </cell>
          <cell r="O1100" t="str">
            <v>4110/4111</v>
          </cell>
          <cell r="P1100" t="str">
            <v>TSIS</v>
          </cell>
          <cell r="Q1100" t="str">
            <v>ใช้77005426 (73000414) ผ่าน tsgp(epc)</v>
          </cell>
          <cell r="R1100">
            <v>200</v>
          </cell>
        </row>
        <row r="1101">
          <cell r="A1101">
            <v>30032958</v>
          </cell>
          <cell r="B1101" t="str">
            <v>2.3 x 98 x 1219</v>
          </cell>
          <cell r="C1101">
            <v>2.2999999999999998</v>
          </cell>
          <cell r="D1101">
            <v>98</v>
          </cell>
          <cell r="E1101">
            <v>1219</v>
          </cell>
          <cell r="F1101">
            <v>2.1568864099999998</v>
          </cell>
          <cell r="G1101">
            <v>44</v>
          </cell>
          <cell r="I1101" t="str">
            <v>SPFH590</v>
          </cell>
          <cell r="J1101" t="str">
            <v>BRACKET SEAT (0397)</v>
          </cell>
          <cell r="K1101" t="str">
            <v>3478F</v>
          </cell>
          <cell r="L1101" t="str">
            <v>TSIS</v>
          </cell>
          <cell r="M1101" t="str">
            <v>SPFH590</v>
          </cell>
          <cell r="N1101" t="str">
            <v>BRACKET SEAT (0397)</v>
          </cell>
          <cell r="O1101" t="str">
            <v>3478F</v>
          </cell>
          <cell r="P1101" t="str">
            <v>TSIS</v>
          </cell>
          <cell r="Q1101" t="str">
            <v>tsi</v>
          </cell>
        </row>
        <row r="1102">
          <cell r="A1102">
            <v>30032964</v>
          </cell>
          <cell r="B1102" t="str">
            <v>3.2 x 89 x1219</v>
          </cell>
          <cell r="C1102">
            <v>3.2</v>
          </cell>
          <cell r="D1102">
            <v>89</v>
          </cell>
          <cell r="E1102">
            <v>1219</v>
          </cell>
          <cell r="F1102">
            <v>2.7252939199999999</v>
          </cell>
          <cell r="G1102">
            <v>47</v>
          </cell>
          <cell r="I1102" t="str">
            <v>SPHC-P/O</v>
          </cell>
          <cell r="J1102" t="str">
            <v>BRACKET SEAT 0399</v>
          </cell>
          <cell r="K1102" t="str">
            <v>3478R</v>
          </cell>
          <cell r="L1102" t="str">
            <v>TSIS</v>
          </cell>
          <cell r="M1102" t="str">
            <v>SPHC-P/O</v>
          </cell>
          <cell r="N1102" t="str">
            <v>BRACKET SEAT 0399</v>
          </cell>
          <cell r="O1102" t="str">
            <v>3478R</v>
          </cell>
          <cell r="P1102" t="str">
            <v>TSIS</v>
          </cell>
        </row>
        <row r="1103">
          <cell r="A1103">
            <v>30033800</v>
          </cell>
          <cell r="B1103" t="str">
            <v>3.2 x 137 x 1219</v>
          </cell>
          <cell r="C1103">
            <v>3.2</v>
          </cell>
          <cell r="D1103">
            <v>137</v>
          </cell>
          <cell r="E1103">
            <v>1219</v>
          </cell>
          <cell r="F1103">
            <v>4.19511536</v>
          </cell>
          <cell r="G1103">
            <v>24</v>
          </cell>
          <cell r="I1103" t="str">
            <v>JSH270C</v>
          </cell>
          <cell r="J1103" t="str">
            <v>STAY A, PILLION SEAT (K87A P)</v>
          </cell>
          <cell r="K1103" t="str">
            <v>K87A</v>
          </cell>
          <cell r="L1103" t="str">
            <v>K87A</v>
          </cell>
          <cell r="M1103" t="str">
            <v>JSH270C</v>
          </cell>
          <cell r="N1103" t="str">
            <v>STAY A, PILLION SEAT (K87A P)</v>
          </cell>
          <cell r="O1103" t="str">
            <v>K87A</v>
          </cell>
          <cell r="P1103" t="str">
            <v>K87A</v>
          </cell>
        </row>
        <row r="1104">
          <cell r="A1104">
            <v>30033801</v>
          </cell>
          <cell r="B1104" t="str">
            <v>2.0 x 90 x 1219</v>
          </cell>
          <cell r="C1104">
            <v>2</v>
          </cell>
          <cell r="D1104">
            <v>90</v>
          </cell>
          <cell r="E1104">
            <v>1219</v>
          </cell>
          <cell r="F1104">
            <v>1.7224470000000001</v>
          </cell>
          <cell r="G1104">
            <v>18</v>
          </cell>
          <cell r="H1104" t="str">
            <v>ใช้77005426 (73000682) ผ่าน tsgp(epc)</v>
          </cell>
          <cell r="I1104" t="str">
            <v>JSH270C</v>
          </cell>
          <cell r="J1104" t="str">
            <v>STAY B, PILLION SEAT (K87A P)</v>
          </cell>
          <cell r="K1104" t="str">
            <v>K87A</v>
          </cell>
          <cell r="L1104" t="str">
            <v>K87A</v>
          </cell>
          <cell r="M1104" t="str">
            <v>JSH270C</v>
          </cell>
          <cell r="N1104" t="str">
            <v>STAY B, PILLION SEAT (K87A P)</v>
          </cell>
          <cell r="O1104" t="str">
            <v>K87A</v>
          </cell>
          <cell r="P1104" t="str">
            <v>K87A</v>
          </cell>
          <cell r="Q1104" t="str">
            <v>ใช้77005426 (73000682) ผ่าน tsgp(epc)</v>
          </cell>
        </row>
        <row r="1105">
          <cell r="A1105" t="str">
            <v>30032961-1</v>
          </cell>
          <cell r="B1105" t="str">
            <v>2.0 x 191 x 1219</v>
          </cell>
          <cell r="C1105">
            <v>2</v>
          </cell>
          <cell r="D1105">
            <v>191</v>
          </cell>
          <cell r="E1105">
            <v>1219</v>
          </cell>
          <cell r="F1105">
            <v>3.6554153</v>
          </cell>
          <cell r="G1105">
            <v>23</v>
          </cell>
          <cell r="I1105" t="str">
            <v>SPHC-P/O</v>
          </cell>
          <cell r="J1105" t="str">
            <v>BRACKET SEAT 0414</v>
          </cell>
          <cell r="K1105" t="str">
            <v>3478R</v>
          </cell>
          <cell r="M1105" t="str">
            <v>SPHC-P/O</v>
          </cell>
          <cell r="N1105" t="str">
            <v>BRACKET SEAT 0414</v>
          </cell>
          <cell r="O1105" t="str">
            <v>3478R</v>
          </cell>
        </row>
        <row r="1106">
          <cell r="A1106" t="str">
            <v>30032961-2</v>
          </cell>
          <cell r="B1106" t="str">
            <v>1.6 x 70 x 1219</v>
          </cell>
          <cell r="C1106">
            <v>1.6</v>
          </cell>
          <cell r="D1106">
            <v>70</v>
          </cell>
          <cell r="E1106">
            <v>1219</v>
          </cell>
          <cell r="F1106">
            <v>1.0717448000000001</v>
          </cell>
          <cell r="G1106">
            <v>47</v>
          </cell>
          <cell r="H1106" t="str">
            <v>ใช้77005366 (30003242) ผ่าน tsgp(epc)</v>
          </cell>
          <cell r="I1106" t="str">
            <v>SPHC-P/O</v>
          </cell>
          <cell r="J1106" t="str">
            <v>BRACKET SEAT 0414(x2)</v>
          </cell>
          <cell r="K1106" t="str">
            <v>3478R</v>
          </cell>
          <cell r="M1106" t="str">
            <v>SPHC-P/O</v>
          </cell>
          <cell r="N1106" t="str">
            <v>BRACKET SEAT 0414(x2)</v>
          </cell>
          <cell r="O1106" t="str">
            <v>3478R</v>
          </cell>
          <cell r="Q1106" t="str">
            <v>ใช้77005366 (30003242) ผ่าน tsgp(epc)</v>
          </cell>
        </row>
        <row r="1107">
          <cell r="A1107">
            <v>30036774</v>
          </cell>
          <cell r="B1107" t="str">
            <v>3.2 x 78 x 1219</v>
          </cell>
          <cell r="C1107">
            <v>3.2</v>
          </cell>
          <cell r="D1107">
            <v>78</v>
          </cell>
          <cell r="E1107">
            <v>1219</v>
          </cell>
          <cell r="F1107">
            <v>2.3884598399999999</v>
          </cell>
          <cell r="G1107">
            <v>37</v>
          </cell>
          <cell r="I1107" t="str">
            <v>JSH590R</v>
          </cell>
          <cell r="J1107" t="str">
            <v>HOOK R P SEAT</v>
          </cell>
          <cell r="K1107" t="str">
            <v>77306-K0AA-E100</v>
          </cell>
          <cell r="M1107" t="str">
            <v>JSH590R</v>
          </cell>
          <cell r="N1107" t="str">
            <v>HOOK R P SEAT</v>
          </cell>
          <cell r="O1107" t="str">
            <v>77306-K0AA-E100</v>
          </cell>
        </row>
        <row r="1108">
          <cell r="A1108">
            <v>30036775</v>
          </cell>
          <cell r="B1108" t="str">
            <v>3.2 x 78 x 1219</v>
          </cell>
          <cell r="C1108">
            <v>3.2</v>
          </cell>
          <cell r="D1108">
            <v>78</v>
          </cell>
          <cell r="E1108">
            <v>1219</v>
          </cell>
          <cell r="F1108">
            <v>2.3884598399999999</v>
          </cell>
          <cell r="G1108">
            <v>37</v>
          </cell>
          <cell r="I1108" t="str">
            <v>JSH590R</v>
          </cell>
          <cell r="J1108" t="str">
            <v>HOOK L P SEAT</v>
          </cell>
          <cell r="K1108" t="str">
            <v>77307-K0AA-E101</v>
          </cell>
          <cell r="M1108" t="str">
            <v>JSH590R</v>
          </cell>
          <cell r="N1108" t="str">
            <v>HOOK L P SEAT</v>
          </cell>
          <cell r="O1108" t="str">
            <v>77307-K0AA-E101</v>
          </cell>
        </row>
        <row r="1109">
          <cell r="A1109" t="str">
            <v>30015909-1</v>
          </cell>
          <cell r="B1109" t="str">
            <v>2.0 x 52 x 1219</v>
          </cell>
          <cell r="C1109">
            <v>2</v>
          </cell>
          <cell r="D1109">
            <v>52</v>
          </cell>
          <cell r="E1109">
            <v>1219</v>
          </cell>
          <cell r="F1109">
            <v>0.99519159999999995</v>
          </cell>
          <cell r="G1109">
            <v>15</v>
          </cell>
          <cell r="H1109" t="str">
            <v>ใช้77005366 (30023392-4) ผ่าน tsgp(ptt)</v>
          </cell>
          <cell r="I1109" t="str">
            <v>SPHC-P/O</v>
          </cell>
          <cell r="J1109" t="str">
            <v>HING SEAT (KWWM)MFZn2-c สีขาว</v>
          </cell>
          <cell r="K1109" t="str">
            <v>4110/4111</v>
          </cell>
          <cell r="L1109" t="str">
            <v>KWWM</v>
          </cell>
          <cell r="M1109" t="str">
            <v>SPHC-P/O</v>
          </cell>
          <cell r="N1109" t="str">
            <v>HING SEAT (KWWM)MFZn2-c สีขาว</v>
          </cell>
          <cell r="O1109" t="str">
            <v>4110/4111</v>
          </cell>
          <cell r="P1109" t="str">
            <v>KWWM</v>
          </cell>
          <cell r="Q1109" t="str">
            <v>ใช้77005366 (30003242) ผ่าน tsgp(ptt)</v>
          </cell>
        </row>
        <row r="1110">
          <cell r="A1110" t="str">
            <v>30053551-1</v>
          </cell>
          <cell r="B1110" t="str">
            <v>1.6 x 70 x 1219</v>
          </cell>
          <cell r="C1110">
            <v>1.6</v>
          </cell>
          <cell r="D1110">
            <v>70</v>
          </cell>
          <cell r="E1110">
            <v>1219</v>
          </cell>
          <cell r="F1110">
            <v>1.0717448000000001</v>
          </cell>
          <cell r="G1110">
            <v>39</v>
          </cell>
          <cell r="H1110" t="str">
            <v>ใช้77005366 (30003242) ผ่าน tsgp(epc)</v>
          </cell>
          <cell r="I1110" t="str">
            <v>JSH270C</v>
          </cell>
          <cell r="J1110" t="str">
            <v>PLATE SEAT SET</v>
          </cell>
          <cell r="K1110" t="str">
            <v>77201-K3NA-000</v>
          </cell>
          <cell r="L1110" t="str">
            <v>K3NF</v>
          </cell>
          <cell r="M1110" t="str">
            <v>JSH270C</v>
          </cell>
          <cell r="N1110" t="str">
            <v>PLATE SEAT SET</v>
          </cell>
          <cell r="O1110" t="str">
            <v>77201-K3NA-000</v>
          </cell>
          <cell r="P1110" t="str">
            <v>K3NF</v>
          </cell>
        </row>
        <row r="1111">
          <cell r="A1111" t="str">
            <v>ไม่มีรายการใน Forecast</v>
          </cell>
        </row>
        <row r="1112">
          <cell r="A1112">
            <v>30009524</v>
          </cell>
          <cell r="B1112" t="str">
            <v>2.0 x 52 x 1219</v>
          </cell>
          <cell r="C1112">
            <v>2</v>
          </cell>
          <cell r="D1112">
            <v>52</v>
          </cell>
          <cell r="E1112">
            <v>1219</v>
          </cell>
          <cell r="F1112">
            <v>0.99519159999999995</v>
          </cell>
          <cell r="G1112">
            <v>15</v>
          </cell>
          <cell r="I1112" t="str">
            <v>SPHC-P/O</v>
          </cell>
          <cell r="J1112" t="str">
            <v>HING SEAT (KWBA)</v>
          </cell>
          <cell r="K1112" t="str">
            <v>KWBA</v>
          </cell>
          <cell r="L1112" t="str">
            <v>TSIS</v>
          </cell>
          <cell r="M1112" t="str">
            <v>SPHC-P/O</v>
          </cell>
          <cell r="N1112" t="str">
            <v>HING SEAT (KWBA)</v>
          </cell>
          <cell r="O1112" t="str">
            <v>KWBA</v>
          </cell>
          <cell r="P1112" t="str">
            <v>TSIS</v>
          </cell>
          <cell r="R1112">
            <v>300</v>
          </cell>
        </row>
        <row r="1113">
          <cell r="A1113">
            <v>30014504</v>
          </cell>
          <cell r="B1113" t="str">
            <v>2.3 x 113 x 1219</v>
          </cell>
          <cell r="C1113">
            <v>2.2999999999999998</v>
          </cell>
          <cell r="D1113">
            <v>113</v>
          </cell>
          <cell r="E1113">
            <v>1219</v>
          </cell>
          <cell r="F1113">
            <v>2.4870220849999995</v>
          </cell>
          <cell r="G1113">
            <v>25</v>
          </cell>
          <cell r="I1113" t="str">
            <v>SPHC-P/O</v>
          </cell>
          <cell r="J1113" t="str">
            <v>BRACKET SEAT FRONT (2121)</v>
          </cell>
          <cell r="K1113">
            <v>0</v>
          </cell>
          <cell r="L1113" t="str">
            <v>TSIS</v>
          </cell>
          <cell r="M1113" t="str">
            <v>SPHC-P/O</v>
          </cell>
          <cell r="N1113" t="str">
            <v>BRACKET SEAT FRONT (2121)</v>
          </cell>
          <cell r="O1113">
            <v>0</v>
          </cell>
          <cell r="P1113" t="str">
            <v>TSIS</v>
          </cell>
          <cell r="R1113">
            <v>150</v>
          </cell>
        </row>
        <row r="1114">
          <cell r="A1114">
            <v>30014505</v>
          </cell>
          <cell r="B1114" t="str">
            <v>3.2 x 86 x 1219</v>
          </cell>
          <cell r="C1114">
            <v>3.2</v>
          </cell>
          <cell r="D1114">
            <v>86</v>
          </cell>
          <cell r="E1114">
            <v>1219</v>
          </cell>
          <cell r="F1114">
            <v>2.6334300799999997</v>
          </cell>
          <cell r="G1114">
            <v>48</v>
          </cell>
          <cell r="I1114" t="str">
            <v>SPHC-P/O</v>
          </cell>
          <cell r="J1114" t="str">
            <v>BRACKET SEAT FRONT (2121)</v>
          </cell>
          <cell r="K1114">
            <v>0</v>
          </cell>
          <cell r="L1114" t="str">
            <v>TSIS</v>
          </cell>
          <cell r="M1114" t="str">
            <v>SPHC-P/O</v>
          </cell>
          <cell r="N1114" t="str">
            <v>BRACKET SEAT FRONT (2121)</v>
          </cell>
          <cell r="O1114">
            <v>0</v>
          </cell>
          <cell r="P1114" t="str">
            <v>TSIS</v>
          </cell>
        </row>
        <row r="1116">
          <cell r="A1116" t="str">
            <v>ชิ้นงาน NST</v>
          </cell>
          <cell r="E1116" t="str">
            <v>เหล็ก PO ซื้อ BM    เหล็ก SPCC ซื้อ T</v>
          </cell>
        </row>
        <row r="1117">
          <cell r="A1117" t="str">
            <v>imp002</v>
          </cell>
          <cell r="B1117" t="str">
            <v>3.2 x 76 x 1219</v>
          </cell>
          <cell r="C1117">
            <v>3.2</v>
          </cell>
          <cell r="D1117">
            <v>76</v>
          </cell>
          <cell r="E1117">
            <v>1219</v>
          </cell>
          <cell r="F1117">
            <v>2.33</v>
          </cell>
          <cell r="G1117">
            <v>43</v>
          </cell>
          <cell r="I1117" t="str">
            <v>SPHC-P/O</v>
          </cell>
          <cell r="J1117" t="str">
            <v>STOP CENTER STAND</v>
          </cell>
          <cell r="K1117" t="str">
            <v>242-121-09G60</v>
          </cell>
          <cell r="L1117" t="str">
            <v>N</v>
          </cell>
          <cell r="M1117" t="str">
            <v>SPHC-P/O</v>
          </cell>
          <cell r="N1117" t="str">
            <v>STOP CENTER STAND</v>
          </cell>
          <cell r="O1117" t="str">
            <v>242-121-09G60</v>
          </cell>
          <cell r="P1117" t="str">
            <v>N</v>
          </cell>
        </row>
        <row r="1118">
          <cell r="A1118" t="str">
            <v>N009</v>
          </cell>
          <cell r="B1118" t="str">
            <v>3.2 x 79 x 1219</v>
          </cell>
          <cell r="C1118">
            <v>3.2</v>
          </cell>
          <cell r="D1118">
            <v>79</v>
          </cell>
          <cell r="E1118">
            <v>1219</v>
          </cell>
          <cell r="F1118">
            <v>2.42</v>
          </cell>
          <cell r="G1118">
            <v>43</v>
          </cell>
          <cell r="I1118" t="str">
            <v>SPHC-P/O</v>
          </cell>
          <cell r="J1118" t="str">
            <v>STOP CENTER STAND R</v>
          </cell>
          <cell r="K1118" t="str">
            <v>242-121-09G00</v>
          </cell>
          <cell r="L1118" t="str">
            <v>N</v>
          </cell>
          <cell r="M1118" t="str">
            <v>SPHC-P/O</v>
          </cell>
          <cell r="N1118" t="str">
            <v>STOP CENTER STAND R</v>
          </cell>
          <cell r="O1118" t="str">
            <v>242-121-09G00</v>
          </cell>
          <cell r="P1118" t="str">
            <v>N</v>
          </cell>
        </row>
        <row r="1119">
          <cell r="A1119" t="str">
            <v>imp004</v>
          </cell>
          <cell r="B1119" t="str">
            <v>2.6 x 60 x 1219</v>
          </cell>
          <cell r="C1119">
            <v>2.6</v>
          </cell>
          <cell r="D1119">
            <v>60</v>
          </cell>
          <cell r="E1119">
            <v>1219</v>
          </cell>
          <cell r="F1119">
            <v>1.49</v>
          </cell>
          <cell r="G1119">
            <v>41</v>
          </cell>
          <cell r="I1119" t="str">
            <v>SPHC-P/O</v>
          </cell>
          <cell r="J1119" t="str">
            <v>STOP CENTER STAND REAR</v>
          </cell>
          <cell r="K1119" t="str">
            <v>242-131-09G00</v>
          </cell>
          <cell r="L1119" t="str">
            <v>N</v>
          </cell>
          <cell r="M1119" t="str">
            <v>SPHC-P/O</v>
          </cell>
          <cell r="N1119" t="str">
            <v>STOP CENTER STAND REAR</v>
          </cell>
          <cell r="O1119" t="str">
            <v>242-131-09G00</v>
          </cell>
          <cell r="P1119" t="str">
            <v>N</v>
          </cell>
        </row>
        <row r="1120">
          <cell r="A1120" t="str">
            <v>imp006</v>
          </cell>
          <cell r="B1120" t="str">
            <v>2.0 x 129 x 1219</v>
          </cell>
          <cell r="C1120">
            <v>2</v>
          </cell>
          <cell r="D1120">
            <v>129</v>
          </cell>
          <cell r="E1120">
            <v>1219</v>
          </cell>
          <cell r="F1120">
            <v>2.4700000000000002</v>
          </cell>
          <cell r="G1120">
            <v>31</v>
          </cell>
          <cell r="I1120" t="str">
            <v>SPHC-P/O</v>
          </cell>
          <cell r="J1120" t="str">
            <v>PLATE,FRM HD COV,LOWER</v>
          </cell>
          <cell r="K1120" t="str">
            <v>251-862-45H00</v>
          </cell>
          <cell r="L1120" t="str">
            <v>N</v>
          </cell>
          <cell r="M1120" t="str">
            <v>SPHC-P/O</v>
          </cell>
          <cell r="N1120" t="str">
            <v>PLATE,FRM HD COV,LOWER</v>
          </cell>
          <cell r="O1120" t="str">
            <v>251-862-45H00</v>
          </cell>
          <cell r="P1120" t="str">
            <v>N</v>
          </cell>
          <cell r="R1120">
            <v>150</v>
          </cell>
        </row>
        <row r="1121">
          <cell r="A1121" t="str">
            <v>imp007</v>
          </cell>
          <cell r="B1121" t="str">
            <v>2.0 x 143 x 1219</v>
          </cell>
          <cell r="C1121">
            <v>2</v>
          </cell>
          <cell r="D1121">
            <v>143</v>
          </cell>
          <cell r="E1121">
            <v>1219</v>
          </cell>
          <cell r="F1121">
            <v>2.74</v>
          </cell>
          <cell r="G1121">
            <v>31</v>
          </cell>
          <cell r="I1121" t="str">
            <v>SPHC-P/O</v>
          </cell>
          <cell r="J1121" t="str">
            <v>PLATE,FRM HD COV,UPPER</v>
          </cell>
          <cell r="K1121" t="str">
            <v>251-863-45H00</v>
          </cell>
          <cell r="L1121" t="str">
            <v>N</v>
          </cell>
          <cell r="M1121" t="str">
            <v>SPHC-P/O</v>
          </cell>
          <cell r="N1121" t="str">
            <v>PLATE,FRM HD COV,UPPER</v>
          </cell>
          <cell r="O1121" t="str">
            <v>251-863-45H00</v>
          </cell>
          <cell r="P1121" t="str">
            <v>N</v>
          </cell>
          <cell r="R1121">
            <v>150</v>
          </cell>
        </row>
        <row r="1122">
          <cell r="A1122" t="str">
            <v>N020</v>
          </cell>
          <cell r="B1122" t="str">
            <v>2.0 x 37 x 1219</v>
          </cell>
          <cell r="C1122">
            <v>2</v>
          </cell>
          <cell r="D1122">
            <v>37</v>
          </cell>
          <cell r="E1122">
            <v>1219</v>
          </cell>
          <cell r="F1122">
            <v>0.71</v>
          </cell>
          <cell r="G1122">
            <v>35</v>
          </cell>
          <cell r="I1122" t="str">
            <v>SPHC-P/O</v>
          </cell>
          <cell r="J1122" t="str">
            <v>BRACKET HORN</v>
          </cell>
          <cell r="K1122" t="str">
            <v>251-864-45H00</v>
          </cell>
          <cell r="L1122" t="str">
            <v>N</v>
          </cell>
          <cell r="M1122" t="str">
            <v>SPHC-P/O</v>
          </cell>
          <cell r="N1122" t="str">
            <v>BRACKET HORN</v>
          </cell>
          <cell r="O1122" t="str">
            <v>251-864-45H00</v>
          </cell>
          <cell r="P1122" t="str">
            <v>N</v>
          </cell>
        </row>
        <row r="1123">
          <cell r="A1123" t="str">
            <v>imp008-1</v>
          </cell>
          <cell r="B1123" t="str">
            <v>1.6 x 83 x 1219</v>
          </cell>
          <cell r="C1123">
            <v>1.6</v>
          </cell>
          <cell r="D1123">
            <v>83</v>
          </cell>
          <cell r="E1123">
            <v>1219</v>
          </cell>
          <cell r="F1123">
            <v>1.27</v>
          </cell>
          <cell r="G1123">
            <v>48</v>
          </cell>
          <cell r="H1123" t="str">
            <v>ใช้77005373 (73001575-1) ผ่าน tsgp(epc)</v>
          </cell>
          <cell r="I1123" t="str">
            <v>SPHC-P/O</v>
          </cell>
          <cell r="J1123" t="str">
            <v>BRACKET RECTIFIER</v>
          </cell>
          <cell r="K1123" t="str">
            <v>251-866-45H00</v>
          </cell>
          <cell r="L1123" t="str">
            <v>N</v>
          </cell>
          <cell r="M1123" t="str">
            <v>SPHC-P/O</v>
          </cell>
          <cell r="N1123" t="str">
            <v>BRACKET RECTIFIER</v>
          </cell>
          <cell r="O1123" t="str">
            <v>251-866-45H00</v>
          </cell>
          <cell r="P1123" t="str">
            <v>N</v>
          </cell>
        </row>
        <row r="1124">
          <cell r="A1124" t="str">
            <v>imp010-1</v>
          </cell>
          <cell r="B1124" t="str">
            <v>1.6 x 70 x 1219</v>
          </cell>
          <cell r="C1124">
            <v>1.6</v>
          </cell>
          <cell r="D1124">
            <v>70</v>
          </cell>
          <cell r="E1124">
            <v>1219</v>
          </cell>
          <cell r="F1124">
            <v>1.07</v>
          </cell>
          <cell r="G1124">
            <v>42</v>
          </cell>
          <cell r="H1124" t="str">
            <v>ใช้77005366 (30003242) ผ่าน tsgp(epc)</v>
          </cell>
          <cell r="I1124" t="str">
            <v>SPHC-P/O</v>
          </cell>
          <cell r="J1124" t="str">
            <v>BRACKET HANDLE COVER FR (145)</v>
          </cell>
          <cell r="K1124" t="str">
            <v>256-131-45H00</v>
          </cell>
          <cell r="L1124" t="str">
            <v>N</v>
          </cell>
          <cell r="M1124" t="str">
            <v>SPHC-P/O</v>
          </cell>
          <cell r="N1124" t="str">
            <v>BRACKET HANDLE COVER FR (145)</v>
          </cell>
          <cell r="O1124" t="str">
            <v>256-131-45H00</v>
          </cell>
          <cell r="P1124" t="str">
            <v>N</v>
          </cell>
        </row>
        <row r="1125">
          <cell r="A1125" t="str">
            <v>N029</v>
          </cell>
          <cell r="B1125" t="str">
            <v>3.2 x 78 x 1219</v>
          </cell>
          <cell r="C1125">
            <v>3.2</v>
          </cell>
          <cell r="D1125">
            <v>78</v>
          </cell>
          <cell r="E1125">
            <v>1219</v>
          </cell>
          <cell r="F1125">
            <v>2.39</v>
          </cell>
          <cell r="G1125">
            <v>52</v>
          </cell>
          <cell r="I1125" t="str">
            <v>SPHC-P/O</v>
          </cell>
          <cell r="J1125" t="str">
            <v>BRACKET LOW</v>
          </cell>
          <cell r="K1125" t="str">
            <v>27557S0173-2-BL (173-4)</v>
          </cell>
          <cell r="L1125" t="str">
            <v>N</v>
          </cell>
          <cell r="M1125" t="str">
            <v>SPHC-P/O</v>
          </cell>
          <cell r="N1125" t="str">
            <v>BRACKET LOW</v>
          </cell>
          <cell r="O1125" t="str">
            <v>27557S0173-2-BL (173-4)</v>
          </cell>
          <cell r="P1125" t="str">
            <v>N</v>
          </cell>
        </row>
        <row r="1126">
          <cell r="A1126" t="str">
            <v>N030</v>
          </cell>
          <cell r="B1126" t="str">
            <v>2.6 x 96 x 1219</v>
          </cell>
          <cell r="C1126">
            <v>2.6</v>
          </cell>
          <cell r="D1126">
            <v>96</v>
          </cell>
          <cell r="E1126">
            <v>1219</v>
          </cell>
          <cell r="F1126">
            <v>2.39</v>
          </cell>
          <cell r="G1126">
            <v>32</v>
          </cell>
          <cell r="I1126" t="str">
            <v>SPHC-P/O</v>
          </cell>
          <cell r="J1126" t="str">
            <v>PLATE SWING STOP RR</v>
          </cell>
          <cell r="K1126" t="str">
            <v>24118612J00-BL</v>
          </cell>
          <cell r="L1126" t="str">
            <v>N</v>
          </cell>
          <cell r="M1126" t="str">
            <v>SPHC-P/O</v>
          </cell>
          <cell r="N1126" t="str">
            <v>PLATE SWING STOP RR</v>
          </cell>
          <cell r="O1126" t="str">
            <v>24118612J00-BL</v>
          </cell>
          <cell r="P1126" t="str">
            <v>N</v>
          </cell>
        </row>
        <row r="1127">
          <cell r="A1127" t="str">
            <v>N031</v>
          </cell>
          <cell r="B1127" t="str">
            <v>2.6 x 121 x 1219</v>
          </cell>
          <cell r="C1127">
            <v>2.6</v>
          </cell>
          <cell r="D1127">
            <v>121</v>
          </cell>
          <cell r="E1127">
            <v>1219</v>
          </cell>
          <cell r="F1127">
            <v>3.01</v>
          </cell>
          <cell r="G1127">
            <v>16</v>
          </cell>
          <cell r="I1127" t="str">
            <v>SPHC-P/O</v>
          </cell>
          <cell r="J1127" t="str">
            <v>BRACKET R&amp;L</v>
          </cell>
          <cell r="K1127" t="str">
            <v>27557S0088-1-BL</v>
          </cell>
          <cell r="L1127" t="str">
            <v>N</v>
          </cell>
          <cell r="M1127" t="str">
            <v>SPHC-P/O</v>
          </cell>
          <cell r="N1127" t="str">
            <v>BRACKET R&amp;L</v>
          </cell>
          <cell r="O1127" t="str">
            <v>27557S0088-1-BL</v>
          </cell>
          <cell r="P1127" t="str">
            <v>N</v>
          </cell>
        </row>
        <row r="1128">
          <cell r="A1128" t="str">
            <v>N032</v>
          </cell>
          <cell r="B1128" t="str">
            <v>1.2 x 52 x 1219</v>
          </cell>
          <cell r="C1128">
            <v>1.2</v>
          </cell>
          <cell r="D1128">
            <v>52</v>
          </cell>
          <cell r="E1128">
            <v>1219</v>
          </cell>
          <cell r="F1128">
            <v>0.6</v>
          </cell>
          <cell r="G1128">
            <v>28</v>
          </cell>
          <cell r="I1128" t="str">
            <v>SPCC-SD</v>
          </cell>
          <cell r="J1128" t="str">
            <v>COVER SPEED SENSOR</v>
          </cell>
          <cell r="K1128" t="str">
            <v>23499420G00-BL</v>
          </cell>
          <cell r="L1128" t="str">
            <v>N</v>
          </cell>
          <cell r="M1128" t="str">
            <v>SPCC-SD</v>
          </cell>
          <cell r="N1128" t="str">
            <v>COVER SPEED SENSOR</v>
          </cell>
          <cell r="O1128" t="str">
            <v>23499420G00-BL</v>
          </cell>
          <cell r="P1128" t="str">
            <v>N</v>
          </cell>
        </row>
        <row r="1129">
          <cell r="A1129" t="str">
            <v>N033</v>
          </cell>
          <cell r="B1129" t="str">
            <v>1.6 x 121 x 1219</v>
          </cell>
          <cell r="C1129">
            <v>1.6</v>
          </cell>
          <cell r="D1129">
            <v>121</v>
          </cell>
          <cell r="E1129">
            <v>1219</v>
          </cell>
          <cell r="F1129">
            <v>1.85</v>
          </cell>
          <cell r="G1129">
            <v>24</v>
          </cell>
          <cell r="I1129" t="str">
            <v>SPHC-P/O</v>
          </cell>
          <cell r="J1129" t="str">
            <v>REINF HANDLE BAR L&amp;R</v>
          </cell>
          <cell r="K1129" t="str">
            <v>25618222100-BL</v>
          </cell>
          <cell r="L1129" t="str">
            <v>N</v>
          </cell>
          <cell r="M1129" t="str">
            <v>SPHC-P/O</v>
          </cell>
          <cell r="N1129" t="str">
            <v>REINF HANDLE BAR L&amp;R</v>
          </cell>
          <cell r="O1129" t="str">
            <v>25618222100-BL</v>
          </cell>
          <cell r="P1129" t="str">
            <v>N</v>
          </cell>
        </row>
        <row r="1130">
          <cell r="A1130" t="str">
            <v>N034</v>
          </cell>
          <cell r="B1130" t="str">
            <v>3.2 x 130 x 1219</v>
          </cell>
          <cell r="C1130">
            <v>3.2</v>
          </cell>
          <cell r="D1130">
            <v>130</v>
          </cell>
          <cell r="E1130">
            <v>1219</v>
          </cell>
          <cell r="F1130">
            <v>3.98</v>
          </cell>
          <cell r="G1130">
            <v>9</v>
          </cell>
          <cell r="I1130" t="str">
            <v>SPHC-P/O</v>
          </cell>
          <cell r="J1130" t="str">
            <v>BRACKET LOW</v>
          </cell>
          <cell r="K1130" t="str">
            <v>27557S0173-1-BL (173-3)</v>
          </cell>
          <cell r="L1130" t="str">
            <v>N</v>
          </cell>
          <cell r="M1130" t="str">
            <v>SPHC-P/O</v>
          </cell>
          <cell r="N1130" t="str">
            <v>BRACKET LOW</v>
          </cell>
          <cell r="O1130" t="str">
            <v>27557S0173-1-BL (173-3)</v>
          </cell>
          <cell r="P1130" t="str">
            <v>N</v>
          </cell>
        </row>
        <row r="1131">
          <cell r="A1131" t="str">
            <v>N035</v>
          </cell>
          <cell r="B1131" t="str">
            <v>3.2 x 203 x 1219</v>
          </cell>
          <cell r="C1131">
            <v>3.2</v>
          </cell>
          <cell r="D1131">
            <v>203</v>
          </cell>
          <cell r="E1131">
            <v>1219</v>
          </cell>
          <cell r="F1131">
            <v>6.22</v>
          </cell>
          <cell r="G1131">
            <v>0</v>
          </cell>
          <cell r="I1131" t="str">
            <v>SPHC-P/O</v>
          </cell>
          <cell r="J1131" t="str">
            <v>BRACKET MOUNT A</v>
          </cell>
          <cell r="K1131" t="str">
            <v>27904S0590-BL</v>
          </cell>
          <cell r="L1131" t="str">
            <v>N</v>
          </cell>
          <cell r="M1131" t="str">
            <v>SPHC-P/O</v>
          </cell>
          <cell r="N1131" t="str">
            <v>BRACKET MOUNT A</v>
          </cell>
          <cell r="O1131" t="str">
            <v>27904S0590-BL</v>
          </cell>
          <cell r="P1131" t="str">
            <v>N</v>
          </cell>
        </row>
        <row r="1132">
          <cell r="A1132" t="str">
            <v>N036</v>
          </cell>
          <cell r="B1132" t="str">
            <v>1.6 x 341 x 1219</v>
          </cell>
          <cell r="C1132">
            <v>1.6</v>
          </cell>
          <cell r="D1132">
            <v>341</v>
          </cell>
          <cell r="E1132">
            <v>1219</v>
          </cell>
          <cell r="F1132">
            <v>5.22</v>
          </cell>
          <cell r="G1132">
            <v>9</v>
          </cell>
          <cell r="I1132" t="str">
            <v>SPHC-P/O</v>
          </cell>
          <cell r="J1132" t="str">
            <v>BRACKET SET ACTUTOR</v>
          </cell>
          <cell r="K1132" t="str">
            <v>25601984M00-BL</v>
          </cell>
          <cell r="L1132" t="str">
            <v>N</v>
          </cell>
          <cell r="M1132" t="str">
            <v>SPHC-P/O</v>
          </cell>
          <cell r="N1132" t="str">
            <v>BRACKET SET ACTUTOR</v>
          </cell>
          <cell r="O1132" t="str">
            <v>25601984M00-BL</v>
          </cell>
          <cell r="P1132" t="str">
            <v>N</v>
          </cell>
        </row>
        <row r="1133">
          <cell r="A1133" t="str">
            <v>N037</v>
          </cell>
          <cell r="B1133" t="str">
            <v>3.2 x 125 x 1219</v>
          </cell>
          <cell r="C1133">
            <v>3.2</v>
          </cell>
          <cell r="D1133">
            <v>125</v>
          </cell>
          <cell r="E1133">
            <v>1219</v>
          </cell>
          <cell r="F1133">
            <v>3.83</v>
          </cell>
          <cell r="G1133">
            <v>32</v>
          </cell>
          <cell r="I1133" t="str">
            <v>SPHC-P/O</v>
          </cell>
          <cell r="J1133" t="str">
            <v>PLATE</v>
          </cell>
          <cell r="K1133" t="str">
            <v>220Y4341173-02-BL (1173-6)</v>
          </cell>
          <cell r="L1133" t="str">
            <v>N</v>
          </cell>
          <cell r="M1133" t="str">
            <v>SPHC-P/O</v>
          </cell>
          <cell r="N1133" t="str">
            <v>PLATE</v>
          </cell>
          <cell r="O1133" t="str">
            <v>220Y4341173-02-BL (1173-6)</v>
          </cell>
          <cell r="P1133" t="str">
            <v>N</v>
          </cell>
        </row>
        <row r="1134">
          <cell r="A1134" t="str">
            <v>N039</v>
          </cell>
          <cell r="B1134" t="str">
            <v>3.2 x 74 x 1219</v>
          </cell>
          <cell r="C1134">
            <v>3.2</v>
          </cell>
          <cell r="D1134">
            <v>74</v>
          </cell>
          <cell r="E1134">
            <v>1219</v>
          </cell>
          <cell r="F1134">
            <v>2.27</v>
          </cell>
          <cell r="G1134">
            <v>35</v>
          </cell>
          <cell r="I1134" t="str">
            <v>SPHC-P/O</v>
          </cell>
          <cell r="J1134" t="str">
            <v>PLATE</v>
          </cell>
          <cell r="K1134" t="str">
            <v>220Y4341162-02-BL</v>
          </cell>
          <cell r="L1134" t="str">
            <v>N</v>
          </cell>
          <cell r="M1134" t="str">
            <v>SPHC-P/O</v>
          </cell>
          <cell r="N1134" t="str">
            <v>PLATE</v>
          </cell>
          <cell r="O1134" t="str">
            <v>220Y4341162-02-BL</v>
          </cell>
          <cell r="P1134" t="str">
            <v>N</v>
          </cell>
        </row>
        <row r="1135">
          <cell r="A1135" t="str">
            <v>N040</v>
          </cell>
          <cell r="B1135" t="str">
            <v>2.6 x 243 x 1219</v>
          </cell>
          <cell r="C1135">
            <v>2.6</v>
          </cell>
          <cell r="D1135">
            <v>243</v>
          </cell>
          <cell r="E1135">
            <v>1219</v>
          </cell>
          <cell r="F1135">
            <v>6.05</v>
          </cell>
          <cell r="G1135">
            <v>17</v>
          </cell>
          <cell r="I1135" t="str">
            <v>SPHC-P/O</v>
          </cell>
          <cell r="J1135" t="str">
            <v>BRACKET CRANKCASE</v>
          </cell>
          <cell r="K1135" t="str">
            <v>24118112J10-BL</v>
          </cell>
          <cell r="L1135" t="str">
            <v>N</v>
          </cell>
          <cell r="M1135" t="str">
            <v>SPHC-P/O</v>
          </cell>
          <cell r="N1135" t="str">
            <v>BRACKET CRANKCASE</v>
          </cell>
          <cell r="O1135" t="str">
            <v>24118112J10-BL</v>
          </cell>
          <cell r="P1135" t="str">
            <v>N</v>
          </cell>
        </row>
        <row r="1136">
          <cell r="A1136" t="str">
            <v>N041</v>
          </cell>
          <cell r="B1136" t="str">
            <v>6.0 x 85 x 1219</v>
          </cell>
          <cell r="C1136">
            <v>6</v>
          </cell>
          <cell r="D1136">
            <v>85</v>
          </cell>
          <cell r="E1136">
            <v>1219</v>
          </cell>
          <cell r="F1136">
            <v>4.88</v>
          </cell>
          <cell r="G1136">
            <v>26</v>
          </cell>
          <cell r="I1136" t="str">
            <v>SPFH590</v>
          </cell>
          <cell r="J1136" t="str">
            <v>BRACKET</v>
          </cell>
          <cell r="K1136" t="str">
            <v>2110571352-3 BL</v>
          </cell>
          <cell r="L1136" t="str">
            <v>N</v>
          </cell>
          <cell r="M1136" t="str">
            <v>SPFH590</v>
          </cell>
          <cell r="N1136" t="str">
            <v>BRACKET</v>
          </cell>
          <cell r="O1136" t="str">
            <v>2110571352-3 BL</v>
          </cell>
          <cell r="P1136" t="str">
            <v>N</v>
          </cell>
        </row>
        <row r="1137">
          <cell r="A1137" t="str">
            <v>imp018</v>
          </cell>
          <cell r="B1137" t="str">
            <v>2.0 x 184 x 1219</v>
          </cell>
          <cell r="C1137">
            <v>2</v>
          </cell>
          <cell r="D1137">
            <v>184</v>
          </cell>
          <cell r="E1137">
            <v>1219</v>
          </cell>
          <cell r="F1137">
            <v>3.52</v>
          </cell>
          <cell r="G1137">
            <v>15</v>
          </cell>
          <cell r="I1137" t="str">
            <v>SPCC-SD</v>
          </cell>
          <cell r="J1137" t="str">
            <v>STAY ENG MT</v>
          </cell>
          <cell r="K1137" t="str">
            <v>251110YH30001-BL</v>
          </cell>
          <cell r="L1137" t="str">
            <v>N</v>
          </cell>
          <cell r="M1137" t="str">
            <v>SPCC-SD</v>
          </cell>
          <cell r="N1137" t="str">
            <v>STAY ENG MT</v>
          </cell>
          <cell r="O1137" t="str">
            <v>251110YH30001-BL</v>
          </cell>
          <cell r="P1137" t="str">
            <v>N</v>
          </cell>
        </row>
        <row r="1138">
          <cell r="A1138" t="str">
            <v>N045</v>
          </cell>
          <cell r="B1138" t="str">
            <v>1.6 x 70 x 1219</v>
          </cell>
          <cell r="C1138">
            <v>1.6</v>
          </cell>
          <cell r="D1138">
            <v>70</v>
          </cell>
          <cell r="E1138">
            <v>1219</v>
          </cell>
          <cell r="F1138">
            <v>1.07</v>
          </cell>
          <cell r="G1138">
            <v>65</v>
          </cell>
          <cell r="I1138" t="str">
            <v>SPHC-P/O</v>
          </cell>
          <cell r="J1138" t="str">
            <v>CLAMP BRAKE HOSE LOWER</v>
          </cell>
          <cell r="K1138" t="str">
            <v>25924520G00-BL</v>
          </cell>
          <cell r="L1138" t="str">
            <v>N</v>
          </cell>
          <cell r="M1138" t="str">
            <v>SPHC-P/O</v>
          </cell>
          <cell r="N1138" t="str">
            <v>CLAMP BRAKE HOSE LOWER</v>
          </cell>
          <cell r="O1138" t="str">
            <v>25924520G00-BL</v>
          </cell>
          <cell r="P1138" t="str">
            <v>N</v>
          </cell>
        </row>
        <row r="1139">
          <cell r="A1139" t="str">
            <v>N048</v>
          </cell>
          <cell r="B1139" t="str">
            <v>1.6 x 209 x 1219</v>
          </cell>
          <cell r="C1139">
            <v>1.6</v>
          </cell>
          <cell r="D1139">
            <v>209</v>
          </cell>
          <cell r="E1139">
            <v>1219</v>
          </cell>
          <cell r="F1139">
            <v>3.2</v>
          </cell>
          <cell r="G1139">
            <v>20</v>
          </cell>
          <cell r="I1139" t="str">
            <v>SPHC-P/O</v>
          </cell>
          <cell r="J1139" t="str">
            <v>BRACKET TANK</v>
          </cell>
          <cell r="K1139" t="str">
            <v>2320520144-BL</v>
          </cell>
          <cell r="L1139" t="str">
            <v>N</v>
          </cell>
          <cell r="M1139" t="str">
            <v>SPHC-P/O</v>
          </cell>
          <cell r="N1139" t="str">
            <v>BRACKET TANK</v>
          </cell>
          <cell r="O1139" t="str">
            <v>2320520144-BL</v>
          </cell>
          <cell r="P1139" t="str">
            <v>N</v>
          </cell>
        </row>
        <row r="1140">
          <cell r="A1140" t="str">
            <v>imp020</v>
          </cell>
          <cell r="B1140" t="str">
            <v>3.2 x 140 x 1219</v>
          </cell>
          <cell r="C1140">
            <v>3.2</v>
          </cell>
          <cell r="D1140">
            <v>140</v>
          </cell>
          <cell r="E1140">
            <v>1219</v>
          </cell>
          <cell r="F1140">
            <v>4.29</v>
          </cell>
          <cell r="G1140">
            <v>9</v>
          </cell>
          <cell r="I1140" t="str">
            <v>SPHC-P/O</v>
          </cell>
          <cell r="J1140" t="str">
            <v>PLATE</v>
          </cell>
          <cell r="K1140" t="str">
            <v>220Y4341173-01-1-BL</v>
          </cell>
          <cell r="L1140" t="str">
            <v>N</v>
          </cell>
          <cell r="M1140" t="str">
            <v>SPHC-P/O</v>
          </cell>
          <cell r="N1140" t="str">
            <v>PLATE</v>
          </cell>
          <cell r="O1140" t="str">
            <v>220Y4341173-01-1-BL</v>
          </cell>
          <cell r="P1140" t="str">
            <v>N</v>
          </cell>
        </row>
        <row r="1141">
          <cell r="A1141" t="str">
            <v>N050</v>
          </cell>
          <cell r="B1141" t="str">
            <v>1.2 x 95 x 1219</v>
          </cell>
          <cell r="C1141">
            <v>1.2</v>
          </cell>
          <cell r="D1141">
            <v>95</v>
          </cell>
          <cell r="E1141">
            <v>1219</v>
          </cell>
          <cell r="F1141">
            <v>1.0900000000000001</v>
          </cell>
          <cell r="I1141" t="str">
            <v>SPCC-SD</v>
          </cell>
          <cell r="J1141" t="str">
            <v>BRACKET BTRY CABLE AUTO MT</v>
          </cell>
          <cell r="K1141" t="str">
            <v>23380176M10-BL</v>
          </cell>
          <cell r="L1141" t="str">
            <v>N</v>
          </cell>
          <cell r="M1141" t="str">
            <v>SPCC-SD</v>
          </cell>
          <cell r="N1141" t="str">
            <v>BRACKET BTRY CABLE AUTO MT</v>
          </cell>
          <cell r="O1141" t="str">
            <v>23380176M10-BL</v>
          </cell>
          <cell r="P1141" t="str">
            <v>N</v>
          </cell>
        </row>
        <row r="1142">
          <cell r="A1142" t="str">
            <v>N052</v>
          </cell>
          <cell r="B1142" t="str">
            <v>2.3 x 124 x 1219</v>
          </cell>
          <cell r="C1142">
            <v>2.2999999999999998</v>
          </cell>
          <cell r="D1142">
            <v>124</v>
          </cell>
          <cell r="E1142">
            <v>1219</v>
          </cell>
          <cell r="F1142">
            <v>2.73</v>
          </cell>
          <cell r="G1142">
            <v>15</v>
          </cell>
          <cell r="I1142" t="str">
            <v>SPCC-SD</v>
          </cell>
          <cell r="J1142" t="str">
            <v>COVER UNDER</v>
          </cell>
          <cell r="K1142" t="str">
            <v>28982789570-BL</v>
          </cell>
          <cell r="L1142" t="str">
            <v>N</v>
          </cell>
          <cell r="M1142" t="str">
            <v>SPCC-SD</v>
          </cell>
          <cell r="N1142" t="str">
            <v>COVER UNDER</v>
          </cell>
          <cell r="O1142" t="str">
            <v>28982789570-BL</v>
          </cell>
          <cell r="P1142" t="str">
            <v>N</v>
          </cell>
        </row>
        <row r="1143">
          <cell r="A1143" t="str">
            <v>N053</v>
          </cell>
          <cell r="B1143" t="str">
            <v>2.0 x 94 x 1219</v>
          </cell>
          <cell r="C1143">
            <v>2</v>
          </cell>
          <cell r="D1143">
            <v>94</v>
          </cell>
          <cell r="E1143">
            <v>1219</v>
          </cell>
          <cell r="F1143">
            <v>1.8</v>
          </cell>
          <cell r="G1143">
            <v>24</v>
          </cell>
          <cell r="I1143" t="str">
            <v>SPCC-SD</v>
          </cell>
          <cell r="J1143" t="str">
            <v>BRACKET KEY LOCK</v>
          </cell>
          <cell r="K1143" t="str">
            <v>27559S0328-2-BL (328-3)</v>
          </cell>
          <cell r="L1143" t="str">
            <v>N</v>
          </cell>
          <cell r="M1143" t="str">
            <v>SPCC-SD</v>
          </cell>
          <cell r="N1143" t="str">
            <v>BRACKET KEY LOCK</v>
          </cell>
          <cell r="O1143" t="str">
            <v>27559S0328-2-BL (328-3)</v>
          </cell>
          <cell r="P1143" t="str">
            <v>N</v>
          </cell>
        </row>
        <row r="1144">
          <cell r="A1144" t="str">
            <v>imp022</v>
          </cell>
          <cell r="B1144" t="str">
            <v>2.0 x 103 x 1219</v>
          </cell>
          <cell r="C1144">
            <v>2</v>
          </cell>
          <cell r="D1144">
            <v>103</v>
          </cell>
          <cell r="E1144">
            <v>1219</v>
          </cell>
          <cell r="F1144">
            <v>1.97</v>
          </cell>
          <cell r="G1144">
            <v>23</v>
          </cell>
          <cell r="I1144" t="str">
            <v>SPHC-P/O</v>
          </cell>
          <cell r="J1144" t="str">
            <v>BRACKET MANGER (09)</v>
          </cell>
          <cell r="K1144" t="str">
            <v>27904S0565-BL</v>
          </cell>
          <cell r="L1144" t="str">
            <v>N</v>
          </cell>
          <cell r="M1144" t="str">
            <v>SPHC-P/O</v>
          </cell>
          <cell r="N1144" t="str">
            <v>BRACKET MANGER (09)</v>
          </cell>
          <cell r="O1144" t="str">
            <v>27904S0565-BL</v>
          </cell>
          <cell r="P1144" t="str">
            <v>N</v>
          </cell>
        </row>
        <row r="1145">
          <cell r="A1145" t="str">
            <v>N058</v>
          </cell>
          <cell r="B1145" t="str">
            <v>2.0 x 72 x 1219</v>
          </cell>
          <cell r="C1145">
            <v>2</v>
          </cell>
          <cell r="D1145">
            <v>72</v>
          </cell>
          <cell r="E1145">
            <v>1219</v>
          </cell>
          <cell r="F1145">
            <v>1.39</v>
          </cell>
          <cell r="G1145">
            <v>54</v>
          </cell>
          <cell r="I1145" t="str">
            <v>SPHC-P/O</v>
          </cell>
          <cell r="J1145" t="str">
            <v>BRACKET</v>
          </cell>
          <cell r="K1145" t="str">
            <v>27557S0088-3-BL</v>
          </cell>
          <cell r="L1145" t="str">
            <v>N</v>
          </cell>
          <cell r="M1145" t="str">
            <v>SPHC-P/O</v>
          </cell>
          <cell r="N1145" t="str">
            <v>BRACKET</v>
          </cell>
          <cell r="O1145" t="str">
            <v>27557S0088-3-BL</v>
          </cell>
          <cell r="P1145" t="str">
            <v>N</v>
          </cell>
        </row>
        <row r="1146">
          <cell r="A1146" t="str">
            <v>N064</v>
          </cell>
          <cell r="B1146" t="str">
            <v>1.6 x 190 x 1219</v>
          </cell>
          <cell r="C1146">
            <v>1.6</v>
          </cell>
          <cell r="D1146">
            <v>190</v>
          </cell>
          <cell r="E1146">
            <v>1219</v>
          </cell>
          <cell r="F1146">
            <v>2.91</v>
          </cell>
          <cell r="G1146">
            <v>17</v>
          </cell>
          <cell r="I1146" t="str">
            <v>SPCC-SD</v>
          </cell>
          <cell r="J1146" t="str">
            <v>GUSSET</v>
          </cell>
          <cell r="K1146" t="str">
            <v>2321702198-1 BL</v>
          </cell>
          <cell r="L1146" t="str">
            <v>N</v>
          </cell>
          <cell r="M1146" t="str">
            <v>SPCC-SD</v>
          </cell>
          <cell r="N1146" t="str">
            <v>GUSSET</v>
          </cell>
          <cell r="O1146" t="str">
            <v>2321702198-1 BL</v>
          </cell>
          <cell r="P1146" t="str">
            <v>N</v>
          </cell>
        </row>
        <row r="1147">
          <cell r="A1147" t="str">
            <v>N065</v>
          </cell>
          <cell r="B1147" t="str">
            <v>2.0 x 177 x 1219</v>
          </cell>
          <cell r="C1147">
            <v>2</v>
          </cell>
          <cell r="D1147">
            <v>177</v>
          </cell>
          <cell r="E1147">
            <v>1219</v>
          </cell>
          <cell r="F1147">
            <v>3.39</v>
          </cell>
          <cell r="G1147">
            <v>0</v>
          </cell>
          <cell r="I1147" t="str">
            <v>SPHC-P/O</v>
          </cell>
          <cell r="J1147" t="str">
            <v>GUSSET</v>
          </cell>
          <cell r="K1147" t="str">
            <v>2321701943D</v>
          </cell>
          <cell r="L1147" t="str">
            <v>N</v>
          </cell>
          <cell r="M1147" t="str">
            <v>SPHC-P/O</v>
          </cell>
          <cell r="N1147" t="str">
            <v>GUSSET</v>
          </cell>
          <cell r="O1147" t="str">
            <v>2321701943D</v>
          </cell>
          <cell r="P1147" t="str">
            <v>N</v>
          </cell>
        </row>
        <row r="1148">
          <cell r="A1148" t="str">
            <v>N066</v>
          </cell>
          <cell r="B1148" t="str">
            <v>3.2 x 74 x 1219</v>
          </cell>
          <cell r="C1148">
            <v>3.2</v>
          </cell>
          <cell r="D1148">
            <v>74</v>
          </cell>
          <cell r="E1148">
            <v>1219</v>
          </cell>
          <cell r="F1148">
            <v>2.27</v>
          </cell>
          <cell r="G1148">
            <v>126</v>
          </cell>
          <cell r="H1148" t="str">
            <v>ใช้77005512 (30032464, 30032465) ผ่าน tsgp(epc)</v>
          </cell>
          <cell r="I1148" t="str">
            <v>SPHC-P/O</v>
          </cell>
          <cell r="J1148" t="str">
            <v>PLATE</v>
          </cell>
          <cell r="K1148" t="str">
            <v>220Y4341173-05-1 BL</v>
          </cell>
          <cell r="L1148" t="str">
            <v>N</v>
          </cell>
          <cell r="M1148" t="str">
            <v>SPHC-P/O</v>
          </cell>
          <cell r="N1148" t="str">
            <v>PLATE</v>
          </cell>
          <cell r="O1148" t="str">
            <v>220Y4341173-05-1 BL</v>
          </cell>
          <cell r="P1148" t="str">
            <v>N</v>
          </cell>
        </row>
        <row r="1149">
          <cell r="A1149" t="str">
            <v>N067</v>
          </cell>
          <cell r="B1149" t="str">
            <v>4.0 x 52 x 1219</v>
          </cell>
          <cell r="C1149">
            <v>4</v>
          </cell>
          <cell r="D1149">
            <v>52</v>
          </cell>
          <cell r="E1149">
            <v>1219</v>
          </cell>
          <cell r="F1149">
            <v>1.99</v>
          </cell>
          <cell r="G1149">
            <v>0</v>
          </cell>
          <cell r="I1149" t="str">
            <v>SPHC-P/O</v>
          </cell>
          <cell r="J1149" t="str">
            <v>BRACKET MOUNT B</v>
          </cell>
          <cell r="K1149" t="str">
            <v>27904S0757-BL</v>
          </cell>
          <cell r="L1149" t="str">
            <v>N</v>
          </cell>
          <cell r="M1149" t="str">
            <v>SPHC-P/O</v>
          </cell>
          <cell r="N1149" t="str">
            <v>BRACKET MOUNT B</v>
          </cell>
          <cell r="O1149" t="str">
            <v>27904S0757-BL</v>
          </cell>
          <cell r="P1149" t="str">
            <v>N</v>
          </cell>
        </row>
        <row r="1150">
          <cell r="A1150" t="str">
            <v>N068</v>
          </cell>
          <cell r="B1150" t="str">
            <v>2.0 x 140 z 1219</v>
          </cell>
          <cell r="C1150">
            <v>2</v>
          </cell>
          <cell r="D1150">
            <v>140</v>
          </cell>
          <cell r="E1150">
            <v>1219</v>
          </cell>
          <cell r="F1150">
            <v>2.68</v>
          </cell>
          <cell r="G1150">
            <v>0</v>
          </cell>
          <cell r="I1150" t="str">
            <v>SPHC-P/O</v>
          </cell>
          <cell r="J1150" t="str">
            <v>GUSSET</v>
          </cell>
          <cell r="K1150" t="str">
            <v>2321700218A-BL</v>
          </cell>
          <cell r="L1150" t="str">
            <v>N</v>
          </cell>
          <cell r="M1150" t="str">
            <v>SPHC-P/O</v>
          </cell>
          <cell r="N1150" t="str">
            <v>GUSSET</v>
          </cell>
          <cell r="O1150" t="str">
            <v>2321700218A-BL</v>
          </cell>
          <cell r="P1150" t="str">
            <v>N</v>
          </cell>
        </row>
        <row r="1151">
          <cell r="A1151" t="str">
            <v>N069</v>
          </cell>
          <cell r="B1151" t="str">
            <v>2.3 x 50 x 1219</v>
          </cell>
          <cell r="C1151">
            <v>2.2999999999999998</v>
          </cell>
          <cell r="D1151">
            <v>50</v>
          </cell>
          <cell r="E1151">
            <v>1219</v>
          </cell>
          <cell r="F1151">
            <v>1.1000000000000001</v>
          </cell>
          <cell r="G1151">
            <v>0</v>
          </cell>
          <cell r="I1151" t="str">
            <v>SPCC-SD</v>
          </cell>
          <cell r="J1151" t="str">
            <v>PLATE</v>
          </cell>
          <cell r="K1151" t="str">
            <v>1132711052-BL</v>
          </cell>
          <cell r="L1151" t="str">
            <v>N</v>
          </cell>
          <cell r="M1151" t="str">
            <v>SPCC-SD</v>
          </cell>
          <cell r="N1151" t="str">
            <v>PLATE</v>
          </cell>
          <cell r="O1151" t="str">
            <v>1132711052-BL</v>
          </cell>
          <cell r="P1151" t="str">
            <v>N</v>
          </cell>
        </row>
        <row r="1152">
          <cell r="A1152" t="str">
            <v>N071</v>
          </cell>
          <cell r="B1152" t="str">
            <v>1.6 x 160 x 1219</v>
          </cell>
          <cell r="C1152">
            <v>1.6</v>
          </cell>
          <cell r="D1152">
            <v>160</v>
          </cell>
          <cell r="E1152">
            <v>1219</v>
          </cell>
          <cell r="F1152">
            <v>2.4500000000000002</v>
          </cell>
          <cell r="G1152">
            <v>8</v>
          </cell>
          <cell r="H1152" t="str">
            <v>ใช้77005330 (30002706) ผ่าน tsgp(epc)</v>
          </cell>
          <cell r="I1152" t="str">
            <v>SPHC-P/O</v>
          </cell>
          <cell r="J1152" t="str">
            <v>OUTER</v>
          </cell>
          <cell r="K1152" t="str">
            <v>243008812-BL</v>
          </cell>
          <cell r="L1152" t="str">
            <v>N</v>
          </cell>
          <cell r="M1152" t="str">
            <v>SPHC-P/O</v>
          </cell>
          <cell r="N1152" t="str">
            <v>OUTER</v>
          </cell>
          <cell r="O1152" t="str">
            <v>243008812-BL</v>
          </cell>
          <cell r="P1152" t="str">
            <v>N</v>
          </cell>
          <cell r="R1152">
            <v>200</v>
          </cell>
        </row>
        <row r="1153">
          <cell r="A1153" t="str">
            <v>N074</v>
          </cell>
          <cell r="B1153" t="str">
            <v>3.2 x 153 x 1219</v>
          </cell>
          <cell r="C1153">
            <v>3.2</v>
          </cell>
          <cell r="D1153">
            <v>153</v>
          </cell>
          <cell r="E1153">
            <v>1219</v>
          </cell>
          <cell r="F1153">
            <v>4.6900000000000004</v>
          </cell>
          <cell r="G1153">
            <v>22</v>
          </cell>
          <cell r="I1153" t="str">
            <v>SPFH590</v>
          </cell>
          <cell r="J1153" t="str">
            <v>BRACKET COMP</v>
          </cell>
          <cell r="K1153" t="str">
            <v>2110570311-BL</v>
          </cell>
          <cell r="L1153" t="str">
            <v>N</v>
          </cell>
          <cell r="M1153" t="str">
            <v>SPFH590</v>
          </cell>
          <cell r="N1153" t="str">
            <v>BRACKET COMP</v>
          </cell>
          <cell r="O1153" t="str">
            <v>2110570311-BL</v>
          </cell>
          <cell r="P1153" t="str">
            <v>N</v>
          </cell>
        </row>
        <row r="1154">
          <cell r="A1154" t="str">
            <v>N075</v>
          </cell>
          <cell r="B1154" t="str">
            <v>1.2 x 67 x 1219</v>
          </cell>
          <cell r="C1154">
            <v>1.2</v>
          </cell>
          <cell r="D1154">
            <v>67</v>
          </cell>
          <cell r="E1154">
            <v>1219</v>
          </cell>
          <cell r="F1154">
            <v>0.77</v>
          </cell>
          <cell r="G1154">
            <v>33</v>
          </cell>
          <cell r="I1154" t="str">
            <v>SPCC-SD</v>
          </cell>
          <cell r="J1154" t="str">
            <v>BRACKET SPPORT (2840)</v>
          </cell>
          <cell r="K1154" t="str">
            <v>2898058820-BL</v>
          </cell>
          <cell r="L1154" t="str">
            <v>N</v>
          </cell>
          <cell r="M1154" t="str">
            <v>SPCC-SD</v>
          </cell>
          <cell r="N1154" t="str">
            <v>BRACKET SPPORT (2840)</v>
          </cell>
          <cell r="O1154" t="str">
            <v>2898058820-BL</v>
          </cell>
          <cell r="P1154" t="str">
            <v>N</v>
          </cell>
        </row>
        <row r="1155">
          <cell r="A1155" t="str">
            <v>N076</v>
          </cell>
          <cell r="B1155" t="str">
            <v>1.6 x 330 x 1219</v>
          </cell>
          <cell r="C1155">
            <v>1.6</v>
          </cell>
          <cell r="D1155">
            <v>330</v>
          </cell>
          <cell r="E1155">
            <v>1219</v>
          </cell>
          <cell r="F1155">
            <v>5.05</v>
          </cell>
          <cell r="G1155">
            <v>8</v>
          </cell>
          <cell r="I1155" t="str">
            <v>SPHC-P/O</v>
          </cell>
          <cell r="J1155" t="str">
            <v>BRACKET ACTUTOR</v>
          </cell>
          <cell r="K1155" t="str">
            <v>25616184M50-1BL</v>
          </cell>
          <cell r="L1155" t="str">
            <v>N</v>
          </cell>
          <cell r="M1155" t="str">
            <v>SPHC-P/O</v>
          </cell>
          <cell r="N1155" t="str">
            <v>BRACKET ACTUTOR</v>
          </cell>
          <cell r="O1155" t="str">
            <v>25616184M50-1BL</v>
          </cell>
          <cell r="P1155" t="str">
            <v>N</v>
          </cell>
        </row>
        <row r="1156">
          <cell r="A1156" t="str">
            <v>N077</v>
          </cell>
          <cell r="B1156" t="str">
            <v>0.5 x 150 x 1219</v>
          </cell>
          <cell r="C1156">
            <v>0.5</v>
          </cell>
          <cell r="D1156">
            <v>150</v>
          </cell>
          <cell r="E1156">
            <v>1219</v>
          </cell>
          <cell r="F1156">
            <v>0.72</v>
          </cell>
          <cell r="G1156">
            <v>6</v>
          </cell>
          <cell r="I1156" t="str">
            <v>SPCC-SD</v>
          </cell>
          <cell r="J1156" t="str">
            <v>COVER FR BRAKE DISC DUST</v>
          </cell>
          <cell r="K1156" t="str">
            <v>25532184M00-BL</v>
          </cell>
          <cell r="L1156" t="str">
            <v>N</v>
          </cell>
          <cell r="M1156" t="str">
            <v>SPCC-SD</v>
          </cell>
          <cell r="N1156" t="str">
            <v>COVER FR BRAKE DISC DUST</v>
          </cell>
          <cell r="O1156" t="str">
            <v>25532184M00-BL</v>
          </cell>
          <cell r="P1156" t="str">
            <v>N</v>
          </cell>
        </row>
        <row r="1157">
          <cell r="A1157" t="str">
            <v>N078</v>
          </cell>
          <cell r="B1157" t="str">
            <v>2.0 x 68 x 1219</v>
          </cell>
          <cell r="C1157">
            <v>2</v>
          </cell>
          <cell r="D1157">
            <v>68</v>
          </cell>
          <cell r="E1157">
            <v>1219</v>
          </cell>
          <cell r="F1157">
            <v>1.3</v>
          </cell>
          <cell r="G1157">
            <v>32</v>
          </cell>
          <cell r="I1157" t="str">
            <v>SPHC-P/O</v>
          </cell>
          <cell r="J1157" t="str">
            <v>BRACKET HARN</v>
          </cell>
          <cell r="K1157" t="str">
            <v>27556S0080-BL</v>
          </cell>
          <cell r="L1157" t="str">
            <v>N</v>
          </cell>
          <cell r="M1157" t="str">
            <v>SPHC-P/O</v>
          </cell>
          <cell r="N1157" t="str">
            <v>BRACKET HARN</v>
          </cell>
          <cell r="O1157" t="str">
            <v>27556S0080-BL</v>
          </cell>
          <cell r="P1157" t="str">
            <v>N</v>
          </cell>
        </row>
        <row r="1158">
          <cell r="A1158" t="str">
            <v>NST ไม่มีซื้อ</v>
          </cell>
          <cell r="B1158" t="str">
            <v>NST ยกเลิกผลิต Spec SAPH440W-P/O คืนแม่พิมพ์กลับไปแล้ว</v>
          </cell>
        </row>
        <row r="1159">
          <cell r="A1159" t="str">
            <v>N038</v>
          </cell>
          <cell r="B1159" t="str">
            <v>4.0 x 70 x 1219 คุมโก่งไม่เกิน 3 มม.</v>
          </cell>
          <cell r="C1159">
            <v>4</v>
          </cell>
          <cell r="D1159">
            <v>70</v>
          </cell>
          <cell r="E1159">
            <v>1219</v>
          </cell>
          <cell r="F1159">
            <v>2.6793619999999998</v>
          </cell>
          <cell r="G1159">
            <v>23</v>
          </cell>
          <cell r="I1159" t="str">
            <v>SAPH440-P/O</v>
          </cell>
          <cell r="J1159" t="str">
            <v>PLATE</v>
          </cell>
          <cell r="K1159" t="str">
            <v>250503K04A9001-21-BL</v>
          </cell>
          <cell r="L1159" t="str">
            <v>N</v>
          </cell>
          <cell r="M1159" t="str">
            <v>SAPH440-P/O</v>
          </cell>
          <cell r="N1159" t="str">
            <v>PLATE</v>
          </cell>
          <cell r="O1159" t="str">
            <v>250503K04A9001-21-BL</v>
          </cell>
          <cell r="P1159" t="str">
            <v>N</v>
          </cell>
        </row>
        <row r="1160">
          <cell r="A1160" t="str">
            <v>N042</v>
          </cell>
          <cell r="B1160" t="str">
            <v>1.6 x 195 x 1219</v>
          </cell>
          <cell r="C1160">
            <v>1.6</v>
          </cell>
          <cell r="D1160">
            <v>195</v>
          </cell>
          <cell r="E1160">
            <v>1219</v>
          </cell>
          <cell r="F1160">
            <v>2.9855747999999998</v>
          </cell>
          <cell r="G1160">
            <v>17</v>
          </cell>
          <cell r="I1160" t="str">
            <v>SAPH440-P/O</v>
          </cell>
          <cell r="J1160" t="str">
            <v>BRACKET,RDTR SUPPORT UPPER R</v>
          </cell>
          <cell r="K1160" t="str">
            <v>21786184M00-1-BL</v>
          </cell>
          <cell r="L1160" t="str">
            <v>N</v>
          </cell>
          <cell r="M1160" t="str">
            <v>SAPH440-P/O</v>
          </cell>
          <cell r="N1160" t="str">
            <v>BRACKET,RDTR SUPPORT UPPER R</v>
          </cell>
          <cell r="O1160" t="str">
            <v>21786184M00-1-BL</v>
          </cell>
          <cell r="P1160" t="str">
            <v>N</v>
          </cell>
        </row>
        <row r="1161">
          <cell r="A1161" t="str">
            <v>N044</v>
          </cell>
          <cell r="B1161" t="str">
            <v>5.0 x 189 x 1219</v>
          </cell>
          <cell r="C1161">
            <v>5</v>
          </cell>
          <cell r="D1161">
            <v>189</v>
          </cell>
          <cell r="E1161">
            <v>1219</v>
          </cell>
          <cell r="F1161">
            <v>9.0428467500000007</v>
          </cell>
          <cell r="G1161">
            <v>22</v>
          </cell>
          <cell r="I1161" t="str">
            <v>SAPH440-P/O</v>
          </cell>
          <cell r="J1161" t="str">
            <v>LIVER SHIFT&amp;SELECT</v>
          </cell>
          <cell r="K1161" t="str">
            <v>23332611038005-2 B;L</v>
          </cell>
          <cell r="L1161" t="str">
            <v>N</v>
          </cell>
          <cell r="M1161" t="str">
            <v>SAPH440-P/O</v>
          </cell>
          <cell r="N1161" t="str">
            <v>LIVER SHIFT&amp;SELECT</v>
          </cell>
          <cell r="O1161" t="str">
            <v>23332611038005-2 B;L</v>
          </cell>
          <cell r="P1161" t="str">
            <v>N</v>
          </cell>
        </row>
        <row r="1162">
          <cell r="A1162" t="str">
            <v>N046</v>
          </cell>
          <cell r="B1162" t="str">
            <v>6.0 x 230 x 1219</v>
          </cell>
          <cell r="C1162">
            <v>6</v>
          </cell>
          <cell r="D1162">
            <v>230</v>
          </cell>
          <cell r="E1162">
            <v>1219</v>
          </cell>
          <cell r="F1162">
            <v>13.205427</v>
          </cell>
          <cell r="G1162">
            <v>30</v>
          </cell>
          <cell r="I1162" t="str">
            <v>SAPH440-P/O</v>
          </cell>
          <cell r="J1162" t="str">
            <v>PLATE CENTER STAND PIVOT L</v>
          </cell>
          <cell r="K1162" t="str">
            <v>24227609J00-2 BL</v>
          </cell>
          <cell r="L1162" t="str">
            <v>N</v>
          </cell>
          <cell r="M1162" t="str">
            <v>SAPH440-P/O</v>
          </cell>
          <cell r="N1162" t="str">
            <v>PLATE CENTER STAND PIVOT L</v>
          </cell>
          <cell r="O1162" t="str">
            <v>24227609J00-2 BL</v>
          </cell>
          <cell r="P1162" t="str">
            <v>N</v>
          </cell>
        </row>
        <row r="1163">
          <cell r="A1163" t="str">
            <v>N051</v>
          </cell>
          <cell r="B1163" t="str">
            <v>6.0 x 227 x 1219</v>
          </cell>
          <cell r="C1163">
            <v>6</v>
          </cell>
          <cell r="D1163">
            <v>227</v>
          </cell>
          <cell r="E1163">
            <v>1219</v>
          </cell>
          <cell r="F1163">
            <v>13.033182299999998</v>
          </cell>
          <cell r="G1163">
            <v>30</v>
          </cell>
          <cell r="I1163" t="str">
            <v>SAPH440-P/O</v>
          </cell>
          <cell r="J1163" t="str">
            <v>PLATE CENTER STAND PIVOT L</v>
          </cell>
          <cell r="K1163" t="str">
            <v>24227609J00-2 BL</v>
          </cell>
          <cell r="L1163" t="str">
            <v>N</v>
          </cell>
          <cell r="M1163" t="str">
            <v>SAPH440-P/O</v>
          </cell>
          <cell r="N1163" t="str">
            <v>PLATE CENTER STAND PIVOT L</v>
          </cell>
          <cell r="O1163" t="str">
            <v>24227609J00-2 BL</v>
          </cell>
          <cell r="P1163" t="str">
            <v>N</v>
          </cell>
        </row>
        <row r="1164">
          <cell r="A1164" t="str">
            <v>N056</v>
          </cell>
          <cell r="B1164" t="str">
            <v>3.2 x 106 x 1219</v>
          </cell>
          <cell r="C1164">
            <v>3.2</v>
          </cell>
          <cell r="D1164">
            <v>106</v>
          </cell>
          <cell r="E1164">
            <v>1219</v>
          </cell>
          <cell r="F1164">
            <v>3.24585568</v>
          </cell>
          <cell r="G1164">
            <v>54</v>
          </cell>
          <cell r="I1164" t="str">
            <v>SAPH440-P/O</v>
          </cell>
          <cell r="J1164" t="str">
            <v>CLEVIS</v>
          </cell>
          <cell r="K1164" t="str">
            <v>2F01G1610FJ-BL</v>
          </cell>
          <cell r="L1164" t="str">
            <v>N</v>
          </cell>
          <cell r="M1164" t="str">
            <v>SAPH440-P/O</v>
          </cell>
          <cell r="N1164" t="str">
            <v>CLEVIS</v>
          </cell>
          <cell r="O1164" t="str">
            <v>2F01G1610FJ-BL</v>
          </cell>
          <cell r="P1164" t="str">
            <v>N</v>
          </cell>
          <cell r="R1164">
            <v>100</v>
          </cell>
        </row>
        <row r="1165">
          <cell r="A1165" t="str">
            <v>N057</v>
          </cell>
          <cell r="B1165" t="str">
            <v>3.2 x 96 x 1219</v>
          </cell>
          <cell r="C1165">
            <v>3.2</v>
          </cell>
          <cell r="D1165">
            <v>96</v>
          </cell>
          <cell r="E1165">
            <v>1219</v>
          </cell>
          <cell r="F1165">
            <v>2.9396428800000005</v>
          </cell>
          <cell r="G1165">
            <v>54</v>
          </cell>
          <cell r="I1165" t="str">
            <v>SAPH440-P/O</v>
          </cell>
          <cell r="J1165" t="str">
            <v>CLEVIS</v>
          </cell>
          <cell r="K1165" t="str">
            <v>2F01G1611KA-BL</v>
          </cell>
          <cell r="L1165" t="str">
            <v>N</v>
          </cell>
          <cell r="M1165" t="str">
            <v>SAPH440-P/O</v>
          </cell>
          <cell r="N1165" t="str">
            <v>CLEVIS</v>
          </cell>
          <cell r="O1165" t="str">
            <v>2F01G1611KA-BL</v>
          </cell>
          <cell r="P1165" t="str">
            <v>N</v>
          </cell>
          <cell r="R1165">
            <v>100</v>
          </cell>
        </row>
        <row r="1166">
          <cell r="A1166" t="str">
            <v>N060</v>
          </cell>
          <cell r="B1166" t="str">
            <v>3.2 x 105 x 1219</v>
          </cell>
          <cell r="C1166">
            <v>3.2</v>
          </cell>
          <cell r="D1166">
            <v>105</v>
          </cell>
          <cell r="E1166">
            <v>1219</v>
          </cell>
          <cell r="F1166">
            <v>3.2152343999999999</v>
          </cell>
          <cell r="G1166">
            <v>49</v>
          </cell>
          <cell r="I1166" t="str">
            <v>SAPH440-P/O</v>
          </cell>
          <cell r="J1166" t="str">
            <v>CLEVIS</v>
          </cell>
          <cell r="K1166" t="str">
            <v>20204744630-BL</v>
          </cell>
          <cell r="L1166" t="str">
            <v>N</v>
          </cell>
          <cell r="M1166" t="str">
            <v>SAPH440-P/O</v>
          </cell>
          <cell r="N1166" t="str">
            <v>CLEVIS</v>
          </cell>
          <cell r="O1166" t="str">
            <v>20204744630-BL</v>
          </cell>
          <cell r="P1166" t="str">
            <v>N</v>
          </cell>
          <cell r="R1166">
            <v>100</v>
          </cell>
        </row>
        <row r="1167">
          <cell r="A1167" t="str">
            <v>N061</v>
          </cell>
          <cell r="B1167" t="str">
            <v>3.2 x 121 x 1219</v>
          </cell>
          <cell r="C1167">
            <v>3.2</v>
          </cell>
          <cell r="D1167">
            <v>121</v>
          </cell>
          <cell r="E1167">
            <v>1219</v>
          </cell>
          <cell r="F1167">
            <v>3.7051748800000004</v>
          </cell>
          <cell r="G1167">
            <v>53</v>
          </cell>
          <cell r="I1167" t="str">
            <v>SAPH440-P/O</v>
          </cell>
          <cell r="J1167" t="str">
            <v>CLEVIS</v>
          </cell>
          <cell r="K1167" t="str">
            <v>2F01G1611HP-BL</v>
          </cell>
          <cell r="L1167" t="str">
            <v>N</v>
          </cell>
          <cell r="M1167" t="str">
            <v>SAPH440-P/O</v>
          </cell>
          <cell r="N1167" t="str">
            <v>CLEVIS</v>
          </cell>
          <cell r="O1167" t="str">
            <v>2F01G1611HP-BL</v>
          </cell>
          <cell r="P1167" t="str">
            <v>N</v>
          </cell>
          <cell r="R1167">
            <v>100</v>
          </cell>
        </row>
        <row r="1168">
          <cell r="A1168" t="str">
            <v>N070</v>
          </cell>
          <cell r="B1168" t="str">
            <v>4.5 x 180 x 1219</v>
          </cell>
          <cell r="C1168">
            <v>4.5</v>
          </cell>
          <cell r="D1168">
            <v>180</v>
          </cell>
          <cell r="E1168">
            <v>1219</v>
          </cell>
          <cell r="F1168">
            <v>7.7510114999999997</v>
          </cell>
          <cell r="G1168">
            <v>15</v>
          </cell>
          <cell r="I1168" t="str">
            <v>SAPH440-P/O</v>
          </cell>
          <cell r="J1168" t="str">
            <v>BRACKET (S08)</v>
          </cell>
          <cell r="K1168" t="str">
            <v>2GX2765SPV39DS08-1-BL</v>
          </cell>
          <cell r="L1168" t="str">
            <v>N</v>
          </cell>
          <cell r="M1168" t="str">
            <v>SAPH440-P/O</v>
          </cell>
          <cell r="N1168" t="str">
            <v>BRACKET (S08)</v>
          </cell>
          <cell r="O1168" t="str">
            <v>2GX2765SPV39DS08-1-BL</v>
          </cell>
          <cell r="P1168" t="str">
            <v>N</v>
          </cell>
          <cell r="R1168">
            <v>50</v>
          </cell>
        </row>
        <row r="1169">
          <cell r="A1169" t="str">
            <v>N072</v>
          </cell>
          <cell r="B1169" t="str">
            <v>3.2 x 130 x 1219</v>
          </cell>
          <cell r="C1169">
            <v>3.2</v>
          </cell>
          <cell r="D1169">
            <v>130</v>
          </cell>
          <cell r="E1169">
            <v>1219</v>
          </cell>
          <cell r="F1169">
            <v>3.9807663999999998</v>
          </cell>
          <cell r="G1169">
            <v>54</v>
          </cell>
          <cell r="I1169" t="str">
            <v>SAPH440-P/O</v>
          </cell>
          <cell r="J1169" t="str">
            <v>CLEVIS</v>
          </cell>
          <cell r="K1169" t="str">
            <v>2F01G1611KC-BL</v>
          </cell>
          <cell r="L1169" t="str">
            <v>N</v>
          </cell>
          <cell r="M1169" t="str">
            <v>SAPH440-P/O</v>
          </cell>
          <cell r="N1169" t="str">
            <v>CLEVIS</v>
          </cell>
          <cell r="O1169" t="str">
            <v>2F01G1611KC-BL</v>
          </cell>
          <cell r="P1169" t="str">
            <v>N</v>
          </cell>
          <cell r="R1169">
            <v>100</v>
          </cell>
        </row>
        <row r="1170">
          <cell r="A1170" t="str">
            <v>N073</v>
          </cell>
          <cell r="B1170" t="str">
            <v>4.5 x 245 x 1219 เน้นผิวมาก</v>
          </cell>
          <cell r="C1170">
            <v>4.5</v>
          </cell>
          <cell r="D1170">
            <v>245</v>
          </cell>
          <cell r="E1170">
            <v>1219</v>
          </cell>
          <cell r="F1170">
            <v>10.549987874999999</v>
          </cell>
          <cell r="G1170">
            <v>8</v>
          </cell>
          <cell r="I1170" t="str">
            <v>SAPH440-P/O</v>
          </cell>
          <cell r="J1170" t="str">
            <v>BRACKET HOOK TOWING RR</v>
          </cell>
          <cell r="K1170" t="str">
            <v>28981074340-5 BL</v>
          </cell>
          <cell r="L1170" t="str">
            <v>N</v>
          </cell>
          <cell r="M1170" t="str">
            <v>SAPH440-P/O</v>
          </cell>
          <cell r="N1170" t="str">
            <v>BRACKET HOOK TOWING RR</v>
          </cell>
          <cell r="O1170" t="str">
            <v>28981074340-5 BL</v>
          </cell>
          <cell r="P1170" t="str">
            <v>N</v>
          </cell>
          <cell r="R1170">
            <v>50</v>
          </cell>
        </row>
        <row r="1171">
          <cell r="A1171" t="str">
            <v>N015</v>
          </cell>
          <cell r="B1171" t="str">
            <v>2.6 x 36 x 1219</v>
          </cell>
          <cell r="C1171">
            <v>2.6</v>
          </cell>
          <cell r="D1171">
            <v>36</v>
          </cell>
          <cell r="E1171">
            <v>1219</v>
          </cell>
          <cell r="F1171">
            <v>0.89567244000000001</v>
          </cell>
          <cell r="G1171">
            <v>186</v>
          </cell>
          <cell r="I1171" t="str">
            <v>SPHC-P/O</v>
          </cell>
          <cell r="J1171" t="str">
            <v>HOOK BRAKE PEDAL RETURN SPRING</v>
          </cell>
          <cell r="K1171" t="str">
            <v>243-131-45H40</v>
          </cell>
          <cell r="L1171" t="str">
            <v>N</v>
          </cell>
          <cell r="M1171" t="str">
            <v>SPHC-P/O</v>
          </cell>
          <cell r="N1171" t="str">
            <v>HOOK BRAKE PEDAL RETURN SPRING</v>
          </cell>
          <cell r="O1171" t="str">
            <v>243-131-45H40</v>
          </cell>
          <cell r="P1171" t="str">
            <v>N</v>
          </cell>
        </row>
        <row r="1172">
          <cell r="B1172" t="str">
            <v>4.0 x 49 x 1219</v>
          </cell>
          <cell r="C1172">
            <v>4</v>
          </cell>
          <cell r="D1172">
            <v>49</v>
          </cell>
          <cell r="E1172">
            <v>1219</v>
          </cell>
          <cell r="F1172">
            <v>1.8755533999999998</v>
          </cell>
          <cell r="G1172">
            <v>265</v>
          </cell>
          <cell r="I1172" t="str">
            <v>SPHC-P/O</v>
          </cell>
          <cell r="J1172" t="str">
            <v>STOPPER FOOTREST RUBBER</v>
          </cell>
          <cell r="K1172" t="str">
            <v>243-535-45H20</v>
          </cell>
          <cell r="L1172" t="str">
            <v>N</v>
          </cell>
          <cell r="M1172" t="str">
            <v>SPHC-P/O</v>
          </cell>
          <cell r="N1172" t="str">
            <v>STOPPER FOOTREST RUBBER</v>
          </cell>
          <cell r="O1172" t="str">
            <v>243-535-45H20</v>
          </cell>
          <cell r="P1172" t="str">
            <v>N</v>
          </cell>
        </row>
        <row r="1173">
          <cell r="B1173" t="str">
            <v>1.2 x 26 x 1219</v>
          </cell>
          <cell r="C1173">
            <v>1.2</v>
          </cell>
          <cell r="D1173">
            <v>26</v>
          </cell>
          <cell r="E1173">
            <v>1219</v>
          </cell>
          <cell r="F1173">
            <v>0.29855747999999993</v>
          </cell>
          <cell r="G1173">
            <v>80</v>
          </cell>
          <cell r="I1173" t="str">
            <v>SPCC-SD</v>
          </cell>
          <cell r="J1173" t="str">
            <v>BRACKET 0416</v>
          </cell>
          <cell r="K1173" t="str">
            <v>211-056-0416</v>
          </cell>
          <cell r="L1173" t="str">
            <v>N</v>
          </cell>
          <cell r="M1173" t="str">
            <v>SPCC-SD</v>
          </cell>
          <cell r="N1173" t="str">
            <v>BRACKET 0416</v>
          </cell>
          <cell r="O1173" t="str">
            <v>211-056-0416</v>
          </cell>
          <cell r="P1173" t="str">
            <v>N</v>
          </cell>
        </row>
        <row r="1174">
          <cell r="B1174" t="str">
            <v>1.2 x 64 x 1219</v>
          </cell>
          <cell r="C1174">
            <v>1.2</v>
          </cell>
          <cell r="D1174">
            <v>64</v>
          </cell>
          <cell r="E1174">
            <v>1219</v>
          </cell>
          <cell r="F1174">
            <v>0.73491072000000002</v>
          </cell>
          <cell r="G1174">
            <v>58</v>
          </cell>
          <cell r="I1174" t="str">
            <v>SPCC-SD</v>
          </cell>
          <cell r="J1174" t="str">
            <v>STAY 0742</v>
          </cell>
          <cell r="K1174" t="str">
            <v>235-063-0742</v>
          </cell>
          <cell r="L1174" t="str">
            <v>N</v>
          </cell>
          <cell r="M1174" t="str">
            <v>SPCC-SD</v>
          </cell>
          <cell r="N1174" t="str">
            <v>STAY 0742</v>
          </cell>
          <cell r="O1174" t="str">
            <v>235-063-0742</v>
          </cell>
          <cell r="P1174" t="str">
            <v>N</v>
          </cell>
        </row>
        <row r="1175">
          <cell r="B1175" t="str">
            <v>1.2 x 67 x 1219</v>
          </cell>
          <cell r="C1175">
            <v>1.2</v>
          </cell>
          <cell r="D1175">
            <v>67</v>
          </cell>
          <cell r="E1175">
            <v>1219</v>
          </cell>
          <cell r="F1175">
            <v>0.76935965999999989</v>
          </cell>
          <cell r="G1175">
            <v>58</v>
          </cell>
          <cell r="I1175" t="str">
            <v>SPCC-SD</v>
          </cell>
          <cell r="J1175" t="str">
            <v>STAY 0743</v>
          </cell>
          <cell r="K1175" t="str">
            <v>235-063-0743</v>
          </cell>
          <cell r="L1175" t="str">
            <v>N</v>
          </cell>
          <cell r="M1175" t="str">
            <v>SPCC-SD</v>
          </cell>
          <cell r="N1175" t="str">
            <v>STAY 0743</v>
          </cell>
          <cell r="O1175" t="str">
            <v>235-063-0743</v>
          </cell>
          <cell r="P1175" t="str">
            <v>N</v>
          </cell>
        </row>
        <row r="1176">
          <cell r="B1176" t="str">
            <v>3.2 x 123 x 1219</v>
          </cell>
          <cell r="C1176">
            <v>3.2</v>
          </cell>
          <cell r="D1176">
            <v>123</v>
          </cell>
          <cell r="E1176">
            <v>1219</v>
          </cell>
          <cell r="F1176">
            <v>3.7664174400000001</v>
          </cell>
          <cell r="G1176">
            <v>104</v>
          </cell>
          <cell r="I1176" t="str">
            <v>SPHC-P/O</v>
          </cell>
          <cell r="J1176" t="str">
            <v>GUSSET 0779</v>
          </cell>
          <cell r="K1176" t="str">
            <v>232-170-0779</v>
          </cell>
          <cell r="L1176" t="str">
            <v>N</v>
          </cell>
          <cell r="M1176" t="str">
            <v>SPHC-P/O</v>
          </cell>
          <cell r="N1176" t="str">
            <v>GUSSET 0779</v>
          </cell>
          <cell r="O1176" t="str">
            <v>232-170-0779</v>
          </cell>
          <cell r="P1176" t="str">
            <v>N</v>
          </cell>
        </row>
        <row r="1177">
          <cell r="B1177" t="str">
            <v>1.6 x 94 x 1219</v>
          </cell>
          <cell r="C1177">
            <v>1.6</v>
          </cell>
          <cell r="D1177">
            <v>94</v>
          </cell>
          <cell r="E1177">
            <v>1219</v>
          </cell>
          <cell r="F1177">
            <v>1.43920016</v>
          </cell>
          <cell r="G1177">
            <v>38</v>
          </cell>
          <cell r="I1177" t="str">
            <v>SPHC-P/O</v>
          </cell>
          <cell r="J1177" t="str">
            <v>BRACKET 0798</v>
          </cell>
          <cell r="K1177" t="str">
            <v>211-056-0798</v>
          </cell>
          <cell r="L1177" t="str">
            <v>N</v>
          </cell>
          <cell r="M1177" t="str">
            <v>SPHC-P/O</v>
          </cell>
          <cell r="N1177" t="str">
            <v>BRACKET 0798</v>
          </cell>
          <cell r="O1177" t="str">
            <v>211-056-0798</v>
          </cell>
          <cell r="P1177" t="str">
            <v>N</v>
          </cell>
        </row>
        <row r="1178">
          <cell r="B1178" t="str">
            <v>1.0 x 28 x 1219</v>
          </cell>
          <cell r="C1178">
            <v>1</v>
          </cell>
          <cell r="D1178">
            <v>28</v>
          </cell>
          <cell r="E1178">
            <v>1219</v>
          </cell>
          <cell r="F1178">
            <v>0.26793620000000001</v>
          </cell>
          <cell r="G1178">
            <v>93</v>
          </cell>
          <cell r="I1178" t="str">
            <v>SPCC-SD</v>
          </cell>
          <cell r="J1178" t="str">
            <v>BRACKET 0417</v>
          </cell>
          <cell r="K1178" t="str">
            <v>211-056-0417</v>
          </cell>
          <cell r="L1178" t="str">
            <v>N</v>
          </cell>
          <cell r="M1178" t="str">
            <v>SPCC-SD</v>
          </cell>
          <cell r="N1178" t="str">
            <v>BRACKET 0417</v>
          </cell>
          <cell r="O1178" t="str">
            <v>211-056-0417</v>
          </cell>
          <cell r="P1178" t="str">
            <v>N</v>
          </cell>
        </row>
        <row r="1179">
          <cell r="B1179" t="str">
            <v>1.6 x 160 x 1219</v>
          </cell>
          <cell r="C1179">
            <v>1.6</v>
          </cell>
          <cell r="D1179">
            <v>160</v>
          </cell>
          <cell r="E1179">
            <v>1219</v>
          </cell>
          <cell r="F1179">
            <v>2.4497024000000001</v>
          </cell>
          <cell r="G1179">
            <v>51</v>
          </cell>
          <cell r="I1179" t="str">
            <v>SPHC-P/O</v>
          </cell>
          <cell r="J1179" t="str">
            <v>BRACKET -1395</v>
          </cell>
          <cell r="K1179" t="str">
            <v>211-054-1395</v>
          </cell>
          <cell r="L1179" t="str">
            <v>N</v>
          </cell>
          <cell r="M1179" t="str">
            <v>SPHC-P/O</v>
          </cell>
          <cell r="N1179" t="str">
            <v>BRACKET -1395</v>
          </cell>
          <cell r="O1179" t="str">
            <v>211-054-1395</v>
          </cell>
          <cell r="P1179" t="str">
            <v>N</v>
          </cell>
        </row>
        <row r="1180">
          <cell r="B1180" t="str">
            <v>1.6 x 38 x 1219</v>
          </cell>
          <cell r="C1180">
            <v>1.6</v>
          </cell>
          <cell r="D1180">
            <v>38</v>
          </cell>
          <cell r="E1180">
            <v>1219</v>
          </cell>
          <cell r="F1180">
            <v>0.58180432000000004</v>
          </cell>
          <cell r="G1180">
            <v>39</v>
          </cell>
          <cell r="I1180" t="str">
            <v>SPHC-P/O</v>
          </cell>
          <cell r="J1180" t="str">
            <v>BRACKET HANDLE COVER FR (130)</v>
          </cell>
          <cell r="K1180" t="str">
            <v>256-131-30D20</v>
          </cell>
          <cell r="L1180" t="str">
            <v>N</v>
          </cell>
          <cell r="M1180" t="str">
            <v>SPHC-P/O</v>
          </cell>
          <cell r="N1180" t="str">
            <v>BRACKET HANDLE COVER FR (130)</v>
          </cell>
          <cell r="O1180" t="str">
            <v>256-131-30D20</v>
          </cell>
          <cell r="P1180" t="str">
            <v>N</v>
          </cell>
        </row>
        <row r="1181">
          <cell r="B1181" t="str">
            <v>1.6 x 45 x 1219</v>
          </cell>
          <cell r="C1181">
            <v>1.6</v>
          </cell>
          <cell r="D1181">
            <v>45</v>
          </cell>
          <cell r="E1181">
            <v>1219</v>
          </cell>
          <cell r="F1181">
            <v>0.68897879999999989</v>
          </cell>
          <cell r="G1181">
            <v>40</v>
          </cell>
          <cell r="I1181" t="str">
            <v>SPHC-P/O</v>
          </cell>
          <cell r="J1181" t="str">
            <v>BRACKET-1396</v>
          </cell>
          <cell r="K1181" t="str">
            <v>211-054-1396</v>
          </cell>
          <cell r="L1181" t="str">
            <v>N</v>
          </cell>
          <cell r="M1181" t="str">
            <v>SPHC-P/O</v>
          </cell>
          <cell r="N1181" t="str">
            <v>BRACKET-1396</v>
          </cell>
          <cell r="O1181" t="str">
            <v>211-054-1396</v>
          </cell>
          <cell r="P1181" t="str">
            <v>N</v>
          </cell>
        </row>
        <row r="1182">
          <cell r="B1182" t="str">
            <v>1.6 x 71 x 1219</v>
          </cell>
          <cell r="C1182">
            <v>1.6</v>
          </cell>
          <cell r="D1182">
            <v>71</v>
          </cell>
          <cell r="E1182">
            <v>1219</v>
          </cell>
          <cell r="F1182">
            <v>1.0870554400000001</v>
          </cell>
          <cell r="G1182">
            <v>30</v>
          </cell>
          <cell r="I1182" t="str">
            <v>SPHC-P/O</v>
          </cell>
          <cell r="J1182" t="str">
            <v>BRACKET HANDLE COVER RR (130)</v>
          </cell>
          <cell r="K1182" t="str">
            <v>256-161-30D00</v>
          </cell>
          <cell r="L1182" t="str">
            <v>N</v>
          </cell>
          <cell r="M1182" t="str">
            <v>SPHC-P/O</v>
          </cell>
          <cell r="N1182" t="str">
            <v>BRACKET HANDLE COVER RR (130)</v>
          </cell>
          <cell r="O1182" t="str">
            <v>256-161-30D00</v>
          </cell>
          <cell r="P1182" t="str">
            <v>N</v>
          </cell>
        </row>
        <row r="1183">
          <cell r="B1183" t="str">
            <v>2.6 x 92 x 1219</v>
          </cell>
          <cell r="C1183">
            <v>2.6</v>
          </cell>
          <cell r="D1183">
            <v>92</v>
          </cell>
          <cell r="E1183">
            <v>1219</v>
          </cell>
          <cell r="F1183">
            <v>2.2889406800000001</v>
          </cell>
          <cell r="G1183">
            <v>50</v>
          </cell>
          <cell r="I1183" t="str">
            <v>SPHC-P/O</v>
          </cell>
          <cell r="J1183" t="str">
            <v>BRACKET HANDLE COVER FR</v>
          </cell>
          <cell r="K1183" t="str">
            <v>256-131-07H00</v>
          </cell>
          <cell r="L1183" t="str">
            <v>N</v>
          </cell>
          <cell r="M1183" t="str">
            <v>SPHC-P/O</v>
          </cell>
          <cell r="N1183" t="str">
            <v>BRACKET HANDLE COVER FR</v>
          </cell>
          <cell r="O1183" t="str">
            <v>256-131-07H00</v>
          </cell>
          <cell r="P1183" t="str">
            <v>N</v>
          </cell>
        </row>
        <row r="1184">
          <cell r="B1184" t="str">
            <v>3.2 x 79 x 1219</v>
          </cell>
          <cell r="C1184">
            <v>3.2</v>
          </cell>
          <cell r="D1184">
            <v>79</v>
          </cell>
          <cell r="E1184">
            <v>1219</v>
          </cell>
          <cell r="F1184">
            <v>2.41908112</v>
          </cell>
          <cell r="G1184">
            <v>43</v>
          </cell>
          <cell r="I1184" t="str">
            <v>SPHC-P/O</v>
          </cell>
          <cell r="J1184" t="str">
            <v>STOP CENTER STAND L</v>
          </cell>
          <cell r="K1184" t="str">
            <v>242-121-20G10</v>
          </cell>
          <cell r="L1184" t="str">
            <v>N</v>
          </cell>
          <cell r="M1184" t="str">
            <v>SPHC-P/O</v>
          </cell>
          <cell r="N1184" t="str">
            <v>STOP CENTER STAND L</v>
          </cell>
          <cell r="O1184" t="str">
            <v>242-121-20G10</v>
          </cell>
          <cell r="P1184" t="str">
            <v>N</v>
          </cell>
        </row>
        <row r="1185">
          <cell r="A1185" t="str">
            <v>ชิ้นงาน SYS</v>
          </cell>
          <cell r="D1185" t="str">
            <v>เหล็ก PO ซื้อ BM    เหล็ก SPCC ซื้อ T   เหล็ก Coil 2.0*215 ซื้อ  PS Pro</v>
          </cell>
        </row>
        <row r="1186">
          <cell r="A1186" t="str">
            <v>SYS09-1</v>
          </cell>
          <cell r="B1186" t="str">
            <v>2.0 x 127 x 1219</v>
          </cell>
          <cell r="C1186">
            <v>2</v>
          </cell>
          <cell r="D1186">
            <v>127</v>
          </cell>
          <cell r="E1186">
            <v>1219</v>
          </cell>
          <cell r="F1186">
            <v>2.4305641000000002</v>
          </cell>
          <cell r="G1186">
            <v>14</v>
          </cell>
          <cell r="I1186" t="str">
            <v>SPHC-P/O</v>
          </cell>
          <cell r="J1186" t="str">
            <v>BRKT "STAY FR TOP"</v>
          </cell>
          <cell r="L1186" t="str">
            <v>S</v>
          </cell>
          <cell r="M1186" t="str">
            <v>SPHC-P/O</v>
          </cell>
          <cell r="N1186" t="str">
            <v>BRKT "STAY FR TOP"</v>
          </cell>
          <cell r="P1186" t="str">
            <v>S</v>
          </cell>
          <cell r="R1186">
            <v>200</v>
          </cell>
        </row>
        <row r="1187">
          <cell r="A1187" t="str">
            <v>sys09-2</v>
          </cell>
          <cell r="B1187" t="str">
            <v>2.0 x 34 x 1219</v>
          </cell>
          <cell r="C1187">
            <v>2</v>
          </cell>
          <cell r="D1187">
            <v>34</v>
          </cell>
          <cell r="E1187">
            <v>1219</v>
          </cell>
          <cell r="F1187">
            <v>0.65070220000000001</v>
          </cell>
          <cell r="G1187">
            <v>26</v>
          </cell>
          <cell r="I1187" t="str">
            <v>SPHC-P/O</v>
          </cell>
          <cell r="J1187" t="str">
            <v>STAY HORN "STAY FR TOP"</v>
          </cell>
          <cell r="L1187" t="str">
            <v>S</v>
          </cell>
          <cell r="M1187" t="str">
            <v>SPHC-P/O</v>
          </cell>
          <cell r="N1187" t="str">
            <v>STAY HORN "STAY FR TOP"</v>
          </cell>
          <cell r="P1187" t="str">
            <v>S</v>
          </cell>
        </row>
        <row r="1188">
          <cell r="A1188" t="str">
            <v>SYS09-3</v>
          </cell>
          <cell r="B1188" t="str">
            <v>2.0 x 215 x Coil</v>
          </cell>
          <cell r="C1188">
            <v>2</v>
          </cell>
          <cell r="D1188">
            <v>215</v>
          </cell>
          <cell r="E1188" t="str">
            <v>Coil</v>
          </cell>
          <cell r="F1188">
            <v>0.16200000000000001</v>
          </cell>
          <cell r="G1188">
            <v>0.16200000000000001</v>
          </cell>
          <cell r="I1188" t="str">
            <v>SPHC-P/O</v>
          </cell>
          <cell r="J1188" t="str">
            <v>STAY R/L  "STAY FR TOP"</v>
          </cell>
          <cell r="L1188" t="str">
            <v>S</v>
          </cell>
          <cell r="M1188" t="str">
            <v>SPHC-P/O</v>
          </cell>
          <cell r="N1188" t="str">
            <v>STAY R/L  "STAY FR TOP"</v>
          </cell>
          <cell r="P1188" t="str">
            <v>S</v>
          </cell>
          <cell r="Q1188" t="str">
            <v>ps</v>
          </cell>
        </row>
        <row r="1189">
          <cell r="A1189" t="str">
            <v>SYS48</v>
          </cell>
          <cell r="B1189" t="str">
            <v>2.3 x 134 x 1219</v>
          </cell>
          <cell r="C1189">
            <v>2.2999999999999998</v>
          </cell>
          <cell r="D1189">
            <v>134</v>
          </cell>
          <cell r="E1189">
            <v>1219</v>
          </cell>
          <cell r="F1189">
            <v>2.94921203</v>
          </cell>
          <cell r="G1189">
            <v>40</v>
          </cell>
          <cell r="I1189" t="str">
            <v>SPHC-P/O</v>
          </cell>
          <cell r="J1189" t="str">
            <v>HOOK MAIN STAND SPRING</v>
          </cell>
          <cell r="K1189" t="str">
            <v>50523-KWW-C001</v>
          </cell>
          <cell r="L1189" t="str">
            <v>S</v>
          </cell>
          <cell r="M1189" t="str">
            <v>SPHC-P/O</v>
          </cell>
          <cell r="N1189" t="str">
            <v>HOOK MAIN STAND SPRING</v>
          </cell>
          <cell r="O1189" t="str">
            <v>50523-KWW-C001</v>
          </cell>
          <cell r="P1189" t="str">
            <v>S</v>
          </cell>
          <cell r="R1189">
            <v>100</v>
          </cell>
        </row>
        <row r="1190">
          <cell r="A1190" t="str">
            <v>SYS50</v>
          </cell>
          <cell r="B1190" t="str">
            <v>1.2 x 140 x 1219</v>
          </cell>
          <cell r="C1190">
            <v>1.2</v>
          </cell>
          <cell r="D1190">
            <v>140</v>
          </cell>
          <cell r="E1190">
            <v>1219</v>
          </cell>
          <cell r="F1190">
            <v>1.6076172</v>
          </cell>
          <cell r="G1190">
            <v>32</v>
          </cell>
          <cell r="I1190" t="str">
            <v>SPCC-SD</v>
          </cell>
          <cell r="J1190" t="str">
            <v>CLAMPER B FR BRAKE HOSE</v>
          </cell>
          <cell r="K1190" t="str">
            <v>45157-K26-9000</v>
          </cell>
          <cell r="L1190" t="str">
            <v>S</v>
          </cell>
          <cell r="M1190" t="str">
            <v>SPCC-SD</v>
          </cell>
          <cell r="N1190" t="str">
            <v>CLAMPER B FR BRAKE HOSE</v>
          </cell>
          <cell r="O1190" t="str">
            <v>45157-K26-9000</v>
          </cell>
          <cell r="P1190" t="str">
            <v>S</v>
          </cell>
          <cell r="R1190">
            <v>200</v>
          </cell>
        </row>
        <row r="1191">
          <cell r="A1191" t="str">
            <v>SYS51</v>
          </cell>
          <cell r="B1191" t="str">
            <v>1.2 x 90 x 1219</v>
          </cell>
          <cell r="C1191">
            <v>1.2</v>
          </cell>
          <cell r="D1191">
            <v>90</v>
          </cell>
          <cell r="E1191">
            <v>1219</v>
          </cell>
          <cell r="F1191">
            <v>1.0334681999999999</v>
          </cell>
          <cell r="G1191">
            <v>46</v>
          </cell>
          <cell r="I1191" t="str">
            <v>SPCC-SD</v>
          </cell>
          <cell r="J1191" t="str">
            <v>CLAMPER RR BRAKE HOSE</v>
          </cell>
          <cell r="K1191" t="str">
            <v>43155-K15-9000</v>
          </cell>
          <cell r="L1191" t="str">
            <v>S</v>
          </cell>
          <cell r="M1191" t="str">
            <v>SPCC-SD</v>
          </cell>
          <cell r="N1191" t="str">
            <v>CLAMPER RR BRAKE HOSE</v>
          </cell>
          <cell r="O1191" t="str">
            <v>43155-K15-9000</v>
          </cell>
          <cell r="P1191" t="str">
            <v>S</v>
          </cell>
          <cell r="R1191">
            <v>200</v>
          </cell>
        </row>
        <row r="1192">
          <cell r="A1192" t="str">
            <v>SYS55-1</v>
          </cell>
          <cell r="B1192" t="str">
            <v>1.0 x 223 x 1219 โก่ง 2 มม. /เน้นเรียบ</v>
          </cell>
          <cell r="C1192">
            <v>1</v>
          </cell>
          <cell r="D1192">
            <v>223</v>
          </cell>
          <cell r="E1192">
            <v>1219</v>
          </cell>
          <cell r="F1192">
            <v>2.1339204499999997</v>
          </cell>
          <cell r="G1192">
            <v>100</v>
          </cell>
          <cell r="I1192" t="str">
            <v>SPCC-SD</v>
          </cell>
          <cell r="J1192" t="str">
            <v>BAND A INSULATOR</v>
          </cell>
          <cell r="K1192" t="str">
            <v>16217-MJE-D000</v>
          </cell>
          <cell r="L1192" t="str">
            <v>S</v>
          </cell>
          <cell r="M1192" t="str">
            <v>SPCC-SD</v>
          </cell>
          <cell r="N1192" t="str">
            <v>BAND A INSULATOR</v>
          </cell>
          <cell r="O1192" t="str">
            <v>16217-MJE-D000</v>
          </cell>
          <cell r="P1192" t="str">
            <v>S</v>
          </cell>
        </row>
        <row r="1193">
          <cell r="A1193" t="str">
            <v>SYS56-1</v>
          </cell>
          <cell r="B1193" t="str">
            <v>1.0 x 205 x 1219  โก่ง 2 มม./เน้นเรียบ</v>
          </cell>
          <cell r="C1193">
            <v>1</v>
          </cell>
          <cell r="D1193">
            <v>205</v>
          </cell>
          <cell r="E1193">
            <v>1219</v>
          </cell>
          <cell r="F1193">
            <v>1.9616757499999999</v>
          </cell>
          <cell r="G1193">
            <v>100</v>
          </cell>
          <cell r="I1193" t="str">
            <v>SPCC-SD</v>
          </cell>
          <cell r="J1193" t="str">
            <v>BAND B INSULATOR</v>
          </cell>
          <cell r="K1193" t="str">
            <v>16221-MJEA-D000</v>
          </cell>
          <cell r="L1193" t="str">
            <v>S</v>
          </cell>
          <cell r="M1193" t="str">
            <v>SPCC-SD</v>
          </cell>
          <cell r="N1193" t="str">
            <v>BAND B INSULATOR</v>
          </cell>
          <cell r="O1193" t="str">
            <v>16221-MJEA-D000</v>
          </cell>
          <cell r="P1193" t="str">
            <v>S</v>
          </cell>
        </row>
        <row r="1194">
          <cell r="A1194" t="str">
            <v>SYS57-1</v>
          </cell>
          <cell r="B1194" t="str">
            <v>1.6 x 60 x 1219</v>
          </cell>
          <cell r="C1194">
            <v>1.6</v>
          </cell>
          <cell r="D1194">
            <v>60</v>
          </cell>
          <cell r="E1194">
            <v>1219</v>
          </cell>
          <cell r="F1194">
            <v>0.91863839999999986</v>
          </cell>
          <cell r="G1194">
            <v>35</v>
          </cell>
          <cell r="I1194" t="str">
            <v>JSH270C</v>
          </cell>
          <cell r="J1194" t="str">
            <v>STAY RES TANK</v>
          </cell>
          <cell r="K1194" t="str">
            <v>19102-MJE-D000</v>
          </cell>
          <cell r="L1194" t="str">
            <v>S</v>
          </cell>
          <cell r="M1194" t="str">
            <v>JSH270C</v>
          </cell>
          <cell r="N1194" t="str">
            <v>STAY RES TANK</v>
          </cell>
          <cell r="O1194" t="str">
            <v>19102-MJE-D000</v>
          </cell>
          <cell r="P1194" t="str">
            <v>S</v>
          </cell>
          <cell r="Q1194" t="str">
            <v>ใช้77005358 (30023361-1) ผ่าน tsgp(epc)</v>
          </cell>
        </row>
        <row r="1195">
          <cell r="A1195" t="str">
            <v>SYS64</v>
          </cell>
          <cell r="B1195" t="str">
            <v>2.6 x 293 x 1219 โก่ง 2 มม./เน้นเรียบ</v>
          </cell>
          <cell r="C1195">
            <v>2.6</v>
          </cell>
          <cell r="D1195">
            <v>293</v>
          </cell>
          <cell r="E1195">
            <v>1219</v>
          </cell>
          <cell r="F1195">
            <v>7.2897784700000008</v>
          </cell>
          <cell r="G1195">
            <v>17</v>
          </cell>
          <cell r="I1195" t="str">
            <v>SPHC-P/O</v>
          </cell>
          <cell r="J1195" t="str">
            <v>BRKT CUSH RR (SUP BRKT CUSH)</v>
          </cell>
          <cell r="K1195" t="str">
            <v>50100-K26A-9000</v>
          </cell>
          <cell r="L1195" t="str">
            <v>S</v>
          </cell>
          <cell r="M1195" t="str">
            <v>SPHC-P/O</v>
          </cell>
          <cell r="N1195" t="str">
            <v>BRKT CUSH RR (SUP BRKT CUSH)</v>
          </cell>
          <cell r="O1195" t="str">
            <v>50100-K26A-9000</v>
          </cell>
          <cell r="P1195" t="str">
            <v>S</v>
          </cell>
          <cell r="R1195">
            <v>50</v>
          </cell>
        </row>
        <row r="1196">
          <cell r="A1196" t="str">
            <v>SYS65</v>
          </cell>
          <cell r="B1196" t="str">
            <v>1.6 x 130 x 1219</v>
          </cell>
          <cell r="C1196">
            <v>1.6</v>
          </cell>
          <cell r="D1196">
            <v>130</v>
          </cell>
          <cell r="E1196">
            <v>1219</v>
          </cell>
          <cell r="F1196">
            <v>1.9903831999999999</v>
          </cell>
          <cell r="G1196">
            <v>24</v>
          </cell>
          <cell r="I1196" t="str">
            <v>JSH270C</v>
          </cell>
          <cell r="J1196" t="str">
            <v>PLATE (SUP BRKT CUSH)</v>
          </cell>
          <cell r="K1196" t="str">
            <v>60100-K26A-9000</v>
          </cell>
          <cell r="L1196" t="str">
            <v>S</v>
          </cell>
          <cell r="M1196" t="str">
            <v>JSH270C</v>
          </cell>
          <cell r="N1196" t="str">
            <v>PLATE (SUP BRKT CUSH)</v>
          </cell>
          <cell r="O1196" t="str">
            <v>60100-K26A-9000</v>
          </cell>
          <cell r="P1196" t="str">
            <v>S</v>
          </cell>
          <cell r="R1196">
            <v>200</v>
          </cell>
        </row>
        <row r="1197">
          <cell r="A1197" t="str">
            <v>SYS70</v>
          </cell>
          <cell r="B1197" t="str">
            <v>2.3 x 60 x 1219</v>
          </cell>
          <cell r="C1197">
            <v>2.2999999999999998</v>
          </cell>
          <cell r="D1197">
            <v>60</v>
          </cell>
          <cell r="E1197">
            <v>1219</v>
          </cell>
          <cell r="F1197">
            <v>1.3205426999999998</v>
          </cell>
          <cell r="G1197">
            <v>82</v>
          </cell>
          <cell r="I1197" t="str">
            <v>JSH270C</v>
          </cell>
          <cell r="J1197" t="str">
            <v>PATCH</v>
          </cell>
          <cell r="K1197" t="str">
            <v>81350-KVSP-J400-34</v>
          </cell>
          <cell r="L1197" t="str">
            <v>KVSP</v>
          </cell>
          <cell r="M1197" t="str">
            <v>JSH270C</v>
          </cell>
          <cell r="N1197" t="str">
            <v>PATCH</v>
          </cell>
          <cell r="O1197" t="str">
            <v>81350-KVSP-J400-34</v>
          </cell>
          <cell r="P1197" t="str">
            <v>KVSP</v>
          </cell>
        </row>
        <row r="1198">
          <cell r="A1198" t="str">
            <v>SYS71</v>
          </cell>
          <cell r="B1198" t="str">
            <v>2.0 x 87 x 1219</v>
          </cell>
          <cell r="C1198">
            <v>2</v>
          </cell>
          <cell r="D1198">
            <v>87</v>
          </cell>
          <cell r="E1198">
            <v>1219</v>
          </cell>
          <cell r="F1198">
            <v>1.6650320999999999</v>
          </cell>
          <cell r="G1198">
            <v>22</v>
          </cell>
          <cell r="I1198" t="str">
            <v>JSH270C</v>
          </cell>
          <cell r="J1198" t="str">
            <v>GUSSET, (RH+LH)</v>
          </cell>
          <cell r="K1198" t="str">
            <v>81350-KVSP-J402-(27+28)</v>
          </cell>
          <cell r="L1198" t="str">
            <v>S</v>
          </cell>
          <cell r="M1198" t="str">
            <v>JSH270C</v>
          </cell>
          <cell r="N1198" t="str">
            <v>GUSSET, (RH+LH)</v>
          </cell>
          <cell r="O1198" t="str">
            <v>81350-KVSP-J402-(27+28)</v>
          </cell>
          <cell r="P1198" t="str">
            <v>S</v>
          </cell>
          <cell r="R1198">
            <v>150</v>
          </cell>
        </row>
        <row r="1199">
          <cell r="A1199" t="str">
            <v>SYS72</v>
          </cell>
          <cell r="B1199" t="str">
            <v>2.0 x 87 x 1219</v>
          </cell>
          <cell r="C1199">
            <v>2</v>
          </cell>
          <cell r="D1199">
            <v>87</v>
          </cell>
          <cell r="E1199">
            <v>1219</v>
          </cell>
          <cell r="F1199">
            <v>1.6650320999999999</v>
          </cell>
          <cell r="G1199">
            <v>22</v>
          </cell>
          <cell r="I1199" t="str">
            <v>JSH270C</v>
          </cell>
          <cell r="J1199" t="str">
            <v>GUSSET, (RH+LH)</v>
          </cell>
          <cell r="K1199" t="str">
            <v>81350-KVSP-J402-(27+28)</v>
          </cell>
          <cell r="L1199" t="str">
            <v>S</v>
          </cell>
          <cell r="M1199" t="str">
            <v>JSH270C</v>
          </cell>
          <cell r="N1199" t="str">
            <v>GUSSET, (RH+LH)</v>
          </cell>
          <cell r="O1199" t="str">
            <v>81350-KVSP-J402-(27+28)</v>
          </cell>
          <cell r="P1199" t="str">
            <v>S</v>
          </cell>
          <cell r="R1199">
            <v>150</v>
          </cell>
        </row>
        <row r="1200">
          <cell r="A1200" t="str">
            <v>SYS78-1</v>
          </cell>
          <cell r="B1200" t="str">
            <v>2.6 x 162 x 1219</v>
          </cell>
          <cell r="C1200">
            <v>2.6</v>
          </cell>
          <cell r="D1200">
            <v>162</v>
          </cell>
          <cell r="E1200">
            <v>1219</v>
          </cell>
          <cell r="F1200">
            <v>4.0305259799999993</v>
          </cell>
          <cell r="G1200">
            <v>12</v>
          </cell>
          <cell r="I1200" t="str">
            <v>JSH270C</v>
          </cell>
          <cell r="J1200" t="str">
            <v>STAY(STAY RR FUEL TANK)</v>
          </cell>
          <cell r="K1200" t="str">
            <v>17560-K87A-A001-22</v>
          </cell>
          <cell r="L1200" t="str">
            <v>S</v>
          </cell>
          <cell r="M1200" t="str">
            <v>JSH270C</v>
          </cell>
          <cell r="N1200" t="str">
            <v>STAY(STAY RR FUEL TANK)</v>
          </cell>
          <cell r="O1200" t="str">
            <v>17560-K87A-A001-22</v>
          </cell>
          <cell r="P1200" t="str">
            <v>S</v>
          </cell>
        </row>
        <row r="1201">
          <cell r="A1201" t="str">
            <v>SYS78-2</v>
          </cell>
          <cell r="B1201" t="str">
            <v>1.2 x 77 x 1219</v>
          </cell>
          <cell r="C1201">
            <v>1.2</v>
          </cell>
          <cell r="D1201">
            <v>77</v>
          </cell>
          <cell r="E1201">
            <v>1219</v>
          </cell>
          <cell r="F1201">
            <v>0.88418945999999987</v>
          </cell>
          <cell r="G1201">
            <v>66</v>
          </cell>
          <cell r="I1201" t="str">
            <v>JSC270C</v>
          </cell>
          <cell r="J1201" t="str">
            <v>STAY RR FUEL TANK</v>
          </cell>
          <cell r="K1201" t="str">
            <v>17560-K87-A000-H1</v>
          </cell>
          <cell r="L1201" t="str">
            <v>S</v>
          </cell>
          <cell r="M1201" t="str">
            <v>JSC270C</v>
          </cell>
          <cell r="N1201" t="str">
            <v>STAY RR FUEL TANK</v>
          </cell>
          <cell r="O1201" t="str">
            <v>17560-K87-A000-H1</v>
          </cell>
          <cell r="P1201" t="str">
            <v>S</v>
          </cell>
        </row>
        <row r="1202">
          <cell r="A1202" t="str">
            <v>SYS80-1</v>
          </cell>
          <cell r="B1202" t="str">
            <v>2.0 x 127 x 1219</v>
          </cell>
          <cell r="C1202">
            <v>2</v>
          </cell>
          <cell r="D1202">
            <v>127</v>
          </cell>
          <cell r="E1202">
            <v>1219</v>
          </cell>
          <cell r="F1202">
            <v>2.4305641000000002</v>
          </cell>
          <cell r="G1202">
            <v>14</v>
          </cell>
          <cell r="I1202" t="str">
            <v>SPHC-P/O</v>
          </cell>
          <cell r="J1202" t="str">
            <v>BRKT "STAY FR TOP"</v>
          </cell>
          <cell r="K1202" t="str">
            <v>K58M-6400-20</v>
          </cell>
          <cell r="L1202" t="str">
            <v>S</v>
          </cell>
          <cell r="M1202" t="str">
            <v>SPHC-P/O</v>
          </cell>
          <cell r="N1202" t="str">
            <v>BRKT "STAY FR TOP"</v>
          </cell>
          <cell r="O1202" t="str">
            <v>K58M-6400-20</v>
          </cell>
          <cell r="P1202" t="str">
            <v>S</v>
          </cell>
          <cell r="R1202">
            <v>200</v>
          </cell>
        </row>
        <row r="1203">
          <cell r="A1203" t="str">
            <v>SYS80-4</v>
          </cell>
          <cell r="B1203" t="str">
            <v>2.6 x 62 x 1219</v>
          </cell>
          <cell r="C1203">
            <v>2.6</v>
          </cell>
          <cell r="D1203">
            <v>62</v>
          </cell>
          <cell r="E1203">
            <v>1219</v>
          </cell>
          <cell r="F1203">
            <v>1.54254698</v>
          </cell>
          <cell r="G1203">
            <v>23</v>
          </cell>
          <cell r="I1203" t="str">
            <v>SPHC-P/O</v>
          </cell>
          <cell r="J1203" t="str">
            <v>STAY HORN</v>
          </cell>
          <cell r="K1203" t="str">
            <v>64221-K58M-TC01-22</v>
          </cell>
          <cell r="L1203" t="str">
            <v>K58M</v>
          </cell>
          <cell r="M1203" t="str">
            <v>SPHC-P/O</v>
          </cell>
          <cell r="N1203" t="str">
            <v>STAY HORN</v>
          </cell>
          <cell r="O1203" t="str">
            <v>64221-K58M-TC01-22</v>
          </cell>
          <cell r="P1203" t="str">
            <v>K58M</v>
          </cell>
        </row>
        <row r="1204">
          <cell r="A1204" t="str">
            <v>sys83-1</v>
          </cell>
          <cell r="B1204" t="str">
            <v>2.0 x 123 x 1219</v>
          </cell>
          <cell r="C1204">
            <v>2</v>
          </cell>
          <cell r="D1204">
            <v>123</v>
          </cell>
          <cell r="E1204">
            <v>1219</v>
          </cell>
          <cell r="F1204">
            <v>2.3540109</v>
          </cell>
          <cell r="G1204">
            <v>27</v>
          </cell>
          <cell r="I1204" t="str">
            <v>JSH270C</v>
          </cell>
          <cell r="J1204" t="str">
            <v>STAY COMP FR TOP (BRACKET)</v>
          </cell>
          <cell r="K1204" t="str">
            <v>64221-K2JA-T100-20</v>
          </cell>
          <cell r="L1204" t="str">
            <v>K2JA</v>
          </cell>
          <cell r="M1204" t="str">
            <v>JSH270C</v>
          </cell>
          <cell r="N1204" t="str">
            <v>STAY COMP FR TOP (BRACKET)</v>
          </cell>
          <cell r="O1204" t="str">
            <v>64221-K2JA-T100-20</v>
          </cell>
          <cell r="P1204" t="str">
            <v>K2JA</v>
          </cell>
          <cell r="R1204">
            <v>200</v>
          </cell>
        </row>
        <row r="1205">
          <cell r="A1205" t="str">
            <v>sys83-2</v>
          </cell>
          <cell r="B1205" t="str">
            <v>2.0 x 75 x 1219</v>
          </cell>
          <cell r="C1205">
            <v>2</v>
          </cell>
          <cell r="D1205">
            <v>75</v>
          </cell>
          <cell r="E1205">
            <v>1219</v>
          </cell>
          <cell r="F1205">
            <v>1.4353724999999999</v>
          </cell>
          <cell r="G1205">
            <v>21</v>
          </cell>
          <cell r="I1205" t="str">
            <v>JSH270C</v>
          </cell>
          <cell r="J1205" t="str">
            <v>STAY</v>
          </cell>
          <cell r="K1205" t="str">
            <v>64221-K2JA-T100-21</v>
          </cell>
          <cell r="L1205" t="str">
            <v>K2JA</v>
          </cell>
          <cell r="M1205" t="str">
            <v>JSH270C</v>
          </cell>
          <cell r="N1205" t="str">
            <v>STAY</v>
          </cell>
          <cell r="O1205" t="str">
            <v>64221-K2JA-T100-21</v>
          </cell>
          <cell r="P1205" t="str">
            <v>K2JA</v>
          </cell>
          <cell r="R1205">
            <v>200</v>
          </cell>
        </row>
        <row r="1206">
          <cell r="A1206" t="str">
            <v>sys83-5</v>
          </cell>
          <cell r="B1206" t="str">
            <v>1.6 x 115 x 1219</v>
          </cell>
          <cell r="C1206">
            <v>1.6</v>
          </cell>
          <cell r="D1206">
            <v>115</v>
          </cell>
          <cell r="E1206">
            <v>1219</v>
          </cell>
          <cell r="F1206">
            <v>1.7607235999999999</v>
          </cell>
          <cell r="G1206">
            <v>16</v>
          </cell>
          <cell r="I1206" t="str">
            <v>JSH270C</v>
          </cell>
          <cell r="J1206" t="str">
            <v>STAY</v>
          </cell>
          <cell r="K1206" t="str">
            <v>64221-K2JA-T100-24</v>
          </cell>
          <cell r="L1206" t="str">
            <v>K2JA</v>
          </cell>
          <cell r="M1206" t="str">
            <v>JSH270C</v>
          </cell>
          <cell r="N1206" t="str">
            <v>STAY</v>
          </cell>
          <cell r="O1206" t="str">
            <v>64221-K2JA-T100-24</v>
          </cell>
          <cell r="P1206" t="str">
            <v>K2JA</v>
          </cell>
          <cell r="R1206">
            <v>200</v>
          </cell>
        </row>
        <row r="1207">
          <cell r="A1207" t="str">
            <v>SYS001</v>
          </cell>
          <cell r="B1207" t="str">
            <v>1.2 x 48 x 1219</v>
          </cell>
          <cell r="C1207">
            <v>1.2</v>
          </cell>
          <cell r="D1207">
            <v>48</v>
          </cell>
          <cell r="E1207">
            <v>1219</v>
          </cell>
          <cell r="F1207">
            <v>0.55118303999999996</v>
          </cell>
          <cell r="G1207">
            <v>108</v>
          </cell>
          <cell r="I1207" t="str">
            <v>SPCC-SD</v>
          </cell>
          <cell r="J1207" t="str">
            <v>WASHER "COLLAR"</v>
          </cell>
          <cell r="K1207">
            <v>0</v>
          </cell>
          <cell r="L1207" t="str">
            <v>S</v>
          </cell>
          <cell r="M1207" t="str">
            <v>SPCC-SD</v>
          </cell>
          <cell r="N1207" t="str">
            <v>WASHER "COLLAR"</v>
          </cell>
          <cell r="O1207">
            <v>0</v>
          </cell>
          <cell r="P1207" t="str">
            <v>S</v>
          </cell>
          <cell r="R1207">
            <v>300</v>
          </cell>
        </row>
        <row r="1208">
          <cell r="A1208" t="str">
            <v>SYS11</v>
          </cell>
          <cell r="B1208" t="str">
            <v>0.8 x 200 x 1219</v>
          </cell>
          <cell r="C1208">
            <v>0.8</v>
          </cell>
          <cell r="D1208">
            <v>200</v>
          </cell>
          <cell r="E1208">
            <v>1219</v>
          </cell>
          <cell r="F1208">
            <v>1.531064</v>
          </cell>
          <cell r="G1208">
            <v>106</v>
          </cell>
          <cell r="I1208" t="str">
            <v>SPCC-SD</v>
          </cell>
          <cell r="J1208" t="str">
            <v>BAND INSULATOR</v>
          </cell>
          <cell r="K1208" t="str">
            <v>16217-KPH-7000 ตัวเล็ก</v>
          </cell>
          <cell r="L1208" t="str">
            <v>S</v>
          </cell>
          <cell r="M1208" t="str">
            <v>SPCC-SD</v>
          </cell>
          <cell r="N1208" t="str">
            <v>BAND INSULATOR</v>
          </cell>
          <cell r="O1208" t="str">
            <v>16217-KPH-7000 ตัวเล็ก</v>
          </cell>
          <cell r="P1208" t="str">
            <v>S</v>
          </cell>
        </row>
        <row r="1209">
          <cell r="A1209" t="str">
            <v>SYS058-2</v>
          </cell>
          <cell r="B1209" t="str">
            <v>1.0 x 50 x 1219</v>
          </cell>
          <cell r="C1209">
            <v>1</v>
          </cell>
          <cell r="D1209">
            <v>50</v>
          </cell>
          <cell r="E1209">
            <v>1219</v>
          </cell>
          <cell r="F1209">
            <v>0.47845749999999998</v>
          </cell>
          <cell r="G1209">
            <v>240</v>
          </cell>
          <cell r="I1209" t="str">
            <v>SPCC-SD</v>
          </cell>
          <cell r="J1209" t="str">
            <v>COLLAR (A)</v>
          </cell>
          <cell r="K1209" t="str">
            <v>16222-MJEA-D000-H1</v>
          </cell>
          <cell r="L1209" t="str">
            <v>S</v>
          </cell>
          <cell r="M1209" t="str">
            <v>SPCC-SD</v>
          </cell>
          <cell r="N1209" t="str">
            <v>COLLAR (A)</v>
          </cell>
          <cell r="O1209" t="str">
            <v>16222-MJEA-D000-H1</v>
          </cell>
          <cell r="P1209" t="str">
            <v>S</v>
          </cell>
        </row>
        <row r="1210">
          <cell r="A1210" t="str">
            <v>SYS059-2</v>
          </cell>
          <cell r="B1210" t="str">
            <v>1.0 x 50 x 1219</v>
          </cell>
          <cell r="C1210">
            <v>1</v>
          </cell>
          <cell r="D1210">
            <v>50</v>
          </cell>
          <cell r="E1210">
            <v>1219</v>
          </cell>
          <cell r="F1210">
            <v>0.47845749999999998</v>
          </cell>
          <cell r="G1210">
            <v>240</v>
          </cell>
          <cell r="I1210" t="str">
            <v>SPCC-SD</v>
          </cell>
          <cell r="J1210" t="str">
            <v>COLLAR (B)</v>
          </cell>
          <cell r="K1210" t="str">
            <v>16223-MJEA-D000-H1</v>
          </cell>
          <cell r="L1210" t="str">
            <v>S</v>
          </cell>
          <cell r="M1210" t="str">
            <v>SPCC-SD</v>
          </cell>
          <cell r="N1210" t="str">
            <v>COLLAR (B)</v>
          </cell>
          <cell r="O1210" t="str">
            <v>16223-MJEA-D000-H1</v>
          </cell>
          <cell r="P1210" t="str">
            <v>S</v>
          </cell>
        </row>
        <row r="1211">
          <cell r="A1211" t="str">
            <v>SYS006</v>
          </cell>
          <cell r="B1211" t="str">
            <v>1.0 x 52 x 1219</v>
          </cell>
          <cell r="C1211">
            <v>1</v>
          </cell>
          <cell r="D1211">
            <v>52</v>
          </cell>
          <cell r="E1211">
            <v>1219</v>
          </cell>
          <cell r="F1211">
            <v>0.49759579999999998</v>
          </cell>
          <cell r="G1211">
            <v>65</v>
          </cell>
          <cell r="I1211" t="str">
            <v>SPCC-SD</v>
          </cell>
          <cell r="J1211" t="str">
            <v>NUT FENDER SET</v>
          </cell>
          <cell r="K1211">
            <v>0</v>
          </cell>
          <cell r="M1211" t="str">
            <v>SPCC-SD</v>
          </cell>
          <cell r="N1211" t="str">
            <v>NUT FENDER SET</v>
          </cell>
          <cell r="O1211">
            <v>0</v>
          </cell>
        </row>
        <row r="1212">
          <cell r="A1212" t="str">
            <v>SYS46</v>
          </cell>
          <cell r="B1212" t="str">
            <v>1.2 x 100 x Coil</v>
          </cell>
          <cell r="C1212">
            <v>1.2</v>
          </cell>
          <cell r="D1212">
            <v>100</v>
          </cell>
          <cell r="E1212" t="str">
            <v>Coil</v>
          </cell>
          <cell r="F1212">
            <v>1.1299999999999999E-2</v>
          </cell>
          <cell r="G1212">
            <v>1.1299999999999999E-2</v>
          </cell>
          <cell r="I1212" t="str">
            <v>SPCC-SD</v>
          </cell>
          <cell r="J1212" t="str">
            <v>CLSMPRT A OIL TEMP</v>
          </cell>
          <cell r="K1212" t="str">
            <v>11346-KTR-9402</v>
          </cell>
          <cell r="L1212" t="str">
            <v>S</v>
          </cell>
          <cell r="M1212" t="str">
            <v>SPCC-SD</v>
          </cell>
          <cell r="N1212" t="str">
            <v>CLSMPRT A OIL TEMP</v>
          </cell>
          <cell r="O1212" t="str">
            <v>11346-KTR-9402</v>
          </cell>
          <cell r="P1212" t="str">
            <v>S</v>
          </cell>
        </row>
        <row r="1213">
          <cell r="A1213" t="str">
            <v>SYS79-2</v>
          </cell>
          <cell r="B1213" t="str">
            <v>1.2 x 77 x 1219</v>
          </cell>
          <cell r="C1213">
            <v>1.2</v>
          </cell>
          <cell r="D1213">
            <v>77</v>
          </cell>
          <cell r="E1213">
            <v>1219</v>
          </cell>
          <cell r="F1213">
            <v>0.88418945999999987</v>
          </cell>
          <cell r="G1213">
            <v>66</v>
          </cell>
          <cell r="I1213" t="str">
            <v>JSC270C</v>
          </cell>
          <cell r="J1213" t="str">
            <v>STAY RR FUEL TANK</v>
          </cell>
          <cell r="K1213" t="str">
            <v>17560-MKGA-A000-H1</v>
          </cell>
          <cell r="L1213" t="str">
            <v>S</v>
          </cell>
          <cell r="M1213" t="str">
            <v>JSC270C</v>
          </cell>
          <cell r="N1213" t="str">
            <v>STAY RR FUEL TANK</v>
          </cell>
          <cell r="O1213" t="str">
            <v>17560-MKGA-A000-H1</v>
          </cell>
          <cell r="P1213" t="str">
            <v>S</v>
          </cell>
        </row>
        <row r="1214">
          <cell r="A1214" t="str">
            <v>SYS049-2</v>
          </cell>
          <cell r="B1214" t="str">
            <v>1.2 x 77 x 1219</v>
          </cell>
          <cell r="C1214">
            <v>1.2</v>
          </cell>
          <cell r="D1214">
            <v>77</v>
          </cell>
          <cell r="E1214">
            <v>1219</v>
          </cell>
          <cell r="F1214">
            <v>0.88418945999999987</v>
          </cell>
          <cell r="G1214">
            <v>66</v>
          </cell>
          <cell r="I1214" t="str">
            <v>JSC270C</v>
          </cell>
          <cell r="J1214" t="str">
            <v>STAY RR FUEL TANK</v>
          </cell>
          <cell r="K1214" t="str">
            <v>17560-K87-A000-H1</v>
          </cell>
          <cell r="L1214" t="str">
            <v>S</v>
          </cell>
          <cell r="M1214" t="str">
            <v>JSC270C</v>
          </cell>
          <cell r="N1214" t="str">
            <v>STAY RR FUEL TANK</v>
          </cell>
          <cell r="O1214" t="str">
            <v>17560-K87-A000-H1</v>
          </cell>
          <cell r="P1214" t="str">
            <v>S</v>
          </cell>
        </row>
        <row r="1215">
          <cell r="A1215" t="str">
            <v>SYS038</v>
          </cell>
          <cell r="B1215" t="str">
            <v>1.4 x 40 x 1219</v>
          </cell>
          <cell r="C1215">
            <v>1.4</v>
          </cell>
          <cell r="D1215">
            <v>40</v>
          </cell>
          <cell r="E1215">
            <v>1219</v>
          </cell>
          <cell r="F1215">
            <v>0.53587240000000003</v>
          </cell>
          <cell r="G1215">
            <v>40</v>
          </cell>
          <cell r="I1215" t="str">
            <v>SPCC-SD</v>
          </cell>
          <cell r="J1215" t="str">
            <v>PLATE (GUIDE MAIN HARNESS)</v>
          </cell>
          <cell r="K1215" t="str">
            <v>61311-KZZA-20</v>
          </cell>
          <cell r="L1215" t="str">
            <v>S</v>
          </cell>
          <cell r="M1215" t="str">
            <v>SPCC-SD</v>
          </cell>
          <cell r="N1215" t="str">
            <v>PLATE (GUIDE MAIN HARNESS)</v>
          </cell>
          <cell r="O1215" t="str">
            <v>61311-KZZA-20</v>
          </cell>
          <cell r="P1215" t="str">
            <v>S</v>
          </cell>
        </row>
        <row r="1216">
          <cell r="A1216" t="str">
            <v>SYS045</v>
          </cell>
          <cell r="B1216" t="str">
            <v>1.4 x 50 x Coil</v>
          </cell>
          <cell r="C1216">
            <v>1.4</v>
          </cell>
          <cell r="D1216">
            <v>50</v>
          </cell>
          <cell r="E1216">
            <v>1219</v>
          </cell>
          <cell r="F1216">
            <v>0.66984049999999995</v>
          </cell>
          <cell r="G1216">
            <v>305</v>
          </cell>
          <cell r="I1216" t="str">
            <v>SPCC-SD</v>
          </cell>
          <cell r="J1216" t="str">
            <v>WASHER 6.5*15*1.5</v>
          </cell>
          <cell r="K1216" t="str">
            <v>90403-GFM-9701</v>
          </cell>
          <cell r="L1216" t="str">
            <v>S</v>
          </cell>
          <cell r="M1216" t="str">
            <v>SPCC-SD</v>
          </cell>
          <cell r="N1216" t="str">
            <v>WASHER 6.5*15*1.5</v>
          </cell>
          <cell r="O1216" t="str">
            <v>90403-GFM-9701</v>
          </cell>
          <cell r="P1216" t="str">
            <v>S</v>
          </cell>
        </row>
        <row r="1217">
          <cell r="A1217" t="str">
            <v>SYS051</v>
          </cell>
          <cell r="B1217" t="str">
            <v>1.4 x 85 x 1219</v>
          </cell>
          <cell r="C1217">
            <v>1.4</v>
          </cell>
          <cell r="D1217">
            <v>85</v>
          </cell>
          <cell r="E1217">
            <v>1219</v>
          </cell>
          <cell r="F1217">
            <v>1.1387288499999997</v>
          </cell>
          <cell r="G1217">
            <v>16</v>
          </cell>
          <cell r="I1217" t="str">
            <v>SPCC-SD</v>
          </cell>
          <cell r="J1217" t="str">
            <v>STAY FR UNDER COWL</v>
          </cell>
          <cell r="K1217" t="str">
            <v>64315-MGZ-J000</v>
          </cell>
          <cell r="L1217" t="str">
            <v>S</v>
          </cell>
          <cell r="M1217" t="str">
            <v>SPCC-SD</v>
          </cell>
          <cell r="N1217" t="str">
            <v>STAY FR UNDER COWL</v>
          </cell>
          <cell r="O1217" t="str">
            <v>64315-MGZ-J000</v>
          </cell>
          <cell r="P1217" t="str">
            <v>S</v>
          </cell>
        </row>
        <row r="1218">
          <cell r="A1218" t="str">
            <v>SYS061</v>
          </cell>
          <cell r="B1218" t="str">
            <v>1.6 x 120 x 1219</v>
          </cell>
          <cell r="C1218">
            <v>1.6</v>
          </cell>
          <cell r="D1218">
            <v>120</v>
          </cell>
          <cell r="E1218">
            <v>1219</v>
          </cell>
          <cell r="F1218">
            <v>1.8372767999999997</v>
          </cell>
          <cell r="G1218">
            <v>43</v>
          </cell>
          <cell r="I1218" t="str">
            <v>JSC270C</v>
          </cell>
          <cell r="J1218" t="str">
            <v>CLAMP PULSE GEN CRD</v>
          </cell>
          <cell r="K1218" t="str">
            <v>11334-MJE-D000</v>
          </cell>
          <cell r="L1218" t="str">
            <v>S</v>
          </cell>
          <cell r="M1218" t="str">
            <v>JSC270C</v>
          </cell>
          <cell r="N1218" t="str">
            <v>CLAMP PULSE GEN CRD</v>
          </cell>
          <cell r="O1218" t="str">
            <v>11334-MJE-D000</v>
          </cell>
          <cell r="P1218" t="str">
            <v>S</v>
          </cell>
        </row>
        <row r="1219">
          <cell r="A1219" t="str">
            <v>SYS037</v>
          </cell>
          <cell r="B1219" t="str">
            <v>1.6 x 75 x 1219</v>
          </cell>
          <cell r="C1219">
            <v>1.6</v>
          </cell>
          <cell r="D1219">
            <v>75</v>
          </cell>
          <cell r="E1219">
            <v>1219</v>
          </cell>
          <cell r="F1219">
            <v>1.148298</v>
          </cell>
          <cell r="G1219">
            <v>22</v>
          </cell>
          <cell r="I1219" t="str">
            <v>SPCC-SD</v>
          </cell>
          <cell r="J1219" t="str">
            <v>STAY (COMP FUEL TANK RR)</v>
          </cell>
          <cell r="K1219" t="str">
            <v>17560-KZZA-21</v>
          </cell>
          <cell r="L1219" t="str">
            <v>S</v>
          </cell>
          <cell r="M1219" t="str">
            <v>SPCC-SD</v>
          </cell>
          <cell r="N1219" t="str">
            <v>STAY (COMP FUEL TANK RR)</v>
          </cell>
          <cell r="O1219" t="str">
            <v>17560-KZZA-21</v>
          </cell>
          <cell r="P1219" t="str">
            <v>S</v>
          </cell>
        </row>
        <row r="1220">
          <cell r="A1220" t="str">
            <v>SYS050</v>
          </cell>
          <cell r="B1220" t="str">
            <v>1.6 x 76 x 1219</v>
          </cell>
          <cell r="C1220">
            <v>1.6</v>
          </cell>
          <cell r="D1220">
            <v>76</v>
          </cell>
          <cell r="E1220">
            <v>1219</v>
          </cell>
          <cell r="F1220">
            <v>1.1636086400000001</v>
          </cell>
          <cell r="G1220">
            <v>16</v>
          </cell>
          <cell r="I1220" t="str">
            <v>SPCC-SD</v>
          </cell>
          <cell r="J1220" t="str">
            <v>COVER OIL FILTER</v>
          </cell>
          <cell r="K1220" t="str">
            <v>15441-K26A-9000</v>
          </cell>
          <cell r="L1220" t="str">
            <v>S</v>
          </cell>
          <cell r="M1220" t="str">
            <v>SPCC-SD</v>
          </cell>
          <cell r="N1220" t="str">
            <v>COVER OIL FILTER</v>
          </cell>
          <cell r="O1220" t="str">
            <v>15441-K26A-9000</v>
          </cell>
          <cell r="P1220" t="str">
            <v>S</v>
          </cell>
          <cell r="R1220">
            <v>300</v>
          </cell>
        </row>
        <row r="1221">
          <cell r="A1221" t="str">
            <v>SYS062</v>
          </cell>
          <cell r="B1221" t="str">
            <v>1.6 x 92 x 1219</v>
          </cell>
          <cell r="C1221">
            <v>1.6</v>
          </cell>
          <cell r="D1221">
            <v>92</v>
          </cell>
          <cell r="E1221">
            <v>1219</v>
          </cell>
          <cell r="F1221">
            <v>1.4085788800000001</v>
          </cell>
          <cell r="G1221">
            <v>58</v>
          </cell>
          <cell r="I1221" t="str">
            <v>JSC270C</v>
          </cell>
          <cell r="J1221" t="str">
            <v>CLAMP ACG CORD</v>
          </cell>
          <cell r="K1221" t="str">
            <v>11333-MJE-D000</v>
          </cell>
          <cell r="L1221" t="str">
            <v>S</v>
          </cell>
          <cell r="M1221" t="str">
            <v>JSC270C</v>
          </cell>
          <cell r="N1221" t="str">
            <v>CLAMP ACG CORD</v>
          </cell>
          <cell r="O1221" t="str">
            <v>11333-MJE-D000</v>
          </cell>
          <cell r="P1221" t="str">
            <v>S</v>
          </cell>
        </row>
        <row r="1222">
          <cell r="A1222" t="str">
            <v>SYS80-2</v>
          </cell>
          <cell r="B1222" t="str">
            <v>2.0 x 107 x 1219</v>
          </cell>
          <cell r="C1222">
            <v>2</v>
          </cell>
          <cell r="D1222">
            <v>107</v>
          </cell>
          <cell r="E1222">
            <v>1219</v>
          </cell>
          <cell r="F1222">
            <v>2.0477981000000001</v>
          </cell>
          <cell r="G1222">
            <v>26</v>
          </cell>
          <cell r="I1222" t="str">
            <v>SPHC-P/O</v>
          </cell>
          <cell r="J1222" t="str">
            <v>STAY R</v>
          </cell>
          <cell r="K1222" t="str">
            <v>64221-KWWM-6400-21</v>
          </cell>
          <cell r="L1222" t="str">
            <v>K58M</v>
          </cell>
          <cell r="M1222" t="str">
            <v>SPHC-P/O</v>
          </cell>
          <cell r="N1222" t="str">
            <v>STAY R</v>
          </cell>
          <cell r="O1222" t="str">
            <v>64221-KWWM-6400-21</v>
          </cell>
          <cell r="P1222" t="str">
            <v>K58M</v>
          </cell>
        </row>
        <row r="1223">
          <cell r="A1223" t="str">
            <v>SYS055</v>
          </cell>
          <cell r="B1223" t="str">
            <v>2.0 x 112 x 1219</v>
          </cell>
          <cell r="C1223">
            <v>2</v>
          </cell>
          <cell r="D1223">
            <v>112</v>
          </cell>
          <cell r="E1223">
            <v>1219</v>
          </cell>
          <cell r="F1223">
            <v>2.1434896000000001</v>
          </cell>
          <cell r="G1223">
            <v>18</v>
          </cell>
          <cell r="I1223" t="str">
            <v>SPHC-P/O</v>
          </cell>
          <cell r="J1223" t="str">
            <v>STAY FR FUEL TANK</v>
          </cell>
          <cell r="K1223" t="str">
            <v>50126-KPW-9000-H1</v>
          </cell>
          <cell r="L1223" t="str">
            <v>S</v>
          </cell>
          <cell r="M1223" t="str">
            <v>SPHC-P/O</v>
          </cell>
          <cell r="N1223" t="str">
            <v>STAY FR FUEL TANK</v>
          </cell>
          <cell r="O1223" t="str">
            <v>50126-KPW-9000-H1</v>
          </cell>
          <cell r="P1223" t="str">
            <v>S</v>
          </cell>
        </row>
        <row r="1224">
          <cell r="A1224" t="str">
            <v>SYS080+081-1</v>
          </cell>
          <cell r="B1224" t="str">
            <v>2.0 x 127 x 1219</v>
          </cell>
          <cell r="C1224">
            <v>2</v>
          </cell>
          <cell r="D1224">
            <v>127</v>
          </cell>
          <cell r="E1224">
            <v>1219</v>
          </cell>
          <cell r="F1224">
            <v>2.4305641000000002</v>
          </cell>
          <cell r="G1224">
            <v>14</v>
          </cell>
          <cell r="I1224" t="str">
            <v>SPHC-P/O</v>
          </cell>
          <cell r="J1224" t="str">
            <v>BRKT "STAY FR TOP"</v>
          </cell>
          <cell r="L1224" t="str">
            <v>S</v>
          </cell>
          <cell r="M1224" t="str">
            <v>SPHC-P/O</v>
          </cell>
          <cell r="N1224" t="str">
            <v>BRKT "STAY FR TOP"</v>
          </cell>
          <cell r="P1224" t="str">
            <v>S</v>
          </cell>
          <cell r="R1224">
            <v>200</v>
          </cell>
        </row>
        <row r="1225">
          <cell r="A1225" t="str">
            <v>SYS80-3</v>
          </cell>
          <cell r="B1225" t="str">
            <v>2.0 x 135 x 1219</v>
          </cell>
          <cell r="C1225">
            <v>2</v>
          </cell>
          <cell r="D1225">
            <v>135</v>
          </cell>
          <cell r="E1225">
            <v>1219</v>
          </cell>
          <cell r="F1225">
            <v>2.5836705000000002</v>
          </cell>
          <cell r="G1225">
            <v>20</v>
          </cell>
          <cell r="I1225" t="str">
            <v>SPHC-P/O</v>
          </cell>
          <cell r="J1225" t="str">
            <v>STAY L</v>
          </cell>
          <cell r="K1225" t="str">
            <v>64221-K58M-TC01-22</v>
          </cell>
          <cell r="L1225" t="str">
            <v>K58M</v>
          </cell>
          <cell r="M1225" t="str">
            <v>SPHC-P/O</v>
          </cell>
          <cell r="N1225" t="str">
            <v>STAY L</v>
          </cell>
          <cell r="O1225" t="str">
            <v>64221-K58M-TC01-22</v>
          </cell>
          <cell r="P1225" t="str">
            <v>K58M</v>
          </cell>
        </row>
        <row r="1226">
          <cell r="A1226" t="str">
            <v>SYS042</v>
          </cell>
          <cell r="B1226" t="str">
            <v>2.0 x 66 x 1219</v>
          </cell>
          <cell r="C1226">
            <v>2</v>
          </cell>
          <cell r="D1226">
            <v>66</v>
          </cell>
          <cell r="E1226">
            <v>1219</v>
          </cell>
          <cell r="F1226">
            <v>1.2631278000000001</v>
          </cell>
          <cell r="G1226">
            <v>21</v>
          </cell>
          <cell r="I1226" t="str">
            <v>SPHC-P/O</v>
          </cell>
          <cell r="J1226" t="str">
            <v>PLATE COMP RR ROPE HOOK</v>
          </cell>
          <cell r="K1226" t="str">
            <v>80117-K20A-9000</v>
          </cell>
          <cell r="L1226" t="str">
            <v>S</v>
          </cell>
          <cell r="M1226" t="str">
            <v>SPHC-P/O</v>
          </cell>
          <cell r="N1226" t="str">
            <v>PLATE COMP RR ROPE HOOK</v>
          </cell>
          <cell r="O1226" t="str">
            <v>80117-K20A-9000</v>
          </cell>
          <cell r="P1226" t="str">
            <v>S</v>
          </cell>
        </row>
        <row r="1227">
          <cell r="A1227" t="str">
            <v>SYS052</v>
          </cell>
          <cell r="B1227" t="str">
            <v>2.0 x 99 x 1219</v>
          </cell>
          <cell r="C1227">
            <v>2</v>
          </cell>
          <cell r="D1227">
            <v>99</v>
          </cell>
          <cell r="E1227">
            <v>1219</v>
          </cell>
          <cell r="F1227">
            <v>1.8946916999999999</v>
          </cell>
          <cell r="G1227">
            <v>23</v>
          </cell>
          <cell r="I1227" t="str">
            <v>SPHC-P/O</v>
          </cell>
          <cell r="J1227" t="str">
            <v>STAY RR L UNDER COWL</v>
          </cell>
          <cell r="K1227" t="str">
            <v>61325-KZZA-9000-20</v>
          </cell>
          <cell r="L1227" t="str">
            <v>S</v>
          </cell>
          <cell r="M1227" t="str">
            <v>SPHC-P/O</v>
          </cell>
          <cell r="N1227" t="str">
            <v>STAY RR L UNDER COWL</v>
          </cell>
          <cell r="O1227" t="str">
            <v>61325-KZZA-9000-20</v>
          </cell>
          <cell r="P1227" t="str">
            <v>S</v>
          </cell>
        </row>
        <row r="1228">
          <cell r="A1228" t="str">
            <v>SYS54-1</v>
          </cell>
          <cell r="B1228" t="str">
            <v>2.0 x 99 x 1219</v>
          </cell>
          <cell r="C1228">
            <v>2</v>
          </cell>
          <cell r="D1228">
            <v>99</v>
          </cell>
          <cell r="E1228">
            <v>1219</v>
          </cell>
          <cell r="F1228">
            <v>1.8946916999999999</v>
          </cell>
          <cell r="G1228">
            <v>23</v>
          </cell>
          <cell r="I1228" t="str">
            <v>SPHC-P/O</v>
          </cell>
          <cell r="J1228" t="str">
            <v>STAY RR L UNDER COWL</v>
          </cell>
          <cell r="K1228" t="str">
            <v>64326-MGZ-J000</v>
          </cell>
          <cell r="L1228" t="str">
            <v>S</v>
          </cell>
          <cell r="M1228" t="str">
            <v>SPHC-P/O</v>
          </cell>
          <cell r="N1228" t="str">
            <v>STAY RR L UNDER COWL</v>
          </cell>
          <cell r="O1228" t="str">
            <v>64326-MGZ-J000</v>
          </cell>
          <cell r="P1228" t="str">
            <v>S</v>
          </cell>
        </row>
        <row r="1229">
          <cell r="A1229" t="str">
            <v>SYS048-1</v>
          </cell>
          <cell r="B1229" t="str">
            <v>2.6 x 162 x 1219</v>
          </cell>
          <cell r="C1229">
            <v>2.6</v>
          </cell>
          <cell r="D1229">
            <v>162</v>
          </cell>
          <cell r="E1229">
            <v>1219</v>
          </cell>
          <cell r="F1229">
            <v>4.0305259799999993</v>
          </cell>
          <cell r="G1229">
            <v>12</v>
          </cell>
          <cell r="I1229" t="str">
            <v>JSH270C</v>
          </cell>
          <cell r="J1229" t="str">
            <v>STAY RR FUEL TANK</v>
          </cell>
          <cell r="K1229" t="str">
            <v>17560-MKGA-A000-H1</v>
          </cell>
          <cell r="L1229" t="str">
            <v>S</v>
          </cell>
          <cell r="M1229" t="str">
            <v>JSH270C</v>
          </cell>
          <cell r="N1229" t="str">
            <v>STAY RR FUEL TANK</v>
          </cell>
          <cell r="O1229" t="str">
            <v>17560-MKGA-A000-H1</v>
          </cell>
          <cell r="P1229" t="str">
            <v>S</v>
          </cell>
        </row>
        <row r="1230">
          <cell r="A1230" t="str">
            <v>SYS049-1</v>
          </cell>
          <cell r="B1230" t="str">
            <v>2.6 x 162 x 1219</v>
          </cell>
          <cell r="C1230">
            <v>2.6</v>
          </cell>
          <cell r="D1230">
            <v>162</v>
          </cell>
          <cell r="E1230">
            <v>1219</v>
          </cell>
          <cell r="F1230">
            <v>4.0305259799999993</v>
          </cell>
          <cell r="G1230">
            <v>12</v>
          </cell>
          <cell r="I1230" t="str">
            <v>JSH270C</v>
          </cell>
          <cell r="J1230" t="str">
            <v>STAY RR FUEL TANK</v>
          </cell>
          <cell r="K1230" t="str">
            <v>17560-K87-A000-H1</v>
          </cell>
          <cell r="L1230" t="str">
            <v>S</v>
          </cell>
          <cell r="M1230" t="str">
            <v>JSH270C</v>
          </cell>
          <cell r="N1230" t="str">
            <v>STAY RR FUEL TANK</v>
          </cell>
          <cell r="O1230" t="str">
            <v>17560-K87-A000-H1</v>
          </cell>
          <cell r="P1230" t="str">
            <v>S</v>
          </cell>
        </row>
        <row r="1231">
          <cell r="A1231" t="str">
            <v>SYS79-1</v>
          </cell>
          <cell r="B1231" t="str">
            <v>2.6 x 162 x 1219</v>
          </cell>
          <cell r="C1231">
            <v>2.6</v>
          </cell>
          <cell r="D1231">
            <v>162</v>
          </cell>
          <cell r="E1231">
            <v>1219</v>
          </cell>
          <cell r="F1231">
            <v>4.0305259799999993</v>
          </cell>
          <cell r="G1231">
            <v>12</v>
          </cell>
          <cell r="I1231" t="str">
            <v>JSH270C</v>
          </cell>
          <cell r="J1231" t="str">
            <v>STAY(STAY RR FUEL TANK)</v>
          </cell>
          <cell r="K1231" t="str">
            <v>17560-MKGA-A001-20</v>
          </cell>
          <cell r="L1231" t="str">
            <v>S</v>
          </cell>
          <cell r="M1231" t="str">
            <v>JSH270C</v>
          </cell>
          <cell r="N1231" t="str">
            <v>STAY(STAY RR FUEL TANK)</v>
          </cell>
          <cell r="O1231" t="str">
            <v>17560-MKGA-A001-20</v>
          </cell>
          <cell r="P1231" t="str">
            <v>S</v>
          </cell>
        </row>
        <row r="1232">
          <cell r="A1232" t="str">
            <v>SYS060</v>
          </cell>
          <cell r="B1232" t="str">
            <v>3.2 x 125 x 1219</v>
          </cell>
          <cell r="C1232">
            <v>3.2</v>
          </cell>
          <cell r="D1232">
            <v>125</v>
          </cell>
          <cell r="E1232">
            <v>1219</v>
          </cell>
          <cell r="F1232">
            <v>3.8276599999999998</v>
          </cell>
          <cell r="G1232">
            <v>10</v>
          </cell>
          <cell r="I1232" t="str">
            <v>JSC270C</v>
          </cell>
          <cell r="J1232" t="str">
            <v>PLATE CHIN GUIDE</v>
          </cell>
          <cell r="K1232" t="str">
            <v>11356-MJE-D000</v>
          </cell>
          <cell r="L1232" t="str">
            <v>S</v>
          </cell>
          <cell r="M1232" t="str">
            <v>JSC270C</v>
          </cell>
          <cell r="N1232" t="str">
            <v>PLATE CHIN GUIDE</v>
          </cell>
          <cell r="O1232" t="str">
            <v>11356-MJE-D000</v>
          </cell>
          <cell r="P1232" t="str">
            <v>S</v>
          </cell>
        </row>
        <row r="1233">
          <cell r="A1233" t="str">
            <v>SYS55-3.1</v>
          </cell>
          <cell r="B1233" t="str">
            <v>3.2 x 52 x 1219</v>
          </cell>
          <cell r="C1233">
            <v>3.2</v>
          </cell>
          <cell r="D1233">
            <v>52</v>
          </cell>
          <cell r="E1233">
            <v>1219</v>
          </cell>
          <cell r="F1233">
            <v>1.5923065600000001</v>
          </cell>
          <cell r="G1233">
            <v>224</v>
          </cell>
          <cell r="I1233" t="str">
            <v>SPHC-P/O</v>
          </cell>
          <cell r="J1233" t="str">
            <v>UNPLATE M5*0.8</v>
          </cell>
          <cell r="K1233" t="str">
            <v>16222-KYJ-9000</v>
          </cell>
          <cell r="L1233" t="str">
            <v>S</v>
          </cell>
          <cell r="M1233" t="str">
            <v>SPHC-P/O</v>
          </cell>
          <cell r="N1233" t="str">
            <v>UNPLATE M5*0.8</v>
          </cell>
          <cell r="O1233" t="str">
            <v>16222-KYJ-9000</v>
          </cell>
          <cell r="P1233" t="str">
            <v>S</v>
          </cell>
        </row>
        <row r="1234">
          <cell r="A1234" t="str">
            <v>SYS56-3.1</v>
          </cell>
          <cell r="B1234" t="str">
            <v>3.2 x 52 x 1219</v>
          </cell>
          <cell r="C1234">
            <v>3.2</v>
          </cell>
          <cell r="D1234">
            <v>52</v>
          </cell>
          <cell r="E1234">
            <v>1219</v>
          </cell>
          <cell r="F1234">
            <v>1.5923065600000001</v>
          </cell>
          <cell r="G1234">
            <v>224</v>
          </cell>
          <cell r="I1234" t="str">
            <v>SPHC-P/O</v>
          </cell>
          <cell r="J1234" t="str">
            <v>UNPLATE M5*0.8</v>
          </cell>
          <cell r="K1234" t="str">
            <v>16222-KYJ-9000</v>
          </cell>
          <cell r="L1234" t="str">
            <v>S</v>
          </cell>
          <cell r="M1234" t="str">
            <v>SPHC-P/O</v>
          </cell>
          <cell r="N1234" t="str">
            <v>UNPLATE M5*0.8</v>
          </cell>
          <cell r="O1234" t="str">
            <v>16222-KYJ-9000</v>
          </cell>
          <cell r="P1234" t="str">
            <v>S</v>
          </cell>
        </row>
        <row r="1235">
          <cell r="A1235" t="str">
            <v>ชิ้นงาน SYS ไม่มีซื้อ</v>
          </cell>
        </row>
        <row r="1236">
          <cell r="A1236" t="str">
            <v>SYS009</v>
          </cell>
          <cell r="B1236" t="str">
            <v>2.0 x 34 x Coil</v>
          </cell>
          <cell r="C1236">
            <v>2</v>
          </cell>
          <cell r="D1236">
            <v>34</v>
          </cell>
          <cell r="E1236" t="str">
            <v>Coil</v>
          </cell>
          <cell r="F1236">
            <v>2.4E-2</v>
          </cell>
          <cell r="G1236">
            <v>2.4E-2</v>
          </cell>
          <cell r="I1236" t="str">
            <v>SPHC-P/O</v>
          </cell>
          <cell r="J1236" t="str">
            <v>STAY HORN "STAY FR TOP"</v>
          </cell>
          <cell r="L1236" t="str">
            <v>S</v>
          </cell>
          <cell r="M1236" t="str">
            <v>SPHC-P/O</v>
          </cell>
          <cell r="N1236" t="str">
            <v>STAY HORN "STAY FR TOP"</v>
          </cell>
          <cell r="P1236" t="str">
            <v>S</v>
          </cell>
        </row>
        <row r="1237">
          <cell r="B1237" t="str">
            <v>1.2 x 73 x 1219</v>
          </cell>
          <cell r="C1237">
            <v>1.2</v>
          </cell>
          <cell r="D1237">
            <v>73</v>
          </cell>
          <cell r="E1237">
            <v>1219</v>
          </cell>
          <cell r="F1237">
            <v>0.83825753999999997</v>
          </cell>
          <cell r="G1237">
            <v>54</v>
          </cell>
          <cell r="I1237" t="str">
            <v>SPCC-SD</v>
          </cell>
          <cell r="J1237" t="str">
            <v>CLAMPER SPD SENSOR CORD</v>
          </cell>
          <cell r="K1237" t="str">
            <v>17255-KVB-T000</v>
          </cell>
          <cell r="L1237" t="str">
            <v>S</v>
          </cell>
          <cell r="M1237" t="str">
            <v>SPCC-SD</v>
          </cell>
          <cell r="N1237" t="str">
            <v>CLAMPER SPD SENSOR CORD</v>
          </cell>
          <cell r="O1237" t="str">
            <v>17255-KVB-T000</v>
          </cell>
          <cell r="P1237" t="str">
            <v>S</v>
          </cell>
        </row>
        <row r="1238">
          <cell r="B1238" t="str">
            <v>2.0 x 90 x 1219</v>
          </cell>
          <cell r="C1238">
            <v>2</v>
          </cell>
          <cell r="D1238">
            <v>90</v>
          </cell>
          <cell r="E1238">
            <v>1219</v>
          </cell>
          <cell r="F1238">
            <v>1.7224470000000001</v>
          </cell>
          <cell r="G1238">
            <v>23</v>
          </cell>
          <cell r="I1238" t="str">
            <v>SPHC-P/O</v>
          </cell>
          <cell r="J1238" t="str">
            <v>PLATE (GUIDE CLUTH CABLE)</v>
          </cell>
          <cell r="K1238" t="str">
            <v>61325-KZZA-9000-20</v>
          </cell>
          <cell r="L1238" t="str">
            <v>S</v>
          </cell>
          <cell r="M1238" t="str">
            <v>SPHC-P/O</v>
          </cell>
          <cell r="N1238" t="str">
            <v>PLATE (GUIDE CLUTH CABLE)</v>
          </cell>
          <cell r="O1238" t="str">
            <v>61325-KZZA-9000-20</v>
          </cell>
          <cell r="P1238" t="str">
            <v>S</v>
          </cell>
          <cell r="R1238">
            <v>200</v>
          </cell>
        </row>
        <row r="1239">
          <cell r="B1239" t="str">
            <v>2.0 x 74 x 1219</v>
          </cell>
          <cell r="C1239">
            <v>2</v>
          </cell>
          <cell r="D1239">
            <v>74</v>
          </cell>
          <cell r="E1239">
            <v>1219</v>
          </cell>
          <cell r="F1239">
            <v>1.4162341999999999</v>
          </cell>
          <cell r="G1239">
            <v>37</v>
          </cell>
          <cell r="I1239" t="str">
            <v>SAPH-440W</v>
          </cell>
          <cell r="J1239" t="str">
            <v>STAY</v>
          </cell>
          <cell r="K1239" t="str">
            <v>17120-KWNJ-9002-21</v>
          </cell>
          <cell r="L1239" t="str">
            <v>S</v>
          </cell>
          <cell r="M1239" t="str">
            <v>SAPH-440W</v>
          </cell>
          <cell r="N1239" t="str">
            <v>STAY</v>
          </cell>
          <cell r="O1239" t="str">
            <v>17120-KWNJ-9002-21</v>
          </cell>
          <cell r="P1239" t="str">
            <v>S</v>
          </cell>
        </row>
        <row r="1240">
          <cell r="B1240" t="str">
            <v>1.6 x 58 x 1219</v>
          </cell>
          <cell r="C1240">
            <v>1.6</v>
          </cell>
          <cell r="D1240">
            <v>58</v>
          </cell>
          <cell r="E1240">
            <v>1219</v>
          </cell>
          <cell r="F1240">
            <v>0.88801711999999999</v>
          </cell>
          <cell r="G1240">
            <v>27</v>
          </cell>
          <cell r="I1240" t="str">
            <v>SPHC-P/O</v>
          </cell>
          <cell r="J1240" t="str">
            <v>STAY BRK CABLE</v>
          </cell>
          <cell r="K1240" t="str">
            <v>43458-K20A-9000</v>
          </cell>
          <cell r="L1240" t="str">
            <v>S</v>
          </cell>
          <cell r="M1240" t="str">
            <v>SPHC-P/O</v>
          </cell>
          <cell r="N1240" t="str">
            <v>STAY BRK CABLE</v>
          </cell>
          <cell r="O1240" t="str">
            <v>43458-K20A-9000</v>
          </cell>
          <cell r="P1240" t="str">
            <v>S</v>
          </cell>
        </row>
        <row r="1241">
          <cell r="B1241" t="str">
            <v>1.4 x 71 x 1219</v>
          </cell>
          <cell r="C1241">
            <v>1.4</v>
          </cell>
          <cell r="D1241">
            <v>71</v>
          </cell>
          <cell r="E1241">
            <v>1219</v>
          </cell>
          <cell r="F1241">
            <v>0.95117350999999994</v>
          </cell>
          <cell r="G1241">
            <v>60</v>
          </cell>
          <cell r="I1241" t="str">
            <v>SPCC-SD</v>
          </cell>
          <cell r="J1241" t="str">
            <v>CLAMPER COMP TH CABLE</v>
          </cell>
          <cell r="K1241" t="str">
            <v>12160-K16A-9001</v>
          </cell>
          <cell r="L1241" t="str">
            <v>S</v>
          </cell>
          <cell r="M1241" t="str">
            <v>SPCC-SD</v>
          </cell>
          <cell r="N1241" t="str">
            <v>CLAMPER COMP TH CABLE</v>
          </cell>
          <cell r="O1241" t="str">
            <v>12160-K16A-9001</v>
          </cell>
          <cell r="P1241" t="str">
            <v>S</v>
          </cell>
          <cell r="R1241">
            <v>300</v>
          </cell>
        </row>
        <row r="1242">
          <cell r="B1242" t="str">
            <v>2.3 x 65 x 1219</v>
          </cell>
          <cell r="C1242">
            <v>2.2999999999999998</v>
          </cell>
          <cell r="D1242">
            <v>65</v>
          </cell>
          <cell r="E1242">
            <v>1219</v>
          </cell>
          <cell r="F1242">
            <v>1.430587925</v>
          </cell>
          <cell r="G1242">
            <v>49</v>
          </cell>
          <cell r="I1242" t="str">
            <v>SAPH-440W</v>
          </cell>
          <cell r="J1242" t="str">
            <v>STAY FR FENDER C</v>
          </cell>
          <cell r="K1242" t="str">
            <v>80106-MJE-D000</v>
          </cell>
          <cell r="L1242" t="str">
            <v>S</v>
          </cell>
          <cell r="M1242" t="str">
            <v>SAPH-440W</v>
          </cell>
          <cell r="N1242" t="str">
            <v>STAY FR FENDER C</v>
          </cell>
          <cell r="O1242" t="str">
            <v>80106-MJE-D000</v>
          </cell>
          <cell r="P1242" t="str">
            <v>S</v>
          </cell>
        </row>
        <row r="1243">
          <cell r="B1243" t="str">
            <v>1.6 x 90 x 1219</v>
          </cell>
          <cell r="C1243">
            <v>1.6</v>
          </cell>
          <cell r="D1243">
            <v>90</v>
          </cell>
          <cell r="E1243">
            <v>1219</v>
          </cell>
          <cell r="F1243">
            <v>1.3779575999999998</v>
          </cell>
          <cell r="G1243">
            <v>45</v>
          </cell>
          <cell r="I1243" t="str">
            <v>JSH270C</v>
          </cell>
          <cell r="J1243" t="str">
            <v>STAY REG (SUP BRKT CUSH)</v>
          </cell>
          <cell r="K1243" t="str">
            <v>50129-KYT-9000-H1</v>
          </cell>
          <cell r="L1243" t="str">
            <v>S</v>
          </cell>
          <cell r="M1243" t="str">
            <v>JSH270C</v>
          </cell>
          <cell r="N1243" t="str">
            <v>STAY REG (SUP BRKT CUSH)</v>
          </cell>
          <cell r="O1243" t="str">
            <v>50129-KYT-9000-H1</v>
          </cell>
          <cell r="P1243" t="str">
            <v>S</v>
          </cell>
        </row>
        <row r="1244">
          <cell r="B1244" t="str">
            <v>2.0 x 87 x 1219</v>
          </cell>
          <cell r="C1244">
            <v>2</v>
          </cell>
          <cell r="D1244">
            <v>87</v>
          </cell>
          <cell r="E1244">
            <v>1219</v>
          </cell>
          <cell r="F1244">
            <v>1.6650320999999999</v>
          </cell>
          <cell r="G1244">
            <v>22</v>
          </cell>
          <cell r="I1244" t="str">
            <v>JSH270C</v>
          </cell>
          <cell r="J1244" t="str">
            <v>GUSSET, LH</v>
          </cell>
          <cell r="K1244" t="str">
            <v>81350-KVSP-J402-28</v>
          </cell>
          <cell r="L1244" t="str">
            <v>S</v>
          </cell>
          <cell r="M1244" t="str">
            <v>JSH270C</v>
          </cell>
          <cell r="N1244" t="str">
            <v>GUSSET, LH</v>
          </cell>
          <cell r="O1244" t="str">
            <v>81350-KVSP-J402-28</v>
          </cell>
          <cell r="P1244" t="str">
            <v>S</v>
          </cell>
          <cell r="R1244">
            <v>150</v>
          </cell>
        </row>
        <row r="1245">
          <cell r="B1245" t="str">
            <v>1.0 x 106 x Coil</v>
          </cell>
          <cell r="C1245">
            <v>1</v>
          </cell>
          <cell r="D1245">
            <v>106</v>
          </cell>
          <cell r="E1245" t="str">
            <v>Coil</v>
          </cell>
          <cell r="F1245" t="e">
            <v>#VALUE!</v>
          </cell>
          <cell r="I1245" t="str">
            <v>SPCC-SD</v>
          </cell>
          <cell r="J1245" t="str">
            <v>BAND INSULATOR</v>
          </cell>
          <cell r="K1245" t="str">
            <v>17255-KVB-T000</v>
          </cell>
          <cell r="L1245" t="str">
            <v>S</v>
          </cell>
          <cell r="M1245" t="str">
            <v>SPCC-SD</v>
          </cell>
          <cell r="N1245" t="str">
            <v>BAND INSULATOR</v>
          </cell>
          <cell r="O1245" t="str">
            <v>17255-KVB-T000</v>
          </cell>
          <cell r="P1245" t="str">
            <v>S</v>
          </cell>
        </row>
        <row r="1246">
          <cell r="B1246" t="str">
            <v>1.0 x 180 x 1219</v>
          </cell>
          <cell r="C1246">
            <v>1</v>
          </cell>
          <cell r="D1246">
            <v>180</v>
          </cell>
          <cell r="E1246">
            <v>1219</v>
          </cell>
          <cell r="F1246">
            <v>1.7224470000000001</v>
          </cell>
          <cell r="G1246">
            <v>30</v>
          </cell>
          <cell r="I1246" t="str">
            <v>SPCC-SD</v>
          </cell>
          <cell r="J1246" t="str">
            <v>BAND INSULATOR</v>
          </cell>
          <cell r="K1246" t="str">
            <v>17255-KVB-T000</v>
          </cell>
          <cell r="L1246" t="str">
            <v>S</v>
          </cell>
          <cell r="M1246" t="str">
            <v>SPCC-SD</v>
          </cell>
          <cell r="N1246" t="str">
            <v>BAND INSULATOR</v>
          </cell>
          <cell r="O1246" t="str">
            <v>17255-KVB-T000</v>
          </cell>
          <cell r="P1246" t="str">
            <v>S</v>
          </cell>
        </row>
        <row r="1247">
          <cell r="B1247" t="str">
            <v>1.0 x 50 x 1219</v>
          </cell>
          <cell r="C1247">
            <v>1</v>
          </cell>
          <cell r="D1247">
            <v>50</v>
          </cell>
          <cell r="E1247">
            <v>1219</v>
          </cell>
          <cell r="F1247">
            <v>0.47845749999999998</v>
          </cell>
          <cell r="G1247">
            <v>30</v>
          </cell>
          <cell r="I1247" t="str">
            <v>SPCC-SD</v>
          </cell>
          <cell r="J1247" t="str">
            <v>COLLAR A</v>
          </cell>
          <cell r="K1247" t="str">
            <v>17255-KVB-T000</v>
          </cell>
          <cell r="L1247" t="str">
            <v>S</v>
          </cell>
          <cell r="M1247" t="str">
            <v>SPCC-SD</v>
          </cell>
          <cell r="N1247" t="str">
            <v>COLLAR A</v>
          </cell>
          <cell r="O1247" t="str">
            <v>17255-KVB-T000</v>
          </cell>
          <cell r="P1247" t="str">
            <v>S</v>
          </cell>
        </row>
        <row r="1248">
          <cell r="B1248" t="str">
            <v>1.0 x 50 x 1219</v>
          </cell>
          <cell r="C1248">
            <v>1</v>
          </cell>
          <cell r="D1248">
            <v>50</v>
          </cell>
          <cell r="E1248">
            <v>1219</v>
          </cell>
          <cell r="F1248">
            <v>0.47845749999999998</v>
          </cell>
          <cell r="G1248">
            <v>30</v>
          </cell>
          <cell r="I1248" t="str">
            <v>SPCC-SD</v>
          </cell>
          <cell r="J1248" t="str">
            <v>COLLAR B</v>
          </cell>
          <cell r="K1248" t="str">
            <v>17255-KVB-T000</v>
          </cell>
          <cell r="L1248" t="str">
            <v>S</v>
          </cell>
          <cell r="M1248" t="str">
            <v>SPCC-SD</v>
          </cell>
          <cell r="N1248" t="str">
            <v>COLLAR B</v>
          </cell>
          <cell r="O1248" t="str">
            <v>17255-KVB-T000</v>
          </cell>
          <cell r="P1248" t="str">
            <v>S</v>
          </cell>
        </row>
        <row r="1249">
          <cell r="B1249" t="str">
            <v>1.2 x 176 x 1219</v>
          </cell>
          <cell r="C1249">
            <v>1.2</v>
          </cell>
          <cell r="D1249">
            <v>176</v>
          </cell>
          <cell r="E1249">
            <v>1219</v>
          </cell>
          <cell r="F1249">
            <v>2.0210044799999998</v>
          </cell>
          <cell r="G1249">
            <v>38</v>
          </cell>
          <cell r="I1249" t="str">
            <v>SPCC-SD</v>
          </cell>
          <cell r="J1249" t="str">
            <v>STAY SEAT LOCK CABLE</v>
          </cell>
          <cell r="K1249" t="str">
            <v>77242-KZL-9301</v>
          </cell>
          <cell r="L1249" t="str">
            <v>S</v>
          </cell>
          <cell r="M1249" t="str">
            <v>SPCC-SD</v>
          </cell>
          <cell r="N1249" t="str">
            <v>STAY SEAT LOCK CABLE</v>
          </cell>
          <cell r="O1249" t="str">
            <v>77242-KZL-9301</v>
          </cell>
          <cell r="P1249" t="str">
            <v>S</v>
          </cell>
        </row>
        <row r="1250">
          <cell r="B1250" t="str">
            <v>3.2 x 84 x 1219</v>
          </cell>
          <cell r="C1250">
            <v>3.2</v>
          </cell>
          <cell r="D1250">
            <v>84</v>
          </cell>
          <cell r="E1250">
            <v>1219</v>
          </cell>
          <cell r="F1250">
            <v>2.5721875199999999</v>
          </cell>
          <cell r="G1250">
            <v>16</v>
          </cell>
          <cell r="I1250" t="str">
            <v>SPHC-P/O</v>
          </cell>
          <cell r="J1250" t="str">
            <v>BRKT, GRAB RAIL R</v>
          </cell>
          <cell r="K1250" t="str">
            <v>50130-KYT-9000-H1</v>
          </cell>
          <cell r="L1250" t="str">
            <v>S</v>
          </cell>
          <cell r="M1250" t="str">
            <v>SPHC-P/O</v>
          </cell>
          <cell r="N1250" t="str">
            <v>BRKT, GRAB RAIL R</v>
          </cell>
          <cell r="O1250" t="str">
            <v>50130-KYT-9000-H1</v>
          </cell>
          <cell r="P1250" t="str">
            <v>S</v>
          </cell>
        </row>
        <row r="1251">
          <cell r="B1251" t="str">
            <v>3.2 x 90 x 1219</v>
          </cell>
          <cell r="C1251">
            <v>3.2</v>
          </cell>
          <cell r="D1251">
            <v>90</v>
          </cell>
          <cell r="E1251">
            <v>1219</v>
          </cell>
          <cell r="F1251">
            <v>2.7559151999999996</v>
          </cell>
          <cell r="G1251">
            <v>16</v>
          </cell>
          <cell r="I1251" t="str">
            <v>SPHC-P/O</v>
          </cell>
          <cell r="J1251" t="str">
            <v>BRKT, GRAB RAIL L</v>
          </cell>
          <cell r="K1251" t="str">
            <v>50129-KYT-9000-H1</v>
          </cell>
          <cell r="L1251" t="str">
            <v>S</v>
          </cell>
          <cell r="M1251" t="str">
            <v>SPHC-P/O</v>
          </cell>
          <cell r="N1251" t="str">
            <v>BRKT, GRAB RAIL L</v>
          </cell>
          <cell r="O1251" t="str">
            <v>50129-KYT-9000-H1</v>
          </cell>
          <cell r="P1251" t="str">
            <v>S</v>
          </cell>
        </row>
        <row r="1252">
          <cell r="A1252" t="str">
            <v>ชิ้นงาน THAI NIKKO</v>
          </cell>
        </row>
        <row r="1253">
          <cell r="A1253" t="str">
            <v>NIKKO004</v>
          </cell>
          <cell r="B1253" t="str">
            <v>2.3 x 126 x 1219</v>
          </cell>
          <cell r="C1253">
            <v>2.2999999999999998</v>
          </cell>
          <cell r="D1253">
            <v>126</v>
          </cell>
          <cell r="E1253">
            <v>1219</v>
          </cell>
          <cell r="F1253">
            <v>2.7731396699999995</v>
          </cell>
          <cell r="G1253">
            <v>39</v>
          </cell>
          <cell r="I1253" t="str">
            <v>SPCC-SD</v>
          </cell>
          <cell r="J1253" t="str">
            <v>BRKT. NO: 145 (0085)</v>
          </cell>
          <cell r="K1253" t="str">
            <v>HF00-50QB-1009-AO</v>
          </cell>
          <cell r="L1253" t="str">
            <v>NIKKO</v>
          </cell>
          <cell r="M1253" t="str">
            <v>SPCC-SD</v>
          </cell>
          <cell r="N1253" t="str">
            <v>BRKT. NO: 145 (0085)</v>
          </cell>
          <cell r="O1253" t="str">
            <v>HF00-50QB-1009-AO</v>
          </cell>
          <cell r="P1253" t="str">
            <v>NIKKO</v>
          </cell>
        </row>
        <row r="1254">
          <cell r="A1254" t="str">
            <v>NIKKO005</v>
          </cell>
          <cell r="B1254" t="str">
            <v>2.0 x 75 x Coil</v>
          </cell>
          <cell r="C1254">
            <v>2</v>
          </cell>
          <cell r="D1254">
            <v>75</v>
          </cell>
          <cell r="E1254">
            <v>1219</v>
          </cell>
          <cell r="F1254">
            <v>1.4353724999999999</v>
          </cell>
          <cell r="G1254">
            <v>3.4000000000000002E-2</v>
          </cell>
          <cell r="I1254" t="str">
            <v>SPCC-SD</v>
          </cell>
          <cell r="J1254" t="str">
            <v>BRACKET NO : 158 (K)</v>
          </cell>
          <cell r="K1254" t="str">
            <v>7529K</v>
          </cell>
          <cell r="L1254" t="str">
            <v>NIKKO</v>
          </cell>
          <cell r="M1254" t="str">
            <v>SPCC-SD</v>
          </cell>
          <cell r="N1254" t="str">
            <v>BRACKET NO : 158 (K)</v>
          </cell>
          <cell r="O1254" t="str">
            <v>7529K</v>
          </cell>
          <cell r="P1254" t="str">
            <v>NIKKO</v>
          </cell>
        </row>
        <row r="1255">
          <cell r="A1255" t="str">
            <v>NIKKO006</v>
          </cell>
          <cell r="B1255" t="str">
            <v>2.3 x 88 x 1219</v>
          </cell>
          <cell r="C1255">
            <v>2.2999999999999998</v>
          </cell>
          <cell r="D1255">
            <v>88</v>
          </cell>
          <cell r="E1255">
            <v>1219</v>
          </cell>
          <cell r="F1255">
            <v>1.9367959599999998</v>
          </cell>
          <cell r="G1255">
            <v>24</v>
          </cell>
          <cell r="I1255" t="str">
            <v>SPCC-SD</v>
          </cell>
          <cell r="J1255" t="str">
            <v>BRKT. NO: 148</v>
          </cell>
          <cell r="K1255" t="str">
            <v>HF00-50QB-2001</v>
          </cell>
          <cell r="L1255" t="str">
            <v>NIKKO</v>
          </cell>
          <cell r="M1255" t="str">
            <v>SPCC-SD</v>
          </cell>
          <cell r="N1255" t="str">
            <v>BRKT. NO: 148</v>
          </cell>
          <cell r="O1255" t="str">
            <v>HF00-50QB-2001</v>
          </cell>
          <cell r="P1255" t="str">
            <v>NIKKO</v>
          </cell>
        </row>
        <row r="1256">
          <cell r="A1256" t="str">
            <v>NIKKO007</v>
          </cell>
          <cell r="B1256" t="str">
            <v>2.3 x 106 x 1219</v>
          </cell>
          <cell r="C1256">
            <v>2.2999999999999998</v>
          </cell>
          <cell r="D1256">
            <v>106</v>
          </cell>
          <cell r="E1256">
            <v>1219</v>
          </cell>
          <cell r="F1256">
            <v>2.3329587699999994</v>
          </cell>
          <cell r="G1256">
            <v>32</v>
          </cell>
          <cell r="I1256" t="str">
            <v>SPCC-SD</v>
          </cell>
          <cell r="J1256" t="str">
            <v>BRKT. NO: 149</v>
          </cell>
          <cell r="K1256" t="str">
            <v>HF00-55QB-0014-AO</v>
          </cell>
          <cell r="L1256" t="str">
            <v>NIKKO</v>
          </cell>
          <cell r="M1256" t="str">
            <v>SPCC-SD</v>
          </cell>
          <cell r="N1256" t="str">
            <v>BRKT. NO: 149</v>
          </cell>
          <cell r="O1256" t="str">
            <v>HF00-55QB-0014-AO</v>
          </cell>
          <cell r="P1256" t="str">
            <v>NIKKO</v>
          </cell>
        </row>
        <row r="1257">
          <cell r="B1257" t="str">
            <v>1.6 x 84 x 1219</v>
          </cell>
          <cell r="C1257">
            <v>1.6</v>
          </cell>
          <cell r="D1257">
            <v>84</v>
          </cell>
          <cell r="E1257">
            <v>1219</v>
          </cell>
          <cell r="F1257">
            <v>1.28609376</v>
          </cell>
          <cell r="G1257">
            <v>52</v>
          </cell>
          <cell r="I1257" t="str">
            <v>SPCC-SD</v>
          </cell>
          <cell r="J1257" t="str">
            <v>BRKT. NO: 137</v>
          </cell>
          <cell r="K1257" t="str">
            <v>7228M</v>
          </cell>
          <cell r="L1257" t="str">
            <v>NIKKO</v>
          </cell>
          <cell r="M1257" t="str">
            <v>SPCC-SD</v>
          </cell>
          <cell r="N1257" t="str">
            <v>BRKT. NO: 137</v>
          </cell>
          <cell r="O1257" t="str">
            <v>7228M</v>
          </cell>
          <cell r="P1257" t="str">
            <v>NIKKO</v>
          </cell>
          <cell r="R1257">
            <v>200</v>
          </cell>
        </row>
        <row r="1258">
          <cell r="B1258" t="str">
            <v>2.3 x 81 x 1219</v>
          </cell>
          <cell r="C1258">
            <v>2.2999999999999998</v>
          </cell>
          <cell r="D1258">
            <v>81</v>
          </cell>
          <cell r="E1258">
            <v>1219</v>
          </cell>
          <cell r="F1258">
            <v>1.7827326449999998</v>
          </cell>
          <cell r="G1258">
            <v>44</v>
          </cell>
          <cell r="I1258" t="str">
            <v>SPCC-SD</v>
          </cell>
          <cell r="J1258" t="str">
            <v>BRKT. NO: 146 (0087)</v>
          </cell>
          <cell r="K1258" t="str">
            <v>HF00-50QB-0022</v>
          </cell>
          <cell r="L1258" t="str">
            <v>NIKKO</v>
          </cell>
          <cell r="M1258" t="str">
            <v>SPCC-SD</v>
          </cell>
          <cell r="N1258" t="str">
            <v>BRKT. NO: 146 (0087)</v>
          </cell>
          <cell r="O1258" t="str">
            <v>HF00-50QB-0022</v>
          </cell>
          <cell r="P1258" t="str">
            <v>NIKKO</v>
          </cell>
        </row>
        <row r="1259">
          <cell r="B1259" t="str">
            <v>2.3 x 84 x 1219</v>
          </cell>
          <cell r="C1259">
            <v>2.2999999999999998</v>
          </cell>
          <cell r="D1259">
            <v>84</v>
          </cell>
          <cell r="E1259">
            <v>1219</v>
          </cell>
          <cell r="F1259">
            <v>1.8487597799999997</v>
          </cell>
          <cell r="G1259">
            <v>35</v>
          </cell>
          <cell r="I1259" t="str">
            <v>SPHC</v>
          </cell>
          <cell r="J1259" t="str">
            <v>BRKT. NO: 144 (NO PLATE)</v>
          </cell>
          <cell r="K1259" t="str">
            <v>7522M</v>
          </cell>
          <cell r="L1259" t="str">
            <v>NIKKO</v>
          </cell>
          <cell r="M1259" t="str">
            <v>SPHC</v>
          </cell>
          <cell r="N1259" t="str">
            <v>BRKT. NO: 144 (NO PLATE)</v>
          </cell>
          <cell r="O1259" t="str">
            <v>7522M</v>
          </cell>
          <cell r="P1259" t="str">
            <v>NIKKO</v>
          </cell>
        </row>
        <row r="1260">
          <cell r="B1260" t="str">
            <v>1.6 x 115 x 1219</v>
          </cell>
          <cell r="C1260">
            <v>1.6</v>
          </cell>
          <cell r="D1260">
            <v>115</v>
          </cell>
          <cell r="E1260">
            <v>1219</v>
          </cell>
          <cell r="F1260">
            <v>1.7607235999999999</v>
          </cell>
          <cell r="G1260">
            <v>26</v>
          </cell>
          <cell r="I1260" t="str">
            <v>SPCC-SD</v>
          </cell>
          <cell r="J1260" t="str">
            <v>BRKT. NO: 146 (K)</v>
          </cell>
          <cell r="K1260" t="str">
            <v>7525K</v>
          </cell>
          <cell r="L1260" t="str">
            <v>NIKKO</v>
          </cell>
          <cell r="M1260" t="str">
            <v>SPCC-SD</v>
          </cell>
          <cell r="N1260" t="str">
            <v>BRKT. NO: 146 (K)</v>
          </cell>
          <cell r="O1260" t="str">
            <v>7525K</v>
          </cell>
          <cell r="P1260" t="str">
            <v>NIKKO</v>
          </cell>
        </row>
        <row r="1261">
          <cell r="A1261" t="str">
            <v xml:space="preserve">ชิ้นงาน YSS </v>
          </cell>
          <cell r="O1261" t="str">
            <v>เหล็ก PO ซื้อ BM    เหล็ก SPCC-SD ซื้อ  T  เหล็ก PO 4.0 ซื้อ  T  เหล็ก SPCEN ซื้อ CSP</v>
          </cell>
        </row>
        <row r="1262">
          <cell r="A1262" t="str">
            <v>R008-1</v>
          </cell>
          <cell r="B1262" t="str">
            <v>2.0 x 144+/-0.5 x 1219</v>
          </cell>
          <cell r="C1262">
            <v>2</v>
          </cell>
          <cell r="D1262">
            <v>144</v>
          </cell>
          <cell r="E1262">
            <v>1219</v>
          </cell>
          <cell r="F1262">
            <v>2.7559151999999996</v>
          </cell>
          <cell r="G1262">
            <v>19</v>
          </cell>
          <cell r="I1262" t="str">
            <v>SPHC-P/O</v>
          </cell>
          <cell r="J1262" t="str">
            <v>SIDE BRKT MAIN 27*28/38*8.5*35*6</v>
          </cell>
          <cell r="K1262" t="str">
            <v>2A25-101-03</v>
          </cell>
          <cell r="L1262" t="str">
            <v>Y</v>
          </cell>
          <cell r="M1262" t="str">
            <v>SPHC-P/O</v>
          </cell>
          <cell r="N1262" t="str">
            <v>SIDE BRKT MAIN 27*28/38*8.5*35*6</v>
          </cell>
          <cell r="O1262" t="str">
            <v>2A25-101-03</v>
          </cell>
          <cell r="P1262" t="str">
            <v>Y</v>
          </cell>
        </row>
        <row r="1263">
          <cell r="A1263" t="str">
            <v>R009-1</v>
          </cell>
          <cell r="B1263" t="str">
            <v>2.0 x 144+/-0.5 x 1219</v>
          </cell>
          <cell r="C1263">
            <v>2</v>
          </cell>
          <cell r="D1263">
            <v>144</v>
          </cell>
          <cell r="E1263">
            <v>1219</v>
          </cell>
          <cell r="F1263">
            <v>2.7559151999999996</v>
          </cell>
          <cell r="G1263">
            <v>19</v>
          </cell>
          <cell r="I1263" t="str">
            <v>SPHC-P/O</v>
          </cell>
          <cell r="J1263" t="str">
            <v>SIDE BRKT MAIN 27*28/38*8.5*35*6... ตัวแม่ (ล่าสุด)</v>
          </cell>
          <cell r="K1263" t="str">
            <v>2A25-101-03</v>
          </cell>
          <cell r="L1263" t="str">
            <v>Y</v>
          </cell>
          <cell r="M1263" t="str">
            <v>SPHC-P/O</v>
          </cell>
          <cell r="N1263" t="str">
            <v>SIDE BRKT MAIN 27*28/38*8.5*35*6... ตัวแม่ (ล่าสุด)</v>
          </cell>
          <cell r="O1263" t="str">
            <v>2A25-101-03</v>
          </cell>
          <cell r="P1263" t="str">
            <v>Y</v>
          </cell>
        </row>
        <row r="1264">
          <cell r="A1264" t="str">
            <v>R009-2</v>
          </cell>
          <cell r="B1264" t="str">
            <v>2.0 x 68+/-0.5 x 1219</v>
          </cell>
          <cell r="C1264">
            <v>2</v>
          </cell>
          <cell r="D1264">
            <v>68</v>
          </cell>
          <cell r="E1264">
            <v>1219</v>
          </cell>
          <cell r="F1264">
            <v>1.3014044</v>
          </cell>
          <cell r="G1264">
            <v>18</v>
          </cell>
          <cell r="I1264" t="str">
            <v>SPHC-P/O</v>
          </cell>
          <cell r="J1264" t="str">
            <v>SIDE BRKT FORT 23*28/38*8.5/60 ตัวลูก (ล่าสุด)</v>
          </cell>
          <cell r="K1264" t="str">
            <v>2A25-101-03</v>
          </cell>
          <cell r="L1264" t="str">
            <v>Y</v>
          </cell>
          <cell r="M1264" t="str">
            <v>SPHC-P/O</v>
          </cell>
          <cell r="N1264" t="str">
            <v>SIDE BRKT FORT 23*28/38*8.5/60 ตัวลูก (ล่าสุด)</v>
          </cell>
          <cell r="O1264" t="str">
            <v>2A25-101-03</v>
          </cell>
          <cell r="P1264" t="str">
            <v>Y</v>
          </cell>
        </row>
        <row r="1265">
          <cell r="A1265" t="str">
            <v>R008-2</v>
          </cell>
          <cell r="B1265" t="str">
            <v>2.0 x 75+/-0.5 x 1219</v>
          </cell>
          <cell r="C1265">
            <v>2</v>
          </cell>
          <cell r="D1265">
            <v>75</v>
          </cell>
          <cell r="E1265">
            <v>1219</v>
          </cell>
          <cell r="F1265">
            <v>1.4353724999999999</v>
          </cell>
          <cell r="G1265">
            <v>18</v>
          </cell>
          <cell r="I1265" t="str">
            <v>SPHC-P/O</v>
          </cell>
          <cell r="J1265" t="str">
            <v>SIDE BRKT FORT 23*28/38*8.5/60</v>
          </cell>
          <cell r="K1265" t="str">
            <v>2A25-103-01</v>
          </cell>
          <cell r="L1265" t="str">
            <v>Y</v>
          </cell>
          <cell r="M1265" t="str">
            <v>SPHC-P/O</v>
          </cell>
          <cell r="N1265" t="str">
            <v>SIDE BRKT FORT 23*28/38*8.5/60</v>
          </cell>
          <cell r="O1265" t="str">
            <v>2A25-103-01</v>
          </cell>
          <cell r="P1265" t="str">
            <v>Y</v>
          </cell>
        </row>
        <row r="1266">
          <cell r="A1266" t="str">
            <v>r004</v>
          </cell>
          <cell r="B1266" t="str">
            <v>4.0 x 141+/-0.5 x 1219</v>
          </cell>
          <cell r="C1266">
            <v>4</v>
          </cell>
          <cell r="D1266">
            <v>141</v>
          </cell>
          <cell r="E1266">
            <v>1219</v>
          </cell>
          <cell r="F1266">
            <v>5.3970005999999993</v>
          </cell>
          <cell r="G1266">
            <v>41</v>
          </cell>
          <cell r="I1266" t="str">
            <v>SPHC</v>
          </cell>
          <cell r="J1266" t="str">
            <v>STEEL FORK 48*28*32*10 MM NO BUR</v>
          </cell>
          <cell r="K1266" t="str">
            <v>2A25-725-01</v>
          </cell>
          <cell r="L1266" t="str">
            <v>Y</v>
          </cell>
          <cell r="M1266" t="str">
            <v>SPHC</v>
          </cell>
          <cell r="N1266" t="str">
            <v>STEEL FORK 48*28*32*10 MM NO BUR</v>
          </cell>
          <cell r="O1266" t="str">
            <v>2A25-725-01</v>
          </cell>
          <cell r="P1266" t="str">
            <v>Y</v>
          </cell>
          <cell r="R1266">
            <v>50</v>
          </cell>
        </row>
        <row r="1267">
          <cell r="A1267" t="str">
            <v>R023</v>
          </cell>
          <cell r="B1267" t="str">
            <v>4.0 x 141+/-0.5 x 1219</v>
          </cell>
          <cell r="C1267">
            <v>4</v>
          </cell>
          <cell r="D1267">
            <v>141</v>
          </cell>
          <cell r="E1267">
            <v>1219</v>
          </cell>
          <cell r="F1267">
            <v>5.3970005999999993</v>
          </cell>
          <cell r="G1267">
            <v>41</v>
          </cell>
          <cell r="I1267" t="str">
            <v>SPHC-P/O</v>
          </cell>
          <cell r="J1267" t="str">
            <v>STEEL FORK 48*28*32*10 MM NO BUR</v>
          </cell>
          <cell r="K1267" t="str">
            <v>2A25-725-02 Ver.ใหม่</v>
          </cell>
          <cell r="L1267" t="str">
            <v>Y</v>
          </cell>
          <cell r="M1267" t="str">
            <v>SPHC-P/O</v>
          </cell>
          <cell r="N1267" t="str">
            <v>STEEL FORK 48*28*32*10 MM NO BUR</v>
          </cell>
          <cell r="O1267" t="str">
            <v>2A25-725-02 Ver.ใหม่</v>
          </cell>
          <cell r="P1267" t="str">
            <v>Y</v>
          </cell>
          <cell r="R1267">
            <v>50</v>
          </cell>
        </row>
        <row r="1268">
          <cell r="A1268" t="str">
            <v>r001</v>
          </cell>
          <cell r="B1268" t="str">
            <v>4.0 x 110+/-0.5 x 1219</v>
          </cell>
          <cell r="C1268">
            <v>4</v>
          </cell>
          <cell r="D1268">
            <v>110</v>
          </cell>
          <cell r="E1268">
            <v>1219</v>
          </cell>
          <cell r="F1268">
            <v>4.210426</v>
          </cell>
          <cell r="G1268">
            <v>41</v>
          </cell>
          <cell r="I1268" t="str">
            <v>SPHC</v>
          </cell>
          <cell r="J1268" t="str">
            <v>STEEL FORK 20*28*32*M8*1.25 BUR</v>
          </cell>
          <cell r="K1268" t="str">
            <v>2A25-727-03</v>
          </cell>
          <cell r="L1268" t="str">
            <v>Y</v>
          </cell>
          <cell r="M1268" t="str">
            <v>SPHC</v>
          </cell>
          <cell r="N1268" t="str">
            <v>STEEL FORK 20*28*32*M8*1.25 BUR</v>
          </cell>
          <cell r="O1268" t="str">
            <v>2A25-727-03</v>
          </cell>
          <cell r="P1268" t="str">
            <v>Y</v>
          </cell>
          <cell r="R1268">
            <v>50</v>
          </cell>
        </row>
        <row r="1269">
          <cell r="A1269" t="str">
            <v>R020</v>
          </cell>
          <cell r="B1269" t="str">
            <v>4.0 x 110+/-0.5 x 1219</v>
          </cell>
          <cell r="C1269">
            <v>4</v>
          </cell>
          <cell r="D1269">
            <v>110</v>
          </cell>
          <cell r="E1269">
            <v>1219</v>
          </cell>
          <cell r="F1269">
            <v>4.210426</v>
          </cell>
          <cell r="G1269">
            <v>41</v>
          </cell>
          <cell r="I1269" t="str">
            <v>SPHC-P/O</v>
          </cell>
          <cell r="J1269" t="str">
            <v>STEEL FORK 20*28*32*M8*1.25 BUR</v>
          </cell>
          <cell r="K1269" t="str">
            <v>2A25-727-04</v>
          </cell>
          <cell r="L1269" t="str">
            <v>Y</v>
          </cell>
          <cell r="M1269" t="str">
            <v>SPHC-P/O</v>
          </cell>
          <cell r="N1269" t="str">
            <v>STEEL FORK 20*28*32*M8*1.25 BUR</v>
          </cell>
          <cell r="O1269" t="str">
            <v>2A25-727-04</v>
          </cell>
          <cell r="P1269" t="str">
            <v>Y</v>
          </cell>
          <cell r="R1269">
            <v>50</v>
          </cell>
        </row>
        <row r="1270">
          <cell r="A1270" t="str">
            <v>R024</v>
          </cell>
          <cell r="B1270" t="str">
            <v>4.0 x 110+/-0.5 x 1219</v>
          </cell>
          <cell r="C1270">
            <v>4</v>
          </cell>
          <cell r="D1270">
            <v>110</v>
          </cell>
          <cell r="E1270">
            <v>1219</v>
          </cell>
          <cell r="F1270">
            <v>4.210426</v>
          </cell>
          <cell r="G1270">
            <v>41</v>
          </cell>
          <cell r="I1270" t="str">
            <v>SPHC-P/O</v>
          </cell>
          <cell r="J1270" t="str">
            <v>STEEL FORK 20*28*32*M10*1.25 BUR</v>
          </cell>
          <cell r="K1270" t="str">
            <v>2A25-727-04 Ver. ใหม่</v>
          </cell>
          <cell r="L1270" t="str">
            <v>Y</v>
          </cell>
          <cell r="M1270" t="str">
            <v>SPHC-P/O</v>
          </cell>
          <cell r="N1270" t="str">
            <v>STEEL FORK 20*28*32*M10*1.25 BUR</v>
          </cell>
          <cell r="O1270" t="str">
            <v>2A25-727-04 Ver. ใหม่</v>
          </cell>
          <cell r="P1270" t="str">
            <v>Y</v>
          </cell>
          <cell r="R1270">
            <v>50</v>
          </cell>
        </row>
        <row r="1271">
          <cell r="A1271" t="str">
            <v>R007</v>
          </cell>
          <cell r="B1271" t="str">
            <v>4.0 x 126+/-0.5 x 1219</v>
          </cell>
          <cell r="C1271">
            <v>4</v>
          </cell>
          <cell r="D1271">
            <v>126</v>
          </cell>
          <cell r="E1271">
            <v>1219</v>
          </cell>
          <cell r="F1271">
            <v>4.8228515999999999</v>
          </cell>
          <cell r="G1271">
            <v>41</v>
          </cell>
          <cell r="I1271" t="str">
            <v>SPHC-P/O</v>
          </cell>
          <cell r="J1271" t="str">
            <v>STEEL FORK 33*28*32*12 MM NO BUR</v>
          </cell>
          <cell r="K1271" t="str">
            <v>2A25-740-00</v>
          </cell>
          <cell r="L1271" t="str">
            <v>Y</v>
          </cell>
          <cell r="M1271" t="str">
            <v>SPHC-P/O</v>
          </cell>
          <cell r="N1271" t="str">
            <v>STEEL FORK 33*28*32*12 MM NO BUR</v>
          </cell>
          <cell r="O1271" t="str">
            <v>2A25-740-00</v>
          </cell>
          <cell r="P1271" t="str">
            <v>Y</v>
          </cell>
        </row>
        <row r="1272">
          <cell r="A1272" t="str">
            <v>R021</v>
          </cell>
          <cell r="B1272" t="str">
            <v>4.0 x 126+/-0.5 x 1219</v>
          </cell>
          <cell r="C1272">
            <v>4</v>
          </cell>
          <cell r="D1272">
            <v>126</v>
          </cell>
          <cell r="E1272">
            <v>1219</v>
          </cell>
          <cell r="F1272">
            <v>4.8228515999999999</v>
          </cell>
          <cell r="G1272">
            <v>41</v>
          </cell>
          <cell r="I1272" t="str">
            <v>SPHC-P/O</v>
          </cell>
          <cell r="J1272" t="str">
            <v>STEEL FORK 33*28*32*M10 MM NO BUR</v>
          </cell>
          <cell r="K1272" t="str">
            <v>2A25-779-03</v>
          </cell>
          <cell r="L1272" t="str">
            <v>Y</v>
          </cell>
          <cell r="M1272" t="str">
            <v>SPHC-P/O</v>
          </cell>
          <cell r="N1272" t="str">
            <v>STEEL FORK 33*28*32*M10 MM NO BUR</v>
          </cell>
          <cell r="O1272" t="str">
            <v>2A25-779-03</v>
          </cell>
          <cell r="P1272" t="str">
            <v>Y</v>
          </cell>
        </row>
        <row r="1273">
          <cell r="A1273" t="str">
            <v>R028</v>
          </cell>
          <cell r="B1273" t="str">
            <v>4.0 x 126+/-0.5 x 1219</v>
          </cell>
          <cell r="C1273">
            <v>4</v>
          </cell>
          <cell r="D1273">
            <v>126</v>
          </cell>
          <cell r="E1273">
            <v>1219</v>
          </cell>
          <cell r="F1273">
            <v>4.8228515999999999</v>
          </cell>
          <cell r="G1273">
            <v>41</v>
          </cell>
          <cell r="I1273" t="str">
            <v>SPHC-P/O</v>
          </cell>
          <cell r="J1273" t="str">
            <v>STEEL FORK 33*28*32*12 MM NO BUR</v>
          </cell>
          <cell r="K1273" t="str">
            <v>2A25-740-01</v>
          </cell>
          <cell r="L1273" t="str">
            <v>Y</v>
          </cell>
          <cell r="M1273" t="str">
            <v>SPHC-P/O</v>
          </cell>
          <cell r="N1273" t="str">
            <v>STEEL FORK 33*28*32*12 MM NO BUR</v>
          </cell>
          <cell r="O1273" t="str">
            <v>2A25-740-01</v>
          </cell>
          <cell r="P1273" t="str">
            <v>Y</v>
          </cell>
        </row>
        <row r="1274">
          <cell r="A1274" t="str">
            <v>R019</v>
          </cell>
          <cell r="B1274" t="str">
            <v>2.3 x 48 x 1219</v>
          </cell>
          <cell r="C1274">
            <v>2.2999999999999998</v>
          </cell>
          <cell r="D1274">
            <v>48</v>
          </cell>
          <cell r="E1274">
            <v>1219</v>
          </cell>
          <cell r="F1274">
            <v>1.0564341599999998</v>
          </cell>
          <cell r="G1274">
            <v>27</v>
          </cell>
          <cell r="I1274" t="str">
            <v>SPCC-SD</v>
          </cell>
          <cell r="J1274" t="str">
            <v>STEEL CUP 30.1 MM.(version 4)</v>
          </cell>
          <cell r="K1274" t="str">
            <v>2A47-151-09</v>
          </cell>
          <cell r="L1274" t="str">
            <v>Y</v>
          </cell>
          <cell r="M1274" t="str">
            <v>SPCC-SD</v>
          </cell>
          <cell r="N1274" t="str">
            <v>STEEL CUP 30.1 MM.(version 4)</v>
          </cell>
          <cell r="O1274" t="str">
            <v>2A47-151-09</v>
          </cell>
          <cell r="P1274" t="str">
            <v>Y</v>
          </cell>
          <cell r="R1274">
            <v>300</v>
          </cell>
        </row>
        <row r="1275">
          <cell r="A1275" t="str">
            <v>R011</v>
          </cell>
          <cell r="B1275" t="str">
            <v>2.6 x 48 x 1219</v>
          </cell>
          <cell r="C1275">
            <v>2.6</v>
          </cell>
          <cell r="D1275">
            <v>48</v>
          </cell>
          <cell r="E1275">
            <v>1219</v>
          </cell>
          <cell r="F1275">
            <v>1.1942299199999999</v>
          </cell>
          <cell r="G1275">
            <v>27</v>
          </cell>
          <cell r="I1275" t="str">
            <v>SPCC-SD</v>
          </cell>
          <cell r="J1275" t="str">
            <v>STEEL CUP 31.6 MM</v>
          </cell>
          <cell r="K1275" t="str">
            <v>2A47-152-03</v>
          </cell>
          <cell r="L1275" t="str">
            <v>Y</v>
          </cell>
          <cell r="M1275" t="str">
            <v>SPCC-SD</v>
          </cell>
          <cell r="N1275" t="str">
            <v>STEEL CUP 31.6 MM</v>
          </cell>
          <cell r="O1275" t="str">
            <v>2A47-152-03</v>
          </cell>
          <cell r="P1275" t="str">
            <v>Y</v>
          </cell>
          <cell r="R1275">
            <v>300</v>
          </cell>
        </row>
        <row r="1276">
          <cell r="A1276" t="str">
            <v>R012</v>
          </cell>
          <cell r="B1276" t="str">
            <v>3.0 x 65 x 1219</v>
          </cell>
          <cell r="C1276">
            <v>3</v>
          </cell>
          <cell r="D1276">
            <v>65</v>
          </cell>
          <cell r="E1276">
            <v>1219</v>
          </cell>
          <cell r="F1276">
            <v>1.8659842499999999</v>
          </cell>
          <cell r="G1276">
            <v>76</v>
          </cell>
          <cell r="I1276" t="str">
            <v>SPHC-P/O</v>
          </cell>
          <cell r="J1276" t="str">
            <v>STEEL CUP 19/30.5</v>
          </cell>
          <cell r="K1276" t="str">
            <v>2A47-181-01</v>
          </cell>
          <cell r="L1276" t="str">
            <v>Y</v>
          </cell>
          <cell r="M1276" t="str">
            <v>SPHC-P/O</v>
          </cell>
          <cell r="N1276" t="str">
            <v>STEEL CUP 19/30.5</v>
          </cell>
          <cell r="O1276" t="str">
            <v>2A47-181-01</v>
          </cell>
          <cell r="P1276" t="str">
            <v>Y</v>
          </cell>
          <cell r="R1276">
            <v>200</v>
          </cell>
        </row>
        <row r="1277">
          <cell r="A1277" t="str">
            <v>R015</v>
          </cell>
          <cell r="B1277" t="str">
            <v>3.0 x 90 x 1219</v>
          </cell>
          <cell r="C1277">
            <v>3</v>
          </cell>
          <cell r="D1277">
            <v>90</v>
          </cell>
          <cell r="E1277">
            <v>1219</v>
          </cell>
          <cell r="F1277">
            <v>2.5836705000000002</v>
          </cell>
          <cell r="G1277">
            <v>54</v>
          </cell>
          <cell r="I1277" t="str">
            <v>SPHC-P/O</v>
          </cell>
          <cell r="J1277" t="str">
            <v>STEEL CUP 24/35</v>
          </cell>
          <cell r="K1277" t="str">
            <v>2A47-190-00</v>
          </cell>
          <cell r="L1277" t="str">
            <v>Y</v>
          </cell>
          <cell r="M1277" t="str">
            <v>SPHC-P/O</v>
          </cell>
          <cell r="N1277" t="str">
            <v>STEEL CUP 24/35</v>
          </cell>
          <cell r="O1277" t="str">
            <v>2A47-190-00</v>
          </cell>
          <cell r="P1277" t="str">
            <v>Y</v>
          </cell>
        </row>
        <row r="1278">
          <cell r="A1278" t="str">
            <v>R018</v>
          </cell>
          <cell r="B1278" t="str">
            <v>3.2 x 74 x 1219</v>
          </cell>
          <cell r="C1278">
            <v>3.2</v>
          </cell>
          <cell r="D1278">
            <v>74</v>
          </cell>
          <cell r="E1278">
            <v>1219</v>
          </cell>
          <cell r="F1278">
            <v>2.26597472</v>
          </cell>
          <cell r="G1278">
            <v>15</v>
          </cell>
          <cell r="I1278" t="str">
            <v>SPCC-SD</v>
          </cell>
          <cell r="J1278" t="str">
            <v>STEEL CUP 47*41.3*30</v>
          </cell>
          <cell r="K1278" t="str">
            <v>2A47-166-00</v>
          </cell>
          <cell r="L1278" t="str">
            <v>R</v>
          </cell>
          <cell r="M1278" t="str">
            <v>SPCC-SD</v>
          </cell>
          <cell r="N1278" t="str">
            <v>STEEL CUP 47*41.3*30</v>
          </cell>
          <cell r="O1278" t="str">
            <v>2A47-166-00</v>
          </cell>
          <cell r="P1278" t="str">
            <v>R</v>
          </cell>
        </row>
        <row r="1280">
          <cell r="A1280" t="str">
            <v>YSS011-1</v>
          </cell>
          <cell r="B1280" t="str">
            <v>2.0 x 144+/-0.5 x 1219</v>
          </cell>
          <cell r="C1280">
            <v>2</v>
          </cell>
          <cell r="D1280">
            <v>144</v>
          </cell>
          <cell r="E1280">
            <v>1219</v>
          </cell>
          <cell r="F1280">
            <v>2.7559151999999996</v>
          </cell>
          <cell r="G1280">
            <v>19</v>
          </cell>
          <cell r="I1280" t="str">
            <v>SPHC-P/O</v>
          </cell>
          <cell r="J1280" t="str">
            <v>SIDE BRKT MAIN 27*28/38*8.5*35*6</v>
          </cell>
          <cell r="K1280" t="str">
            <v>2A25-101-03</v>
          </cell>
          <cell r="L1280" t="str">
            <v>Y</v>
          </cell>
          <cell r="M1280" t="str">
            <v>SPHC-P/O</v>
          </cell>
          <cell r="N1280" t="str">
            <v>SIDE BRKT MAIN 27*28/38*8.5*35*6</v>
          </cell>
          <cell r="O1280" t="str">
            <v>2A25-101-03</v>
          </cell>
          <cell r="P1280" t="str">
            <v>Y</v>
          </cell>
        </row>
        <row r="1281">
          <cell r="A1281" t="str">
            <v>YSS012-1</v>
          </cell>
          <cell r="B1281" t="str">
            <v>2.0 x 68+/-0.5 x 1219</v>
          </cell>
          <cell r="C1281">
            <v>2</v>
          </cell>
          <cell r="D1281">
            <v>68</v>
          </cell>
          <cell r="E1281">
            <v>1219</v>
          </cell>
          <cell r="F1281">
            <v>1.3014044</v>
          </cell>
          <cell r="G1281">
            <v>18</v>
          </cell>
          <cell r="I1281" t="str">
            <v>SPHC-P/O</v>
          </cell>
          <cell r="J1281" t="str">
            <v>SIDE BRKT FORT 23*28/38*8.5/60</v>
          </cell>
          <cell r="K1281" t="str">
            <v>2A25-101-03</v>
          </cell>
          <cell r="L1281" t="str">
            <v>Y</v>
          </cell>
          <cell r="M1281" t="str">
            <v>SPHC-P/O</v>
          </cell>
          <cell r="N1281" t="str">
            <v>SIDE BRKT FORT 23*28/38*8.5/60</v>
          </cell>
          <cell r="O1281" t="str">
            <v>2A25-101-03</v>
          </cell>
          <cell r="P1281" t="str">
            <v>Y</v>
          </cell>
        </row>
        <row r="1282">
          <cell r="A1282" t="str">
            <v>YSS011-3</v>
          </cell>
          <cell r="B1282" t="str">
            <v>2.0 x 144+/-0.5 x 1219</v>
          </cell>
          <cell r="C1282">
            <v>2</v>
          </cell>
          <cell r="D1282">
            <v>144</v>
          </cell>
          <cell r="E1282">
            <v>1219</v>
          </cell>
          <cell r="F1282">
            <v>2.7559151999999996</v>
          </cell>
          <cell r="G1282">
            <v>19</v>
          </cell>
          <cell r="I1282" t="str">
            <v>SPHC-P/O</v>
          </cell>
          <cell r="J1282" t="str">
            <v>SIDE BRKT MAIN 27*28/38*8.5*35*6</v>
          </cell>
          <cell r="K1282" t="str">
            <v>2A25-103-01</v>
          </cell>
          <cell r="L1282" t="str">
            <v>Y</v>
          </cell>
          <cell r="M1282" t="str">
            <v>SPHC-P/O</v>
          </cell>
          <cell r="N1282" t="str">
            <v>SIDE BRKT MAIN 27*28/38*8.5*35*6</v>
          </cell>
          <cell r="O1282" t="str">
            <v>2A25-103-01</v>
          </cell>
          <cell r="P1282" t="str">
            <v>Y</v>
          </cell>
        </row>
        <row r="1283">
          <cell r="A1283" t="str">
            <v>YSS012-3</v>
          </cell>
          <cell r="B1283" t="str">
            <v>2.0 x 75+/-0.5 x 1219</v>
          </cell>
          <cell r="C1283">
            <v>2</v>
          </cell>
          <cell r="D1283">
            <v>75</v>
          </cell>
          <cell r="E1283">
            <v>1219</v>
          </cell>
          <cell r="F1283">
            <v>1.4353724999999999</v>
          </cell>
          <cell r="G1283">
            <v>18</v>
          </cell>
          <cell r="I1283" t="str">
            <v>SPHC-P/O</v>
          </cell>
          <cell r="J1283" t="str">
            <v>SIDE BRKT FORT 23*28/38*8.5/60</v>
          </cell>
          <cell r="K1283" t="str">
            <v>2A25-103-01</v>
          </cell>
          <cell r="L1283" t="str">
            <v>Y</v>
          </cell>
          <cell r="M1283" t="str">
            <v>SPHC-P/O</v>
          </cell>
          <cell r="N1283" t="str">
            <v>SIDE BRKT FORT 23*28/38*8.5/60</v>
          </cell>
          <cell r="O1283" t="str">
            <v>2A25-103-01</v>
          </cell>
          <cell r="P1283" t="str">
            <v>Y</v>
          </cell>
        </row>
        <row r="1284">
          <cell r="A1284" t="str">
            <v>yss004</v>
          </cell>
          <cell r="B1284" t="str">
            <v>4.0 x 110+/-0.5 x 1219</v>
          </cell>
          <cell r="C1284">
            <v>4</v>
          </cell>
          <cell r="D1284">
            <v>110</v>
          </cell>
          <cell r="E1284">
            <v>1219</v>
          </cell>
          <cell r="F1284">
            <v>4.210426</v>
          </cell>
          <cell r="G1284">
            <v>41</v>
          </cell>
          <cell r="I1284" t="str">
            <v>SPHC-P/O</v>
          </cell>
          <cell r="J1284" t="str">
            <v>STEEL FORK 13*22*27*31*M10*1.25 BUR</v>
          </cell>
          <cell r="K1284" t="str">
            <v>2A25-722-02</v>
          </cell>
          <cell r="L1284" t="str">
            <v>Y</v>
          </cell>
          <cell r="M1284" t="str">
            <v>SPHC-P/O</v>
          </cell>
          <cell r="N1284" t="str">
            <v>STEEL FORK 13*22*27*31*M10*1.25 BUR</v>
          </cell>
          <cell r="O1284" t="str">
            <v>2A25-722-02</v>
          </cell>
          <cell r="P1284" t="str">
            <v>Y</v>
          </cell>
          <cell r="R1284">
            <v>50</v>
          </cell>
        </row>
        <row r="1285">
          <cell r="A1285" t="str">
            <v>YSS010</v>
          </cell>
          <cell r="B1285" t="str">
            <v>4.0 x 141+/-0.5 x 1219</v>
          </cell>
          <cell r="C1285">
            <v>4</v>
          </cell>
          <cell r="D1285">
            <v>141</v>
          </cell>
          <cell r="E1285">
            <v>1219</v>
          </cell>
          <cell r="F1285">
            <v>5.3970005999999993</v>
          </cell>
          <cell r="G1285">
            <v>41</v>
          </cell>
          <cell r="I1285" t="str">
            <v>SPHC</v>
          </cell>
          <cell r="J1285" t="str">
            <v>STEEL FORK 48*28*32*10 MM NO BUR</v>
          </cell>
          <cell r="K1285" t="str">
            <v>2A25-725-01</v>
          </cell>
          <cell r="L1285" t="str">
            <v>Y</v>
          </cell>
          <cell r="M1285" t="str">
            <v>SPHC</v>
          </cell>
          <cell r="N1285" t="str">
            <v>STEEL FORK 48*28*32*10 MM NO BUR</v>
          </cell>
          <cell r="O1285" t="str">
            <v>2A25-725-01</v>
          </cell>
          <cell r="P1285" t="str">
            <v>Y</v>
          </cell>
          <cell r="R1285">
            <v>50</v>
          </cell>
        </row>
        <row r="1286">
          <cell r="A1286" t="str">
            <v>yss010-2</v>
          </cell>
          <cell r="B1286" t="str">
            <v>4.0 x 141+/-0.5 x 1219</v>
          </cell>
          <cell r="C1286">
            <v>4</v>
          </cell>
          <cell r="D1286">
            <v>141</v>
          </cell>
          <cell r="E1286">
            <v>1219</v>
          </cell>
          <cell r="F1286">
            <v>5.3970005999999993</v>
          </cell>
          <cell r="G1286">
            <v>41</v>
          </cell>
          <cell r="I1286" t="str">
            <v>SPHC-P/O</v>
          </cell>
          <cell r="J1286" t="str">
            <v>STEEL FORK 48*28*32*10 MM NO BUR</v>
          </cell>
          <cell r="K1286" t="str">
            <v>2A25-725-02 Ver.ใหม่</v>
          </cell>
          <cell r="L1286" t="str">
            <v>Y</v>
          </cell>
          <cell r="M1286" t="str">
            <v>SPHC-P/O</v>
          </cell>
          <cell r="N1286" t="str">
            <v>STEEL FORK 48*28*32*10 MM NO BUR</v>
          </cell>
          <cell r="O1286" t="str">
            <v>2A25-725-02 Ver.ใหม่</v>
          </cell>
          <cell r="P1286" t="str">
            <v>Y</v>
          </cell>
          <cell r="R1286">
            <v>50</v>
          </cell>
        </row>
        <row r="1287">
          <cell r="A1287" t="str">
            <v>yss035</v>
          </cell>
          <cell r="B1287" t="str">
            <v>4.0 x 110+/-0.5 x 1219</v>
          </cell>
          <cell r="C1287">
            <v>4</v>
          </cell>
          <cell r="D1287">
            <v>110</v>
          </cell>
          <cell r="E1287">
            <v>1219</v>
          </cell>
          <cell r="F1287">
            <v>4.210426</v>
          </cell>
          <cell r="G1287">
            <v>41</v>
          </cell>
          <cell r="I1287" t="str">
            <v>SPHC-P/O</v>
          </cell>
          <cell r="J1287" t="str">
            <v>STEEL FORK 20*28*32*M10*1.25 NO BUR</v>
          </cell>
          <cell r="K1287" t="str">
            <v>2A25-726-02</v>
          </cell>
          <cell r="L1287" t="str">
            <v>Y</v>
          </cell>
          <cell r="M1287" t="str">
            <v>SPHC-P/O</v>
          </cell>
          <cell r="N1287" t="str">
            <v>STEEL FORK 20*28*32*M10*1.25 NO BUR</v>
          </cell>
          <cell r="O1287" t="str">
            <v>2A25-726-02</v>
          </cell>
          <cell r="P1287" t="str">
            <v>Y</v>
          </cell>
          <cell r="R1287">
            <v>50</v>
          </cell>
        </row>
        <row r="1288">
          <cell r="A1288" t="str">
            <v>YSS007</v>
          </cell>
          <cell r="B1288" t="str">
            <v>4.0 x 110+/-0.5 x 1219</v>
          </cell>
          <cell r="C1288">
            <v>4</v>
          </cell>
          <cell r="D1288">
            <v>110</v>
          </cell>
          <cell r="E1288">
            <v>1219</v>
          </cell>
          <cell r="F1288">
            <v>4.210426</v>
          </cell>
          <cell r="G1288">
            <v>41</v>
          </cell>
          <cell r="I1288" t="str">
            <v>SPHC</v>
          </cell>
          <cell r="J1288" t="str">
            <v>STEEL FORK 20*28*32*M8*1.25 BUR</v>
          </cell>
          <cell r="K1288" t="str">
            <v>2A25-727-03</v>
          </cell>
          <cell r="L1288" t="str">
            <v>Y</v>
          </cell>
          <cell r="M1288" t="str">
            <v>SPHC</v>
          </cell>
          <cell r="N1288" t="str">
            <v>STEEL FORK 20*28*32*M8*1.25 BUR</v>
          </cell>
          <cell r="O1288" t="str">
            <v>2A25-727-03</v>
          </cell>
          <cell r="P1288" t="str">
            <v>Y</v>
          </cell>
          <cell r="R1288">
            <v>50</v>
          </cell>
        </row>
        <row r="1289">
          <cell r="A1289" t="str">
            <v>YSS007-2</v>
          </cell>
          <cell r="B1289" t="str">
            <v>4.0 x 110+/-0.5 x 1219</v>
          </cell>
          <cell r="C1289">
            <v>4</v>
          </cell>
          <cell r="D1289">
            <v>110</v>
          </cell>
          <cell r="E1289">
            <v>1219</v>
          </cell>
          <cell r="F1289">
            <v>4.210426</v>
          </cell>
          <cell r="G1289">
            <v>41</v>
          </cell>
          <cell r="I1289" t="str">
            <v>SPHC-P/O</v>
          </cell>
          <cell r="J1289" t="str">
            <v>STEEL FORK 20*28*32*M8*1.25 BUR</v>
          </cell>
          <cell r="K1289" t="str">
            <v>2A25-727-04 Ver. ใหม่</v>
          </cell>
          <cell r="L1289" t="str">
            <v>Y</v>
          </cell>
          <cell r="M1289" t="str">
            <v>SPHC-P/O</v>
          </cell>
          <cell r="N1289" t="str">
            <v>STEEL FORK 20*28*32*M8*1.25 BUR</v>
          </cell>
          <cell r="O1289" t="str">
            <v>2A25-727-04 Ver. ใหม่</v>
          </cell>
          <cell r="P1289" t="str">
            <v>Y</v>
          </cell>
          <cell r="R1289">
            <v>50</v>
          </cell>
        </row>
        <row r="1290">
          <cell r="A1290" t="str">
            <v>r027</v>
          </cell>
          <cell r="B1290" t="str">
            <v>4.0 x 110+/-0.5 x 1219</v>
          </cell>
          <cell r="C1290">
            <v>4</v>
          </cell>
          <cell r="D1290">
            <v>110</v>
          </cell>
          <cell r="E1290">
            <v>1219</v>
          </cell>
          <cell r="F1290">
            <v>4.210426</v>
          </cell>
          <cell r="G1290">
            <v>41</v>
          </cell>
          <cell r="I1290" t="str">
            <v>SPHC-P/O</v>
          </cell>
          <cell r="J1290" t="str">
            <v>STEEL FORK 22*27*31*M8*1.25 BUR</v>
          </cell>
          <cell r="K1290" t="str">
            <v>2A25-729-01</v>
          </cell>
          <cell r="L1290" t="str">
            <v>Y</v>
          </cell>
          <cell r="M1290" t="str">
            <v>SPHC-P/O</v>
          </cell>
          <cell r="N1290" t="str">
            <v>STEEL FORK 22*27*31*M8*1.25 BUR</v>
          </cell>
          <cell r="O1290" t="str">
            <v>2A25-729-01</v>
          </cell>
          <cell r="P1290" t="str">
            <v>Y</v>
          </cell>
          <cell r="R1290">
            <v>50</v>
          </cell>
        </row>
        <row r="1291">
          <cell r="A1291" t="str">
            <v>YSS005</v>
          </cell>
          <cell r="B1291" t="str">
            <v>4.0 x 110+/-0.5 x 1219</v>
          </cell>
          <cell r="C1291">
            <v>4</v>
          </cell>
          <cell r="D1291">
            <v>110</v>
          </cell>
          <cell r="E1291">
            <v>1219</v>
          </cell>
          <cell r="F1291">
            <v>4.210426</v>
          </cell>
          <cell r="G1291">
            <v>41</v>
          </cell>
          <cell r="I1291" t="str">
            <v>SPHC</v>
          </cell>
          <cell r="J1291" t="str">
            <v>STEEL FORK 20*28*32*M8*1.25 NO BUR</v>
          </cell>
          <cell r="K1291" t="str">
            <v>2A25-734-01</v>
          </cell>
          <cell r="L1291" t="str">
            <v>Y</v>
          </cell>
          <cell r="M1291" t="str">
            <v>SPHC</v>
          </cell>
          <cell r="N1291" t="str">
            <v>STEEL FORK 20*28*32*M8*1.25 NO BUR</v>
          </cell>
          <cell r="O1291" t="str">
            <v>2A25-734-01</v>
          </cell>
          <cell r="P1291" t="str">
            <v>Y</v>
          </cell>
          <cell r="R1291">
            <v>50</v>
          </cell>
        </row>
        <row r="1292">
          <cell r="A1292" t="str">
            <v>YSS008</v>
          </cell>
          <cell r="B1292" t="str">
            <v>4.0 x 126+/-0.5 x 1219</v>
          </cell>
          <cell r="C1292">
            <v>4</v>
          </cell>
          <cell r="D1292">
            <v>126</v>
          </cell>
          <cell r="E1292">
            <v>1219</v>
          </cell>
          <cell r="F1292">
            <v>4.8228515999999999</v>
          </cell>
          <cell r="G1292">
            <v>41</v>
          </cell>
          <cell r="I1292" t="str">
            <v>SPHC</v>
          </cell>
          <cell r="J1292" t="str">
            <v>STEEL FORK 33*28*32*M10 MM NO BUR</v>
          </cell>
          <cell r="K1292" t="str">
            <v>2A25-779-02</v>
          </cell>
          <cell r="L1292" t="str">
            <v>Y</v>
          </cell>
          <cell r="M1292" t="str">
            <v>SPHC</v>
          </cell>
          <cell r="N1292" t="str">
            <v>STEEL FORK 33*28*32*M10 MM NO BUR</v>
          </cell>
          <cell r="O1292" t="str">
            <v>2A25-779-02</v>
          </cell>
          <cell r="P1292" t="str">
            <v>Y</v>
          </cell>
        </row>
        <row r="1293">
          <cell r="A1293" t="str">
            <v>YSS008-2</v>
          </cell>
          <cell r="B1293" t="str">
            <v>4.0 x 126+/-0.5 x 1219</v>
          </cell>
          <cell r="C1293">
            <v>4</v>
          </cell>
          <cell r="D1293">
            <v>126</v>
          </cell>
          <cell r="E1293">
            <v>1219</v>
          </cell>
          <cell r="F1293">
            <v>4.8228515999999999</v>
          </cell>
          <cell r="G1293">
            <v>41</v>
          </cell>
          <cell r="I1293" t="str">
            <v>SPHC-P/O</v>
          </cell>
          <cell r="J1293" t="str">
            <v>STEEL FORK 33*28*32*M10 MM NO BUR</v>
          </cell>
          <cell r="K1293" t="str">
            <v>2A25-779-03 Ver. ใหม่</v>
          </cell>
          <cell r="L1293" t="str">
            <v>Y</v>
          </cell>
          <cell r="M1293" t="str">
            <v>SPHC-P/O</v>
          </cell>
          <cell r="N1293" t="str">
            <v>STEEL FORK 33*28*32*M10 MM NO BUR</v>
          </cell>
          <cell r="O1293" t="str">
            <v>2A25-779-03 Ver. ใหม่</v>
          </cell>
          <cell r="P1293" t="str">
            <v>Y</v>
          </cell>
        </row>
        <row r="1294">
          <cell r="A1294" t="str">
            <v>YSS43</v>
          </cell>
          <cell r="B1294" t="str">
            <v>0.6 x 150+/-0.5 x 1219</v>
          </cell>
          <cell r="C1294">
            <v>0.6</v>
          </cell>
          <cell r="D1294">
            <v>150</v>
          </cell>
          <cell r="E1294">
            <v>1219</v>
          </cell>
          <cell r="F1294">
            <v>0.86122350000000003</v>
          </cell>
          <cell r="G1294">
            <v>8</v>
          </cell>
          <cell r="I1294" t="str">
            <v>SPCEN-SD</v>
          </cell>
          <cell r="J1294" t="str">
            <v>COVER C-900 46*102/22/19.5/144 CHROME</v>
          </cell>
          <cell r="K1294" t="str">
            <v>2A40-007-14</v>
          </cell>
          <cell r="L1294" t="str">
            <v>Y</v>
          </cell>
          <cell r="M1294" t="str">
            <v>SPCEN-SD</v>
          </cell>
          <cell r="N1294" t="str">
            <v>COVER C-900 46*102/22/19.5/144 CHROME</v>
          </cell>
          <cell r="O1294" t="str">
            <v>2A40-007-14</v>
          </cell>
          <cell r="P1294" t="str">
            <v>Y</v>
          </cell>
        </row>
        <row r="1295">
          <cell r="A1295" t="str">
            <v>YSS75</v>
          </cell>
          <cell r="B1295" t="str">
            <v>0.6 x 150+/-0.5 x 1219</v>
          </cell>
          <cell r="C1295">
            <v>0.6</v>
          </cell>
          <cell r="D1295">
            <v>150</v>
          </cell>
          <cell r="E1295">
            <v>1219</v>
          </cell>
          <cell r="F1295">
            <v>0.86122350000000003</v>
          </cell>
          <cell r="G1295">
            <v>8</v>
          </cell>
          <cell r="I1295" t="str">
            <v>SPCEN-SD</v>
          </cell>
          <cell r="J1295" t="str">
            <v>COVER C-900 46*102/22/19.5/144 CHROME</v>
          </cell>
          <cell r="K1295" t="str">
            <v>2A40-007-14</v>
          </cell>
          <cell r="L1295" t="str">
            <v>Y</v>
          </cell>
          <cell r="M1295" t="str">
            <v>SPCEN-SD</v>
          </cell>
          <cell r="N1295" t="str">
            <v>COVER C-900 46*102/22/19.5/144 CHROME</v>
          </cell>
          <cell r="O1295" t="str">
            <v>2A40-007-14</v>
          </cell>
          <cell r="P1295" t="str">
            <v>Y</v>
          </cell>
        </row>
        <row r="1296">
          <cell r="A1296" t="str">
            <v>yss046</v>
          </cell>
          <cell r="B1296" t="str">
            <v>0.6 x 166+/-0.5 x 1219</v>
          </cell>
          <cell r="C1296">
            <v>0.6</v>
          </cell>
          <cell r="D1296">
            <v>166</v>
          </cell>
          <cell r="E1296">
            <v>1219</v>
          </cell>
          <cell r="F1296">
            <v>0.95308733999999995</v>
          </cell>
          <cell r="G1296">
            <v>6</v>
          </cell>
          <cell r="I1296" t="str">
            <v>SPCEN-SD</v>
          </cell>
          <cell r="J1296" t="str">
            <v>COVER DREAM SUPPER 26*50*95 CHOME</v>
          </cell>
          <cell r="K1296" t="str">
            <v>2A40-010-10</v>
          </cell>
          <cell r="L1296" t="str">
            <v>Y</v>
          </cell>
          <cell r="M1296" t="str">
            <v>SPCEN-SD</v>
          </cell>
          <cell r="N1296" t="str">
            <v>COVER DREAM SUPPER 26*50*95 CHOME</v>
          </cell>
          <cell r="O1296" t="str">
            <v>2A40-010-10</v>
          </cell>
          <cell r="P1296" t="str">
            <v>Y</v>
          </cell>
          <cell r="R1296">
            <v>150</v>
          </cell>
        </row>
        <row r="1297">
          <cell r="A1297" t="str">
            <v>YSS66</v>
          </cell>
          <cell r="B1297" t="str">
            <v>1.0 x 110+/-0.5 x 1219</v>
          </cell>
          <cell r="C1297">
            <v>1</v>
          </cell>
          <cell r="D1297">
            <v>110</v>
          </cell>
          <cell r="E1297">
            <v>1219</v>
          </cell>
          <cell r="F1297">
            <v>1.0526065</v>
          </cell>
          <cell r="G1297">
            <v>11</v>
          </cell>
          <cell r="I1297" t="str">
            <v>SPCEN-SD</v>
          </cell>
          <cell r="J1297" t="str">
            <v>COVER DREAM SPORT 41*58*35 CHOME</v>
          </cell>
          <cell r="K1297" t="str">
            <v>2A40-011-10-02</v>
          </cell>
          <cell r="L1297" t="str">
            <v>Y</v>
          </cell>
          <cell r="M1297" t="str">
            <v>SPCEN-SD</v>
          </cell>
          <cell r="N1297" t="str">
            <v>COVER DREAM SPORT 41*58*35 CHOME</v>
          </cell>
          <cell r="O1297" t="str">
            <v>2A40-011-10-02</v>
          </cell>
          <cell r="P1297" t="str">
            <v>Y</v>
          </cell>
        </row>
        <row r="1298">
          <cell r="A1298" t="str">
            <v>yss44</v>
          </cell>
          <cell r="B1298" t="str">
            <v>0.6 x 166+/-0.5 x 1219</v>
          </cell>
          <cell r="C1298">
            <v>0.6</v>
          </cell>
          <cell r="D1298">
            <v>166</v>
          </cell>
          <cell r="E1298">
            <v>1219</v>
          </cell>
          <cell r="F1298">
            <v>0.95308733999999995</v>
          </cell>
          <cell r="G1298">
            <v>7</v>
          </cell>
          <cell r="I1298" t="str">
            <v>SPCEN-SD</v>
          </cell>
          <cell r="J1298" t="str">
            <v>COVER CRYSTAL 40*51*130/19.5/ BLACK</v>
          </cell>
          <cell r="K1298" t="str">
            <v>2A40-012-83</v>
          </cell>
          <cell r="L1298" t="str">
            <v>Y</v>
          </cell>
          <cell r="M1298" t="str">
            <v>SPCEN-SD</v>
          </cell>
          <cell r="N1298" t="str">
            <v>COVER CRYSTAL 40*51*130/19.5/ BLACK</v>
          </cell>
          <cell r="O1298" t="str">
            <v>2A40-012-83</v>
          </cell>
          <cell r="P1298" t="str">
            <v>Y</v>
          </cell>
          <cell r="R1298">
            <v>150</v>
          </cell>
        </row>
        <row r="1299">
          <cell r="A1299" t="str">
            <v>yss027</v>
          </cell>
          <cell r="B1299" t="str">
            <v>0.6 x 115+/-0.5 x 1219</v>
          </cell>
          <cell r="C1299">
            <v>0.6</v>
          </cell>
          <cell r="D1299">
            <v>115</v>
          </cell>
          <cell r="E1299">
            <v>1219</v>
          </cell>
          <cell r="F1299">
            <v>0.66027134999999992</v>
          </cell>
          <cell r="G1299">
            <v>11</v>
          </cell>
          <cell r="I1299" t="str">
            <v>SPCEN-SD</v>
          </cell>
          <cell r="J1299" t="str">
            <v>COVER FORCE 43*54*51/22/110 BLACK</v>
          </cell>
          <cell r="K1299" t="str">
            <v>2A40-016-81</v>
          </cell>
          <cell r="L1299" t="str">
            <v>Y</v>
          </cell>
          <cell r="M1299" t="str">
            <v>SPCEN-SD</v>
          </cell>
          <cell r="N1299" t="str">
            <v>COVER FORCE 43*54*51/22/110 BLACK</v>
          </cell>
          <cell r="O1299" t="str">
            <v>2A40-016-81</v>
          </cell>
          <cell r="P1299" t="str">
            <v>Y</v>
          </cell>
        </row>
        <row r="1300">
          <cell r="A1300" t="str">
            <v>yss45</v>
          </cell>
          <cell r="B1300" t="str">
            <v>0.6 x 115+/-0.5 x 1219</v>
          </cell>
          <cell r="C1300">
            <v>0.6</v>
          </cell>
          <cell r="D1300">
            <v>115</v>
          </cell>
          <cell r="E1300">
            <v>1219</v>
          </cell>
          <cell r="F1300">
            <v>0.66027134999999992</v>
          </cell>
          <cell r="G1300">
            <v>10</v>
          </cell>
          <cell r="I1300" t="str">
            <v>SPCEN-SD</v>
          </cell>
          <cell r="J1300" t="str">
            <v>COVER FORCE 43*54*51/22/110 BLACK</v>
          </cell>
          <cell r="K1300" t="str">
            <v>2A40-016-84</v>
          </cell>
          <cell r="L1300" t="str">
            <v>Y</v>
          </cell>
          <cell r="M1300" t="str">
            <v>SPCEN-SD</v>
          </cell>
          <cell r="N1300" t="str">
            <v>COVER FORCE 43*54*51/22/110 BLACK</v>
          </cell>
          <cell r="O1300" t="str">
            <v>2A40-016-84</v>
          </cell>
          <cell r="P1300" t="str">
            <v>Y</v>
          </cell>
        </row>
        <row r="1301">
          <cell r="A1301" t="str">
            <v>yss029</v>
          </cell>
          <cell r="B1301" t="str">
            <v>0.6 x 166+/-0.5 x 1219</v>
          </cell>
          <cell r="C1301">
            <v>0.6</v>
          </cell>
          <cell r="D1301">
            <v>166</v>
          </cell>
          <cell r="E1301">
            <v>1219</v>
          </cell>
          <cell r="F1301">
            <v>0.95308733999999995</v>
          </cell>
          <cell r="G1301">
            <v>7</v>
          </cell>
          <cell r="I1301" t="str">
            <v>SPCEN-SD</v>
          </cell>
          <cell r="J1301" t="str">
            <v>COVER FRESH 46*58*95/19.5 สีบรอนด์ทอง</v>
          </cell>
          <cell r="K1301" t="str">
            <v>2A40-018-33</v>
          </cell>
          <cell r="L1301" t="str">
            <v>Y</v>
          </cell>
          <cell r="M1301" t="str">
            <v>SPCEN-SD</v>
          </cell>
          <cell r="N1301" t="str">
            <v>COVER FRESH 46*58*95/19.5 สีบรอนด์ทอง</v>
          </cell>
          <cell r="O1301" t="str">
            <v>2A40-018-33</v>
          </cell>
          <cell r="P1301" t="str">
            <v>Y</v>
          </cell>
          <cell r="R1301">
            <v>150</v>
          </cell>
        </row>
        <row r="1302">
          <cell r="A1302" t="str">
            <v>yss17</v>
          </cell>
          <cell r="B1302" t="str">
            <v>0.6 x 160+/-0.5 x 1219</v>
          </cell>
          <cell r="C1302">
            <v>0.6</v>
          </cell>
          <cell r="D1302">
            <v>160</v>
          </cell>
          <cell r="E1302">
            <v>1219</v>
          </cell>
          <cell r="F1302">
            <v>0.91863839999999986</v>
          </cell>
          <cell r="G1302">
            <v>7</v>
          </cell>
          <cell r="I1302" t="str">
            <v>SPCEN-SD</v>
          </cell>
          <cell r="J1302" t="str">
            <v>COVER GTO/RS 58*80/30/0.6/160 CHROME</v>
          </cell>
          <cell r="K1302" t="str">
            <v>2A40-021-10</v>
          </cell>
          <cell r="L1302" t="str">
            <v>Y</v>
          </cell>
          <cell r="M1302" t="str">
            <v>SPCEN-SD</v>
          </cell>
          <cell r="N1302" t="str">
            <v>COVER GTO/RS 58*80/30/0.6/160 CHROME</v>
          </cell>
          <cell r="O1302" t="str">
            <v>2A40-021-10</v>
          </cell>
          <cell r="P1302" t="str">
            <v>Y</v>
          </cell>
        </row>
        <row r="1303">
          <cell r="A1303" t="str">
            <v>yss028</v>
          </cell>
          <cell r="B1303" t="str">
            <v>0.6 x 110+/-0.5 x 1219</v>
          </cell>
          <cell r="C1303">
            <v>0.6</v>
          </cell>
          <cell r="D1303">
            <v>110</v>
          </cell>
          <cell r="E1303">
            <v>1219</v>
          </cell>
          <cell r="F1303">
            <v>0.63156390000000007</v>
          </cell>
          <cell r="G1303">
            <v>11</v>
          </cell>
          <cell r="I1303" t="str">
            <v>SPCEN-SD</v>
          </cell>
          <cell r="J1303" t="str">
            <v>COVER CHROME RX-Z 69*21/38/110</v>
          </cell>
          <cell r="K1303" t="str">
            <v>2A40-030-10</v>
          </cell>
          <cell r="L1303" t="str">
            <v>Y</v>
          </cell>
          <cell r="M1303" t="str">
            <v>SPCEN-SD</v>
          </cell>
          <cell r="N1303" t="str">
            <v>COVER CHROME RX-Z 69*21/38/110</v>
          </cell>
          <cell r="O1303" t="str">
            <v>2A40-030-10</v>
          </cell>
          <cell r="P1303" t="str">
            <v>Y</v>
          </cell>
        </row>
        <row r="1304">
          <cell r="A1304" t="str">
            <v>yss27</v>
          </cell>
          <cell r="B1304" t="str">
            <v>1.0 x 166+/-0.5 x 1219</v>
          </cell>
          <cell r="C1304">
            <v>1</v>
          </cell>
          <cell r="D1304">
            <v>166</v>
          </cell>
          <cell r="E1304">
            <v>1219</v>
          </cell>
          <cell r="F1304">
            <v>1.5884788999999999</v>
          </cell>
          <cell r="G1304">
            <v>7</v>
          </cell>
          <cell r="I1304" t="str">
            <v>SPCEN-SD</v>
          </cell>
          <cell r="J1304" t="str">
            <v>COVER WAVE-110 46*133/19.5/160 CHORME</v>
          </cell>
          <cell r="K1304" t="str">
            <v>2A40-037-10</v>
          </cell>
          <cell r="L1304" t="str">
            <v>Y</v>
          </cell>
          <cell r="M1304" t="str">
            <v>SPCEN-SD</v>
          </cell>
          <cell r="N1304" t="str">
            <v>COVER WAVE-110 46*133/19.5/160 CHORME</v>
          </cell>
          <cell r="O1304" t="str">
            <v>2A40-037-10</v>
          </cell>
          <cell r="P1304" t="str">
            <v>Y</v>
          </cell>
        </row>
        <row r="1305">
          <cell r="A1305" t="str">
            <v>yss017</v>
          </cell>
          <cell r="B1305" t="str">
            <v>0.6 x 144+/-0.5 x 1219</v>
          </cell>
          <cell r="C1305">
            <v>0.6</v>
          </cell>
          <cell r="D1305">
            <v>144</v>
          </cell>
          <cell r="E1305">
            <v>1219</v>
          </cell>
          <cell r="F1305">
            <v>0.82677455999999994</v>
          </cell>
          <cell r="G1305">
            <v>8</v>
          </cell>
          <cell r="I1305" t="str">
            <v>SPCEN-SD</v>
          </cell>
          <cell r="J1305" t="str">
            <v>COVER Y-80 38*44*110/19.5/144 CHROME</v>
          </cell>
          <cell r="K1305" t="str">
            <v>2A40-038-13</v>
          </cell>
          <cell r="L1305" t="str">
            <v>Y</v>
          </cell>
          <cell r="M1305" t="str">
            <v>SPCEN-SD</v>
          </cell>
          <cell r="N1305" t="str">
            <v>COVER Y-80 38*44*110/19.5/144 CHROME</v>
          </cell>
          <cell r="O1305" t="str">
            <v>2A40-038-13</v>
          </cell>
          <cell r="P1305" t="str">
            <v>Y</v>
          </cell>
        </row>
        <row r="1306">
          <cell r="A1306" t="str">
            <v>yss19</v>
          </cell>
          <cell r="B1306" t="str">
            <v>1.0 x 160+/-0.5 x 1219</v>
          </cell>
          <cell r="C1306">
            <v>1</v>
          </cell>
          <cell r="D1306">
            <v>160</v>
          </cell>
          <cell r="E1306">
            <v>1219</v>
          </cell>
          <cell r="F1306">
            <v>1.531064</v>
          </cell>
          <cell r="G1306">
            <v>7</v>
          </cell>
          <cell r="I1306" t="str">
            <v>SPCEN-SD</v>
          </cell>
          <cell r="J1306" t="str">
            <v>ปลอกกลางชุบ DREAM 54*100/26.5/160 ตัวหนา</v>
          </cell>
          <cell r="K1306" t="str">
            <v>2A40-044-10</v>
          </cell>
          <cell r="L1306" t="str">
            <v>Y</v>
          </cell>
          <cell r="M1306" t="str">
            <v>SPCEN-SD</v>
          </cell>
          <cell r="N1306" t="str">
            <v>ปลอกกลางชุบ DREAM 54*100/26.5/160 ตัวหนา</v>
          </cell>
          <cell r="O1306" t="str">
            <v>2A40-044-10</v>
          </cell>
          <cell r="P1306" t="str">
            <v>Y</v>
          </cell>
        </row>
        <row r="1307">
          <cell r="A1307" t="str">
            <v>YSS30</v>
          </cell>
          <cell r="B1307" t="str">
            <v>1.0 x 110+/-0.5 x 1219</v>
          </cell>
          <cell r="C1307">
            <v>1</v>
          </cell>
          <cell r="D1307">
            <v>110</v>
          </cell>
          <cell r="E1307">
            <v>1219</v>
          </cell>
          <cell r="F1307">
            <v>1.0526065</v>
          </cell>
          <cell r="G1307">
            <v>11</v>
          </cell>
          <cell r="I1307" t="str">
            <v>SPCEN-SD</v>
          </cell>
          <cell r="J1307" t="str">
            <v>ปลอกบนชุบ DREAM 54*35/19.5/110 ตัวหนา</v>
          </cell>
          <cell r="K1307" t="str">
            <v>2A40-047-11</v>
          </cell>
          <cell r="L1307" t="str">
            <v>Y</v>
          </cell>
          <cell r="M1307" t="str">
            <v>SPCEN-SD</v>
          </cell>
          <cell r="N1307" t="str">
            <v>ปลอกบนชุบ DREAM 54*35/19.5/110 ตัวหนา</v>
          </cell>
          <cell r="O1307" t="str">
            <v>2A40-047-11</v>
          </cell>
          <cell r="P1307" t="str">
            <v>Y</v>
          </cell>
        </row>
        <row r="1308">
          <cell r="A1308" t="str">
            <v>yss019</v>
          </cell>
          <cell r="B1308" t="str">
            <v>0.6 x 166+/-0.5 x 1219</v>
          </cell>
          <cell r="C1308">
            <v>0.6</v>
          </cell>
          <cell r="D1308">
            <v>166</v>
          </cell>
          <cell r="E1308">
            <v>1219</v>
          </cell>
          <cell r="F1308">
            <v>0.95308733999999995</v>
          </cell>
          <cell r="G1308">
            <v>7</v>
          </cell>
          <cell r="I1308" t="str">
            <v>SPCEN-SD</v>
          </cell>
          <cell r="J1308" t="str">
            <v>TOP COVER CELA 46*130/19.5/160*0.6 CHROME</v>
          </cell>
          <cell r="K1308" t="str">
            <v>2A40-051-13</v>
          </cell>
          <cell r="L1308" t="str">
            <v>Y</v>
          </cell>
          <cell r="M1308" t="str">
            <v>SPCEN-SD</v>
          </cell>
          <cell r="N1308" t="str">
            <v>TOP COVER CELA 46*130/19.5/160*0.6 CHROME</v>
          </cell>
          <cell r="O1308" t="str">
            <v>2A40-051-13</v>
          </cell>
          <cell r="P1308" t="str">
            <v>Y</v>
          </cell>
        </row>
        <row r="1309">
          <cell r="A1309" t="str">
            <v>yss21</v>
          </cell>
          <cell r="B1309" t="str">
            <v>1.0 x 160+/-0.5 x 1219</v>
          </cell>
          <cell r="C1309">
            <v>1</v>
          </cell>
          <cell r="D1309">
            <v>160</v>
          </cell>
          <cell r="E1309">
            <v>1219</v>
          </cell>
          <cell r="F1309">
            <v>1.531064</v>
          </cell>
          <cell r="G1309">
            <v>7</v>
          </cell>
          <cell r="I1309" t="str">
            <v>SPCEN-SD</v>
          </cell>
          <cell r="J1309" t="str">
            <v>COVER PHANTOM 63*60/30/1.0/160 CHROME</v>
          </cell>
          <cell r="K1309" t="str">
            <v>2A40-052-12</v>
          </cell>
          <cell r="L1309" t="str">
            <v>Y</v>
          </cell>
          <cell r="M1309" t="str">
            <v>SPCEN-SD</v>
          </cell>
          <cell r="N1309" t="str">
            <v>COVER PHANTOM 63*60/30/1.0/160 CHROME</v>
          </cell>
          <cell r="O1309" t="str">
            <v>2A40-052-12</v>
          </cell>
          <cell r="P1309" t="str">
            <v>Y</v>
          </cell>
        </row>
        <row r="1310">
          <cell r="A1310" t="str">
            <v>yss021</v>
          </cell>
          <cell r="B1310" t="str">
            <v>0.6 x 150+/-0.5 x 1219</v>
          </cell>
          <cell r="C1310">
            <v>0.6</v>
          </cell>
          <cell r="D1310">
            <v>150</v>
          </cell>
          <cell r="E1310">
            <v>1219</v>
          </cell>
          <cell r="F1310">
            <v>0.86122350000000003</v>
          </cell>
          <cell r="G1310">
            <v>8</v>
          </cell>
          <cell r="I1310" t="str">
            <v>SPCEN-SD</v>
          </cell>
          <cell r="J1310" t="str">
            <v>ปลอกล่างชุบ CELA 38*125/26/144</v>
          </cell>
          <cell r="K1310" t="str">
            <v>2A40-104-10</v>
          </cell>
          <cell r="L1310" t="str">
            <v>Y</v>
          </cell>
          <cell r="M1310" t="str">
            <v>SPCEN-SD</v>
          </cell>
          <cell r="N1310" t="str">
            <v>ปลอกล่างชุบ CELA 38*125/26/144</v>
          </cell>
          <cell r="O1310" t="str">
            <v>2A40-104-10</v>
          </cell>
          <cell r="P1310" t="str">
            <v>Y</v>
          </cell>
        </row>
        <row r="1311">
          <cell r="A1311" t="str">
            <v>YSS23</v>
          </cell>
          <cell r="B1311" t="str">
            <v>0.6 x 150+/-0.5 x 1219</v>
          </cell>
          <cell r="C1311">
            <v>0.6</v>
          </cell>
          <cell r="D1311">
            <v>150</v>
          </cell>
          <cell r="E1311">
            <v>1219</v>
          </cell>
          <cell r="F1311">
            <v>0.86122350000000003</v>
          </cell>
          <cell r="G1311">
            <v>8</v>
          </cell>
          <cell r="I1311" t="str">
            <v>SPCEN-SD</v>
          </cell>
          <cell r="J1311" t="str">
            <v>ปลอกล่างชุบ DREAM 46*102/22/0.6/144</v>
          </cell>
          <cell r="K1311" t="str">
            <v>2A40-105-11</v>
          </cell>
          <cell r="L1311" t="str">
            <v>Y</v>
          </cell>
          <cell r="M1311" t="str">
            <v>SPCEN-SD</v>
          </cell>
          <cell r="N1311" t="str">
            <v>ปลอกล่างชุบ DREAM 46*102/22/0.6/144</v>
          </cell>
          <cell r="O1311" t="str">
            <v>2A40-105-11</v>
          </cell>
          <cell r="P1311" t="str">
            <v>Y</v>
          </cell>
        </row>
        <row r="1312">
          <cell r="A1312" t="str">
            <v>yss34</v>
          </cell>
          <cell r="B1312" t="str">
            <v>0.6 x 160+/-0.5 x 1219</v>
          </cell>
          <cell r="C1312">
            <v>0.6</v>
          </cell>
          <cell r="D1312">
            <v>160</v>
          </cell>
          <cell r="E1312">
            <v>1219</v>
          </cell>
          <cell r="F1312">
            <v>0.91863839999999986</v>
          </cell>
          <cell r="G1312">
            <v>7</v>
          </cell>
          <cell r="I1312" t="str">
            <v>SPCEN-SD</v>
          </cell>
          <cell r="J1312" t="str">
            <v>ปลอกล่างชุบ FRESH 46*51*110/25</v>
          </cell>
          <cell r="K1312" t="str">
            <v>2A40-106-10</v>
          </cell>
          <cell r="L1312" t="str">
            <v>Y</v>
          </cell>
          <cell r="M1312" t="str">
            <v>SPCEN-SD</v>
          </cell>
          <cell r="N1312" t="str">
            <v>ปลอกล่างชุบ FRESH 46*51*110/25</v>
          </cell>
          <cell r="O1312" t="str">
            <v>2A40-106-10</v>
          </cell>
          <cell r="P1312" t="str">
            <v>Y</v>
          </cell>
        </row>
        <row r="1313">
          <cell r="A1313" t="str">
            <v>yss023</v>
          </cell>
          <cell r="B1313" t="str">
            <v>0.6 x 144+/-0.5 x 1219</v>
          </cell>
          <cell r="C1313">
            <v>0.6</v>
          </cell>
          <cell r="D1313">
            <v>144</v>
          </cell>
          <cell r="E1313">
            <v>1219</v>
          </cell>
          <cell r="F1313">
            <v>0.82677455999999994</v>
          </cell>
          <cell r="G1313">
            <v>8</v>
          </cell>
          <cell r="I1313" t="str">
            <v>SPCEN-SD</v>
          </cell>
          <cell r="J1313" t="str">
            <v>BOTTOM COVER FR-80 38*120/22/144 CHROME</v>
          </cell>
          <cell r="K1313" t="str">
            <v>2A40-156-11</v>
          </cell>
          <cell r="L1313" t="str">
            <v>Y</v>
          </cell>
          <cell r="M1313" t="str">
            <v>SPCEN-SD</v>
          </cell>
          <cell r="N1313" t="str">
            <v>BOTTOM COVER FR-80 38*120/22/144 CHROME</v>
          </cell>
          <cell r="O1313" t="str">
            <v>2A40-156-11</v>
          </cell>
          <cell r="P1313" t="str">
            <v>Y</v>
          </cell>
        </row>
        <row r="1314">
          <cell r="A1314" t="str">
            <v>YSS25</v>
          </cell>
          <cell r="B1314" t="str">
            <v>0.6 x 160+/-0.5 x 1219</v>
          </cell>
          <cell r="C1314">
            <v>0.6</v>
          </cell>
          <cell r="D1314">
            <v>160</v>
          </cell>
          <cell r="E1314">
            <v>1219</v>
          </cell>
          <cell r="F1314">
            <v>0.91863839999999986</v>
          </cell>
          <cell r="G1314">
            <v>7</v>
          </cell>
          <cell r="I1314" t="str">
            <v>SPCEN-SD</v>
          </cell>
          <cell r="J1314" t="str">
            <v>BOTTOM COVER RC-100/44*130/25/0.6/160 CHROME</v>
          </cell>
          <cell r="K1314" t="str">
            <v>2A40-164-10</v>
          </cell>
          <cell r="L1314" t="str">
            <v>Y</v>
          </cell>
          <cell r="M1314" t="str">
            <v>SPCEN-SD</v>
          </cell>
          <cell r="N1314" t="str">
            <v>BOTTOM COVER RC-100/44*130/25/0.6/160 CHROME</v>
          </cell>
          <cell r="O1314" t="str">
            <v>2A40-164-10</v>
          </cell>
          <cell r="P1314" t="str">
            <v>Y</v>
          </cell>
        </row>
        <row r="1315">
          <cell r="A1315" t="str">
            <v>yss033</v>
          </cell>
          <cell r="B1315" t="str">
            <v>1.0 x 200+/-0.5 x 1219</v>
          </cell>
          <cell r="C1315">
            <v>1</v>
          </cell>
          <cell r="D1315">
            <v>200</v>
          </cell>
          <cell r="E1315">
            <v>1219</v>
          </cell>
          <cell r="F1315">
            <v>1.9138299999999999</v>
          </cell>
          <cell r="G1315">
            <v>6</v>
          </cell>
          <cell r="I1315" t="str">
            <v>SPCEN-SD</v>
          </cell>
          <cell r="J1315" t="str">
            <v>COVER CC 100 71*100*46/160 CHROME</v>
          </cell>
          <cell r="K1315" t="str">
            <v>2A40-462-12</v>
          </cell>
          <cell r="L1315" t="str">
            <v>Y</v>
          </cell>
          <cell r="M1315" t="str">
            <v>SPCEN-SD</v>
          </cell>
          <cell r="N1315" t="str">
            <v>COVER CC 100 71*100*46/160 CHROME</v>
          </cell>
          <cell r="O1315" t="str">
            <v>2A40-462-12</v>
          </cell>
          <cell r="P1315" t="str">
            <v>Y</v>
          </cell>
        </row>
        <row r="1316">
          <cell r="A1316" t="str">
            <v>YSS05</v>
          </cell>
          <cell r="B1316" t="str">
            <v>1.0 x 38  x 1219</v>
          </cell>
          <cell r="C1316">
            <v>1</v>
          </cell>
          <cell r="D1316">
            <v>38</v>
          </cell>
          <cell r="E1316">
            <v>1219</v>
          </cell>
          <cell r="F1316">
            <v>0.3636277</v>
          </cell>
          <cell r="G1316">
            <v>35</v>
          </cell>
          <cell r="I1316" t="str">
            <v>SPCC-SD</v>
          </cell>
          <cell r="J1316" t="str">
            <v>BASE VALVE 22*26*6.0</v>
          </cell>
          <cell r="K1316" t="str">
            <v>2A47-131-02</v>
          </cell>
          <cell r="L1316" t="str">
            <v>Y</v>
          </cell>
          <cell r="M1316" t="str">
            <v>SPCC-SD</v>
          </cell>
          <cell r="N1316" t="str">
            <v>BASE VALVE 22*26*6.0</v>
          </cell>
          <cell r="O1316" t="str">
            <v>2A47-131-02</v>
          </cell>
          <cell r="P1316" t="str">
            <v>Y</v>
          </cell>
        </row>
        <row r="1317">
          <cell r="A1317" t="str">
            <v>YSS002-1</v>
          </cell>
          <cell r="B1317" t="str">
            <v>2.3 x 48 x 1219</v>
          </cell>
          <cell r="C1317">
            <v>2.2999999999999998</v>
          </cell>
          <cell r="D1317">
            <v>48</v>
          </cell>
          <cell r="E1317">
            <v>1219</v>
          </cell>
          <cell r="F1317">
            <v>1.0564341599999998</v>
          </cell>
          <cell r="G1317">
            <v>27</v>
          </cell>
          <cell r="I1317" t="str">
            <v>SPCC-SD</v>
          </cell>
          <cell r="J1317" t="str">
            <v>STEEL CUP 30.1 MM.</v>
          </cell>
          <cell r="K1317" t="str">
            <v>2A47-151-06</v>
          </cell>
          <cell r="L1317" t="str">
            <v>Y</v>
          </cell>
          <cell r="M1317" t="str">
            <v>SPCC-SD</v>
          </cell>
          <cell r="N1317" t="str">
            <v>STEEL CUP 30.1 MM.</v>
          </cell>
          <cell r="O1317" t="str">
            <v>2A47-151-06</v>
          </cell>
          <cell r="P1317" t="str">
            <v>Y</v>
          </cell>
          <cell r="R1317">
            <v>300</v>
          </cell>
        </row>
        <row r="1318">
          <cell r="A1318" t="str">
            <v>YSS002-3</v>
          </cell>
          <cell r="B1318" t="str">
            <v>2.3 x 48 x 1219</v>
          </cell>
          <cell r="C1318">
            <v>2.2999999999999998</v>
          </cell>
          <cell r="D1318">
            <v>48</v>
          </cell>
          <cell r="E1318">
            <v>1219</v>
          </cell>
          <cell r="F1318">
            <v>1.0564341599999998</v>
          </cell>
          <cell r="G1318">
            <v>27</v>
          </cell>
          <cell r="I1318" t="str">
            <v>SPCC-SD</v>
          </cell>
          <cell r="J1318" t="str">
            <v>STEEL CUP 30.1 MM.(version 4)</v>
          </cell>
          <cell r="K1318" t="str">
            <v>2A47-151-09</v>
          </cell>
          <cell r="L1318" t="str">
            <v>Y</v>
          </cell>
          <cell r="M1318" t="str">
            <v>SPCC-SD</v>
          </cell>
          <cell r="N1318" t="str">
            <v>STEEL CUP 30.1 MM.(version 4)</v>
          </cell>
          <cell r="O1318" t="str">
            <v>2A47-151-09</v>
          </cell>
          <cell r="P1318" t="str">
            <v>Y</v>
          </cell>
          <cell r="R1318">
            <v>300</v>
          </cell>
        </row>
        <row r="1319">
          <cell r="A1319" t="str">
            <v>YSS003</v>
          </cell>
          <cell r="B1319" t="str">
            <v>2.6 x 48 x 1219</v>
          </cell>
          <cell r="C1319">
            <v>2.6</v>
          </cell>
          <cell r="D1319">
            <v>48</v>
          </cell>
          <cell r="E1319">
            <v>1219</v>
          </cell>
          <cell r="F1319">
            <v>1.1942299199999999</v>
          </cell>
          <cell r="G1319">
            <v>27</v>
          </cell>
          <cell r="I1319" t="str">
            <v>SPCC-SD</v>
          </cell>
          <cell r="J1319" t="str">
            <v>STEEL CUP 31.6 MM</v>
          </cell>
          <cell r="K1319" t="str">
            <v>2A47-152-03</v>
          </cell>
          <cell r="L1319" t="str">
            <v>Y</v>
          </cell>
          <cell r="M1319" t="str">
            <v>SPCC-SD</v>
          </cell>
          <cell r="N1319" t="str">
            <v>STEEL CUP 31.6 MM</v>
          </cell>
          <cell r="O1319" t="str">
            <v>2A47-152-03</v>
          </cell>
          <cell r="P1319" t="str">
            <v>Y</v>
          </cell>
          <cell r="R1319">
            <v>300</v>
          </cell>
        </row>
        <row r="1320">
          <cell r="A1320" t="str">
            <v>YSS04</v>
          </cell>
          <cell r="B1320" t="str">
            <v>2.6 x 48 x 1219</v>
          </cell>
          <cell r="C1320">
            <v>2.6</v>
          </cell>
          <cell r="D1320">
            <v>48</v>
          </cell>
          <cell r="E1320">
            <v>1219</v>
          </cell>
          <cell r="F1320">
            <v>1.1942299199999999</v>
          </cell>
          <cell r="G1320">
            <v>27</v>
          </cell>
          <cell r="I1320" t="str">
            <v>SPCC-SD</v>
          </cell>
          <cell r="J1320" t="str">
            <v>STEEL CUP 31.6 MM</v>
          </cell>
          <cell r="K1320" t="str">
            <v>2A47-152-03</v>
          </cell>
          <cell r="L1320" t="str">
            <v>Y</v>
          </cell>
          <cell r="M1320" t="str">
            <v>SPCC-SD</v>
          </cell>
          <cell r="N1320" t="str">
            <v>STEEL CUP 31.6 MM</v>
          </cell>
          <cell r="O1320" t="str">
            <v>2A47-152-03</v>
          </cell>
          <cell r="P1320" t="str">
            <v>Y</v>
          </cell>
          <cell r="R1320">
            <v>300</v>
          </cell>
        </row>
        <row r="1321">
          <cell r="A1321" t="str">
            <v>yss049</v>
          </cell>
          <cell r="B1321" t="str">
            <v>3.2 x 74+/-0.5 x 1219</v>
          </cell>
          <cell r="C1321">
            <v>3.2</v>
          </cell>
          <cell r="D1321">
            <v>74</v>
          </cell>
          <cell r="E1321">
            <v>1219</v>
          </cell>
          <cell r="F1321">
            <v>2.26597472</v>
          </cell>
          <cell r="G1321">
            <v>15</v>
          </cell>
          <cell r="I1321" t="str">
            <v>SPCC-SD</v>
          </cell>
          <cell r="J1321" t="str">
            <v>STEEL CUP 47*41.3*30</v>
          </cell>
          <cell r="K1321" t="str">
            <v>2A47-166-00</v>
          </cell>
          <cell r="L1321" t="str">
            <v>Y</v>
          </cell>
          <cell r="M1321" t="str">
            <v>SPCC-SD</v>
          </cell>
          <cell r="N1321" t="str">
            <v>STEEL CUP 47*41.3*30</v>
          </cell>
          <cell r="O1321" t="str">
            <v>2A47-166-00</v>
          </cell>
          <cell r="P1321" t="str">
            <v>Y</v>
          </cell>
        </row>
        <row r="1322">
          <cell r="A1322" t="str">
            <v>YSS031</v>
          </cell>
          <cell r="B1322" t="str">
            <v>3.0 x 65+/-0.5 x 1219</v>
          </cell>
          <cell r="C1322">
            <v>3</v>
          </cell>
          <cell r="D1322">
            <v>65</v>
          </cell>
          <cell r="E1322">
            <v>1219</v>
          </cell>
          <cell r="F1322">
            <v>1.8659842499999999</v>
          </cell>
          <cell r="G1322">
            <v>76</v>
          </cell>
          <cell r="I1322" t="str">
            <v>SPHC-P/O</v>
          </cell>
          <cell r="J1322" t="str">
            <v>STEEL CUP 19/30.5</v>
          </cell>
          <cell r="K1322" t="str">
            <v>2A47-181-01</v>
          </cell>
          <cell r="L1322" t="str">
            <v>Y</v>
          </cell>
          <cell r="M1322" t="str">
            <v>SPHC-P/O</v>
          </cell>
          <cell r="N1322" t="str">
            <v>STEEL CUP 19/30.5</v>
          </cell>
          <cell r="O1322" t="str">
            <v>2A47-181-01</v>
          </cell>
          <cell r="P1322" t="str">
            <v>Y</v>
          </cell>
          <cell r="R1322">
            <v>200</v>
          </cell>
        </row>
        <row r="1323">
          <cell r="A1323" t="str">
            <v>YSS032</v>
          </cell>
          <cell r="B1323" t="str">
            <v>3.0 x 90+/-0.5 x 1219</v>
          </cell>
          <cell r="C1323">
            <v>3</v>
          </cell>
          <cell r="D1323">
            <v>90</v>
          </cell>
          <cell r="E1323">
            <v>1219</v>
          </cell>
          <cell r="F1323">
            <v>2.5836705000000002</v>
          </cell>
          <cell r="G1323">
            <v>54</v>
          </cell>
          <cell r="I1323" t="str">
            <v>SPHC-P/O</v>
          </cell>
          <cell r="J1323" t="str">
            <v>STEEL CUP 24/42</v>
          </cell>
          <cell r="K1323" t="str">
            <v>2A47-184-04</v>
          </cell>
          <cell r="L1323" t="str">
            <v>Y</v>
          </cell>
          <cell r="M1323" t="str">
            <v>SPHC-P/O</v>
          </cell>
          <cell r="N1323" t="str">
            <v>STEEL CUP 24/42</v>
          </cell>
          <cell r="O1323" t="str">
            <v>2A47-184-04</v>
          </cell>
          <cell r="P1323" t="str">
            <v>Y</v>
          </cell>
          <cell r="R1323">
            <v>150</v>
          </cell>
        </row>
        <row r="1324">
          <cell r="A1324" t="str">
            <v>YSS032-1</v>
          </cell>
          <cell r="B1324" t="str">
            <v>3.0 x 90+/-0.5 x 1219</v>
          </cell>
          <cell r="C1324">
            <v>3</v>
          </cell>
          <cell r="D1324">
            <v>90</v>
          </cell>
          <cell r="E1324">
            <v>1219</v>
          </cell>
          <cell r="F1324">
            <v>2.5836705000000002</v>
          </cell>
          <cell r="G1324">
            <v>54</v>
          </cell>
          <cell r="I1324" t="str">
            <v>SPHC-P/O</v>
          </cell>
          <cell r="J1324" t="str">
            <v>STEEL CUP 24/35</v>
          </cell>
          <cell r="K1324" t="str">
            <v>2A47-190-02</v>
          </cell>
          <cell r="L1324" t="str">
            <v>Y</v>
          </cell>
          <cell r="M1324" t="str">
            <v>SPHC-P/O</v>
          </cell>
          <cell r="N1324" t="str">
            <v>STEEL CUP 24/35</v>
          </cell>
          <cell r="O1324" t="str">
            <v>2A47-190-02</v>
          </cell>
          <cell r="P1324" t="str">
            <v>Y</v>
          </cell>
        </row>
        <row r="1325">
          <cell r="A1325" t="str">
            <v>yss40</v>
          </cell>
          <cell r="B1325" t="str">
            <v>0.6 x 166+/-0.5 x 1219</v>
          </cell>
          <cell r="C1325">
            <v>0.6</v>
          </cell>
          <cell r="D1325">
            <v>166</v>
          </cell>
          <cell r="E1325">
            <v>1219</v>
          </cell>
          <cell r="F1325">
            <v>0.95308733999999995</v>
          </cell>
          <cell r="G1325">
            <v>7</v>
          </cell>
          <cell r="I1325" t="str">
            <v>SPCEN-SD</v>
          </cell>
          <cell r="J1325" t="str">
            <v>COVER CRYSTAL 40*51*130/22/160 BLACK</v>
          </cell>
          <cell r="K1325" t="str">
            <v>2A40-012-81</v>
          </cell>
          <cell r="L1325" t="str">
            <v>Y</v>
          </cell>
          <cell r="M1325" t="str">
            <v>SPCEN-SD</v>
          </cell>
          <cell r="N1325" t="str">
            <v>COVER CRYSTAL 40*51*130/22/160 BLACK</v>
          </cell>
          <cell r="O1325" t="str">
            <v>2A40-012-81</v>
          </cell>
          <cell r="P1325" t="str">
            <v>Y</v>
          </cell>
          <cell r="R1325">
            <v>150</v>
          </cell>
        </row>
        <row r="1327">
          <cell r="B1327" t="str">
            <v>เฉพาะรายการนี้ ต้องซื้อหลอก YSS แทน 1.0 x 38</v>
          </cell>
          <cell r="F1327">
            <v>0</v>
          </cell>
        </row>
        <row r="1328">
          <cell r="B1328" t="str">
            <v>1.0 x 46 x 1219</v>
          </cell>
          <cell r="C1328">
            <v>1</v>
          </cell>
          <cell r="D1328">
            <v>46</v>
          </cell>
          <cell r="E1328">
            <v>1219</v>
          </cell>
          <cell r="F1328">
            <v>0.44018089999999999</v>
          </cell>
          <cell r="G1328">
            <v>35</v>
          </cell>
          <cell r="I1328" t="str">
            <v>SPCC-SD</v>
          </cell>
          <cell r="J1328" t="str">
            <v>BASE VALVE 22*26*6.0</v>
          </cell>
          <cell r="K1328" t="str">
            <v>2A47-131-02</v>
          </cell>
          <cell r="L1328" t="str">
            <v>Y</v>
          </cell>
          <cell r="M1328" t="str">
            <v>SPCC-SD</v>
          </cell>
          <cell r="N1328" t="str">
            <v>BASE VALVE 22*26*6.0</v>
          </cell>
          <cell r="O1328" t="str">
            <v>2A47-131-02</v>
          </cell>
          <cell r="P1328" t="str">
            <v>Y</v>
          </cell>
        </row>
        <row r="1329">
          <cell r="B1329" t="str">
            <v>เฉพาะรายการนี้ ต้องซื้อหลอก YSS แทน 4.0 x 110</v>
          </cell>
          <cell r="F1329">
            <v>0</v>
          </cell>
        </row>
        <row r="1330">
          <cell r="B1330" t="str">
            <v>4.0 x 115 x 1219</v>
          </cell>
          <cell r="C1330">
            <v>4</v>
          </cell>
          <cell r="D1330">
            <v>115</v>
          </cell>
          <cell r="E1330">
            <v>1219</v>
          </cell>
          <cell r="F1330">
            <v>4.4018090000000001</v>
          </cell>
          <cell r="I1330" t="str">
            <v>SPHC</v>
          </cell>
          <cell r="J1330" t="str">
            <v>STEEL FORK 20*28*32*M8*1.25 NO BUR</v>
          </cell>
          <cell r="L1330" t="str">
            <v>Y</v>
          </cell>
          <cell r="M1330" t="str">
            <v>SPHC</v>
          </cell>
          <cell r="N1330" t="str">
            <v>STEEL FORK 20*28*32*M8*1.25 NO BUR</v>
          </cell>
          <cell r="P1330" t="str">
            <v>Y</v>
          </cell>
        </row>
        <row r="1332">
          <cell r="A1332" t="str">
            <v>2A40-016-82</v>
          </cell>
          <cell r="B1332" t="str">
            <v>0.6 x 115+/-0.5 x 1219</v>
          </cell>
          <cell r="C1332">
            <v>0.6</v>
          </cell>
          <cell r="D1332">
            <v>115</v>
          </cell>
          <cell r="E1332">
            <v>1219</v>
          </cell>
          <cell r="F1332">
            <v>0.66027134999999992</v>
          </cell>
          <cell r="G1332">
            <v>11</v>
          </cell>
          <cell r="I1332" t="str">
            <v>SPCEN-SD</v>
          </cell>
          <cell r="J1332" t="str">
            <v>COVER FORCE 43*54*51/19.5/BLACK</v>
          </cell>
          <cell r="K1332" t="str">
            <v>2A40-016-82</v>
          </cell>
          <cell r="L1332" t="str">
            <v>Y</v>
          </cell>
          <cell r="M1332" t="str">
            <v>SPCEN-SD</v>
          </cell>
          <cell r="N1332" t="str">
            <v>COVER FORCE 43*54*51/19.5/BLACK</v>
          </cell>
          <cell r="O1332" t="str">
            <v>2A40-016-82</v>
          </cell>
          <cell r="P1332" t="str">
            <v>Y</v>
          </cell>
        </row>
        <row r="1333">
          <cell r="A1333" t="str">
            <v>2A40-038-11</v>
          </cell>
          <cell r="B1333" t="str">
            <v>0.6 x 144+/-0.5 x 1219</v>
          </cell>
          <cell r="C1333">
            <v>0.6</v>
          </cell>
          <cell r="D1333">
            <v>144</v>
          </cell>
          <cell r="E1333">
            <v>1219</v>
          </cell>
          <cell r="F1333">
            <v>0.82677455999999994</v>
          </cell>
          <cell r="G1333">
            <v>8</v>
          </cell>
          <cell r="I1333" t="str">
            <v>SPCEN-SD</v>
          </cell>
          <cell r="J1333" t="str">
            <v>COVER Y-80 38*44*110/19.5/144 CHROME</v>
          </cell>
          <cell r="K1333" t="str">
            <v>2A40-038-11</v>
          </cell>
          <cell r="L1333" t="str">
            <v>Y</v>
          </cell>
          <cell r="M1333" t="str">
            <v>SPCEN-SD</v>
          </cell>
          <cell r="N1333" t="str">
            <v>COVER Y-80 38*44*110/19.5/144 CHROME</v>
          </cell>
          <cell r="O1333" t="str">
            <v>2A40-038-11</v>
          </cell>
          <cell r="P1333" t="str">
            <v>Y</v>
          </cell>
        </row>
        <row r="1334">
          <cell r="A1334" t="str">
            <v>2A40-007-12</v>
          </cell>
          <cell r="B1334" t="str">
            <v>0.6 x 150+/-0.5 x 1219</v>
          </cell>
          <cell r="C1334">
            <v>0.6</v>
          </cell>
          <cell r="D1334">
            <v>150</v>
          </cell>
          <cell r="E1334">
            <v>1219</v>
          </cell>
          <cell r="F1334">
            <v>0.86122350000000003</v>
          </cell>
          <cell r="G1334">
            <v>8</v>
          </cell>
          <cell r="I1334" t="str">
            <v>SPCEN-SD</v>
          </cell>
          <cell r="J1334" t="str">
            <v>COVER C-900 46*102/19.5/0.6/144 ชุบ</v>
          </cell>
          <cell r="K1334" t="str">
            <v>2A40-007-12</v>
          </cell>
          <cell r="L1334" t="str">
            <v>Y</v>
          </cell>
          <cell r="M1334" t="str">
            <v>SPCEN-SD</v>
          </cell>
          <cell r="N1334" t="str">
            <v>COVER C-900 46*102/19.5/0.6/144 ชุบ</v>
          </cell>
          <cell r="O1334" t="str">
            <v>2A40-007-12</v>
          </cell>
          <cell r="P1334" t="str">
            <v>Y</v>
          </cell>
        </row>
        <row r="1335">
          <cell r="A1335" t="str">
            <v>2A40-007-13</v>
          </cell>
          <cell r="B1335" t="str">
            <v>0.6 x 150+/-0.5 x 1219</v>
          </cell>
          <cell r="C1335">
            <v>0.6</v>
          </cell>
          <cell r="D1335">
            <v>150</v>
          </cell>
          <cell r="E1335">
            <v>1219</v>
          </cell>
          <cell r="F1335">
            <v>0.86122350000000003</v>
          </cell>
          <cell r="G1335">
            <v>8</v>
          </cell>
          <cell r="I1335" t="str">
            <v>SPCEN-SD</v>
          </cell>
          <cell r="J1335" t="str">
            <v>COVER C-900 46*102/22/0.6/144 ชุบ</v>
          </cell>
          <cell r="K1335" t="str">
            <v>2A40-007-13</v>
          </cell>
          <cell r="L1335" t="str">
            <v>Y</v>
          </cell>
          <cell r="M1335" t="str">
            <v>SPCEN-SD</v>
          </cell>
          <cell r="N1335" t="str">
            <v>COVER C-900 46*102/22/0.6/144 ชุบ</v>
          </cell>
          <cell r="O1335" t="str">
            <v>2A40-007-13</v>
          </cell>
          <cell r="P1335" t="str">
            <v>Y</v>
          </cell>
        </row>
        <row r="1336">
          <cell r="A1336" t="str">
            <v>2A40-104-10</v>
          </cell>
          <cell r="B1336" t="str">
            <v>0.6 x 150+/-0.5 x 1219</v>
          </cell>
          <cell r="C1336">
            <v>0.6</v>
          </cell>
          <cell r="D1336">
            <v>150</v>
          </cell>
          <cell r="E1336">
            <v>1219</v>
          </cell>
          <cell r="F1336">
            <v>0.86122350000000003</v>
          </cell>
          <cell r="G1336">
            <v>8</v>
          </cell>
          <cell r="I1336" t="str">
            <v>SPCEN-SD</v>
          </cell>
          <cell r="J1336" t="str">
            <v>ปลอกล่างชุบ CELA 38*125/26/144</v>
          </cell>
          <cell r="K1336" t="str">
            <v>2A40-104-10</v>
          </cell>
          <cell r="L1336" t="str">
            <v>Y</v>
          </cell>
          <cell r="M1336" t="str">
            <v>SPCEN-SD</v>
          </cell>
          <cell r="N1336" t="str">
            <v>ปลอกล่างชุบ CELA 38*125/26/144</v>
          </cell>
          <cell r="O1336" t="str">
            <v>2A40-104-10</v>
          </cell>
          <cell r="P1336" t="str">
            <v>Y</v>
          </cell>
        </row>
        <row r="1337">
          <cell r="A1337" t="str">
            <v>2A40-012-80</v>
          </cell>
          <cell r="B1337" t="str">
            <v>0.6 x 160+/-0.5 x 1219</v>
          </cell>
          <cell r="C1337">
            <v>0.6</v>
          </cell>
          <cell r="D1337">
            <v>160</v>
          </cell>
          <cell r="E1337">
            <v>1219</v>
          </cell>
          <cell r="F1337">
            <v>0.91863839999999986</v>
          </cell>
          <cell r="G1337">
            <v>7</v>
          </cell>
          <cell r="I1337" t="str">
            <v>SPCEN-SD</v>
          </cell>
          <cell r="J1337" t="str">
            <v>COVER CRYSTAL 40*51*130/22/160 BLACK</v>
          </cell>
          <cell r="K1337" t="str">
            <v>2A40-012-80</v>
          </cell>
          <cell r="L1337" t="str">
            <v>Y</v>
          </cell>
          <cell r="M1337" t="str">
            <v>SPCEN-SD</v>
          </cell>
          <cell r="N1337" t="str">
            <v>COVER CRYSTAL 40*51*130/22/160 BLACK</v>
          </cell>
          <cell r="O1337" t="str">
            <v>2A40-012-80</v>
          </cell>
          <cell r="P1337" t="str">
            <v>Y</v>
          </cell>
          <cell r="R1337">
            <v>150</v>
          </cell>
        </row>
        <row r="1338">
          <cell r="A1338" t="str">
            <v>2A40-018-31</v>
          </cell>
          <cell r="B1338" t="str">
            <v>0.6 x 160+/-0.5 x 1219</v>
          </cell>
          <cell r="C1338">
            <v>0.6</v>
          </cell>
          <cell r="D1338">
            <v>160</v>
          </cell>
          <cell r="E1338">
            <v>1219</v>
          </cell>
          <cell r="F1338">
            <v>0.91863839999999986</v>
          </cell>
          <cell r="G1338">
            <v>7</v>
          </cell>
          <cell r="I1338" t="str">
            <v>SPCEN-SD</v>
          </cell>
          <cell r="J1338" t="str">
            <v>COVER FRESH 46*58*95/19.5 สีบรอนด์ทอง</v>
          </cell>
          <cell r="K1338" t="str">
            <v>2A40-018-31</v>
          </cell>
          <cell r="L1338" t="str">
            <v>Y</v>
          </cell>
          <cell r="M1338" t="str">
            <v>SPCEN-SD</v>
          </cell>
          <cell r="N1338" t="str">
            <v>COVER FRESH 46*58*95/19.5 สีบรอนด์ทอง</v>
          </cell>
          <cell r="O1338" t="str">
            <v>2A40-018-31</v>
          </cell>
          <cell r="P1338" t="str">
            <v>Y</v>
          </cell>
        </row>
        <row r="1339">
          <cell r="A1339" t="str">
            <v>2A40-051-11</v>
          </cell>
          <cell r="B1339" t="str">
            <v>0.6 x 166+/-0.5 x 1219</v>
          </cell>
          <cell r="C1339">
            <v>0.6</v>
          </cell>
          <cell r="D1339">
            <v>166</v>
          </cell>
          <cell r="E1339">
            <v>1219</v>
          </cell>
          <cell r="F1339">
            <v>0.95308733999999995</v>
          </cell>
          <cell r="G1339">
            <v>7</v>
          </cell>
          <cell r="I1339" t="str">
            <v>SPCEN-SD</v>
          </cell>
          <cell r="J1339" t="str">
            <v>TOP COVER CELA 46*130/19.5/160*0.6 CHROME</v>
          </cell>
          <cell r="K1339" t="str">
            <v>2A40-051-11</v>
          </cell>
          <cell r="L1339" t="str">
            <v>Y</v>
          </cell>
          <cell r="M1339" t="str">
            <v>SPCEN-SD</v>
          </cell>
          <cell r="N1339" t="str">
            <v>TOP COVER CELA 46*130/19.5/160*0.6 CHROME</v>
          </cell>
          <cell r="O1339" t="str">
            <v>2A40-051-11</v>
          </cell>
          <cell r="P1339" t="str">
            <v>Y</v>
          </cell>
        </row>
        <row r="1340">
          <cell r="A1340" t="str">
            <v>2A40-165-10</v>
          </cell>
          <cell r="B1340" t="str">
            <v>0.6 x 166+/-0.5 x 1219</v>
          </cell>
          <cell r="C1340">
            <v>0.6</v>
          </cell>
          <cell r="D1340">
            <v>166</v>
          </cell>
          <cell r="E1340">
            <v>1219</v>
          </cell>
          <cell r="F1340">
            <v>0.95308733999999995</v>
          </cell>
          <cell r="G1340">
            <v>7</v>
          </cell>
          <cell r="I1340" t="str">
            <v>SPCEN-SD</v>
          </cell>
          <cell r="J1340" t="str">
            <v>BOTTOM COVER 58/38*100/CHROME</v>
          </cell>
          <cell r="K1340" t="str">
            <v>2A40-165-10</v>
          </cell>
          <cell r="L1340" t="str">
            <v>Y</v>
          </cell>
          <cell r="M1340" t="str">
            <v>SPCEN-SD</v>
          </cell>
          <cell r="N1340" t="str">
            <v>BOTTOM COVER 58/38*100/CHROME</v>
          </cell>
          <cell r="O1340" t="str">
            <v>2A40-165-10</v>
          </cell>
          <cell r="P1340" t="str">
            <v>Y</v>
          </cell>
        </row>
        <row r="1341">
          <cell r="A1341" t="str">
            <v>2A40-053-12</v>
          </cell>
          <cell r="B1341" t="str">
            <v>1.0 x 200+/-0.5 x 1219</v>
          </cell>
          <cell r="C1341">
            <v>1</v>
          </cell>
          <cell r="D1341">
            <v>200</v>
          </cell>
          <cell r="E1341">
            <v>1219</v>
          </cell>
          <cell r="F1341">
            <v>1.9138299999999999</v>
          </cell>
          <cell r="G1341">
            <v>6</v>
          </cell>
          <cell r="I1341" t="str">
            <v>SPCEN-SD</v>
          </cell>
          <cell r="J1341" t="str">
            <v>TOP COVER 63/38*110/CHROME</v>
          </cell>
          <cell r="K1341" t="str">
            <v>2A40-053-12</v>
          </cell>
          <cell r="L1341" t="str">
            <v>Y</v>
          </cell>
          <cell r="M1341" t="str">
            <v>SPCEN-SD</v>
          </cell>
          <cell r="N1341" t="str">
            <v>TOP COVER 63/38*110/CHROME</v>
          </cell>
          <cell r="O1341" t="str">
            <v>2A40-053-12</v>
          </cell>
          <cell r="P1341" t="str">
            <v>Y</v>
          </cell>
        </row>
        <row r="1342">
          <cell r="A1342" t="str">
            <v>2A47-131-02-1</v>
          </cell>
          <cell r="B1342" t="str">
            <v>1.0 x 38+/-0.5 x 1219</v>
          </cell>
          <cell r="C1342">
            <v>1</v>
          </cell>
          <cell r="D1342">
            <v>38</v>
          </cell>
          <cell r="E1342">
            <v>1219</v>
          </cell>
          <cell r="F1342">
            <v>0.3636277</v>
          </cell>
          <cell r="G1342">
            <v>35</v>
          </cell>
          <cell r="I1342" t="str">
            <v>SPCC-SD</v>
          </cell>
          <cell r="J1342" t="str">
            <v>BASE VALVE 22*26*6.0</v>
          </cell>
          <cell r="K1342" t="str">
            <v>2A47-131-02</v>
          </cell>
          <cell r="L1342" t="str">
            <v>Y</v>
          </cell>
          <cell r="M1342" t="str">
            <v>SPCC-SD</v>
          </cell>
          <cell r="N1342" t="str">
            <v>BASE VALVE 22*26*6.0</v>
          </cell>
          <cell r="O1342" t="str">
            <v>2A47-131-02</v>
          </cell>
          <cell r="P1342" t="str">
            <v>Y</v>
          </cell>
        </row>
        <row r="1343">
          <cell r="A1343" t="str">
            <v>2A47-050-01</v>
          </cell>
          <cell r="B1343" t="str">
            <v>2.0 x 144+/-0.5 x 1219</v>
          </cell>
          <cell r="C1343">
            <v>2</v>
          </cell>
          <cell r="D1343">
            <v>144</v>
          </cell>
          <cell r="E1343">
            <v>1219</v>
          </cell>
          <cell r="F1343">
            <v>2.7559151999999996</v>
          </cell>
          <cell r="G1343">
            <v>19</v>
          </cell>
          <cell r="I1343" t="str">
            <v>SPHC-P/O</v>
          </cell>
          <cell r="J1343" t="str">
            <v>SIDE BRKT MAIN 27*28/38*8.5*35*6</v>
          </cell>
          <cell r="K1343" t="str">
            <v>2A47-050-01</v>
          </cell>
          <cell r="L1343" t="str">
            <v>Y</v>
          </cell>
          <cell r="M1343" t="str">
            <v>SPHC-P/O</v>
          </cell>
          <cell r="N1343" t="str">
            <v>SIDE BRKT MAIN 27*28/38*8.5*35*6</v>
          </cell>
          <cell r="O1343" t="str">
            <v>2A47-050-01</v>
          </cell>
          <cell r="P1343" t="str">
            <v>Y</v>
          </cell>
        </row>
        <row r="1344">
          <cell r="A1344" t="str">
            <v>2A47-151-05</v>
          </cell>
          <cell r="B1344" t="str">
            <v>2.0 x 48+/-0.5 x 1219</v>
          </cell>
          <cell r="C1344">
            <v>2</v>
          </cell>
          <cell r="D1344">
            <v>48</v>
          </cell>
          <cell r="E1344">
            <v>1219</v>
          </cell>
          <cell r="F1344">
            <v>0.91863839999999986</v>
          </cell>
          <cell r="G1344">
            <v>27</v>
          </cell>
          <cell r="I1344" t="str">
            <v>SPCC-SD</v>
          </cell>
          <cell r="J1344" t="str">
            <v>STEEL CUP 30.1 MM.</v>
          </cell>
          <cell r="K1344" t="str">
            <v>2A47-151-05</v>
          </cell>
          <cell r="L1344" t="str">
            <v>Y</v>
          </cell>
          <cell r="M1344" t="str">
            <v>SPCC-SD</v>
          </cell>
          <cell r="N1344" t="str">
            <v>STEEL CUP 30.1 MM.</v>
          </cell>
          <cell r="O1344" t="str">
            <v>2A47-151-05</v>
          </cell>
          <cell r="P1344" t="str">
            <v>Y</v>
          </cell>
        </row>
        <row r="1345">
          <cell r="A1345" t="str">
            <v>2A47-052-01</v>
          </cell>
          <cell r="B1345" t="str">
            <v>2.0 x 78+/-0.5 x 1219</v>
          </cell>
          <cell r="C1345">
            <v>2</v>
          </cell>
          <cell r="D1345">
            <v>78</v>
          </cell>
          <cell r="E1345">
            <v>1219</v>
          </cell>
          <cell r="F1345">
            <v>1.4927873999999999</v>
          </cell>
          <cell r="G1345">
            <v>19</v>
          </cell>
          <cell r="I1345" t="str">
            <v>SPHC-P/O</v>
          </cell>
          <cell r="J1345" t="str">
            <v>SIDE BRKT FORT 23*28/38*8.5/60</v>
          </cell>
          <cell r="K1345" t="str">
            <v>2A47-052-01</v>
          </cell>
          <cell r="L1345" t="str">
            <v>Y</v>
          </cell>
          <cell r="M1345" t="str">
            <v>SPHC-P/O</v>
          </cell>
          <cell r="N1345" t="str">
            <v>SIDE BRKT FORT 23*28/38*8.5/60</v>
          </cell>
          <cell r="O1345" t="str">
            <v>2A47-052-01</v>
          </cell>
          <cell r="P1345" t="str">
            <v>Y</v>
          </cell>
          <cell r="R1345">
            <v>200</v>
          </cell>
        </row>
        <row r="1346">
          <cell r="A1346" t="str">
            <v>2A47-184-01</v>
          </cell>
          <cell r="B1346" t="str">
            <v>3.0 x 90+/-0.5 x 1219</v>
          </cell>
          <cell r="C1346">
            <v>3</v>
          </cell>
          <cell r="D1346">
            <v>90</v>
          </cell>
          <cell r="E1346">
            <v>1219</v>
          </cell>
          <cell r="F1346">
            <v>2.5836705000000002</v>
          </cell>
          <cell r="G1346">
            <v>54</v>
          </cell>
          <cell r="I1346" t="str">
            <v>SPHC-P/O</v>
          </cell>
          <cell r="J1346" t="str">
            <v>STEEL CUP 24/42</v>
          </cell>
          <cell r="K1346" t="str">
            <v>2A47-184-01</v>
          </cell>
          <cell r="L1346" t="str">
            <v>Y</v>
          </cell>
          <cell r="M1346" t="str">
            <v>SPHC-P/O</v>
          </cell>
          <cell r="N1346" t="str">
            <v>STEEL CUP 24/42</v>
          </cell>
          <cell r="O1346" t="str">
            <v>2A47-184-01</v>
          </cell>
          <cell r="P1346" t="str">
            <v>Y</v>
          </cell>
          <cell r="R1346">
            <v>150</v>
          </cell>
        </row>
        <row r="1347">
          <cell r="A1347" t="str">
            <v>2A25-722-01</v>
          </cell>
          <cell r="B1347" t="str">
            <v>4.0 x 110+/-0.5 x 1219</v>
          </cell>
          <cell r="C1347">
            <v>4</v>
          </cell>
          <cell r="D1347">
            <v>110</v>
          </cell>
          <cell r="E1347">
            <v>1219</v>
          </cell>
          <cell r="F1347">
            <v>4.210426</v>
          </cell>
          <cell r="G1347">
            <v>41</v>
          </cell>
          <cell r="I1347" t="str">
            <v>SPHC</v>
          </cell>
          <cell r="J1347" t="str">
            <v>STEEL FORK 13*22*27*31*M10*1.25 BUR</v>
          </cell>
          <cell r="K1347" t="str">
            <v>2A25-722-01</v>
          </cell>
          <cell r="L1347" t="str">
            <v>Y</v>
          </cell>
          <cell r="M1347" t="str">
            <v>SPHC</v>
          </cell>
          <cell r="N1347" t="str">
            <v>STEEL FORK 13*22*27*31*M10*1.25 BUR</v>
          </cell>
          <cell r="O1347" t="str">
            <v>2A25-722-01</v>
          </cell>
          <cell r="P1347" t="str">
            <v>Y</v>
          </cell>
          <cell r="R1347">
            <v>50</v>
          </cell>
        </row>
        <row r="1348">
          <cell r="A1348" t="str">
            <v>ชิ้นงาน CYF</v>
          </cell>
        </row>
        <row r="1349">
          <cell r="A1349" t="str">
            <v>13183-1065</v>
          </cell>
          <cell r="B1349" t="str">
            <v>1.0 x 110 x 1219</v>
          </cell>
          <cell r="C1349">
            <v>1</v>
          </cell>
          <cell r="D1349">
            <v>110</v>
          </cell>
          <cell r="E1349">
            <v>1219</v>
          </cell>
          <cell r="F1349">
            <v>1.0526065</v>
          </cell>
          <cell r="G1349">
            <v>22</v>
          </cell>
          <cell r="I1349" t="str">
            <v>SPCC-SD</v>
          </cell>
          <cell r="J1349" t="str">
            <v>PLATE (LEFT)</v>
          </cell>
          <cell r="K1349" t="str">
            <v>13183-5002-2</v>
          </cell>
          <cell r="M1349" t="str">
            <v>SPCC-SD</v>
          </cell>
          <cell r="N1349" t="str">
            <v>PLATE (LEFT)</v>
          </cell>
          <cell r="O1349" t="str">
            <v>13183-5002-2</v>
          </cell>
        </row>
        <row r="1350">
          <cell r="A1350" t="str">
            <v>13183-1112</v>
          </cell>
          <cell r="B1350" t="str">
            <v>1.0 x 110 x 1219</v>
          </cell>
          <cell r="C1350">
            <v>1</v>
          </cell>
          <cell r="D1350">
            <v>110</v>
          </cell>
          <cell r="E1350">
            <v>1219</v>
          </cell>
          <cell r="F1350">
            <v>1.0526065</v>
          </cell>
          <cell r="G1350">
            <v>13</v>
          </cell>
          <cell r="I1350" t="str">
            <v>SPCC-SD</v>
          </cell>
          <cell r="J1350" t="str">
            <v>PLATE (RIGHT)</v>
          </cell>
          <cell r="K1350" t="str">
            <v>13183-5003-2(110MM)</v>
          </cell>
          <cell r="M1350" t="str">
            <v>SPCC-SD</v>
          </cell>
          <cell r="N1350" t="str">
            <v>PLATE (RIGHT)</v>
          </cell>
          <cell r="O1350" t="str">
            <v>13183-5003-2(110MM)</v>
          </cell>
        </row>
        <row r="1351">
          <cell r="A1351" t="str">
            <v>11056-2205</v>
          </cell>
          <cell r="B1351" t="str">
            <v>1.2 x 132 x 1219</v>
          </cell>
          <cell r="C1351">
            <v>1.2</v>
          </cell>
          <cell r="D1351">
            <v>132</v>
          </cell>
          <cell r="E1351">
            <v>1219</v>
          </cell>
          <cell r="F1351">
            <v>1.5157533599999999</v>
          </cell>
          <cell r="G1351">
            <v>54</v>
          </cell>
          <cell r="I1351" t="str">
            <v>SPCC-SD</v>
          </cell>
          <cell r="J1351" t="str">
            <v>BRACKET</v>
          </cell>
          <cell r="K1351" t="str">
            <v>23062-0771</v>
          </cell>
          <cell r="M1351" t="str">
            <v>SPCC-SD</v>
          </cell>
          <cell r="N1351" t="str">
            <v>BRACKET</v>
          </cell>
          <cell r="O1351" t="str">
            <v>23062-0771</v>
          </cell>
        </row>
        <row r="1352">
          <cell r="A1352" t="str">
            <v>32155-5005-2</v>
          </cell>
          <cell r="B1352" t="str">
            <v>1.2 x 40 x 1219</v>
          </cell>
          <cell r="C1352">
            <v>1.2</v>
          </cell>
          <cell r="D1352">
            <v>40</v>
          </cell>
          <cell r="E1352">
            <v>1219</v>
          </cell>
          <cell r="F1352">
            <v>0.45931919999999993</v>
          </cell>
          <cell r="G1352">
            <v>84</v>
          </cell>
          <cell r="I1352" t="str">
            <v>SPCC-SD</v>
          </cell>
          <cell r="J1352" t="str">
            <v>STOPPER</v>
          </cell>
          <cell r="K1352" t="str">
            <v>32155-5005-2</v>
          </cell>
          <cell r="L1352" t="str">
            <v>O</v>
          </cell>
          <cell r="M1352" t="str">
            <v>SPCC-SD</v>
          </cell>
          <cell r="N1352" t="str">
            <v>STOPPER</v>
          </cell>
          <cell r="O1352" t="str">
            <v>32155-5005-2</v>
          </cell>
          <cell r="P1352" t="str">
            <v>O</v>
          </cell>
        </row>
        <row r="1353">
          <cell r="A1353" t="str">
            <v>32085-0102</v>
          </cell>
          <cell r="B1353" t="str">
            <v>1.2 x 54 x 1219</v>
          </cell>
          <cell r="C1353">
            <v>1.2</v>
          </cell>
          <cell r="D1353">
            <v>54</v>
          </cell>
          <cell r="E1353">
            <v>1219</v>
          </cell>
          <cell r="F1353">
            <v>0.62008091999999992</v>
          </cell>
          <cell r="G1353">
            <v>40</v>
          </cell>
          <cell r="I1353" t="str">
            <v>SPCC-SD</v>
          </cell>
          <cell r="J1353" t="str">
            <v>STOPPER</v>
          </cell>
          <cell r="K1353" t="str">
            <v>32085-0102</v>
          </cell>
          <cell r="M1353" t="str">
            <v>SPCC-SD</v>
          </cell>
          <cell r="N1353" t="str">
            <v>STOPPER</v>
          </cell>
          <cell r="O1353" t="str">
            <v>32085-0102</v>
          </cell>
        </row>
        <row r="1354">
          <cell r="A1354" t="str">
            <v>11056-1723</v>
          </cell>
          <cell r="B1354" t="str">
            <v>1.6 x 147 x 1219</v>
          </cell>
          <cell r="C1354">
            <v>1.6</v>
          </cell>
          <cell r="D1354">
            <v>147</v>
          </cell>
          <cell r="E1354">
            <v>1219</v>
          </cell>
          <cell r="F1354">
            <v>2.25066408</v>
          </cell>
          <cell r="G1354">
            <v>33</v>
          </cell>
          <cell r="I1354" t="str">
            <v>SPHC-P/O</v>
          </cell>
          <cell r="J1354" t="str">
            <v>BRACKET</v>
          </cell>
          <cell r="K1354" t="str">
            <v>32190-5001/5007</v>
          </cell>
          <cell r="M1354" t="str">
            <v>SPHC-P/O</v>
          </cell>
          <cell r="N1354" t="str">
            <v>BRACKET</v>
          </cell>
          <cell r="O1354" t="str">
            <v>32190-5001/5007</v>
          </cell>
        </row>
        <row r="1355">
          <cell r="A1355" t="str">
            <v>cyf020</v>
          </cell>
          <cell r="B1355" t="str">
            <v>1.6 x 43 x 1219</v>
          </cell>
          <cell r="C1355">
            <v>1.6</v>
          </cell>
          <cell r="D1355">
            <v>43</v>
          </cell>
          <cell r="E1355">
            <v>1219</v>
          </cell>
          <cell r="F1355">
            <v>0.65835751999999992</v>
          </cell>
          <cell r="G1355">
            <v>50</v>
          </cell>
          <cell r="H1355" t="str">
            <v>ใช้77005347 (73017148) ผ่าน tsgp(epc)</v>
          </cell>
          <cell r="I1355" t="str">
            <v>SPHC-P/O</v>
          </cell>
          <cell r="J1355" t="str">
            <v>GUSSET</v>
          </cell>
          <cell r="K1355" t="str">
            <v>32170-0862</v>
          </cell>
          <cell r="L1355" t="str">
            <v>O</v>
          </cell>
          <cell r="M1355" t="str">
            <v>SPHC-P/O</v>
          </cell>
          <cell r="N1355" t="str">
            <v>GUSSET</v>
          </cell>
          <cell r="O1355" t="str">
            <v>32170-0862</v>
          </cell>
          <cell r="P1355" t="str">
            <v>O</v>
          </cell>
          <cell r="Q1355" t="str">
            <v>epc</v>
          </cell>
          <cell r="R1355" t="str">
            <v>ใช้ 1.6*45</v>
          </cell>
        </row>
        <row r="1356">
          <cell r="A1356" t="str">
            <v>32170-0861</v>
          </cell>
          <cell r="B1356" t="str">
            <v>1.6 x 50 x 1219</v>
          </cell>
          <cell r="C1356">
            <v>1.6</v>
          </cell>
          <cell r="D1356">
            <v>50</v>
          </cell>
          <cell r="E1356">
            <v>1219</v>
          </cell>
          <cell r="F1356">
            <v>0.76553199999999999</v>
          </cell>
          <cell r="G1356">
            <v>30</v>
          </cell>
          <cell r="I1356" t="str">
            <v>SPCC-SD</v>
          </cell>
          <cell r="J1356" t="str">
            <v>GUSSET</v>
          </cell>
          <cell r="K1356" t="str">
            <v>32170-0861</v>
          </cell>
          <cell r="M1356" t="str">
            <v>SPCC-SD</v>
          </cell>
          <cell r="N1356" t="str">
            <v>GUSSET</v>
          </cell>
          <cell r="O1356" t="str">
            <v>32170-0861</v>
          </cell>
        </row>
        <row r="1357">
          <cell r="A1357" t="str">
            <v>11056-1807</v>
          </cell>
          <cell r="B1357" t="str">
            <v>1.6 x 52 x 1219</v>
          </cell>
          <cell r="C1357">
            <v>1.6</v>
          </cell>
          <cell r="D1357">
            <v>52</v>
          </cell>
          <cell r="E1357">
            <v>1219</v>
          </cell>
          <cell r="F1357">
            <v>0.79615328000000007</v>
          </cell>
          <cell r="G1357">
            <v>46</v>
          </cell>
          <cell r="I1357" t="str">
            <v>SPCC-SD</v>
          </cell>
          <cell r="J1357" t="str">
            <v>BRACKET</v>
          </cell>
          <cell r="K1357" t="str">
            <v>32155-5022-2</v>
          </cell>
          <cell r="M1357" t="str">
            <v>SPCC-SD</v>
          </cell>
          <cell r="N1357" t="str">
            <v>BRACKET</v>
          </cell>
          <cell r="O1357" t="str">
            <v>32155-5022-2</v>
          </cell>
          <cell r="R1357">
            <v>200</v>
          </cell>
        </row>
        <row r="1358">
          <cell r="A1358" t="str">
            <v>11056-2207</v>
          </cell>
          <cell r="B1358" t="str">
            <v>1.6 x 98 x 1219</v>
          </cell>
          <cell r="C1358">
            <v>1.6</v>
          </cell>
          <cell r="D1358">
            <v>98</v>
          </cell>
          <cell r="E1358">
            <v>1219</v>
          </cell>
          <cell r="F1358">
            <v>1.5004427199999999</v>
          </cell>
          <cell r="G1358">
            <v>36</v>
          </cell>
          <cell r="I1358" t="str">
            <v>SPHC-P/O</v>
          </cell>
          <cell r="J1358" t="str">
            <v>BRACKET</v>
          </cell>
          <cell r="K1358" t="str">
            <v>23062-0771</v>
          </cell>
          <cell r="M1358" t="str">
            <v>SPHC-P/O</v>
          </cell>
          <cell r="N1358" t="str">
            <v>BRACKET</v>
          </cell>
          <cell r="O1358" t="str">
            <v>23062-0771</v>
          </cell>
        </row>
        <row r="1359">
          <cell r="A1359" t="str">
            <v>32046-0311</v>
          </cell>
          <cell r="B1359" t="str">
            <v>2.0 x 130 x 1219</v>
          </cell>
          <cell r="C1359">
            <v>2</v>
          </cell>
          <cell r="D1359">
            <v>130</v>
          </cell>
          <cell r="E1359">
            <v>1219</v>
          </cell>
          <cell r="F1359">
            <v>2.4879790000000002</v>
          </cell>
          <cell r="G1359">
            <v>12</v>
          </cell>
          <cell r="I1359" t="str">
            <v>SPHC-P/O</v>
          </cell>
          <cell r="J1359" t="str">
            <v>BRACKET SEAT</v>
          </cell>
          <cell r="K1359">
            <v>0</v>
          </cell>
          <cell r="M1359" t="str">
            <v>SPHC-P/O</v>
          </cell>
          <cell r="N1359" t="str">
            <v>BRACKET SEAT</v>
          </cell>
          <cell r="O1359">
            <v>0</v>
          </cell>
        </row>
        <row r="1360">
          <cell r="A1360" t="str">
            <v>32029-1943-3</v>
          </cell>
          <cell r="B1360" t="str">
            <v>2.0 x 147 x 1219</v>
          </cell>
          <cell r="C1360">
            <v>2</v>
          </cell>
          <cell r="D1360">
            <v>147</v>
          </cell>
          <cell r="E1360">
            <v>1219</v>
          </cell>
          <cell r="F1360">
            <v>2.8133300999999999</v>
          </cell>
          <cell r="G1360">
            <v>26</v>
          </cell>
          <cell r="I1360" t="str">
            <v>SPHC-P/O</v>
          </cell>
          <cell r="J1360" t="str">
            <v>BRACKET ENGINE</v>
          </cell>
          <cell r="K1360">
            <v>0</v>
          </cell>
          <cell r="M1360" t="str">
            <v>SPHC-P/O</v>
          </cell>
          <cell r="N1360" t="str">
            <v>BRACKET ENGINE</v>
          </cell>
          <cell r="O1360">
            <v>0</v>
          </cell>
        </row>
        <row r="1361">
          <cell r="A1361" t="str">
            <v>11056-4239</v>
          </cell>
          <cell r="B1361" t="str">
            <v>2.0 x 179 x 1219</v>
          </cell>
          <cell r="C1361">
            <v>2</v>
          </cell>
          <cell r="D1361">
            <v>179</v>
          </cell>
          <cell r="E1361">
            <v>1219</v>
          </cell>
          <cell r="F1361">
            <v>3.4257556999999998</v>
          </cell>
          <cell r="G1361">
            <v>19</v>
          </cell>
          <cell r="I1361" t="str">
            <v>SPCC-SD</v>
          </cell>
          <cell r="J1361" t="str">
            <v>BRACKET</v>
          </cell>
          <cell r="K1361" t="str">
            <v>11056-2644-1</v>
          </cell>
          <cell r="M1361" t="str">
            <v>SPCC-SD</v>
          </cell>
          <cell r="N1361" t="str">
            <v>BRACKET</v>
          </cell>
          <cell r="O1361" t="str">
            <v>11056-2644-1</v>
          </cell>
        </row>
        <row r="1362">
          <cell r="A1362" t="str">
            <v>11056-2206-1</v>
          </cell>
          <cell r="B1362" t="str">
            <v>2.0 x 45 x 1219</v>
          </cell>
          <cell r="C1362">
            <v>2</v>
          </cell>
          <cell r="D1362">
            <v>45</v>
          </cell>
          <cell r="E1362">
            <v>1219</v>
          </cell>
          <cell r="F1362">
            <v>0.86122350000000003</v>
          </cell>
          <cell r="G1362">
            <v>36</v>
          </cell>
          <cell r="I1362" t="str">
            <v>SPHC-P/O</v>
          </cell>
          <cell r="J1362" t="str">
            <v>BRACKET</v>
          </cell>
          <cell r="K1362" t="str">
            <v>23062-0771</v>
          </cell>
          <cell r="M1362" t="str">
            <v>SPHC-P/O</v>
          </cell>
          <cell r="N1362" t="str">
            <v>BRACKET</v>
          </cell>
          <cell r="O1362" t="str">
            <v>23062-0771</v>
          </cell>
        </row>
        <row r="1363">
          <cell r="A1363">
            <v>50159</v>
          </cell>
          <cell r="B1363" t="str">
            <v>2.0 x 52 x 1219</v>
          </cell>
          <cell r="C1363">
            <v>2</v>
          </cell>
          <cell r="D1363">
            <v>52</v>
          </cell>
          <cell r="E1363">
            <v>1219</v>
          </cell>
          <cell r="F1363">
            <v>0.99519159999999995</v>
          </cell>
          <cell r="G1363">
            <v>56</v>
          </cell>
          <cell r="I1363" t="str">
            <v>JSH270C</v>
          </cell>
          <cell r="J1363" t="str">
            <v>STAY</v>
          </cell>
          <cell r="K1363" t="str">
            <v>50159-K26H-B000-20</v>
          </cell>
          <cell r="L1363" t="str">
            <v>K26H</v>
          </cell>
          <cell r="M1363" t="str">
            <v>JSH270C</v>
          </cell>
          <cell r="N1363" t="str">
            <v>STAY</v>
          </cell>
          <cell r="O1363" t="str">
            <v>50159-K26H-B000-20</v>
          </cell>
          <cell r="P1363" t="str">
            <v>K26H</v>
          </cell>
        </row>
        <row r="1364">
          <cell r="A1364" t="str">
            <v>13272-1281</v>
          </cell>
          <cell r="B1364" t="str">
            <v>2.0 x 75 x 1219</v>
          </cell>
          <cell r="C1364">
            <v>2</v>
          </cell>
          <cell r="D1364">
            <v>75</v>
          </cell>
          <cell r="E1364">
            <v>1219</v>
          </cell>
          <cell r="F1364">
            <v>1.4353724999999999</v>
          </cell>
          <cell r="G1364">
            <v>32</v>
          </cell>
          <cell r="I1364" t="str">
            <v>SPHC-P/O</v>
          </cell>
          <cell r="J1364" t="str">
            <v>PLATE</v>
          </cell>
          <cell r="K1364" t="str">
            <v>55020-0819</v>
          </cell>
          <cell r="M1364" t="str">
            <v>SPHC-P/O</v>
          </cell>
          <cell r="N1364" t="str">
            <v>PLATE</v>
          </cell>
          <cell r="O1364" t="str">
            <v>55020-0819</v>
          </cell>
        </row>
        <row r="1365">
          <cell r="A1365" t="str">
            <v>11056-1808-1</v>
          </cell>
          <cell r="B1365" t="str">
            <v>2.0 x 79 x 1219</v>
          </cell>
          <cell r="C1365">
            <v>2</v>
          </cell>
          <cell r="D1365">
            <v>79</v>
          </cell>
          <cell r="E1365">
            <v>1219</v>
          </cell>
          <cell r="F1365">
            <v>1.5119256999999999</v>
          </cell>
          <cell r="G1365">
            <v>28</v>
          </cell>
          <cell r="I1365" t="str">
            <v>SPCC-SD</v>
          </cell>
          <cell r="J1365" t="str">
            <v>BRACKET</v>
          </cell>
          <cell r="K1365" t="str">
            <v>32155-5024-2.1</v>
          </cell>
          <cell r="M1365" t="str">
            <v>SPCC-SD</v>
          </cell>
          <cell r="N1365" t="str">
            <v>BRACKET</v>
          </cell>
          <cell r="O1365" t="str">
            <v>32155-5024-2.1</v>
          </cell>
        </row>
        <row r="1366">
          <cell r="A1366" t="str">
            <v>cyf030</v>
          </cell>
          <cell r="B1366" t="str">
            <v>2.0 x 80 x 1219</v>
          </cell>
          <cell r="C1366">
            <v>2</v>
          </cell>
          <cell r="D1366">
            <v>80</v>
          </cell>
          <cell r="E1366">
            <v>1219</v>
          </cell>
          <cell r="F1366">
            <v>1.531064</v>
          </cell>
          <cell r="G1366">
            <v>19</v>
          </cell>
          <cell r="H1366" t="str">
            <v>ใช้รหัส 77005422 ผ่าน tsgp (30028990)</v>
          </cell>
          <cell r="I1366" t="str">
            <v>SPHC-P/O</v>
          </cell>
          <cell r="J1366" t="str">
            <v>BRACKET</v>
          </cell>
          <cell r="K1366" t="str">
            <v>23062-0781</v>
          </cell>
          <cell r="M1366" t="str">
            <v>SPHC-P/O</v>
          </cell>
          <cell r="N1366" t="str">
            <v>BRACKET</v>
          </cell>
          <cell r="O1366" t="str">
            <v>23062-0781</v>
          </cell>
          <cell r="Q1366" t="str">
            <v>epc</v>
          </cell>
        </row>
        <row r="1367">
          <cell r="A1367" t="str">
            <v>11056-2167</v>
          </cell>
          <cell r="B1367" t="str">
            <v>2.0 x 83 x 1219</v>
          </cell>
          <cell r="C1367">
            <v>2</v>
          </cell>
          <cell r="D1367">
            <v>83</v>
          </cell>
          <cell r="E1367">
            <v>1219</v>
          </cell>
          <cell r="F1367">
            <v>1.5884788999999999</v>
          </cell>
          <cell r="G1367">
            <v>30</v>
          </cell>
          <cell r="I1367" t="str">
            <v>SPHC-P/O</v>
          </cell>
          <cell r="J1367" t="str">
            <v>BRACKET</v>
          </cell>
          <cell r="K1367" t="str">
            <v>11056-2107-3</v>
          </cell>
          <cell r="M1367" t="str">
            <v>SPHC-P/O</v>
          </cell>
          <cell r="N1367" t="str">
            <v>BRACKET</v>
          </cell>
          <cell r="O1367" t="str">
            <v>11056-2107-3</v>
          </cell>
        </row>
        <row r="1368">
          <cell r="A1368" t="str">
            <v>32029-1943-1</v>
          </cell>
          <cell r="B1368" t="str">
            <v>2.0 x 97 x 1219</v>
          </cell>
          <cell r="C1368">
            <v>2</v>
          </cell>
          <cell r="D1368">
            <v>97</v>
          </cell>
          <cell r="E1368">
            <v>1219</v>
          </cell>
          <cell r="F1368">
            <v>1.8564150999999998</v>
          </cell>
          <cell r="G1368">
            <v>18</v>
          </cell>
          <cell r="I1368" t="str">
            <v>SPHC-P/O</v>
          </cell>
          <cell r="J1368" t="str">
            <v>BRACKET ENGINE</v>
          </cell>
          <cell r="K1368">
            <v>0</v>
          </cell>
          <cell r="M1368" t="str">
            <v>SPHC-P/O</v>
          </cell>
          <cell r="N1368" t="str">
            <v>BRACKET ENGINE</v>
          </cell>
          <cell r="O1368">
            <v>0</v>
          </cell>
          <cell r="R1368">
            <v>200</v>
          </cell>
        </row>
        <row r="1369">
          <cell r="A1369" t="str">
            <v>32029-1943-2</v>
          </cell>
          <cell r="B1369" t="str">
            <v>2.0 x 97 x 1219</v>
          </cell>
          <cell r="C1369">
            <v>2</v>
          </cell>
          <cell r="D1369">
            <v>97</v>
          </cell>
          <cell r="E1369">
            <v>1219</v>
          </cell>
          <cell r="F1369">
            <v>1.8564150999999998</v>
          </cell>
          <cell r="G1369">
            <v>18</v>
          </cell>
          <cell r="I1369" t="str">
            <v>SPHC-P/O</v>
          </cell>
          <cell r="J1369" t="str">
            <v>BRACKET ENGINE</v>
          </cell>
          <cell r="K1369">
            <v>0</v>
          </cell>
          <cell r="M1369" t="str">
            <v>SPHC-P/O</v>
          </cell>
          <cell r="N1369" t="str">
            <v>BRACKET ENGINE</v>
          </cell>
          <cell r="O1369">
            <v>0</v>
          </cell>
          <cell r="R1369">
            <v>200</v>
          </cell>
        </row>
        <row r="1370">
          <cell r="A1370">
            <v>50134</v>
          </cell>
          <cell r="B1370" t="str">
            <v>2.3 x 111 x 1219</v>
          </cell>
          <cell r="C1370">
            <v>2.2999999999999998</v>
          </cell>
          <cell r="D1370">
            <v>111</v>
          </cell>
          <cell r="E1370">
            <v>1219</v>
          </cell>
          <cell r="F1370">
            <v>2.4430039949999998</v>
          </cell>
          <cell r="G1370">
            <v>25</v>
          </cell>
          <cell r="I1370" t="str">
            <v>JSH270C</v>
          </cell>
          <cell r="J1370" t="str">
            <v>STAY/CT RM</v>
          </cell>
          <cell r="K1370" t="str">
            <v>50134-K26H-B000-20</v>
          </cell>
          <cell r="L1370" t="str">
            <v>K26H</v>
          </cell>
          <cell r="M1370" t="str">
            <v>JSH270C</v>
          </cell>
          <cell r="N1370" t="str">
            <v>STAY/CT RM</v>
          </cell>
          <cell r="O1370" t="str">
            <v>50134-K26H-B000-20</v>
          </cell>
          <cell r="P1370" t="str">
            <v>K26H</v>
          </cell>
        </row>
        <row r="1371">
          <cell r="A1371" t="str">
            <v>cyf005</v>
          </cell>
          <cell r="B1371" t="str">
            <v>2.3 x 55 x 1183(KB)</v>
          </cell>
          <cell r="C1371">
            <v>2.2999999999999998</v>
          </cell>
          <cell r="D1371">
            <v>55</v>
          </cell>
          <cell r="E1371">
            <v>1183</v>
          </cell>
          <cell r="F1371">
            <v>1.1747485749999997</v>
          </cell>
          <cell r="G1371">
            <v>45</v>
          </cell>
          <cell r="H1371" t="str">
            <v>77005289 ใช้รหัส 30022951 (tsi)</v>
          </cell>
          <cell r="I1371" t="str">
            <v>SPH590-OD</v>
          </cell>
          <cell r="J1371" t="str">
            <v>HOLDER</v>
          </cell>
          <cell r="K1371" t="str">
            <v>13156-0101-3</v>
          </cell>
          <cell r="L1371">
            <v>0</v>
          </cell>
          <cell r="M1371" t="str">
            <v>SPH590-OD</v>
          </cell>
          <cell r="N1371" t="str">
            <v>HOLDER</v>
          </cell>
          <cell r="O1371" t="str">
            <v>13156-0101-3</v>
          </cell>
          <cell r="P1371">
            <v>0</v>
          </cell>
          <cell r="Q1371" t="str">
            <v>tsi</v>
          </cell>
        </row>
        <row r="1372">
          <cell r="A1372" t="str">
            <v>14044-0563</v>
          </cell>
          <cell r="B1372" t="str">
            <v>2.3 x 70 x 1219</v>
          </cell>
          <cell r="C1372">
            <v>2.2999999999999998</v>
          </cell>
          <cell r="D1372">
            <v>70</v>
          </cell>
          <cell r="E1372">
            <v>1219</v>
          </cell>
          <cell r="F1372">
            <v>1.5406331499999999</v>
          </cell>
          <cell r="G1372">
            <v>132</v>
          </cell>
          <cell r="I1372" t="str">
            <v>SPHC-P/O</v>
          </cell>
          <cell r="J1372" t="str">
            <v>HOLDER-CABLE</v>
          </cell>
          <cell r="K1372">
            <v>0</v>
          </cell>
          <cell r="M1372" t="str">
            <v>SPHC-P/O</v>
          </cell>
          <cell r="N1372" t="str">
            <v>HOLDER-CABLE</v>
          </cell>
          <cell r="O1372">
            <v>0</v>
          </cell>
        </row>
        <row r="1373">
          <cell r="A1373" t="str">
            <v>14044-0562</v>
          </cell>
          <cell r="B1373" t="str">
            <v>2.3 x 74 x 1219</v>
          </cell>
          <cell r="C1373">
            <v>2.2999999999999998</v>
          </cell>
          <cell r="D1373">
            <v>74</v>
          </cell>
          <cell r="E1373">
            <v>1219</v>
          </cell>
          <cell r="F1373">
            <v>1.6286693299999999</v>
          </cell>
          <cell r="G1373">
            <v>34</v>
          </cell>
          <cell r="I1373" t="str">
            <v>SPHC-P/O</v>
          </cell>
          <cell r="J1373" t="str">
            <v>HOLDER-CABLE</v>
          </cell>
          <cell r="K1373">
            <v>0</v>
          </cell>
          <cell r="M1373" t="str">
            <v>SPHC-P/O</v>
          </cell>
          <cell r="N1373" t="str">
            <v>HOLDER-CABLE</v>
          </cell>
          <cell r="O1373">
            <v>0</v>
          </cell>
        </row>
        <row r="1374">
          <cell r="A1374" t="str">
            <v>11056-1796</v>
          </cell>
          <cell r="B1374" t="str">
            <v>2.3 x 85 x 1219</v>
          </cell>
          <cell r="C1374">
            <v>2.2999999999999998</v>
          </cell>
          <cell r="D1374">
            <v>85</v>
          </cell>
          <cell r="E1374">
            <v>1219</v>
          </cell>
          <cell r="F1374">
            <v>1.8707688249999996</v>
          </cell>
          <cell r="G1374">
            <v>40</v>
          </cell>
          <cell r="I1374" t="str">
            <v>SPHC-P/O</v>
          </cell>
          <cell r="J1374" t="str">
            <v>BRACKET</v>
          </cell>
          <cell r="K1374" t="str">
            <v>13070-0733</v>
          </cell>
          <cell r="M1374" t="str">
            <v>SPHC-P/O</v>
          </cell>
          <cell r="N1374" t="str">
            <v>BRACKET</v>
          </cell>
          <cell r="O1374" t="str">
            <v>13070-0733</v>
          </cell>
        </row>
        <row r="1375">
          <cell r="A1375" t="str">
            <v>11055-0350-1</v>
          </cell>
          <cell r="B1375" t="str">
            <v>2.3 x 87 x 1219</v>
          </cell>
          <cell r="C1375">
            <v>2.2999999999999998</v>
          </cell>
          <cell r="D1375">
            <v>87</v>
          </cell>
          <cell r="E1375">
            <v>1219</v>
          </cell>
          <cell r="F1375">
            <v>1.9147869149999999</v>
          </cell>
          <cell r="G1375">
            <v>40</v>
          </cell>
          <cell r="I1375" t="str">
            <v>SPHC-P/O</v>
          </cell>
          <cell r="J1375" t="str">
            <v>BRACKET</v>
          </cell>
          <cell r="K1375" t="str">
            <v>11054-1547-5.1</v>
          </cell>
          <cell r="M1375" t="str">
            <v>SPHC-P/O</v>
          </cell>
          <cell r="N1375" t="str">
            <v>BRACKET</v>
          </cell>
          <cell r="O1375" t="str">
            <v>11054-1547-5.1</v>
          </cell>
        </row>
        <row r="1376">
          <cell r="A1376" t="str">
            <v>11055-0351-1</v>
          </cell>
          <cell r="B1376" t="str">
            <v>2.3 x 87 x 1219</v>
          </cell>
          <cell r="C1376">
            <v>2.2999999999999998</v>
          </cell>
          <cell r="D1376">
            <v>87</v>
          </cell>
          <cell r="E1376">
            <v>1219</v>
          </cell>
          <cell r="F1376">
            <v>1.9147869149999999</v>
          </cell>
          <cell r="G1376">
            <v>40</v>
          </cell>
          <cell r="I1376" t="str">
            <v>SPHC-P/O</v>
          </cell>
          <cell r="J1376" t="str">
            <v>BRACKET</v>
          </cell>
          <cell r="K1376" t="str">
            <v>11054-1547-6.1</v>
          </cell>
          <cell r="M1376" t="str">
            <v>SPHC-P/O</v>
          </cell>
          <cell r="N1376" t="str">
            <v>BRACKET</v>
          </cell>
          <cell r="O1376" t="str">
            <v>11054-1547-6.1</v>
          </cell>
        </row>
        <row r="1377">
          <cell r="A1377" t="str">
            <v>11056-0875-1</v>
          </cell>
          <cell r="B1377" t="str">
            <v>3.2 x 102 x 1219</v>
          </cell>
          <cell r="C1377">
            <v>3.2</v>
          </cell>
          <cell r="D1377">
            <v>102</v>
          </cell>
          <cell r="E1377">
            <v>1219</v>
          </cell>
          <cell r="F1377">
            <v>3.1233705600000001</v>
          </cell>
          <cell r="G1377">
            <v>25</v>
          </cell>
          <cell r="I1377" t="str">
            <v>SPHC-P/O</v>
          </cell>
          <cell r="J1377" t="str">
            <v>BRACKET (102 mm)</v>
          </cell>
          <cell r="K1377" t="str">
            <v>32190-5003</v>
          </cell>
          <cell r="M1377" t="str">
            <v>SPHC-P/O</v>
          </cell>
          <cell r="N1377" t="str">
            <v>BRACKET (102 mm)</v>
          </cell>
          <cell r="O1377" t="str">
            <v>32190-5003</v>
          </cell>
        </row>
        <row r="1378">
          <cell r="A1378" t="str">
            <v>11056-0876-1</v>
          </cell>
          <cell r="B1378" t="str">
            <v>3.2 x 105 x 1219</v>
          </cell>
          <cell r="C1378">
            <v>3.2</v>
          </cell>
          <cell r="D1378">
            <v>105</v>
          </cell>
          <cell r="E1378">
            <v>1219</v>
          </cell>
          <cell r="F1378">
            <v>3.2152343999999999</v>
          </cell>
          <cell r="G1378">
            <v>22</v>
          </cell>
          <cell r="I1378" t="str">
            <v>SPHC-P/O</v>
          </cell>
          <cell r="J1378" t="str">
            <v>BRACKET (105 mm)</v>
          </cell>
          <cell r="K1378" t="str">
            <v>32190-5003</v>
          </cell>
          <cell r="M1378" t="str">
            <v>SPHC-P/O</v>
          </cell>
          <cell r="N1378" t="str">
            <v>BRACKET (105 mm)</v>
          </cell>
          <cell r="O1378" t="str">
            <v>32190-5003</v>
          </cell>
        </row>
        <row r="1379">
          <cell r="A1379" t="str">
            <v>13272-0833</v>
          </cell>
          <cell r="B1379" t="str">
            <v>3.2 x 50 x 1219</v>
          </cell>
          <cell r="C1379">
            <v>3.2</v>
          </cell>
          <cell r="D1379">
            <v>50</v>
          </cell>
          <cell r="E1379">
            <v>1219</v>
          </cell>
          <cell r="F1379">
            <v>1.531064</v>
          </cell>
          <cell r="G1379">
            <v>33</v>
          </cell>
          <cell r="I1379" t="str">
            <v>SPHC-P/O</v>
          </cell>
          <cell r="J1379" t="str">
            <v>PLATE</v>
          </cell>
          <cell r="K1379">
            <v>0</v>
          </cell>
          <cell r="M1379" t="str">
            <v>SPHC-P/O</v>
          </cell>
          <cell r="N1379" t="str">
            <v>PLATE</v>
          </cell>
          <cell r="O1379">
            <v>0</v>
          </cell>
        </row>
        <row r="1380">
          <cell r="A1380" t="str">
            <v>cyf027</v>
          </cell>
          <cell r="B1380" t="str">
            <v>3.2 x 57+/-0.5 x 1219</v>
          </cell>
          <cell r="C1380">
            <v>3.2</v>
          </cell>
          <cell r="D1380">
            <v>57</v>
          </cell>
          <cell r="E1380">
            <v>1219</v>
          </cell>
          <cell r="F1380">
            <v>1.7454129599999999</v>
          </cell>
          <cell r="G1380">
            <v>30</v>
          </cell>
          <cell r="H1380" t="str">
            <v>ใช้รหัส 77005504 ผ่าน tsgp (30017491-4)</v>
          </cell>
          <cell r="I1380" t="str">
            <v>SPHC-P/O</v>
          </cell>
          <cell r="J1380" t="str">
            <v>BRACKET</v>
          </cell>
          <cell r="K1380" t="str">
            <v>32036-0318 (11056-1596-1)</v>
          </cell>
          <cell r="M1380" t="str">
            <v>SPHC-P/O</v>
          </cell>
          <cell r="N1380" t="str">
            <v>BRACKET</v>
          </cell>
          <cell r="O1380" t="str">
            <v>32036-0318 (11056-1596-1)</v>
          </cell>
          <cell r="Q1380" t="str">
            <v>epc</v>
          </cell>
        </row>
        <row r="1381">
          <cell r="A1381" t="str">
            <v>11056-0847</v>
          </cell>
          <cell r="B1381" t="str">
            <v>3.2 x 66 x 1219</v>
          </cell>
          <cell r="C1381">
            <v>3.2</v>
          </cell>
          <cell r="D1381">
            <v>66</v>
          </cell>
          <cell r="E1381">
            <v>1219</v>
          </cell>
          <cell r="F1381">
            <v>2.0210044799999998</v>
          </cell>
          <cell r="G1381">
            <v>93</v>
          </cell>
          <cell r="I1381" t="str">
            <v>SPFH590</v>
          </cell>
          <cell r="J1381" t="str">
            <v>GUSSET (66 mm)</v>
          </cell>
          <cell r="K1381" t="str">
            <v>32170-0856</v>
          </cell>
          <cell r="M1381" t="str">
            <v>SPFH590</v>
          </cell>
          <cell r="N1381" t="str">
            <v>GUSSET (66 mm)</v>
          </cell>
          <cell r="O1381" t="str">
            <v>32170-0856</v>
          </cell>
        </row>
        <row r="1382">
          <cell r="A1382" t="str">
            <v>11056-1706</v>
          </cell>
          <cell r="B1382" t="str">
            <v>3.2 x 85 x 1219</v>
          </cell>
          <cell r="C1382">
            <v>3.2</v>
          </cell>
          <cell r="D1382">
            <v>85</v>
          </cell>
          <cell r="E1382">
            <v>1219</v>
          </cell>
          <cell r="F1382">
            <v>2.6028088</v>
          </cell>
          <cell r="G1382">
            <v>38</v>
          </cell>
          <cell r="I1382" t="str">
            <v>SPHC-P/O</v>
          </cell>
          <cell r="J1382" t="str">
            <v>BRACKET</v>
          </cell>
          <cell r="K1382" t="str">
            <v>35063-0836</v>
          </cell>
          <cell r="M1382" t="str">
            <v>SPHC-P/O</v>
          </cell>
          <cell r="N1382" t="str">
            <v>BRACKET</v>
          </cell>
          <cell r="O1382" t="str">
            <v>35063-0836</v>
          </cell>
        </row>
        <row r="1383">
          <cell r="A1383" t="str">
            <v>32190-0259</v>
          </cell>
          <cell r="B1383" t="str">
            <v>3.2 x 89.5 x 1219</v>
          </cell>
          <cell r="C1383">
            <v>3.2</v>
          </cell>
          <cell r="D1383">
            <v>89.5</v>
          </cell>
          <cell r="E1383">
            <v>1219</v>
          </cell>
          <cell r="F1383">
            <v>2.74060456</v>
          </cell>
          <cell r="G1383">
            <v>20</v>
          </cell>
          <cell r="I1383" t="str">
            <v>SPHC-P/O</v>
          </cell>
          <cell r="J1383" t="str">
            <v>BRACKET-ENGINE</v>
          </cell>
          <cell r="K1383" t="str">
            <v>32190-0258-1</v>
          </cell>
          <cell r="M1383" t="str">
            <v>SPHC-P/O</v>
          </cell>
          <cell r="N1383" t="str">
            <v>BRACKET-ENGINE</v>
          </cell>
          <cell r="O1383" t="str">
            <v>32190-0258-1</v>
          </cell>
        </row>
        <row r="1384">
          <cell r="A1384" t="str">
            <v>32190-0258-1</v>
          </cell>
          <cell r="B1384" t="str">
            <v>3.2 x 89.5 x 1219</v>
          </cell>
          <cell r="C1384">
            <v>3.2</v>
          </cell>
          <cell r="D1384">
            <v>89.5</v>
          </cell>
          <cell r="E1384">
            <v>1219</v>
          </cell>
          <cell r="F1384">
            <v>2.74060456</v>
          </cell>
          <cell r="G1384">
            <v>20</v>
          </cell>
          <cell r="I1384" t="str">
            <v>SPHC-P/O</v>
          </cell>
          <cell r="J1384" t="str">
            <v>BRACKET-ENGINE</v>
          </cell>
          <cell r="K1384" t="str">
            <v>32190-0258-1</v>
          </cell>
          <cell r="M1384" t="str">
            <v>SPHC-P/O</v>
          </cell>
          <cell r="N1384" t="str">
            <v>BRACKET-ENGINE</v>
          </cell>
          <cell r="O1384" t="str">
            <v>32190-0258-1</v>
          </cell>
        </row>
        <row r="1385">
          <cell r="A1385" t="str">
            <v>13280-0810</v>
          </cell>
          <cell r="B1385" t="str">
            <v>4.5 x 75 x 1219</v>
          </cell>
          <cell r="C1385">
            <v>4.5</v>
          </cell>
          <cell r="D1385">
            <v>75</v>
          </cell>
          <cell r="E1385">
            <v>1219</v>
          </cell>
          <cell r="F1385">
            <v>3.2295881249999998</v>
          </cell>
          <cell r="G1385">
            <v>39</v>
          </cell>
          <cell r="I1385" t="str">
            <v>SS400</v>
          </cell>
          <cell r="J1385" t="str">
            <v>HOLDER</v>
          </cell>
          <cell r="K1385" t="str">
            <v>34003-0147/0148</v>
          </cell>
          <cell r="M1385" t="str">
            <v>SS400</v>
          </cell>
          <cell r="N1385" t="str">
            <v>HOLDER</v>
          </cell>
          <cell r="O1385" t="str">
            <v>34003-0147/0148</v>
          </cell>
        </row>
        <row r="1386">
          <cell r="A1386" t="str">
            <v>11056-1707</v>
          </cell>
          <cell r="B1386" t="str">
            <v>4.5 x 77 x 1219</v>
          </cell>
          <cell r="C1386">
            <v>4.5</v>
          </cell>
          <cell r="D1386">
            <v>77</v>
          </cell>
          <cell r="E1386">
            <v>1219</v>
          </cell>
          <cell r="F1386">
            <v>3.3157104749999995</v>
          </cell>
          <cell r="G1386">
            <v>32</v>
          </cell>
          <cell r="I1386" t="str">
            <v>SPHC-P/O</v>
          </cell>
          <cell r="J1386" t="str">
            <v>BRACKET</v>
          </cell>
          <cell r="K1386" t="str">
            <v>35063-0836</v>
          </cell>
          <cell r="M1386" t="str">
            <v>SPHC-P/O</v>
          </cell>
          <cell r="N1386" t="str">
            <v>BRACKET</v>
          </cell>
          <cell r="O1386" t="str">
            <v>35063-0836</v>
          </cell>
        </row>
        <row r="1387">
          <cell r="A1387" t="str">
            <v>11056-1708</v>
          </cell>
          <cell r="B1387" t="str">
            <v>4.5 x 77 x 1219</v>
          </cell>
          <cell r="C1387">
            <v>4.5</v>
          </cell>
          <cell r="D1387">
            <v>77</v>
          </cell>
          <cell r="E1387">
            <v>1219</v>
          </cell>
          <cell r="F1387">
            <v>3.3157104749999995</v>
          </cell>
          <cell r="G1387">
            <v>32</v>
          </cell>
          <cell r="I1387" t="str">
            <v>SPHC-P/O</v>
          </cell>
          <cell r="J1387" t="str">
            <v>BRACKET</v>
          </cell>
          <cell r="K1387" t="str">
            <v>35063-0837</v>
          </cell>
          <cell r="M1387" t="str">
            <v>SPHC-P/O</v>
          </cell>
          <cell r="N1387" t="str">
            <v>BRACKET</v>
          </cell>
          <cell r="O1387" t="str">
            <v>35063-0837</v>
          </cell>
        </row>
        <row r="1388">
          <cell r="A1388" t="str">
            <v>11055-0290</v>
          </cell>
          <cell r="B1388" t="str">
            <v>1.6 x 99 x 1219</v>
          </cell>
          <cell r="C1388">
            <v>1.6</v>
          </cell>
          <cell r="D1388">
            <v>99</v>
          </cell>
          <cell r="E1388">
            <v>1219</v>
          </cell>
          <cell r="F1388">
            <v>1.5157533599999999</v>
          </cell>
          <cell r="G1388">
            <v>54</v>
          </cell>
          <cell r="I1388" t="str">
            <v>SPHC-P/O</v>
          </cell>
          <cell r="J1388" t="str">
            <v>BRACKET</v>
          </cell>
          <cell r="K1388" t="str">
            <v>11055-0291-2</v>
          </cell>
          <cell r="M1388" t="str">
            <v>SPHC-P/O</v>
          </cell>
          <cell r="N1388" t="str">
            <v>BRACKET</v>
          </cell>
          <cell r="O1388" t="str">
            <v>11055-0291-2</v>
          </cell>
        </row>
        <row r="1389">
          <cell r="A1389" t="str">
            <v>32155-5005/32155-5008-2</v>
          </cell>
          <cell r="B1389" t="str">
            <v>1.2 x 54 x 1219</v>
          </cell>
          <cell r="C1389">
            <v>1.2</v>
          </cell>
          <cell r="D1389">
            <v>54</v>
          </cell>
          <cell r="E1389">
            <v>1219</v>
          </cell>
          <cell r="F1389">
            <v>0.62008091999999992</v>
          </cell>
          <cell r="G1389">
            <v>84</v>
          </cell>
          <cell r="I1389" t="str">
            <v>SPCC-SD</v>
          </cell>
          <cell r="J1389" t="str">
            <v>STIPPER</v>
          </cell>
          <cell r="K1389">
            <v>0</v>
          </cell>
          <cell r="M1389" t="str">
            <v>SPCC-SD</v>
          </cell>
          <cell r="N1389" t="str">
            <v>STIPPER</v>
          </cell>
          <cell r="O1389">
            <v>0</v>
          </cell>
        </row>
        <row r="1390">
          <cell r="A1390" t="str">
            <v>ชิมงาน Swage</v>
          </cell>
        </row>
        <row r="1391">
          <cell r="A1391" t="str">
            <v>s001</v>
          </cell>
          <cell r="B1391" t="str">
            <v>1.0 x 58 x 1219</v>
          </cell>
          <cell r="C1391">
            <v>1</v>
          </cell>
          <cell r="D1391">
            <v>58</v>
          </cell>
          <cell r="E1391">
            <v>1219</v>
          </cell>
          <cell r="F1391">
            <v>0.55501069999999997</v>
          </cell>
          <cell r="I1391" t="str">
            <v>SPCC-SD</v>
          </cell>
          <cell r="J1391" t="str">
            <v>Swage1</v>
          </cell>
          <cell r="M1391" t="str">
            <v>SPCC-SD</v>
          </cell>
          <cell r="N1391" t="str">
            <v>Swage1</v>
          </cell>
        </row>
        <row r="1392">
          <cell r="A1392" t="str">
            <v>s002</v>
          </cell>
          <cell r="B1392" t="str">
            <v>1.2 x 58 x 1219</v>
          </cell>
          <cell r="C1392">
            <v>1.2</v>
          </cell>
          <cell r="D1392">
            <v>58</v>
          </cell>
          <cell r="E1392">
            <v>1219</v>
          </cell>
          <cell r="F1392">
            <v>0.66601283999999994</v>
          </cell>
          <cell r="I1392" t="str">
            <v>SPCC-SD</v>
          </cell>
          <cell r="J1392" t="str">
            <v>Swage2</v>
          </cell>
          <cell r="M1392" t="str">
            <v>SPCC-SD</v>
          </cell>
          <cell r="N1392" t="str">
            <v>Swage2</v>
          </cell>
        </row>
        <row r="1393">
          <cell r="A1393" t="str">
            <v>s003</v>
          </cell>
          <cell r="B1393" t="str">
            <v>1.6 x 58 x 1219</v>
          </cell>
          <cell r="C1393">
            <v>1.6</v>
          </cell>
          <cell r="D1393">
            <v>58</v>
          </cell>
          <cell r="E1393">
            <v>1219</v>
          </cell>
          <cell r="F1393">
            <v>0.88801711999999999</v>
          </cell>
          <cell r="I1393" t="str">
            <v>SPHC-P/O</v>
          </cell>
          <cell r="J1393" t="str">
            <v>Swage3</v>
          </cell>
          <cell r="M1393" t="str">
            <v>SPHC-P/O</v>
          </cell>
          <cell r="N1393" t="str">
            <v>Swage3</v>
          </cell>
        </row>
        <row r="1394">
          <cell r="A1394" t="str">
            <v>s004</v>
          </cell>
          <cell r="B1394" t="str">
            <v>2.0 x 58 x 1219</v>
          </cell>
          <cell r="C1394">
            <v>2</v>
          </cell>
          <cell r="D1394">
            <v>58</v>
          </cell>
          <cell r="E1394">
            <v>1219</v>
          </cell>
          <cell r="F1394">
            <v>1.1100213999999999</v>
          </cell>
          <cell r="I1394" t="str">
            <v>SPHC-P/O</v>
          </cell>
          <cell r="J1394" t="str">
            <v>Swage4</v>
          </cell>
          <cell r="M1394" t="str">
            <v>SPHC-P/O</v>
          </cell>
          <cell r="N1394" t="str">
            <v>Swage4</v>
          </cell>
        </row>
        <row r="1395">
          <cell r="A1395" t="str">
            <v>s005</v>
          </cell>
          <cell r="B1395" t="str">
            <v>2.3 x 58 x 1219</v>
          </cell>
          <cell r="C1395">
            <v>2.2999999999999998</v>
          </cell>
          <cell r="D1395">
            <v>58</v>
          </cell>
          <cell r="E1395">
            <v>1219</v>
          </cell>
          <cell r="F1395">
            <v>1.2765246099999998</v>
          </cell>
          <cell r="I1395" t="str">
            <v>SPHC-P/O</v>
          </cell>
          <cell r="J1395" t="str">
            <v>Swage5</v>
          </cell>
          <cell r="M1395" t="str">
            <v>SPHC-P/O</v>
          </cell>
          <cell r="N1395" t="str">
            <v>Swage5</v>
          </cell>
        </row>
        <row r="1396">
          <cell r="A1396" t="str">
            <v>s006</v>
          </cell>
          <cell r="B1396" t="str">
            <v>2.6 x 58 x 1219</v>
          </cell>
          <cell r="C1396">
            <v>2.6</v>
          </cell>
          <cell r="D1396">
            <v>58</v>
          </cell>
          <cell r="E1396">
            <v>1219</v>
          </cell>
          <cell r="F1396">
            <v>1.44302782</v>
          </cell>
          <cell r="I1396" t="str">
            <v>SPHC-P/O</v>
          </cell>
          <cell r="J1396" t="str">
            <v>Swage6</v>
          </cell>
          <cell r="M1396" t="str">
            <v>SPHC-P/O</v>
          </cell>
          <cell r="N1396" t="str">
            <v>Swage6</v>
          </cell>
        </row>
        <row r="1397">
          <cell r="A1397" t="str">
            <v>s007</v>
          </cell>
          <cell r="B1397" t="str">
            <v>1.6 x 57 x 1219</v>
          </cell>
          <cell r="C1397">
            <v>1.6</v>
          </cell>
          <cell r="D1397">
            <v>57</v>
          </cell>
          <cell r="E1397">
            <v>1219</v>
          </cell>
          <cell r="F1397">
            <v>0.87270647999999995</v>
          </cell>
          <cell r="I1397" t="str">
            <v>SPHC-P/O</v>
          </cell>
          <cell r="J1397" t="str">
            <v>Swage3</v>
          </cell>
          <cell r="M1397" t="str">
            <v>SPHC-P/O</v>
          </cell>
          <cell r="N1397" t="str">
            <v>Swage3</v>
          </cell>
        </row>
        <row r="1398">
          <cell r="A1398" t="str">
            <v>ชิมงาน Laser</v>
          </cell>
        </row>
        <row r="1399">
          <cell r="A1399" t="str">
            <v>l001</v>
          </cell>
          <cell r="B1399" t="str">
            <v>4.5 x 1220 x 2440</v>
          </cell>
          <cell r="C1399">
            <v>1.5</v>
          </cell>
          <cell r="D1399">
            <v>1220</v>
          </cell>
          <cell r="E1399">
            <v>2440</v>
          </cell>
          <cell r="F1399">
            <v>35.051819999999999</v>
          </cell>
          <cell r="G1399">
            <v>775</v>
          </cell>
          <cell r="I1399" t="str">
            <v>SS400</v>
          </cell>
          <cell r="M1399" t="str">
            <v>SS400</v>
          </cell>
        </row>
        <row r="1402">
          <cell r="A1402" t="str">
            <v>ยกเลิกผลิต</v>
          </cell>
        </row>
        <row r="1403">
          <cell r="A1403" t="str">
            <v>ชิ้นงาน ISUZU</v>
          </cell>
        </row>
        <row r="1404">
          <cell r="A1404" t="str">
            <v>T901100010</v>
          </cell>
          <cell r="B1404" t="str">
            <v>3.2 x 119 x 1219</v>
          </cell>
          <cell r="C1404">
            <v>3.2</v>
          </cell>
          <cell r="D1404">
            <v>119</v>
          </cell>
          <cell r="E1404">
            <v>1219</v>
          </cell>
          <cell r="F1404">
            <v>3.6439323199999998</v>
          </cell>
          <cell r="G1404">
            <v>48</v>
          </cell>
          <cell r="I1404" t="str">
            <v>SS400</v>
          </cell>
          <cell r="J1404" t="str">
            <v>BRKT CLIP</v>
          </cell>
          <cell r="K1404" t="str">
            <v>T901100010</v>
          </cell>
          <cell r="L1404" t="str">
            <v>I</v>
          </cell>
          <cell r="M1404" t="str">
            <v>SS400</v>
          </cell>
          <cell r="N1404" t="str">
            <v>BRKT CLIP</v>
          </cell>
          <cell r="O1404" t="str">
            <v>T901100010</v>
          </cell>
          <cell r="P1404" t="str">
            <v>I</v>
          </cell>
        </row>
        <row r="1405">
          <cell r="A1405" t="str">
            <v>T910100010</v>
          </cell>
          <cell r="B1405" t="str">
            <v>1.6 x 30 x 560</v>
          </cell>
          <cell r="C1405">
            <v>1.6</v>
          </cell>
          <cell r="D1405">
            <v>30</v>
          </cell>
          <cell r="E1405">
            <v>560</v>
          </cell>
          <cell r="F1405">
            <v>0.211008</v>
          </cell>
          <cell r="G1405">
            <v>1</v>
          </cell>
          <cell r="I1405" t="str">
            <v>SPHC</v>
          </cell>
          <cell r="J1405" t="str">
            <v>PLATE MUD FLAP INNER</v>
          </cell>
          <cell r="K1405" t="str">
            <v>550203-0460</v>
          </cell>
          <cell r="L1405" t="str">
            <v>I</v>
          </cell>
          <cell r="M1405" t="str">
            <v>SPHC</v>
          </cell>
          <cell r="N1405" t="str">
            <v>PLATE MUD FLAP INNER</v>
          </cell>
          <cell r="O1405" t="str">
            <v>550203-0460</v>
          </cell>
          <cell r="P1405" t="str">
            <v>I</v>
          </cell>
          <cell r="R1405">
            <v>400</v>
          </cell>
        </row>
        <row r="1406">
          <cell r="A1406" t="str">
            <v>T911100090</v>
          </cell>
          <cell r="B1406" t="str">
            <v>4.5 x 112 x 1219</v>
          </cell>
          <cell r="C1406">
            <v>4.5</v>
          </cell>
          <cell r="D1406">
            <v>112</v>
          </cell>
          <cell r="E1406">
            <v>1219</v>
          </cell>
          <cell r="F1406">
            <v>4.8228515999999999</v>
          </cell>
          <cell r="G1406">
            <v>30</v>
          </cell>
          <cell r="I1406" t="str">
            <v>SS400</v>
          </cell>
          <cell r="J1406" t="str">
            <v>BRKT CUSHION RUBBER,FT</v>
          </cell>
          <cell r="K1406" t="str">
            <v>550708-044A</v>
          </cell>
          <cell r="L1406" t="str">
            <v>I</v>
          </cell>
          <cell r="M1406" t="str">
            <v>SS400</v>
          </cell>
          <cell r="N1406" t="str">
            <v>BRKT CUSHION RUBBER,FT</v>
          </cell>
          <cell r="O1406" t="str">
            <v>550708-044A</v>
          </cell>
          <cell r="P1406" t="str">
            <v>I</v>
          </cell>
        </row>
        <row r="1407">
          <cell r="A1407" t="str">
            <v>T911100240</v>
          </cell>
          <cell r="B1407" t="str">
            <v>3.2 x 154 x 1219</v>
          </cell>
          <cell r="C1407">
            <v>3.2</v>
          </cell>
          <cell r="D1407">
            <v>154</v>
          </cell>
          <cell r="E1407">
            <v>1219</v>
          </cell>
          <cell r="F1407">
            <v>4.7156771200000005</v>
          </cell>
          <cell r="G1407">
            <v>40</v>
          </cell>
          <cell r="I1407" t="str">
            <v>SS400</v>
          </cell>
          <cell r="J1407" t="str">
            <v>BRKT CLIP HARNESS</v>
          </cell>
          <cell r="K1407" t="str">
            <v>550910-018A</v>
          </cell>
          <cell r="L1407" t="str">
            <v>I</v>
          </cell>
          <cell r="M1407" t="str">
            <v>SS400</v>
          </cell>
          <cell r="N1407" t="str">
            <v>BRKT CLIP HARNESS</v>
          </cell>
          <cell r="O1407" t="str">
            <v>550910-018A</v>
          </cell>
          <cell r="P1407" t="str">
            <v>I</v>
          </cell>
        </row>
        <row r="1408">
          <cell r="A1408" t="str">
            <v>T911100390</v>
          </cell>
          <cell r="B1408" t="str">
            <v>3.2 x 55 x 1219</v>
          </cell>
          <cell r="C1408">
            <v>3.2</v>
          </cell>
          <cell r="D1408">
            <v>55</v>
          </cell>
          <cell r="E1408">
            <v>1219</v>
          </cell>
          <cell r="F1408">
            <v>1.6841704</v>
          </cell>
          <cell r="G1408">
            <v>15</v>
          </cell>
          <cell r="I1408" t="str">
            <v>SS400</v>
          </cell>
          <cell r="J1408" t="str">
            <v>BRLT CLIP NYLON TUBE</v>
          </cell>
          <cell r="K1408" t="str">
            <v>551004-029A</v>
          </cell>
          <cell r="L1408" t="str">
            <v>I</v>
          </cell>
          <cell r="M1408" t="str">
            <v>SS400</v>
          </cell>
          <cell r="N1408" t="str">
            <v>BRLT CLIP NYLON TUBE</v>
          </cell>
          <cell r="O1408" t="str">
            <v>551004-029A</v>
          </cell>
          <cell r="P1408" t="str">
            <v>I</v>
          </cell>
        </row>
        <row r="1409">
          <cell r="A1409" t="str">
            <v>T911100410</v>
          </cell>
          <cell r="B1409" t="str">
            <v>3.2 x 74 x 1219</v>
          </cell>
          <cell r="C1409">
            <v>3.2</v>
          </cell>
          <cell r="D1409">
            <v>74</v>
          </cell>
          <cell r="E1409">
            <v>1219</v>
          </cell>
          <cell r="F1409">
            <v>2.26597472</v>
          </cell>
          <cell r="G1409">
            <v>30</v>
          </cell>
          <cell r="I1409" t="str">
            <v>SS400</v>
          </cell>
          <cell r="J1409" t="str">
            <v>BRKT CLIP CONNECTOR</v>
          </cell>
          <cell r="K1409" t="str">
            <v>551004-031A</v>
          </cell>
          <cell r="L1409" t="str">
            <v>I</v>
          </cell>
          <cell r="M1409" t="str">
            <v>SS400</v>
          </cell>
          <cell r="N1409" t="str">
            <v>BRKT CLIP CONNECTOR</v>
          </cell>
          <cell r="O1409" t="str">
            <v>551004-031A</v>
          </cell>
          <cell r="P1409" t="str">
            <v>I</v>
          </cell>
        </row>
        <row r="1410">
          <cell r="A1410" t="str">
            <v>T911100830</v>
          </cell>
          <cell r="B1410" t="str">
            <v>3.2 x 58 x 600</v>
          </cell>
          <cell r="C1410">
            <v>3.2</v>
          </cell>
          <cell r="D1410">
            <v>58</v>
          </cell>
          <cell r="E1410">
            <v>600</v>
          </cell>
          <cell r="F1410">
            <v>0.87417600000000006</v>
          </cell>
          <cell r="G1410">
            <v>1</v>
          </cell>
          <cell r="I1410" t="str">
            <v>SS400</v>
          </cell>
          <cell r="J1410" t="str">
            <v>STAY SIDE GUARD</v>
          </cell>
          <cell r="K1410" t="str">
            <v>550808-057A</v>
          </cell>
          <cell r="L1410" t="str">
            <v>I</v>
          </cell>
          <cell r="M1410" t="str">
            <v>SS400</v>
          </cell>
          <cell r="N1410" t="str">
            <v>STAY SIDE GUARD</v>
          </cell>
          <cell r="O1410" t="str">
            <v>550808-057A</v>
          </cell>
          <cell r="P1410" t="str">
            <v>I</v>
          </cell>
          <cell r="R1410">
            <v>400</v>
          </cell>
        </row>
        <row r="1411">
          <cell r="A1411" t="str">
            <v>T912100160</v>
          </cell>
          <cell r="B1411" t="str">
            <v>2.3 x 65 x 1219</v>
          </cell>
          <cell r="C1411">
            <v>2.2999999999999998</v>
          </cell>
          <cell r="D1411">
            <v>65</v>
          </cell>
          <cell r="E1411">
            <v>1219</v>
          </cell>
          <cell r="F1411">
            <v>1.430587925</v>
          </cell>
          <cell r="G1411">
            <v>40</v>
          </cell>
          <cell r="I1411" t="str">
            <v>SS400</v>
          </cell>
          <cell r="J1411" t="str">
            <v>BRKT CLIP HARNESS</v>
          </cell>
          <cell r="K1411" t="str">
            <v>550801-029A</v>
          </cell>
          <cell r="L1411" t="str">
            <v>I</v>
          </cell>
          <cell r="M1411" t="str">
            <v>SS400</v>
          </cell>
          <cell r="N1411" t="str">
            <v>BRKT CLIP HARNESS</v>
          </cell>
          <cell r="O1411" t="str">
            <v>550801-029A</v>
          </cell>
          <cell r="P1411" t="str">
            <v>I</v>
          </cell>
        </row>
        <row r="1412">
          <cell r="A1412" t="str">
            <v>CASH</v>
          </cell>
        </row>
        <row r="1413">
          <cell r="A1413" t="str">
            <v>CASH005</v>
          </cell>
          <cell r="B1413" t="str">
            <v>2.0 x 244 x 1219</v>
          </cell>
          <cell r="C1413">
            <v>2</v>
          </cell>
          <cell r="D1413">
            <v>244</v>
          </cell>
          <cell r="E1413">
            <v>1219</v>
          </cell>
          <cell r="F1413">
            <v>4.6697452000000004</v>
          </cell>
          <cell r="G1413">
            <v>19</v>
          </cell>
          <cell r="I1413" t="str">
            <v>SPCC-SD</v>
          </cell>
          <cell r="J1413" t="str">
            <v>STAY FR. FENDER (ratio-cash 18)</v>
          </cell>
          <cell r="K1413" t="str">
            <v>61101-KBA-9000</v>
          </cell>
          <cell r="L1413" t="str">
            <v>KBA</v>
          </cell>
          <cell r="M1413" t="str">
            <v>SPCC-SD</v>
          </cell>
          <cell r="N1413" t="str">
            <v>STAY FR. FENDER (ratio-cash 18)</v>
          </cell>
          <cell r="O1413" t="str">
            <v>61101-KBA-9000</v>
          </cell>
          <cell r="P1413" t="str">
            <v>KBA</v>
          </cell>
        </row>
        <row r="1414">
          <cell r="A1414" t="str">
            <v>CASH010</v>
          </cell>
          <cell r="B1414" t="str">
            <v>1.6 x 71 x 1219</v>
          </cell>
          <cell r="C1414">
            <v>1.6</v>
          </cell>
          <cell r="D1414">
            <v>71</v>
          </cell>
          <cell r="E1414">
            <v>1219</v>
          </cell>
          <cell r="F1414">
            <v>1.0870554400000001</v>
          </cell>
          <cell r="G1414">
            <v>52</v>
          </cell>
          <cell r="I1414" t="str">
            <v>SPHC-P/O</v>
          </cell>
          <cell r="J1414" t="str">
            <v>BRKT 1158 (HOLDER BRAKE HOSE 4)</v>
          </cell>
          <cell r="K1414" t="str">
            <v>5YP-F1158-00</v>
          </cell>
          <cell r="L1414" t="str">
            <v>5YP</v>
          </cell>
          <cell r="M1414" t="str">
            <v>SPHC-P/O</v>
          </cell>
          <cell r="N1414" t="str">
            <v>BRKT 1158 (HOLDER BRAKE HOSE 4)</v>
          </cell>
          <cell r="O1414" t="str">
            <v>5YP-F1158-00</v>
          </cell>
          <cell r="P1414" t="str">
            <v>5YP</v>
          </cell>
        </row>
        <row r="1415">
          <cell r="A1415" t="str">
            <v>CASH011</v>
          </cell>
          <cell r="B1415" t="str">
            <v>1.6 x 70 x 1219</v>
          </cell>
          <cell r="C1415">
            <v>1.6</v>
          </cell>
          <cell r="D1415">
            <v>70</v>
          </cell>
          <cell r="E1415">
            <v>1219</v>
          </cell>
          <cell r="F1415">
            <v>1.0717448000000001</v>
          </cell>
          <cell r="G1415">
            <v>30</v>
          </cell>
          <cell r="I1415" t="str">
            <v>SPHC-P/O</v>
          </cell>
          <cell r="J1415" t="str">
            <v>STAY LOCK (5YP)</v>
          </cell>
          <cell r="K1415" t="str">
            <v>5YP-F117K-00</v>
          </cell>
          <cell r="L1415" t="str">
            <v>5YP</v>
          </cell>
          <cell r="M1415" t="str">
            <v>SPHC-P/O</v>
          </cell>
          <cell r="N1415" t="str">
            <v>STAY LOCK (5YP)</v>
          </cell>
          <cell r="O1415" t="str">
            <v>5YP-F117K-00</v>
          </cell>
          <cell r="P1415" t="str">
            <v>5YP</v>
          </cell>
        </row>
        <row r="1416">
          <cell r="A1416" t="str">
            <v>CASH012</v>
          </cell>
          <cell r="B1416" t="str">
            <v>2.0 x 121 x 1219</v>
          </cell>
          <cell r="C1416">
            <v>2</v>
          </cell>
          <cell r="D1416">
            <v>121</v>
          </cell>
          <cell r="E1416">
            <v>1219</v>
          </cell>
          <cell r="F1416">
            <v>2.3157342999999999</v>
          </cell>
          <cell r="G1416">
            <v>12</v>
          </cell>
          <cell r="I1416" t="str">
            <v>SPHC-P/O</v>
          </cell>
          <cell r="J1416" t="str">
            <v>BRKT. 4 (HING SEAT)</v>
          </cell>
          <cell r="K1416" t="str">
            <v>5YP-F475L-00</v>
          </cell>
          <cell r="L1416" t="str">
            <v>5YP</v>
          </cell>
          <cell r="M1416" t="str">
            <v>SPHC-P/O</v>
          </cell>
          <cell r="N1416" t="str">
            <v>BRKT. 4 (HING SEAT)</v>
          </cell>
          <cell r="O1416" t="str">
            <v>5YP-F475L-00</v>
          </cell>
          <cell r="P1416" t="str">
            <v>5YP</v>
          </cell>
        </row>
        <row r="1417">
          <cell r="A1417" t="str">
            <v>CASH017</v>
          </cell>
          <cell r="B1417" t="str">
            <v>1.6 x 105 x 1219</v>
          </cell>
          <cell r="C1417">
            <v>1.6</v>
          </cell>
          <cell r="D1417">
            <v>105</v>
          </cell>
          <cell r="E1417">
            <v>1219</v>
          </cell>
          <cell r="F1417">
            <v>1.6076172</v>
          </cell>
          <cell r="G1417">
            <v>19</v>
          </cell>
          <cell r="I1417" t="str">
            <v>JSC-440</v>
          </cell>
          <cell r="J1417" t="str">
            <v>ARM REST BRKT.(-73751)</v>
          </cell>
          <cell r="K1417" t="str">
            <v>JSI-73751</v>
          </cell>
          <cell r="L1417" t="str">
            <v>JSI</v>
          </cell>
          <cell r="M1417" t="str">
            <v>JSC-440</v>
          </cell>
          <cell r="N1417" t="str">
            <v>ARM REST BRKT.(-73751)</v>
          </cell>
          <cell r="O1417" t="str">
            <v>JSI-73751</v>
          </cell>
          <cell r="P1417" t="str">
            <v>JSI</v>
          </cell>
        </row>
        <row r="1418">
          <cell r="A1418" t="str">
            <v>CASH024</v>
          </cell>
          <cell r="B1418" t="str">
            <v>1.2 x 138 x 1219</v>
          </cell>
          <cell r="C1418">
            <v>1.2</v>
          </cell>
          <cell r="D1418">
            <v>138</v>
          </cell>
          <cell r="E1418">
            <v>1219</v>
          </cell>
          <cell r="F1418">
            <v>1.5846512399999999</v>
          </cell>
          <cell r="G1418">
            <v>33</v>
          </cell>
          <cell r="I1418" t="str">
            <v>SPCC-SD</v>
          </cell>
          <cell r="J1418" t="str">
            <v>HOLDER (HOLDER BRAKE HOSE 2)</v>
          </cell>
          <cell r="K1418" t="str">
            <v>5YP-F1596-00</v>
          </cell>
          <cell r="L1418" t="str">
            <v>5YP</v>
          </cell>
          <cell r="M1418" t="str">
            <v>SPCC-SD</v>
          </cell>
          <cell r="N1418" t="str">
            <v>HOLDER (HOLDER BRAKE HOSE 2)</v>
          </cell>
          <cell r="O1418" t="str">
            <v>5YP-F1596-00</v>
          </cell>
          <cell r="P1418" t="str">
            <v>5YP</v>
          </cell>
        </row>
        <row r="1419">
          <cell r="A1419" t="str">
            <v>CASH025</v>
          </cell>
          <cell r="B1419" t="str">
            <v>1.6 x 190 x 1219</v>
          </cell>
          <cell r="C1419">
            <v>1.6</v>
          </cell>
          <cell r="D1419">
            <v>190</v>
          </cell>
          <cell r="E1419">
            <v>1219</v>
          </cell>
          <cell r="F1419">
            <v>2.9090216</v>
          </cell>
          <cell r="G1419">
            <v>36</v>
          </cell>
          <cell r="I1419" t="str">
            <v>SPHC-P/O</v>
          </cell>
          <cell r="J1419" t="str">
            <v>ARM REST BRKT</v>
          </cell>
          <cell r="K1419" t="str">
            <v>JSI-16049</v>
          </cell>
          <cell r="L1419" t="str">
            <v>JSI</v>
          </cell>
          <cell r="M1419" t="str">
            <v>SPHC-P/O</v>
          </cell>
          <cell r="N1419" t="str">
            <v>ARM REST BRKT</v>
          </cell>
          <cell r="O1419" t="str">
            <v>JSI-16049</v>
          </cell>
          <cell r="P1419" t="str">
            <v>JSI</v>
          </cell>
        </row>
        <row r="1420">
          <cell r="A1420" t="str">
            <v>Cash Oder น้อย</v>
          </cell>
        </row>
        <row r="1421">
          <cell r="B1421" t="str">
            <v>1.0 x 48 x 1219</v>
          </cell>
          <cell r="C1421">
            <v>1</v>
          </cell>
          <cell r="D1421">
            <v>48</v>
          </cell>
          <cell r="E1421">
            <v>1219</v>
          </cell>
          <cell r="F1421">
            <v>0.45931919999999993</v>
          </cell>
          <cell r="G1421">
            <v>64</v>
          </cell>
          <cell r="I1421" t="str">
            <v>SPCC-SD</v>
          </cell>
          <cell r="J1421" t="str">
            <v>HOLDER COUPLER (ratio-cash 60)</v>
          </cell>
          <cell r="K1421" t="str">
            <v>32121-KYTA-9000</v>
          </cell>
          <cell r="L1421" t="str">
            <v>KYTA</v>
          </cell>
          <cell r="M1421" t="str">
            <v>SPCC-SD</v>
          </cell>
          <cell r="N1421" t="str">
            <v>HOLDER COUPLER (ratio-cash 60)</v>
          </cell>
          <cell r="O1421" t="str">
            <v>32121-KYTA-9000</v>
          </cell>
          <cell r="P1421" t="str">
            <v>KYTA</v>
          </cell>
        </row>
        <row r="1422">
          <cell r="B1422" t="str">
            <v>1.2 x 34 x 1219</v>
          </cell>
          <cell r="C1422">
            <v>1.2</v>
          </cell>
          <cell r="D1422">
            <v>34</v>
          </cell>
          <cell r="E1422">
            <v>1219</v>
          </cell>
          <cell r="F1422">
            <v>0.39042131999999996</v>
          </cell>
          <cell r="G1422">
            <v>125</v>
          </cell>
          <cell r="I1422" t="str">
            <v>SPCC-SD</v>
          </cell>
          <cell r="J1422" t="str">
            <v>COLLAR ขายเดี่ยว</v>
          </cell>
          <cell r="K1422" t="str">
            <v>5YW-F8373-00</v>
          </cell>
          <cell r="L1422" t="str">
            <v>5YW</v>
          </cell>
          <cell r="M1422" t="str">
            <v>SPCC-SD</v>
          </cell>
          <cell r="N1422" t="str">
            <v>COLLAR ขายเดี่ยว</v>
          </cell>
          <cell r="O1422" t="str">
            <v>5YW-F8373-00</v>
          </cell>
          <cell r="P1422" t="str">
            <v>5YW</v>
          </cell>
        </row>
        <row r="1423">
          <cell r="B1423" t="str">
            <v>1.2 x 180 x 1219</v>
          </cell>
          <cell r="C1423">
            <v>1.2</v>
          </cell>
          <cell r="D1423">
            <v>180</v>
          </cell>
          <cell r="E1423">
            <v>1219</v>
          </cell>
          <cell r="F1423">
            <v>2.0669363999999999</v>
          </cell>
          <cell r="G1423">
            <v>12</v>
          </cell>
          <cell r="I1423" t="str">
            <v>SPCC-SD</v>
          </cell>
          <cell r="J1423" t="str">
            <v>BRKT CONTL UNIT</v>
          </cell>
          <cell r="K1423" t="str">
            <v>08V67-SWE-B000-10</v>
          </cell>
          <cell r="L1423" t="str">
            <v>SWE</v>
          </cell>
          <cell r="M1423" t="str">
            <v>SPCC-SD</v>
          </cell>
          <cell r="N1423" t="str">
            <v>BRKT CONTL UNIT</v>
          </cell>
          <cell r="O1423" t="str">
            <v>08V67-SWE-B000-10</v>
          </cell>
          <cell r="P1423" t="str">
            <v>SWE</v>
          </cell>
        </row>
        <row r="1424">
          <cell r="B1424" t="str">
            <v>2.6 x 139 x 1219</v>
          </cell>
          <cell r="C1424">
            <v>2.6</v>
          </cell>
          <cell r="D1424">
            <v>139</v>
          </cell>
          <cell r="E1424">
            <v>1219</v>
          </cell>
          <cell r="F1424">
            <v>3.4582908100000003</v>
          </cell>
          <cell r="G1424">
            <v>17</v>
          </cell>
          <cell r="I1424" t="str">
            <v>SPCC-SD</v>
          </cell>
          <cell r="J1424" t="str">
            <v>BRKT.-B (ratio-cash 16)</v>
          </cell>
          <cell r="K1424" t="str">
            <v>B-105946</v>
          </cell>
          <cell r="L1424" t="str">
            <v>B</v>
          </cell>
          <cell r="M1424" t="str">
            <v>SPCC-SD</v>
          </cell>
          <cell r="N1424" t="str">
            <v>BRKT.-B (ratio-cash 16)</v>
          </cell>
          <cell r="O1424" t="str">
            <v>B-105946</v>
          </cell>
          <cell r="P1424" t="str">
            <v>B</v>
          </cell>
        </row>
        <row r="1425">
          <cell r="B1425" t="str">
            <v>1.0 x 23 x 1219</v>
          </cell>
          <cell r="C1425">
            <v>1</v>
          </cell>
          <cell r="D1425">
            <v>23</v>
          </cell>
          <cell r="E1425">
            <v>1219</v>
          </cell>
          <cell r="F1425">
            <v>0.22009044999999999</v>
          </cell>
          <cell r="I1425" t="str">
            <v>SPCC-SD</v>
          </cell>
          <cell r="J1425" t="str">
            <v>COLLAR (PLATE)</v>
          </cell>
          <cell r="M1425" t="str">
            <v>SPCC-SD</v>
          </cell>
          <cell r="N1425" t="str">
            <v>COLLAR (PLATE)</v>
          </cell>
        </row>
        <row r="1426">
          <cell r="B1426" t="str">
            <v>1.0 x 93 x 1219</v>
          </cell>
          <cell r="C1426">
            <v>1</v>
          </cell>
          <cell r="D1426">
            <v>93</v>
          </cell>
          <cell r="E1426">
            <v>1219</v>
          </cell>
          <cell r="F1426">
            <v>0.88993095</v>
          </cell>
          <cell r="I1426" t="str">
            <v>SPCC-SD</v>
          </cell>
          <cell r="J1426" t="str">
            <v>HOLDER BRAKE HOSE 1</v>
          </cell>
          <cell r="M1426" t="str">
            <v>SPCC-SD</v>
          </cell>
          <cell r="N1426" t="str">
            <v>HOLDER BRAKE HOSE 1</v>
          </cell>
        </row>
        <row r="1427">
          <cell r="B1427" t="str">
            <v>1.2 x 178 x 1219</v>
          </cell>
          <cell r="C1427">
            <v>1.2</v>
          </cell>
          <cell r="D1427">
            <v>178</v>
          </cell>
          <cell r="E1427">
            <v>1219</v>
          </cell>
          <cell r="F1427">
            <v>2.0439704399999998</v>
          </cell>
          <cell r="G1427">
            <v>12</v>
          </cell>
          <cell r="I1427" t="str">
            <v>SPCC-SD</v>
          </cell>
          <cell r="J1427" t="str">
            <v>BRKT COUNT UNIT</v>
          </cell>
          <cell r="K1427" t="str">
            <v>08V67-SWE-B000-10</v>
          </cell>
          <cell r="L1427" t="str">
            <v>CA</v>
          </cell>
          <cell r="M1427" t="str">
            <v>SPCC-SD</v>
          </cell>
          <cell r="N1427" t="str">
            <v>BRKT COUNT UNIT</v>
          </cell>
          <cell r="O1427" t="str">
            <v>08V67-SWE-B000-10</v>
          </cell>
          <cell r="P1427" t="str">
            <v>CA</v>
          </cell>
        </row>
        <row r="1428">
          <cell r="B1428" t="str">
            <v>2.0 x 60 x 1219</v>
          </cell>
          <cell r="C1428">
            <v>2</v>
          </cell>
          <cell r="D1428">
            <v>60</v>
          </cell>
          <cell r="E1428">
            <v>1219</v>
          </cell>
          <cell r="F1428">
            <v>1.148298</v>
          </cell>
          <cell r="I1428" t="str">
            <v>SPCC-SD</v>
          </cell>
          <cell r="J1428" t="str">
            <v>STAY A/C</v>
          </cell>
          <cell r="M1428" t="str">
            <v>SPCC-SD</v>
          </cell>
          <cell r="N1428" t="str">
            <v>STAY A/C</v>
          </cell>
        </row>
        <row r="1429">
          <cell r="B1429" t="str">
            <v>2.0 x 171 x 1219</v>
          </cell>
          <cell r="C1429">
            <v>2</v>
          </cell>
          <cell r="D1429">
            <v>171</v>
          </cell>
          <cell r="E1429">
            <v>1219</v>
          </cell>
          <cell r="F1429">
            <v>3.2726492999999999</v>
          </cell>
          <cell r="G1429">
            <v>22</v>
          </cell>
          <cell r="I1429" t="str">
            <v>SPCC-SD</v>
          </cell>
          <cell r="J1429" t="str">
            <v>STAY RR FUEL TANK</v>
          </cell>
          <cell r="K1429" t="str">
            <v>50117-KGH-9000-H1</v>
          </cell>
          <cell r="M1429" t="str">
            <v>SPCC-SD</v>
          </cell>
          <cell r="N1429" t="str">
            <v>STAY RR FUEL TANK</v>
          </cell>
          <cell r="O1429" t="str">
            <v>50117-KGH-9000-H1</v>
          </cell>
        </row>
        <row r="1430">
          <cell r="B1430" t="str">
            <v>3.2 x 92 x 1219</v>
          </cell>
          <cell r="C1430">
            <v>3.2</v>
          </cell>
          <cell r="D1430">
            <v>92</v>
          </cell>
          <cell r="E1430">
            <v>1219</v>
          </cell>
          <cell r="F1430">
            <v>2.8171577600000002</v>
          </cell>
          <cell r="I1430" t="str">
            <v>SPCC-SD</v>
          </cell>
          <cell r="J1430" t="str">
            <v>STAY R UP HANKER</v>
          </cell>
          <cell r="M1430" t="str">
            <v>SPCC-SD</v>
          </cell>
          <cell r="N1430" t="str">
            <v>STAY R UP HANKER</v>
          </cell>
        </row>
        <row r="1431">
          <cell r="B1431" t="str">
            <v>3.2 x 104 x 1219</v>
          </cell>
          <cell r="C1431">
            <v>3.2</v>
          </cell>
          <cell r="D1431">
            <v>104</v>
          </cell>
          <cell r="E1431">
            <v>1219</v>
          </cell>
          <cell r="F1431">
            <v>3.1846131200000003</v>
          </cell>
          <cell r="I1431" t="str">
            <v>SPCC-SD</v>
          </cell>
          <cell r="J1431" t="str">
            <v>STAY L UP HANKER</v>
          </cell>
          <cell r="M1431" t="str">
            <v>SPCC-SD</v>
          </cell>
          <cell r="N1431" t="str">
            <v>STAY L UP HANKER</v>
          </cell>
        </row>
        <row r="1432">
          <cell r="B1432" t="str">
            <v>3.2 x 106 x 1219</v>
          </cell>
          <cell r="C1432">
            <v>3.2</v>
          </cell>
          <cell r="D1432">
            <v>106</v>
          </cell>
          <cell r="E1432">
            <v>1219</v>
          </cell>
          <cell r="F1432">
            <v>3.24585568</v>
          </cell>
          <cell r="G1432">
            <v>22</v>
          </cell>
          <cell r="I1432" t="str">
            <v>SPCC-SD</v>
          </cell>
          <cell r="J1432" t="str">
            <v>BRKT. RR CUSH</v>
          </cell>
          <cell r="K1432" t="str">
            <v>50115-KGH-9000-H1</v>
          </cell>
          <cell r="M1432" t="str">
            <v>SPCC-SD</v>
          </cell>
          <cell r="N1432" t="str">
            <v>BRKT. RR CUSH</v>
          </cell>
          <cell r="O1432" t="str">
            <v>50115-KGH-9000-H1</v>
          </cell>
        </row>
        <row r="1433">
          <cell r="B1433" t="str">
            <v>1.0 x 98 x 1219</v>
          </cell>
          <cell r="C1433">
            <v>1</v>
          </cell>
          <cell r="D1433">
            <v>98</v>
          </cell>
          <cell r="E1433">
            <v>1219</v>
          </cell>
          <cell r="F1433">
            <v>0.93777669999999991</v>
          </cell>
          <cell r="I1433" t="str">
            <v>YSC270C-P</v>
          </cell>
          <cell r="J1433" t="str">
            <v>HOLDER BRAKE HOSE 5</v>
          </cell>
          <cell r="M1433" t="str">
            <v>YSC270C-P</v>
          </cell>
          <cell r="N1433" t="str">
            <v>HOLDER BRAKE HOSE 5</v>
          </cell>
        </row>
        <row r="1434">
          <cell r="B1434" t="str">
            <v>1.6 x 38 x 1219</v>
          </cell>
          <cell r="C1434">
            <v>1.6</v>
          </cell>
          <cell r="D1434">
            <v>38</v>
          </cell>
          <cell r="E1434">
            <v>1219</v>
          </cell>
          <cell r="F1434">
            <v>0.58180432000000004</v>
          </cell>
          <cell r="G1434">
            <v>34</v>
          </cell>
          <cell r="I1434" t="str">
            <v>SPHC-P/O</v>
          </cell>
          <cell r="J1434" t="str">
            <v>BRKT. 1 (1P7)</v>
          </cell>
          <cell r="K1434" t="str">
            <v>1P7-F7432-00</v>
          </cell>
          <cell r="L1434" t="str">
            <v>1P7</v>
          </cell>
          <cell r="M1434" t="str">
            <v>SPHC-P/O</v>
          </cell>
          <cell r="N1434" t="str">
            <v>BRKT. 1 (1P7)</v>
          </cell>
          <cell r="O1434" t="str">
            <v>1P7-F7432-00</v>
          </cell>
          <cell r="P1434" t="str">
            <v>1P7</v>
          </cell>
        </row>
        <row r="1435">
          <cell r="B1435" t="str">
            <v>1.6 x 41 x 1219</v>
          </cell>
          <cell r="C1435">
            <v>1.6</v>
          </cell>
          <cell r="D1435">
            <v>41</v>
          </cell>
          <cell r="E1435">
            <v>1219</v>
          </cell>
          <cell r="F1435">
            <v>0.62773623999999995</v>
          </cell>
          <cell r="I1435" t="str">
            <v>YSH270C-P</v>
          </cell>
          <cell r="J1435" t="str">
            <v>BRKT 2</v>
          </cell>
          <cell r="L1435" t="str">
            <v>4S3</v>
          </cell>
          <cell r="M1435" t="str">
            <v>YSH270C-P</v>
          </cell>
          <cell r="N1435" t="str">
            <v>BRKT 2</v>
          </cell>
          <cell r="P1435" t="str">
            <v>4S3</v>
          </cell>
        </row>
        <row r="1436">
          <cell r="B1436" t="str">
            <v>1.6 x 103 x 1219</v>
          </cell>
          <cell r="C1436">
            <v>1.6</v>
          </cell>
          <cell r="D1436">
            <v>103</v>
          </cell>
          <cell r="E1436">
            <v>1219</v>
          </cell>
          <cell r="F1436">
            <v>1.5769959199999999</v>
          </cell>
          <cell r="G1436">
            <v>31</v>
          </cell>
          <cell r="I1436" t="str">
            <v>SPHC-P/O</v>
          </cell>
          <cell r="J1436" t="str">
            <v>STAY LOCK (4D0)</v>
          </cell>
          <cell r="K1436" t="str">
            <v>4DO-F117K-00</v>
          </cell>
          <cell r="L1436" t="str">
            <v>4DO</v>
          </cell>
          <cell r="M1436" t="str">
            <v>SPHC-P/O</v>
          </cell>
          <cell r="N1436" t="str">
            <v>STAY LOCK (4D0)</v>
          </cell>
          <cell r="O1436" t="str">
            <v>4DO-F117K-00</v>
          </cell>
          <cell r="P1436" t="str">
            <v>4DO</v>
          </cell>
        </row>
        <row r="1437">
          <cell r="B1437" t="str">
            <v>1.6 x 138 x 1219</v>
          </cell>
          <cell r="C1437">
            <v>1.6</v>
          </cell>
          <cell r="D1437">
            <v>138</v>
          </cell>
          <cell r="E1437">
            <v>1219</v>
          </cell>
          <cell r="F1437">
            <v>2.11286832</v>
          </cell>
          <cell r="G1437">
            <v>21</v>
          </cell>
          <cell r="I1437" t="str">
            <v>SPHC-P/O</v>
          </cell>
          <cell r="J1437" t="str">
            <v>BRKT. 4 (BRKT.)</v>
          </cell>
          <cell r="K1437" t="str">
            <v>5YP-F836G-00</v>
          </cell>
          <cell r="L1437" t="str">
            <v>5YP</v>
          </cell>
          <cell r="M1437" t="str">
            <v>SPHC-P/O</v>
          </cell>
          <cell r="N1437" t="str">
            <v>BRKT. 4 (BRKT.)</v>
          </cell>
          <cell r="O1437" t="str">
            <v>5YP-F836G-00</v>
          </cell>
          <cell r="P1437" t="str">
            <v>5YP</v>
          </cell>
        </row>
        <row r="1438">
          <cell r="B1438" t="str">
            <v>2.0 x 63 x 1219</v>
          </cell>
          <cell r="C1438">
            <v>2</v>
          </cell>
          <cell r="D1438">
            <v>63</v>
          </cell>
          <cell r="E1438">
            <v>1219</v>
          </cell>
          <cell r="F1438">
            <v>1.2057129</v>
          </cell>
          <cell r="G1438">
            <v>43</v>
          </cell>
          <cell r="I1438" t="str">
            <v>SPHC-P/O</v>
          </cell>
          <cell r="J1438" t="str">
            <v>BRKT. 5 (BRKT.)</v>
          </cell>
          <cell r="K1438" t="str">
            <v>5YP-F836H-00</v>
          </cell>
          <cell r="L1438" t="str">
            <v>5YP</v>
          </cell>
          <cell r="M1438" t="str">
            <v>SPHC-P/O</v>
          </cell>
          <cell r="N1438" t="str">
            <v>BRKT. 5 (BRKT.)</v>
          </cell>
          <cell r="O1438" t="str">
            <v>5YP-F836H-00</v>
          </cell>
          <cell r="P1438" t="str">
            <v>5YP</v>
          </cell>
        </row>
        <row r="1439">
          <cell r="B1439" t="str">
            <v>2.0 x 68 x 1219</v>
          </cell>
          <cell r="C1439">
            <v>2</v>
          </cell>
          <cell r="D1439">
            <v>68</v>
          </cell>
          <cell r="E1439">
            <v>1219</v>
          </cell>
          <cell r="F1439">
            <v>1.3014044</v>
          </cell>
          <cell r="I1439" t="str">
            <v>YSH270C-P</v>
          </cell>
          <cell r="J1439" t="str">
            <v>BRKT 3</v>
          </cell>
          <cell r="L1439" t="str">
            <v>4S3</v>
          </cell>
          <cell r="M1439" t="str">
            <v>YSH270C-P</v>
          </cell>
          <cell r="N1439" t="str">
            <v>BRKT 3</v>
          </cell>
          <cell r="P1439" t="str">
            <v>4S3</v>
          </cell>
          <cell r="R1439">
            <v>200</v>
          </cell>
        </row>
        <row r="1440">
          <cell r="B1440" t="str">
            <v>3.2 x 85 x 1219</v>
          </cell>
          <cell r="C1440">
            <v>3.2</v>
          </cell>
          <cell r="D1440">
            <v>85</v>
          </cell>
          <cell r="E1440">
            <v>1219</v>
          </cell>
          <cell r="F1440">
            <v>2.6028088</v>
          </cell>
          <cell r="I1440" t="str">
            <v>YSH270C-P</v>
          </cell>
          <cell r="J1440" t="str">
            <v>PROTECTOR 1</v>
          </cell>
          <cell r="K1440" t="str">
            <v>4S3-F2825-00</v>
          </cell>
          <cell r="L1440" t="str">
            <v>4S3</v>
          </cell>
          <cell r="M1440" t="str">
            <v>YSH270C-P</v>
          </cell>
          <cell r="N1440" t="str">
            <v>PROTECTOR 1</v>
          </cell>
          <cell r="O1440" t="str">
            <v>4S3-F2825-00</v>
          </cell>
          <cell r="P1440" t="str">
            <v>4S3</v>
          </cell>
        </row>
        <row r="1441">
          <cell r="B1441" t="str">
            <v>4.0 x 54 x 1219</v>
          </cell>
          <cell r="C1441">
            <v>4</v>
          </cell>
          <cell r="D1441">
            <v>54</v>
          </cell>
          <cell r="E1441">
            <v>1219</v>
          </cell>
          <cell r="F1441">
            <v>2.0669363999999999</v>
          </cell>
          <cell r="I1441" t="str">
            <v>YSH270C-P</v>
          </cell>
          <cell r="J1441" t="str">
            <v>BRKT 1</v>
          </cell>
          <cell r="K1441" t="str">
            <v>4S3-F216B-00</v>
          </cell>
          <cell r="L1441" t="str">
            <v>4S3</v>
          </cell>
          <cell r="M1441" t="str">
            <v>YSH270C-P</v>
          </cell>
          <cell r="N1441" t="str">
            <v>BRKT 1</v>
          </cell>
          <cell r="O1441" t="str">
            <v>4S3-F216B-00</v>
          </cell>
          <cell r="P1441" t="str">
            <v>4S3</v>
          </cell>
        </row>
        <row r="1442">
          <cell r="B1442" t="str">
            <v>1.6 x 41 x 1219</v>
          </cell>
          <cell r="C1442">
            <v>1.6</v>
          </cell>
          <cell r="D1442">
            <v>41</v>
          </cell>
          <cell r="E1442">
            <v>1219</v>
          </cell>
          <cell r="F1442">
            <v>0.62773623999999995</v>
          </cell>
          <cell r="I1442" t="str">
            <v>SPHC-P/O</v>
          </cell>
          <cell r="J1442" t="str">
            <v>PLATE</v>
          </cell>
          <cell r="M1442" t="str">
            <v>SPHC-P/O</v>
          </cell>
          <cell r="N1442" t="str">
            <v>PLATE</v>
          </cell>
        </row>
        <row r="1443">
          <cell r="B1443" t="str">
            <v>1.6 x 48 x 1219</v>
          </cell>
          <cell r="C1443">
            <v>1.6</v>
          </cell>
          <cell r="D1443">
            <v>48</v>
          </cell>
          <cell r="E1443">
            <v>1219</v>
          </cell>
          <cell r="F1443">
            <v>0.73491072000000013</v>
          </cell>
          <cell r="I1443" t="str">
            <v>SPHC-P/O</v>
          </cell>
          <cell r="J1443" t="str">
            <v>PLATE 2</v>
          </cell>
          <cell r="M1443" t="str">
            <v>SPHC-P/O</v>
          </cell>
          <cell r="N1443" t="str">
            <v>PLATE 2</v>
          </cell>
        </row>
        <row r="1444">
          <cell r="B1444" t="str">
            <v>1.6 x 90 x 1219</v>
          </cell>
          <cell r="C1444">
            <v>1.6</v>
          </cell>
          <cell r="D1444">
            <v>90</v>
          </cell>
          <cell r="E1444">
            <v>1219</v>
          </cell>
          <cell r="F1444">
            <v>1.3779575999999998</v>
          </cell>
          <cell r="I1444" t="str">
            <v>SPHC-P/O</v>
          </cell>
          <cell r="J1444" t="str">
            <v>STAY PLATE</v>
          </cell>
          <cell r="M1444" t="str">
            <v>SPHC-P/O</v>
          </cell>
          <cell r="N1444" t="str">
            <v>STAY PLATE</v>
          </cell>
        </row>
        <row r="1445">
          <cell r="B1445" t="str">
            <v>1.6 x 190 x 1219</v>
          </cell>
          <cell r="C1445">
            <v>1.6</v>
          </cell>
          <cell r="D1445">
            <v>190</v>
          </cell>
          <cell r="E1445">
            <v>1219</v>
          </cell>
          <cell r="F1445">
            <v>2.9090216</v>
          </cell>
          <cell r="G1445">
            <v>36</v>
          </cell>
          <cell r="I1445" t="str">
            <v>SPHC-P/O</v>
          </cell>
          <cell r="J1445" t="str">
            <v>ARM REST BRKT. (JSI-16049)</v>
          </cell>
          <cell r="K1445" t="str">
            <v>JSI-16049</v>
          </cell>
          <cell r="L1445" t="str">
            <v>CA</v>
          </cell>
          <cell r="M1445" t="str">
            <v>SPHC-P/O</v>
          </cell>
          <cell r="N1445" t="str">
            <v>ARM REST BRKT. (JSI-16049)</v>
          </cell>
          <cell r="O1445" t="str">
            <v>JSI-16049</v>
          </cell>
          <cell r="P1445" t="str">
            <v>CA</v>
          </cell>
        </row>
        <row r="1446">
          <cell r="A1446" t="str">
            <v>ชิ้นงาน gear</v>
          </cell>
        </row>
        <row r="1447">
          <cell r="A1447" t="str">
            <v>g001</v>
          </cell>
          <cell r="B1447" t="str">
            <v>3.0 x 85 x 1219</v>
          </cell>
          <cell r="C1447">
            <v>3</v>
          </cell>
          <cell r="D1447">
            <v>85</v>
          </cell>
          <cell r="E1447">
            <v>1219</v>
          </cell>
          <cell r="F1447">
            <v>2.4401332500000001</v>
          </cell>
          <cell r="G1447">
            <v>58</v>
          </cell>
          <cell r="I1447" t="str">
            <v>SPHC-P/O</v>
          </cell>
          <cell r="J1447" t="str">
            <v>PLATE-O</v>
          </cell>
          <cell r="M1447" t="str">
            <v>SPHC-P/O</v>
          </cell>
          <cell r="N1447" t="str">
            <v>PLATE-O</v>
          </cell>
        </row>
        <row r="1448">
          <cell r="A1448" t="str">
            <v>g002</v>
          </cell>
          <cell r="B1448" t="str">
            <v>3.0 x 110 x 1219</v>
          </cell>
          <cell r="C1448">
            <v>3</v>
          </cell>
          <cell r="D1448">
            <v>110</v>
          </cell>
          <cell r="E1448">
            <v>1219</v>
          </cell>
          <cell r="F1448">
            <v>3.1578195</v>
          </cell>
          <cell r="G1448">
            <v>78</v>
          </cell>
          <cell r="I1448" t="str">
            <v>SPHC-P/O</v>
          </cell>
          <cell r="J1448" t="str">
            <v>PLATE-P</v>
          </cell>
          <cell r="M1448" t="str">
            <v>SPHC-P/O</v>
          </cell>
          <cell r="N1448" t="str">
            <v>PLATE-P</v>
          </cell>
        </row>
        <row r="1449">
          <cell r="A1449" t="str">
            <v>g003</v>
          </cell>
          <cell r="B1449" t="str">
            <v>3.0 x 90 x 1219</v>
          </cell>
          <cell r="C1449">
            <v>3</v>
          </cell>
          <cell r="D1449">
            <v>90</v>
          </cell>
          <cell r="E1449">
            <v>1219</v>
          </cell>
          <cell r="F1449">
            <v>2.5836705000000002</v>
          </cell>
          <cell r="G1449">
            <v>0</v>
          </cell>
          <cell r="I1449" t="str">
            <v>SPHC-P/O</v>
          </cell>
          <cell r="J1449" t="str">
            <v>PLATE-T</v>
          </cell>
          <cell r="M1449" t="str">
            <v>SPHC-P/O</v>
          </cell>
          <cell r="N1449" t="str">
            <v>PLATE-T</v>
          </cell>
        </row>
        <row r="1450">
          <cell r="A1450" t="str">
            <v>ชิ้นงาน BECC</v>
          </cell>
        </row>
        <row r="1451">
          <cell r="B1451" t="str">
            <v>2.5 x 285 x 1219</v>
          </cell>
          <cell r="C1451">
            <v>2.5</v>
          </cell>
          <cell r="D1451">
            <v>285</v>
          </cell>
          <cell r="E1451">
            <v>1219</v>
          </cell>
          <cell r="F1451">
            <v>6.8180193750000004</v>
          </cell>
          <cell r="G1451">
            <v>10</v>
          </cell>
          <cell r="I1451" t="str">
            <v>SGHC-QM Z27</v>
          </cell>
          <cell r="J1451" t="str">
            <v>DOOR HANDLE</v>
          </cell>
          <cell r="L1451" t="str">
            <v>E</v>
          </cell>
          <cell r="M1451" t="str">
            <v>SGHC-QM Z27</v>
          </cell>
          <cell r="N1451" t="str">
            <v>DOOR HANDLE</v>
          </cell>
          <cell r="P1451" t="str">
            <v>E</v>
          </cell>
        </row>
        <row r="1452">
          <cell r="A1452" t="str">
            <v>ชิ้นงาน INFINITY</v>
          </cell>
        </row>
        <row r="1453">
          <cell r="A1453" t="str">
            <v>RN-01-2581-03S01</v>
          </cell>
          <cell r="B1453" t="str">
            <v>1.0 x 390 x 390</v>
          </cell>
          <cell r="C1453">
            <v>1</v>
          </cell>
          <cell r="D1453">
            <v>390</v>
          </cell>
          <cell r="E1453">
            <v>390</v>
          </cell>
          <cell r="F1453">
            <v>1.1939850000000001</v>
          </cell>
          <cell r="G1453">
            <v>1</v>
          </cell>
          <cell r="I1453" t="str">
            <v>SGCDZ 27-2</v>
          </cell>
          <cell r="J1453" t="str">
            <v>O-RING (CONDENSER)</v>
          </cell>
          <cell r="K1453" t="str">
            <v>B1-2W-000138-125810302</v>
          </cell>
          <cell r="L1453">
            <v>0</v>
          </cell>
          <cell r="M1453" t="str">
            <v>SGCDZ 27-2</v>
          </cell>
          <cell r="N1453" t="str">
            <v>O-RING (CONDENSER)</v>
          </cell>
          <cell r="O1453" t="str">
            <v>B1-2W-000138-125810302</v>
          </cell>
          <cell r="P1453">
            <v>0</v>
          </cell>
        </row>
        <row r="1454">
          <cell r="A1454" t="str">
            <v>RN-01-2581-04S01</v>
          </cell>
          <cell r="B1454" t="str">
            <v>1.0 x 355 x 355</v>
          </cell>
          <cell r="C1454">
            <v>1</v>
          </cell>
          <cell r="D1454">
            <v>355</v>
          </cell>
          <cell r="E1454">
            <v>355</v>
          </cell>
          <cell r="F1454">
            <v>0.98929624999999999</v>
          </cell>
          <cell r="G1454">
            <v>1</v>
          </cell>
          <cell r="I1454" t="str">
            <v>SGCDZ 27-2</v>
          </cell>
          <cell r="J1454" t="str">
            <v>O-RING (EXHUAST)</v>
          </cell>
          <cell r="K1454" t="str">
            <v>B1-2W-000137 125810400</v>
          </cell>
          <cell r="L1454">
            <v>0</v>
          </cell>
          <cell r="M1454" t="str">
            <v>SGCDZ 27-2</v>
          </cell>
          <cell r="N1454" t="str">
            <v>O-RING (EXHUAST)</v>
          </cell>
          <cell r="O1454" t="str">
            <v>B1-2W-000137 125810400</v>
          </cell>
          <cell r="P1454">
            <v>0</v>
          </cell>
        </row>
        <row r="1456">
          <cell r="A1456" t="str">
            <v>JINKIN</v>
          </cell>
        </row>
        <row r="1457">
          <cell r="A1457" t="str">
            <v>JK01</v>
          </cell>
          <cell r="B1457" t="str">
            <v>3.0 x 46 x 1219</v>
          </cell>
          <cell r="C1457">
            <v>3</v>
          </cell>
          <cell r="D1457">
            <v>46</v>
          </cell>
          <cell r="E1457">
            <v>1219</v>
          </cell>
          <cell r="F1457">
            <v>1.3205426999999998</v>
          </cell>
          <cell r="G1457">
            <v>28</v>
          </cell>
          <cell r="I1457" t="str">
            <v>SPHC-P/O</v>
          </cell>
          <cell r="J1457" t="str">
            <v>STEEL WASHER 10.2X37.8X3 FOR AUTO ZINC1</v>
          </cell>
          <cell r="K1457" t="str">
            <v>2A34-209-Z0</v>
          </cell>
          <cell r="L1457">
            <v>0</v>
          </cell>
          <cell r="M1457" t="str">
            <v>SPHC-P/O</v>
          </cell>
          <cell r="N1457" t="str">
            <v>STEEL WASHER 10.2X37.8X3 FOR AUTO ZINC1</v>
          </cell>
          <cell r="O1457" t="str">
            <v>2A34-209-Z0</v>
          </cell>
          <cell r="P1457">
            <v>0</v>
          </cell>
        </row>
        <row r="1458">
          <cell r="A1458" t="str">
            <v>JK02</v>
          </cell>
          <cell r="B1458" t="str">
            <v>3.0 x 46 x 1219</v>
          </cell>
          <cell r="C1458">
            <v>3</v>
          </cell>
          <cell r="D1458">
            <v>46</v>
          </cell>
          <cell r="E1458">
            <v>1219</v>
          </cell>
          <cell r="F1458">
            <v>1.3205426999999998</v>
          </cell>
          <cell r="G1458">
            <v>28</v>
          </cell>
          <cell r="I1458" t="str">
            <v>SPHC-P/O</v>
          </cell>
          <cell r="J1458" t="str">
            <v>STEEL WASHER 14.2X37.8X3 FOR AUTO ZINC1</v>
          </cell>
          <cell r="K1458" t="str">
            <v>2A34-231-Z0</v>
          </cell>
          <cell r="L1458">
            <v>0</v>
          </cell>
          <cell r="M1458" t="str">
            <v>SPHC-P/O</v>
          </cell>
          <cell r="N1458" t="str">
            <v>STEEL WASHER 14.2X37.8X3 FOR AUTO ZINC1</v>
          </cell>
          <cell r="O1458" t="str">
            <v>2A34-231-Z0</v>
          </cell>
          <cell r="P1458">
            <v>0</v>
          </cell>
        </row>
        <row r="1459">
          <cell r="A1459" t="str">
            <v>JK03</v>
          </cell>
          <cell r="B1459" t="str">
            <v>2.0 x 68 x 1219</v>
          </cell>
          <cell r="C1459">
            <v>2</v>
          </cell>
          <cell r="D1459">
            <v>68</v>
          </cell>
          <cell r="E1459">
            <v>1219</v>
          </cell>
          <cell r="F1459">
            <v>1.3014044</v>
          </cell>
          <cell r="G1459">
            <v>78</v>
          </cell>
          <cell r="I1459" t="str">
            <v>SS400</v>
          </cell>
          <cell r="J1459" t="str">
            <v>STEEL WASHER 16.2X28X2.0 FOR AUTO ZINC2</v>
          </cell>
          <cell r="K1459" t="str">
            <v>2A34-113-Z0</v>
          </cell>
          <cell r="L1459">
            <v>0</v>
          </cell>
          <cell r="M1459" t="str">
            <v>SS400</v>
          </cell>
          <cell r="N1459" t="str">
            <v>STEEL WASHER 16.2X28X2.0 FOR AUTO ZINC2</v>
          </cell>
          <cell r="O1459" t="str">
            <v>2A34-113-Z0</v>
          </cell>
          <cell r="P1459">
            <v>0</v>
          </cell>
        </row>
        <row r="1460">
          <cell r="A1460" t="str">
            <v>JK04</v>
          </cell>
          <cell r="B1460" t="str">
            <v>3.0 x 182 x 1219</v>
          </cell>
          <cell r="C1460">
            <v>3</v>
          </cell>
          <cell r="D1460">
            <v>182</v>
          </cell>
          <cell r="E1460">
            <v>1219</v>
          </cell>
          <cell r="F1460">
            <v>5.224755899999999</v>
          </cell>
          <cell r="G1460">
            <v>40</v>
          </cell>
          <cell r="I1460" t="str">
            <v>SPHC</v>
          </cell>
          <cell r="J1460" t="str">
            <v>SPANNER N0.1( 3MM-P) ZINC</v>
          </cell>
          <cell r="K1460" t="str">
            <v>4A81-031-Z1</v>
          </cell>
          <cell r="L1460">
            <v>0</v>
          </cell>
          <cell r="M1460" t="str">
            <v>SPHC</v>
          </cell>
          <cell r="N1460" t="str">
            <v>SPANNER N0.1( 3MM-P) ZINC</v>
          </cell>
          <cell r="O1460" t="str">
            <v>4A81-031-Z1</v>
          </cell>
          <cell r="P1460">
            <v>0</v>
          </cell>
        </row>
        <row r="1463">
          <cell r="A1463" t="str">
            <v>ชิ้นงาน LEANG POR</v>
          </cell>
        </row>
        <row r="1464">
          <cell r="A1464" t="str">
            <v>Lp001-15</v>
          </cell>
          <cell r="B1464" t="str">
            <v>1.6 x 45 x 1219</v>
          </cell>
          <cell r="C1464">
            <v>1.6</v>
          </cell>
          <cell r="D1464">
            <v>45</v>
          </cell>
          <cell r="E1464">
            <v>1219</v>
          </cell>
          <cell r="F1464">
            <v>0.69</v>
          </cell>
          <cell r="G1464">
            <v>186</v>
          </cell>
          <cell r="H1464" t="str">
            <v>ใช้ 30032582 ผ่าน tsgp(epc)</v>
          </cell>
          <cell r="I1464" t="str">
            <v>JSH270C</v>
          </cell>
          <cell r="J1464" t="str">
            <v>STAY B CHAIN CASE PACKING</v>
          </cell>
          <cell r="K1464" t="str">
            <v>52172-KPH-9000-H1</v>
          </cell>
          <cell r="L1464" t="str">
            <v>K3GA</v>
          </cell>
          <cell r="M1464" t="str">
            <v>JSH270C</v>
          </cell>
          <cell r="N1464" t="str">
            <v>STAY B CHAIN CASE PACKING</v>
          </cell>
          <cell r="O1464" t="str">
            <v>52172-KPH-9000-H1</v>
          </cell>
          <cell r="P1464" t="str">
            <v>K3GA</v>
          </cell>
        </row>
        <row r="1465">
          <cell r="A1465" t="str">
            <v>Lp001-16</v>
          </cell>
          <cell r="B1465" t="str">
            <v>2.3 x 86 x 1219</v>
          </cell>
          <cell r="C1465">
            <v>2.2999999999999998</v>
          </cell>
          <cell r="D1465">
            <v>86</v>
          </cell>
          <cell r="E1465">
            <v>1219</v>
          </cell>
          <cell r="F1465">
            <v>1.89</v>
          </cell>
          <cell r="G1465">
            <v>17</v>
          </cell>
          <cell r="H1465" t="str">
            <v>ใช้ 30033698-1 ผ่าน tsgp(epc)</v>
          </cell>
          <cell r="I1465" t="str">
            <v>JSH270C</v>
          </cell>
          <cell r="J1465" t="str">
            <v>PATCH SWINGARM CROSS</v>
          </cell>
          <cell r="K1465" t="str">
            <v>52116-KPH-9000-H1</v>
          </cell>
          <cell r="L1465" t="str">
            <v>K3GA</v>
          </cell>
          <cell r="M1465" t="str">
            <v>JSH270C</v>
          </cell>
          <cell r="N1465" t="str">
            <v>PATCH SWINGARM CROSS</v>
          </cell>
          <cell r="O1465" t="str">
            <v>52116-KPH-9000-H1</v>
          </cell>
          <cell r="P1465" t="str">
            <v>K3GA</v>
          </cell>
        </row>
        <row r="1466">
          <cell r="A1466" t="str">
            <v>Lp001-17</v>
          </cell>
          <cell r="B1466" t="str">
            <v>2.3 x 71 x 1219</v>
          </cell>
          <cell r="C1466">
            <v>2.2999999999999998</v>
          </cell>
          <cell r="D1466">
            <v>71</v>
          </cell>
          <cell r="E1466">
            <v>1219</v>
          </cell>
          <cell r="F1466">
            <v>1.56</v>
          </cell>
          <cell r="G1466">
            <v>138</v>
          </cell>
          <cell r="H1466" t="str">
            <v>ใช้ 30038021-2 ผ่าน tsgp(epc)</v>
          </cell>
          <cell r="I1466" t="str">
            <v>JSH270C</v>
          </cell>
          <cell r="J1466" t="str">
            <v>PLATE SWINGARM CROSS (x2)</v>
          </cell>
          <cell r="K1466" t="str">
            <v>52118-KPW-9000-H1</v>
          </cell>
          <cell r="L1466" t="str">
            <v>K3GA</v>
          </cell>
          <cell r="M1466" t="str">
            <v>JSH270C</v>
          </cell>
          <cell r="N1466" t="str">
            <v>PLATE SWINGARM CROSS (x2)</v>
          </cell>
          <cell r="O1466" t="str">
            <v>52118-KPW-9000-H1</v>
          </cell>
          <cell r="P1466" t="str">
            <v>K3GA</v>
          </cell>
        </row>
        <row r="1467">
          <cell r="A1467" t="str">
            <v>Lp001-18</v>
          </cell>
          <cell r="B1467" t="str">
            <v>2.3 x 86 x 1219</v>
          </cell>
          <cell r="C1467">
            <v>2.2999999999999998</v>
          </cell>
          <cell r="D1467">
            <v>86</v>
          </cell>
          <cell r="E1467">
            <v>1219</v>
          </cell>
          <cell r="F1467">
            <v>1.89</v>
          </cell>
          <cell r="G1467">
            <v>17</v>
          </cell>
          <cell r="H1467" t="str">
            <v>ใช้ 30034777-1 ผ่าน tsgp(epc)</v>
          </cell>
          <cell r="I1467" t="str">
            <v>JSH270C</v>
          </cell>
          <cell r="J1467" t="str">
            <v>PATCH R</v>
          </cell>
          <cell r="K1467" t="str">
            <v>52113-KPW-7100-H1</v>
          </cell>
          <cell r="L1467" t="str">
            <v>K3GA</v>
          </cell>
          <cell r="M1467" t="str">
            <v>JSH270C</v>
          </cell>
          <cell r="N1467" t="str">
            <v>PATCH R</v>
          </cell>
          <cell r="O1467" t="str">
            <v>52113-KPW-7100-H1</v>
          </cell>
          <cell r="P1467" t="str">
            <v>K3GA</v>
          </cell>
        </row>
        <row r="1468">
          <cell r="A1468" t="str">
            <v>Lp002-3</v>
          </cell>
          <cell r="B1468" t="str">
            <v>2.0 x 71 x 1219</v>
          </cell>
          <cell r="C1468">
            <v>2</v>
          </cell>
          <cell r="D1468">
            <v>71</v>
          </cell>
          <cell r="E1468">
            <v>1219</v>
          </cell>
          <cell r="F1468">
            <v>1.36</v>
          </cell>
          <cell r="G1468">
            <v>128</v>
          </cell>
          <cell r="H1468" t="str">
            <v>ใช้ 73004241 ผ่าน tsgp(epc)</v>
          </cell>
          <cell r="I1468" t="str">
            <v>SPHC-P/O</v>
          </cell>
          <cell r="J1468" t="str">
            <v>STAY BRK RETURN SPRING</v>
          </cell>
          <cell r="K1468" t="str">
            <v>52121-KPW-7100</v>
          </cell>
          <cell r="L1468" t="str">
            <v>KPWP</v>
          </cell>
          <cell r="M1468" t="str">
            <v>SPHC-P/O</v>
          </cell>
          <cell r="N1468" t="str">
            <v>STAY BRK RETURN SPRING</v>
          </cell>
          <cell r="O1468" t="str">
            <v>52121-KPW-7100</v>
          </cell>
          <cell r="P1468" t="str">
            <v>KPWP</v>
          </cell>
        </row>
        <row r="1469">
          <cell r="A1469" t="str">
            <v>Lp002-15</v>
          </cell>
          <cell r="B1469" t="str">
            <v>1.6 x 45 x 1219</v>
          </cell>
          <cell r="C1469">
            <v>1.6</v>
          </cell>
          <cell r="D1469">
            <v>45</v>
          </cell>
          <cell r="E1469">
            <v>1219</v>
          </cell>
          <cell r="F1469">
            <v>0.69</v>
          </cell>
          <cell r="G1469">
            <v>186</v>
          </cell>
          <cell r="H1469" t="str">
            <v>ใช้ 30032582 ผ่าน tsgp(epc)</v>
          </cell>
          <cell r="I1469" t="str">
            <v>JSH270C</v>
          </cell>
          <cell r="J1469" t="str">
            <v>STAY B CHAIN CASE PACKING</v>
          </cell>
          <cell r="K1469" t="str">
            <v>52172-KPH-9000-H1</v>
          </cell>
          <cell r="L1469" t="str">
            <v>KPWP</v>
          </cell>
          <cell r="M1469" t="str">
            <v>JSH270C</v>
          </cell>
          <cell r="N1469" t="str">
            <v>STAY B CHAIN CASE PACKING</v>
          </cell>
          <cell r="O1469" t="str">
            <v>52172-KPH-9000-H1</v>
          </cell>
          <cell r="P1469" t="str">
            <v>KPWP</v>
          </cell>
        </row>
        <row r="1470">
          <cell r="A1470" t="str">
            <v>Lp002-16</v>
          </cell>
          <cell r="B1470" t="str">
            <v>2.3 x 86 x 1219</v>
          </cell>
          <cell r="C1470">
            <v>2.2999999999999998</v>
          </cell>
          <cell r="D1470">
            <v>86</v>
          </cell>
          <cell r="E1470">
            <v>1219</v>
          </cell>
          <cell r="F1470">
            <v>1.89</v>
          </cell>
          <cell r="G1470">
            <v>17</v>
          </cell>
          <cell r="H1470" t="str">
            <v>ใช้ 30033698-1 ผ่าน tsgp(epc)</v>
          </cell>
          <cell r="I1470" t="str">
            <v>JSH270C</v>
          </cell>
          <cell r="J1470" t="str">
            <v>PATCH SWINGARM CROSS</v>
          </cell>
          <cell r="K1470" t="str">
            <v>52116-KPH-9000-H1</v>
          </cell>
          <cell r="L1470" t="str">
            <v>KPWP</v>
          </cell>
          <cell r="M1470" t="str">
            <v>JSH270C</v>
          </cell>
          <cell r="N1470" t="str">
            <v>PATCH SWINGARM CROSS</v>
          </cell>
          <cell r="O1470" t="str">
            <v>52116-KPH-9000-H1</v>
          </cell>
          <cell r="P1470" t="str">
            <v>KPWP</v>
          </cell>
        </row>
        <row r="1471">
          <cell r="A1471" t="str">
            <v>Lp002-17</v>
          </cell>
          <cell r="B1471" t="str">
            <v>2.3 x 71 x 1219</v>
          </cell>
          <cell r="C1471">
            <v>2.2999999999999998</v>
          </cell>
          <cell r="D1471">
            <v>71</v>
          </cell>
          <cell r="E1471">
            <v>1219</v>
          </cell>
          <cell r="F1471">
            <v>1.56</v>
          </cell>
          <cell r="G1471">
            <v>138</v>
          </cell>
          <cell r="H1471" t="str">
            <v>ใช้ 30038021-2 ผ่าน tsgp(epc)</v>
          </cell>
          <cell r="I1471" t="str">
            <v>JSH270C</v>
          </cell>
          <cell r="J1471" t="str">
            <v>PLATE SWINGARM CROSS (x2)</v>
          </cell>
          <cell r="K1471" t="str">
            <v>52118-KPW-9000-H1</v>
          </cell>
          <cell r="L1471" t="str">
            <v>KPWP</v>
          </cell>
          <cell r="M1471" t="str">
            <v>JSH270C</v>
          </cell>
          <cell r="N1471" t="str">
            <v>PLATE SWINGARM CROSS (x2)</v>
          </cell>
          <cell r="O1471" t="str">
            <v>52118-KPW-9000-H1</v>
          </cell>
          <cell r="P1471" t="str">
            <v>KPWP</v>
          </cell>
        </row>
        <row r="1472">
          <cell r="A1472" t="str">
            <v>Lp002-18</v>
          </cell>
          <cell r="B1472" t="str">
            <v>2.3 x 86 x 1219</v>
          </cell>
          <cell r="C1472">
            <v>2.2999999999999998</v>
          </cell>
          <cell r="D1472">
            <v>86</v>
          </cell>
          <cell r="E1472">
            <v>1219</v>
          </cell>
          <cell r="F1472">
            <v>1.89</v>
          </cell>
          <cell r="G1472">
            <v>17</v>
          </cell>
          <cell r="H1472" t="str">
            <v>ใช้ 30034777-1 ผ่าน tsgp(epc)</v>
          </cell>
          <cell r="I1472" t="str">
            <v>JSH270C</v>
          </cell>
          <cell r="J1472" t="str">
            <v>PATCH R</v>
          </cell>
          <cell r="K1472" t="str">
            <v>52113-KPW-7100-H1</v>
          </cell>
          <cell r="L1472" t="str">
            <v>KPWP</v>
          </cell>
          <cell r="M1472" t="str">
            <v>JSH270C</v>
          </cell>
          <cell r="N1472" t="str">
            <v>PATCH R</v>
          </cell>
          <cell r="O1472" t="str">
            <v>52113-KPW-7100-H1</v>
          </cell>
          <cell r="P1472" t="str">
            <v>KPWP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FF"/>
  </sheetPr>
  <dimension ref="A1:AH249"/>
  <sheetViews>
    <sheetView tabSelected="1" topLeftCell="A77" zoomScale="70" zoomScaleNormal="70" workbookViewId="0">
      <selection activeCell="B10" sqref="B10:S99"/>
    </sheetView>
  </sheetViews>
  <sheetFormatPr defaultColWidth="9" defaultRowHeight="13.2"/>
  <cols>
    <col min="1" max="1" width="0.6640625" style="72" customWidth="1"/>
    <col min="2" max="2" width="6" style="72" customWidth="1"/>
    <col min="3" max="3" width="14.77734375" style="72" customWidth="1"/>
    <col min="4" max="4" width="6" style="72" customWidth="1"/>
    <col min="5" max="5" width="1.88671875" style="70" customWidth="1"/>
    <col min="6" max="6" width="6.21875" style="71" customWidth="1"/>
    <col min="7" max="7" width="1.88671875" style="70" customWidth="1"/>
    <col min="8" max="8" width="9.33203125" style="70" customWidth="1"/>
    <col min="9" max="9" width="17.77734375" style="72" customWidth="1"/>
    <col min="10" max="10" width="26.109375" style="72" customWidth="1"/>
    <col min="11" max="11" width="27.6640625" style="72" customWidth="1"/>
    <col min="12" max="12" width="8.77734375" style="72" customWidth="1"/>
    <col min="13" max="13" width="6.44140625" style="72" customWidth="1"/>
    <col min="14" max="14" width="6.88671875" style="72" customWidth="1"/>
    <col min="15" max="15" width="7.6640625" style="72" customWidth="1"/>
    <col min="16" max="17" width="6.88671875" style="72" customWidth="1"/>
    <col min="18" max="18" width="6.88671875" style="72" customWidth="1" collapsed="1"/>
    <col min="19" max="19" width="6.77734375" style="72" customWidth="1"/>
    <col min="20" max="20" width="5.77734375" style="72" customWidth="1"/>
    <col min="21" max="24" width="9" style="72" customWidth="1"/>
    <col min="25" max="16384" width="9" style="72"/>
  </cols>
  <sheetData>
    <row r="1" spans="1:20" s="1" customFormat="1" ht="27" customHeight="1">
      <c r="B1" s="1" t="s">
        <v>0</v>
      </c>
      <c r="E1" s="2"/>
      <c r="F1" s="3"/>
      <c r="G1" s="2"/>
      <c r="H1" s="2"/>
      <c r="I1" s="4"/>
      <c r="N1" s="73" t="s">
        <v>1</v>
      </c>
      <c r="O1" s="74"/>
      <c r="P1" s="74"/>
      <c r="Q1" s="5"/>
      <c r="R1" s="6" t="s">
        <v>2</v>
      </c>
      <c r="S1" s="7"/>
    </row>
    <row r="2" spans="1:20" s="1" customFormat="1" ht="27" customHeight="1">
      <c r="B2" s="1" t="s">
        <v>3</v>
      </c>
      <c r="E2" s="2"/>
      <c r="F2" s="3"/>
      <c r="G2" s="2"/>
      <c r="H2" s="2"/>
      <c r="I2" s="4"/>
      <c r="N2" s="8"/>
      <c r="P2" s="9"/>
      <c r="Q2" s="10"/>
      <c r="S2" s="11"/>
    </row>
    <row r="3" spans="1:20" s="1" customFormat="1" ht="27" customHeight="1">
      <c r="B3" s="1" t="s">
        <v>4</v>
      </c>
      <c r="E3" s="2"/>
      <c r="F3" s="3"/>
      <c r="G3" s="2"/>
      <c r="H3" s="2"/>
      <c r="I3" s="4"/>
      <c r="N3" s="12"/>
      <c r="O3" s="13"/>
      <c r="P3" s="13"/>
      <c r="Q3" s="12"/>
      <c r="R3" s="13"/>
      <c r="S3" s="14"/>
    </row>
    <row r="4" spans="1:20" s="1" customFormat="1" ht="4.5" customHeight="1" thickBot="1">
      <c r="A4" s="15"/>
      <c r="B4" s="15"/>
      <c r="C4" s="15"/>
      <c r="D4" s="15"/>
      <c r="E4" s="2"/>
      <c r="F4" s="3"/>
      <c r="G4" s="2"/>
      <c r="H4" s="2"/>
      <c r="I4" s="16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 s="1" customFormat="1" ht="25.5" customHeight="1">
      <c r="A5" s="17"/>
      <c r="B5" s="18" t="s">
        <v>5</v>
      </c>
      <c r="C5" s="18" t="s">
        <v>6</v>
      </c>
      <c r="E5" s="19"/>
      <c r="F5" s="20"/>
      <c r="G5" s="19"/>
      <c r="H5" s="19"/>
      <c r="I5" s="21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</row>
    <row r="6" spans="1:20" s="1" customFormat="1" ht="23.25" customHeight="1">
      <c r="A6" s="24"/>
      <c r="B6" s="25" t="s">
        <v>7</v>
      </c>
      <c r="C6" s="25" t="s">
        <v>8</v>
      </c>
      <c r="F6" s="26"/>
      <c r="I6" s="4"/>
      <c r="J6" s="25"/>
      <c r="K6" s="25"/>
      <c r="L6" s="25"/>
      <c r="M6" s="27"/>
      <c r="N6" s="27"/>
      <c r="O6" s="27"/>
      <c r="P6" s="27"/>
      <c r="Q6" s="27"/>
      <c r="R6" s="27"/>
      <c r="T6" s="28"/>
    </row>
    <row r="7" spans="1:20" s="1" customFormat="1" ht="23.25" customHeight="1">
      <c r="A7" s="24"/>
      <c r="B7" s="25" t="s">
        <v>9</v>
      </c>
      <c r="C7" s="25" t="s">
        <v>10</v>
      </c>
      <c r="F7" s="26"/>
      <c r="I7" s="29"/>
      <c r="J7" s="30"/>
      <c r="K7" s="30"/>
      <c r="R7" s="25"/>
      <c r="S7" s="25"/>
      <c r="T7" s="28"/>
    </row>
    <row r="8" spans="1:20" s="1" customFormat="1" ht="23.25" customHeight="1" thickBot="1">
      <c r="A8" s="24"/>
      <c r="B8" s="25" t="s">
        <v>11</v>
      </c>
      <c r="C8" s="25" t="s">
        <v>12</v>
      </c>
      <c r="D8" s="1" t="s">
        <v>13</v>
      </c>
      <c r="F8" s="26"/>
      <c r="I8" s="31"/>
      <c r="J8" s="25"/>
      <c r="K8" s="25"/>
      <c r="M8" s="75" t="s">
        <v>14</v>
      </c>
      <c r="N8" s="75"/>
      <c r="O8" s="75"/>
      <c r="P8" s="75"/>
      <c r="Q8" s="75"/>
      <c r="R8" s="75"/>
      <c r="S8" s="32"/>
      <c r="T8" s="28"/>
    </row>
    <row r="9" spans="1:20" s="1" customFormat="1" ht="3" customHeight="1" thickBot="1">
      <c r="A9" s="17"/>
      <c r="B9" s="22"/>
      <c r="C9" s="22"/>
      <c r="D9" s="22"/>
      <c r="E9" s="22"/>
      <c r="F9" s="33"/>
      <c r="G9" s="22"/>
      <c r="H9" s="22"/>
      <c r="I9" s="21"/>
      <c r="J9" s="22"/>
      <c r="K9" s="22"/>
      <c r="L9" s="22"/>
      <c r="M9" s="22"/>
      <c r="N9" s="22"/>
      <c r="O9" s="22"/>
      <c r="P9" s="22"/>
      <c r="Q9" s="22"/>
      <c r="R9" s="22"/>
      <c r="S9" s="22"/>
      <c r="T9" s="23"/>
    </row>
    <row r="10" spans="1:20" s="42" customFormat="1" ht="24" customHeight="1" thickBot="1">
      <c r="A10" s="34"/>
      <c r="B10" s="35" t="s">
        <v>15</v>
      </c>
      <c r="C10" s="36" t="s">
        <v>16</v>
      </c>
      <c r="D10" s="76" t="s">
        <v>17</v>
      </c>
      <c r="E10" s="77"/>
      <c r="F10" s="77"/>
      <c r="G10" s="77"/>
      <c r="H10" s="78"/>
      <c r="I10" s="37" t="s">
        <v>18</v>
      </c>
      <c r="J10" s="38" t="s">
        <v>19</v>
      </c>
      <c r="K10" s="38" t="s">
        <v>20</v>
      </c>
      <c r="L10" s="38" t="s">
        <v>21</v>
      </c>
      <c r="M10" s="39">
        <v>46159</v>
      </c>
      <c r="N10" s="39">
        <v>46174</v>
      </c>
      <c r="O10" s="39">
        <v>46204</v>
      </c>
      <c r="P10" s="39">
        <v>46235</v>
      </c>
      <c r="Q10" s="39">
        <v>46266</v>
      </c>
      <c r="R10" s="39">
        <v>46296</v>
      </c>
      <c r="S10" s="40" t="s">
        <v>22</v>
      </c>
      <c r="T10" s="41"/>
    </row>
    <row r="11" spans="1:20" s="53" customFormat="1" ht="21" customHeight="1">
      <c r="A11" s="34"/>
      <c r="B11" s="43">
        <v>1</v>
      </c>
      <c r="C11" s="44" t="s">
        <v>23</v>
      </c>
      <c r="D11" s="45">
        <f>+VLOOKUP(C11,'[10]Part List รวมล่าสุดกว่า'!A:R,3,0)</f>
        <v>1.6</v>
      </c>
      <c r="E11" s="46" t="s">
        <v>24</v>
      </c>
      <c r="F11" s="45">
        <f>+VLOOKUP(C11,'[10]Part List รวมล่าสุดกว่า'!A:R,4,0)</f>
        <v>87</v>
      </c>
      <c r="G11" s="46" t="s">
        <v>24</v>
      </c>
      <c r="H11" s="47">
        <f>+VLOOKUP(C11,'[10]Part List รวมล่าสุดกว่า'!A:R,5,0)</f>
        <v>1219</v>
      </c>
      <c r="I11" s="48" t="str">
        <f>+VLOOKUP(C11,'[10]Part List รวมล่าสุดกว่า'!A:R,9,0)</f>
        <v>SPHC-P/O</v>
      </c>
      <c r="J11" s="49" t="str">
        <f>+VLOOKUP(C11,'[10]Part List รวมล่าสุดกว่า'!A:R,10,0)</f>
        <v>PLATE</v>
      </c>
      <c r="K11" s="49" t="str">
        <f>+VLOOKUP(C11,'[10]Part List รวมล่าสุดกว่า'!A:R,11,0)</f>
        <v>50102-K26P-9000-21</v>
      </c>
      <c r="L11" s="49" t="str">
        <f>+VLOOKUP(C11,'[10]Part List รวมล่าสุดกว่า'!A:R,12,0)</f>
        <v>K26P</v>
      </c>
      <c r="M11" s="50">
        <f>+VLOOKUP(C11,[10]Forecast!F:V,6,0)</f>
        <v>2.6538461538461537</v>
      </c>
      <c r="N11" s="50">
        <f>+VLOOKUP(C11,[10]Forecast!F:V,8,0)</f>
        <v>15.307692307692308</v>
      </c>
      <c r="O11" s="50">
        <f>+VLOOKUP(C11,[10]Forecast!F:V,10,0)</f>
        <v>18.576923076923077</v>
      </c>
      <c r="P11" s="50">
        <f>+VLOOKUP(C11,[10]Forecast!F:V,12,0)</f>
        <v>20.076923076923077</v>
      </c>
      <c r="Q11" s="50">
        <f>+VLOOKUP(C11,[10]Forecast!F:V,14,0)</f>
        <v>22.346153846153847</v>
      </c>
      <c r="R11" s="50">
        <f>+VLOOKUP(C11,[10]Forecast!F:V,16,0)</f>
        <v>0</v>
      </c>
      <c r="S11" s="51" t="s">
        <v>25</v>
      </c>
      <c r="T11" s="52"/>
    </row>
    <row r="12" spans="1:20" s="53" customFormat="1" ht="21" customHeight="1">
      <c r="A12" s="34"/>
      <c r="B12" s="43">
        <v>2</v>
      </c>
      <c r="C12" s="54" t="s">
        <v>26</v>
      </c>
      <c r="D12" s="45">
        <f>+VLOOKUP(C12,'[10]Part List รวมล่าสุดกว่า'!A:R,3,0)</f>
        <v>3.2</v>
      </c>
      <c r="E12" s="55" t="s">
        <v>24</v>
      </c>
      <c r="F12" s="45">
        <f>+VLOOKUP(C12,'[10]Part List รวมล่าสุดกว่า'!A:R,4,0)</f>
        <v>232</v>
      </c>
      <c r="G12" s="46" t="s">
        <v>24</v>
      </c>
      <c r="H12" s="47">
        <f>+VLOOKUP(C12,'[10]Part List รวมล่าสุดกว่า'!A:R,5,0)</f>
        <v>1219</v>
      </c>
      <c r="I12" s="48" t="str">
        <f>+VLOOKUP(C12,'[10]Part List รวมล่าสุดกว่า'!A:R,9,0)</f>
        <v>JSH270C</v>
      </c>
      <c r="J12" s="49" t="str">
        <f>+VLOOKUP(C12,'[10]Part List รวมล่าสุดกว่า'!A:R,10,0)</f>
        <v>BRKT</v>
      </c>
      <c r="K12" s="49" t="str">
        <f>+VLOOKUP(C12,'[10]Part List รวมล่าสุดกว่า'!A:R,11,0)</f>
        <v>50201-MLAA-A003-20</v>
      </c>
      <c r="L12" s="49" t="str">
        <f>+VLOOKUP(C12,'[10]Part List รวมล่าสุดกว่า'!A:R,12,0)</f>
        <v>MLAA</v>
      </c>
      <c r="M12" s="50">
        <f>+VLOOKUP(C12,[10]Forecast!F:V,6,0)</f>
        <v>112</v>
      </c>
      <c r="N12" s="50">
        <f>+VLOOKUP(C12,[10]Forecast!F:V,8,0)</f>
        <v>112</v>
      </c>
      <c r="O12" s="50">
        <f>+VLOOKUP(C12,[10]Forecast!F:V,10,0)</f>
        <v>96</v>
      </c>
      <c r="P12" s="50">
        <f>+VLOOKUP(C12,[10]Forecast!F:V,12,0)</f>
        <v>175.6</v>
      </c>
      <c r="Q12" s="50">
        <f>+VLOOKUP(C12,[10]Forecast!F:V,14,0)</f>
        <v>0</v>
      </c>
      <c r="R12" s="50">
        <f>+VLOOKUP(C12,[10]Forecast!F:V,16,0)</f>
        <v>0</v>
      </c>
      <c r="S12" s="51" t="s">
        <v>25</v>
      </c>
      <c r="T12" s="52"/>
    </row>
    <row r="13" spans="1:20" s="53" customFormat="1" ht="21" customHeight="1">
      <c r="A13" s="34"/>
      <c r="B13" s="43">
        <f t="shared" ref="B13:B76" si="0">B12+1</f>
        <v>3</v>
      </c>
      <c r="C13" s="54" t="s">
        <v>27</v>
      </c>
      <c r="D13" s="45">
        <f>+VLOOKUP(C13,'[10]Part List รวมล่าสุดกว่า'!A:R,3,0)</f>
        <v>1.2</v>
      </c>
      <c r="E13" s="55" t="s">
        <v>24</v>
      </c>
      <c r="F13" s="45">
        <f>+VLOOKUP(C13,'[10]Part List รวมล่าสุดกว่า'!A:R,4,0)</f>
        <v>72</v>
      </c>
      <c r="G13" s="46" t="s">
        <v>24</v>
      </c>
      <c r="H13" s="47">
        <f>+VLOOKUP(C13,'[10]Part List รวมล่าสุดกว่า'!A:R,5,0)</f>
        <v>1219</v>
      </c>
      <c r="I13" s="48" t="str">
        <f>+VLOOKUP(C13,'[10]Part List รวมล่าสุดกว่า'!A:R,9,0)</f>
        <v>JSC270C</v>
      </c>
      <c r="J13" s="49" t="str">
        <f>+VLOOKUP(C13,'[10]Part List รวมล่าสุดกว่า'!A:R,10,0)</f>
        <v>STAY RUBBER</v>
      </c>
      <c r="K13" s="49" t="str">
        <f>+VLOOKUP(C13,'[10]Part List รวมล่าสุดกว่า'!A:R,11,0)</f>
        <v>50201-MLAA-A003-26</v>
      </c>
      <c r="L13" s="49" t="str">
        <f>+VLOOKUP(C13,'[10]Part List รวมล่าสุดกว่า'!A:R,12,0)</f>
        <v>MLAA</v>
      </c>
      <c r="M13" s="50">
        <f>+VLOOKUP(C13,[10]Forecast!F:V,6,0)</f>
        <v>3.4567901234567899</v>
      </c>
      <c r="N13" s="50">
        <f>+VLOOKUP(C13,[10]Forecast!F:V,8,0)</f>
        <v>3.4567901234567899</v>
      </c>
      <c r="O13" s="50">
        <f>+VLOOKUP(C13,[10]Forecast!F:V,10,0)</f>
        <v>2.9629629629629628</v>
      </c>
      <c r="P13" s="50">
        <f>+VLOOKUP(C13,[10]Forecast!F:V,12,0)</f>
        <v>5.4197530864197532</v>
      </c>
      <c r="Q13" s="50">
        <f>+VLOOKUP(C13,[10]Forecast!F:V,14,0)</f>
        <v>0</v>
      </c>
      <c r="R13" s="50">
        <f>+VLOOKUP(C13,[10]Forecast!F:V,16,0)</f>
        <v>0</v>
      </c>
      <c r="S13" s="51" t="s">
        <v>25</v>
      </c>
      <c r="T13" s="52"/>
    </row>
    <row r="14" spans="1:20" s="53" customFormat="1" ht="21" customHeight="1">
      <c r="A14" s="34"/>
      <c r="B14" s="43">
        <f t="shared" si="0"/>
        <v>4</v>
      </c>
      <c r="C14" s="54" t="s">
        <v>28</v>
      </c>
      <c r="D14" s="45">
        <f>+VLOOKUP(C14,'[10]Part List รวมล่าสุดกว่า'!A:R,3,0)</f>
        <v>2.2999999999999998</v>
      </c>
      <c r="E14" s="46" t="s">
        <v>24</v>
      </c>
      <c r="F14" s="45">
        <f>+VLOOKUP(C14,'[10]Part List รวมล่าสุดกว่า'!A:R,4,0)</f>
        <v>198</v>
      </c>
      <c r="G14" s="46" t="s">
        <v>24</v>
      </c>
      <c r="H14" s="47">
        <f>+VLOOKUP(C14,'[10]Part List รวมล่าสุดกว่า'!A:R,5,0)</f>
        <v>1219</v>
      </c>
      <c r="I14" s="48" t="str">
        <f>+VLOOKUP(C14,'[10]Part List รวมล่าสุดกว่า'!A:R,9,0)</f>
        <v>JSH440W</v>
      </c>
      <c r="J14" s="49" t="str">
        <f>+VLOOKUP(C14,'[10]Part List รวมล่าสุดกว่า'!A:R,10,0)</f>
        <v xml:space="preserve">GUSSET </v>
      </c>
      <c r="K14" s="49">
        <f>+VLOOKUP(C14,'[10]Part List รวมล่าสุดกว่า'!A:R,11,0)</f>
        <v>0</v>
      </c>
      <c r="L14" s="49" t="str">
        <f>+VLOOKUP(C14,'[10]Part List รวมล่าสุดกว่า'!A:R,12,0)</f>
        <v>K2LF</v>
      </c>
      <c r="M14" s="50">
        <f>+VLOOKUP(C14,[10]Forecast!F:V,6,0)</f>
        <v>200</v>
      </c>
      <c r="N14" s="50">
        <f>+VLOOKUP(C14,[10]Forecast!F:V,8,0)</f>
        <v>183.25</v>
      </c>
      <c r="O14" s="50">
        <f>+VLOOKUP(C14,[10]Forecast!F:V,10,0)</f>
        <v>155</v>
      </c>
      <c r="P14" s="50">
        <f>+VLOOKUP(C14,[10]Forecast!F:V,12,0)</f>
        <v>102.25</v>
      </c>
      <c r="Q14" s="50">
        <f>+VLOOKUP(C14,[10]Forecast!F:V,14,0)</f>
        <v>143.25</v>
      </c>
      <c r="R14" s="50">
        <f>+VLOOKUP(C14,[10]Forecast!F:V,16,0)</f>
        <v>0</v>
      </c>
      <c r="S14" s="51" t="s">
        <v>25</v>
      </c>
      <c r="T14" s="52"/>
    </row>
    <row r="15" spans="1:20" s="53" customFormat="1" ht="21" customHeight="1">
      <c r="A15" s="34"/>
      <c r="B15" s="43">
        <f t="shared" si="0"/>
        <v>5</v>
      </c>
      <c r="C15" s="54" t="s">
        <v>29</v>
      </c>
      <c r="D15" s="45">
        <f>+VLOOKUP(C15,'[10]Part List รวมล่าสุดกว่า'!A:R,3,0)</f>
        <v>4</v>
      </c>
      <c r="E15" s="55" t="s">
        <v>24</v>
      </c>
      <c r="F15" s="45">
        <f>+VLOOKUP(C15,'[10]Part List รวมล่าสุดกว่า'!A:R,4,0)</f>
        <v>55</v>
      </c>
      <c r="G15" s="46" t="s">
        <v>24</v>
      </c>
      <c r="H15" s="47">
        <f>+VLOOKUP(C15,'[10]Part List รวมล่าสุดกว่า'!A:R,5,0)</f>
        <v>1219</v>
      </c>
      <c r="I15" s="48" t="str">
        <f>+VLOOKUP(C15,'[10]Part List รวมล่าสุดกว่า'!A:R,9,0)</f>
        <v>JSH270C</v>
      </c>
      <c r="J15" s="49" t="str">
        <f>+VLOOKUP(C15,'[10]Part List รวมล่าสุดกว่า'!A:R,10,0)</f>
        <v>PLATE</v>
      </c>
      <c r="K15" s="49">
        <f>+VLOOKUP(C15,'[10]Part List รวมล่าสุดกว่า'!A:R,11,0)</f>
        <v>0</v>
      </c>
      <c r="L15" s="49" t="str">
        <f>+VLOOKUP(C15,'[10]Part List รวมล่าสุดกว่า'!A:R,12,0)</f>
        <v>K2LF</v>
      </c>
      <c r="M15" s="50">
        <f>+VLOOKUP(C15,[10]Forecast!F:V,6,0)</f>
        <v>61.53846153846154</v>
      </c>
      <c r="N15" s="50">
        <f>+VLOOKUP(C15,[10]Forecast!F:V,8,0)</f>
        <v>56.384615384615387</v>
      </c>
      <c r="O15" s="50">
        <f>+VLOOKUP(C15,[10]Forecast!F:V,10,0)</f>
        <v>47.692307692307693</v>
      </c>
      <c r="P15" s="50">
        <f>+VLOOKUP(C15,[10]Forecast!F:V,12,0)</f>
        <v>31.46153846153846</v>
      </c>
      <c r="Q15" s="50">
        <f>+VLOOKUP(C15,[10]Forecast!F:V,14,0)</f>
        <v>44.07692307692308</v>
      </c>
      <c r="R15" s="50">
        <f>+VLOOKUP(C15,[10]Forecast!F:V,16,0)</f>
        <v>0</v>
      </c>
      <c r="S15" s="51" t="s">
        <v>25</v>
      </c>
      <c r="T15" s="52"/>
    </row>
    <row r="16" spans="1:20" s="53" customFormat="1" ht="21" customHeight="1">
      <c r="A16" s="34"/>
      <c r="B16" s="43">
        <f t="shared" si="0"/>
        <v>6</v>
      </c>
      <c r="C16" s="54" t="s">
        <v>30</v>
      </c>
      <c r="D16" s="45">
        <f>+VLOOKUP(C16,'[10]Part List รวมล่าสุดกว่า'!A:R,3,0)</f>
        <v>1.6</v>
      </c>
      <c r="E16" s="55" t="s">
        <v>24</v>
      </c>
      <c r="F16" s="45">
        <f>+VLOOKUP(C16,'[10]Part List รวมล่าสุดกว่า'!A:R,4,0)</f>
        <v>50</v>
      </c>
      <c r="G16" s="46" t="s">
        <v>24</v>
      </c>
      <c r="H16" s="47">
        <f>+VLOOKUP(C16,'[10]Part List รวมล่าสุดกว่า'!A:R,5,0)</f>
        <v>1219</v>
      </c>
      <c r="I16" s="48" t="str">
        <f>+VLOOKUP(C16,'[10]Part List รวมล่าสุดกว่า'!A:R,9,0)</f>
        <v>JSH270C</v>
      </c>
      <c r="J16" s="49" t="str">
        <f>+VLOOKUP(C16,'[10]Part List รวมล่าสุดกว่า'!A:R,10,0)</f>
        <v>STAY G HARNESS</v>
      </c>
      <c r="K16" s="49" t="str">
        <f>+VLOOKUP(C16,'[10]Part List รวมล่าสุดกว่า'!A:R,11,0)</f>
        <v>50181-K2LA-0001-H1</v>
      </c>
      <c r="L16" s="49" t="str">
        <f>+VLOOKUP(C16,'[10]Part List รวมล่าสุดกว่า'!A:R,12,0)</f>
        <v>K2LF</v>
      </c>
      <c r="M16" s="50">
        <f>+VLOOKUP(C16,[10]Forecast!F:V,6,0)</f>
        <v>51.612903225806448</v>
      </c>
      <c r="N16" s="50">
        <f>+VLOOKUP(C16,[10]Forecast!F:V,8,0)</f>
        <v>47.29032258064516</v>
      </c>
      <c r="O16" s="50">
        <f>+VLOOKUP(C16,[10]Forecast!F:V,10,0)</f>
        <v>40</v>
      </c>
      <c r="P16" s="50">
        <f>+VLOOKUP(C16,[10]Forecast!F:V,12,0)</f>
        <v>26.387096774193548</v>
      </c>
      <c r="Q16" s="50">
        <f>+VLOOKUP(C16,[10]Forecast!F:V,14,0)</f>
        <v>36.967741935483872</v>
      </c>
      <c r="R16" s="50">
        <f>+VLOOKUP(C16,[10]Forecast!F:V,16,0)</f>
        <v>0</v>
      </c>
      <c r="S16" s="51" t="s">
        <v>25</v>
      </c>
      <c r="T16" s="52"/>
    </row>
    <row r="17" spans="1:20" s="53" customFormat="1" ht="21" customHeight="1">
      <c r="A17" s="34"/>
      <c r="B17" s="43">
        <f t="shared" si="0"/>
        <v>7</v>
      </c>
      <c r="C17" s="44">
        <v>30003261</v>
      </c>
      <c r="D17" s="45">
        <f>+VLOOKUP(C17,'[10]Part List รวมล่าสุดกว่า'!A:R,3,0)</f>
        <v>1.2</v>
      </c>
      <c r="E17" s="46" t="s">
        <v>24</v>
      </c>
      <c r="F17" s="45">
        <f>+VLOOKUP(C17,'[10]Part List รวมล่าสุดกว่า'!A:R,4,0)</f>
        <v>45</v>
      </c>
      <c r="G17" s="46" t="s">
        <v>24</v>
      </c>
      <c r="H17" s="47">
        <f>+VLOOKUP(C17,'[10]Part List รวมล่าสุดกว่า'!A:R,5,0)</f>
        <v>1219</v>
      </c>
      <c r="I17" s="48" t="str">
        <f>+VLOOKUP(C17,'[10]Part List รวมล่าสุดกว่า'!A:R,9,0)</f>
        <v>SPCC-SD</v>
      </c>
      <c r="J17" s="49" t="str">
        <f>+VLOOKUP(C17,'[10]Part List รวมล่าสุดกว่า'!A:R,10,0)</f>
        <v>WASHER PLAIN 7 MM (Cr+3)</v>
      </c>
      <c r="K17" s="49" t="str">
        <f>+VLOOKUP(C17,'[10]Part List รวมล่าสุดกว่า'!A:R,11,0)</f>
        <v>90502-155-0000</v>
      </c>
      <c r="L17" s="49" t="str">
        <f>+VLOOKUP(C17,'[10]Part List รวมล่าสุดกว่า'!A:R,12,0)</f>
        <v>K26</v>
      </c>
      <c r="M17" s="50">
        <f>+VLOOKUP(C17,[10]Forecast!F:V,6,0)</f>
        <v>24.314960629921259</v>
      </c>
      <c r="N17" s="50">
        <f>+VLOOKUP(C17,[10]Forecast!F:V,8,0)</f>
        <v>33.118110236220474</v>
      </c>
      <c r="O17" s="50">
        <f>+VLOOKUP(C17,[10]Forecast!F:V,10,0)</f>
        <v>25.700787401574804</v>
      </c>
      <c r="P17" s="50">
        <f>+VLOOKUP(C17,[10]Forecast!F:V,12,0)</f>
        <v>25.763779527559056</v>
      </c>
      <c r="Q17" s="50">
        <f>+VLOOKUP(C17,[10]Forecast!F:V,14,0)</f>
        <v>29.606299212598426</v>
      </c>
      <c r="R17" s="50">
        <f>+VLOOKUP(C17,[10]Forecast!F:V,16,0)</f>
        <v>30.771653543307085</v>
      </c>
      <c r="S17" s="51" t="s">
        <v>25</v>
      </c>
      <c r="T17" s="52"/>
    </row>
    <row r="18" spans="1:20" s="53" customFormat="1" ht="21" customHeight="1">
      <c r="A18" s="34"/>
      <c r="B18" s="43">
        <f t="shared" si="0"/>
        <v>8</v>
      </c>
      <c r="C18" s="44" t="s">
        <v>31</v>
      </c>
      <c r="D18" s="45">
        <f>+VLOOKUP(C18,'[10]Part List รวมล่าสุดกว่า'!A:R,3,0)</f>
        <v>2.6</v>
      </c>
      <c r="E18" s="55" t="s">
        <v>24</v>
      </c>
      <c r="F18" s="45">
        <f>+VLOOKUP(C18,'[10]Part List รวมล่าสุดกว่า'!A:R,4,0)</f>
        <v>260</v>
      </c>
      <c r="G18" s="46" t="s">
        <v>24</v>
      </c>
      <c r="H18" s="47">
        <f>+VLOOKUP(C18,'[10]Part List รวมล่าสุดกว่า'!A:R,5,0)</f>
        <v>1219</v>
      </c>
      <c r="I18" s="48" t="str">
        <f>+VLOOKUP(C18,'[10]Part List รวมล่าสุดกว่า'!A:R,9,0)</f>
        <v>JSH440W</v>
      </c>
      <c r="J18" s="49" t="str">
        <f>+VLOOKUP(C18,'[10]Part List รวมล่าสุดกว่า'!A:R,10,0)</f>
        <v>PLATE COMP R PIVOT(PLATE R OUT)</v>
      </c>
      <c r="K18" s="49" t="str">
        <f>+VLOOKUP(C18,'[10]Part List รวมล่าสุดกว่า'!A:R,11,0)</f>
        <v>50117-MLAA-A003-20</v>
      </c>
      <c r="L18" s="49" t="str">
        <f>+VLOOKUP(C18,'[10]Part List รวมล่าสุดกว่า'!A:R,12,0)</f>
        <v>MLAA</v>
      </c>
      <c r="M18" s="50">
        <f>+VLOOKUP(C18,[10]Forecast!F:V,6,0)</f>
        <v>110</v>
      </c>
      <c r="N18" s="50">
        <f>+VLOOKUP(C18,[10]Forecast!F:V,8,0)</f>
        <v>366.66666666666669</v>
      </c>
      <c r="O18" s="50">
        <f>+VLOOKUP(C18,[10]Forecast!F:V,10,0)</f>
        <v>110</v>
      </c>
      <c r="P18" s="50">
        <f>+VLOOKUP(C18,[10]Forecast!F:V,12,0)</f>
        <v>351.16666666666669</v>
      </c>
      <c r="Q18" s="50">
        <f>+VLOOKUP(C18,[10]Forecast!F:V,14,0)</f>
        <v>111.83333333333333</v>
      </c>
      <c r="R18" s="50">
        <f>+VLOOKUP(C18,[10]Forecast!F:V,16,0)</f>
        <v>0</v>
      </c>
      <c r="S18" s="51" t="s">
        <v>25</v>
      </c>
      <c r="T18" s="52"/>
    </row>
    <row r="19" spans="1:20" s="53" customFormat="1" ht="21" customHeight="1">
      <c r="A19" s="34"/>
      <c r="B19" s="43">
        <f t="shared" si="0"/>
        <v>9</v>
      </c>
      <c r="C19" s="44" t="s">
        <v>32</v>
      </c>
      <c r="D19" s="45">
        <f>+VLOOKUP(C19,'[10]Part List รวมล่าสุดกว่า'!A:R,3,0)</f>
        <v>2.6</v>
      </c>
      <c r="E19" s="46" t="s">
        <v>24</v>
      </c>
      <c r="F19" s="45">
        <f>+VLOOKUP(C19,'[10]Part List รวมล่าสุดกว่า'!A:R,4,0)</f>
        <v>170</v>
      </c>
      <c r="G19" s="46" t="s">
        <v>24</v>
      </c>
      <c r="H19" s="47">
        <f>+VLOOKUP(C19,'[10]Part List รวมล่าสุดกว่า'!A:R,5,0)</f>
        <v>1219</v>
      </c>
      <c r="I19" s="48" t="str">
        <f>+VLOOKUP(C19,'[10]Part List รวมล่าสุดกว่า'!A:R,9,0)</f>
        <v>JSH440W</v>
      </c>
      <c r="J19" s="49" t="str">
        <f>+VLOOKUP(C19,'[10]Part List รวมล่าสุดกว่า'!A:R,10,0)</f>
        <v>PLATE COMP R PIVOT(PLATE R OUT)</v>
      </c>
      <c r="K19" s="49" t="str">
        <f>+VLOOKUP(C19,'[10]Part List รวมล่าสุดกว่า'!A:R,11,0)</f>
        <v>50117-MLAA-A003-21</v>
      </c>
      <c r="L19" s="49" t="str">
        <f>+VLOOKUP(C19,'[10]Part List รวมล่าสุดกว่า'!A:R,12,0)</f>
        <v>MLAA</v>
      </c>
      <c r="M19" s="50">
        <f>+VLOOKUP(C19,[10]Forecast!F:V,6,0)</f>
        <v>110</v>
      </c>
      <c r="N19" s="50">
        <f>+VLOOKUP(C19,[10]Forecast!F:V,8,0)</f>
        <v>366.66666666666669</v>
      </c>
      <c r="O19" s="50">
        <f>+VLOOKUP(C19,[10]Forecast!F:V,10,0)</f>
        <v>110</v>
      </c>
      <c r="P19" s="50">
        <f>+VLOOKUP(C19,[10]Forecast!F:V,12,0)</f>
        <v>351.16666666666669</v>
      </c>
      <c r="Q19" s="50">
        <f>+VLOOKUP(C19,[10]Forecast!F:V,14,0)</f>
        <v>111.83333333333333</v>
      </c>
      <c r="R19" s="50">
        <f>+VLOOKUP(C19,[10]Forecast!F:V,16,0)</f>
        <v>0</v>
      </c>
      <c r="S19" s="51" t="s">
        <v>25</v>
      </c>
      <c r="T19" s="52"/>
    </row>
    <row r="20" spans="1:20" s="53" customFormat="1" ht="21" customHeight="1">
      <c r="A20" s="34"/>
      <c r="B20" s="43">
        <f t="shared" si="0"/>
        <v>10</v>
      </c>
      <c r="C20" s="44" t="s">
        <v>33</v>
      </c>
      <c r="D20" s="45">
        <f>+VLOOKUP(C20,'[10]Part List รวมล่าสุดกว่า'!A:R,3,0)</f>
        <v>2</v>
      </c>
      <c r="E20" s="46" t="s">
        <v>24</v>
      </c>
      <c r="F20" s="45">
        <f>+VLOOKUP(C20,'[10]Part List รวมล่าสุดกว่า'!A:R,4,0)</f>
        <v>52</v>
      </c>
      <c r="G20" s="46" t="s">
        <v>24</v>
      </c>
      <c r="H20" s="47">
        <f>+VLOOKUP(C20,'[10]Part List รวมล่าสุดกว่า'!A:R,5,0)</f>
        <v>1219</v>
      </c>
      <c r="I20" s="48" t="str">
        <f>+VLOOKUP(C20,'[10]Part List รวมล่าสุดกว่า'!A:R,9,0)</f>
        <v>JSH270C</v>
      </c>
      <c r="J20" s="49" t="str">
        <f>+VLOOKUP(C20,'[10]Part List รวมล่าสุดกว่า'!A:R,10,0)</f>
        <v>STAY UNDER COWL</v>
      </c>
      <c r="K20" s="49" t="str">
        <f>+VLOOKUP(C20,'[10]Part List รวมล่าสุดกว่า'!A:R,11,0)</f>
        <v>50192-K1TA-E100-H1</v>
      </c>
      <c r="L20" s="49" t="str">
        <f>+VLOOKUP(C20,'[10]Part List รวมล่าสุดกว่า'!A:R,12,0)</f>
        <v>K1TA</v>
      </c>
      <c r="M20" s="50">
        <f>+VLOOKUP(C20,[10]Forecast!F:V,6,0)</f>
        <v>102</v>
      </c>
      <c r="N20" s="50">
        <f>+VLOOKUP(C20,[10]Forecast!F:V,8,0)</f>
        <v>92.705882352941174</v>
      </c>
      <c r="O20" s="50">
        <f>+VLOOKUP(C20,[10]Forecast!F:V,10,0)</f>
        <v>71.058823529411768</v>
      </c>
      <c r="P20" s="50">
        <f>+VLOOKUP(C20,[10]Forecast!F:V,12,0)</f>
        <v>62.294117647058826</v>
      </c>
      <c r="Q20" s="50">
        <f>+VLOOKUP(C20,[10]Forecast!F:V,14,0)</f>
        <v>88.294117647058826</v>
      </c>
      <c r="R20" s="50">
        <f>+VLOOKUP(C20,[10]Forecast!F:V,16,0)</f>
        <v>2.9411764705882353E-2</v>
      </c>
      <c r="S20" s="51" t="s">
        <v>25</v>
      </c>
      <c r="T20" s="52"/>
    </row>
    <row r="21" spans="1:20" s="53" customFormat="1" ht="21" customHeight="1">
      <c r="A21" s="34"/>
      <c r="B21" s="43">
        <f t="shared" si="0"/>
        <v>11</v>
      </c>
      <c r="C21" s="44" t="s">
        <v>34</v>
      </c>
      <c r="D21" s="45">
        <f>+VLOOKUP(C21,'[10]Part List รวมล่าสุดกว่า'!A:R,3,0)</f>
        <v>1.6</v>
      </c>
      <c r="E21" s="46" t="s">
        <v>24</v>
      </c>
      <c r="F21" s="45">
        <f>+VLOOKUP(C21,'[10]Part List รวมล่าสุดกว่า'!A:R,4,0)</f>
        <v>36</v>
      </c>
      <c r="G21" s="46" t="s">
        <v>24</v>
      </c>
      <c r="H21" s="47">
        <f>+VLOOKUP(C21,'[10]Part List รวมล่าสุดกว่า'!A:R,5,0)</f>
        <v>1219</v>
      </c>
      <c r="I21" s="48" t="str">
        <f>+VLOOKUP(C21,'[10]Part List รวมล่าสุดกว่า'!A:R,9,0)</f>
        <v>SPHC-P/O</v>
      </c>
      <c r="J21" s="49" t="str">
        <f>+VLOOKUP(C21,'[10]Part List รวมล่าสุดกว่า'!A:R,10,0)</f>
        <v>STAY C CHAIN CASE</v>
      </c>
      <c r="K21" s="49" t="str">
        <f>+VLOOKUP(C21,'[10]Part List รวมล่าสุดกว่า'!A:R,11,0)</f>
        <v>52133-KPH-9000-H1</v>
      </c>
      <c r="L21" s="49" t="str">
        <f>+VLOOKUP(C21,'[10]Part List รวมล่าสุดกว่า'!A:R,12,0)</f>
        <v>Honda</v>
      </c>
      <c r="M21" s="50">
        <f>+VLOOKUP(C21,[10]Forecast!F:V,6,0)</f>
        <v>204.91803278688525</v>
      </c>
      <c r="N21" s="50">
        <f>+VLOOKUP(C21,[10]Forecast!F:V,8,0)</f>
        <v>172.13114754098362</v>
      </c>
      <c r="O21" s="50">
        <f>+VLOOKUP(C21,[10]Forecast!F:V,10,0)</f>
        <v>114.75409836065573</v>
      </c>
      <c r="P21" s="50">
        <f>+VLOOKUP(C21,[10]Forecast!F:V,12,0)</f>
        <v>213.11475409836066</v>
      </c>
      <c r="Q21" s="50">
        <f>+VLOOKUP(C21,[10]Forecast!F:V,14,0)</f>
        <v>127.8688524590164</v>
      </c>
      <c r="R21" s="50">
        <f>+VLOOKUP(C21,[10]Forecast!F:V,16,0)</f>
        <v>159.8360655737705</v>
      </c>
      <c r="S21" s="51" t="s">
        <v>25</v>
      </c>
      <c r="T21" s="52"/>
    </row>
    <row r="22" spans="1:20" s="53" customFormat="1" ht="21" customHeight="1">
      <c r="A22" s="34"/>
      <c r="B22" s="43">
        <f t="shared" si="0"/>
        <v>12</v>
      </c>
      <c r="C22" s="44">
        <v>30048196</v>
      </c>
      <c r="D22" s="45">
        <f>+VLOOKUP(C22,'[10]Part List รวมล่าสุดกว่า'!A:R,3,0)</f>
        <v>2</v>
      </c>
      <c r="E22" s="46" t="s">
        <v>24</v>
      </c>
      <c r="F22" s="45">
        <f>+VLOOKUP(C22,'[10]Part List รวมล่าสุดกว่า'!A:R,4,0)</f>
        <v>78</v>
      </c>
      <c r="G22" s="46" t="s">
        <v>24</v>
      </c>
      <c r="H22" s="47">
        <f>+VLOOKUP(C22,'[10]Part List รวมล่าสุดกว่า'!A:R,5,0)</f>
        <v>1219</v>
      </c>
      <c r="I22" s="48" t="str">
        <f>+VLOOKUP(C22,'[10]Part List รวมล่าสุดกว่า'!A:R,9,0)</f>
        <v>SPHC-P/O</v>
      </c>
      <c r="J22" s="49" t="str">
        <f>+VLOOKUP(C22,'[10]Part List รวมล่าสุดกว่า'!A:R,10,0)</f>
        <v>PATCH SWING ARM CORSS</v>
      </c>
      <c r="K22" s="49" t="str">
        <f>+VLOOKUP(C22,'[10]Part List รวมล่าสุดกว่า'!A:R,11,0)</f>
        <v>52113-KWBA-6000-H1</v>
      </c>
      <c r="L22" s="49" t="str">
        <f>+VLOOKUP(C22,'[10]Part List รวมล่าสุดกว่า'!A:R,12,0)</f>
        <v>KWBA</v>
      </c>
      <c r="M22" s="50">
        <f>+VLOOKUP(C22,[10]Forecast!F:V,6,0)</f>
        <v>1700</v>
      </c>
      <c r="N22" s="50">
        <f>+VLOOKUP(C22,[10]Forecast!F:V,8,0)</f>
        <v>1400</v>
      </c>
      <c r="O22" s="50">
        <f>+VLOOKUP(C22,[10]Forecast!F:V,10,0)</f>
        <v>15.294117647058824</v>
      </c>
      <c r="P22" s="50">
        <f>+VLOOKUP(C22,[10]Forecast!F:V,12,0)</f>
        <v>1600</v>
      </c>
      <c r="Q22" s="50">
        <f>+VLOOKUP(C22,[10]Forecast!F:V,14,0)</f>
        <v>1350</v>
      </c>
      <c r="R22" s="50">
        <f>+VLOOKUP(C22,[10]Forecast!F:V,16,0)</f>
        <v>1500</v>
      </c>
      <c r="S22" s="51" t="s">
        <v>25</v>
      </c>
      <c r="T22" s="52"/>
    </row>
    <row r="23" spans="1:20" s="53" customFormat="1" ht="21" customHeight="1">
      <c r="A23" s="34"/>
      <c r="B23" s="43">
        <f t="shared" si="0"/>
        <v>13</v>
      </c>
      <c r="C23" s="44">
        <v>30032710</v>
      </c>
      <c r="D23" s="45">
        <f>+VLOOKUP(C23,'[10]Part List รวมล่าสุดกว่า'!A:R,3,0)</f>
        <v>2</v>
      </c>
      <c r="E23" s="46" t="s">
        <v>24</v>
      </c>
      <c r="F23" s="45">
        <f>+VLOOKUP(C23,'[10]Part List รวมล่าสุดกว่า'!A:R,4,0)</f>
        <v>342</v>
      </c>
      <c r="G23" s="46" t="s">
        <v>24</v>
      </c>
      <c r="H23" s="47">
        <f>+VLOOKUP(C23,'[10]Part List รวมล่าสุดกว่า'!A:R,5,0)</f>
        <v>1219</v>
      </c>
      <c r="I23" s="48" t="str">
        <f>+VLOOKUP(C23,'[10]Part List รวมล่าสุดกว่า'!A:R,9,0)</f>
        <v>JSH270C</v>
      </c>
      <c r="J23" s="49" t="str">
        <f>+VLOOKUP(C23,'[10]Part List รวมล่าสุดกว่า'!A:R,10,0)</f>
        <v>STAY</v>
      </c>
      <c r="K23" s="49" t="str">
        <f>+VLOOKUP(C23,'[10]Part List รวมล่าสุดกว่า'!A:R,11,0)</f>
        <v>61102-K87A-A000-20</v>
      </c>
      <c r="L23" s="49" t="str">
        <f>+VLOOKUP(C23,'[10]Part List รวมล่าสุดกว่า'!A:R,12,0)</f>
        <v>K87A &amp; MKGA</v>
      </c>
      <c r="M23" s="50">
        <f>+VLOOKUP(C23,[10]Forecast!F:V,6,0)</f>
        <v>314.28571428571428</v>
      </c>
      <c r="N23" s="50">
        <f>+VLOOKUP(C23,[10]Forecast!F:V,8,0)</f>
        <v>115.14285714285714</v>
      </c>
      <c r="O23" s="50">
        <f>+VLOOKUP(C23,[10]Forecast!F:V,10,0)</f>
        <v>246.28571428571428</v>
      </c>
      <c r="P23" s="50">
        <f>+VLOOKUP(C23,[10]Forecast!F:V,12,0)</f>
        <v>143.28571428571428</v>
      </c>
      <c r="Q23" s="50">
        <f>+VLOOKUP(C23,[10]Forecast!F:V,14,0)</f>
        <v>208.28571428571428</v>
      </c>
      <c r="R23" s="50">
        <f>+VLOOKUP(C23,[10]Forecast!F:V,16,0)</f>
        <v>519.14285714285711</v>
      </c>
      <c r="S23" s="51" t="s">
        <v>25</v>
      </c>
      <c r="T23" s="52"/>
    </row>
    <row r="24" spans="1:20" s="53" customFormat="1" ht="21" customHeight="1">
      <c r="A24" s="34"/>
      <c r="B24" s="43">
        <f t="shared" si="0"/>
        <v>14</v>
      </c>
      <c r="C24" s="44" t="s">
        <v>35</v>
      </c>
      <c r="D24" s="45">
        <f>+VLOOKUP(C24,'[10]Part List รวมล่าสุดกว่า'!A:R,3,0)</f>
        <v>2.2999999999999998</v>
      </c>
      <c r="E24" s="46" t="s">
        <v>24</v>
      </c>
      <c r="F24" s="45">
        <f>+VLOOKUP(C24,'[10]Part List รวมล่าสุดกว่า'!A:R,4,0)</f>
        <v>85</v>
      </c>
      <c r="G24" s="46" t="s">
        <v>24</v>
      </c>
      <c r="H24" s="47">
        <f>+VLOOKUP(C24,'[10]Part List รวมล่าสุดกว่า'!A:R,5,0)</f>
        <v>1219</v>
      </c>
      <c r="I24" s="48" t="str">
        <f>+VLOOKUP(C24,'[10]Part List รวมล่าสุดกว่า'!A:R,9,0)</f>
        <v>JSH270C</v>
      </c>
      <c r="J24" s="49" t="str">
        <f>+VLOOKUP(C24,'[10]Part List รวมล่าสุดกว่า'!A:R,10,0)</f>
        <v>PLATE B TREAD BAR</v>
      </c>
      <c r="K24" s="49" t="str">
        <f>+VLOOKUP(C24,'[10]Part List รวมล่าสุดกว่า'!A:R,11,0)</f>
        <v>50500-KSSX-J300-20</v>
      </c>
      <c r="L24" s="49" t="str">
        <f>+VLOOKUP(C24,'[10]Part List รวมล่าสุดกว่า'!A:R,12,0)</f>
        <v>KSSX</v>
      </c>
      <c r="M24" s="50">
        <f>+VLOOKUP(C24,[10]Forecast!F:V,6,0)</f>
        <v>431.25</v>
      </c>
      <c r="N24" s="50">
        <f>+VLOOKUP(C24,[10]Forecast!F:V,8,0)</f>
        <v>490</v>
      </c>
      <c r="O24" s="50">
        <f>+VLOOKUP(C24,[10]Forecast!F:V,10,0)</f>
        <v>210</v>
      </c>
      <c r="P24" s="50">
        <f>+VLOOKUP(C24,[10]Forecast!F:V,12,0)</f>
        <v>140</v>
      </c>
      <c r="Q24" s="50">
        <f>+VLOOKUP(C24,[10]Forecast!F:V,14,0)</f>
        <v>3.125E-2</v>
      </c>
      <c r="R24" s="50">
        <f>+VLOOKUP(C24,[10]Forecast!F:V,16,0)</f>
        <v>3.125E-2</v>
      </c>
      <c r="S24" s="51" t="s">
        <v>25</v>
      </c>
      <c r="T24" s="52"/>
    </row>
    <row r="25" spans="1:20" s="53" customFormat="1" ht="21" customHeight="1">
      <c r="A25" s="34"/>
      <c r="B25" s="43">
        <f t="shared" si="0"/>
        <v>15</v>
      </c>
      <c r="C25" s="44" t="s">
        <v>36</v>
      </c>
      <c r="D25" s="45">
        <f>+VLOOKUP(C25,'[10]Part List รวมล่าสุดกว่า'!A:R,3,0)</f>
        <v>1.4</v>
      </c>
      <c r="E25" s="46" t="s">
        <v>24</v>
      </c>
      <c r="F25" s="45">
        <f>+VLOOKUP(C25,'[10]Part List รวมล่าสุดกว่า'!A:R,4,0)</f>
        <v>65</v>
      </c>
      <c r="G25" s="46" t="s">
        <v>24</v>
      </c>
      <c r="H25" s="47">
        <f>+VLOOKUP(C25,'[10]Part List รวมล่าสุดกว่า'!A:R,5,0)</f>
        <v>1219</v>
      </c>
      <c r="I25" s="48" t="str">
        <f>+VLOOKUP(C25,'[10]Part List รวมล่าสุดกว่า'!A:R,9,0)</f>
        <v>JSH270C</v>
      </c>
      <c r="J25" s="49" t="str">
        <f>+VLOOKUP(C25,'[10]Part List รวมล่าสุดกว่า'!A:R,10,0)</f>
        <v>STAY R L WETER HOSE RR</v>
      </c>
      <c r="K25" s="49">
        <f>+VLOOKUP(C25,'[10]Part List รวมล่าสุดกว่า'!A:R,11,0)</f>
        <v>2400</v>
      </c>
      <c r="L25" s="49" t="str">
        <f>+VLOOKUP(C25,'[10]Part List รวมล่าสุดกว่า'!A:R,12,0)</f>
        <v>K1BA</v>
      </c>
      <c r="M25" s="50">
        <f>+VLOOKUP(C25,[10]Forecast!F:V,6,0)</f>
        <v>81.230769230769226</v>
      </c>
      <c r="N25" s="50">
        <f>+VLOOKUP(C25,[10]Forecast!F:V,8,0)</f>
        <v>53.92307692307692</v>
      </c>
      <c r="O25" s="50">
        <f>+VLOOKUP(C25,[10]Forecast!F:V,10,0)</f>
        <v>58.217948717948715</v>
      </c>
      <c r="P25" s="50">
        <f>+VLOOKUP(C25,[10]Forecast!F:V,12,0)</f>
        <v>76.692307692307693</v>
      </c>
      <c r="Q25" s="50">
        <f>+VLOOKUP(C25,[10]Forecast!F:V,14,0)</f>
        <v>0</v>
      </c>
      <c r="R25" s="50">
        <f>+VLOOKUP(C25,[10]Forecast!F:V,16,0)</f>
        <v>58.820512820512818</v>
      </c>
      <c r="S25" s="51" t="s">
        <v>25</v>
      </c>
      <c r="T25" s="52"/>
    </row>
    <row r="26" spans="1:20" s="53" customFormat="1" ht="21" customHeight="1">
      <c r="A26" s="34"/>
      <c r="B26" s="43">
        <f t="shared" si="0"/>
        <v>16</v>
      </c>
      <c r="C26" s="44" t="s">
        <v>37</v>
      </c>
      <c r="D26" s="45">
        <f>+VLOOKUP(C26,'[10]Part List รวมล่าสุดกว่า'!A:R,3,0)</f>
        <v>1.6</v>
      </c>
      <c r="E26" s="46" t="s">
        <v>24</v>
      </c>
      <c r="F26" s="45">
        <f>+VLOOKUP(C26,'[10]Part List รวมล่าสุดกว่า'!A:R,4,0)</f>
        <v>57</v>
      </c>
      <c r="G26" s="46" t="s">
        <v>24</v>
      </c>
      <c r="H26" s="47">
        <f>+VLOOKUP(C26,'[10]Part List รวมล่าสุดกว่า'!A:R,5,0)</f>
        <v>1219</v>
      </c>
      <c r="I26" s="48" t="str">
        <f>+VLOOKUP(C26,'[10]Part List รวมล่าสุดกว่า'!A:R,9,0)</f>
        <v>JSH270C</v>
      </c>
      <c r="J26" s="49" t="str">
        <f>+VLOOKUP(C26,'[10]Part List รวมล่าสุดกว่า'!A:R,10,0)</f>
        <v>STAY R/L</v>
      </c>
      <c r="K26" s="49" t="str">
        <f>+VLOOKUP(C26,'[10]Part List รวมล่าสุดกว่า'!A:R,11,0)</f>
        <v>50313-K1BA-T002-20</v>
      </c>
      <c r="L26" s="49" t="str">
        <f>+VLOOKUP(C26,'[10]Part List รวมล่าสุดกว่า'!A:R,12,0)</f>
        <v>K1BA</v>
      </c>
      <c r="M26" s="50">
        <f>+VLOOKUP(C26,[10]Forecast!F:V,6,0)</f>
        <v>264</v>
      </c>
      <c r="N26" s="50">
        <f>+VLOOKUP(C26,[10]Forecast!F:V,8,0)</f>
        <v>221.42222222222222</v>
      </c>
      <c r="O26" s="50">
        <f>+VLOOKUP(C26,[10]Forecast!F:V,10,0)</f>
        <v>182.93333333333334</v>
      </c>
      <c r="P26" s="50">
        <f>+VLOOKUP(C26,[10]Forecast!F:V,12,0)</f>
        <v>172.97777777777779</v>
      </c>
      <c r="Q26" s="50">
        <f>+VLOOKUP(C26,[10]Forecast!F:V,14,0)</f>
        <v>154.4</v>
      </c>
      <c r="R26" s="50">
        <f>+VLOOKUP(C26,[10]Forecast!F:V,16,0)</f>
        <v>0</v>
      </c>
      <c r="S26" s="51" t="s">
        <v>25</v>
      </c>
      <c r="T26" s="52"/>
    </row>
    <row r="27" spans="1:20" s="53" customFormat="1" ht="21" customHeight="1">
      <c r="A27" s="34"/>
      <c r="B27" s="43">
        <f t="shared" si="0"/>
        <v>17</v>
      </c>
      <c r="C27" s="44">
        <v>30041718</v>
      </c>
      <c r="D27" s="45">
        <f>+VLOOKUP(C27,'[10]Part List รวมล่าสุดกว่า'!A:R,3,0)</f>
        <v>2.2999999999999998</v>
      </c>
      <c r="E27" s="46" t="s">
        <v>24</v>
      </c>
      <c r="F27" s="45">
        <f>+VLOOKUP(C27,'[10]Part List รวมล่าสุดกว่า'!A:R,4,0)</f>
        <v>305</v>
      </c>
      <c r="G27" s="46" t="s">
        <v>24</v>
      </c>
      <c r="H27" s="47">
        <f>+VLOOKUP(C27,'[10]Part List รวมล่าสุดกว่า'!A:R,5,0)</f>
        <v>1219</v>
      </c>
      <c r="I27" s="48" t="str">
        <f>+VLOOKUP(C27,'[10]Part List รวมล่าสุดกว่า'!A:R,9,0)</f>
        <v>JSH590R</v>
      </c>
      <c r="J27" s="49" t="str">
        <f>+VLOOKUP(C27,'[10]Part List รวมล่าสุดกว่า'!A:R,10,0)</f>
        <v>PLATE R FR HANGER</v>
      </c>
      <c r="K27" s="49" t="str">
        <f>+VLOOKUP(C27,'[10]Part List รวมล่าสุดกว่า'!A:R,11,0)</f>
        <v>50114-K1TA-E100-H1</v>
      </c>
      <c r="L27" s="49" t="str">
        <f>+VLOOKUP(C27,'[10]Part List รวมล่าสุดกว่า'!A:R,12,0)</f>
        <v>K1TA</v>
      </c>
      <c r="M27" s="50">
        <f>+VLOOKUP(C27,[10]Forecast!F:V,6,0)</f>
        <v>57.8</v>
      </c>
      <c r="N27" s="50">
        <f>+VLOOKUP(C27,[10]Forecast!F:V,8,0)</f>
        <v>52.533333333333331</v>
      </c>
      <c r="O27" s="50">
        <f>+VLOOKUP(C27,[10]Forecast!F:V,10,0)</f>
        <v>40.266666666666666</v>
      </c>
      <c r="P27" s="50">
        <f>+VLOOKUP(C27,[10]Forecast!F:V,12,0)</f>
        <v>35.299999999999997</v>
      </c>
      <c r="Q27" s="50">
        <f>+VLOOKUP(C27,[10]Forecast!F:V,14,0)</f>
        <v>50.033333333333331</v>
      </c>
      <c r="R27" s="50">
        <f>+VLOOKUP(C27,[10]Forecast!F:V,16,0)</f>
        <v>0</v>
      </c>
      <c r="S27" s="51" t="s">
        <v>25</v>
      </c>
      <c r="T27" s="52"/>
    </row>
    <row r="28" spans="1:20" s="53" customFormat="1" ht="21" customHeight="1">
      <c r="A28" s="34"/>
      <c r="B28" s="43">
        <f t="shared" si="0"/>
        <v>18</v>
      </c>
      <c r="C28" s="44">
        <v>30041719</v>
      </c>
      <c r="D28" s="45">
        <f>+VLOOKUP(C28,'[10]Part List รวมล่าสุดกว่า'!A:R,3,0)</f>
        <v>2.2999999999999998</v>
      </c>
      <c r="E28" s="46" t="s">
        <v>24</v>
      </c>
      <c r="F28" s="45">
        <f>+VLOOKUP(C28,'[10]Part List รวมล่าสุดกว่า'!A:R,4,0)</f>
        <v>305</v>
      </c>
      <c r="G28" s="46" t="s">
        <v>24</v>
      </c>
      <c r="H28" s="47">
        <f>+VLOOKUP(C28,'[10]Part List รวมล่าสุดกว่า'!A:R,5,0)</f>
        <v>1219</v>
      </c>
      <c r="I28" s="48" t="str">
        <f>+VLOOKUP(C28,'[10]Part List รวมล่าสุดกว่า'!A:R,9,0)</f>
        <v>JSH590R</v>
      </c>
      <c r="J28" s="49" t="str">
        <f>+VLOOKUP(C28,'[10]Part List รวมล่าสุดกว่า'!A:R,10,0)</f>
        <v>PLATE L FR HANGER</v>
      </c>
      <c r="K28" s="49" t="str">
        <f>+VLOOKUP(C28,'[10]Part List รวมล่าสุดกว่า'!A:R,11,0)</f>
        <v>50115-K1TA-E100-H1</v>
      </c>
      <c r="L28" s="49" t="str">
        <f>+VLOOKUP(C28,'[10]Part List รวมล่าสุดกว่า'!A:R,12,0)</f>
        <v>K1TA</v>
      </c>
      <c r="M28" s="50">
        <f>+VLOOKUP(C28,[10]Forecast!F:V,6,0)</f>
        <v>57.8</v>
      </c>
      <c r="N28" s="50">
        <f>+VLOOKUP(C28,[10]Forecast!F:V,8,0)</f>
        <v>52.533333333333331</v>
      </c>
      <c r="O28" s="50">
        <f>+VLOOKUP(C28,[10]Forecast!F:V,10,0)</f>
        <v>40.266666666666666</v>
      </c>
      <c r="P28" s="50">
        <f>+VLOOKUP(C28,[10]Forecast!F:V,12,0)</f>
        <v>35.299999999999997</v>
      </c>
      <c r="Q28" s="50">
        <f>+VLOOKUP(C28,[10]Forecast!F:V,14,0)</f>
        <v>50.033333333333331</v>
      </c>
      <c r="R28" s="50">
        <f>+VLOOKUP(C28,[10]Forecast!F:V,16,0)</f>
        <v>0</v>
      </c>
      <c r="S28" s="51" t="s">
        <v>25</v>
      </c>
      <c r="T28" s="52"/>
    </row>
    <row r="29" spans="1:20" s="53" customFormat="1" ht="21" customHeight="1">
      <c r="A29" s="34"/>
      <c r="B29" s="43">
        <f t="shared" si="0"/>
        <v>19</v>
      </c>
      <c r="C29" s="44" t="s">
        <v>33</v>
      </c>
      <c r="D29" s="45">
        <f>+VLOOKUP(C29,'[10]Part List รวมล่าสุดกว่า'!A:R,3,0)</f>
        <v>2</v>
      </c>
      <c r="E29" s="46" t="s">
        <v>24</v>
      </c>
      <c r="F29" s="45">
        <f>+VLOOKUP(C29,'[10]Part List รวมล่าสุดกว่า'!A:R,4,0)</f>
        <v>52</v>
      </c>
      <c r="G29" s="46" t="s">
        <v>24</v>
      </c>
      <c r="H29" s="47">
        <f>+VLOOKUP(C29,'[10]Part List รวมล่าสุดกว่า'!A:R,5,0)</f>
        <v>1219</v>
      </c>
      <c r="I29" s="48" t="str">
        <f>+VLOOKUP(C29,'[10]Part List รวมล่าสุดกว่า'!A:R,9,0)</f>
        <v>JSH270C</v>
      </c>
      <c r="J29" s="49" t="str">
        <f>+VLOOKUP(C29,'[10]Part List รวมล่าสุดกว่า'!A:R,10,0)</f>
        <v>STAY UNDER COWL</v>
      </c>
      <c r="K29" s="49" t="str">
        <f>+VLOOKUP(C29,'[10]Part List รวมล่าสุดกว่า'!A:R,11,0)</f>
        <v>50192-K1TA-E100-H1</v>
      </c>
      <c r="L29" s="49" t="str">
        <f>+VLOOKUP(C29,'[10]Part List รวมล่าสุดกว่า'!A:R,12,0)</f>
        <v>K1TA</v>
      </c>
      <c r="M29" s="50">
        <f>+VLOOKUP(C29,[10]Forecast!F:V,6,0)</f>
        <v>102</v>
      </c>
      <c r="N29" s="50">
        <f>+VLOOKUP(C29,[10]Forecast!F:V,8,0)</f>
        <v>92.705882352941174</v>
      </c>
      <c r="O29" s="50">
        <f>+VLOOKUP(C29,[10]Forecast!F:V,10,0)</f>
        <v>71.058823529411768</v>
      </c>
      <c r="P29" s="50">
        <f>+VLOOKUP(C29,[10]Forecast!F:V,12,0)</f>
        <v>62.294117647058826</v>
      </c>
      <c r="Q29" s="50">
        <f>+VLOOKUP(C29,[10]Forecast!F:V,14,0)</f>
        <v>88.294117647058826</v>
      </c>
      <c r="R29" s="50">
        <f>+VLOOKUP(C29,[10]Forecast!F:V,16,0)</f>
        <v>2.9411764705882353E-2</v>
      </c>
      <c r="S29" s="51" t="s">
        <v>25</v>
      </c>
      <c r="T29" s="52"/>
    </row>
    <row r="30" spans="1:20" s="53" customFormat="1" ht="21" customHeight="1">
      <c r="A30" s="34"/>
      <c r="B30" s="43">
        <f t="shared" si="0"/>
        <v>20</v>
      </c>
      <c r="C30" s="44" t="s">
        <v>38</v>
      </c>
      <c r="D30" s="45">
        <f>+VLOOKUP(C30,'[10]Part List รวมล่าสุดกว่า'!A:R,3,0)</f>
        <v>2</v>
      </c>
      <c r="E30" s="46" t="s">
        <v>24</v>
      </c>
      <c r="F30" s="45">
        <f>+VLOOKUP(C30,'[10]Part List รวมล่าสุดกว่า'!A:R,4,0)</f>
        <v>81</v>
      </c>
      <c r="G30" s="46" t="s">
        <v>24</v>
      </c>
      <c r="H30" s="47">
        <f>+VLOOKUP(C30,'[10]Part List รวมล่าสุดกว่า'!A:R,5,0)</f>
        <v>1219</v>
      </c>
      <c r="I30" s="48" t="str">
        <f>+VLOOKUP(C30,'[10]Part List รวมล่าสุดกว่า'!A:R,9,0)</f>
        <v>JSH270C</v>
      </c>
      <c r="J30" s="49" t="str">
        <f>+VLOOKUP(C30,'[10]Part List รวมล่าสุดกว่า'!A:R,10,0)</f>
        <v>STAY R TANK FR (STAY R)</v>
      </c>
      <c r="K30" s="49" t="str">
        <f>+VLOOKUP(C30,'[10]Part List รวมล่าสุดกว่า'!A:R,11,0)</f>
        <v>50141-K26P-G000-H1</v>
      </c>
      <c r="L30" s="49" t="str">
        <f>+VLOOKUP(C30,'[10]Part List รวมล่าสุดกว่า'!A:R,12,0)</f>
        <v>K26P</v>
      </c>
      <c r="M30" s="50">
        <f>+VLOOKUP(C30,[10]Forecast!F:V,6,0)</f>
        <v>4.0588235294117645</v>
      </c>
      <c r="N30" s="50">
        <f>+VLOOKUP(C30,[10]Forecast!F:V,8,0)</f>
        <v>23.411764705882351</v>
      </c>
      <c r="O30" s="50">
        <f>+VLOOKUP(C30,[10]Forecast!F:V,10,0)</f>
        <v>28.411764705882351</v>
      </c>
      <c r="P30" s="50">
        <f>+VLOOKUP(C30,[10]Forecast!F:V,12,0)</f>
        <v>30.705882352941178</v>
      </c>
      <c r="Q30" s="50">
        <f>+VLOOKUP(C30,[10]Forecast!F:V,14,0)</f>
        <v>34.176470588235297</v>
      </c>
      <c r="R30" s="50">
        <f>+VLOOKUP(C30,[10]Forecast!F:V,16,0)</f>
        <v>0</v>
      </c>
      <c r="S30" s="51" t="s">
        <v>25</v>
      </c>
      <c r="T30" s="52"/>
    </row>
    <row r="31" spans="1:20" s="53" customFormat="1" ht="21" customHeight="1">
      <c r="A31" s="34"/>
      <c r="B31" s="43">
        <f t="shared" si="0"/>
        <v>21</v>
      </c>
      <c r="C31" s="44" t="s">
        <v>39</v>
      </c>
      <c r="D31" s="45">
        <f>+VLOOKUP(C31,'[10]Part List รวมล่าสุดกว่า'!A:R,3,0)</f>
        <v>2</v>
      </c>
      <c r="E31" s="46" t="s">
        <v>24</v>
      </c>
      <c r="F31" s="45">
        <f>+VLOOKUP(C31,'[10]Part List รวมล่าสุดกว่า'!A:R,4,0)</f>
        <v>77</v>
      </c>
      <c r="G31" s="46" t="s">
        <v>24</v>
      </c>
      <c r="H31" s="47">
        <f>+VLOOKUP(C31,'[10]Part List รวมล่าสุดกว่า'!A:R,5,0)</f>
        <v>1219</v>
      </c>
      <c r="I31" s="48" t="str">
        <f>+VLOOKUP(C31,'[10]Part List รวมล่าสุดกว่า'!A:R,9,0)</f>
        <v>JSH270C</v>
      </c>
      <c r="J31" s="49" t="str">
        <f>+VLOOKUP(C31,'[10]Part List รวมล่าสุดกว่า'!A:R,10,0)</f>
        <v>STAY L TANK FR (STAY L R)</v>
      </c>
      <c r="K31" s="49" t="str">
        <f>+VLOOKUP(C31,'[10]Part List รวมล่าสุดกว่า'!A:R,11,0)</f>
        <v>50142-K26P-G000-H1</v>
      </c>
      <c r="L31" s="49" t="str">
        <f>+VLOOKUP(C31,'[10]Part List รวมล่าสุดกว่า'!A:R,12,0)</f>
        <v>K26P</v>
      </c>
      <c r="M31" s="50">
        <f>+VLOOKUP(C31,[10]Forecast!F:V,6,0)</f>
        <v>2.875</v>
      </c>
      <c r="N31" s="50">
        <f>+VLOOKUP(C31,[10]Forecast!F:V,8,0)</f>
        <v>16.583333333333332</v>
      </c>
      <c r="O31" s="50">
        <f>+VLOOKUP(C31,[10]Forecast!F:V,10,0)</f>
        <v>20.125</v>
      </c>
      <c r="P31" s="50">
        <f>+VLOOKUP(C31,[10]Forecast!F:V,12,0)</f>
        <v>21.75</v>
      </c>
      <c r="Q31" s="50">
        <f>+VLOOKUP(C31,[10]Forecast!F:V,14,0)</f>
        <v>24.208333333333332</v>
      </c>
      <c r="R31" s="50">
        <f>+VLOOKUP(C31,[10]Forecast!F:V,16,0)</f>
        <v>0</v>
      </c>
      <c r="S31" s="51" t="s">
        <v>25</v>
      </c>
      <c r="T31" s="52"/>
    </row>
    <row r="32" spans="1:20" s="53" customFormat="1" ht="21" hidden="1" customHeight="1">
      <c r="A32" s="34"/>
      <c r="B32" s="43">
        <f t="shared" si="0"/>
        <v>22</v>
      </c>
      <c r="C32" s="44"/>
      <c r="D32" s="45" t="e">
        <f>+VLOOKUP(C32,'[10]Part List รวมล่าสุดกว่า'!A:R,3,0)</f>
        <v>#N/A</v>
      </c>
      <c r="E32" s="46" t="s">
        <v>24</v>
      </c>
      <c r="F32" s="45" t="e">
        <f>+VLOOKUP(C32,'[10]Part List รวมล่าสุดกว่า'!A:R,4,0)</f>
        <v>#N/A</v>
      </c>
      <c r="G32" s="46" t="s">
        <v>24</v>
      </c>
      <c r="H32" s="47" t="e">
        <f>+VLOOKUP(C32,'[10]Part List รวมล่าสุดกว่า'!A:R,5,0)</f>
        <v>#N/A</v>
      </c>
      <c r="I32" s="48" t="e">
        <f>+VLOOKUP(C32,'[10]Part List รวมล่าสุดกว่า'!A:R,9,0)</f>
        <v>#N/A</v>
      </c>
      <c r="J32" s="49" t="e">
        <f>+VLOOKUP(C32,'[10]Part List รวมล่าสุดกว่า'!A:R,10,0)</f>
        <v>#N/A</v>
      </c>
      <c r="K32" s="49" t="e">
        <f>+VLOOKUP(C32,'[10]Part List รวมล่าสุดกว่า'!A:R,11,0)</f>
        <v>#N/A</v>
      </c>
      <c r="L32" s="49" t="e">
        <f>+VLOOKUP(C32,'[10]Part List รวมล่าสุดกว่า'!A:R,12,0)</f>
        <v>#N/A</v>
      </c>
      <c r="M32" s="50" t="e">
        <f>+VLOOKUP(C32,[10]Forecast!F:V,6,0)</f>
        <v>#N/A</v>
      </c>
      <c r="N32" s="50" t="e">
        <f>+VLOOKUP(C32,[10]Forecast!F:V,8,0)</f>
        <v>#N/A</v>
      </c>
      <c r="O32" s="50" t="e">
        <f>+VLOOKUP(C32,[10]Forecast!F:V,10,0)</f>
        <v>#N/A</v>
      </c>
      <c r="P32" s="50" t="e">
        <f>+VLOOKUP(C32,[10]Forecast!F:V,12,0)</f>
        <v>#N/A</v>
      </c>
      <c r="Q32" s="50" t="e">
        <f>+VLOOKUP(C32,[10]Forecast!F:V,14,0)</f>
        <v>#N/A</v>
      </c>
      <c r="R32" s="50" t="e">
        <f>+VLOOKUP(C32,[10]Forecast!F:V,16,0)</f>
        <v>#N/A</v>
      </c>
      <c r="S32" s="51" t="s">
        <v>25</v>
      </c>
      <c r="T32" s="52"/>
    </row>
    <row r="33" spans="1:20" s="53" customFormat="1" ht="21" customHeight="1">
      <c r="A33" s="34"/>
      <c r="B33" s="43">
        <f t="shared" si="0"/>
        <v>23</v>
      </c>
      <c r="C33" s="44" t="s">
        <v>40</v>
      </c>
      <c r="D33" s="45">
        <f>+VLOOKUP(C33,'[10]Part List รวมล่าสุดกว่า'!A:R,3,0)</f>
        <v>2.2999999999999998</v>
      </c>
      <c r="E33" s="46" t="s">
        <v>24</v>
      </c>
      <c r="F33" s="45">
        <f>+VLOOKUP(C33,'[10]Part List รวมล่าสุดกว่า'!A:R,4,0)</f>
        <v>87</v>
      </c>
      <c r="G33" s="46" t="s">
        <v>24</v>
      </c>
      <c r="H33" s="47">
        <f>+VLOOKUP(C33,'[10]Part List รวมล่าสุดกว่า'!A:R,5,0)</f>
        <v>1219</v>
      </c>
      <c r="I33" s="48" t="str">
        <f>+VLOOKUP(C33,'[10]Part List รวมล่าสุดกว่า'!A:R,9,0)</f>
        <v>JSH270C</v>
      </c>
      <c r="J33" s="49" t="str">
        <f>+VLOOKUP(C33,'[10]Part List รวมล่าสุดกว่า'!A:R,10,0)</f>
        <v>STAY ING COIL (STAY)</v>
      </c>
      <c r="K33" s="49" t="str">
        <f>+VLOOKUP(C33,'[10]Part List รวมล่าสุดกว่า'!A:R,11,0)</f>
        <v>50134-K26P-G000-H1</v>
      </c>
      <c r="L33" s="49" t="str">
        <f>+VLOOKUP(C33,'[10]Part List รวมล่าสุดกว่า'!A:R,12,0)</f>
        <v>K26P</v>
      </c>
      <c r="M33" s="50">
        <f>+VLOOKUP(C33,[10]Forecast!F:V,6,0)</f>
        <v>4.5999999999999996</v>
      </c>
      <c r="N33" s="50">
        <f>+VLOOKUP(C33,[10]Forecast!F:V,8,0)</f>
        <v>26.533333333333335</v>
      </c>
      <c r="O33" s="50">
        <f>+VLOOKUP(C33,[10]Forecast!F:V,10,0)</f>
        <v>32.200000000000003</v>
      </c>
      <c r="P33" s="50">
        <f>+VLOOKUP(C33,[10]Forecast!F:V,12,0)</f>
        <v>34.799999999999997</v>
      </c>
      <c r="Q33" s="50">
        <f>+VLOOKUP(C33,[10]Forecast!F:V,14,0)</f>
        <v>38.733333333333334</v>
      </c>
      <c r="R33" s="50">
        <f>+VLOOKUP(C33,[10]Forecast!F:V,16,0)</f>
        <v>0</v>
      </c>
      <c r="S33" s="51" t="s">
        <v>25</v>
      </c>
      <c r="T33" s="52"/>
    </row>
    <row r="34" spans="1:20" s="53" customFormat="1" ht="21" customHeight="1">
      <c r="A34" s="34"/>
      <c r="B34" s="43">
        <f t="shared" si="0"/>
        <v>24</v>
      </c>
      <c r="C34" s="44" t="s">
        <v>41</v>
      </c>
      <c r="D34" s="45">
        <f>+VLOOKUP(C34,'[10]Part List รวมล่าสุดกว่า'!A:R,3,0)</f>
        <v>1.2</v>
      </c>
      <c r="E34" s="46" t="s">
        <v>24</v>
      </c>
      <c r="F34" s="45">
        <f>+VLOOKUP(C34,'[10]Part List รวมล่าสุดกว่า'!A:R,4,0)</f>
        <v>73</v>
      </c>
      <c r="G34" s="46" t="s">
        <v>24</v>
      </c>
      <c r="H34" s="47">
        <f>+VLOOKUP(C34,'[10]Part List รวมล่าสุดกว่า'!A:R,5,0)</f>
        <v>1219</v>
      </c>
      <c r="I34" s="48" t="str">
        <f>+VLOOKUP(C34,'[10]Part List รวมล่าสุดกว่า'!A:R,9,0)</f>
        <v>JSC270C</v>
      </c>
      <c r="J34" s="49" t="str">
        <f>+VLOOKUP(C34,'[10]Part List รวมล่าสุดกว่า'!A:R,10,0)</f>
        <v>PLATE HARNESS</v>
      </c>
      <c r="K34" s="49" t="str">
        <f>+VLOOKUP(C34,'[10]Part List รวมล่าสุดกว่า'!A:R,11,0)</f>
        <v>50134-K26P-G001-21</v>
      </c>
      <c r="L34" s="49" t="str">
        <f>+VLOOKUP(C34,'[10]Part List รวมล่าสุดกว่า'!A:R,12,0)</f>
        <v>K26P</v>
      </c>
      <c r="M34" s="50">
        <f>+VLOOKUP(C34,[10]Forecast!F:V,6,0)</f>
        <v>0.73404255319148937</v>
      </c>
      <c r="N34" s="50">
        <f>+VLOOKUP(C34,[10]Forecast!F:V,8,0)</f>
        <v>4.2340425531914896</v>
      </c>
      <c r="O34" s="50">
        <f>+VLOOKUP(C34,[10]Forecast!F:V,10,0)</f>
        <v>5.1382978723404253</v>
      </c>
      <c r="P34" s="50">
        <f>+VLOOKUP(C34,[10]Forecast!F:V,12,0)</f>
        <v>5.5531914893617023</v>
      </c>
      <c r="Q34" s="50">
        <f>+VLOOKUP(C34,[10]Forecast!F:V,14,0)</f>
        <v>6.1808510638297873</v>
      </c>
      <c r="R34" s="50">
        <f>+VLOOKUP(C34,[10]Forecast!F:V,16,0)</f>
        <v>0</v>
      </c>
      <c r="S34" s="51" t="s">
        <v>25</v>
      </c>
      <c r="T34" s="52"/>
    </row>
    <row r="35" spans="1:20" s="53" customFormat="1" ht="21" customHeight="1">
      <c r="A35" s="34"/>
      <c r="B35" s="43">
        <f t="shared" si="0"/>
        <v>25</v>
      </c>
      <c r="C35" s="44" t="s">
        <v>42</v>
      </c>
      <c r="D35" s="45">
        <f>+VLOOKUP(C35,'[10]Part List รวมล่าสุดกว่า'!A:R,3,0)</f>
        <v>2.2999999999999998</v>
      </c>
      <c r="E35" s="46" t="s">
        <v>24</v>
      </c>
      <c r="F35" s="45">
        <f>+VLOOKUP(C35,'[10]Part List รวมล่าสุดกว่า'!A:R,4,0)</f>
        <v>80</v>
      </c>
      <c r="G35" s="46" t="s">
        <v>24</v>
      </c>
      <c r="H35" s="47">
        <f>+VLOOKUP(C35,'[10]Part List รวมล่าสุดกว่า'!A:R,5,0)</f>
        <v>1219</v>
      </c>
      <c r="I35" s="48" t="str">
        <f>+VLOOKUP(C35,'[10]Part List รวมล่าสุดกว่า'!A:R,9,0)</f>
        <v>JSH270C</v>
      </c>
      <c r="J35" s="49" t="str">
        <f>+VLOOKUP(C35,'[10]Part List รวมล่าสุดกว่า'!A:R,10,0)</f>
        <v>STAY FR SEAT MT</v>
      </c>
      <c r="K35" s="49">
        <f>+VLOOKUP(C35,'[10]Part List รวมล่าสุดกว่า'!A:R,11,0)</f>
        <v>0</v>
      </c>
      <c r="L35" s="49" t="str">
        <f>+VLOOKUP(C35,'[10]Part List รวมล่าสุดกว่า'!A:R,12,0)</f>
        <v>K2WA</v>
      </c>
      <c r="M35" s="50">
        <f>+VLOOKUP(C35,[10]Forecast!F:V,6,0)</f>
        <v>19.791666666666668</v>
      </c>
      <c r="N35" s="50">
        <f>+VLOOKUP(C35,[10]Forecast!F:V,8,0)</f>
        <v>17.5</v>
      </c>
      <c r="O35" s="50">
        <f>+VLOOKUP(C35,[10]Forecast!F:V,10,0)</f>
        <v>14.083333333333334</v>
      </c>
      <c r="P35" s="50">
        <f>+VLOOKUP(C35,[10]Forecast!F:V,12,0)</f>
        <v>11.375</v>
      </c>
      <c r="Q35" s="50">
        <f>+VLOOKUP(C35,[10]Forecast!F:V,14,0)</f>
        <v>17.791666666666668</v>
      </c>
      <c r="R35" s="50">
        <f>+VLOOKUP(C35,[10]Forecast!F:V,16,0)</f>
        <v>25.333333333333332</v>
      </c>
      <c r="S35" s="51" t="s">
        <v>25</v>
      </c>
      <c r="T35" s="52"/>
    </row>
    <row r="36" spans="1:20" s="53" customFormat="1" ht="21" customHeight="1">
      <c r="A36" s="34"/>
      <c r="B36" s="43">
        <f t="shared" si="0"/>
        <v>26</v>
      </c>
      <c r="C36" s="44">
        <v>30046850</v>
      </c>
      <c r="D36" s="45">
        <f>+VLOOKUP(C36,'[10]Part List รวมล่าสุดกว่า'!A:R,3,0)</f>
        <v>3.2</v>
      </c>
      <c r="E36" s="46" t="s">
        <v>24</v>
      </c>
      <c r="F36" s="45">
        <f>+VLOOKUP(C36,'[10]Part List รวมล่าสุดกว่า'!A:R,4,0)</f>
        <v>78</v>
      </c>
      <c r="G36" s="46" t="s">
        <v>24</v>
      </c>
      <c r="H36" s="47">
        <f>+VLOOKUP(C36,'[10]Part List รวมล่าสุดกว่า'!A:R,5,0)</f>
        <v>1219</v>
      </c>
      <c r="I36" s="48" t="str">
        <f>+VLOOKUP(C36,'[10]Part List รวมล่าสุดกว่า'!A:R,9,0)</f>
        <v>JSH270C</v>
      </c>
      <c r="J36" s="49" t="str">
        <f>+VLOOKUP(C36,'[10]Part List รวมล่าสุดกว่า'!A:R,10,0)</f>
        <v>PITCH FR SUB PIPE</v>
      </c>
      <c r="K36" s="49" t="str">
        <f>+VLOOKUP(C36,'[10]Part List รวมล่าสุดกว่า'!A:R,11,0)</f>
        <v>50161-K0BA-T001-H1</v>
      </c>
      <c r="L36" s="49" t="str">
        <f>+VLOOKUP(C36,'[10]Part List รวมล่าสุดกว่า'!A:R,12,0)</f>
        <v>K1BA</v>
      </c>
      <c r="M36" s="50">
        <f>+VLOOKUP(C36,[10]Forecast!F:V,6,0)</f>
        <v>284.54545454545456</v>
      </c>
      <c r="N36" s="50">
        <f>+VLOOKUP(C36,[10]Forecast!F:V,8,0)</f>
        <v>243.90909090909091</v>
      </c>
      <c r="O36" s="50">
        <f>+VLOOKUP(C36,[10]Forecast!F:V,10,0)</f>
        <v>216.81818181818181</v>
      </c>
      <c r="P36" s="50">
        <f>+VLOOKUP(C36,[10]Forecast!F:V,12,0)</f>
        <v>210.45454545454547</v>
      </c>
      <c r="Q36" s="50">
        <f>+VLOOKUP(C36,[10]Forecast!F:V,14,0)</f>
        <v>208.54545454545453</v>
      </c>
      <c r="R36" s="50">
        <f>+VLOOKUP(C36,[10]Forecast!F:V,16,0)</f>
        <v>196.81818181818181</v>
      </c>
      <c r="S36" s="51" t="s">
        <v>25</v>
      </c>
      <c r="T36" s="52"/>
    </row>
    <row r="37" spans="1:20" s="53" customFormat="1" ht="21" customHeight="1">
      <c r="A37" s="34"/>
      <c r="B37" s="43">
        <f t="shared" si="0"/>
        <v>27</v>
      </c>
      <c r="C37" s="44">
        <v>30046851</v>
      </c>
      <c r="D37" s="45">
        <f>+VLOOKUP(C37,'[10]Part List รวมล่าสุดกว่า'!A:R,3,0)</f>
        <v>1.6</v>
      </c>
      <c r="E37" s="46" t="s">
        <v>24</v>
      </c>
      <c r="F37" s="45">
        <f>+VLOOKUP(C37,'[10]Part List รวมล่าสุดกว่า'!A:R,4,0)</f>
        <v>50</v>
      </c>
      <c r="G37" s="46" t="s">
        <v>24</v>
      </c>
      <c r="H37" s="47">
        <f>+VLOOKUP(C37,'[10]Part List รวมล่าสุดกว่า'!A:R,5,0)</f>
        <v>1219</v>
      </c>
      <c r="I37" s="48" t="str">
        <f>+VLOOKUP(C37,'[10]Part List รวมล่าสุดกว่า'!A:R,9,0)</f>
        <v>JSH270C</v>
      </c>
      <c r="J37" s="49" t="str">
        <f>+VLOOKUP(C37,'[10]Part List รวมล่าสุดกว่า'!A:R,10,0)</f>
        <v>STAY A HOSE CLAMPER</v>
      </c>
      <c r="K37" s="49" t="str">
        <f>+VLOOKUP(C37,'[10]Part List รวมล่าสุดกว่า'!A:R,11,0)</f>
        <v>50169-K0BA-T001-H1</v>
      </c>
      <c r="L37" s="49" t="str">
        <f>+VLOOKUP(C37,'[10]Part List รวมล่าสุดกว่า'!A:R,12,0)</f>
        <v>K1BA</v>
      </c>
      <c r="M37" s="50">
        <f>+VLOOKUP(C37,[10]Forecast!F:V,6,0)</f>
        <v>111.78571428571429</v>
      </c>
      <c r="N37" s="50">
        <f>+VLOOKUP(C37,[10]Forecast!F:V,8,0)</f>
        <v>95.821428571428569</v>
      </c>
      <c r="O37" s="50">
        <f>+VLOOKUP(C37,[10]Forecast!F:V,10,0)</f>
        <v>85.178571428571431</v>
      </c>
      <c r="P37" s="50">
        <f>+VLOOKUP(C37,[10]Forecast!F:V,12,0)</f>
        <v>82.678571428571431</v>
      </c>
      <c r="Q37" s="50">
        <f>+VLOOKUP(C37,[10]Forecast!F:V,14,0)</f>
        <v>81.928571428571431</v>
      </c>
      <c r="R37" s="50">
        <f>+VLOOKUP(C37,[10]Forecast!F:V,16,0)</f>
        <v>77.321428571428569</v>
      </c>
      <c r="S37" s="51" t="s">
        <v>25</v>
      </c>
      <c r="T37" s="52"/>
    </row>
    <row r="38" spans="1:20" s="53" customFormat="1" ht="21" customHeight="1">
      <c r="A38" s="34"/>
      <c r="B38" s="43">
        <f t="shared" si="0"/>
        <v>28</v>
      </c>
      <c r="C38" s="44">
        <v>30046852</v>
      </c>
      <c r="D38" s="45">
        <f>+VLOOKUP(C38,'[10]Part List รวมล่าสุดกว่า'!A:R,3,0)</f>
        <v>1.4</v>
      </c>
      <c r="E38" s="46" t="s">
        <v>24</v>
      </c>
      <c r="F38" s="45">
        <f>+VLOOKUP(C38,'[10]Part List รวมล่าสุดกว่า'!A:R,4,0)</f>
        <v>65</v>
      </c>
      <c r="G38" s="46" t="s">
        <v>24</v>
      </c>
      <c r="H38" s="47">
        <f>+VLOOKUP(C38,'[10]Part List รวมล่าสุดกว่า'!A:R,5,0)</f>
        <v>1219</v>
      </c>
      <c r="I38" s="48" t="str">
        <f>+VLOOKUP(C38,'[10]Part List รวมล่าสุดกว่า'!A:R,9,0)</f>
        <v>JSH270C</v>
      </c>
      <c r="J38" s="49" t="str">
        <f>+VLOOKUP(C38,'[10]Part List รวมล่าสุดกว่า'!A:R,10,0)</f>
        <v>STAY R L WETER HOSE RR</v>
      </c>
      <c r="K38" s="49" t="str">
        <f>+VLOOKUP(C38,'[10]Part List รวมล่าสุดกว่า'!A:R,11,0)</f>
        <v>50223/24-K1BA-T001-H1</v>
      </c>
      <c r="L38" s="49" t="str">
        <f>+VLOOKUP(C38,'[10]Part List รวมล่าสุดกว่า'!A:R,12,0)</f>
        <v>K1BA</v>
      </c>
      <c r="M38" s="50">
        <f>+VLOOKUP(C38,[10]Forecast!F:V,6,0)</f>
        <v>80.256410256410263</v>
      </c>
      <c r="N38" s="50">
        <f>+VLOOKUP(C38,[10]Forecast!F:V,8,0)</f>
        <v>68.794871794871796</v>
      </c>
      <c r="O38" s="50">
        <f>+VLOOKUP(C38,[10]Forecast!F:V,10,0)</f>
        <v>61.153846153846153</v>
      </c>
      <c r="P38" s="50">
        <f>+VLOOKUP(C38,[10]Forecast!F:V,12,0)</f>
        <v>59.358974358974358</v>
      </c>
      <c r="Q38" s="50">
        <f>+VLOOKUP(C38,[10]Forecast!F:V,14,0)</f>
        <v>58.820512820512818</v>
      </c>
      <c r="R38" s="50">
        <f>+VLOOKUP(C38,[10]Forecast!F:V,16,0)</f>
        <v>55.512820512820511</v>
      </c>
      <c r="S38" s="51" t="s">
        <v>25</v>
      </c>
      <c r="T38" s="52"/>
    </row>
    <row r="39" spans="1:20" s="53" customFormat="1" ht="21" customHeight="1">
      <c r="A39" s="34"/>
      <c r="B39" s="43">
        <f t="shared" si="0"/>
        <v>29</v>
      </c>
      <c r="C39" s="44" t="s">
        <v>43</v>
      </c>
      <c r="D39" s="45">
        <f>+VLOOKUP(C39,'[10]Part List รวมล่าสุดกว่า'!A:R,3,0)</f>
        <v>1.6</v>
      </c>
      <c r="E39" s="46" t="s">
        <v>24</v>
      </c>
      <c r="F39" s="45">
        <f>+VLOOKUP(C39,'[10]Part List รวมล่าสุดกว่า'!A:R,4,0)</f>
        <v>61</v>
      </c>
      <c r="G39" s="46" t="s">
        <v>24</v>
      </c>
      <c r="H39" s="47">
        <f>+VLOOKUP(C39,'[10]Part List รวมล่าสุดกว่า'!A:R,5,0)</f>
        <v>1219</v>
      </c>
      <c r="I39" s="48" t="str">
        <f>+VLOOKUP(C39,'[10]Part List รวมล่าสุดกว่า'!A:R,9,0)</f>
        <v>JSH270C</v>
      </c>
      <c r="J39" s="49" t="str">
        <f>+VLOOKUP(C39,'[10]Part List รวมล่าสุดกว่า'!A:R,10,0)</f>
        <v>STAY R (COVER BATTERY)</v>
      </c>
      <c r="K39" s="49" t="str">
        <f>+VLOOKUP(C39,'[10]Part List รวมล่าสุดกว่า'!A:R,11,0)</f>
        <v>50195-K0BA-T002-20</v>
      </c>
      <c r="L39" s="49" t="str">
        <f>+VLOOKUP(C39,'[10]Part List รวมล่าสุดกว่า'!A:R,12,0)</f>
        <v>K1BA</v>
      </c>
      <c r="M39" s="50">
        <f>+VLOOKUP(C39,[10]Forecast!F:V,6,0)</f>
        <v>173.93939393939394</v>
      </c>
      <c r="N39" s="50">
        <f>+VLOOKUP(C39,[10]Forecast!F:V,8,0)</f>
        <v>174.72727272727272</v>
      </c>
      <c r="O39" s="50">
        <f>+VLOOKUP(C39,[10]Forecast!F:V,10,0)</f>
        <v>144.54545454545453</v>
      </c>
      <c r="P39" s="50">
        <f>+VLOOKUP(C39,[10]Forecast!F:V,12,0)</f>
        <v>140.30303030303031</v>
      </c>
      <c r="Q39" s="50">
        <f>+VLOOKUP(C39,[10]Forecast!F:V,14,0)</f>
        <v>139.03030303030303</v>
      </c>
      <c r="R39" s="50">
        <f>+VLOOKUP(C39,[10]Forecast!F:V,16,0)</f>
        <v>131.21212121212122</v>
      </c>
      <c r="S39" s="51" t="s">
        <v>25</v>
      </c>
      <c r="T39" s="52"/>
    </row>
    <row r="40" spans="1:20" s="53" customFormat="1" ht="21" customHeight="1">
      <c r="A40" s="34"/>
      <c r="B40" s="43">
        <f t="shared" si="0"/>
        <v>30</v>
      </c>
      <c r="C40" s="44">
        <v>30046854</v>
      </c>
      <c r="D40" s="45">
        <f>+VLOOKUP(C40,'[10]Part List รวมล่าสุดกว่า'!A:R,3,0)</f>
        <v>1</v>
      </c>
      <c r="E40" s="46" t="s">
        <v>24</v>
      </c>
      <c r="F40" s="45">
        <f>+VLOOKUP(C40,'[10]Part List รวมล่าสุดกว่า'!A:R,4,0)</f>
        <v>71</v>
      </c>
      <c r="G40" s="46" t="s">
        <v>24</v>
      </c>
      <c r="H40" s="47">
        <f>+VLOOKUP(C40,'[10]Part List รวมล่าสุดกว่า'!A:R,5,0)</f>
        <v>1219</v>
      </c>
      <c r="I40" s="48" t="str">
        <f>+VLOOKUP(C40,'[10]Part List รวมล่าสุดกว่า'!A:R,9,0)</f>
        <v>JSC270C</v>
      </c>
      <c r="J40" s="49" t="str">
        <f>+VLOOKUP(C40,'[10]Part List รวมล่าสุดกว่า'!A:R,10,0)</f>
        <v>CLIP HARNESS</v>
      </c>
      <c r="K40" s="49" t="str">
        <f>+VLOOKUP(C40,'[10]Part List รวมล่าสุดกว่า'!A:R,11,0)</f>
        <v>50128-GFM-9000-H1</v>
      </c>
      <c r="L40" s="49" t="str">
        <f>+VLOOKUP(C40,'[10]Part List รวมล่าสุดกว่า'!A:R,12,0)</f>
        <v>K1BA</v>
      </c>
      <c r="M40" s="50">
        <f>+VLOOKUP(C40,[10]Forecast!F:V,6,0)</f>
        <v>90.724637681159422</v>
      </c>
      <c r="N40" s="50">
        <f>+VLOOKUP(C40,[10]Forecast!F:V,8,0)</f>
        <v>77.768115942028984</v>
      </c>
      <c r="O40" s="50">
        <f>+VLOOKUP(C40,[10]Forecast!F:V,10,0)</f>
        <v>69.130434782608702</v>
      </c>
      <c r="P40" s="50">
        <f>+VLOOKUP(C40,[10]Forecast!F:V,12,0)</f>
        <v>67.101449275362313</v>
      </c>
      <c r="Q40" s="50">
        <f>+VLOOKUP(C40,[10]Forecast!F:V,14,0)</f>
        <v>66.492753623188406</v>
      </c>
      <c r="R40" s="50">
        <f>+VLOOKUP(C40,[10]Forecast!F:V,16,0)</f>
        <v>62.753623188405797</v>
      </c>
      <c r="S40" s="51" t="s">
        <v>25</v>
      </c>
      <c r="T40" s="52"/>
    </row>
    <row r="41" spans="1:20" s="53" customFormat="1" ht="21" customHeight="1">
      <c r="A41" s="34"/>
      <c r="B41" s="43">
        <f t="shared" si="0"/>
        <v>31</v>
      </c>
      <c r="C41" s="44" t="s">
        <v>44</v>
      </c>
      <c r="D41" s="45">
        <f>+VLOOKUP(C41,'[10]Part List รวมล่าสุดกว่า'!A:R,3,0)</f>
        <v>2</v>
      </c>
      <c r="E41" s="46" t="s">
        <v>24</v>
      </c>
      <c r="F41" s="45">
        <f>+VLOOKUP(C41,'[10]Part List รวมล่าสุดกว่า'!A:R,4,0)</f>
        <v>75</v>
      </c>
      <c r="G41" s="46" t="s">
        <v>24</v>
      </c>
      <c r="H41" s="47">
        <f>+VLOOKUP(C41,'[10]Part List รวมล่าสุดกว่า'!A:R,5,0)</f>
        <v>1219</v>
      </c>
      <c r="I41" s="48" t="str">
        <f>+VLOOKUP(C41,'[10]Part List รวมล่าสุดกว่า'!A:R,9,0)</f>
        <v>JSH270C</v>
      </c>
      <c r="J41" s="49" t="str">
        <f>+VLOOKUP(C41,'[10]Part List รวมล่าสุดกว่า'!A:R,10,0)</f>
        <v>STAY L FR AIR/C</v>
      </c>
      <c r="K41" s="49" t="str">
        <f>+VLOOKUP(C41,'[10]Part List รวมล่าสุดกว่า'!A:R,11,0)</f>
        <v>50157-K0FA-T000-H1</v>
      </c>
      <c r="L41" s="49" t="str">
        <f>+VLOOKUP(C41,'[10]Part List รวมล่าสุดกว่า'!A:R,12,0)</f>
        <v>K0FA</v>
      </c>
      <c r="M41" s="50">
        <f>+VLOOKUP(C41,[10]Forecast!F:V,6,0)</f>
        <v>0</v>
      </c>
      <c r="N41" s="50">
        <f>+VLOOKUP(C41,[10]Forecast!F:V,8,0)</f>
        <v>0</v>
      </c>
      <c r="O41" s="50">
        <f>+VLOOKUP(C41,[10]Forecast!F:V,10,0)</f>
        <v>0</v>
      </c>
      <c r="P41" s="50">
        <f>+VLOOKUP(C41,[10]Forecast!F:V,12,0)</f>
        <v>0</v>
      </c>
      <c r="Q41" s="50">
        <f>+VLOOKUP(C41,[10]Forecast!F:V,14,0)</f>
        <v>0.21739130434782608</v>
      </c>
      <c r="R41" s="50">
        <f>+VLOOKUP(C41,[10]Forecast!F:V,16,0)</f>
        <v>0.21739130434782608</v>
      </c>
      <c r="S41" s="51" t="s">
        <v>25</v>
      </c>
      <c r="T41" s="52"/>
    </row>
    <row r="42" spans="1:20" s="53" customFormat="1" ht="21" customHeight="1">
      <c r="A42" s="34"/>
      <c r="B42" s="43">
        <f t="shared" si="0"/>
        <v>32</v>
      </c>
      <c r="C42" s="44" t="s">
        <v>45</v>
      </c>
      <c r="D42" s="45">
        <f>+VLOOKUP(C42,'[10]Part List รวมล่าสุดกว่า'!A:R,3,0)</f>
        <v>2.2999999999999998</v>
      </c>
      <c r="E42" s="46" t="s">
        <v>24</v>
      </c>
      <c r="F42" s="45">
        <f>+VLOOKUP(C42,'[10]Part List รวมล่าสุดกว่า'!A:R,4,0)</f>
        <v>198</v>
      </c>
      <c r="G42" s="46" t="s">
        <v>24</v>
      </c>
      <c r="H42" s="47">
        <f>+VLOOKUP(C42,'[10]Part List รวมล่าสุดกว่า'!A:R,5,0)</f>
        <v>1219</v>
      </c>
      <c r="I42" s="48" t="str">
        <f>+VLOOKUP(C42,'[10]Part List รวมล่าสุดกว่า'!A:R,9,0)</f>
        <v>JSH440W</v>
      </c>
      <c r="J42" s="49" t="str">
        <f>+VLOOKUP(C42,'[10]Part List รวมล่าสุดกว่า'!A:R,10,0)</f>
        <v>GUSSET</v>
      </c>
      <c r="K42" s="49" t="str">
        <f>+VLOOKUP(C42,'[10]Part List รวมล่าสุดกว่า'!A:R,11,0)</f>
        <v>50120-K1B-T000-20</v>
      </c>
      <c r="L42" s="49" t="str">
        <f>+VLOOKUP(C42,'[10]Part List รวมล่าสุดกว่า'!A:R,12,0)</f>
        <v>K1BG</v>
      </c>
      <c r="M42" s="50">
        <f>+VLOOKUP(C42,[10]Forecast!F:V,6,0)</f>
        <v>727.5</v>
      </c>
      <c r="N42" s="50">
        <f>+VLOOKUP(C42,[10]Forecast!F:V,8,0)</f>
        <v>599.25</v>
      </c>
      <c r="O42" s="50">
        <f>+VLOOKUP(C42,[10]Forecast!F:V,10,0)</f>
        <v>515.75</v>
      </c>
      <c r="P42" s="50">
        <f>+VLOOKUP(C42,[10]Forecast!F:V,12,0)</f>
        <v>494</v>
      </c>
      <c r="Q42" s="50">
        <f>+VLOOKUP(C42,[10]Forecast!F:V,14,0)</f>
        <v>435.5</v>
      </c>
      <c r="R42" s="50">
        <f>+VLOOKUP(C42,[10]Forecast!F:V,16,0)</f>
        <v>0</v>
      </c>
      <c r="S42" s="51" t="s">
        <v>25</v>
      </c>
      <c r="T42" s="52"/>
    </row>
    <row r="43" spans="1:20" s="53" customFormat="1" ht="21" customHeight="1">
      <c r="A43" s="34"/>
      <c r="B43" s="43">
        <f t="shared" si="0"/>
        <v>33</v>
      </c>
      <c r="C43" s="44" t="s">
        <v>46</v>
      </c>
      <c r="D43" s="45">
        <f>+VLOOKUP(C43,'[10]Part List รวมล่าสุดกว่า'!A:R,3,0)</f>
        <v>4</v>
      </c>
      <c r="E43" s="46" t="s">
        <v>24</v>
      </c>
      <c r="F43" s="45">
        <f>+VLOOKUP(C43,'[10]Part List รวมล่าสุดกว่า'!A:R,4,0)</f>
        <v>55</v>
      </c>
      <c r="G43" s="46" t="s">
        <v>24</v>
      </c>
      <c r="H43" s="47">
        <f>+VLOOKUP(C43,'[10]Part List รวมล่าสุดกว่า'!A:R,5,0)</f>
        <v>1219</v>
      </c>
      <c r="I43" s="48" t="str">
        <f>+VLOOKUP(C43,'[10]Part List รวมล่าสุดกว่า'!A:R,9,0)</f>
        <v>JSH270C</v>
      </c>
      <c r="J43" s="49" t="str">
        <f>+VLOOKUP(C43,'[10]Part List รวมล่าสุดกว่า'!A:R,10,0)</f>
        <v>PLATE (GUSSET HEAD PIPE SUB)</v>
      </c>
      <c r="K43" s="49" t="str">
        <f>+VLOOKUP(C43,'[10]Part List รวมล่าสุดกว่า'!A:R,11,0)</f>
        <v>50120-K40-F000-21</v>
      </c>
      <c r="L43" s="49" t="str">
        <f>+VLOOKUP(C43,'[10]Part List รวมล่าสุดกว่า'!A:R,12,0)</f>
        <v>K1BA</v>
      </c>
      <c r="M43" s="50">
        <f>+VLOOKUP(C43,[10]Forecast!F:V,6,0)</f>
        <v>223.84615384615384</v>
      </c>
      <c r="N43" s="50">
        <f>+VLOOKUP(C43,[10]Forecast!F:V,8,0)</f>
        <v>184.38461538461539</v>
      </c>
      <c r="O43" s="50">
        <f>+VLOOKUP(C43,[10]Forecast!F:V,10,0)</f>
        <v>158.69230769230768</v>
      </c>
      <c r="P43" s="50">
        <f>+VLOOKUP(C43,[10]Forecast!F:V,12,0)</f>
        <v>152</v>
      </c>
      <c r="Q43" s="50">
        <f>+VLOOKUP(C43,[10]Forecast!F:V,14,0)</f>
        <v>134</v>
      </c>
      <c r="R43" s="50">
        <f>+VLOOKUP(C43,[10]Forecast!F:V,16,0)</f>
        <v>0</v>
      </c>
      <c r="S43" s="51" t="s">
        <v>25</v>
      </c>
      <c r="T43" s="52"/>
    </row>
    <row r="44" spans="1:20" s="53" customFormat="1" ht="21" customHeight="1">
      <c r="A44" s="34"/>
      <c r="B44" s="43">
        <f t="shared" si="0"/>
        <v>34</v>
      </c>
      <c r="C44" s="44" t="s">
        <v>47</v>
      </c>
      <c r="D44" s="45">
        <f>+VLOOKUP(C44,'[10]Part List รวมล่าสุดกว่า'!A:R,3,0)</f>
        <v>1.6</v>
      </c>
      <c r="E44" s="46" t="s">
        <v>24</v>
      </c>
      <c r="F44" s="45">
        <f>+VLOOKUP(C44,'[10]Part List รวมล่าสุดกว่า'!A:R,4,0)</f>
        <v>64</v>
      </c>
      <c r="G44" s="46" t="s">
        <v>24</v>
      </c>
      <c r="H44" s="47">
        <f>+VLOOKUP(C44,'[10]Part List รวมล่าสุดกว่า'!A:R,5,0)</f>
        <v>1219</v>
      </c>
      <c r="I44" s="48" t="str">
        <f>+VLOOKUP(C44,'[10]Part List รวมล่าสุดกว่า'!A:R,9,0)</f>
        <v>JSH270C</v>
      </c>
      <c r="J44" s="49" t="str">
        <f>+VLOOKUP(C44,'[10]Part List รวมล่าสุดกว่า'!A:R,10,0)</f>
        <v>STAY A (EART-CABLE)</v>
      </c>
      <c r="K44" s="49">
        <f>+VLOOKUP(C44,'[10]Part List รวมล่าสุดกว่า'!A:R,11,0)</f>
        <v>0</v>
      </c>
      <c r="L44" s="49" t="str">
        <f>+VLOOKUP(C44,'[10]Part List รวมล่าสุดกว่า'!A:R,12,0)</f>
        <v>K1BA</v>
      </c>
      <c r="M44" s="50">
        <f>+VLOOKUP(C44,[10]Forecast!F:V,6,0)</f>
        <v>306.31578947368422</v>
      </c>
      <c r="N44" s="50">
        <f>+VLOOKUP(C44,[10]Forecast!F:V,8,0)</f>
        <v>252.31578947368422</v>
      </c>
      <c r="O44" s="50">
        <f>+VLOOKUP(C44,[10]Forecast!F:V,10,0)</f>
        <v>217.15789473684211</v>
      </c>
      <c r="P44" s="50">
        <f>+VLOOKUP(C44,[10]Forecast!F:V,12,0)</f>
        <v>208</v>
      </c>
      <c r="Q44" s="50">
        <f>+VLOOKUP(C44,[10]Forecast!F:V,14,0)</f>
        <v>183.36842105263159</v>
      </c>
      <c r="R44" s="50">
        <f>+VLOOKUP(C44,[10]Forecast!F:V,16,0)</f>
        <v>0</v>
      </c>
      <c r="S44" s="51" t="s">
        <v>25</v>
      </c>
      <c r="T44" s="52"/>
    </row>
    <row r="45" spans="1:20" s="53" customFormat="1" ht="21" customHeight="1">
      <c r="A45" s="34"/>
      <c r="B45" s="43">
        <f t="shared" si="0"/>
        <v>35</v>
      </c>
      <c r="C45" s="44">
        <v>30041190</v>
      </c>
      <c r="D45" s="45">
        <f>+VLOOKUP(C45,'[10]Part List รวมล่าสุดกว่า'!A:R,3,0)</f>
        <v>2</v>
      </c>
      <c r="E45" s="46" t="s">
        <v>24</v>
      </c>
      <c r="F45" s="45">
        <f>+VLOOKUP(C45,'[10]Part List รวมล่าสุดกว่า'!A:R,4,0)</f>
        <v>88</v>
      </c>
      <c r="G45" s="46" t="s">
        <v>24</v>
      </c>
      <c r="H45" s="47">
        <f>+VLOOKUP(C45,'[10]Part List รวมล่าสุดกว่า'!A:R,5,0)</f>
        <v>1219</v>
      </c>
      <c r="I45" s="48" t="str">
        <f>+VLOOKUP(C45,'[10]Part List รวมล่าสุดกว่า'!A:R,9,0)</f>
        <v>JSH270C</v>
      </c>
      <c r="J45" s="49" t="str">
        <f>+VLOOKUP(C45,'[10]Part List รวมล่าสุดกว่า'!A:R,10,0)</f>
        <v>GUSSET FR MAIN LOWER PIPE</v>
      </c>
      <c r="K45" s="49" t="str">
        <f>+VLOOKUP(C45,'[10]Part List รวมล่าสุดกว่า'!A:R,11,0)</f>
        <v>50154-K1BA-T000-H1</v>
      </c>
      <c r="L45" s="49" t="str">
        <f>+VLOOKUP(C45,'[10]Part List รวมล่าสุดกว่า'!A:R,12,0)</f>
        <v>K1BA</v>
      </c>
      <c r="M45" s="50">
        <f>+VLOOKUP(C45,[10]Forecast!F:V,6,0)</f>
        <v>291</v>
      </c>
      <c r="N45" s="50">
        <f>+VLOOKUP(C45,[10]Forecast!F:V,8,0)</f>
        <v>239.7</v>
      </c>
      <c r="O45" s="50">
        <f>+VLOOKUP(C45,[10]Forecast!F:V,10,0)</f>
        <v>206.3</v>
      </c>
      <c r="P45" s="50">
        <f>+VLOOKUP(C45,[10]Forecast!F:V,12,0)</f>
        <v>197.6</v>
      </c>
      <c r="Q45" s="50">
        <f>+VLOOKUP(C45,[10]Forecast!F:V,14,0)</f>
        <v>174.2</v>
      </c>
      <c r="R45" s="50">
        <f>+VLOOKUP(C45,[10]Forecast!F:V,16,0)</f>
        <v>0</v>
      </c>
      <c r="S45" s="51" t="s">
        <v>25</v>
      </c>
      <c r="T45" s="52"/>
    </row>
    <row r="46" spans="1:20" s="53" customFormat="1" ht="21" customHeight="1">
      <c r="A46" s="34"/>
      <c r="B46" s="43">
        <f t="shared" si="0"/>
        <v>36</v>
      </c>
      <c r="C46" s="44" t="s">
        <v>48</v>
      </c>
      <c r="D46" s="45">
        <f>+VLOOKUP(C46,'[10]Part List รวมล่าสุดกว่า'!A:R,3,0)</f>
        <v>1.6</v>
      </c>
      <c r="E46" s="46" t="s">
        <v>24</v>
      </c>
      <c r="F46" s="45">
        <f>+VLOOKUP(C46,'[10]Part List รวมล่าสุดกว่า'!A:R,4,0)</f>
        <v>140</v>
      </c>
      <c r="G46" s="46" t="s">
        <v>24</v>
      </c>
      <c r="H46" s="47">
        <f>+VLOOKUP(C46,'[10]Part List รวมล่าสุดกว่า'!A:R,5,0)</f>
        <v>1219</v>
      </c>
      <c r="I46" s="48" t="str">
        <f>+VLOOKUP(C46,'[10]Part List รวมล่าสุดกว่า'!A:R,9,0)</f>
        <v>JSH270C</v>
      </c>
      <c r="J46" s="49" t="str">
        <f>+VLOOKUP(C46,'[10]Part List รวมล่าสุดกว่า'!A:R,10,0)</f>
        <v>GUSSET RR, MAIN LOWER PIPE</v>
      </c>
      <c r="K46" s="49" t="str">
        <f>+VLOOKUP(C46,'[10]Part List รวมล่าสุดกว่า'!A:R,11,0)</f>
        <v>50155-K1B-T000-H1</v>
      </c>
      <c r="L46" s="49" t="str">
        <f>+VLOOKUP(C46,'[10]Part List รวมล่าสุดกว่า'!A:R,12,0)</f>
        <v>K1BG</v>
      </c>
      <c r="M46" s="50">
        <f>+VLOOKUP(C46,[10]Forecast!F:V,6,0)</f>
        <v>412.22222222222223</v>
      </c>
      <c r="N46" s="50">
        <f>+VLOOKUP(C46,[10]Forecast!F:V,8,0)</f>
        <v>347.77777777777777</v>
      </c>
      <c r="O46" s="50">
        <f>+VLOOKUP(C46,[10]Forecast!F:V,10,0)</f>
        <v>298.11111111111109</v>
      </c>
      <c r="P46" s="50">
        <f>+VLOOKUP(C46,[10]Forecast!F:V,12,0)</f>
        <v>265</v>
      </c>
      <c r="Q46" s="50">
        <f>+VLOOKUP(C46,[10]Forecast!F:V,14,0)</f>
        <v>257.22222222222223</v>
      </c>
      <c r="R46" s="50">
        <f>+VLOOKUP(C46,[10]Forecast!F:V,16,0)</f>
        <v>254.88888888888889</v>
      </c>
      <c r="S46" s="51" t="s">
        <v>25</v>
      </c>
      <c r="T46" s="52"/>
    </row>
    <row r="47" spans="1:20" s="53" customFormat="1" ht="21" customHeight="1">
      <c r="A47" s="34"/>
      <c r="B47" s="43">
        <f t="shared" si="0"/>
        <v>37</v>
      </c>
      <c r="C47" s="44" t="s">
        <v>49</v>
      </c>
      <c r="D47" s="45">
        <f>+VLOOKUP(C47,'[10]Part List รวมล่าสุดกว่า'!A:R,3,0)</f>
        <v>3.2</v>
      </c>
      <c r="E47" s="46" t="s">
        <v>24</v>
      </c>
      <c r="F47" s="45">
        <f>+VLOOKUP(C47,'[10]Part List รวมล่าสุดกว่า'!A:R,4,0)</f>
        <v>78</v>
      </c>
      <c r="G47" s="46" t="s">
        <v>24</v>
      </c>
      <c r="H47" s="47">
        <f>+VLOOKUP(C47,'[10]Part List รวมล่าสุดกว่า'!A:R,5,0)</f>
        <v>1219</v>
      </c>
      <c r="I47" s="48" t="str">
        <f>+VLOOKUP(C47,'[10]Part List รวมล่าสุดกว่า'!A:R,9,0)</f>
        <v>JSH270C</v>
      </c>
      <c r="J47" s="49" t="str">
        <f>+VLOOKUP(C47,'[10]Part List รวมล่าสุดกว่า'!A:R,10,0)</f>
        <v>PITCH FR SUB PIPE</v>
      </c>
      <c r="K47" s="49">
        <f>+VLOOKUP(C47,'[10]Part List รวมล่าสุดกว่า'!A:R,11,0)</f>
        <v>0</v>
      </c>
      <c r="L47" s="49" t="str">
        <f>+VLOOKUP(C47,'[10]Part List รวมล่าสุดกว่า'!A:R,12,0)</f>
        <v>K1BA</v>
      </c>
      <c r="M47" s="50">
        <f>+VLOOKUP(C47,[10]Forecast!F:V,6,0)</f>
        <v>288</v>
      </c>
      <c r="N47" s="50">
        <f>+VLOOKUP(C47,[10]Forecast!F:V,8,0)</f>
        <v>191.18181818181819</v>
      </c>
      <c r="O47" s="50">
        <f>+VLOOKUP(C47,[10]Forecast!F:V,10,0)</f>
        <v>206.40909090909091</v>
      </c>
      <c r="P47" s="50">
        <f>+VLOOKUP(C47,[10]Forecast!F:V,12,0)</f>
        <v>271.90909090909093</v>
      </c>
      <c r="Q47" s="50">
        <f>+VLOOKUP(C47,[10]Forecast!F:V,14,0)</f>
        <v>0</v>
      </c>
      <c r="R47" s="50">
        <f>+VLOOKUP(C47,[10]Forecast!F:V,16,0)</f>
        <v>208.54545454545453</v>
      </c>
      <c r="S47" s="51" t="s">
        <v>25</v>
      </c>
      <c r="T47" s="52"/>
    </row>
    <row r="48" spans="1:20" s="53" customFormat="1" ht="21" customHeight="1">
      <c r="A48" s="34"/>
      <c r="B48" s="43">
        <f t="shared" si="0"/>
        <v>38</v>
      </c>
      <c r="C48" s="44" t="s">
        <v>50</v>
      </c>
      <c r="D48" s="45">
        <f>+VLOOKUP(C48,'[10]Part List รวมล่าสุดกว่า'!A:R,3,0)</f>
        <v>1.6</v>
      </c>
      <c r="E48" s="46" t="s">
        <v>24</v>
      </c>
      <c r="F48" s="45">
        <f>+VLOOKUP(C48,'[10]Part List รวมล่าสุดกว่า'!A:R,4,0)</f>
        <v>61</v>
      </c>
      <c r="G48" s="46" t="s">
        <v>24</v>
      </c>
      <c r="H48" s="47">
        <f>+VLOOKUP(C48,'[10]Part List รวมล่าสุดกว่า'!A:R,5,0)</f>
        <v>1219</v>
      </c>
      <c r="I48" s="48" t="str">
        <f>+VLOOKUP(C48,'[10]Part List รวมล่าสุดกว่า'!A:R,9,0)</f>
        <v>JSH270C</v>
      </c>
      <c r="J48" s="49" t="str">
        <f>+VLOOKUP(C48,'[10]Part List รวมล่าสุดกว่า'!A:R,10,0)</f>
        <v>STAY (FUEL FEED HOSE)</v>
      </c>
      <c r="K48" s="49">
        <f>+VLOOKUP(C48,'[10]Part List รวมล่าสุดกว่า'!A:R,11,0)</f>
        <v>0</v>
      </c>
      <c r="L48" s="49" t="str">
        <f>+VLOOKUP(C48,'[10]Part List รวมล่าสุดกว่า'!A:R,12,0)</f>
        <v>K1BA</v>
      </c>
      <c r="M48" s="50">
        <f>+VLOOKUP(C48,[10]Forecast!F:V,6,0)</f>
        <v>211.2</v>
      </c>
      <c r="N48" s="50">
        <f>+VLOOKUP(C48,[10]Forecast!F:V,8,0)</f>
        <v>140.19999999999999</v>
      </c>
      <c r="O48" s="50">
        <f>+VLOOKUP(C48,[10]Forecast!F:V,10,0)</f>
        <v>151.36666666666667</v>
      </c>
      <c r="P48" s="50">
        <f>+VLOOKUP(C48,[10]Forecast!F:V,12,0)</f>
        <v>199.4</v>
      </c>
      <c r="Q48" s="50">
        <f>+VLOOKUP(C48,[10]Forecast!F:V,14,0)</f>
        <v>0</v>
      </c>
      <c r="R48" s="50">
        <f>+VLOOKUP(C48,[10]Forecast!F:V,16,0)</f>
        <v>152.93333333333334</v>
      </c>
      <c r="S48" s="51" t="s">
        <v>25</v>
      </c>
      <c r="T48" s="52"/>
    </row>
    <row r="49" spans="1:20" s="53" customFormat="1" ht="21" customHeight="1">
      <c r="A49" s="34"/>
      <c r="B49" s="43">
        <f t="shared" si="0"/>
        <v>39</v>
      </c>
      <c r="C49" s="44" t="s">
        <v>51</v>
      </c>
      <c r="D49" s="45">
        <f>+VLOOKUP(C49,'[10]Part List รวมล่าสุดกว่า'!A:R,3,0)</f>
        <v>1.6</v>
      </c>
      <c r="E49" s="46" t="s">
        <v>24</v>
      </c>
      <c r="F49" s="45">
        <f>+VLOOKUP(C49,'[10]Part List รวมล่าสุดกว่า'!A:R,4,0)</f>
        <v>61</v>
      </c>
      <c r="G49" s="46" t="s">
        <v>24</v>
      </c>
      <c r="H49" s="47">
        <f>+VLOOKUP(C49,'[10]Part List รวมล่าสุดกว่า'!A:R,5,0)</f>
        <v>1219</v>
      </c>
      <c r="I49" s="48" t="str">
        <f>+VLOOKUP(C49,'[10]Part List รวมล่าสุดกว่า'!A:R,9,0)</f>
        <v>JSH270C</v>
      </c>
      <c r="J49" s="49" t="str">
        <f>+VLOOKUP(C49,'[10]Part List รวมล่าสุดกว่า'!A:R,10,0)</f>
        <v>STAY L (COVER BATTERY)</v>
      </c>
      <c r="K49" s="49">
        <f>+VLOOKUP(C49,'[10]Part List รวมล่าสุดกว่า'!A:R,11,0)</f>
        <v>0</v>
      </c>
      <c r="L49" s="49" t="str">
        <f>+VLOOKUP(C49,'[10]Part List รวมล่าสุดกว่า'!A:R,12,0)</f>
        <v>K1BA</v>
      </c>
      <c r="M49" s="50">
        <f>+VLOOKUP(C49,[10]Forecast!F:V,6,0)</f>
        <v>192</v>
      </c>
      <c r="N49" s="50">
        <f>+VLOOKUP(C49,[10]Forecast!F:V,8,0)</f>
        <v>127.45454545454545</v>
      </c>
      <c r="O49" s="50">
        <f>+VLOOKUP(C49,[10]Forecast!F:V,10,0)</f>
        <v>137.60606060606059</v>
      </c>
      <c r="P49" s="50">
        <f>+VLOOKUP(C49,[10]Forecast!F:V,12,0)</f>
        <v>181.27272727272728</v>
      </c>
      <c r="Q49" s="50">
        <f>+VLOOKUP(C49,[10]Forecast!F:V,14,0)</f>
        <v>0</v>
      </c>
      <c r="R49" s="50">
        <f>+VLOOKUP(C49,[10]Forecast!F:V,16,0)</f>
        <v>139.03030303030303</v>
      </c>
      <c r="S49" s="51" t="s">
        <v>25</v>
      </c>
      <c r="T49" s="52"/>
    </row>
    <row r="50" spans="1:20" s="53" customFormat="1" ht="21" customHeight="1">
      <c r="A50" s="34"/>
      <c r="B50" s="43">
        <f t="shared" si="0"/>
        <v>40</v>
      </c>
      <c r="C50" s="44" t="s">
        <v>52</v>
      </c>
      <c r="D50" s="45">
        <f>+VLOOKUP(C50,'[10]Part List รวมล่าสุดกว่า'!A:R,3,0)</f>
        <v>1</v>
      </c>
      <c r="E50" s="46" t="s">
        <v>24</v>
      </c>
      <c r="F50" s="45">
        <f>+VLOOKUP(C50,'[10]Part List รวมล่าสุดกว่า'!A:R,4,0)</f>
        <v>55</v>
      </c>
      <c r="G50" s="46" t="s">
        <v>24</v>
      </c>
      <c r="H50" s="47">
        <f>+VLOOKUP(C50,'[10]Part List รวมล่าสุดกว่า'!A:R,5,0)</f>
        <v>1219</v>
      </c>
      <c r="I50" s="48" t="str">
        <f>+VLOOKUP(C50,'[10]Part List รวมล่าสุดกว่า'!A:R,9,0)</f>
        <v>JSC270C</v>
      </c>
      <c r="J50" s="49" t="str">
        <f>+VLOOKUP(C50,'[10]Part List รวมล่าสุดกว่า'!A:R,10,0)</f>
        <v>CLAMP CABLE</v>
      </c>
      <c r="K50" s="49">
        <f>+VLOOKUP(C50,'[10]Part List รวมล่าสุดกว่า'!A:R,11,0)</f>
        <v>0</v>
      </c>
      <c r="L50" s="49" t="str">
        <f>+VLOOKUP(C50,'[10]Part List รวมล่าสุดกว่า'!A:R,12,0)</f>
        <v>K1BA</v>
      </c>
      <c r="M50" s="50">
        <f>+VLOOKUP(C50,[10]Forecast!F:V,6,0)</f>
        <v>90.51428571428572</v>
      </c>
      <c r="N50" s="50">
        <f>+VLOOKUP(C50,[10]Forecast!F:V,8,0)</f>
        <v>60.085714285714289</v>
      </c>
      <c r="O50" s="50">
        <f>+VLOOKUP(C50,[10]Forecast!F:V,10,0)</f>
        <v>64.871428571428567</v>
      </c>
      <c r="P50" s="50">
        <f>+VLOOKUP(C50,[10]Forecast!F:V,12,0)</f>
        <v>85.457142857142856</v>
      </c>
      <c r="Q50" s="50">
        <f>+VLOOKUP(C50,[10]Forecast!F:V,14,0)</f>
        <v>0</v>
      </c>
      <c r="R50" s="50">
        <f>+VLOOKUP(C50,[10]Forecast!F:V,16,0)</f>
        <v>65.542857142857144</v>
      </c>
      <c r="S50" s="51" t="s">
        <v>25</v>
      </c>
      <c r="T50" s="52"/>
    </row>
    <row r="51" spans="1:20" s="53" customFormat="1" ht="21" customHeight="1">
      <c r="A51" s="34"/>
      <c r="B51" s="43">
        <f t="shared" si="0"/>
        <v>41</v>
      </c>
      <c r="C51" s="44" t="s">
        <v>53</v>
      </c>
      <c r="D51" s="45">
        <f>+VLOOKUP(C51,'[10]Part List รวมล่าสุดกว่า'!A:R,3,0)</f>
        <v>2</v>
      </c>
      <c r="E51" s="46" t="s">
        <v>24</v>
      </c>
      <c r="F51" s="45">
        <f>+VLOOKUP(C51,'[10]Part List รวมล่าสุดกว่า'!A:R,4,0)</f>
        <v>69</v>
      </c>
      <c r="G51" s="46" t="s">
        <v>24</v>
      </c>
      <c r="H51" s="47">
        <f>+VLOOKUP(C51,'[10]Part List รวมล่าสุดกว่า'!A:R,5,0)</f>
        <v>1219</v>
      </c>
      <c r="I51" s="48" t="str">
        <f>+VLOOKUP(C51,'[10]Part List รวมล่าสุดกว่า'!A:R,9,0)</f>
        <v>JSH270C</v>
      </c>
      <c r="J51" s="49" t="str">
        <f>+VLOOKUP(C51,'[10]Part List รวมล่าสุดกว่า'!A:R,10,0)</f>
        <v>STAY FLOOR MID</v>
      </c>
      <c r="K51" s="49" t="str">
        <f>+VLOOKUP(C51,'[10]Part List รวมล่าสุดกว่า'!A:R,11,0)</f>
        <v>50126-K1ZA-J102-20</v>
      </c>
      <c r="L51" s="49" t="str">
        <f>+VLOOKUP(C51,'[10]Part List รวมล่าสุดกว่า'!A:R,12,0)</f>
        <v>K1ZF</v>
      </c>
      <c r="M51" s="50">
        <f>+VLOOKUP(C51,[10]Forecast!F:V,6,0)</f>
        <v>662.7</v>
      </c>
      <c r="N51" s="50">
        <f>+VLOOKUP(C51,[10]Forecast!F:V,8,0)</f>
        <v>689.6</v>
      </c>
      <c r="O51" s="50">
        <f>+VLOOKUP(C51,[10]Forecast!F:V,10,0)</f>
        <v>588.6</v>
      </c>
      <c r="P51" s="50">
        <f>+VLOOKUP(C51,[10]Forecast!F:V,12,0)</f>
        <v>549.1</v>
      </c>
      <c r="Q51" s="50">
        <f>+VLOOKUP(C51,[10]Forecast!F:V,14,0)</f>
        <v>562.9</v>
      </c>
      <c r="R51" s="50">
        <f>+VLOOKUP(C51,[10]Forecast!F:V,16,0)</f>
        <v>0</v>
      </c>
      <c r="S51" s="51" t="s">
        <v>25</v>
      </c>
      <c r="T51" s="52"/>
    </row>
    <row r="52" spans="1:20" s="53" customFormat="1" ht="21" customHeight="1">
      <c r="A52" s="34"/>
      <c r="B52" s="43">
        <f t="shared" si="0"/>
        <v>42</v>
      </c>
      <c r="C52" s="44" t="s">
        <v>54</v>
      </c>
      <c r="D52" s="45">
        <f>+VLOOKUP(C52,'[10]Part List รวมล่าสุดกว่า'!A:R,3,0)</f>
        <v>2.6</v>
      </c>
      <c r="E52" s="46" t="s">
        <v>24</v>
      </c>
      <c r="F52" s="45">
        <f>+VLOOKUP(C52,'[10]Part List รวมล่าสุดกว่า'!A:R,4,0)</f>
        <v>96</v>
      </c>
      <c r="G52" s="46" t="s">
        <v>24</v>
      </c>
      <c r="H52" s="47">
        <f>+VLOOKUP(C52,'[10]Part List รวมล่าสุดกว่า'!A:R,5,0)</f>
        <v>1219</v>
      </c>
      <c r="I52" s="48" t="str">
        <f>+VLOOKUP(C52,'[10]Part List รวมล่าสุดกว่า'!A:R,9,0)</f>
        <v>JSH270C</v>
      </c>
      <c r="J52" s="49" t="str">
        <f>+VLOOKUP(C52,'[10]Part List รวมล่าสุดกว่า'!A:R,10,0)</f>
        <v>STAY (STAY HORN)</v>
      </c>
      <c r="K52" s="49" t="str">
        <f>+VLOOKUP(C52,'[10]Part List รวมล่าสุดกว่า'!A:R,11,0)</f>
        <v>50143-K1ZA-J101-20</v>
      </c>
      <c r="L52" s="49" t="str">
        <f>+VLOOKUP(C52,'[10]Part List รวมล่าสุดกว่า'!A:R,12,0)</f>
        <v>K1ZF</v>
      </c>
      <c r="M52" s="50">
        <f>+VLOOKUP(C52,[10]Forecast!F:V,6,0)</f>
        <v>284.37777777777779</v>
      </c>
      <c r="N52" s="50">
        <f>+VLOOKUP(C52,[10]Forecast!F:V,8,0)</f>
        <v>257.15555555555557</v>
      </c>
      <c r="O52" s="50">
        <f>+VLOOKUP(C52,[10]Forecast!F:V,10,0)</f>
        <v>237.37777777777777</v>
      </c>
      <c r="P52" s="50">
        <f>+VLOOKUP(C52,[10]Forecast!F:V,12,0)</f>
        <v>245.73333333333332</v>
      </c>
      <c r="Q52" s="50">
        <f>+VLOOKUP(C52,[10]Forecast!F:V,14,0)</f>
        <v>236.48888888888888</v>
      </c>
      <c r="R52" s="50">
        <f>+VLOOKUP(C52,[10]Forecast!F:V,16,0)</f>
        <v>267.24444444444447</v>
      </c>
      <c r="S52" s="51" t="s">
        <v>25</v>
      </c>
      <c r="T52" s="52"/>
    </row>
    <row r="53" spans="1:20" s="53" customFormat="1" ht="21" customHeight="1">
      <c r="A53" s="34"/>
      <c r="B53" s="43">
        <f t="shared" si="0"/>
        <v>43</v>
      </c>
      <c r="C53" s="44" t="s">
        <v>55</v>
      </c>
      <c r="D53" s="45">
        <f>+VLOOKUP(C53,'[10]Part List รวมล่าสุดกว่า'!A:R,3,0)</f>
        <v>2</v>
      </c>
      <c r="E53" s="46" t="s">
        <v>24</v>
      </c>
      <c r="F53" s="45">
        <f>+VLOOKUP(C53,'[10]Part List รวมล่าสุดกว่า'!A:R,4,0)</f>
        <v>70</v>
      </c>
      <c r="G53" s="46" t="s">
        <v>24</v>
      </c>
      <c r="H53" s="47">
        <f>+VLOOKUP(C53,'[10]Part List รวมล่าสุดกว่า'!A:R,5,0)</f>
        <v>1219</v>
      </c>
      <c r="I53" s="48" t="str">
        <f>+VLOOKUP(C53,'[10]Part List รวมล่าสุดกว่า'!A:R,9,0)</f>
        <v>JSH270C</v>
      </c>
      <c r="J53" s="49" t="str">
        <f>+VLOOKUP(C53,'[10]Part List รวมล่าสุดกว่า'!A:R,10,0)</f>
        <v>STAY L FLOOR RR</v>
      </c>
      <c r="K53" s="49" t="str">
        <f>+VLOOKUP(C53,'[10]Part List รวมล่าสุดกว่า'!A:R,11,0)</f>
        <v>50129-K1ZA-J101-20</v>
      </c>
      <c r="L53" s="49" t="str">
        <f>+VLOOKUP(C53,'[10]Part List รวมล่าสุดกว่า'!A:R,12,0)</f>
        <v>K1ZF</v>
      </c>
      <c r="M53" s="50">
        <f>+VLOOKUP(C53,[10]Forecast!F:V,6,0)</f>
        <v>441.8</v>
      </c>
      <c r="N53" s="50">
        <f>+VLOOKUP(C53,[10]Forecast!F:V,8,0)</f>
        <v>459.73333333333335</v>
      </c>
      <c r="O53" s="50">
        <f>+VLOOKUP(C53,[10]Forecast!F:V,10,0)</f>
        <v>392.4</v>
      </c>
      <c r="P53" s="50">
        <f>+VLOOKUP(C53,[10]Forecast!F:V,12,0)</f>
        <v>366.06666666666666</v>
      </c>
      <c r="Q53" s="50">
        <f>+VLOOKUP(C53,[10]Forecast!F:V,14,0)</f>
        <v>375.26666666666665</v>
      </c>
      <c r="R53" s="50">
        <f>+VLOOKUP(C53,[10]Forecast!F:V,16,0)</f>
        <v>0</v>
      </c>
      <c r="S53" s="51" t="s">
        <v>25</v>
      </c>
      <c r="T53" s="52"/>
    </row>
    <row r="54" spans="1:20" s="53" customFormat="1" ht="21" customHeight="1">
      <c r="A54" s="34"/>
      <c r="B54" s="43">
        <f t="shared" si="0"/>
        <v>44</v>
      </c>
      <c r="C54" s="44" t="s">
        <v>56</v>
      </c>
      <c r="D54" s="45">
        <f>+VLOOKUP(C54,'[10]Part List รวมล่าสุดกว่า'!A:R,3,0)</f>
        <v>2</v>
      </c>
      <c r="E54" s="46" t="s">
        <v>24</v>
      </c>
      <c r="F54" s="45">
        <f>+VLOOKUP(C54,'[10]Part List รวมล่าสุดกว่า'!A:R,4,0)</f>
        <v>69</v>
      </c>
      <c r="G54" s="46" t="s">
        <v>24</v>
      </c>
      <c r="H54" s="47">
        <f>+VLOOKUP(C54,'[10]Part List รวมล่าสุดกว่า'!A:R,5,0)</f>
        <v>1219</v>
      </c>
      <c r="I54" s="48" t="str">
        <f>+VLOOKUP(C54,'[10]Part List รวมล่าสุดกว่า'!A:R,9,0)</f>
        <v>JSH270C</v>
      </c>
      <c r="J54" s="49" t="str">
        <f>+VLOOKUP(C54,'[10]Part List รวมล่าสุดกว่า'!A:R,10,0)</f>
        <v>STAY R FLOOR MID</v>
      </c>
      <c r="K54" s="49" t="str">
        <f>+VLOOKUP(C54,'[10]Part List รวมล่าสุดกว่า'!A:R,11,0)</f>
        <v>50128-K1ZA-J101-20</v>
      </c>
      <c r="L54" s="49" t="str">
        <f>+VLOOKUP(C54,'[10]Part List รวมล่าสุดกว่า'!A:R,12,0)</f>
        <v>K1ZF</v>
      </c>
      <c r="M54" s="50">
        <f>+VLOOKUP(C54,[10]Forecast!F:V,6,0)</f>
        <v>662.7</v>
      </c>
      <c r="N54" s="50">
        <f>+VLOOKUP(C54,[10]Forecast!F:V,8,0)</f>
        <v>689.6</v>
      </c>
      <c r="O54" s="50">
        <f>+VLOOKUP(C54,[10]Forecast!F:V,10,0)</f>
        <v>588.6</v>
      </c>
      <c r="P54" s="50">
        <f>+VLOOKUP(C54,[10]Forecast!F:V,12,0)</f>
        <v>549.1</v>
      </c>
      <c r="Q54" s="50">
        <f>+VLOOKUP(C54,[10]Forecast!F:V,14,0)</f>
        <v>562.9</v>
      </c>
      <c r="R54" s="50">
        <f>+VLOOKUP(C54,[10]Forecast!F:V,16,0)</f>
        <v>0</v>
      </c>
      <c r="S54" s="51" t="s">
        <v>25</v>
      </c>
      <c r="T54" s="52"/>
    </row>
    <row r="55" spans="1:20" s="53" customFormat="1" ht="21" customHeight="1">
      <c r="A55" s="34"/>
      <c r="B55" s="43">
        <f t="shared" si="0"/>
        <v>45</v>
      </c>
      <c r="C55" s="44" t="s">
        <v>57</v>
      </c>
      <c r="D55" s="45">
        <f>+VLOOKUP(C55,'[10]Part List รวมล่าสุดกว่า'!A:R,3,0)</f>
        <v>2</v>
      </c>
      <c r="E55" s="46" t="s">
        <v>24</v>
      </c>
      <c r="F55" s="45">
        <f>+VLOOKUP(C55,'[10]Part List รวมล่าสุดกว่า'!A:R,4,0)</f>
        <v>51</v>
      </c>
      <c r="G55" s="46" t="s">
        <v>24</v>
      </c>
      <c r="H55" s="47">
        <f>+VLOOKUP(C55,'[10]Part List รวมล่าสุดกว่า'!A:R,5,0)</f>
        <v>1219</v>
      </c>
      <c r="I55" s="48" t="str">
        <f>+VLOOKUP(C55,'[10]Part List รวมล่าสุดกว่า'!A:R,9,0)</f>
        <v>JSH270C</v>
      </c>
      <c r="J55" s="49" t="str">
        <f>+VLOOKUP(C55,'[10]Part List รวมล่าสุดกว่า'!A:R,10,0)</f>
        <v>STAY</v>
      </c>
      <c r="K55" s="49" t="str">
        <f>+VLOOKUP(C55,'[10]Part List รวมล่าสุดกว่า'!A:R,11,0)</f>
        <v>50151-K1ZA-J103-20</v>
      </c>
      <c r="L55" s="49" t="str">
        <f>+VLOOKUP(C55,'[10]Part List รวมล่าสุดกว่า'!A:R,12,0)</f>
        <v>K1ZF</v>
      </c>
      <c r="M55" s="50">
        <f>+VLOOKUP(C55,[10]Forecast!F:V,6,0)</f>
        <v>224.64406779661016</v>
      </c>
      <c r="N55" s="50">
        <f>+VLOOKUP(C55,[10]Forecast!F:V,8,0)</f>
        <v>233.76271186440678</v>
      </c>
      <c r="O55" s="50">
        <f>+VLOOKUP(C55,[10]Forecast!F:V,10,0)</f>
        <v>199.52542372881356</v>
      </c>
      <c r="P55" s="50">
        <f>+VLOOKUP(C55,[10]Forecast!F:V,12,0)</f>
        <v>186.13559322033899</v>
      </c>
      <c r="Q55" s="50">
        <f>+VLOOKUP(C55,[10]Forecast!F:V,14,0)</f>
        <v>190.81355932203391</v>
      </c>
      <c r="R55" s="50">
        <f>+VLOOKUP(C55,[10]Forecast!F:V,16,0)</f>
        <v>0</v>
      </c>
      <c r="S55" s="51" t="s">
        <v>25</v>
      </c>
      <c r="T55" s="52"/>
    </row>
    <row r="56" spans="1:20" s="53" customFormat="1" ht="21" customHeight="1">
      <c r="A56" s="34"/>
      <c r="B56" s="43">
        <f t="shared" si="0"/>
        <v>46</v>
      </c>
      <c r="C56" s="44" t="s">
        <v>58</v>
      </c>
      <c r="D56" s="45">
        <f>+VLOOKUP(C56,'[10]Part List รวมล่าสุดกว่า'!A:R,3,0)</f>
        <v>2</v>
      </c>
      <c r="E56" s="46" t="s">
        <v>24</v>
      </c>
      <c r="F56" s="45">
        <f>+VLOOKUP(C56,'[10]Part List รวมล่าสุดกว่า'!A:R,4,0)</f>
        <v>74</v>
      </c>
      <c r="G56" s="46" t="s">
        <v>24</v>
      </c>
      <c r="H56" s="47">
        <f>+VLOOKUP(C56,'[10]Part List รวมล่าสุดกว่า'!A:R,5,0)</f>
        <v>1219</v>
      </c>
      <c r="I56" s="48" t="str">
        <f>+VLOOKUP(C56,'[10]Part List รวมล่าสุดกว่า'!A:R,9,0)</f>
        <v>JSH270C</v>
      </c>
      <c r="J56" s="49" t="str">
        <f>+VLOOKUP(C56,'[10]Part List รวมล่าสุดกว่า'!A:R,10,0)</f>
        <v>STAY R FLOOR RR</v>
      </c>
      <c r="K56" s="49" t="str">
        <f>+VLOOKUP(C56,'[10]Part List รวมล่าสุดกว่า'!A:R,11,0)</f>
        <v>50128-K1ZA-J101-20</v>
      </c>
      <c r="L56" s="49" t="str">
        <f>+VLOOKUP(C56,'[10]Part List รวมล่าสุดกว่า'!A:R,12,0)</f>
        <v>K1ZF</v>
      </c>
      <c r="M56" s="50">
        <f>+VLOOKUP(C56,[10]Forecast!F:V,6,0)</f>
        <v>556.39130434782612</v>
      </c>
      <c r="N56" s="50">
        <f>+VLOOKUP(C56,[10]Forecast!F:V,8,0)</f>
        <v>503.13043478260869</v>
      </c>
      <c r="O56" s="50">
        <f>+VLOOKUP(C56,[10]Forecast!F:V,10,0)</f>
        <v>464.43478260869563</v>
      </c>
      <c r="P56" s="50">
        <f>+VLOOKUP(C56,[10]Forecast!F:V,12,0)</f>
        <v>480.78260869565219</v>
      </c>
      <c r="Q56" s="50">
        <f>+VLOOKUP(C56,[10]Forecast!F:V,14,0)</f>
        <v>462.69565217391306</v>
      </c>
      <c r="R56" s="50">
        <f>+VLOOKUP(C56,[10]Forecast!F:V,16,0)</f>
        <v>522.86956521739125</v>
      </c>
      <c r="S56" s="51" t="s">
        <v>25</v>
      </c>
      <c r="T56" s="52"/>
    </row>
    <row r="57" spans="1:20" s="53" customFormat="1" ht="21" hidden="1" customHeight="1">
      <c r="A57" s="34"/>
      <c r="B57" s="43">
        <f t="shared" si="0"/>
        <v>47</v>
      </c>
      <c r="C57" s="44"/>
      <c r="D57" s="45" t="e">
        <f>+VLOOKUP(C57,'[10]Part List รวมล่าสุดกว่า'!A:R,3,0)</f>
        <v>#N/A</v>
      </c>
      <c r="E57" s="46" t="s">
        <v>24</v>
      </c>
      <c r="F57" s="45" t="e">
        <f>+VLOOKUP(C57,'[10]Part List รวมล่าสุดกว่า'!A:R,4,0)</f>
        <v>#N/A</v>
      </c>
      <c r="G57" s="46" t="s">
        <v>24</v>
      </c>
      <c r="H57" s="47" t="e">
        <f>+VLOOKUP(C57,'[10]Part List รวมล่าสุดกว่า'!A:R,5,0)</f>
        <v>#N/A</v>
      </c>
      <c r="I57" s="48" t="e">
        <f>+VLOOKUP(C57,'[10]Part List รวมล่าสุดกว่า'!A:R,9,0)</f>
        <v>#N/A</v>
      </c>
      <c r="J57" s="49" t="e">
        <f>+VLOOKUP(C57,'[10]Part List รวมล่าสุดกว่า'!A:R,10,0)</f>
        <v>#N/A</v>
      </c>
      <c r="K57" s="49" t="e">
        <f>+VLOOKUP(C57,'[10]Part List รวมล่าสุดกว่า'!A:R,11,0)</f>
        <v>#N/A</v>
      </c>
      <c r="L57" s="49" t="e">
        <f>+VLOOKUP(C57,'[10]Part List รวมล่าสุดกว่า'!A:R,12,0)</f>
        <v>#N/A</v>
      </c>
      <c r="M57" s="50" t="e">
        <f>+VLOOKUP(C57,[10]Forecast!F:V,6,0)</f>
        <v>#N/A</v>
      </c>
      <c r="N57" s="50" t="e">
        <f>+VLOOKUP(C57,[10]Forecast!F:V,8,0)</f>
        <v>#N/A</v>
      </c>
      <c r="O57" s="50" t="e">
        <f>+VLOOKUP(C57,[10]Forecast!F:V,10,0)</f>
        <v>#N/A</v>
      </c>
      <c r="P57" s="50" t="e">
        <f>+VLOOKUP(C57,[10]Forecast!F:V,12,0)</f>
        <v>#N/A</v>
      </c>
      <c r="Q57" s="50" t="e">
        <f>+VLOOKUP(C57,[10]Forecast!F:V,14,0)</f>
        <v>#N/A</v>
      </c>
      <c r="R57" s="50" t="e">
        <f>+VLOOKUP(C57,[10]Forecast!F:V,16,0)</f>
        <v>#N/A</v>
      </c>
      <c r="S57" s="51" t="s">
        <v>25</v>
      </c>
      <c r="T57" s="52"/>
    </row>
    <row r="58" spans="1:20" s="53" customFormat="1" ht="21" hidden="1" customHeight="1">
      <c r="A58" s="34"/>
      <c r="B58" s="43">
        <f t="shared" si="0"/>
        <v>48</v>
      </c>
      <c r="C58" s="44"/>
      <c r="D58" s="45" t="e">
        <f>+VLOOKUP(C58,'[10]Part List รวมล่าสุดกว่า'!A:R,3,0)</f>
        <v>#N/A</v>
      </c>
      <c r="E58" s="46" t="s">
        <v>24</v>
      </c>
      <c r="F58" s="45" t="e">
        <f>+VLOOKUP(C58,'[10]Part List รวมล่าสุดกว่า'!A:R,4,0)</f>
        <v>#N/A</v>
      </c>
      <c r="G58" s="46" t="s">
        <v>24</v>
      </c>
      <c r="H58" s="47" t="e">
        <f>+VLOOKUP(C58,'[10]Part List รวมล่าสุดกว่า'!A:R,5,0)</f>
        <v>#N/A</v>
      </c>
      <c r="I58" s="48" t="e">
        <f>+VLOOKUP(C58,'[10]Part List รวมล่าสุดกว่า'!A:R,9,0)</f>
        <v>#N/A</v>
      </c>
      <c r="J58" s="49" t="e">
        <f>+VLOOKUP(C58,'[10]Part List รวมล่าสุดกว่า'!A:R,10,0)</f>
        <v>#N/A</v>
      </c>
      <c r="K58" s="49" t="e">
        <f>+VLOOKUP(C58,'[10]Part List รวมล่าสุดกว่า'!A:R,11,0)</f>
        <v>#N/A</v>
      </c>
      <c r="L58" s="49" t="e">
        <f>+VLOOKUP(C58,'[10]Part List รวมล่าสุดกว่า'!A:R,12,0)</f>
        <v>#N/A</v>
      </c>
      <c r="M58" s="50" t="e">
        <f>+VLOOKUP(C58,[10]Forecast!F:V,6,0)</f>
        <v>#N/A</v>
      </c>
      <c r="N58" s="50" t="e">
        <f>+VLOOKUP(C58,[10]Forecast!F:V,8,0)</f>
        <v>#N/A</v>
      </c>
      <c r="O58" s="50" t="e">
        <f>+VLOOKUP(C58,[10]Forecast!F:V,10,0)</f>
        <v>#N/A</v>
      </c>
      <c r="P58" s="50" t="e">
        <f>+VLOOKUP(C58,[10]Forecast!F:V,12,0)</f>
        <v>#N/A</v>
      </c>
      <c r="Q58" s="50" t="e">
        <f>+VLOOKUP(C58,[10]Forecast!F:V,14,0)</f>
        <v>#N/A</v>
      </c>
      <c r="R58" s="50" t="e">
        <f>+VLOOKUP(C58,[10]Forecast!F:V,16,0)</f>
        <v>#N/A</v>
      </c>
      <c r="S58" s="51" t="s">
        <v>25</v>
      </c>
      <c r="T58" s="52"/>
    </row>
    <row r="59" spans="1:20" s="53" customFormat="1" ht="21" hidden="1" customHeight="1">
      <c r="A59" s="34"/>
      <c r="B59" s="43">
        <f t="shared" si="0"/>
        <v>49</v>
      </c>
      <c r="C59" s="44"/>
      <c r="D59" s="45" t="e">
        <f>+VLOOKUP(C59,'[10]Part List รวมล่าสุดกว่า'!A:R,3,0)</f>
        <v>#N/A</v>
      </c>
      <c r="E59" s="46" t="s">
        <v>24</v>
      </c>
      <c r="F59" s="45" t="e">
        <f>+VLOOKUP(C59,'[10]Part List รวมล่าสุดกว่า'!A:R,4,0)</f>
        <v>#N/A</v>
      </c>
      <c r="G59" s="46" t="s">
        <v>24</v>
      </c>
      <c r="H59" s="47" t="e">
        <f>+VLOOKUP(C59,'[10]Part List รวมล่าสุดกว่า'!A:R,5,0)</f>
        <v>#N/A</v>
      </c>
      <c r="I59" s="48" t="e">
        <f>+VLOOKUP(C59,'[10]Part List รวมล่าสุดกว่า'!A:R,9,0)</f>
        <v>#N/A</v>
      </c>
      <c r="J59" s="49" t="e">
        <f>+VLOOKUP(C59,'[10]Part List รวมล่าสุดกว่า'!A:R,10,0)</f>
        <v>#N/A</v>
      </c>
      <c r="K59" s="49" t="e">
        <f>+VLOOKUP(C59,'[10]Part List รวมล่าสุดกว่า'!A:R,11,0)</f>
        <v>#N/A</v>
      </c>
      <c r="L59" s="49" t="e">
        <f>+VLOOKUP(C59,'[10]Part List รวมล่าสุดกว่า'!A:R,12,0)</f>
        <v>#N/A</v>
      </c>
      <c r="M59" s="50" t="e">
        <f>+VLOOKUP(C59,[10]Forecast!F:V,6,0)</f>
        <v>#N/A</v>
      </c>
      <c r="N59" s="50" t="e">
        <f>+VLOOKUP(C59,[10]Forecast!F:V,8,0)</f>
        <v>#N/A</v>
      </c>
      <c r="O59" s="50" t="e">
        <f>+VLOOKUP(C59,[10]Forecast!F:V,10,0)</f>
        <v>#N/A</v>
      </c>
      <c r="P59" s="50" t="e">
        <f>+VLOOKUP(C59,[10]Forecast!F:V,12,0)</f>
        <v>#N/A</v>
      </c>
      <c r="Q59" s="50" t="e">
        <f>+VLOOKUP(C59,[10]Forecast!F:V,14,0)</f>
        <v>#N/A</v>
      </c>
      <c r="R59" s="50" t="e">
        <f>+VLOOKUP(C59,[10]Forecast!F:V,16,0)</f>
        <v>#N/A</v>
      </c>
      <c r="S59" s="51" t="s">
        <v>25</v>
      </c>
      <c r="T59" s="52"/>
    </row>
    <row r="60" spans="1:20" s="53" customFormat="1" ht="21" hidden="1" customHeight="1">
      <c r="A60" s="34"/>
      <c r="B60" s="43">
        <f t="shared" si="0"/>
        <v>50</v>
      </c>
      <c r="C60" s="44"/>
      <c r="D60" s="45" t="e">
        <f>+VLOOKUP(C60,'[10]Part List รวมล่าสุดกว่า'!A:R,3,0)</f>
        <v>#N/A</v>
      </c>
      <c r="E60" s="46" t="s">
        <v>24</v>
      </c>
      <c r="F60" s="45" t="e">
        <f>+VLOOKUP(C60,'[10]Part List รวมล่าสุดกว่า'!A:R,4,0)</f>
        <v>#N/A</v>
      </c>
      <c r="G60" s="46" t="s">
        <v>24</v>
      </c>
      <c r="H60" s="47" t="e">
        <f>+VLOOKUP(C60,'[10]Part List รวมล่าสุดกว่า'!A:R,5,0)</f>
        <v>#N/A</v>
      </c>
      <c r="I60" s="48" t="e">
        <f>+VLOOKUP(C60,'[10]Part List รวมล่าสุดกว่า'!A:R,9,0)</f>
        <v>#N/A</v>
      </c>
      <c r="J60" s="49" t="e">
        <f>+VLOOKUP(C60,'[10]Part List รวมล่าสุดกว่า'!A:R,10,0)</f>
        <v>#N/A</v>
      </c>
      <c r="K60" s="49" t="e">
        <f>+VLOOKUP(C60,'[10]Part List รวมล่าสุดกว่า'!A:R,11,0)</f>
        <v>#N/A</v>
      </c>
      <c r="L60" s="49" t="e">
        <f>+VLOOKUP(C60,'[10]Part List รวมล่าสุดกว่า'!A:R,12,0)</f>
        <v>#N/A</v>
      </c>
      <c r="M60" s="50" t="e">
        <f>+VLOOKUP(C60,[10]Forecast!F:V,6,0)</f>
        <v>#N/A</v>
      </c>
      <c r="N60" s="50" t="e">
        <f>+VLOOKUP(C60,[10]Forecast!F:V,8,0)</f>
        <v>#N/A</v>
      </c>
      <c r="O60" s="50" t="e">
        <f>+VLOOKUP(C60,[10]Forecast!F:V,10,0)</f>
        <v>#N/A</v>
      </c>
      <c r="P60" s="50" t="e">
        <f>+VLOOKUP(C60,[10]Forecast!F:V,12,0)</f>
        <v>#N/A</v>
      </c>
      <c r="Q60" s="50" t="e">
        <f>+VLOOKUP(C60,[10]Forecast!F:V,14,0)</f>
        <v>#N/A</v>
      </c>
      <c r="R60" s="50" t="e">
        <f>+VLOOKUP(C60,[10]Forecast!F:V,16,0)</f>
        <v>#N/A</v>
      </c>
      <c r="S60" s="51" t="s">
        <v>25</v>
      </c>
      <c r="T60" s="52"/>
    </row>
    <row r="61" spans="1:20" s="53" customFormat="1" ht="21" hidden="1" customHeight="1">
      <c r="A61" s="34"/>
      <c r="B61" s="43">
        <f t="shared" si="0"/>
        <v>51</v>
      </c>
      <c r="C61" s="44"/>
      <c r="D61" s="45" t="e">
        <f>+VLOOKUP(C61,'[10]Part List รวมล่าสุดกว่า'!A:R,3,0)</f>
        <v>#N/A</v>
      </c>
      <c r="E61" s="46" t="s">
        <v>24</v>
      </c>
      <c r="F61" s="45" t="e">
        <f>+VLOOKUP(C61,'[10]Part List รวมล่าสุดกว่า'!A:R,4,0)</f>
        <v>#N/A</v>
      </c>
      <c r="G61" s="46" t="s">
        <v>24</v>
      </c>
      <c r="H61" s="47" t="e">
        <f>+VLOOKUP(C61,'[10]Part List รวมล่าสุดกว่า'!A:R,5,0)</f>
        <v>#N/A</v>
      </c>
      <c r="I61" s="48" t="e">
        <f>+VLOOKUP(C61,'[10]Part List รวมล่าสุดกว่า'!A:R,9,0)</f>
        <v>#N/A</v>
      </c>
      <c r="J61" s="49" t="e">
        <f>+VLOOKUP(C61,'[10]Part List รวมล่าสุดกว่า'!A:R,10,0)</f>
        <v>#N/A</v>
      </c>
      <c r="K61" s="49" t="e">
        <f>+VLOOKUP(C61,'[10]Part List รวมล่าสุดกว่า'!A:R,11,0)</f>
        <v>#N/A</v>
      </c>
      <c r="L61" s="49" t="e">
        <f>+VLOOKUP(C61,'[10]Part List รวมล่าสุดกว่า'!A:R,12,0)</f>
        <v>#N/A</v>
      </c>
      <c r="M61" s="50" t="e">
        <f>+VLOOKUP(C61,[10]Forecast!F:V,6,0)</f>
        <v>#N/A</v>
      </c>
      <c r="N61" s="50" t="e">
        <f>+VLOOKUP(C61,[10]Forecast!F:V,8,0)</f>
        <v>#N/A</v>
      </c>
      <c r="O61" s="50" t="e">
        <f>+VLOOKUP(C61,[10]Forecast!F:V,10,0)</f>
        <v>#N/A</v>
      </c>
      <c r="P61" s="50" t="e">
        <f>+VLOOKUP(C61,[10]Forecast!F:V,12,0)</f>
        <v>#N/A</v>
      </c>
      <c r="Q61" s="50" t="e">
        <f>+VLOOKUP(C61,[10]Forecast!F:V,14,0)</f>
        <v>#N/A</v>
      </c>
      <c r="R61" s="50" t="e">
        <f>+VLOOKUP(C61,[10]Forecast!F:V,16,0)</f>
        <v>#N/A</v>
      </c>
      <c r="S61" s="51" t="s">
        <v>25</v>
      </c>
      <c r="T61" s="52"/>
    </row>
    <row r="62" spans="1:20" s="53" customFormat="1" ht="21" customHeight="1">
      <c r="A62" s="34"/>
      <c r="B62" s="43">
        <f t="shared" si="0"/>
        <v>52</v>
      </c>
      <c r="C62" s="44" t="s">
        <v>59</v>
      </c>
      <c r="D62" s="45">
        <f>+VLOOKUP(C62,'[10]Part List รวมล่าสุดกว่า'!A:R,3,0)</f>
        <v>1.6</v>
      </c>
      <c r="E62" s="55" t="s">
        <v>24</v>
      </c>
      <c r="F62" s="45">
        <f>+VLOOKUP(C62,'[10]Part List รวมล่าสุดกว่า'!A:R,4,0)</f>
        <v>137</v>
      </c>
      <c r="G62" s="46" t="s">
        <v>24</v>
      </c>
      <c r="H62" s="47">
        <f>+VLOOKUP(C62,'[10]Part List รวมล่าสุดกว่า'!A:R,5,0)</f>
        <v>1219</v>
      </c>
      <c r="I62" s="48" t="str">
        <f>+VLOOKUP(C62,'[10]Part List รวมล่าสุดกว่า'!A:R,9,0)</f>
        <v>JSH270C</v>
      </c>
      <c r="J62" s="49" t="str">
        <f>+VLOOKUP(C62,'[10]Part List รวมล่าสุดกว่า'!A:R,10,0)</f>
        <v>STAY ABS</v>
      </c>
      <c r="K62" s="49" t="str">
        <f>+VLOOKUP(C62,'[10]Part List รวมล่าสุดกว่า'!A:R,11,0)</f>
        <v>50116-K2WA-J102-H1</v>
      </c>
      <c r="L62" s="49" t="str">
        <f>+VLOOKUP(C62,'[10]Part List รวมล่าสุดกว่า'!A:R,12,0)</f>
        <v>K2WA</v>
      </c>
      <c r="M62" s="50">
        <f>+VLOOKUP(C62,[10]Forecast!F:V,6,0)</f>
        <v>16.379310344827587</v>
      </c>
      <c r="N62" s="50">
        <f>+VLOOKUP(C62,[10]Forecast!F:V,8,0)</f>
        <v>15.862068965517242</v>
      </c>
      <c r="O62" s="50">
        <f>+VLOOKUP(C62,[10]Forecast!F:V,10,0)</f>
        <v>14.482758620689655</v>
      </c>
      <c r="P62" s="50">
        <f>+VLOOKUP(C62,[10]Forecast!F:V,12,0)</f>
        <v>11.655172413793103</v>
      </c>
      <c r="Q62" s="50">
        <f>+VLOOKUP(C62,[10]Forecast!F:V,14,0)</f>
        <v>9.4137931034482758</v>
      </c>
      <c r="R62" s="50">
        <f>+VLOOKUP(C62,[10]Forecast!F:V,16,0)</f>
        <v>0</v>
      </c>
      <c r="S62" s="51" t="s">
        <v>25</v>
      </c>
      <c r="T62" s="52"/>
    </row>
    <row r="63" spans="1:20" s="53" customFormat="1" ht="21" customHeight="1">
      <c r="A63" s="34"/>
      <c r="B63" s="43">
        <f t="shared" si="0"/>
        <v>53</v>
      </c>
      <c r="C63" s="44">
        <v>30045048</v>
      </c>
      <c r="D63" s="45">
        <f>+VLOOKUP(C63,'[10]Part List รวมล่าสุดกว่า'!A:R,3,0)</f>
        <v>1.4</v>
      </c>
      <c r="E63" s="46" t="s">
        <v>24</v>
      </c>
      <c r="F63" s="45">
        <f>+VLOOKUP(C63,'[10]Part List รวมล่าสุดกว่า'!A:R,4,0)</f>
        <v>65</v>
      </c>
      <c r="G63" s="46" t="s">
        <v>24</v>
      </c>
      <c r="H63" s="47">
        <f>+VLOOKUP(C63,'[10]Part List รวมล่าสุดกว่า'!A:R,5,0)</f>
        <v>1219</v>
      </c>
      <c r="I63" s="48" t="str">
        <f>+VLOOKUP(C63,'[10]Part List รวมล่าสุดกว่า'!A:R,9,0)</f>
        <v>JSC270C</v>
      </c>
      <c r="J63" s="49" t="str">
        <f>+VLOOKUP(C63,'[10]Part List รวมล่าสุดกว่า'!A:R,10,0)</f>
        <v>STAY R SEAT MT</v>
      </c>
      <c r="K63" s="49">
        <f>+VLOOKUP(C63,'[10]Part List รวมล่าสุดกว่า'!A:R,11,0)</f>
        <v>0</v>
      </c>
      <c r="L63" s="49" t="str">
        <f>+VLOOKUP(C63,'[10]Part List รวมล่าสุดกว่า'!A:R,12,0)</f>
        <v>K2WA</v>
      </c>
      <c r="M63" s="50">
        <f>+VLOOKUP(C63,[10]Forecast!F:V,6,0)</f>
        <v>22.61904761904762</v>
      </c>
      <c r="N63" s="50">
        <f>+VLOOKUP(C63,[10]Forecast!F:V,8,0)</f>
        <v>20</v>
      </c>
      <c r="O63" s="50">
        <f>+VLOOKUP(C63,[10]Forecast!F:V,10,0)</f>
        <v>16.095238095238095</v>
      </c>
      <c r="P63" s="50">
        <f>+VLOOKUP(C63,[10]Forecast!F:V,12,0)</f>
        <v>13</v>
      </c>
      <c r="Q63" s="50">
        <f>+VLOOKUP(C63,[10]Forecast!F:V,14,0)</f>
        <v>20.333333333333332</v>
      </c>
      <c r="R63" s="50">
        <f>+VLOOKUP(C63,[10]Forecast!F:V,16,0)</f>
        <v>28.952380952380953</v>
      </c>
      <c r="S63" s="51" t="s">
        <v>25</v>
      </c>
      <c r="T63" s="52"/>
    </row>
    <row r="64" spans="1:20" s="53" customFormat="1" ht="21" hidden="1" customHeight="1">
      <c r="A64" s="34"/>
      <c r="B64" s="43">
        <f t="shared" si="0"/>
        <v>54</v>
      </c>
      <c r="C64" s="44"/>
      <c r="D64" s="45" t="e">
        <f>+VLOOKUP(C64,'[10]Part List รวมล่าสุดกว่า'!A:R,3,0)</f>
        <v>#N/A</v>
      </c>
      <c r="E64" s="46" t="s">
        <v>24</v>
      </c>
      <c r="F64" s="45" t="e">
        <f>+VLOOKUP(C64,'[10]Part List รวมล่าสุดกว่า'!A:R,4,0)</f>
        <v>#N/A</v>
      </c>
      <c r="G64" s="46" t="s">
        <v>24</v>
      </c>
      <c r="H64" s="47" t="e">
        <f>+VLOOKUP(C64,'[10]Part List รวมล่าสุดกว่า'!A:R,5,0)</f>
        <v>#N/A</v>
      </c>
      <c r="I64" s="48" t="e">
        <f>+VLOOKUP(C64,'[10]Part List รวมล่าสุดกว่า'!A:R,9,0)</f>
        <v>#N/A</v>
      </c>
      <c r="J64" s="49" t="e">
        <f>+VLOOKUP(C64,'[10]Part List รวมล่าสุดกว่า'!A:R,10,0)</f>
        <v>#N/A</v>
      </c>
      <c r="K64" s="49" t="e">
        <f>+VLOOKUP(C64,'[10]Part List รวมล่าสุดกว่า'!A:R,11,0)</f>
        <v>#N/A</v>
      </c>
      <c r="L64" s="49" t="e">
        <f>+VLOOKUP(C64,'[10]Part List รวมล่าสุดกว่า'!A:R,12,0)</f>
        <v>#N/A</v>
      </c>
      <c r="M64" s="50" t="e">
        <f>+VLOOKUP(C64,[10]Forecast!F:V,6,0)</f>
        <v>#N/A</v>
      </c>
      <c r="N64" s="50" t="e">
        <f>+VLOOKUP(C64,[10]Forecast!F:V,8,0)</f>
        <v>#N/A</v>
      </c>
      <c r="O64" s="50" t="e">
        <f>+VLOOKUP(C64,[10]Forecast!F:V,10,0)</f>
        <v>#N/A</v>
      </c>
      <c r="P64" s="50" t="e">
        <f>+VLOOKUP(C64,[10]Forecast!F:V,12,0)</f>
        <v>#N/A</v>
      </c>
      <c r="Q64" s="50" t="e">
        <f>+VLOOKUP(C64,[10]Forecast!F:V,14,0)</f>
        <v>#N/A</v>
      </c>
      <c r="R64" s="50" t="e">
        <f>+VLOOKUP(C64,[10]Forecast!F:V,16,0)</f>
        <v>#N/A</v>
      </c>
      <c r="S64" s="51" t="s">
        <v>25</v>
      </c>
      <c r="T64" s="52"/>
    </row>
    <row r="65" spans="1:20" s="53" customFormat="1" ht="21" customHeight="1">
      <c r="A65" s="34"/>
      <c r="B65" s="43">
        <f t="shared" si="0"/>
        <v>55</v>
      </c>
      <c r="C65" s="44">
        <v>30045049</v>
      </c>
      <c r="D65" s="45">
        <f>+VLOOKUP(C65,'[10]Part List รวมล่าสุดกว่า'!A:R,3,0)</f>
        <v>1.4</v>
      </c>
      <c r="E65" s="46" t="s">
        <v>24</v>
      </c>
      <c r="F65" s="45">
        <f>+VLOOKUP(C65,'[10]Part List รวมล่าสุดกว่า'!A:R,4,0)</f>
        <v>65</v>
      </c>
      <c r="G65" s="46" t="s">
        <v>24</v>
      </c>
      <c r="H65" s="47">
        <f>+VLOOKUP(C65,'[10]Part List รวมล่าสุดกว่า'!A:R,5,0)</f>
        <v>1219</v>
      </c>
      <c r="I65" s="48" t="str">
        <f>+VLOOKUP(C65,'[10]Part List รวมล่าสุดกว่า'!A:R,9,0)</f>
        <v>JSC270C</v>
      </c>
      <c r="J65" s="49" t="str">
        <f>+VLOOKUP(C65,'[10]Part List รวมล่าสุดกว่า'!A:R,10,0)</f>
        <v>STAY L SEAT MT</v>
      </c>
      <c r="K65" s="49">
        <f>+VLOOKUP(C65,'[10]Part List รวมล่าสุดกว่า'!A:R,11,0)</f>
        <v>0</v>
      </c>
      <c r="L65" s="49" t="str">
        <f>+VLOOKUP(C65,'[10]Part List รวมล่าสุดกว่า'!A:R,12,0)</f>
        <v>K2WA</v>
      </c>
      <c r="M65" s="50">
        <f>+VLOOKUP(C65,[10]Forecast!F:V,6,0)</f>
        <v>22.61904761904762</v>
      </c>
      <c r="N65" s="50">
        <f>+VLOOKUP(C65,[10]Forecast!F:V,8,0)</f>
        <v>20</v>
      </c>
      <c r="O65" s="50">
        <f>+VLOOKUP(C65,[10]Forecast!F:V,10,0)</f>
        <v>16.095238095238095</v>
      </c>
      <c r="P65" s="50">
        <f>+VLOOKUP(C65,[10]Forecast!F:V,12,0)</f>
        <v>13</v>
      </c>
      <c r="Q65" s="50">
        <f>+VLOOKUP(C65,[10]Forecast!F:V,14,0)</f>
        <v>20.333333333333332</v>
      </c>
      <c r="R65" s="50">
        <f>+VLOOKUP(C65,[10]Forecast!F:V,16,0)</f>
        <v>28.952380952380953</v>
      </c>
      <c r="S65" s="51" t="s">
        <v>25</v>
      </c>
      <c r="T65" s="52"/>
    </row>
    <row r="66" spans="1:20" s="53" customFormat="1" ht="21" customHeight="1">
      <c r="A66" s="34"/>
      <c r="B66" s="43">
        <f t="shared" si="0"/>
        <v>56</v>
      </c>
      <c r="C66" s="44" t="s">
        <v>37</v>
      </c>
      <c r="D66" s="45">
        <f>+VLOOKUP(C66,'[10]Part List รวมล่าสุดกว่า'!A:R,3,0)</f>
        <v>1.6</v>
      </c>
      <c r="E66" s="46" t="s">
        <v>24</v>
      </c>
      <c r="F66" s="45">
        <f>+VLOOKUP(C66,'[10]Part List รวมล่าสุดกว่า'!A:R,4,0)</f>
        <v>57</v>
      </c>
      <c r="G66" s="46" t="s">
        <v>24</v>
      </c>
      <c r="H66" s="47">
        <f>+VLOOKUP(C66,'[10]Part List รวมล่าสุดกว่า'!A:R,5,0)</f>
        <v>1219</v>
      </c>
      <c r="I66" s="48" t="str">
        <f>+VLOOKUP(C66,'[10]Part List รวมล่าสุดกว่า'!A:R,9,0)</f>
        <v>JSH270C</v>
      </c>
      <c r="J66" s="49" t="str">
        <f>+VLOOKUP(C66,'[10]Part List รวมล่าสุดกว่า'!A:R,10,0)</f>
        <v>STAY R/L</v>
      </c>
      <c r="K66" s="49" t="str">
        <f>+VLOOKUP(C66,'[10]Part List รวมล่าสุดกว่า'!A:R,11,0)</f>
        <v>50313-K1BA-T002-20</v>
      </c>
      <c r="L66" s="49" t="str">
        <f>+VLOOKUP(C66,'[10]Part List รวมล่าสุดกว่า'!A:R,12,0)</f>
        <v>K1BA</v>
      </c>
      <c r="M66" s="50">
        <f>+VLOOKUP(C66,[10]Forecast!F:V,6,0)</f>
        <v>264</v>
      </c>
      <c r="N66" s="50">
        <f>+VLOOKUP(C66,[10]Forecast!F:V,8,0)</f>
        <v>221.42222222222222</v>
      </c>
      <c r="O66" s="50">
        <f>+VLOOKUP(C66,[10]Forecast!F:V,10,0)</f>
        <v>182.93333333333334</v>
      </c>
      <c r="P66" s="50">
        <f>+VLOOKUP(C66,[10]Forecast!F:V,12,0)</f>
        <v>172.97777777777779</v>
      </c>
      <c r="Q66" s="50">
        <f>+VLOOKUP(C66,[10]Forecast!F:V,14,0)</f>
        <v>154.4</v>
      </c>
      <c r="R66" s="50">
        <f>+VLOOKUP(C66,[10]Forecast!F:V,16,0)</f>
        <v>0</v>
      </c>
      <c r="S66" s="51" t="s">
        <v>25</v>
      </c>
      <c r="T66" s="52"/>
    </row>
    <row r="67" spans="1:20" s="53" customFormat="1" ht="21" customHeight="1">
      <c r="A67" s="34"/>
      <c r="B67" s="43">
        <f t="shared" si="0"/>
        <v>57</v>
      </c>
      <c r="C67" s="44" t="s">
        <v>60</v>
      </c>
      <c r="D67" s="45">
        <f>+VLOOKUP(C67,'[10]Part List รวมล่าสุดกว่า'!A:R,3,0)</f>
        <v>2</v>
      </c>
      <c r="E67" s="46" t="s">
        <v>24</v>
      </c>
      <c r="F67" s="45">
        <f>+VLOOKUP(C67,'[10]Part List รวมล่าสุดกว่า'!A:R,4,0)</f>
        <v>54</v>
      </c>
      <c r="G67" s="46" t="s">
        <v>24</v>
      </c>
      <c r="H67" s="47">
        <f>+VLOOKUP(C67,'[10]Part List รวมล่าสุดกว่า'!A:R,5,0)</f>
        <v>1219</v>
      </c>
      <c r="I67" s="48" t="str">
        <f>+VLOOKUP(C67,'[10]Part List รวมล่าสุดกว่า'!A:R,9,0)</f>
        <v>JSH440W</v>
      </c>
      <c r="J67" s="49" t="str">
        <f>+VLOOKUP(C67,'[10]Part List รวมล่าสุดกว่า'!A:R,10,0)</f>
        <v>STAY L COWL FR</v>
      </c>
      <c r="K67" s="49" t="str">
        <f>+VLOOKUP(C67,'[10]Part List รวมล่าสุดกว่า'!A:R,11,0)</f>
        <v>61356-K94-T000-H1</v>
      </c>
      <c r="L67" s="49" t="str">
        <f>+VLOOKUP(C67,'[10]Part List รวมล่าสุดกว่า'!A:R,12,0)</f>
        <v>K94A</v>
      </c>
      <c r="M67" s="50">
        <f>+VLOOKUP(C67,[10]Forecast!F:V,6,0)</f>
        <v>10.261904761904763</v>
      </c>
      <c r="N67" s="50">
        <f>+VLOOKUP(C67,[10]Forecast!F:V,8,0)</f>
        <v>20.857142857142858</v>
      </c>
      <c r="O67" s="50">
        <f>+VLOOKUP(C67,[10]Forecast!F:V,10,0)</f>
        <v>21.428571428571427</v>
      </c>
      <c r="P67" s="50">
        <f>+VLOOKUP(C67,[10]Forecast!F:V,12,0)</f>
        <v>9.7142857142857135</v>
      </c>
      <c r="Q67" s="50">
        <f>+VLOOKUP(C67,[10]Forecast!F:V,14,0)</f>
        <v>0</v>
      </c>
      <c r="R67" s="50">
        <f>+VLOOKUP(C67,[10]Forecast!F:V,16,0)</f>
        <v>0</v>
      </c>
      <c r="S67" s="51" t="s">
        <v>25</v>
      </c>
      <c r="T67" s="52"/>
    </row>
    <row r="68" spans="1:20" s="53" customFormat="1" ht="21" customHeight="1">
      <c r="A68" s="34"/>
      <c r="B68" s="43">
        <f t="shared" si="0"/>
        <v>58</v>
      </c>
      <c r="C68" s="44" t="s">
        <v>61</v>
      </c>
      <c r="D68" s="45">
        <f>+VLOOKUP(C68,'[10]Part List รวมล่าสุดกว่า'!A:R,3,0)</f>
        <v>2</v>
      </c>
      <c r="E68" s="46" t="s">
        <v>24</v>
      </c>
      <c r="F68" s="45">
        <f>+VLOOKUP(C68,'[10]Part List รวมล่าสุดกว่า'!A:R,4,0)</f>
        <v>54</v>
      </c>
      <c r="G68" s="46" t="s">
        <v>24</v>
      </c>
      <c r="H68" s="47">
        <f>+VLOOKUP(C68,'[10]Part List รวมล่าสุดกว่า'!A:R,5,0)</f>
        <v>1219</v>
      </c>
      <c r="I68" s="48" t="str">
        <f>+VLOOKUP(C68,'[10]Part List รวมล่าสุดกว่า'!A:R,9,0)</f>
        <v>JSH440W</v>
      </c>
      <c r="J68" s="49" t="str">
        <f>+VLOOKUP(C68,'[10]Part List รวมล่าสุดกว่า'!A:R,10,0)</f>
        <v>STAY R COWL FR</v>
      </c>
      <c r="K68" s="49" t="str">
        <f>+VLOOKUP(C68,'[10]Part List รวมล่าสุดกว่า'!A:R,11,0)</f>
        <v>61346-K94-T000-H1</v>
      </c>
      <c r="L68" s="49" t="str">
        <f>+VLOOKUP(C68,'[10]Part List รวมล่าสุดกว่า'!A:R,12,0)</f>
        <v>K94A</v>
      </c>
      <c r="M68" s="50">
        <f>+VLOOKUP(C68,[10]Forecast!F:V,6,0)</f>
        <v>10.261904761904763</v>
      </c>
      <c r="N68" s="50">
        <f>+VLOOKUP(C68,[10]Forecast!F:V,8,0)</f>
        <v>20.857142857142858</v>
      </c>
      <c r="O68" s="50">
        <f>+VLOOKUP(C68,[10]Forecast!F:V,10,0)</f>
        <v>21.428571428571427</v>
      </c>
      <c r="P68" s="50">
        <f>+VLOOKUP(C68,[10]Forecast!F:V,12,0)</f>
        <v>9.7142857142857135</v>
      </c>
      <c r="Q68" s="50">
        <f>+VLOOKUP(C68,[10]Forecast!F:V,14,0)</f>
        <v>0</v>
      </c>
      <c r="R68" s="50">
        <f>+VLOOKUP(C68,[10]Forecast!F:V,16,0)</f>
        <v>0</v>
      </c>
      <c r="S68" s="51" t="s">
        <v>25</v>
      </c>
      <c r="T68" s="52"/>
    </row>
    <row r="69" spans="1:20" s="53" customFormat="1" ht="21" customHeight="1">
      <c r="A69" s="34"/>
      <c r="B69" s="43">
        <f t="shared" si="0"/>
        <v>59</v>
      </c>
      <c r="C69" s="44">
        <v>30040677</v>
      </c>
      <c r="D69" s="45">
        <f>+VLOOKUP(C69,'[10]Part List รวมล่าสุดกว่า'!A:R,3,0)</f>
        <v>2.2999999999999998</v>
      </c>
      <c r="E69" s="46" t="s">
        <v>24</v>
      </c>
      <c r="F69" s="45">
        <f>+VLOOKUP(C69,'[10]Part List รวมล่าสุดกว่า'!A:R,4,0)</f>
        <v>59</v>
      </c>
      <c r="G69" s="46" t="s">
        <v>24</v>
      </c>
      <c r="H69" s="47">
        <f>+VLOOKUP(C69,'[10]Part List รวมล่าสุดกว่า'!A:R,5,0)</f>
        <v>1219</v>
      </c>
      <c r="I69" s="48" t="str">
        <f>+VLOOKUP(C69,'[10]Part List รวมล่าสุดกว่า'!A:R,9,0)</f>
        <v>JSH270C</v>
      </c>
      <c r="J69" s="49" t="str">
        <f>+VLOOKUP(C69,'[10]Part List รวมล่าสุดกว่า'!A:R,10,0)</f>
        <v>STAY R</v>
      </c>
      <c r="K69" s="49" t="str">
        <f>+VLOOKUP(C69,'[10]Part List รวมล่าสุดกว่า'!A:R,11,0)</f>
        <v>64100-K2EA-T001-21</v>
      </c>
      <c r="L69" s="49" t="str">
        <f>+VLOOKUP(C69,'[10]Part List รวมล่าสุดกว่า'!A:R,12,0)</f>
        <v>K2EA</v>
      </c>
      <c r="M69" s="50">
        <f>+VLOOKUP(C69,[10]Forecast!F:V,6,0)</f>
        <v>751.53846153846155</v>
      </c>
      <c r="N69" s="50">
        <f>+VLOOKUP(C69,[10]Forecast!F:V,8,0)</f>
        <v>773.84615384615381</v>
      </c>
      <c r="O69" s="50">
        <f>+VLOOKUP(C69,[10]Forecast!F:V,10,0)</f>
        <v>486.15384615384613</v>
      </c>
      <c r="P69" s="50">
        <f>+VLOOKUP(C69,[10]Forecast!F:V,12,0)</f>
        <v>716.92307692307691</v>
      </c>
      <c r="Q69" s="50">
        <f>+VLOOKUP(C69,[10]Forecast!F:V,14,0)</f>
        <v>712.30769230769226</v>
      </c>
      <c r="R69" s="50">
        <f>+VLOOKUP(C69,[10]Forecast!F:V,16,0)</f>
        <v>0</v>
      </c>
      <c r="S69" s="51" t="s">
        <v>25</v>
      </c>
      <c r="T69" s="52"/>
    </row>
    <row r="70" spans="1:20" s="53" customFormat="1" ht="21" customHeight="1">
      <c r="A70" s="34"/>
      <c r="B70" s="43">
        <f t="shared" si="0"/>
        <v>60</v>
      </c>
      <c r="C70" s="44">
        <v>30040679</v>
      </c>
      <c r="D70" s="45">
        <f>+VLOOKUP(C70,'[10]Part List รวมล่าสุดกว่า'!A:R,3,0)</f>
        <v>2.2999999999999998</v>
      </c>
      <c r="E70" s="46" t="s">
        <v>24</v>
      </c>
      <c r="F70" s="45">
        <f>+VLOOKUP(C70,'[10]Part List รวมล่าสุดกว่า'!A:R,4,0)</f>
        <v>59</v>
      </c>
      <c r="G70" s="46" t="s">
        <v>24</v>
      </c>
      <c r="H70" s="47">
        <f>+VLOOKUP(C70,'[10]Part List รวมล่าสุดกว่า'!A:R,5,0)</f>
        <v>1219</v>
      </c>
      <c r="I70" s="48" t="str">
        <f>+VLOOKUP(C70,'[10]Part List รวมล่าสุดกว่า'!A:R,9,0)</f>
        <v>JSH270C</v>
      </c>
      <c r="J70" s="49" t="str">
        <f>+VLOOKUP(C70,'[10]Part List รวมล่าสุดกว่า'!A:R,10,0)</f>
        <v>STAY L</v>
      </c>
      <c r="K70" s="49" t="str">
        <f>+VLOOKUP(C70,'[10]Part List รวมล่าสุดกว่า'!A:R,11,0)</f>
        <v>64200-K2EA-T001-21</v>
      </c>
      <c r="L70" s="49" t="str">
        <f>+VLOOKUP(C70,'[10]Part List รวมล่าสุดกว่า'!A:R,12,0)</f>
        <v>K2EA</v>
      </c>
      <c r="M70" s="50">
        <f>+VLOOKUP(C70,[10]Forecast!F:V,6,0)</f>
        <v>714.61538461538464</v>
      </c>
      <c r="N70" s="50">
        <f>+VLOOKUP(C70,[10]Forecast!F:V,8,0)</f>
        <v>773.84615384615381</v>
      </c>
      <c r="O70" s="50">
        <f>+VLOOKUP(C70,[10]Forecast!F:V,10,0)</f>
        <v>486.15384615384613</v>
      </c>
      <c r="P70" s="50">
        <f>+VLOOKUP(C70,[10]Forecast!F:V,12,0)</f>
        <v>716.92307692307691</v>
      </c>
      <c r="Q70" s="50">
        <f>+VLOOKUP(C70,[10]Forecast!F:V,14,0)</f>
        <v>712.30769230769226</v>
      </c>
      <c r="R70" s="50">
        <f>+VLOOKUP(C70,[10]Forecast!F:V,16,0)</f>
        <v>0</v>
      </c>
      <c r="S70" s="51" t="s">
        <v>25</v>
      </c>
      <c r="T70" s="52"/>
    </row>
    <row r="71" spans="1:20" s="53" customFormat="1" ht="21" customHeight="1">
      <c r="A71" s="34"/>
      <c r="B71" s="43">
        <f t="shared" si="0"/>
        <v>61</v>
      </c>
      <c r="C71" s="44">
        <v>30041190</v>
      </c>
      <c r="D71" s="45">
        <f>+VLOOKUP(C71,'[10]Part List รวมล่าสุดกว่า'!A:R,3,0)</f>
        <v>2</v>
      </c>
      <c r="E71" s="46" t="s">
        <v>24</v>
      </c>
      <c r="F71" s="45">
        <f>+VLOOKUP(C71,'[10]Part List รวมล่าสุดกว่า'!A:R,4,0)</f>
        <v>88</v>
      </c>
      <c r="G71" s="46" t="s">
        <v>24</v>
      </c>
      <c r="H71" s="47">
        <f>+VLOOKUP(C71,'[10]Part List รวมล่าสุดกว่า'!A:R,5,0)</f>
        <v>1219</v>
      </c>
      <c r="I71" s="48" t="str">
        <f>+VLOOKUP(C71,'[10]Part List รวมล่าสุดกว่า'!A:R,9,0)</f>
        <v>JSH270C</v>
      </c>
      <c r="J71" s="49" t="str">
        <f>+VLOOKUP(C71,'[10]Part List รวมล่าสุดกว่า'!A:R,10,0)</f>
        <v>GUSSET FR MAIN LOWER PIPE</v>
      </c>
      <c r="K71" s="49" t="str">
        <f>+VLOOKUP(C71,'[10]Part List รวมล่าสุดกว่า'!A:R,11,0)</f>
        <v>50154-K1BA-T000-H1</v>
      </c>
      <c r="L71" s="49" t="str">
        <f>+VLOOKUP(C71,'[10]Part List รวมล่าสุดกว่า'!A:R,12,0)</f>
        <v>K1BA</v>
      </c>
      <c r="M71" s="50">
        <f>+VLOOKUP(C71,[10]Forecast!F:V,6,0)</f>
        <v>291</v>
      </c>
      <c r="N71" s="50">
        <f>+VLOOKUP(C71,[10]Forecast!F:V,8,0)</f>
        <v>239.7</v>
      </c>
      <c r="O71" s="50">
        <f>+VLOOKUP(C71,[10]Forecast!F:V,10,0)</f>
        <v>206.3</v>
      </c>
      <c r="P71" s="50">
        <f>+VLOOKUP(C71,[10]Forecast!F:V,12,0)</f>
        <v>197.6</v>
      </c>
      <c r="Q71" s="50">
        <f>+VLOOKUP(C71,[10]Forecast!F:V,14,0)</f>
        <v>174.2</v>
      </c>
      <c r="R71" s="50">
        <f>+VLOOKUP(C71,[10]Forecast!F:V,16,0)</f>
        <v>0</v>
      </c>
      <c r="S71" s="51" t="s">
        <v>25</v>
      </c>
      <c r="T71" s="52"/>
    </row>
    <row r="72" spans="1:20" s="53" customFormat="1" ht="21" hidden="1" customHeight="1">
      <c r="A72" s="34"/>
      <c r="B72" s="43">
        <f t="shared" si="0"/>
        <v>62</v>
      </c>
      <c r="C72" s="44"/>
      <c r="D72" s="45" t="e">
        <f>+VLOOKUP(C72,'[10]Part List รวมล่าสุดกว่า'!A:R,3,0)</f>
        <v>#N/A</v>
      </c>
      <c r="E72" s="46" t="s">
        <v>24</v>
      </c>
      <c r="F72" s="45" t="e">
        <f>+VLOOKUP(C72,'[10]Part List รวมล่าสุดกว่า'!A:R,4,0)</f>
        <v>#N/A</v>
      </c>
      <c r="G72" s="46" t="s">
        <v>24</v>
      </c>
      <c r="H72" s="47" t="e">
        <f>+VLOOKUP(C72,'[10]Part List รวมล่าสุดกว่า'!A:R,5,0)</f>
        <v>#N/A</v>
      </c>
      <c r="I72" s="48" t="e">
        <f>+VLOOKUP(C72,'[10]Part List รวมล่าสุดกว่า'!A:R,9,0)</f>
        <v>#N/A</v>
      </c>
      <c r="J72" s="49" t="e">
        <f>+VLOOKUP(C72,'[10]Part List รวมล่าสุดกว่า'!A:R,10,0)</f>
        <v>#N/A</v>
      </c>
      <c r="K72" s="49" t="e">
        <f>+VLOOKUP(C72,'[10]Part List รวมล่าสุดกว่า'!A:R,11,0)</f>
        <v>#N/A</v>
      </c>
      <c r="L72" s="49" t="e">
        <f>+VLOOKUP(C72,'[10]Part List รวมล่าสุดกว่า'!A:R,12,0)</f>
        <v>#N/A</v>
      </c>
      <c r="M72" s="50" t="e">
        <f>+VLOOKUP(C72,[10]Forecast!F:V,6,0)</f>
        <v>#N/A</v>
      </c>
      <c r="N72" s="50" t="e">
        <f>+VLOOKUP(C72,[10]Forecast!F:V,8,0)</f>
        <v>#N/A</v>
      </c>
      <c r="O72" s="50" t="e">
        <f>+VLOOKUP(C72,[10]Forecast!F:V,10,0)</f>
        <v>#N/A</v>
      </c>
      <c r="P72" s="50" t="e">
        <f>+VLOOKUP(C72,[10]Forecast!F:V,12,0)</f>
        <v>#N/A</v>
      </c>
      <c r="Q72" s="50" t="e">
        <f>+VLOOKUP(C72,[10]Forecast!F:V,14,0)</f>
        <v>#N/A</v>
      </c>
      <c r="R72" s="50" t="e">
        <f>+VLOOKUP(C72,[10]Forecast!F:V,16,0)</f>
        <v>#N/A</v>
      </c>
      <c r="S72" s="51" t="s">
        <v>25</v>
      </c>
      <c r="T72" s="52"/>
    </row>
    <row r="73" spans="1:20" s="53" customFormat="1" ht="21" customHeight="1">
      <c r="A73" s="34"/>
      <c r="B73" s="43">
        <f t="shared" si="0"/>
        <v>63</v>
      </c>
      <c r="C73" s="44" t="s">
        <v>48</v>
      </c>
      <c r="D73" s="45">
        <f>+VLOOKUP(C73,'[10]Part List รวมล่าสุดกว่า'!A:R,3,0)</f>
        <v>1.6</v>
      </c>
      <c r="E73" s="46" t="s">
        <v>24</v>
      </c>
      <c r="F73" s="45">
        <f>+VLOOKUP(C73,'[10]Part List รวมล่าสุดกว่า'!A:R,4,0)</f>
        <v>140</v>
      </c>
      <c r="G73" s="46" t="s">
        <v>24</v>
      </c>
      <c r="H73" s="47">
        <f>+VLOOKUP(C73,'[10]Part List รวมล่าสุดกว่า'!A:R,5,0)</f>
        <v>1219</v>
      </c>
      <c r="I73" s="48" t="str">
        <f>+VLOOKUP(C73,'[10]Part List รวมล่าสุดกว่า'!A:R,9,0)</f>
        <v>JSH270C</v>
      </c>
      <c r="J73" s="49" t="str">
        <f>+VLOOKUP(C73,'[10]Part List รวมล่าสุดกว่า'!A:R,10,0)</f>
        <v>GUSSET RR, MAIN LOWER PIPE</v>
      </c>
      <c r="K73" s="49" t="str">
        <f>+VLOOKUP(C73,'[10]Part List รวมล่าสุดกว่า'!A:R,11,0)</f>
        <v>50155-K1B-T000-H1</v>
      </c>
      <c r="L73" s="49" t="str">
        <f>+VLOOKUP(C73,'[10]Part List รวมล่าสุดกว่า'!A:R,12,0)</f>
        <v>K1BG</v>
      </c>
      <c r="M73" s="50">
        <f>+VLOOKUP(C73,[10]Forecast!F:V,6,0)</f>
        <v>412.22222222222223</v>
      </c>
      <c r="N73" s="50">
        <f>+VLOOKUP(C73,[10]Forecast!F:V,8,0)</f>
        <v>347.77777777777777</v>
      </c>
      <c r="O73" s="50">
        <f>+VLOOKUP(C73,[10]Forecast!F:V,10,0)</f>
        <v>298.11111111111109</v>
      </c>
      <c r="P73" s="50">
        <f>+VLOOKUP(C73,[10]Forecast!F:V,12,0)</f>
        <v>265</v>
      </c>
      <c r="Q73" s="50">
        <f>+VLOOKUP(C73,[10]Forecast!F:V,14,0)</f>
        <v>257.22222222222223</v>
      </c>
      <c r="R73" s="50">
        <f>+VLOOKUP(C73,[10]Forecast!F:V,16,0)</f>
        <v>254.88888888888889</v>
      </c>
      <c r="S73" s="51" t="s">
        <v>25</v>
      </c>
      <c r="T73" s="52"/>
    </row>
    <row r="74" spans="1:20" s="53" customFormat="1" ht="21" customHeight="1">
      <c r="A74" s="34"/>
      <c r="B74" s="43">
        <f t="shared" si="0"/>
        <v>64</v>
      </c>
      <c r="C74" s="44" t="s">
        <v>62</v>
      </c>
      <c r="D74" s="45">
        <f>+VLOOKUP(C74,'[10]Part List รวมล่าสุดกว่า'!A:R,3,0)</f>
        <v>3.2</v>
      </c>
      <c r="E74" s="46" t="s">
        <v>24</v>
      </c>
      <c r="F74" s="45">
        <f>+VLOOKUP(C74,'[10]Part List รวมล่าสุดกว่า'!A:R,4,0)</f>
        <v>45</v>
      </c>
      <c r="G74" s="46" t="s">
        <v>24</v>
      </c>
      <c r="H74" s="47" t="str">
        <f>+VLOOKUP(C74,'[10]Part List รวมล่าสุดกว่า'!A:R,5,0)</f>
        <v>Coil</v>
      </c>
      <c r="I74" s="48" t="str">
        <f>+VLOOKUP(C74,'[10]Part List รวมล่าสุดกว่า'!A:R,9,0)</f>
        <v>YSH270C-P</v>
      </c>
      <c r="J74" s="49" t="str">
        <f>+VLOOKUP(C74,'[10]Part List รวมล่าสุดกว่า'!A:R,10,0)</f>
        <v>STAY D CHAIN CASE</v>
      </c>
      <c r="K74" s="49" t="str">
        <f>+VLOOKUP(C74,'[10]Part List รวมล่าสุดกว่า'!A:R,11,0)</f>
        <v>52134-KPH-9000-H1</v>
      </c>
      <c r="L74" s="49" t="str">
        <f>+VLOOKUP(C74,'[10]Part List รวมล่าสุดกว่า'!A:R,12,0)</f>
        <v>Honda</v>
      </c>
      <c r="M74" s="50">
        <f>+VLOOKUP(C74,[10]Forecast!F:V,6,0)</f>
        <v>1150</v>
      </c>
      <c r="N74" s="50">
        <f>+VLOOKUP(C74,[10]Forecast!F:V,8,0)</f>
        <v>966</v>
      </c>
      <c r="O74" s="50">
        <f>+VLOOKUP(C74,[10]Forecast!F:V,10,0)</f>
        <v>644</v>
      </c>
      <c r="P74" s="50">
        <f>+VLOOKUP(C74,[10]Forecast!F:V,12,0)</f>
        <v>736</v>
      </c>
      <c r="Q74" s="50">
        <f>+VLOOKUP(C74,[10]Forecast!F:V,14,0)</f>
        <v>717.6</v>
      </c>
      <c r="R74" s="50">
        <f>+VLOOKUP(C74,[10]Forecast!F:V,16,0)</f>
        <v>897</v>
      </c>
      <c r="S74" s="51" t="s">
        <v>25</v>
      </c>
      <c r="T74" s="52"/>
    </row>
    <row r="75" spans="1:20" s="53" customFormat="1" ht="21" customHeight="1">
      <c r="A75" s="34"/>
      <c r="B75" s="43">
        <f t="shared" si="0"/>
        <v>65</v>
      </c>
      <c r="C75" s="44" t="s">
        <v>34</v>
      </c>
      <c r="D75" s="45">
        <f>+VLOOKUP(C75,'[10]Part List รวมล่าสุดกว่า'!A:R,3,0)</f>
        <v>1.6</v>
      </c>
      <c r="E75" s="46" t="s">
        <v>24</v>
      </c>
      <c r="F75" s="45">
        <f>+VLOOKUP(C75,'[10]Part List รวมล่าสุดกว่า'!A:R,4,0)</f>
        <v>36</v>
      </c>
      <c r="G75" s="46" t="s">
        <v>24</v>
      </c>
      <c r="H75" s="47">
        <f>+VLOOKUP(C75,'[10]Part List รวมล่าสุดกว่า'!A:R,5,0)</f>
        <v>1219</v>
      </c>
      <c r="I75" s="48" t="str">
        <f>+VLOOKUP(C75,'[10]Part List รวมล่าสุดกว่า'!A:R,9,0)</f>
        <v>SPHC-P/O</v>
      </c>
      <c r="J75" s="49" t="str">
        <f>+VLOOKUP(C75,'[10]Part List รวมล่าสุดกว่า'!A:R,10,0)</f>
        <v>STAY C CHAIN CASE</v>
      </c>
      <c r="K75" s="49" t="str">
        <f>+VLOOKUP(C75,'[10]Part List รวมล่าสุดกว่า'!A:R,11,0)</f>
        <v>52133-KPH-9000-H1</v>
      </c>
      <c r="L75" s="49" t="str">
        <f>+VLOOKUP(C75,'[10]Part List รวมล่าสุดกว่า'!A:R,12,0)</f>
        <v>Honda</v>
      </c>
      <c r="M75" s="50">
        <f>+VLOOKUP(C75,[10]Forecast!F:V,6,0)</f>
        <v>204.91803278688525</v>
      </c>
      <c r="N75" s="50">
        <f>+VLOOKUP(C75,[10]Forecast!F:V,8,0)</f>
        <v>172.13114754098362</v>
      </c>
      <c r="O75" s="50">
        <f>+VLOOKUP(C75,[10]Forecast!F:V,10,0)</f>
        <v>114.75409836065573</v>
      </c>
      <c r="P75" s="50">
        <f>+VLOOKUP(C75,[10]Forecast!F:V,12,0)</f>
        <v>213.11475409836066</v>
      </c>
      <c r="Q75" s="50">
        <f>+VLOOKUP(C75,[10]Forecast!F:V,14,0)</f>
        <v>127.8688524590164</v>
      </c>
      <c r="R75" s="50">
        <f>+VLOOKUP(C75,[10]Forecast!F:V,16,0)</f>
        <v>159.8360655737705</v>
      </c>
      <c r="S75" s="51" t="s">
        <v>63</v>
      </c>
      <c r="T75" s="52"/>
    </row>
    <row r="76" spans="1:20" s="53" customFormat="1" ht="21" customHeight="1">
      <c r="A76" s="34"/>
      <c r="B76" s="43">
        <f t="shared" si="0"/>
        <v>66</v>
      </c>
      <c r="C76" s="44" t="s">
        <v>64</v>
      </c>
      <c r="D76" s="45">
        <f>+VLOOKUP(C76,'[10]Part List รวมล่าสุดกว่า'!A:R,3,0)</f>
        <v>3.2</v>
      </c>
      <c r="E76" s="46" t="s">
        <v>24</v>
      </c>
      <c r="F76" s="45">
        <f>+VLOOKUP(C76,'[10]Part List รวมล่าสุดกว่า'!A:R,4,0)</f>
        <v>45</v>
      </c>
      <c r="G76" s="46" t="s">
        <v>24</v>
      </c>
      <c r="H76" s="47" t="str">
        <f>+VLOOKUP(C76,'[10]Part List รวมล่าสุดกว่า'!A:R,5,0)</f>
        <v>Coil</v>
      </c>
      <c r="I76" s="48" t="str">
        <f>+VLOOKUP(C76,'[10]Part List รวมล่าสุดกว่า'!A:R,9,0)</f>
        <v>YSH270C-P</v>
      </c>
      <c r="J76" s="49" t="str">
        <f>+VLOOKUP(C76,'[10]Part List รวมล่าสุดกว่า'!A:R,10,0)</f>
        <v>STAY D CHAIN CASE</v>
      </c>
      <c r="K76" s="49" t="str">
        <f>+VLOOKUP(C76,'[10]Part List รวมล่าสุดกว่า'!A:R,11,0)</f>
        <v>52134-KPH-9000-H1</v>
      </c>
      <c r="L76" s="49" t="str">
        <f>+VLOOKUP(C76,'[10]Part List รวมล่าสุดกว่า'!A:R,12,0)</f>
        <v>Honda</v>
      </c>
      <c r="M76" s="50">
        <f>+VLOOKUP(C76,[10]Forecast!F:V,6,0)</f>
        <v>782</v>
      </c>
      <c r="N76" s="50">
        <f>+VLOOKUP(C76,[10]Forecast!F:V,8,0)</f>
        <v>644</v>
      </c>
      <c r="O76" s="50">
        <f>+VLOOKUP(C76,[10]Forecast!F:V,10,0)</f>
        <v>598</v>
      </c>
      <c r="P76" s="50">
        <f>+VLOOKUP(C76,[10]Forecast!F:V,12,0)</f>
        <v>736</v>
      </c>
      <c r="Q76" s="50">
        <f>+VLOOKUP(C76,[10]Forecast!F:V,14,0)</f>
        <v>621</v>
      </c>
      <c r="R76" s="50">
        <f>+VLOOKUP(C76,[10]Forecast!F:V,16,0)</f>
        <v>690</v>
      </c>
      <c r="S76" s="51" t="s">
        <v>25</v>
      </c>
      <c r="T76" s="52"/>
    </row>
    <row r="77" spans="1:20" s="53" customFormat="1" ht="21" customHeight="1">
      <c r="A77" s="34"/>
      <c r="B77" s="43">
        <f t="shared" ref="B77:B140" si="1">B76+1</f>
        <v>67</v>
      </c>
      <c r="C77" s="44" t="s">
        <v>65</v>
      </c>
      <c r="D77" s="45">
        <f>+VLOOKUP(C77,'[10]Part List รวมล่าสุดกว่า'!A:R,3,0)</f>
        <v>1.6</v>
      </c>
      <c r="E77" s="55" t="s">
        <v>24</v>
      </c>
      <c r="F77" s="45">
        <f>+VLOOKUP(C77,'[10]Part List รวมล่าสุดกว่า'!A:R,4,0)</f>
        <v>36</v>
      </c>
      <c r="G77" s="46" t="s">
        <v>24</v>
      </c>
      <c r="H77" s="47">
        <f>+VLOOKUP(C77,'[10]Part List รวมล่าสุดกว่า'!A:R,5,0)</f>
        <v>1219</v>
      </c>
      <c r="I77" s="48" t="str">
        <f>+VLOOKUP(C77,'[10]Part List รวมล่าสุดกว่า'!A:R,9,0)</f>
        <v>SPHC-P/O</v>
      </c>
      <c r="J77" s="49" t="str">
        <f>+VLOOKUP(C77,'[10]Part List รวมล่าสุดกว่า'!A:R,10,0)</f>
        <v>STAY C CHAIN CASE</v>
      </c>
      <c r="K77" s="49" t="str">
        <f>+VLOOKUP(C77,'[10]Part List รวมล่าสุดกว่า'!A:R,11,0)</f>
        <v>52133-KPH-9000-H1</v>
      </c>
      <c r="L77" s="49" t="str">
        <f>+VLOOKUP(C77,'[10]Part List รวมล่าสุดกว่า'!A:R,12,0)</f>
        <v>Honda</v>
      </c>
      <c r="M77" s="50">
        <f>+VLOOKUP(C77,[10]Forecast!F:V,6,0)</f>
        <v>278.68852459016392</v>
      </c>
      <c r="N77" s="50">
        <f>+VLOOKUP(C77,[10]Forecast!F:V,8,0)</f>
        <v>229.50819672131146</v>
      </c>
      <c r="O77" s="50">
        <f>+VLOOKUP(C77,[10]Forecast!F:V,10,0)</f>
        <v>93.294117647058826</v>
      </c>
      <c r="P77" s="50">
        <f>+VLOOKUP(C77,[10]Forecast!F:V,12,0)</f>
        <v>262.29508196721309</v>
      </c>
      <c r="Q77" s="50">
        <f>+VLOOKUP(C77,[10]Forecast!F:V,14,0)</f>
        <v>221.31147540983608</v>
      </c>
      <c r="R77" s="50">
        <f>+VLOOKUP(C77,[10]Forecast!F:V,16,0)</f>
        <v>245.90163934426229</v>
      </c>
      <c r="S77" s="51" t="s">
        <v>25</v>
      </c>
      <c r="T77" s="52"/>
    </row>
    <row r="78" spans="1:20" s="53" customFormat="1" ht="21" customHeight="1">
      <c r="A78" s="34"/>
      <c r="B78" s="43">
        <f t="shared" si="1"/>
        <v>68</v>
      </c>
      <c r="C78" s="44" t="s">
        <v>66</v>
      </c>
      <c r="D78" s="45">
        <f>+VLOOKUP(C78,'[10]Part List รวมล่าสุดกว่า'!A:R,3,0)</f>
        <v>4.5</v>
      </c>
      <c r="E78" s="55" t="s">
        <v>24</v>
      </c>
      <c r="F78" s="45">
        <f>+VLOOKUP(C78,'[10]Part List รวมล่าสุดกว่า'!A:R,4,0)</f>
        <v>124</v>
      </c>
      <c r="G78" s="46" t="s">
        <v>24</v>
      </c>
      <c r="H78" s="47">
        <f>+VLOOKUP(C78,'[10]Part List รวมล่าสุดกว่า'!A:R,5,0)</f>
        <v>1219</v>
      </c>
      <c r="I78" s="48" t="str">
        <f>+VLOOKUP(C78,'[10]Part List รวมล่าสุดกว่า'!A:R,9,0)</f>
        <v>SPHC-P/O</v>
      </c>
      <c r="J78" s="49" t="str">
        <f>+VLOOKUP(C78,'[10]Part List รวมล่าสุดกว่า'!A:R,10,0)</f>
        <v>STAY (PIPE R SWINGARM COMP)</v>
      </c>
      <c r="K78" s="49" t="str">
        <f>+VLOOKUP(C78,'[10]Part List รวมล่าสุดกว่า'!A:R,11,0)</f>
        <v>52121-KPWP-7100-H1</v>
      </c>
      <c r="L78" s="49" t="str">
        <f>+VLOOKUP(C78,'[10]Part List รวมล่าสุดกว่า'!A:R,12,0)</f>
        <v>K3GA</v>
      </c>
      <c r="M78" s="50">
        <f>+VLOOKUP(C78,[10]Forecast!F:V,6,0)</f>
        <v>166.66666666666666</v>
      </c>
      <c r="N78" s="50">
        <f>+VLOOKUP(C78,[10]Forecast!F:V,8,0)</f>
        <v>277.77777777777777</v>
      </c>
      <c r="O78" s="50">
        <f>+VLOOKUP(C78,[10]Forecast!F:V,10,0)</f>
        <v>444.44444444444446</v>
      </c>
      <c r="P78" s="50">
        <f>+VLOOKUP(C78,[10]Forecast!F:V,12,0)</f>
        <v>1000</v>
      </c>
      <c r="Q78" s="50">
        <f>+VLOOKUP(C78,[10]Forecast!F:V,14,0)</f>
        <v>833.33333333333337</v>
      </c>
      <c r="R78" s="50">
        <f>+VLOOKUP(C78,[10]Forecast!F:V,16,0)</f>
        <v>1000</v>
      </c>
      <c r="S78" s="51" t="s">
        <v>25</v>
      </c>
      <c r="T78" s="52"/>
    </row>
    <row r="79" spans="1:20" s="53" customFormat="1" ht="21" customHeight="1">
      <c r="A79" s="34"/>
      <c r="B79" s="43">
        <f t="shared" si="1"/>
        <v>69</v>
      </c>
      <c r="C79" s="44" t="s">
        <v>67</v>
      </c>
      <c r="D79" s="45">
        <f>+VLOOKUP(C79,'[10]Part List รวมล่าสุดกว่า'!A:R,3,0)</f>
        <v>2.2999999999999998</v>
      </c>
      <c r="E79" s="55" t="s">
        <v>24</v>
      </c>
      <c r="F79" s="45">
        <f>+VLOOKUP(C79,'[10]Part List รวมล่าสุดกว่า'!A:R,4,0)</f>
        <v>67</v>
      </c>
      <c r="G79" s="46" t="s">
        <v>24</v>
      </c>
      <c r="H79" s="47">
        <f>+VLOOKUP(C79,'[10]Part List รวมล่าสุดกว่า'!A:R,5,0)</f>
        <v>1219</v>
      </c>
      <c r="I79" s="48" t="str">
        <f>+VLOOKUP(C79,'[10]Part List รวมล่าสุดกว่า'!A:R,9,0)</f>
        <v>SPHC-P/O</v>
      </c>
      <c r="J79" s="49" t="str">
        <f>+VLOOKUP(C79,'[10]Part List รวมล่าสุดกว่า'!A:R,10,0)</f>
        <v>STAY BRK RETURN SPRING</v>
      </c>
      <c r="K79" s="49" t="str">
        <f>+VLOOKUP(C79,'[10]Part List รวมล่าสุดกว่า'!A:R,11,0)</f>
        <v>52146-KWBA-6001-H1</v>
      </c>
      <c r="L79" s="49" t="str">
        <f>+VLOOKUP(C79,'[10]Part List รวมล่าสุดกว่า'!A:R,12,0)</f>
        <v>KWW</v>
      </c>
      <c r="M79" s="50">
        <f>+VLOOKUP(C79,[10]Forecast!F:V,6,0)</f>
        <v>23.076923076923077</v>
      </c>
      <c r="N79" s="50">
        <f>+VLOOKUP(C79,[10]Forecast!F:V,8,0)</f>
        <v>38.46153846153846</v>
      </c>
      <c r="O79" s="50">
        <f>+VLOOKUP(C79,[10]Forecast!F:V,10,0)</f>
        <v>61.53846153846154</v>
      </c>
      <c r="P79" s="50">
        <f>+VLOOKUP(C79,[10]Forecast!F:V,12,0)</f>
        <v>138.46153846153845</v>
      </c>
      <c r="Q79" s="50">
        <f>+VLOOKUP(C79,[10]Forecast!F:V,14,0)</f>
        <v>115.38461538461539</v>
      </c>
      <c r="R79" s="50">
        <f>+VLOOKUP(C79,[10]Forecast!F:V,16,0)</f>
        <v>138.46153846153845</v>
      </c>
      <c r="S79" s="51" t="s">
        <v>25</v>
      </c>
      <c r="T79" s="52"/>
    </row>
    <row r="80" spans="1:20" s="53" customFormat="1" ht="21" customHeight="1">
      <c r="A80" s="34"/>
      <c r="B80" s="43">
        <f t="shared" si="1"/>
        <v>70</v>
      </c>
      <c r="C80" s="44" t="s">
        <v>68</v>
      </c>
      <c r="D80" s="45">
        <f>+VLOOKUP(C80,'[10]Part List รวมล่าสุดกว่า'!A:R,3,0)</f>
        <v>4.5</v>
      </c>
      <c r="E80" s="46" t="s">
        <v>24</v>
      </c>
      <c r="F80" s="45">
        <f>+VLOOKUP(C80,'[10]Part List รวมล่าสุดกว่า'!A:R,4,0)</f>
        <v>124</v>
      </c>
      <c r="G80" s="46" t="s">
        <v>24</v>
      </c>
      <c r="H80" s="47">
        <f>+VLOOKUP(C80,'[10]Part List รวมล่าสุดกว่า'!A:R,5,0)</f>
        <v>1219</v>
      </c>
      <c r="I80" s="48" t="str">
        <f>+VLOOKUP(C80,'[10]Part List รวมล่าสุดกว่า'!A:R,9,0)</f>
        <v>SPHC-P/O</v>
      </c>
      <c r="J80" s="49" t="str">
        <f>+VLOOKUP(C80,'[10]Part List รวมล่าสุดกว่า'!A:R,10,0)</f>
        <v>STAY (PIPE L SWINGARM COMP)</v>
      </c>
      <c r="K80" s="49" t="str">
        <f>+VLOOKUP(C80,'[10]Part List รวมล่าสุดกว่า'!A:R,11,0)</f>
        <v>52121-KPWP-7100-H1</v>
      </c>
      <c r="L80" s="49" t="str">
        <f>+VLOOKUP(C80,'[10]Part List รวมล่าสุดกว่า'!A:R,12,0)</f>
        <v>K3GA</v>
      </c>
      <c r="M80" s="50">
        <f>+VLOOKUP(C80,[10]Forecast!F:V,6,0)</f>
        <v>166.66666666666666</v>
      </c>
      <c r="N80" s="50">
        <f>+VLOOKUP(C80,[10]Forecast!F:V,8,0)</f>
        <v>277.77777777777777</v>
      </c>
      <c r="O80" s="50">
        <f>+VLOOKUP(C80,[10]Forecast!F:V,10,0)</f>
        <v>444.44444444444446</v>
      </c>
      <c r="P80" s="50">
        <f>+VLOOKUP(C80,[10]Forecast!F:V,12,0)</f>
        <v>1000</v>
      </c>
      <c r="Q80" s="50">
        <f>+VLOOKUP(C80,[10]Forecast!F:V,14,0)</f>
        <v>833.33333333333337</v>
      </c>
      <c r="R80" s="50">
        <f>+VLOOKUP(C80,[10]Forecast!F:V,16,0)</f>
        <v>1000</v>
      </c>
      <c r="S80" s="51" t="s">
        <v>25</v>
      </c>
      <c r="T80" s="52"/>
    </row>
    <row r="81" spans="1:20" s="53" customFormat="1" ht="21" customHeight="1">
      <c r="A81" s="34"/>
      <c r="B81" s="43">
        <f t="shared" si="1"/>
        <v>71</v>
      </c>
      <c r="C81" s="44" t="s">
        <v>69</v>
      </c>
      <c r="D81" s="45">
        <f>+VLOOKUP(C81,'[10]Part List รวมล่าสุดกว่า'!A:R,3,0)</f>
        <v>3.2</v>
      </c>
      <c r="E81" s="46" t="s">
        <v>24</v>
      </c>
      <c r="F81" s="45">
        <f>+VLOOKUP(C81,'[10]Part List รวมล่าสุดกว่า'!A:R,4,0)</f>
        <v>45</v>
      </c>
      <c r="G81" s="46" t="s">
        <v>24</v>
      </c>
      <c r="H81" s="47" t="str">
        <f>+VLOOKUP(C81,'[10]Part List รวมล่าสุดกว่า'!A:R,5,0)</f>
        <v>Coil</v>
      </c>
      <c r="I81" s="48" t="str">
        <f>+VLOOKUP(C81,'[10]Part List รวมล่าสุดกว่า'!A:R,9,0)</f>
        <v>YSH270C-P</v>
      </c>
      <c r="J81" s="49" t="str">
        <f>+VLOOKUP(C81,'[10]Part List รวมล่าสุดกว่า'!A:R,10,0)</f>
        <v>STAY D CHAIN CASE</v>
      </c>
      <c r="K81" s="49" t="str">
        <f>+VLOOKUP(C81,'[10]Part List รวมล่าสุดกว่า'!A:R,11,0)</f>
        <v>52134-KPH-9000-H1</v>
      </c>
      <c r="L81" s="49" t="str">
        <f>+VLOOKUP(C81,'[10]Part List รวมล่าสุดกว่า'!A:R,12,0)</f>
        <v>Honda</v>
      </c>
      <c r="M81" s="50">
        <f>+VLOOKUP(C81,[10]Forecast!F:V,6,0)</f>
        <v>138</v>
      </c>
      <c r="N81" s="50">
        <f>+VLOOKUP(C81,[10]Forecast!F:V,8,0)</f>
        <v>230</v>
      </c>
      <c r="O81" s="50">
        <f>+VLOOKUP(C81,[10]Forecast!F:V,10,0)</f>
        <v>368</v>
      </c>
      <c r="P81" s="50">
        <f>+VLOOKUP(C81,[10]Forecast!F:V,12,0)</f>
        <v>828</v>
      </c>
      <c r="Q81" s="50">
        <f>+VLOOKUP(C81,[10]Forecast!F:V,14,0)</f>
        <v>690</v>
      </c>
      <c r="R81" s="50">
        <f>+VLOOKUP(C81,[10]Forecast!F:V,16,0)</f>
        <v>828</v>
      </c>
      <c r="S81" s="51" t="s">
        <v>25</v>
      </c>
      <c r="T81" s="52"/>
    </row>
    <row r="82" spans="1:20" s="53" customFormat="1" ht="21" customHeight="1">
      <c r="A82" s="34"/>
      <c r="B82" s="43">
        <f t="shared" si="1"/>
        <v>72</v>
      </c>
      <c r="C82" s="44" t="s">
        <v>70</v>
      </c>
      <c r="D82" s="45">
        <f>+VLOOKUP(C82,'[10]Part List รวมล่าสุดกว่า'!A:R,3,0)</f>
        <v>1.6</v>
      </c>
      <c r="E82" s="46" t="s">
        <v>24</v>
      </c>
      <c r="F82" s="45">
        <f>+VLOOKUP(C82,'[10]Part List รวมล่าสุดกว่า'!A:R,4,0)</f>
        <v>36</v>
      </c>
      <c r="G82" s="46" t="s">
        <v>24</v>
      </c>
      <c r="H82" s="47">
        <f>+VLOOKUP(C82,'[10]Part List รวมล่าสุดกว่า'!A:R,5,0)</f>
        <v>1219</v>
      </c>
      <c r="I82" s="48" t="str">
        <f>+VLOOKUP(C82,'[10]Part List รวมล่าสุดกว่า'!A:R,9,0)</f>
        <v>SPHC-P/O</v>
      </c>
      <c r="J82" s="49" t="str">
        <f>+VLOOKUP(C82,'[10]Part List รวมล่าสุดกว่า'!A:R,10,0)</f>
        <v>STAY C CHAIN CASE</v>
      </c>
      <c r="K82" s="49" t="str">
        <f>+VLOOKUP(C82,'[10]Part List รวมล่าสุดกว่า'!A:R,11,0)</f>
        <v>52133-KPH-9000-H1</v>
      </c>
      <c r="L82" s="49" t="str">
        <f>+VLOOKUP(C82,'[10]Part List รวมล่าสุดกว่า'!A:R,12,0)</f>
        <v>Honda</v>
      </c>
      <c r="M82" s="50">
        <f>+VLOOKUP(C82,[10]Forecast!F:V,6,0)</f>
        <v>49.180327868852459</v>
      </c>
      <c r="N82" s="50">
        <f>+VLOOKUP(C82,[10]Forecast!F:V,8,0)</f>
        <v>81.967213114754102</v>
      </c>
      <c r="O82" s="50">
        <f>+VLOOKUP(C82,[10]Forecast!F:V,10,0)</f>
        <v>131.14754098360655</v>
      </c>
      <c r="P82" s="50">
        <f>+VLOOKUP(C82,[10]Forecast!F:V,12,0)</f>
        <v>295.08196721311475</v>
      </c>
      <c r="Q82" s="50">
        <f>+VLOOKUP(C82,[10]Forecast!F:V,14,0)</f>
        <v>245.90163934426229</v>
      </c>
      <c r="R82" s="50">
        <f>+VLOOKUP(C82,[10]Forecast!F:V,16,0)</f>
        <v>295.08196721311475</v>
      </c>
      <c r="S82" s="51" t="s">
        <v>25</v>
      </c>
      <c r="T82" s="52"/>
    </row>
    <row r="83" spans="1:20" s="53" customFormat="1" ht="21" customHeight="1">
      <c r="A83" s="34"/>
      <c r="B83" s="43">
        <f t="shared" si="1"/>
        <v>73</v>
      </c>
      <c r="C83" s="44">
        <v>30048196</v>
      </c>
      <c r="D83" s="45">
        <f>+VLOOKUP(C83,'[10]Part List รวมล่าสุดกว่า'!A:R,3,0)</f>
        <v>2</v>
      </c>
      <c r="E83" s="46" t="s">
        <v>24</v>
      </c>
      <c r="F83" s="45">
        <f>+VLOOKUP(C83,'[10]Part List รวมล่าสุดกว่า'!A:R,4,0)</f>
        <v>78</v>
      </c>
      <c r="G83" s="46" t="s">
        <v>24</v>
      </c>
      <c r="H83" s="47">
        <f>+VLOOKUP(C83,'[10]Part List รวมล่าสุดกว่า'!A:R,5,0)</f>
        <v>1219</v>
      </c>
      <c r="I83" s="48" t="str">
        <f>+VLOOKUP(C83,'[10]Part List รวมล่าสุดกว่า'!A:R,9,0)</f>
        <v>SPHC-P/O</v>
      </c>
      <c r="J83" s="49" t="str">
        <f>+VLOOKUP(C83,'[10]Part List รวมล่าสุดกว่า'!A:R,10,0)</f>
        <v>PATCH SWING ARM CORSS</v>
      </c>
      <c r="K83" s="49" t="str">
        <f>+VLOOKUP(C83,'[10]Part List รวมล่าสุดกว่า'!A:R,11,0)</f>
        <v>52113-KWBA-6000-H1</v>
      </c>
      <c r="L83" s="49" t="str">
        <f>+VLOOKUP(C83,'[10]Part List รวมล่าสุดกว่า'!A:R,12,0)</f>
        <v>KWBA</v>
      </c>
      <c r="M83" s="50">
        <f>+VLOOKUP(C83,[10]Forecast!F:V,6,0)</f>
        <v>1700</v>
      </c>
      <c r="N83" s="50">
        <f>+VLOOKUP(C83,[10]Forecast!F:V,8,0)</f>
        <v>1400</v>
      </c>
      <c r="O83" s="50">
        <f>+VLOOKUP(C83,[10]Forecast!F:V,10,0)</f>
        <v>15.294117647058824</v>
      </c>
      <c r="P83" s="50">
        <f>+VLOOKUP(C83,[10]Forecast!F:V,12,0)</f>
        <v>1600</v>
      </c>
      <c r="Q83" s="50">
        <f>+VLOOKUP(C83,[10]Forecast!F:V,14,0)</f>
        <v>1350</v>
      </c>
      <c r="R83" s="50">
        <f>+VLOOKUP(C83,[10]Forecast!F:V,16,0)</f>
        <v>1500</v>
      </c>
      <c r="S83" s="51" t="s">
        <v>25</v>
      </c>
      <c r="T83" s="52"/>
    </row>
    <row r="84" spans="1:20" s="53" customFormat="1" ht="21" customHeight="1">
      <c r="A84" s="34"/>
      <c r="B84" s="43">
        <f t="shared" si="1"/>
        <v>74</v>
      </c>
      <c r="C84" s="44" t="s">
        <v>36</v>
      </c>
      <c r="D84" s="45">
        <f>+VLOOKUP(C84,'[10]Part List รวมล่าสุดกว่า'!A:R,3,0)</f>
        <v>1.4</v>
      </c>
      <c r="E84" s="46" t="s">
        <v>24</v>
      </c>
      <c r="F84" s="45">
        <f>+VLOOKUP(C84,'[10]Part List รวมล่าสุดกว่า'!A:R,4,0)</f>
        <v>65</v>
      </c>
      <c r="G84" s="46" t="s">
        <v>24</v>
      </c>
      <c r="H84" s="47">
        <f>+VLOOKUP(C84,'[10]Part List รวมล่าสุดกว่า'!A:R,5,0)</f>
        <v>1219</v>
      </c>
      <c r="I84" s="48" t="str">
        <f>+VLOOKUP(C84,'[10]Part List รวมล่าสุดกว่า'!A:R,9,0)</f>
        <v>JSH270C</v>
      </c>
      <c r="J84" s="49" t="str">
        <f>+VLOOKUP(C84,'[10]Part List รวมล่าสุดกว่า'!A:R,10,0)</f>
        <v>STAY R L WETER HOSE RR</v>
      </c>
      <c r="K84" s="49">
        <f>+VLOOKUP(C84,'[10]Part List รวมล่าสุดกว่า'!A:R,11,0)</f>
        <v>2400</v>
      </c>
      <c r="L84" s="49" t="str">
        <f>+VLOOKUP(C84,'[10]Part List รวมล่าสุดกว่า'!A:R,12,0)</f>
        <v>K1BA</v>
      </c>
      <c r="M84" s="50">
        <f>+VLOOKUP(C84,[10]Forecast!F:V,6,0)</f>
        <v>81.230769230769226</v>
      </c>
      <c r="N84" s="50">
        <f>+VLOOKUP(C84,[10]Forecast!F:V,8,0)</f>
        <v>53.92307692307692</v>
      </c>
      <c r="O84" s="50">
        <f>+VLOOKUP(C84,[10]Forecast!F:V,10,0)</f>
        <v>58.217948717948715</v>
      </c>
      <c r="P84" s="50">
        <f>+VLOOKUP(C84,[10]Forecast!F:V,12,0)</f>
        <v>76.692307692307693</v>
      </c>
      <c r="Q84" s="50">
        <f>+VLOOKUP(C84,[10]Forecast!F:V,14,0)</f>
        <v>0</v>
      </c>
      <c r="R84" s="50">
        <f>+VLOOKUP(C84,[10]Forecast!F:V,16,0)</f>
        <v>58.820512820512818</v>
      </c>
      <c r="S84" s="51" t="s">
        <v>25</v>
      </c>
      <c r="T84" s="52"/>
    </row>
    <row r="85" spans="1:20" s="53" customFormat="1" ht="21" customHeight="1">
      <c r="A85" s="34"/>
      <c r="B85" s="43">
        <f t="shared" si="1"/>
        <v>75</v>
      </c>
      <c r="C85" s="44" t="s">
        <v>71</v>
      </c>
      <c r="D85" s="45">
        <f>+VLOOKUP(C85,'[10]Part List รวมล่าสุดกว่า'!A:R,3,0)</f>
        <v>2.6</v>
      </c>
      <c r="E85" s="46" t="s">
        <v>24</v>
      </c>
      <c r="F85" s="45">
        <f>+VLOOKUP(C85,'[10]Part List รวมล่าสุดกว่า'!A:R,4,0)</f>
        <v>66</v>
      </c>
      <c r="G85" s="46" t="s">
        <v>24</v>
      </c>
      <c r="H85" s="47">
        <f>+VLOOKUP(C85,'[10]Part List รวมล่าสุดกว่า'!A:R,5,0)</f>
        <v>1219</v>
      </c>
      <c r="I85" s="48" t="str">
        <f>+VLOOKUP(C85,'[10]Part List รวมล่าสุดกว่า'!A:R,9,0)</f>
        <v>JSH270C</v>
      </c>
      <c r="J85" s="49" t="str">
        <f>+VLOOKUP(C85,'[10]Part List รวมล่าสุดกว่า'!A:R,10,0)</f>
        <v>STAY SIDE</v>
      </c>
      <c r="K85" s="49" t="str">
        <f>+VLOOKUP(C85,'[10]Part List รวมล่าสุดกว่า'!A:R,11,0)</f>
        <v>8110-K1MA-T0001-30</v>
      </c>
      <c r="L85" s="49" t="str">
        <f>+VLOOKUP(C85,'[10]Part List รวมล่าสุดกว่า'!A:R,12,0)</f>
        <v>K1MA</v>
      </c>
      <c r="M85" s="50">
        <f>+VLOOKUP(C85,[10]Forecast!F:V,6,0)</f>
        <v>100.55555555555556</v>
      </c>
      <c r="N85" s="50">
        <f>+VLOOKUP(C85,[10]Forecast!F:V,8,0)</f>
        <v>122.5</v>
      </c>
      <c r="O85" s="50">
        <f>+VLOOKUP(C85,[10]Forecast!F:V,10,0)</f>
        <v>79.555555555555557</v>
      </c>
      <c r="P85" s="50">
        <f>+VLOOKUP(C85,[10]Forecast!F:V,12,0)</f>
        <v>83.166666666666671</v>
      </c>
      <c r="Q85" s="50">
        <f>+VLOOKUP(C85,[10]Forecast!F:V,14,0)</f>
        <v>81.444444444444443</v>
      </c>
      <c r="R85" s="50">
        <f>+VLOOKUP(C85,[10]Forecast!F:V,16,0)</f>
        <v>0</v>
      </c>
      <c r="S85" s="51" t="s">
        <v>25</v>
      </c>
      <c r="T85" s="52"/>
    </row>
    <row r="86" spans="1:20" s="53" customFormat="1" ht="21" customHeight="1">
      <c r="A86" s="34"/>
      <c r="B86" s="43">
        <f t="shared" si="1"/>
        <v>76</v>
      </c>
      <c r="C86" s="44" t="s">
        <v>72</v>
      </c>
      <c r="D86" s="45">
        <f>+VLOOKUP(C86,'[10]Part List รวมล่าสุดกว่า'!A:R,3,0)</f>
        <v>1.6</v>
      </c>
      <c r="E86" s="46" t="s">
        <v>24</v>
      </c>
      <c r="F86" s="45">
        <f>+VLOOKUP(C86,'[10]Part List รวมล่าสุดกว่า'!A:R,4,0)</f>
        <v>87</v>
      </c>
      <c r="G86" s="46" t="s">
        <v>24</v>
      </c>
      <c r="H86" s="47">
        <f>+VLOOKUP(C86,'[10]Part List รวมล่าสุดกว่า'!A:R,5,0)</f>
        <v>1219</v>
      </c>
      <c r="I86" s="48" t="str">
        <f>+VLOOKUP(C86,'[10]Part List รวมล่าสุดกว่า'!A:R,9,0)</f>
        <v>SPHC-P/O</v>
      </c>
      <c r="J86" s="49" t="str">
        <f>+VLOOKUP(C86,'[10]Part List รวมล่าสุดกว่า'!A:R,10,0)</f>
        <v>PLATE</v>
      </c>
      <c r="K86" s="49">
        <f>+VLOOKUP(C86,'[10]Part List รวมล่าสุดกว่า'!A:R,11,0)</f>
        <v>0</v>
      </c>
      <c r="L86" s="49" t="str">
        <f>+VLOOKUP(C86,'[10]Part List รวมล่าสุดกว่า'!A:R,12,0)</f>
        <v>K0FG</v>
      </c>
      <c r="M86" s="50">
        <f>+VLOOKUP(C86,[10]Forecast!F:V,6,0)</f>
        <v>37.192307692307693</v>
      </c>
      <c r="N86" s="50">
        <f>+VLOOKUP(C86,[10]Forecast!F:V,8,0)</f>
        <v>56</v>
      </c>
      <c r="O86" s="50">
        <f>+VLOOKUP(C86,[10]Forecast!F:V,10,0)</f>
        <v>37.769230769230766</v>
      </c>
      <c r="P86" s="50">
        <f>+VLOOKUP(C86,[10]Forecast!F:V,12,0)</f>
        <v>35.92307692307692</v>
      </c>
      <c r="Q86" s="50">
        <f>+VLOOKUP(C86,[10]Forecast!F:V,14,0)</f>
        <v>38.07692307692308</v>
      </c>
      <c r="R86" s="50">
        <f>+VLOOKUP(C86,[10]Forecast!F:V,16,0)</f>
        <v>40.884615384615387</v>
      </c>
      <c r="S86" s="51" t="s">
        <v>25</v>
      </c>
      <c r="T86" s="52"/>
    </row>
    <row r="87" spans="1:20" s="53" customFormat="1" ht="21" customHeight="1">
      <c r="A87" s="34"/>
      <c r="B87" s="43">
        <f t="shared" si="1"/>
        <v>77</v>
      </c>
      <c r="C87" s="44">
        <v>30046850</v>
      </c>
      <c r="D87" s="45">
        <f>+VLOOKUP(C87,'[10]Part List รวมล่าสุดกว่า'!A:R,3,0)</f>
        <v>3.2</v>
      </c>
      <c r="E87" s="46" t="s">
        <v>24</v>
      </c>
      <c r="F87" s="45">
        <f>+VLOOKUP(C87,'[10]Part List รวมล่าสุดกว่า'!A:R,4,0)</f>
        <v>78</v>
      </c>
      <c r="G87" s="46" t="s">
        <v>24</v>
      </c>
      <c r="H87" s="47">
        <f>+VLOOKUP(C87,'[10]Part List รวมล่าสุดกว่า'!A:R,5,0)</f>
        <v>1219</v>
      </c>
      <c r="I87" s="48" t="str">
        <f>+VLOOKUP(C87,'[10]Part List รวมล่าสุดกว่า'!A:R,9,0)</f>
        <v>JSH270C</v>
      </c>
      <c r="J87" s="49" t="str">
        <f>+VLOOKUP(C87,'[10]Part List รวมล่าสุดกว่า'!A:R,10,0)</f>
        <v>PITCH FR SUB PIPE</v>
      </c>
      <c r="K87" s="49" t="str">
        <f>+VLOOKUP(C87,'[10]Part List รวมล่าสุดกว่า'!A:R,11,0)</f>
        <v>50161-K0BA-T001-H1</v>
      </c>
      <c r="L87" s="49" t="str">
        <f>+VLOOKUP(C87,'[10]Part List รวมล่าสุดกว่า'!A:R,12,0)</f>
        <v>K1BA</v>
      </c>
      <c r="M87" s="50">
        <f>+VLOOKUP(C87,[10]Forecast!F:V,6,0)</f>
        <v>284.54545454545456</v>
      </c>
      <c r="N87" s="50">
        <f>+VLOOKUP(C87,[10]Forecast!F:V,8,0)</f>
        <v>243.90909090909091</v>
      </c>
      <c r="O87" s="50">
        <f>+VLOOKUP(C87,[10]Forecast!F:V,10,0)</f>
        <v>216.81818181818181</v>
      </c>
      <c r="P87" s="50">
        <f>+VLOOKUP(C87,[10]Forecast!F:V,12,0)</f>
        <v>210.45454545454547</v>
      </c>
      <c r="Q87" s="50">
        <f>+VLOOKUP(C87,[10]Forecast!F:V,14,0)</f>
        <v>208.54545454545453</v>
      </c>
      <c r="R87" s="50">
        <f>+VLOOKUP(C87,[10]Forecast!F:V,16,0)</f>
        <v>196.81818181818181</v>
      </c>
      <c r="S87" s="51" t="s">
        <v>25</v>
      </c>
      <c r="T87" s="52"/>
    </row>
    <row r="88" spans="1:20" s="53" customFormat="1" ht="21" customHeight="1">
      <c r="A88" s="34"/>
      <c r="B88" s="43">
        <f t="shared" si="1"/>
        <v>78</v>
      </c>
      <c r="C88" s="44">
        <v>30046851</v>
      </c>
      <c r="D88" s="45">
        <f>+VLOOKUP(C88,'[10]Part List รวมล่าสุดกว่า'!A:R,3,0)</f>
        <v>1.6</v>
      </c>
      <c r="E88" s="46" t="s">
        <v>24</v>
      </c>
      <c r="F88" s="45">
        <f>+VLOOKUP(C88,'[10]Part List รวมล่าสุดกว่า'!A:R,4,0)</f>
        <v>50</v>
      </c>
      <c r="G88" s="46" t="s">
        <v>24</v>
      </c>
      <c r="H88" s="47">
        <f>+VLOOKUP(C88,'[10]Part List รวมล่าสุดกว่า'!A:R,5,0)</f>
        <v>1219</v>
      </c>
      <c r="I88" s="48" t="str">
        <f>+VLOOKUP(C88,'[10]Part List รวมล่าสุดกว่า'!A:R,9,0)</f>
        <v>JSH270C</v>
      </c>
      <c r="J88" s="49" t="str">
        <f>+VLOOKUP(C88,'[10]Part List รวมล่าสุดกว่า'!A:R,10,0)</f>
        <v>STAY A HOSE CLAMPER</v>
      </c>
      <c r="K88" s="49" t="str">
        <f>+VLOOKUP(C88,'[10]Part List รวมล่าสุดกว่า'!A:R,11,0)</f>
        <v>50169-K0BA-T001-H1</v>
      </c>
      <c r="L88" s="49" t="str">
        <f>+VLOOKUP(C88,'[10]Part List รวมล่าสุดกว่า'!A:R,12,0)</f>
        <v>K1BA</v>
      </c>
      <c r="M88" s="50">
        <f>+VLOOKUP(C88,[10]Forecast!F:V,6,0)</f>
        <v>111.78571428571429</v>
      </c>
      <c r="N88" s="50">
        <f>+VLOOKUP(C88,[10]Forecast!F:V,8,0)</f>
        <v>95.821428571428569</v>
      </c>
      <c r="O88" s="50">
        <f>+VLOOKUP(C88,[10]Forecast!F:V,10,0)</f>
        <v>85.178571428571431</v>
      </c>
      <c r="P88" s="50">
        <f>+VLOOKUP(C88,[10]Forecast!F:V,12,0)</f>
        <v>82.678571428571431</v>
      </c>
      <c r="Q88" s="50">
        <f>+VLOOKUP(C88,[10]Forecast!F:V,14,0)</f>
        <v>81.928571428571431</v>
      </c>
      <c r="R88" s="50">
        <f>+VLOOKUP(C88,[10]Forecast!F:V,16,0)</f>
        <v>77.321428571428569</v>
      </c>
      <c r="S88" s="51" t="s">
        <v>25</v>
      </c>
      <c r="T88" s="52"/>
    </row>
    <row r="89" spans="1:20" s="53" customFormat="1" ht="21" customHeight="1">
      <c r="A89" s="34"/>
      <c r="B89" s="43">
        <f t="shared" si="1"/>
        <v>79</v>
      </c>
      <c r="C89" s="44">
        <v>30046852</v>
      </c>
      <c r="D89" s="45">
        <f>+VLOOKUP(C89,'[10]Part List รวมล่าสุดกว่า'!A:R,3,0)</f>
        <v>1.4</v>
      </c>
      <c r="E89" s="46" t="s">
        <v>24</v>
      </c>
      <c r="F89" s="45">
        <f>+VLOOKUP(C89,'[10]Part List รวมล่าสุดกว่า'!A:R,4,0)</f>
        <v>65</v>
      </c>
      <c r="G89" s="46" t="s">
        <v>24</v>
      </c>
      <c r="H89" s="47">
        <f>+VLOOKUP(C89,'[10]Part List รวมล่าสุดกว่า'!A:R,5,0)</f>
        <v>1219</v>
      </c>
      <c r="I89" s="48" t="str">
        <f>+VLOOKUP(C89,'[10]Part List รวมล่าสุดกว่า'!A:R,9,0)</f>
        <v>JSH270C</v>
      </c>
      <c r="J89" s="49" t="str">
        <f>+VLOOKUP(C89,'[10]Part List รวมล่าสุดกว่า'!A:R,10,0)</f>
        <v>STAY R L WETER HOSE RR</v>
      </c>
      <c r="K89" s="49" t="str">
        <f>+VLOOKUP(C89,'[10]Part List รวมล่าสุดกว่า'!A:R,11,0)</f>
        <v>50223/24-K1BA-T001-H1</v>
      </c>
      <c r="L89" s="49" t="str">
        <f>+VLOOKUP(C89,'[10]Part List รวมล่าสุดกว่า'!A:R,12,0)</f>
        <v>K1BA</v>
      </c>
      <c r="M89" s="50">
        <f>+VLOOKUP(C89,[10]Forecast!F:V,6,0)</f>
        <v>80.256410256410263</v>
      </c>
      <c r="N89" s="50">
        <f>+VLOOKUP(C89,[10]Forecast!F:V,8,0)</f>
        <v>68.794871794871796</v>
      </c>
      <c r="O89" s="50">
        <f>+VLOOKUP(C89,[10]Forecast!F:V,10,0)</f>
        <v>61.153846153846153</v>
      </c>
      <c r="P89" s="50">
        <f>+VLOOKUP(C89,[10]Forecast!F:V,12,0)</f>
        <v>59.358974358974358</v>
      </c>
      <c r="Q89" s="50">
        <f>+VLOOKUP(C89,[10]Forecast!F:V,14,0)</f>
        <v>58.820512820512818</v>
      </c>
      <c r="R89" s="50">
        <f>+VLOOKUP(C89,[10]Forecast!F:V,16,0)</f>
        <v>55.512820512820511</v>
      </c>
      <c r="S89" s="51" t="s">
        <v>25</v>
      </c>
      <c r="T89" s="52"/>
    </row>
    <row r="90" spans="1:20" s="53" customFormat="1" ht="21" customHeight="1">
      <c r="A90" s="34"/>
      <c r="B90" s="43">
        <f t="shared" si="1"/>
        <v>80</v>
      </c>
      <c r="C90" s="44" t="s">
        <v>43</v>
      </c>
      <c r="D90" s="45">
        <f>+VLOOKUP(C90,'[10]Part List รวมล่าสุดกว่า'!A:R,3,0)</f>
        <v>1.6</v>
      </c>
      <c r="E90" s="46" t="s">
        <v>24</v>
      </c>
      <c r="F90" s="45">
        <f>+VLOOKUP(C90,'[10]Part List รวมล่าสุดกว่า'!A:R,4,0)</f>
        <v>61</v>
      </c>
      <c r="G90" s="46" t="s">
        <v>24</v>
      </c>
      <c r="H90" s="47">
        <f>+VLOOKUP(C90,'[10]Part List รวมล่าสุดกว่า'!A:R,5,0)</f>
        <v>1219</v>
      </c>
      <c r="I90" s="48" t="str">
        <f>+VLOOKUP(C90,'[10]Part List รวมล่าสุดกว่า'!A:R,9,0)</f>
        <v>JSH270C</v>
      </c>
      <c r="J90" s="49" t="str">
        <f>+VLOOKUP(C90,'[10]Part List รวมล่าสุดกว่า'!A:R,10,0)</f>
        <v>STAY R (COVER BATTERY)</v>
      </c>
      <c r="K90" s="49" t="str">
        <f>+VLOOKUP(C90,'[10]Part List รวมล่าสุดกว่า'!A:R,11,0)</f>
        <v>50195-K0BA-T002-20</v>
      </c>
      <c r="L90" s="49" t="str">
        <f>+VLOOKUP(C90,'[10]Part List รวมล่าสุดกว่า'!A:R,12,0)</f>
        <v>K1BA</v>
      </c>
      <c r="M90" s="50">
        <f>+VLOOKUP(C90,[10]Forecast!F:V,6,0)</f>
        <v>173.93939393939394</v>
      </c>
      <c r="N90" s="50">
        <f>+VLOOKUP(C90,[10]Forecast!F:V,8,0)</f>
        <v>174.72727272727272</v>
      </c>
      <c r="O90" s="50">
        <f>+VLOOKUP(C90,[10]Forecast!F:V,10,0)</f>
        <v>144.54545454545453</v>
      </c>
      <c r="P90" s="50">
        <f>+VLOOKUP(C90,[10]Forecast!F:V,12,0)</f>
        <v>140.30303030303031</v>
      </c>
      <c r="Q90" s="50">
        <f>+VLOOKUP(C90,[10]Forecast!F:V,14,0)</f>
        <v>139.03030303030303</v>
      </c>
      <c r="R90" s="50">
        <f>+VLOOKUP(C90,[10]Forecast!F:V,16,0)</f>
        <v>131.21212121212122</v>
      </c>
      <c r="S90" s="51" t="s">
        <v>25</v>
      </c>
      <c r="T90" s="52"/>
    </row>
    <row r="91" spans="1:20" s="53" customFormat="1" ht="21" customHeight="1">
      <c r="A91" s="34"/>
      <c r="B91" s="43">
        <f t="shared" si="1"/>
        <v>81</v>
      </c>
      <c r="C91" s="44">
        <v>30020962</v>
      </c>
      <c r="D91" s="45">
        <f>+VLOOKUP(C91,'[10]Part List รวมล่าสุดกว่า'!A:R,3,0)</f>
        <v>6</v>
      </c>
      <c r="E91" s="46" t="s">
        <v>24</v>
      </c>
      <c r="F91" s="45">
        <f>+VLOOKUP(C91,'[10]Part List รวมล่าสุดกว่า'!A:R,4,0)</f>
        <v>157</v>
      </c>
      <c r="G91" s="46" t="s">
        <v>24</v>
      </c>
      <c r="H91" s="47">
        <f>+VLOOKUP(C91,'[10]Part List รวมล่าสุดกว่า'!A:R,5,0)</f>
        <v>1219</v>
      </c>
      <c r="I91" s="48" t="str">
        <f>+VLOOKUP(C91,'[10]Part List รวมล่าสุดกว่า'!A:R,9,0)</f>
        <v>SPHC-P/O</v>
      </c>
      <c r="J91" s="49" t="str">
        <f>+VLOOKUP(C91,'[10]Part List รวมล่าสุดกว่า'!A:R,10,0)</f>
        <v>ARM</v>
      </c>
      <c r="K91" s="49" t="str">
        <f>+VLOOKUP(C91,'[10]Part List รวมล่าสุดกว่า'!A:R,11,0)</f>
        <v>24701-K26A-9002-22</v>
      </c>
      <c r="L91" s="49" t="str">
        <f>+VLOOKUP(C91,'[10]Part List รวมล่าสุดกว่า'!A:R,12,0)</f>
        <v>K26A</v>
      </c>
      <c r="M91" s="50">
        <f>+VLOOKUP(C91,[10]Forecast!F:V,6,0)</f>
        <v>30.275862068965516</v>
      </c>
      <c r="N91" s="50">
        <f>+VLOOKUP(C91,[10]Forecast!F:V,8,0)</f>
        <v>17.103448275862068</v>
      </c>
      <c r="O91" s="50">
        <f>+VLOOKUP(C91,[10]Forecast!F:V,10,0)</f>
        <v>19.137931034482758</v>
      </c>
      <c r="P91" s="50">
        <f>+VLOOKUP(C91,[10]Forecast!F:V,12,0)</f>
        <v>20.379310344827587</v>
      </c>
      <c r="Q91" s="50">
        <f>+VLOOKUP(C91,[10]Forecast!F:V,14,0)</f>
        <v>20.689655172413794</v>
      </c>
      <c r="R91" s="50">
        <f>+VLOOKUP(C91,[10]Forecast!F:V,16,0)</f>
        <v>0</v>
      </c>
      <c r="S91" s="51" t="s">
        <v>25</v>
      </c>
      <c r="T91" s="52"/>
    </row>
    <row r="92" spans="1:20" s="53" customFormat="1" ht="21" customHeight="1">
      <c r="A92" s="34"/>
      <c r="B92" s="43">
        <f t="shared" si="1"/>
        <v>82</v>
      </c>
      <c r="C92" s="44">
        <v>30030993</v>
      </c>
      <c r="D92" s="45">
        <f>+VLOOKUP(C92,'[10]Part List รวมล่าสุดกว่า'!A:R,3,0)</f>
        <v>0.7</v>
      </c>
      <c r="E92" s="46" t="s">
        <v>24</v>
      </c>
      <c r="F92" s="45">
        <f>+VLOOKUP(C92,'[10]Part List รวมล่าสุดกว่า'!A:R,4,0)</f>
        <v>105</v>
      </c>
      <c r="G92" s="46" t="s">
        <v>24</v>
      </c>
      <c r="H92" s="47" t="str">
        <f>+VLOOKUP(C92,'[10]Part List รวมล่าสุดกว่า'!A:R,5,0)</f>
        <v>Coil</v>
      </c>
      <c r="I92" s="48" t="str">
        <f>+VLOOKUP(C92,'[10]Part List รวมล่าสุดกว่า'!A:R,9,0)</f>
        <v>SPCC-SD</v>
      </c>
      <c r="J92" s="49" t="str">
        <f>+VLOOKUP(C92,'[10]Part List รวมล่าสุดกว่า'!A:R,10,0)</f>
        <v>CLIP FUEL TUBE</v>
      </c>
      <c r="K92" s="49" t="str">
        <f>+VLOOKUP(C92,'[10]Part List รวมล่าสุดกว่า'!A:R,11,0)</f>
        <v>19615-ZE0-3000</v>
      </c>
      <c r="L92" s="49" t="str">
        <f>+VLOOKUP(C92,'[10]Part List รวมล่าสุดกว่า'!A:R,12,0)</f>
        <v>ZE0</v>
      </c>
      <c r="M92" s="50">
        <f>+VLOOKUP(C92,[10]Forecast!F:V,6,0)</f>
        <v>79.463999999999999</v>
      </c>
      <c r="N92" s="50">
        <f>+VLOOKUP(C92,[10]Forecast!F:V,8,0)</f>
        <v>50.021999999999998</v>
      </c>
      <c r="O92" s="50">
        <f>+VLOOKUP(C92,[10]Forecast!F:V,10,0)</f>
        <v>46.56</v>
      </c>
      <c r="P92" s="50">
        <f>+VLOOKUP(C92,[10]Forecast!F:V,12,0)</f>
        <v>43.271999999999998</v>
      </c>
      <c r="Q92" s="50">
        <f>+VLOOKUP(C92,[10]Forecast!F:V,14,0)</f>
        <v>55.445999999999998</v>
      </c>
      <c r="R92" s="50">
        <f>+VLOOKUP(C92,[10]Forecast!F:V,16,0)</f>
        <v>0</v>
      </c>
      <c r="S92" s="51" t="s">
        <v>25</v>
      </c>
      <c r="T92" s="52"/>
    </row>
    <row r="93" spans="1:20" s="53" customFormat="1" ht="21" customHeight="1">
      <c r="A93" s="34"/>
      <c r="B93" s="43">
        <f t="shared" si="1"/>
        <v>83</v>
      </c>
      <c r="C93" s="44">
        <v>30033388</v>
      </c>
      <c r="D93" s="45">
        <f>+VLOOKUP(C93,'[10]Part List รวมล่าสุดกว่า'!A:R,3,0)</f>
        <v>6</v>
      </c>
      <c r="E93" s="46" t="s">
        <v>24</v>
      </c>
      <c r="F93" s="45">
        <f>+VLOOKUP(C93,'[10]Part List รวมล่าสุดกว่า'!A:R,4,0)</f>
        <v>143</v>
      </c>
      <c r="G93" s="46" t="s">
        <v>24</v>
      </c>
      <c r="H93" s="47">
        <f>+VLOOKUP(C93,'[10]Part List รวมล่าสุดกว่า'!A:R,5,0)</f>
        <v>1219</v>
      </c>
      <c r="I93" s="48" t="str">
        <f>+VLOOKUP(C93,'[10]Part List รวมล่าสุดกว่า'!A:R,9,0)</f>
        <v>JSH270C</v>
      </c>
      <c r="J93" s="49" t="str">
        <f>+VLOOKUP(C93,'[10]Part List รวมล่าสุดกว่า'!A:R,10,0)</f>
        <v>ARM</v>
      </c>
      <c r="K93" s="49" t="str">
        <f>+VLOOKUP(C93,'[10]Part List รวมล่าสุดกว่า'!A:R,11,0)</f>
        <v>46501-K87A-A000-21</v>
      </c>
      <c r="L93" s="49" t="str">
        <f>+VLOOKUP(C93,'[10]Part List รวมล่าสุดกว่า'!A:R,12,0)</f>
        <v>K87A</v>
      </c>
      <c r="M93" s="50">
        <f>+VLOOKUP(C93,[10]Forecast!F:V,6,0)</f>
        <v>85.888888888888886</v>
      </c>
      <c r="N93" s="50">
        <f>+VLOOKUP(C93,[10]Forecast!F:V,8,0)</f>
        <v>126.61111111111111</v>
      </c>
      <c r="O93" s="50">
        <f>+VLOOKUP(C93,[10]Forecast!F:V,10,0)</f>
        <v>45.055555555555557</v>
      </c>
      <c r="P93" s="50">
        <f>+VLOOKUP(C93,[10]Forecast!F:V,12,0)</f>
        <v>95.777777777777771</v>
      </c>
      <c r="Q93" s="50">
        <f>+VLOOKUP(C93,[10]Forecast!F:V,14,0)</f>
        <v>0.61111111111111116</v>
      </c>
      <c r="R93" s="50">
        <f>+VLOOKUP(C93,[10]Forecast!F:V,16,0)</f>
        <v>0</v>
      </c>
      <c r="S93" s="51" t="s">
        <v>25</v>
      </c>
      <c r="T93" s="52"/>
    </row>
    <row r="94" spans="1:20" s="53" customFormat="1" ht="21" customHeight="1">
      <c r="A94" s="34"/>
      <c r="B94" s="43">
        <f t="shared" si="1"/>
        <v>84</v>
      </c>
      <c r="C94" s="44">
        <v>30033390</v>
      </c>
      <c r="D94" s="45">
        <f>+VLOOKUP(C94,'[10]Part List รวมล่าสุดกว่า'!A:R,3,0)</f>
        <v>1.6</v>
      </c>
      <c r="E94" s="46" t="s">
        <v>24</v>
      </c>
      <c r="F94" s="45">
        <f>+VLOOKUP(C94,'[10]Part List รวมล่าสุดกว่า'!A:R,4,0)</f>
        <v>32</v>
      </c>
      <c r="G94" s="46" t="s">
        <v>24</v>
      </c>
      <c r="H94" s="47">
        <f>+VLOOKUP(C94,'[10]Part List รวมล่าสุดกว่า'!A:R,5,0)</f>
        <v>1219</v>
      </c>
      <c r="I94" s="48" t="str">
        <f>+VLOOKUP(C94,'[10]Part List รวมล่าสุดกว่า'!A:R,9,0)</f>
        <v>JSH270C</v>
      </c>
      <c r="J94" s="49" t="str">
        <f>+VLOOKUP(C94,'[10]Part List รวมล่าสุดกว่า'!A:R,10,0)</f>
        <v>HOOK STOP SPRING</v>
      </c>
      <c r="K94" s="49" t="str">
        <f>+VLOOKUP(C94,'[10]Part List รวมล่าสุดกว่า'!A:R,11,0)</f>
        <v>46501-K87A-A000-21</v>
      </c>
      <c r="L94" s="49" t="str">
        <f>+VLOOKUP(C94,'[10]Part List รวมล่าสุดกว่า'!A:R,12,0)</f>
        <v>K87A</v>
      </c>
      <c r="M94" s="50">
        <f>+VLOOKUP(C94,[10]Forecast!F:V,6,0)</f>
        <v>20.342105263157894</v>
      </c>
      <c r="N94" s="50">
        <f>+VLOOKUP(C94,[10]Forecast!F:V,8,0)</f>
        <v>29.986842105263158</v>
      </c>
      <c r="O94" s="50">
        <f>+VLOOKUP(C94,[10]Forecast!F:V,10,0)</f>
        <v>10.671052631578947</v>
      </c>
      <c r="P94" s="50">
        <f>+VLOOKUP(C94,[10]Forecast!F:V,12,0)</f>
        <v>22.684210526315791</v>
      </c>
      <c r="Q94" s="50">
        <f>+VLOOKUP(C94,[10]Forecast!F:V,14,0)</f>
        <v>0.14473684210526316</v>
      </c>
      <c r="R94" s="50">
        <f>+VLOOKUP(C94,[10]Forecast!F:V,16,0)</f>
        <v>0</v>
      </c>
      <c r="S94" s="51" t="s">
        <v>25</v>
      </c>
      <c r="T94" s="52"/>
    </row>
    <row r="95" spans="1:20" s="53" customFormat="1" ht="21" customHeight="1">
      <c r="A95" s="34"/>
      <c r="B95" s="43">
        <f t="shared" si="1"/>
        <v>85</v>
      </c>
      <c r="C95" s="44">
        <v>30035054</v>
      </c>
      <c r="D95" s="45">
        <f>+VLOOKUP(C95,'[10]Part List รวมล่าสุดกว่า'!A:R,3,0)</f>
        <v>4</v>
      </c>
      <c r="E95" s="46" t="s">
        <v>24</v>
      </c>
      <c r="F95" s="45">
        <f>+VLOOKUP(C95,'[10]Part List รวมล่าสุดกว่า'!A:R,4,0)</f>
        <v>150</v>
      </c>
      <c r="G95" s="46" t="s">
        <v>24</v>
      </c>
      <c r="H95" s="47">
        <f>+VLOOKUP(C95,'[10]Part List รวมล่าสุดกว่า'!A:R,5,0)</f>
        <v>1219</v>
      </c>
      <c r="I95" s="48" t="str">
        <f>+VLOOKUP(C95,'[10]Part List รวมล่าสุดกว่า'!A:R,9,0)</f>
        <v>JSH270C</v>
      </c>
      <c r="J95" s="49" t="str">
        <f>+VLOOKUP(C95,'[10]Part List รวมล่าสุดกว่า'!A:R,10,0)</f>
        <v>ARM</v>
      </c>
      <c r="K95" s="49" t="str">
        <f>+VLOOKUP(C95,'[10]Part List รวมล่าสุดกว่า'!A:R,11,0)</f>
        <v>24701-K94A-T000-20</v>
      </c>
      <c r="L95" s="49" t="str">
        <f>+VLOOKUP(C95,'[10]Part List รวมล่าสุดกว่า'!A:R,12,0)</f>
        <v>K94A</v>
      </c>
      <c r="M95" s="50">
        <f>+VLOOKUP(C95,[10]Forecast!F:V,6,0)</f>
        <v>21.95</v>
      </c>
      <c r="N95" s="50">
        <f>+VLOOKUP(C95,[10]Forecast!F:V,8,0)</f>
        <v>46.5</v>
      </c>
      <c r="O95" s="50">
        <f>+VLOOKUP(C95,[10]Forecast!F:V,10,0)</f>
        <v>48.55</v>
      </c>
      <c r="P95" s="50">
        <f>+VLOOKUP(C95,[10]Forecast!F:V,12,0)</f>
        <v>24.1</v>
      </c>
      <c r="Q95" s="50">
        <f>+VLOOKUP(C95,[10]Forecast!F:V,14,0)</f>
        <v>2</v>
      </c>
      <c r="R95" s="50">
        <f>+VLOOKUP(C95,[10]Forecast!F:V,16,0)</f>
        <v>0</v>
      </c>
      <c r="S95" s="51" t="s">
        <v>25</v>
      </c>
      <c r="T95" s="52"/>
    </row>
    <row r="96" spans="1:20" s="53" customFormat="1" ht="21" customHeight="1">
      <c r="A96" s="34"/>
      <c r="B96" s="43">
        <f t="shared" si="1"/>
        <v>86</v>
      </c>
      <c r="C96" s="44">
        <v>30040691</v>
      </c>
      <c r="D96" s="45">
        <f>+VLOOKUP(C96,'[10]Part List รวมล่าสุดกว่า'!A:R,3,0)</f>
        <v>1.4</v>
      </c>
      <c r="E96" s="46" t="s">
        <v>24</v>
      </c>
      <c r="F96" s="45">
        <f>+VLOOKUP(C96,'[10]Part List รวมล่าสุดกว่า'!A:R,4,0)</f>
        <v>67</v>
      </c>
      <c r="G96" s="46" t="s">
        <v>24</v>
      </c>
      <c r="H96" s="47">
        <f>+VLOOKUP(C96,'[10]Part List รวมล่าสุดกว่า'!A:R,5,0)</f>
        <v>1219</v>
      </c>
      <c r="I96" s="48" t="str">
        <f>+VLOOKUP(C96,'[10]Part List รวมล่าสุดกว่า'!A:R,9,0)</f>
        <v>JSC270C</v>
      </c>
      <c r="J96" s="49" t="str">
        <f>+VLOOKUP(C96,'[10]Part List รวมล่าสุดกว่า'!A:R,10,0)</f>
        <v>GUSSET R RR SIDE</v>
      </c>
      <c r="K96" s="49">
        <f>+VLOOKUP(C96,'[10]Part List รวมล่าสุดกว่า'!A:R,11,0)</f>
        <v>0</v>
      </c>
      <c r="L96" s="49" t="str">
        <f>+VLOOKUP(C96,'[10]Part List รวมล่าสุดกว่า'!A:R,12,0)</f>
        <v>K2EA</v>
      </c>
      <c r="M96" s="50">
        <f>+VLOOKUP(C96,[10]Forecast!F:V,6,0)</f>
        <v>34.96551724137931</v>
      </c>
      <c r="N96" s="50">
        <f>+VLOOKUP(C96,[10]Forecast!F:V,8,0)</f>
        <v>21.793103448275861</v>
      </c>
      <c r="O96" s="50">
        <f>+VLOOKUP(C96,[10]Forecast!F:V,10,0)</f>
        <v>32.137931034482762</v>
      </c>
      <c r="P96" s="50">
        <f>+VLOOKUP(C96,[10]Forecast!F:V,12,0)</f>
        <v>31.931034482758619</v>
      </c>
      <c r="Q96" s="50">
        <f>+VLOOKUP(C96,[10]Forecast!F:V,14,0)</f>
        <v>27.862068965517242</v>
      </c>
      <c r="R96" s="50">
        <f>+VLOOKUP(C96,[10]Forecast!F:V,16,0)</f>
        <v>33.724137931034484</v>
      </c>
      <c r="S96" s="51" t="s">
        <v>25</v>
      </c>
      <c r="T96" s="52"/>
    </row>
    <row r="97" spans="1:20" s="53" customFormat="1" ht="21" customHeight="1">
      <c r="A97" s="34"/>
      <c r="B97" s="43">
        <f t="shared" si="1"/>
        <v>87</v>
      </c>
      <c r="C97" s="44">
        <v>30040692</v>
      </c>
      <c r="D97" s="45">
        <f>+VLOOKUP(C97,'[10]Part List รวมล่าสุดกว่า'!A:R,3,0)</f>
        <v>1.4</v>
      </c>
      <c r="E97" s="46" t="s">
        <v>24</v>
      </c>
      <c r="F97" s="45">
        <f>+VLOOKUP(C97,'[10]Part List รวมล่าสุดกว่า'!A:R,4,0)</f>
        <v>67</v>
      </c>
      <c r="G97" s="46" t="s">
        <v>24</v>
      </c>
      <c r="H97" s="47">
        <f>+VLOOKUP(C97,'[10]Part List รวมล่าสุดกว่า'!A:R,5,0)</f>
        <v>1219</v>
      </c>
      <c r="I97" s="48" t="str">
        <f>+VLOOKUP(C97,'[10]Part List รวมล่าสุดกว่า'!A:R,9,0)</f>
        <v>JSC270C</v>
      </c>
      <c r="J97" s="49" t="str">
        <f>+VLOOKUP(C97,'[10]Part List รวมล่าสุดกว่า'!A:R,10,0)</f>
        <v>GUSSET L RR SIDE</v>
      </c>
      <c r="K97" s="49">
        <f>+VLOOKUP(C97,'[10]Part List รวมล่าสุดกว่า'!A:R,11,0)</f>
        <v>0</v>
      </c>
      <c r="L97" s="49" t="str">
        <f>+VLOOKUP(C97,'[10]Part List รวมล่าสุดกว่า'!A:R,12,0)</f>
        <v>K2EA</v>
      </c>
      <c r="M97" s="50">
        <f>+VLOOKUP(C97,[10]Forecast!F:V,6,0)</f>
        <v>34.96551724137931</v>
      </c>
      <c r="N97" s="50">
        <f>+VLOOKUP(C97,[10]Forecast!F:V,8,0)</f>
        <v>21.793103448275861</v>
      </c>
      <c r="O97" s="50">
        <f>+VLOOKUP(C97,[10]Forecast!F:V,10,0)</f>
        <v>32.137931034482762</v>
      </c>
      <c r="P97" s="50">
        <f>+VLOOKUP(C97,[10]Forecast!F:V,12,0)</f>
        <v>31.931034482758619</v>
      </c>
      <c r="Q97" s="50">
        <f>+VLOOKUP(C97,[10]Forecast!F:V,14,0)</f>
        <v>27.862068965517242</v>
      </c>
      <c r="R97" s="50">
        <f>+VLOOKUP(C97,[10]Forecast!F:V,16,0)</f>
        <v>33.724137931034484</v>
      </c>
      <c r="S97" s="51" t="s">
        <v>25</v>
      </c>
      <c r="T97" s="52"/>
    </row>
    <row r="98" spans="1:20" s="53" customFormat="1" ht="21" customHeight="1">
      <c r="A98" s="34"/>
      <c r="B98" s="43">
        <f t="shared" si="1"/>
        <v>88</v>
      </c>
      <c r="C98" s="44" t="s">
        <v>35</v>
      </c>
      <c r="D98" s="45">
        <f>+VLOOKUP(C98,'[10]Part List รวมล่าสุดกว่า'!A:R,3,0)</f>
        <v>2.2999999999999998</v>
      </c>
      <c r="E98" s="46" t="s">
        <v>24</v>
      </c>
      <c r="F98" s="45">
        <f>+VLOOKUP(C98,'[10]Part List รวมล่าสุดกว่า'!A:R,4,0)</f>
        <v>85</v>
      </c>
      <c r="G98" s="46" t="s">
        <v>24</v>
      </c>
      <c r="H98" s="47">
        <f>+VLOOKUP(C98,'[10]Part List รวมล่าสุดกว่า'!A:R,5,0)</f>
        <v>1219</v>
      </c>
      <c r="I98" s="48" t="str">
        <f>+VLOOKUP(C98,'[10]Part List รวมล่าสุดกว่า'!A:R,9,0)</f>
        <v>JSH270C</v>
      </c>
      <c r="J98" s="49" t="str">
        <f>+VLOOKUP(C98,'[10]Part List รวมล่าสุดกว่า'!A:R,10,0)</f>
        <v>PLATE B TREAD BAR</v>
      </c>
      <c r="K98" s="49" t="str">
        <f>+VLOOKUP(C98,'[10]Part List รวมล่าสุดกว่า'!A:R,11,0)</f>
        <v>50500-KSSX-J300-20</v>
      </c>
      <c r="L98" s="49" t="str">
        <f>+VLOOKUP(C98,'[10]Part List รวมล่าสุดกว่า'!A:R,12,0)</f>
        <v>KSSX</v>
      </c>
      <c r="M98" s="50">
        <f>+VLOOKUP(C98,[10]Forecast!F:V,6,0)</f>
        <v>431.25</v>
      </c>
      <c r="N98" s="50">
        <f>+VLOOKUP(C98,[10]Forecast!F:V,8,0)</f>
        <v>490</v>
      </c>
      <c r="O98" s="50">
        <f>+VLOOKUP(C98,[10]Forecast!F:V,10,0)</f>
        <v>210</v>
      </c>
      <c r="P98" s="50">
        <f>+VLOOKUP(C98,[10]Forecast!F:V,12,0)</f>
        <v>140</v>
      </c>
      <c r="Q98" s="50">
        <f>+VLOOKUP(C98,[10]Forecast!F:V,14,0)</f>
        <v>3.125E-2</v>
      </c>
      <c r="R98" s="50">
        <f>+VLOOKUP(C98,[10]Forecast!F:V,16,0)</f>
        <v>3.125E-2</v>
      </c>
      <c r="S98" s="51" t="s">
        <v>25</v>
      </c>
      <c r="T98" s="52"/>
    </row>
    <row r="99" spans="1:20" s="53" customFormat="1" ht="21" customHeight="1">
      <c r="A99" s="34"/>
      <c r="B99" s="43">
        <f t="shared" si="1"/>
        <v>89</v>
      </c>
      <c r="C99" s="44">
        <v>30032710</v>
      </c>
      <c r="D99" s="45">
        <f>+VLOOKUP(C99,'[10]Part List รวมล่าสุดกว่า'!A:R,3,0)</f>
        <v>2</v>
      </c>
      <c r="E99" s="46" t="s">
        <v>24</v>
      </c>
      <c r="F99" s="45">
        <f>+VLOOKUP(C99,'[10]Part List รวมล่าสุดกว่า'!A:R,4,0)</f>
        <v>342</v>
      </c>
      <c r="G99" s="46" t="s">
        <v>24</v>
      </c>
      <c r="H99" s="47">
        <f>+VLOOKUP(C99,'[10]Part List รวมล่าสุดกว่า'!A:R,5,0)</f>
        <v>1219</v>
      </c>
      <c r="I99" s="48" t="str">
        <f>+VLOOKUP(C99,'[10]Part List รวมล่าสุดกว่า'!A:R,9,0)</f>
        <v>JSH270C</v>
      </c>
      <c r="J99" s="49" t="str">
        <f>+VLOOKUP(C99,'[10]Part List รวมล่าสุดกว่า'!A:R,10,0)</f>
        <v>STAY</v>
      </c>
      <c r="K99" s="49" t="str">
        <f>+VLOOKUP(C99,'[10]Part List รวมล่าสุดกว่า'!A:R,11,0)</f>
        <v>61102-K87A-A000-20</v>
      </c>
      <c r="L99" s="49" t="str">
        <f>+VLOOKUP(C99,'[10]Part List รวมล่าสุดกว่า'!A:R,12,0)</f>
        <v>K87A &amp; MKGA</v>
      </c>
      <c r="M99" s="50">
        <f>+VLOOKUP(C99,[10]Forecast!F:V,6,0)</f>
        <v>314.28571428571428</v>
      </c>
      <c r="N99" s="50">
        <f>+VLOOKUP(C99,[10]Forecast!F:V,8,0)</f>
        <v>115.14285714285714</v>
      </c>
      <c r="O99" s="50">
        <f>+VLOOKUP(C99,[10]Forecast!F:V,10,0)</f>
        <v>246.28571428571428</v>
      </c>
      <c r="P99" s="50">
        <f>+VLOOKUP(C99,[10]Forecast!F:V,12,0)</f>
        <v>143.28571428571428</v>
      </c>
      <c r="Q99" s="50">
        <f>+VLOOKUP(C99,[10]Forecast!F:V,14,0)</f>
        <v>208.28571428571428</v>
      </c>
      <c r="R99" s="50">
        <f>+VLOOKUP(C99,[10]Forecast!F:V,16,0)</f>
        <v>519.14285714285711</v>
      </c>
      <c r="S99" s="51" t="s">
        <v>25</v>
      </c>
      <c r="T99" s="52"/>
    </row>
    <row r="100" spans="1:20" s="53" customFormat="1" ht="21" hidden="1" customHeight="1">
      <c r="A100" s="34"/>
      <c r="B100" s="43">
        <f t="shared" si="1"/>
        <v>90</v>
      </c>
      <c r="C100" s="44"/>
      <c r="D100" s="45" t="e">
        <f>+VLOOKUP(C100,'[10]Part List รวมล่าสุดกว่า'!A:R,3,0)</f>
        <v>#N/A</v>
      </c>
      <c r="E100" s="46" t="s">
        <v>24</v>
      </c>
      <c r="F100" s="45" t="e">
        <f>+VLOOKUP(C100,'[10]Part List รวมล่าสุดกว่า'!A:R,4,0)</f>
        <v>#N/A</v>
      </c>
      <c r="G100" s="46" t="s">
        <v>24</v>
      </c>
      <c r="H100" s="47" t="e">
        <f>+VLOOKUP(C100,'[10]Part List รวมล่าสุดกว่า'!A:R,5,0)</f>
        <v>#N/A</v>
      </c>
      <c r="I100" s="48" t="e">
        <f>+VLOOKUP(C100,'[10]Part List รวมล่าสุดกว่า'!A:R,9,0)</f>
        <v>#N/A</v>
      </c>
      <c r="J100" s="49" t="e">
        <f>+VLOOKUP(C100,'[10]Part List รวมล่าสุดกว่า'!A:R,10,0)</f>
        <v>#N/A</v>
      </c>
      <c r="K100" s="49" t="e">
        <f>+VLOOKUP(C100,'[10]Part List รวมล่าสุดกว่า'!A:R,11,0)</f>
        <v>#N/A</v>
      </c>
      <c r="L100" s="49" t="e">
        <f>+VLOOKUP(C100,'[10]Part List รวมล่าสุดกว่า'!A:R,12,0)</f>
        <v>#N/A</v>
      </c>
      <c r="M100" s="50" t="e">
        <f>+VLOOKUP(C100,[10]Forecast!F:V,6,0)</f>
        <v>#N/A</v>
      </c>
      <c r="N100" s="50" t="e">
        <f>+VLOOKUP(C100,[10]Forecast!F:V,8,0)</f>
        <v>#N/A</v>
      </c>
      <c r="O100" s="50" t="e">
        <f>+VLOOKUP(C100,[10]Forecast!F:V,10,0)</f>
        <v>#N/A</v>
      </c>
      <c r="P100" s="50" t="e">
        <f>+VLOOKUP(C100,[10]Forecast!F:V,12,0)</f>
        <v>#N/A</v>
      </c>
      <c r="Q100" s="50" t="e">
        <f>+VLOOKUP(C100,[10]Forecast!F:V,14,0)</f>
        <v>#N/A</v>
      </c>
      <c r="R100" s="50" t="e">
        <f>+VLOOKUP(C100,[10]Forecast!F:V,16,0)</f>
        <v>#N/A</v>
      </c>
      <c r="S100" s="51" t="s">
        <v>25</v>
      </c>
      <c r="T100" s="52"/>
    </row>
    <row r="101" spans="1:20" s="53" customFormat="1" ht="21" hidden="1" customHeight="1">
      <c r="A101" s="34"/>
      <c r="B101" s="43">
        <f t="shared" si="1"/>
        <v>91</v>
      </c>
      <c r="C101" s="44"/>
      <c r="D101" s="45" t="e">
        <f>+VLOOKUP(C101,'[10]Part List รวมล่าสุดกว่า'!A:R,3,0)</f>
        <v>#N/A</v>
      </c>
      <c r="E101" s="46" t="s">
        <v>24</v>
      </c>
      <c r="F101" s="45" t="e">
        <f>+VLOOKUP(C101,'[10]Part List รวมล่าสุดกว่า'!A:R,4,0)</f>
        <v>#N/A</v>
      </c>
      <c r="G101" s="46" t="s">
        <v>24</v>
      </c>
      <c r="H101" s="47" t="e">
        <f>+VLOOKUP(C101,'[10]Part List รวมล่าสุดกว่า'!A:R,5,0)</f>
        <v>#N/A</v>
      </c>
      <c r="I101" s="48" t="e">
        <f>+VLOOKUP(C101,'[10]Part List รวมล่าสุดกว่า'!A:R,9,0)</f>
        <v>#N/A</v>
      </c>
      <c r="J101" s="49" t="e">
        <f>+VLOOKUP(C101,'[10]Part List รวมล่าสุดกว่า'!A:R,10,0)</f>
        <v>#N/A</v>
      </c>
      <c r="K101" s="49" t="e">
        <f>+VLOOKUP(C101,'[10]Part List รวมล่าสุดกว่า'!A:R,11,0)</f>
        <v>#N/A</v>
      </c>
      <c r="L101" s="49" t="e">
        <f>+VLOOKUP(C101,'[10]Part List รวมล่าสุดกว่า'!A:R,12,0)</f>
        <v>#N/A</v>
      </c>
      <c r="M101" s="50" t="e">
        <f>+VLOOKUP(C101,[10]Forecast!F:V,6,0)</f>
        <v>#N/A</v>
      </c>
      <c r="N101" s="50" t="e">
        <f>+VLOOKUP(C101,[10]Forecast!F:V,8,0)</f>
        <v>#N/A</v>
      </c>
      <c r="O101" s="50" t="e">
        <f>+VLOOKUP(C101,[10]Forecast!F:V,10,0)</f>
        <v>#N/A</v>
      </c>
      <c r="P101" s="50" t="e">
        <f>+VLOOKUP(C101,[10]Forecast!F:V,12,0)</f>
        <v>#N/A</v>
      </c>
      <c r="Q101" s="50" t="e">
        <f>+VLOOKUP(C101,[10]Forecast!F:V,14,0)</f>
        <v>#N/A</v>
      </c>
      <c r="R101" s="50" t="e">
        <f>+VLOOKUP(C101,[10]Forecast!F:V,16,0)</f>
        <v>#N/A</v>
      </c>
      <c r="S101" s="51" t="s">
        <v>25</v>
      </c>
      <c r="T101" s="52"/>
    </row>
    <row r="102" spans="1:20" s="53" customFormat="1" ht="21" hidden="1" customHeight="1">
      <c r="A102" s="34"/>
      <c r="B102" s="43">
        <f t="shared" si="1"/>
        <v>92</v>
      </c>
      <c r="C102" s="44"/>
      <c r="D102" s="45" t="e">
        <f>+VLOOKUP(C102,'[10]Part List รวมล่าสุดกว่า'!A:R,3,0)</f>
        <v>#N/A</v>
      </c>
      <c r="E102" s="46" t="s">
        <v>24</v>
      </c>
      <c r="F102" s="45" t="e">
        <f>+VLOOKUP(C102,'[10]Part List รวมล่าสุดกว่า'!A:R,4,0)</f>
        <v>#N/A</v>
      </c>
      <c r="G102" s="46" t="s">
        <v>24</v>
      </c>
      <c r="H102" s="47" t="e">
        <f>+VLOOKUP(C102,'[10]Part List รวมล่าสุดกว่า'!A:R,5,0)</f>
        <v>#N/A</v>
      </c>
      <c r="I102" s="48" t="e">
        <f>+VLOOKUP(C102,'[10]Part List รวมล่าสุดกว่า'!A:R,9,0)</f>
        <v>#N/A</v>
      </c>
      <c r="J102" s="49" t="e">
        <f>+VLOOKUP(C102,'[10]Part List รวมล่าสุดกว่า'!A:R,10,0)</f>
        <v>#N/A</v>
      </c>
      <c r="K102" s="49" t="e">
        <f>+VLOOKUP(C102,'[10]Part List รวมล่าสุดกว่า'!A:R,11,0)</f>
        <v>#N/A</v>
      </c>
      <c r="L102" s="49" t="e">
        <f>+VLOOKUP(C102,'[10]Part List รวมล่าสุดกว่า'!A:R,12,0)</f>
        <v>#N/A</v>
      </c>
      <c r="M102" s="50" t="e">
        <f>+VLOOKUP(C102,[10]Forecast!F:V,6,0)</f>
        <v>#N/A</v>
      </c>
      <c r="N102" s="50" t="e">
        <f>+VLOOKUP(C102,[10]Forecast!F:V,8,0)</f>
        <v>#N/A</v>
      </c>
      <c r="O102" s="50" t="e">
        <f>+VLOOKUP(C102,[10]Forecast!F:V,10,0)</f>
        <v>#N/A</v>
      </c>
      <c r="P102" s="50" t="e">
        <f>+VLOOKUP(C102,[10]Forecast!F:V,12,0)</f>
        <v>#N/A</v>
      </c>
      <c r="Q102" s="50" t="e">
        <f>+VLOOKUP(C102,[10]Forecast!F:V,14,0)</f>
        <v>#N/A</v>
      </c>
      <c r="R102" s="50" t="e">
        <f>+VLOOKUP(C102,[10]Forecast!F:V,16,0)</f>
        <v>#N/A</v>
      </c>
      <c r="S102" s="51" t="s">
        <v>25</v>
      </c>
      <c r="T102" s="52"/>
    </row>
    <row r="103" spans="1:20" s="53" customFormat="1" ht="21" hidden="1" customHeight="1">
      <c r="A103" s="34"/>
      <c r="B103" s="43">
        <f t="shared" si="1"/>
        <v>93</v>
      </c>
      <c r="C103" s="44"/>
      <c r="D103" s="45" t="e">
        <f>+VLOOKUP(C103,'[10]Part List รวมล่าสุดกว่า'!A:R,3,0)</f>
        <v>#N/A</v>
      </c>
      <c r="E103" s="46" t="s">
        <v>24</v>
      </c>
      <c r="F103" s="45" t="e">
        <f>+VLOOKUP(C103,'[10]Part List รวมล่าสุดกว่า'!A:R,4,0)</f>
        <v>#N/A</v>
      </c>
      <c r="G103" s="46" t="s">
        <v>24</v>
      </c>
      <c r="H103" s="47" t="e">
        <f>+VLOOKUP(C103,'[10]Part List รวมล่าสุดกว่า'!A:R,5,0)</f>
        <v>#N/A</v>
      </c>
      <c r="I103" s="48" t="e">
        <f>+VLOOKUP(C103,'[10]Part List รวมล่าสุดกว่า'!A:R,9,0)</f>
        <v>#N/A</v>
      </c>
      <c r="J103" s="49" t="e">
        <f>+VLOOKUP(C103,'[10]Part List รวมล่าสุดกว่า'!A:R,10,0)</f>
        <v>#N/A</v>
      </c>
      <c r="K103" s="49" t="e">
        <f>+VLOOKUP(C103,'[10]Part List รวมล่าสุดกว่า'!A:R,11,0)</f>
        <v>#N/A</v>
      </c>
      <c r="L103" s="49" t="e">
        <f>+VLOOKUP(C103,'[10]Part List รวมล่าสุดกว่า'!A:R,12,0)</f>
        <v>#N/A</v>
      </c>
      <c r="M103" s="50" t="e">
        <f>+VLOOKUP(C103,[10]Forecast!F:V,6,0)</f>
        <v>#N/A</v>
      </c>
      <c r="N103" s="50" t="e">
        <f>+VLOOKUP(C103,[10]Forecast!F:V,8,0)</f>
        <v>#N/A</v>
      </c>
      <c r="O103" s="50" t="e">
        <f>+VLOOKUP(C103,[10]Forecast!F:V,10,0)</f>
        <v>#N/A</v>
      </c>
      <c r="P103" s="50" t="e">
        <f>+VLOOKUP(C103,[10]Forecast!F:V,12,0)</f>
        <v>#N/A</v>
      </c>
      <c r="Q103" s="50" t="e">
        <f>+VLOOKUP(C103,[10]Forecast!F:V,14,0)</f>
        <v>#N/A</v>
      </c>
      <c r="R103" s="50" t="e">
        <f>+VLOOKUP(C103,[10]Forecast!F:V,16,0)</f>
        <v>#N/A</v>
      </c>
      <c r="S103" s="51" t="s">
        <v>25</v>
      </c>
      <c r="T103" s="52"/>
    </row>
    <row r="104" spans="1:20" s="53" customFormat="1" ht="21" hidden="1" customHeight="1">
      <c r="A104" s="34"/>
      <c r="B104" s="43">
        <f t="shared" si="1"/>
        <v>94</v>
      </c>
      <c r="C104" s="44"/>
      <c r="D104" s="45" t="e">
        <f>+VLOOKUP(C104,'[10]Part List รวมล่าสุดกว่า'!A:R,3,0)</f>
        <v>#N/A</v>
      </c>
      <c r="E104" s="46" t="s">
        <v>24</v>
      </c>
      <c r="F104" s="45" t="e">
        <f>+VLOOKUP(C104,'[10]Part List รวมล่าสุดกว่า'!A:R,4,0)</f>
        <v>#N/A</v>
      </c>
      <c r="G104" s="46" t="s">
        <v>24</v>
      </c>
      <c r="H104" s="47" t="e">
        <f>+VLOOKUP(C104,'[10]Part List รวมล่าสุดกว่า'!A:R,5,0)</f>
        <v>#N/A</v>
      </c>
      <c r="I104" s="48" t="e">
        <f>+VLOOKUP(C104,'[10]Part List รวมล่าสุดกว่า'!A:R,9,0)</f>
        <v>#N/A</v>
      </c>
      <c r="J104" s="49" t="e">
        <f>+VLOOKUP(C104,'[10]Part List รวมล่าสุดกว่า'!A:R,10,0)</f>
        <v>#N/A</v>
      </c>
      <c r="K104" s="49" t="e">
        <f>+VLOOKUP(C104,'[10]Part List รวมล่าสุดกว่า'!A:R,11,0)</f>
        <v>#N/A</v>
      </c>
      <c r="L104" s="49" t="e">
        <f>+VLOOKUP(C104,'[10]Part List รวมล่าสุดกว่า'!A:R,12,0)</f>
        <v>#N/A</v>
      </c>
      <c r="M104" s="50" t="e">
        <f>+VLOOKUP(C104,[10]Forecast!F:V,6,0)</f>
        <v>#N/A</v>
      </c>
      <c r="N104" s="50" t="e">
        <f>+VLOOKUP(C104,[10]Forecast!F:V,8,0)</f>
        <v>#N/A</v>
      </c>
      <c r="O104" s="50" t="e">
        <f>+VLOOKUP(C104,[10]Forecast!F:V,10,0)</f>
        <v>#N/A</v>
      </c>
      <c r="P104" s="50" t="e">
        <f>+VLOOKUP(C104,[10]Forecast!F:V,12,0)</f>
        <v>#N/A</v>
      </c>
      <c r="Q104" s="50" t="e">
        <f>+VLOOKUP(C104,[10]Forecast!F:V,14,0)</f>
        <v>#N/A</v>
      </c>
      <c r="R104" s="50" t="e">
        <f>+VLOOKUP(C104,[10]Forecast!F:V,16,0)</f>
        <v>#N/A</v>
      </c>
      <c r="S104" s="51" t="s">
        <v>25</v>
      </c>
      <c r="T104" s="52"/>
    </row>
    <row r="105" spans="1:20" s="53" customFormat="1" ht="21" hidden="1" customHeight="1">
      <c r="A105" s="34"/>
      <c r="B105" s="43">
        <f t="shared" si="1"/>
        <v>95</v>
      </c>
      <c r="C105" s="44"/>
      <c r="D105" s="45" t="e">
        <f>+VLOOKUP(C105,'[10]Part List รวมล่าสุดกว่า'!A:R,3,0)</f>
        <v>#N/A</v>
      </c>
      <c r="E105" s="46" t="s">
        <v>24</v>
      </c>
      <c r="F105" s="45" t="e">
        <f>+VLOOKUP(C105,'[10]Part List รวมล่าสุดกว่า'!A:R,4,0)</f>
        <v>#N/A</v>
      </c>
      <c r="G105" s="46" t="s">
        <v>24</v>
      </c>
      <c r="H105" s="47" t="e">
        <f>+VLOOKUP(C105,'[10]Part List รวมล่าสุดกว่า'!A:R,5,0)</f>
        <v>#N/A</v>
      </c>
      <c r="I105" s="48" t="e">
        <f>+VLOOKUP(C105,'[10]Part List รวมล่าสุดกว่า'!A:R,9,0)</f>
        <v>#N/A</v>
      </c>
      <c r="J105" s="49" t="e">
        <f>+VLOOKUP(C105,'[10]Part List รวมล่าสุดกว่า'!A:R,10,0)</f>
        <v>#N/A</v>
      </c>
      <c r="K105" s="49" t="e">
        <f>+VLOOKUP(C105,'[10]Part List รวมล่าสุดกว่า'!A:R,11,0)</f>
        <v>#N/A</v>
      </c>
      <c r="L105" s="49" t="e">
        <f>+VLOOKUP(C105,'[10]Part List รวมล่าสุดกว่า'!A:R,12,0)</f>
        <v>#N/A</v>
      </c>
      <c r="M105" s="50" t="e">
        <f>+VLOOKUP(C105,[10]Forecast!F:V,6,0)</f>
        <v>#N/A</v>
      </c>
      <c r="N105" s="50" t="e">
        <f>+VLOOKUP(C105,[10]Forecast!F:V,8,0)</f>
        <v>#N/A</v>
      </c>
      <c r="O105" s="50" t="e">
        <f>+VLOOKUP(C105,[10]Forecast!F:V,10,0)</f>
        <v>#N/A</v>
      </c>
      <c r="P105" s="50" t="e">
        <f>+VLOOKUP(C105,[10]Forecast!F:V,12,0)</f>
        <v>#N/A</v>
      </c>
      <c r="Q105" s="50" t="e">
        <f>+VLOOKUP(C105,[10]Forecast!F:V,14,0)</f>
        <v>#N/A</v>
      </c>
      <c r="R105" s="50" t="e">
        <f>+VLOOKUP(C105,[10]Forecast!F:V,16,0)</f>
        <v>#N/A</v>
      </c>
      <c r="S105" s="51" t="s">
        <v>25</v>
      </c>
      <c r="T105" s="52"/>
    </row>
    <row r="106" spans="1:20" s="53" customFormat="1" ht="21" hidden="1" customHeight="1">
      <c r="A106" s="34"/>
      <c r="B106" s="43">
        <f t="shared" si="1"/>
        <v>96</v>
      </c>
      <c r="C106" s="44"/>
      <c r="D106" s="45" t="e">
        <f>+VLOOKUP(C106,'[10]Part List รวมล่าสุดกว่า'!A:R,3,0)</f>
        <v>#N/A</v>
      </c>
      <c r="E106" s="46" t="s">
        <v>24</v>
      </c>
      <c r="F106" s="45" t="e">
        <f>+VLOOKUP(C106,'[10]Part List รวมล่าสุดกว่า'!A:R,4,0)</f>
        <v>#N/A</v>
      </c>
      <c r="G106" s="46" t="s">
        <v>24</v>
      </c>
      <c r="H106" s="47" t="e">
        <f>+VLOOKUP(C106,'[10]Part List รวมล่าสุดกว่า'!A:R,5,0)</f>
        <v>#N/A</v>
      </c>
      <c r="I106" s="48" t="e">
        <f>+VLOOKUP(C106,'[10]Part List รวมล่าสุดกว่า'!A:R,9,0)</f>
        <v>#N/A</v>
      </c>
      <c r="J106" s="49" t="e">
        <f>+VLOOKUP(C106,'[10]Part List รวมล่าสุดกว่า'!A:R,10,0)</f>
        <v>#N/A</v>
      </c>
      <c r="K106" s="49" t="e">
        <f>+VLOOKUP(C106,'[10]Part List รวมล่าสุดกว่า'!A:R,11,0)</f>
        <v>#N/A</v>
      </c>
      <c r="L106" s="49" t="e">
        <f>+VLOOKUP(C106,'[10]Part List รวมล่าสุดกว่า'!A:R,12,0)</f>
        <v>#N/A</v>
      </c>
      <c r="M106" s="50" t="e">
        <f>+VLOOKUP(C106,[10]Forecast!F:V,6,0)</f>
        <v>#N/A</v>
      </c>
      <c r="N106" s="50" t="e">
        <f>+VLOOKUP(C106,[10]Forecast!F:V,8,0)</f>
        <v>#N/A</v>
      </c>
      <c r="O106" s="50" t="e">
        <f>+VLOOKUP(C106,[10]Forecast!F:V,10,0)</f>
        <v>#N/A</v>
      </c>
      <c r="P106" s="50" t="e">
        <f>+VLOOKUP(C106,[10]Forecast!F:V,12,0)</f>
        <v>#N/A</v>
      </c>
      <c r="Q106" s="50" t="e">
        <f>+VLOOKUP(C106,[10]Forecast!F:V,14,0)</f>
        <v>#N/A</v>
      </c>
      <c r="R106" s="50" t="e">
        <f>+VLOOKUP(C106,[10]Forecast!F:V,16,0)</f>
        <v>#N/A</v>
      </c>
      <c r="S106" s="51" t="s">
        <v>25</v>
      </c>
      <c r="T106" s="52"/>
    </row>
    <row r="107" spans="1:20" s="53" customFormat="1" ht="21" hidden="1" customHeight="1">
      <c r="A107" s="34"/>
      <c r="B107" s="43">
        <f t="shared" si="1"/>
        <v>97</v>
      </c>
      <c r="C107" s="44"/>
      <c r="D107" s="45" t="e">
        <f>+VLOOKUP(C107,'[10]Part List รวมล่าสุดกว่า'!A:R,3,0)</f>
        <v>#N/A</v>
      </c>
      <c r="E107" s="46" t="s">
        <v>24</v>
      </c>
      <c r="F107" s="45" t="e">
        <f>+VLOOKUP(C107,'[10]Part List รวมล่าสุดกว่า'!A:R,4,0)</f>
        <v>#N/A</v>
      </c>
      <c r="G107" s="46" t="s">
        <v>24</v>
      </c>
      <c r="H107" s="47" t="e">
        <f>+VLOOKUP(C107,'[10]Part List รวมล่าสุดกว่า'!A:R,5,0)</f>
        <v>#N/A</v>
      </c>
      <c r="I107" s="48" t="e">
        <f>+VLOOKUP(C107,'[10]Part List รวมล่าสุดกว่า'!A:R,9,0)</f>
        <v>#N/A</v>
      </c>
      <c r="J107" s="49" t="e">
        <f>+VLOOKUP(C107,'[10]Part List รวมล่าสุดกว่า'!A:R,10,0)</f>
        <v>#N/A</v>
      </c>
      <c r="K107" s="49" t="e">
        <f>+VLOOKUP(C107,'[10]Part List รวมล่าสุดกว่า'!A:R,11,0)</f>
        <v>#N/A</v>
      </c>
      <c r="L107" s="49" t="e">
        <f>+VLOOKUP(C107,'[10]Part List รวมล่าสุดกว่า'!A:R,12,0)</f>
        <v>#N/A</v>
      </c>
      <c r="M107" s="50" t="e">
        <f>+VLOOKUP(C107,[10]Forecast!F:V,6,0)</f>
        <v>#N/A</v>
      </c>
      <c r="N107" s="50" t="e">
        <f>+VLOOKUP(C107,[10]Forecast!F:V,8,0)</f>
        <v>#N/A</v>
      </c>
      <c r="O107" s="50" t="e">
        <f>+VLOOKUP(C107,[10]Forecast!F:V,10,0)</f>
        <v>#N/A</v>
      </c>
      <c r="P107" s="50" t="e">
        <f>+VLOOKUP(C107,[10]Forecast!F:V,12,0)</f>
        <v>#N/A</v>
      </c>
      <c r="Q107" s="50" t="e">
        <f>+VLOOKUP(C107,[10]Forecast!F:V,14,0)</f>
        <v>#N/A</v>
      </c>
      <c r="R107" s="50" t="e">
        <f>+VLOOKUP(C107,[10]Forecast!F:V,16,0)</f>
        <v>#N/A</v>
      </c>
      <c r="S107" s="51" t="s">
        <v>25</v>
      </c>
      <c r="T107" s="52"/>
    </row>
    <row r="108" spans="1:20" s="53" customFormat="1" ht="21" hidden="1" customHeight="1">
      <c r="A108" s="34"/>
      <c r="B108" s="43">
        <f t="shared" si="1"/>
        <v>98</v>
      </c>
      <c r="C108" s="44"/>
      <c r="D108" s="45" t="e">
        <f>+VLOOKUP(C108,'[10]Part List รวมล่าสุดกว่า'!A:R,3,0)</f>
        <v>#N/A</v>
      </c>
      <c r="E108" s="46" t="s">
        <v>24</v>
      </c>
      <c r="F108" s="45" t="e">
        <f>+VLOOKUP(C108,'[10]Part List รวมล่าสุดกว่า'!A:R,4,0)</f>
        <v>#N/A</v>
      </c>
      <c r="G108" s="46" t="s">
        <v>24</v>
      </c>
      <c r="H108" s="47" t="e">
        <f>+VLOOKUP(C108,'[10]Part List รวมล่าสุดกว่า'!A:R,5,0)</f>
        <v>#N/A</v>
      </c>
      <c r="I108" s="48" t="e">
        <f>+VLOOKUP(C108,'[10]Part List รวมล่าสุดกว่า'!A:R,9,0)</f>
        <v>#N/A</v>
      </c>
      <c r="J108" s="49" t="e">
        <f>+VLOOKUP(C108,'[10]Part List รวมล่าสุดกว่า'!A:R,10,0)</f>
        <v>#N/A</v>
      </c>
      <c r="K108" s="49" t="e">
        <f>+VLOOKUP(C108,'[10]Part List รวมล่าสุดกว่า'!A:R,11,0)</f>
        <v>#N/A</v>
      </c>
      <c r="L108" s="49" t="e">
        <f>+VLOOKUP(C108,'[10]Part List รวมล่าสุดกว่า'!A:R,12,0)</f>
        <v>#N/A</v>
      </c>
      <c r="M108" s="50" t="e">
        <f>+VLOOKUP(C108,[10]Forecast!F:V,6,0)</f>
        <v>#N/A</v>
      </c>
      <c r="N108" s="50" t="e">
        <f>+VLOOKUP(C108,[10]Forecast!F:V,8,0)</f>
        <v>#N/A</v>
      </c>
      <c r="O108" s="50" t="e">
        <f>+VLOOKUP(C108,[10]Forecast!F:V,10,0)</f>
        <v>#N/A</v>
      </c>
      <c r="P108" s="50" t="e">
        <f>+VLOOKUP(C108,[10]Forecast!F:V,12,0)</f>
        <v>#N/A</v>
      </c>
      <c r="Q108" s="50" t="e">
        <f>+VLOOKUP(C108,[10]Forecast!F:V,14,0)</f>
        <v>#N/A</v>
      </c>
      <c r="R108" s="50" t="e">
        <f>+VLOOKUP(C108,[10]Forecast!F:V,16,0)</f>
        <v>#N/A</v>
      </c>
      <c r="S108" s="51" t="s">
        <v>25</v>
      </c>
      <c r="T108" s="52"/>
    </row>
    <row r="109" spans="1:20" s="53" customFormat="1" ht="21" hidden="1" customHeight="1">
      <c r="A109" s="34"/>
      <c r="B109" s="43">
        <f t="shared" si="1"/>
        <v>99</v>
      </c>
      <c r="C109" s="44"/>
      <c r="D109" s="45" t="e">
        <f>+VLOOKUP(C109,'[10]Part List รวมล่าสุดกว่า'!A:R,3,0)</f>
        <v>#N/A</v>
      </c>
      <c r="E109" s="46" t="s">
        <v>24</v>
      </c>
      <c r="F109" s="45" t="e">
        <f>+VLOOKUP(C109,'[10]Part List รวมล่าสุดกว่า'!A:R,4,0)</f>
        <v>#N/A</v>
      </c>
      <c r="G109" s="46" t="s">
        <v>24</v>
      </c>
      <c r="H109" s="47" t="e">
        <f>+VLOOKUP(C109,'[10]Part List รวมล่าสุดกว่า'!A:R,5,0)</f>
        <v>#N/A</v>
      </c>
      <c r="I109" s="48" t="e">
        <f>+VLOOKUP(C109,'[10]Part List รวมล่าสุดกว่า'!A:R,9,0)</f>
        <v>#N/A</v>
      </c>
      <c r="J109" s="49" t="e">
        <f>+VLOOKUP(C109,'[10]Part List รวมล่าสุดกว่า'!A:R,10,0)</f>
        <v>#N/A</v>
      </c>
      <c r="K109" s="49" t="e">
        <f>+VLOOKUP(C109,'[10]Part List รวมล่าสุดกว่า'!A:R,11,0)</f>
        <v>#N/A</v>
      </c>
      <c r="L109" s="49" t="e">
        <f>+VLOOKUP(C109,'[10]Part List รวมล่าสุดกว่า'!A:R,12,0)</f>
        <v>#N/A</v>
      </c>
      <c r="M109" s="50" t="e">
        <f>+VLOOKUP(C109,[10]Forecast!F:V,6,0)</f>
        <v>#N/A</v>
      </c>
      <c r="N109" s="50" t="e">
        <f>+VLOOKUP(C109,[10]Forecast!F:V,8,0)</f>
        <v>#N/A</v>
      </c>
      <c r="O109" s="50" t="e">
        <f>+VLOOKUP(C109,[10]Forecast!F:V,10,0)</f>
        <v>#N/A</v>
      </c>
      <c r="P109" s="50" t="e">
        <f>+VLOOKUP(C109,[10]Forecast!F:V,12,0)</f>
        <v>#N/A</v>
      </c>
      <c r="Q109" s="50" t="e">
        <f>+VLOOKUP(C109,[10]Forecast!F:V,14,0)</f>
        <v>#N/A</v>
      </c>
      <c r="R109" s="50" t="e">
        <f>+VLOOKUP(C109,[10]Forecast!F:V,16,0)</f>
        <v>#N/A</v>
      </c>
      <c r="S109" s="51" t="s">
        <v>25</v>
      </c>
      <c r="T109" s="52"/>
    </row>
    <row r="110" spans="1:20" s="53" customFormat="1" ht="21" hidden="1" customHeight="1">
      <c r="A110" s="34"/>
      <c r="B110" s="43">
        <f t="shared" si="1"/>
        <v>100</v>
      </c>
      <c r="C110" s="44"/>
      <c r="D110" s="45" t="e">
        <f>+VLOOKUP(C110,'[10]Part List รวมล่าสุดกว่า'!A:R,3,0)</f>
        <v>#N/A</v>
      </c>
      <c r="E110" s="46" t="s">
        <v>24</v>
      </c>
      <c r="F110" s="45" t="e">
        <f>+VLOOKUP(C110,'[10]Part List รวมล่าสุดกว่า'!A:R,4,0)</f>
        <v>#N/A</v>
      </c>
      <c r="G110" s="46" t="s">
        <v>24</v>
      </c>
      <c r="H110" s="47" t="e">
        <f>+VLOOKUP(C110,'[10]Part List รวมล่าสุดกว่า'!A:R,5,0)</f>
        <v>#N/A</v>
      </c>
      <c r="I110" s="48" t="e">
        <f>+VLOOKUP(C110,'[10]Part List รวมล่าสุดกว่า'!A:R,9,0)</f>
        <v>#N/A</v>
      </c>
      <c r="J110" s="49" t="e">
        <f>+VLOOKUP(C110,'[10]Part List รวมล่าสุดกว่า'!A:R,10,0)</f>
        <v>#N/A</v>
      </c>
      <c r="K110" s="49" t="e">
        <f>+VLOOKUP(C110,'[10]Part List รวมล่าสุดกว่า'!A:R,11,0)</f>
        <v>#N/A</v>
      </c>
      <c r="L110" s="49" t="e">
        <f>+VLOOKUP(C110,'[10]Part List รวมล่าสุดกว่า'!A:R,12,0)</f>
        <v>#N/A</v>
      </c>
      <c r="M110" s="50" t="e">
        <f>+VLOOKUP(C110,[10]Forecast!F:V,6,0)</f>
        <v>#N/A</v>
      </c>
      <c r="N110" s="50" t="e">
        <f>+VLOOKUP(C110,[10]Forecast!F:V,8,0)</f>
        <v>#N/A</v>
      </c>
      <c r="O110" s="50" t="e">
        <f>+VLOOKUP(C110,[10]Forecast!F:V,10,0)</f>
        <v>#N/A</v>
      </c>
      <c r="P110" s="50" t="e">
        <f>+VLOOKUP(C110,[10]Forecast!F:V,12,0)</f>
        <v>#N/A</v>
      </c>
      <c r="Q110" s="50" t="e">
        <f>+VLOOKUP(C110,[10]Forecast!F:V,14,0)</f>
        <v>#N/A</v>
      </c>
      <c r="R110" s="50" t="e">
        <f>+VLOOKUP(C110,[10]Forecast!F:V,16,0)</f>
        <v>#N/A</v>
      </c>
      <c r="S110" s="51" t="s">
        <v>25</v>
      </c>
      <c r="T110" s="52"/>
    </row>
    <row r="111" spans="1:20" s="53" customFormat="1" ht="21" hidden="1" customHeight="1">
      <c r="A111" s="34"/>
      <c r="B111" s="43">
        <f t="shared" si="1"/>
        <v>101</v>
      </c>
      <c r="C111" s="44"/>
      <c r="D111" s="45" t="e">
        <f>+VLOOKUP(C111,'[10]Part List รวมล่าสุดกว่า'!A:R,3,0)</f>
        <v>#N/A</v>
      </c>
      <c r="E111" s="46" t="s">
        <v>24</v>
      </c>
      <c r="F111" s="45" t="e">
        <f>+VLOOKUP(C111,'[10]Part List รวมล่าสุดกว่า'!A:R,4,0)</f>
        <v>#N/A</v>
      </c>
      <c r="G111" s="46" t="s">
        <v>24</v>
      </c>
      <c r="H111" s="47" t="e">
        <f>+VLOOKUP(C111,'[10]Part List รวมล่าสุดกว่า'!A:R,5,0)</f>
        <v>#N/A</v>
      </c>
      <c r="I111" s="48" t="e">
        <f>+VLOOKUP(C111,'[10]Part List รวมล่าสุดกว่า'!A:R,9,0)</f>
        <v>#N/A</v>
      </c>
      <c r="J111" s="49" t="e">
        <f>+VLOOKUP(C111,'[10]Part List รวมล่าสุดกว่า'!A:R,10,0)</f>
        <v>#N/A</v>
      </c>
      <c r="K111" s="49" t="e">
        <f>+VLOOKUP(C111,'[10]Part List รวมล่าสุดกว่า'!A:R,11,0)</f>
        <v>#N/A</v>
      </c>
      <c r="L111" s="49" t="e">
        <f>+VLOOKUP(C111,'[10]Part List รวมล่าสุดกว่า'!A:R,12,0)</f>
        <v>#N/A</v>
      </c>
      <c r="M111" s="50" t="e">
        <f>+VLOOKUP(C111,[10]Forecast!F:V,6,0)</f>
        <v>#N/A</v>
      </c>
      <c r="N111" s="50" t="e">
        <f>+VLOOKUP(C111,[10]Forecast!F:V,8,0)</f>
        <v>#N/A</v>
      </c>
      <c r="O111" s="50" t="e">
        <f>+VLOOKUP(C111,[10]Forecast!F:V,10,0)</f>
        <v>#N/A</v>
      </c>
      <c r="P111" s="50" t="e">
        <f>+VLOOKUP(C111,[10]Forecast!F:V,12,0)</f>
        <v>#N/A</v>
      </c>
      <c r="Q111" s="50" t="e">
        <f>+VLOOKUP(C111,[10]Forecast!F:V,14,0)</f>
        <v>#N/A</v>
      </c>
      <c r="R111" s="50" t="e">
        <f>+VLOOKUP(C111,[10]Forecast!F:V,16,0)</f>
        <v>#N/A</v>
      </c>
      <c r="S111" s="51" t="s">
        <v>25</v>
      </c>
      <c r="T111" s="52"/>
    </row>
    <row r="112" spans="1:20" s="53" customFormat="1" ht="21" hidden="1" customHeight="1">
      <c r="A112" s="34"/>
      <c r="B112" s="43">
        <f t="shared" si="1"/>
        <v>102</v>
      </c>
      <c r="C112" s="44"/>
      <c r="D112" s="45" t="e">
        <f>+VLOOKUP(C112,'[10]Part List รวมล่าสุดกว่า'!A:R,3,0)</f>
        <v>#N/A</v>
      </c>
      <c r="E112" s="46" t="s">
        <v>24</v>
      </c>
      <c r="F112" s="45" t="e">
        <f>+VLOOKUP(C112,'[10]Part List รวมล่าสุดกว่า'!A:R,4,0)</f>
        <v>#N/A</v>
      </c>
      <c r="G112" s="46" t="s">
        <v>24</v>
      </c>
      <c r="H112" s="47" t="e">
        <f>+VLOOKUP(C112,'[10]Part List รวมล่าสุดกว่า'!A:R,5,0)</f>
        <v>#N/A</v>
      </c>
      <c r="I112" s="48" t="e">
        <f>+VLOOKUP(C112,'[10]Part List รวมล่าสุดกว่า'!A:R,9,0)</f>
        <v>#N/A</v>
      </c>
      <c r="J112" s="49" t="e">
        <f>+VLOOKUP(C112,'[10]Part List รวมล่าสุดกว่า'!A:R,10,0)</f>
        <v>#N/A</v>
      </c>
      <c r="K112" s="49" t="e">
        <f>+VLOOKUP(C112,'[10]Part List รวมล่าสุดกว่า'!A:R,11,0)</f>
        <v>#N/A</v>
      </c>
      <c r="L112" s="49" t="e">
        <f>+VLOOKUP(C112,'[10]Part List รวมล่าสุดกว่า'!A:R,12,0)</f>
        <v>#N/A</v>
      </c>
      <c r="M112" s="50" t="e">
        <f>+VLOOKUP(C112,[10]Forecast!F:V,6,0)</f>
        <v>#N/A</v>
      </c>
      <c r="N112" s="50" t="e">
        <f>+VLOOKUP(C112,[10]Forecast!F:V,8,0)</f>
        <v>#N/A</v>
      </c>
      <c r="O112" s="50" t="e">
        <f>+VLOOKUP(C112,[10]Forecast!F:V,10,0)</f>
        <v>#N/A</v>
      </c>
      <c r="P112" s="50" t="e">
        <f>+VLOOKUP(C112,[10]Forecast!F:V,12,0)</f>
        <v>#N/A</v>
      </c>
      <c r="Q112" s="50" t="e">
        <f>+VLOOKUP(C112,[10]Forecast!F:V,14,0)</f>
        <v>#N/A</v>
      </c>
      <c r="R112" s="50" t="e">
        <f>+VLOOKUP(C112,[10]Forecast!F:V,16,0)</f>
        <v>#N/A</v>
      </c>
      <c r="S112" s="51" t="s">
        <v>25</v>
      </c>
      <c r="T112" s="52"/>
    </row>
    <row r="113" spans="1:34" s="53" customFormat="1" ht="21" hidden="1" customHeight="1">
      <c r="A113" s="34"/>
      <c r="B113" s="43">
        <f t="shared" si="1"/>
        <v>103</v>
      </c>
      <c r="C113" s="44"/>
      <c r="D113" s="45" t="e">
        <f>+VLOOKUP(C113,'[10]Part List รวมล่าสุดกว่า'!A:R,3,0)</f>
        <v>#N/A</v>
      </c>
      <c r="E113" s="46" t="s">
        <v>24</v>
      </c>
      <c r="F113" s="45" t="e">
        <f>+VLOOKUP(C113,'[10]Part List รวมล่าสุดกว่า'!A:R,4,0)</f>
        <v>#N/A</v>
      </c>
      <c r="G113" s="46" t="s">
        <v>24</v>
      </c>
      <c r="H113" s="47" t="e">
        <f>+VLOOKUP(C113,'[10]Part List รวมล่าสุดกว่า'!A:R,5,0)</f>
        <v>#N/A</v>
      </c>
      <c r="I113" s="48" t="e">
        <f>+VLOOKUP(C113,'[10]Part List รวมล่าสุดกว่า'!A:R,9,0)</f>
        <v>#N/A</v>
      </c>
      <c r="J113" s="49" t="e">
        <f>+VLOOKUP(C113,'[10]Part List รวมล่าสุดกว่า'!A:R,10,0)</f>
        <v>#N/A</v>
      </c>
      <c r="K113" s="49" t="e">
        <f>+VLOOKUP(C113,'[10]Part List รวมล่าสุดกว่า'!A:R,11,0)</f>
        <v>#N/A</v>
      </c>
      <c r="L113" s="49" t="e">
        <f>+VLOOKUP(C113,'[10]Part List รวมล่าสุดกว่า'!A:R,12,0)</f>
        <v>#N/A</v>
      </c>
      <c r="M113" s="50" t="e">
        <f>+VLOOKUP(C113,[10]Forecast!F:V,6,0)</f>
        <v>#N/A</v>
      </c>
      <c r="N113" s="50" t="e">
        <f>+VLOOKUP(C113,[10]Forecast!F:V,8,0)</f>
        <v>#N/A</v>
      </c>
      <c r="O113" s="50" t="e">
        <f>+VLOOKUP(C113,[10]Forecast!F:V,10,0)</f>
        <v>#N/A</v>
      </c>
      <c r="P113" s="50" t="e">
        <f>+VLOOKUP(C113,[10]Forecast!F:V,12,0)</f>
        <v>#N/A</v>
      </c>
      <c r="Q113" s="50" t="e">
        <f>+VLOOKUP(C113,[10]Forecast!F:V,14,0)</f>
        <v>#N/A</v>
      </c>
      <c r="R113" s="50" t="e">
        <f>+VLOOKUP(C113,[10]Forecast!F:V,16,0)</f>
        <v>#N/A</v>
      </c>
      <c r="S113" s="51" t="s">
        <v>25</v>
      </c>
      <c r="T113" s="52"/>
    </row>
    <row r="114" spans="1:34" s="53" customFormat="1" ht="21" hidden="1" customHeight="1">
      <c r="A114" s="34"/>
      <c r="B114" s="43">
        <f t="shared" si="1"/>
        <v>104</v>
      </c>
      <c r="C114" s="44"/>
      <c r="D114" s="45" t="e">
        <f>+VLOOKUP(C114,'[10]Part List รวมล่าสุดกว่า'!A:R,3,0)</f>
        <v>#N/A</v>
      </c>
      <c r="E114" s="46" t="s">
        <v>24</v>
      </c>
      <c r="F114" s="45" t="e">
        <f>+VLOOKUP(C114,'[10]Part List รวมล่าสุดกว่า'!A:R,4,0)</f>
        <v>#N/A</v>
      </c>
      <c r="G114" s="46" t="s">
        <v>24</v>
      </c>
      <c r="H114" s="47" t="e">
        <f>+VLOOKUP(C114,'[10]Part List รวมล่าสุดกว่า'!A:R,5,0)</f>
        <v>#N/A</v>
      </c>
      <c r="I114" s="48" t="e">
        <f>+VLOOKUP(C114,'[10]Part List รวมล่าสุดกว่า'!A:R,9,0)</f>
        <v>#N/A</v>
      </c>
      <c r="J114" s="49" t="e">
        <f>+VLOOKUP(C114,'[10]Part List รวมล่าสุดกว่า'!A:R,10,0)</f>
        <v>#N/A</v>
      </c>
      <c r="K114" s="49" t="e">
        <f>+VLOOKUP(C114,'[10]Part List รวมล่าสุดกว่า'!A:R,11,0)</f>
        <v>#N/A</v>
      </c>
      <c r="L114" s="49" t="e">
        <f>+VLOOKUP(C114,'[10]Part List รวมล่าสุดกว่า'!A:R,12,0)</f>
        <v>#N/A</v>
      </c>
      <c r="M114" s="50" t="e">
        <f>+VLOOKUP(C114,[10]Forecast!F:V,6,0)</f>
        <v>#N/A</v>
      </c>
      <c r="N114" s="50" t="e">
        <f>+VLOOKUP(C114,[10]Forecast!F:V,8,0)</f>
        <v>#N/A</v>
      </c>
      <c r="O114" s="50" t="e">
        <f>+VLOOKUP(C114,[10]Forecast!F:V,10,0)</f>
        <v>#N/A</v>
      </c>
      <c r="P114" s="50" t="e">
        <f>+VLOOKUP(C114,[10]Forecast!F:V,12,0)</f>
        <v>#N/A</v>
      </c>
      <c r="Q114" s="50" t="e">
        <f>+VLOOKUP(C114,[10]Forecast!F:V,14,0)</f>
        <v>#N/A</v>
      </c>
      <c r="R114" s="50" t="e">
        <f>+VLOOKUP(C114,[10]Forecast!F:V,16,0)</f>
        <v>#N/A</v>
      </c>
      <c r="S114" s="51" t="s">
        <v>25</v>
      </c>
      <c r="T114" s="52"/>
    </row>
    <row r="115" spans="1:34" s="53" customFormat="1" ht="21" hidden="1" customHeight="1">
      <c r="A115" s="34"/>
      <c r="B115" s="43">
        <f t="shared" si="1"/>
        <v>105</v>
      </c>
      <c r="C115" s="44"/>
      <c r="D115" s="45" t="e">
        <f>+VLOOKUP(C115,'[10]Part List รวมล่าสุดกว่า'!A:R,3,0)</f>
        <v>#N/A</v>
      </c>
      <c r="E115" s="46" t="s">
        <v>24</v>
      </c>
      <c r="F115" s="45" t="e">
        <f>+VLOOKUP(C115,'[10]Part List รวมล่าสุดกว่า'!A:R,4,0)</f>
        <v>#N/A</v>
      </c>
      <c r="G115" s="46" t="s">
        <v>24</v>
      </c>
      <c r="H115" s="47" t="e">
        <f>+VLOOKUP(C115,'[10]Part List รวมล่าสุดกว่า'!A:R,5,0)</f>
        <v>#N/A</v>
      </c>
      <c r="I115" s="48" t="e">
        <f>+VLOOKUP(C115,'[10]Part List รวมล่าสุดกว่า'!A:R,9,0)</f>
        <v>#N/A</v>
      </c>
      <c r="J115" s="49" t="e">
        <f>+VLOOKUP(C115,'[10]Part List รวมล่าสุดกว่า'!A:R,10,0)</f>
        <v>#N/A</v>
      </c>
      <c r="K115" s="49" t="e">
        <f>+VLOOKUP(C115,'[10]Part List รวมล่าสุดกว่า'!A:R,11,0)</f>
        <v>#N/A</v>
      </c>
      <c r="L115" s="49" t="e">
        <f>+VLOOKUP(C115,'[10]Part List รวมล่าสุดกว่า'!A:R,12,0)</f>
        <v>#N/A</v>
      </c>
      <c r="M115" s="50" t="e">
        <f>+VLOOKUP(C115,[10]Forecast!F:V,6,0)</f>
        <v>#N/A</v>
      </c>
      <c r="N115" s="50" t="e">
        <f>+VLOOKUP(C115,[10]Forecast!F:V,8,0)</f>
        <v>#N/A</v>
      </c>
      <c r="O115" s="50" t="e">
        <f>+VLOOKUP(C115,[10]Forecast!F:V,10,0)</f>
        <v>#N/A</v>
      </c>
      <c r="P115" s="50" t="e">
        <f>+VLOOKUP(C115,[10]Forecast!F:V,12,0)</f>
        <v>#N/A</v>
      </c>
      <c r="Q115" s="50" t="e">
        <f>+VLOOKUP(C115,[10]Forecast!F:V,14,0)</f>
        <v>#N/A</v>
      </c>
      <c r="R115" s="50" t="e">
        <f>+VLOOKUP(C115,[10]Forecast!F:V,16,0)</f>
        <v>#N/A</v>
      </c>
      <c r="S115" s="51" t="s">
        <v>25</v>
      </c>
      <c r="T115" s="52"/>
    </row>
    <row r="116" spans="1:34" s="53" customFormat="1" ht="21" hidden="1" customHeight="1">
      <c r="A116" s="34"/>
      <c r="B116" s="43">
        <f t="shared" si="1"/>
        <v>106</v>
      </c>
      <c r="C116" s="44"/>
      <c r="D116" s="45" t="e">
        <f>+VLOOKUP(C116,'[10]Part List รวมล่าสุดกว่า'!A:R,3,0)</f>
        <v>#N/A</v>
      </c>
      <c r="E116" s="46" t="s">
        <v>24</v>
      </c>
      <c r="F116" s="45" t="e">
        <f>+VLOOKUP(C116,'[10]Part List รวมล่าสุดกว่า'!A:R,4,0)</f>
        <v>#N/A</v>
      </c>
      <c r="G116" s="46" t="s">
        <v>24</v>
      </c>
      <c r="H116" s="47" t="e">
        <f>+VLOOKUP(C116,'[10]Part List รวมล่าสุดกว่า'!A:R,5,0)</f>
        <v>#N/A</v>
      </c>
      <c r="I116" s="48" t="e">
        <f>+VLOOKUP(C116,'[10]Part List รวมล่าสุดกว่า'!A:R,9,0)</f>
        <v>#N/A</v>
      </c>
      <c r="J116" s="49" t="e">
        <f>+VLOOKUP(C116,'[10]Part List รวมล่าสุดกว่า'!A:R,10,0)</f>
        <v>#N/A</v>
      </c>
      <c r="K116" s="49" t="e">
        <f>+VLOOKUP(C116,'[10]Part List รวมล่าสุดกว่า'!A:R,11,0)</f>
        <v>#N/A</v>
      </c>
      <c r="L116" s="49" t="e">
        <f>+VLOOKUP(C116,'[10]Part List รวมล่าสุดกว่า'!A:R,12,0)</f>
        <v>#N/A</v>
      </c>
      <c r="M116" s="50" t="e">
        <f>+VLOOKUP(C116,[10]Forecast!F:V,6,0)</f>
        <v>#N/A</v>
      </c>
      <c r="N116" s="50" t="e">
        <f>+VLOOKUP(C116,[10]Forecast!F:V,8,0)</f>
        <v>#N/A</v>
      </c>
      <c r="O116" s="50" t="e">
        <f>+VLOOKUP(C116,[10]Forecast!F:V,10,0)</f>
        <v>#N/A</v>
      </c>
      <c r="P116" s="50" t="e">
        <f>+VLOOKUP(C116,[10]Forecast!F:V,12,0)</f>
        <v>#N/A</v>
      </c>
      <c r="Q116" s="50" t="e">
        <f>+VLOOKUP(C116,[10]Forecast!F:V,14,0)</f>
        <v>#N/A</v>
      </c>
      <c r="R116" s="50" t="e">
        <f>+VLOOKUP(C116,[10]Forecast!F:V,16,0)</f>
        <v>#N/A</v>
      </c>
      <c r="S116" s="51" t="s">
        <v>25</v>
      </c>
      <c r="T116" s="52"/>
    </row>
    <row r="117" spans="1:34" s="53" customFormat="1" ht="15.75" hidden="1" customHeight="1">
      <c r="A117" s="34"/>
      <c r="B117" s="43">
        <f t="shared" si="1"/>
        <v>107</v>
      </c>
      <c r="C117" s="44"/>
      <c r="D117" s="45" t="e">
        <f>+VLOOKUP(C117,'[10]Part List รวมล่าสุดกว่า'!A:R,3,0)</f>
        <v>#N/A</v>
      </c>
      <c r="E117" s="46" t="s">
        <v>24</v>
      </c>
      <c r="F117" s="45" t="e">
        <f>+VLOOKUP(C117,'[10]Part List รวมล่าสุดกว่า'!A:R,4,0)</f>
        <v>#N/A</v>
      </c>
      <c r="G117" s="46" t="s">
        <v>24</v>
      </c>
      <c r="H117" s="47" t="e">
        <f>+VLOOKUP(C117,'[10]Part List รวมล่าสุดกว่า'!A:R,5,0)</f>
        <v>#N/A</v>
      </c>
      <c r="I117" s="48" t="e">
        <f>+VLOOKUP(C117,'[10]Part List รวมล่าสุดกว่า'!A:R,9,0)</f>
        <v>#N/A</v>
      </c>
      <c r="J117" s="49" t="e">
        <f>+VLOOKUP(C117,'[10]Part List รวมล่าสุดกว่า'!A:R,10,0)</f>
        <v>#N/A</v>
      </c>
      <c r="K117" s="49" t="e">
        <f>+VLOOKUP(C117,'[10]Part List รวมล่าสุดกว่า'!A:R,11,0)</f>
        <v>#N/A</v>
      </c>
      <c r="L117" s="49" t="e">
        <f>+VLOOKUP(C117,'[10]Part List รวมล่าสุดกว่า'!A:R,12,0)</f>
        <v>#N/A</v>
      </c>
      <c r="M117" s="50" t="e">
        <f>+VLOOKUP(C117,[10]Forecast!F:V,6,0)</f>
        <v>#N/A</v>
      </c>
      <c r="N117" s="50" t="e">
        <f>+VLOOKUP(C117,[10]Forecast!F:V,8,0)</f>
        <v>#N/A</v>
      </c>
      <c r="O117" s="50" t="e">
        <f>+VLOOKUP(C117,[10]Forecast!F:V,10,0)</f>
        <v>#N/A</v>
      </c>
      <c r="P117" s="50" t="e">
        <f>+VLOOKUP(C117,[10]Forecast!F:V,12,0)</f>
        <v>#N/A</v>
      </c>
      <c r="Q117" s="50" t="e">
        <f>+VLOOKUP(C117,[10]Forecast!F:V,14,0)</f>
        <v>#N/A</v>
      </c>
      <c r="R117" s="50" t="e">
        <f>+VLOOKUP(C117,[10]Forecast!F:V,16,0)</f>
        <v>#N/A</v>
      </c>
      <c r="S117" s="51" t="s">
        <v>25</v>
      </c>
      <c r="T117" s="52"/>
    </row>
    <row r="118" spans="1:34" s="56" customFormat="1" ht="15.75" hidden="1" customHeight="1">
      <c r="A118" s="34"/>
      <c r="B118" s="43">
        <f t="shared" si="1"/>
        <v>108</v>
      </c>
      <c r="C118" s="44"/>
      <c r="D118" s="45" t="e">
        <f>+VLOOKUP(C118,'[10]Part List รวมล่าสุดกว่า'!A:R,3,0)</f>
        <v>#N/A</v>
      </c>
      <c r="E118" s="46" t="s">
        <v>24</v>
      </c>
      <c r="F118" s="45" t="e">
        <f>+VLOOKUP(C118,'[10]Part List รวมล่าสุดกว่า'!A:R,4,0)</f>
        <v>#N/A</v>
      </c>
      <c r="G118" s="46" t="s">
        <v>24</v>
      </c>
      <c r="H118" s="47" t="e">
        <f>+VLOOKUP(C118,'[10]Part List รวมล่าสุดกว่า'!A:R,5,0)</f>
        <v>#N/A</v>
      </c>
      <c r="I118" s="48" t="e">
        <f>+VLOOKUP(C118,'[10]Part List รวมล่าสุดกว่า'!A:R,9,0)</f>
        <v>#N/A</v>
      </c>
      <c r="J118" s="49" t="e">
        <f>+VLOOKUP(C118,'[10]Part List รวมล่าสุดกว่า'!A:R,10,0)</f>
        <v>#N/A</v>
      </c>
      <c r="K118" s="49" t="e">
        <f>+VLOOKUP(C118,'[10]Part List รวมล่าสุดกว่า'!A:R,11,0)</f>
        <v>#N/A</v>
      </c>
      <c r="L118" s="49" t="e">
        <f>+VLOOKUP(C118,'[10]Part List รวมล่าสุดกว่า'!A:R,12,0)</f>
        <v>#N/A</v>
      </c>
      <c r="M118" s="50" t="e">
        <f>+VLOOKUP(C118,[10]Forecast!F:V,6,0)</f>
        <v>#N/A</v>
      </c>
      <c r="N118" s="50" t="e">
        <f>+VLOOKUP(C118,[10]Forecast!F:V,8,0)</f>
        <v>#N/A</v>
      </c>
      <c r="O118" s="50" t="e">
        <f>+VLOOKUP(C118,[10]Forecast!F:V,10,0)</f>
        <v>#N/A</v>
      </c>
      <c r="P118" s="50" t="e">
        <f>+VLOOKUP(C118,[10]Forecast!F:V,12,0)</f>
        <v>#N/A</v>
      </c>
      <c r="Q118" s="50" t="e">
        <f>+VLOOKUP(C118,[10]Forecast!F:V,14,0)</f>
        <v>#N/A</v>
      </c>
      <c r="R118" s="50" t="e">
        <f>+VLOOKUP(C118,[10]Forecast!F:V,16,0)</f>
        <v>#N/A</v>
      </c>
      <c r="S118" s="51" t="s">
        <v>25</v>
      </c>
      <c r="T118" s="52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</row>
    <row r="119" spans="1:34" s="53" customFormat="1" ht="21" hidden="1" customHeight="1">
      <c r="A119" s="34"/>
      <c r="B119" s="43">
        <f t="shared" si="1"/>
        <v>109</v>
      </c>
      <c r="C119" s="44"/>
      <c r="D119" s="45" t="e">
        <f>+VLOOKUP(C119,'[10]Part List รวมล่าสุดกว่า'!A:R,3,0)</f>
        <v>#N/A</v>
      </c>
      <c r="E119" s="46" t="s">
        <v>24</v>
      </c>
      <c r="F119" s="45" t="e">
        <f>+VLOOKUP(C119,'[10]Part List รวมล่าสุดกว่า'!A:R,4,0)</f>
        <v>#N/A</v>
      </c>
      <c r="G119" s="46" t="s">
        <v>24</v>
      </c>
      <c r="H119" s="47" t="e">
        <f>+VLOOKUP(C119,'[10]Part List รวมล่าสุดกว่า'!A:R,5,0)</f>
        <v>#N/A</v>
      </c>
      <c r="I119" s="48" t="e">
        <f>+VLOOKUP(C119,'[10]Part List รวมล่าสุดกว่า'!A:R,9,0)</f>
        <v>#N/A</v>
      </c>
      <c r="J119" s="49" t="e">
        <f>+VLOOKUP(C119,'[10]Part List รวมล่าสุดกว่า'!A:R,10,0)</f>
        <v>#N/A</v>
      </c>
      <c r="K119" s="49" t="e">
        <f>+VLOOKUP(C119,'[10]Part List รวมล่าสุดกว่า'!A:R,11,0)</f>
        <v>#N/A</v>
      </c>
      <c r="L119" s="49" t="e">
        <f>+VLOOKUP(C119,'[10]Part List รวมล่าสุดกว่า'!A:R,12,0)</f>
        <v>#N/A</v>
      </c>
      <c r="M119" s="50" t="e">
        <f>+VLOOKUP(C119,[10]Forecast!F:V,6,0)</f>
        <v>#N/A</v>
      </c>
      <c r="N119" s="50" t="e">
        <f>+VLOOKUP(C119,[10]Forecast!F:V,8,0)</f>
        <v>#N/A</v>
      </c>
      <c r="O119" s="50" t="e">
        <f>+VLOOKUP(C119,[10]Forecast!F:V,10,0)</f>
        <v>#N/A</v>
      </c>
      <c r="P119" s="50" t="e">
        <f>+VLOOKUP(C119,[10]Forecast!F:V,12,0)</f>
        <v>#N/A</v>
      </c>
      <c r="Q119" s="50" t="e">
        <f>+VLOOKUP(C119,[10]Forecast!F:V,14,0)</f>
        <v>#N/A</v>
      </c>
      <c r="R119" s="50" t="e">
        <f>+VLOOKUP(C119,[10]Forecast!F:V,16,0)</f>
        <v>#N/A</v>
      </c>
      <c r="S119" s="51" t="s">
        <v>25</v>
      </c>
      <c r="T119" s="52"/>
    </row>
    <row r="120" spans="1:34" s="53" customFormat="1" ht="21" hidden="1" customHeight="1">
      <c r="A120" s="34"/>
      <c r="B120" s="43">
        <f t="shared" si="1"/>
        <v>110</v>
      </c>
      <c r="C120" s="44"/>
      <c r="D120" s="45" t="e">
        <f>+VLOOKUP(C120,'[10]Part List รวมล่าสุดกว่า'!A:R,3,0)</f>
        <v>#N/A</v>
      </c>
      <c r="E120" s="46" t="s">
        <v>24</v>
      </c>
      <c r="F120" s="45" t="e">
        <f>+VLOOKUP(C120,'[10]Part List รวมล่าสุดกว่า'!A:R,4,0)</f>
        <v>#N/A</v>
      </c>
      <c r="G120" s="46" t="s">
        <v>24</v>
      </c>
      <c r="H120" s="47" t="e">
        <f>+VLOOKUP(C120,'[10]Part List รวมล่าสุดกว่า'!A:R,5,0)</f>
        <v>#N/A</v>
      </c>
      <c r="I120" s="48" t="e">
        <f>+VLOOKUP(C120,'[10]Part List รวมล่าสุดกว่า'!A:R,9,0)</f>
        <v>#N/A</v>
      </c>
      <c r="J120" s="49" t="e">
        <f>+VLOOKUP(C120,'[10]Part List รวมล่าสุดกว่า'!A:R,10,0)</f>
        <v>#N/A</v>
      </c>
      <c r="K120" s="49" t="e">
        <f>+VLOOKUP(C120,'[10]Part List รวมล่าสุดกว่า'!A:R,11,0)</f>
        <v>#N/A</v>
      </c>
      <c r="L120" s="49" t="e">
        <f>+VLOOKUP(C120,'[10]Part List รวมล่าสุดกว่า'!A:R,12,0)</f>
        <v>#N/A</v>
      </c>
      <c r="M120" s="50" t="e">
        <f>+VLOOKUP(C120,[10]Forecast!F:V,6,0)</f>
        <v>#N/A</v>
      </c>
      <c r="N120" s="50" t="e">
        <f>+VLOOKUP(C120,[10]Forecast!F:V,8,0)</f>
        <v>#N/A</v>
      </c>
      <c r="O120" s="50" t="e">
        <f>+VLOOKUP(C120,[10]Forecast!F:V,10,0)</f>
        <v>#N/A</v>
      </c>
      <c r="P120" s="50" t="e">
        <f>+VLOOKUP(C120,[10]Forecast!F:V,12,0)</f>
        <v>#N/A</v>
      </c>
      <c r="Q120" s="50" t="e">
        <f>+VLOOKUP(C120,[10]Forecast!F:V,14,0)</f>
        <v>#N/A</v>
      </c>
      <c r="R120" s="50" t="e">
        <f>+VLOOKUP(C120,[10]Forecast!F:V,16,0)</f>
        <v>#N/A</v>
      </c>
      <c r="S120" s="51" t="s">
        <v>25</v>
      </c>
      <c r="T120" s="52"/>
    </row>
    <row r="121" spans="1:34" s="53" customFormat="1" ht="21" hidden="1" customHeight="1">
      <c r="A121" s="34"/>
      <c r="B121" s="43">
        <f t="shared" si="1"/>
        <v>111</v>
      </c>
      <c r="C121" s="44"/>
      <c r="D121" s="45" t="e">
        <f>+VLOOKUP(C121,'[10]Part List รวมล่าสุดกว่า'!A:R,3,0)</f>
        <v>#N/A</v>
      </c>
      <c r="E121" s="46" t="s">
        <v>24</v>
      </c>
      <c r="F121" s="45" t="e">
        <f>+VLOOKUP(C121,'[10]Part List รวมล่าสุดกว่า'!A:R,4,0)</f>
        <v>#N/A</v>
      </c>
      <c r="G121" s="46" t="s">
        <v>24</v>
      </c>
      <c r="H121" s="47" t="e">
        <f>+VLOOKUP(C121,'[10]Part List รวมล่าสุดกว่า'!A:R,5,0)</f>
        <v>#N/A</v>
      </c>
      <c r="I121" s="48" t="e">
        <f>+VLOOKUP(C121,'[10]Part List รวมล่าสุดกว่า'!A:R,9,0)</f>
        <v>#N/A</v>
      </c>
      <c r="J121" s="49" t="e">
        <f>+VLOOKUP(C121,'[10]Part List รวมล่าสุดกว่า'!A:R,10,0)</f>
        <v>#N/A</v>
      </c>
      <c r="K121" s="49" t="e">
        <f>+VLOOKUP(C121,'[10]Part List รวมล่าสุดกว่า'!A:R,11,0)</f>
        <v>#N/A</v>
      </c>
      <c r="L121" s="49" t="e">
        <f>+VLOOKUP(C121,'[10]Part List รวมล่าสุดกว่า'!A:R,12,0)</f>
        <v>#N/A</v>
      </c>
      <c r="M121" s="50" t="e">
        <f>+VLOOKUP(C121,[10]Forecast!F:V,6,0)</f>
        <v>#N/A</v>
      </c>
      <c r="N121" s="50" t="e">
        <f>+VLOOKUP(C121,[10]Forecast!F:V,8,0)</f>
        <v>#N/A</v>
      </c>
      <c r="O121" s="50" t="e">
        <f>+VLOOKUP(C121,[10]Forecast!F:V,10,0)</f>
        <v>#N/A</v>
      </c>
      <c r="P121" s="50" t="e">
        <f>+VLOOKUP(C121,[10]Forecast!F:V,12,0)</f>
        <v>#N/A</v>
      </c>
      <c r="Q121" s="50" t="e">
        <f>+VLOOKUP(C121,[10]Forecast!F:V,14,0)</f>
        <v>#N/A</v>
      </c>
      <c r="R121" s="50" t="e">
        <f>+VLOOKUP(C121,[10]Forecast!F:V,16,0)</f>
        <v>#N/A</v>
      </c>
      <c r="S121" s="51" t="s">
        <v>25</v>
      </c>
      <c r="T121" s="52"/>
    </row>
    <row r="122" spans="1:34" s="53" customFormat="1" ht="21" hidden="1" customHeight="1">
      <c r="A122" s="34"/>
      <c r="B122" s="43">
        <f t="shared" si="1"/>
        <v>112</v>
      </c>
      <c r="C122" s="44"/>
      <c r="D122" s="45" t="e">
        <f>+VLOOKUP(C122,'[10]Part List รวมล่าสุดกว่า'!A:R,3,0)</f>
        <v>#N/A</v>
      </c>
      <c r="E122" s="46" t="s">
        <v>24</v>
      </c>
      <c r="F122" s="45" t="e">
        <f>+VLOOKUP(C122,'[10]Part List รวมล่าสุดกว่า'!A:R,4,0)</f>
        <v>#N/A</v>
      </c>
      <c r="G122" s="46" t="s">
        <v>24</v>
      </c>
      <c r="H122" s="47" t="e">
        <f>+VLOOKUP(C122,'[10]Part List รวมล่าสุดกว่า'!A:R,5,0)</f>
        <v>#N/A</v>
      </c>
      <c r="I122" s="48" t="e">
        <f>+VLOOKUP(C122,'[10]Part List รวมล่าสุดกว่า'!A:R,9,0)</f>
        <v>#N/A</v>
      </c>
      <c r="J122" s="49" t="e">
        <f>+VLOOKUP(C122,'[10]Part List รวมล่าสุดกว่า'!A:R,10,0)</f>
        <v>#N/A</v>
      </c>
      <c r="K122" s="49" t="e">
        <f>+VLOOKUP(C122,'[10]Part List รวมล่าสุดกว่า'!A:R,11,0)</f>
        <v>#N/A</v>
      </c>
      <c r="L122" s="49" t="e">
        <f>+VLOOKUP(C122,'[10]Part List รวมล่าสุดกว่า'!A:R,12,0)</f>
        <v>#N/A</v>
      </c>
      <c r="M122" s="50" t="e">
        <f>+VLOOKUP(C122,[10]Forecast!F:V,6,0)</f>
        <v>#N/A</v>
      </c>
      <c r="N122" s="50" t="e">
        <f>+VLOOKUP(C122,[10]Forecast!F:V,8,0)</f>
        <v>#N/A</v>
      </c>
      <c r="O122" s="50" t="e">
        <f>+VLOOKUP(C122,[10]Forecast!F:V,10,0)</f>
        <v>#N/A</v>
      </c>
      <c r="P122" s="50" t="e">
        <f>+VLOOKUP(C122,[10]Forecast!F:V,12,0)</f>
        <v>#N/A</v>
      </c>
      <c r="Q122" s="50" t="e">
        <f>+VLOOKUP(C122,[10]Forecast!F:V,14,0)</f>
        <v>#N/A</v>
      </c>
      <c r="R122" s="50" t="e">
        <f>+VLOOKUP(C122,[10]Forecast!F:V,16,0)</f>
        <v>#N/A</v>
      </c>
      <c r="S122" s="51" t="s">
        <v>25</v>
      </c>
      <c r="T122" s="52"/>
    </row>
    <row r="123" spans="1:34" s="53" customFormat="1" ht="21" hidden="1" customHeight="1">
      <c r="A123" s="34"/>
      <c r="B123" s="43">
        <f t="shared" si="1"/>
        <v>113</v>
      </c>
      <c r="C123" s="44"/>
      <c r="D123" s="45" t="e">
        <f>+VLOOKUP(C123,'[10]Part List รวมล่าสุดกว่า'!A:R,3,0)</f>
        <v>#N/A</v>
      </c>
      <c r="E123" s="46" t="s">
        <v>24</v>
      </c>
      <c r="F123" s="45" t="e">
        <f>+VLOOKUP(C123,'[10]Part List รวมล่าสุดกว่า'!A:R,4,0)</f>
        <v>#N/A</v>
      </c>
      <c r="G123" s="46" t="s">
        <v>24</v>
      </c>
      <c r="H123" s="47" t="e">
        <f>+VLOOKUP(C123,'[10]Part List รวมล่าสุดกว่า'!A:R,5,0)</f>
        <v>#N/A</v>
      </c>
      <c r="I123" s="48" t="e">
        <f>+VLOOKUP(C123,'[10]Part List รวมล่าสุดกว่า'!A:R,9,0)</f>
        <v>#N/A</v>
      </c>
      <c r="J123" s="49" t="e">
        <f>+VLOOKUP(C123,'[10]Part List รวมล่าสุดกว่า'!A:R,10,0)</f>
        <v>#N/A</v>
      </c>
      <c r="K123" s="49" t="e">
        <f>+VLOOKUP(C123,'[10]Part List รวมล่าสุดกว่า'!A:R,11,0)</f>
        <v>#N/A</v>
      </c>
      <c r="L123" s="49" t="e">
        <f>+VLOOKUP(C123,'[10]Part List รวมล่าสุดกว่า'!A:R,12,0)</f>
        <v>#N/A</v>
      </c>
      <c r="M123" s="50" t="e">
        <f>+VLOOKUP(C123,[10]Forecast!F:V,6,0)</f>
        <v>#N/A</v>
      </c>
      <c r="N123" s="50" t="e">
        <f>+VLOOKUP(C123,[10]Forecast!F:V,8,0)</f>
        <v>#N/A</v>
      </c>
      <c r="O123" s="50" t="e">
        <f>+VLOOKUP(C123,[10]Forecast!F:V,10,0)</f>
        <v>#N/A</v>
      </c>
      <c r="P123" s="50" t="e">
        <f>+VLOOKUP(C123,[10]Forecast!F:V,12,0)</f>
        <v>#N/A</v>
      </c>
      <c r="Q123" s="50" t="e">
        <f>+VLOOKUP(C123,[10]Forecast!F:V,14,0)</f>
        <v>#N/A</v>
      </c>
      <c r="R123" s="50" t="e">
        <f>+VLOOKUP(C123,[10]Forecast!F:V,16,0)</f>
        <v>#N/A</v>
      </c>
      <c r="S123" s="51" t="s">
        <v>25</v>
      </c>
      <c r="T123" s="52"/>
    </row>
    <row r="124" spans="1:34" s="53" customFormat="1" ht="21" hidden="1" customHeight="1">
      <c r="A124" s="34"/>
      <c r="B124" s="43">
        <f t="shared" si="1"/>
        <v>114</v>
      </c>
      <c r="C124" s="44"/>
      <c r="D124" s="45" t="e">
        <f>+VLOOKUP(C124,'[10]Part List รวมล่าสุดกว่า'!A:R,3,0)</f>
        <v>#N/A</v>
      </c>
      <c r="E124" s="46" t="s">
        <v>24</v>
      </c>
      <c r="F124" s="45" t="e">
        <f>+VLOOKUP(C124,'[10]Part List รวมล่าสุดกว่า'!A:R,4,0)</f>
        <v>#N/A</v>
      </c>
      <c r="G124" s="46" t="s">
        <v>24</v>
      </c>
      <c r="H124" s="47" t="e">
        <f>+VLOOKUP(C124,'[10]Part List รวมล่าสุดกว่า'!A:R,5,0)</f>
        <v>#N/A</v>
      </c>
      <c r="I124" s="48" t="e">
        <f>+VLOOKUP(C124,'[10]Part List รวมล่าสุดกว่า'!A:R,9,0)</f>
        <v>#N/A</v>
      </c>
      <c r="J124" s="49" t="e">
        <f>+VLOOKUP(C124,'[10]Part List รวมล่าสุดกว่า'!A:R,10,0)</f>
        <v>#N/A</v>
      </c>
      <c r="K124" s="49" t="e">
        <f>+VLOOKUP(C124,'[10]Part List รวมล่าสุดกว่า'!A:R,11,0)</f>
        <v>#N/A</v>
      </c>
      <c r="L124" s="49" t="e">
        <f>+VLOOKUP(C124,'[10]Part List รวมล่าสุดกว่า'!A:R,12,0)</f>
        <v>#N/A</v>
      </c>
      <c r="M124" s="50" t="e">
        <f>+VLOOKUP(C124,[10]Forecast!F:V,6,0)</f>
        <v>#N/A</v>
      </c>
      <c r="N124" s="50" t="e">
        <f>+VLOOKUP(C124,[10]Forecast!F:V,8,0)</f>
        <v>#N/A</v>
      </c>
      <c r="O124" s="50" t="e">
        <f>+VLOOKUP(C124,[10]Forecast!F:V,10,0)</f>
        <v>#N/A</v>
      </c>
      <c r="P124" s="50" t="e">
        <f>+VLOOKUP(C124,[10]Forecast!F:V,12,0)</f>
        <v>#N/A</v>
      </c>
      <c r="Q124" s="50" t="e">
        <f>+VLOOKUP(C124,[10]Forecast!F:V,14,0)</f>
        <v>#N/A</v>
      </c>
      <c r="R124" s="50" t="e">
        <f>+VLOOKUP(C124,[10]Forecast!F:V,16,0)</f>
        <v>#N/A</v>
      </c>
      <c r="S124" s="51" t="s">
        <v>25</v>
      </c>
      <c r="T124" s="52"/>
    </row>
    <row r="125" spans="1:34" s="53" customFormat="1" ht="21" hidden="1" customHeight="1">
      <c r="A125" s="34"/>
      <c r="B125" s="43">
        <f t="shared" si="1"/>
        <v>115</v>
      </c>
      <c r="C125" s="44"/>
      <c r="D125" s="45" t="e">
        <f>+VLOOKUP(C125,'[10]Part List รวมล่าสุดกว่า'!A:R,3,0)</f>
        <v>#N/A</v>
      </c>
      <c r="E125" s="46" t="s">
        <v>24</v>
      </c>
      <c r="F125" s="45" t="e">
        <f>+VLOOKUP(C125,'[10]Part List รวมล่าสุดกว่า'!A:R,4,0)</f>
        <v>#N/A</v>
      </c>
      <c r="G125" s="46" t="s">
        <v>24</v>
      </c>
      <c r="H125" s="47" t="e">
        <f>+VLOOKUP(C125,'[10]Part List รวมล่าสุดกว่า'!A:R,5,0)</f>
        <v>#N/A</v>
      </c>
      <c r="I125" s="48" t="e">
        <f>+VLOOKUP(C125,'[10]Part List รวมล่าสุดกว่า'!A:R,9,0)</f>
        <v>#N/A</v>
      </c>
      <c r="J125" s="49" t="e">
        <f>+VLOOKUP(C125,'[10]Part List รวมล่าสุดกว่า'!A:R,10,0)</f>
        <v>#N/A</v>
      </c>
      <c r="K125" s="49" t="e">
        <f>+VLOOKUP(C125,'[10]Part List รวมล่าสุดกว่า'!A:R,11,0)</f>
        <v>#N/A</v>
      </c>
      <c r="L125" s="49" t="e">
        <f>+VLOOKUP(C125,'[10]Part List รวมล่าสุดกว่า'!A:R,12,0)</f>
        <v>#N/A</v>
      </c>
      <c r="M125" s="50" t="e">
        <f>+VLOOKUP(C125,[10]Forecast!F:V,6,0)</f>
        <v>#N/A</v>
      </c>
      <c r="N125" s="50" t="e">
        <f>+VLOOKUP(C125,[10]Forecast!F:V,8,0)</f>
        <v>#N/A</v>
      </c>
      <c r="O125" s="50" t="e">
        <f>+VLOOKUP(C125,[10]Forecast!F:V,10,0)</f>
        <v>#N/A</v>
      </c>
      <c r="P125" s="50" t="e">
        <f>+VLOOKUP(C125,[10]Forecast!F:V,12,0)</f>
        <v>#N/A</v>
      </c>
      <c r="Q125" s="50" t="e">
        <f>+VLOOKUP(C125,[10]Forecast!F:V,14,0)</f>
        <v>#N/A</v>
      </c>
      <c r="R125" s="50" t="e">
        <f>+VLOOKUP(C125,[10]Forecast!F:V,16,0)</f>
        <v>#N/A</v>
      </c>
      <c r="S125" s="51" t="s">
        <v>25</v>
      </c>
      <c r="T125" s="52"/>
    </row>
    <row r="126" spans="1:34" s="53" customFormat="1" ht="21" hidden="1" customHeight="1">
      <c r="A126" s="34"/>
      <c r="B126" s="43">
        <f t="shared" si="1"/>
        <v>116</v>
      </c>
      <c r="C126" s="44"/>
      <c r="D126" s="45" t="e">
        <f>+VLOOKUP(C126,'[10]Part List รวมล่าสุดกว่า'!A:R,3,0)</f>
        <v>#N/A</v>
      </c>
      <c r="E126" s="46" t="s">
        <v>24</v>
      </c>
      <c r="F126" s="45" t="e">
        <f>+VLOOKUP(C126,'[10]Part List รวมล่าสุดกว่า'!A:R,4,0)</f>
        <v>#N/A</v>
      </c>
      <c r="G126" s="46" t="s">
        <v>24</v>
      </c>
      <c r="H126" s="47" t="e">
        <f>+VLOOKUP(C126,'[10]Part List รวมล่าสุดกว่า'!A:R,5,0)</f>
        <v>#N/A</v>
      </c>
      <c r="I126" s="48" t="e">
        <f>+VLOOKUP(C126,'[10]Part List รวมล่าสุดกว่า'!A:R,9,0)</f>
        <v>#N/A</v>
      </c>
      <c r="J126" s="49" t="e">
        <f>+VLOOKUP(C126,'[10]Part List รวมล่าสุดกว่า'!A:R,10,0)</f>
        <v>#N/A</v>
      </c>
      <c r="K126" s="49" t="e">
        <f>+VLOOKUP(C126,'[10]Part List รวมล่าสุดกว่า'!A:R,11,0)</f>
        <v>#N/A</v>
      </c>
      <c r="L126" s="49" t="e">
        <f>+VLOOKUP(C126,'[10]Part List รวมล่าสุดกว่า'!A:R,12,0)</f>
        <v>#N/A</v>
      </c>
      <c r="M126" s="50" t="e">
        <f>+VLOOKUP(C126,[10]Forecast!F:V,6,0)</f>
        <v>#N/A</v>
      </c>
      <c r="N126" s="50" t="e">
        <f>+VLOOKUP(C126,[10]Forecast!F:V,8,0)</f>
        <v>#N/A</v>
      </c>
      <c r="O126" s="50" t="e">
        <f>+VLOOKUP(C126,[10]Forecast!F:V,10,0)</f>
        <v>#N/A</v>
      </c>
      <c r="P126" s="50" t="e">
        <f>+VLOOKUP(C126,[10]Forecast!F:V,12,0)</f>
        <v>#N/A</v>
      </c>
      <c r="Q126" s="50" t="e">
        <f>+VLOOKUP(C126,[10]Forecast!F:V,14,0)</f>
        <v>#N/A</v>
      </c>
      <c r="R126" s="50" t="e">
        <f>+VLOOKUP(C126,[10]Forecast!F:V,16,0)</f>
        <v>#N/A</v>
      </c>
      <c r="S126" s="51" t="s">
        <v>25</v>
      </c>
      <c r="T126" s="52"/>
    </row>
    <row r="127" spans="1:34" s="53" customFormat="1" ht="21" hidden="1" customHeight="1">
      <c r="A127" s="34"/>
      <c r="B127" s="43">
        <f t="shared" si="1"/>
        <v>117</v>
      </c>
      <c r="C127" s="44"/>
      <c r="D127" s="45" t="e">
        <f>+VLOOKUP(C127,'[10]Part List รวมล่าสุดกว่า'!A:R,3,0)</f>
        <v>#N/A</v>
      </c>
      <c r="E127" s="46" t="s">
        <v>24</v>
      </c>
      <c r="F127" s="45" t="e">
        <f>+VLOOKUP(C127,'[10]Part List รวมล่าสุดกว่า'!A:R,4,0)</f>
        <v>#N/A</v>
      </c>
      <c r="G127" s="46" t="s">
        <v>24</v>
      </c>
      <c r="H127" s="47" t="e">
        <f>+VLOOKUP(C127,'[10]Part List รวมล่าสุดกว่า'!A:R,5,0)</f>
        <v>#N/A</v>
      </c>
      <c r="I127" s="48" t="e">
        <f>+VLOOKUP(C127,'[10]Part List รวมล่าสุดกว่า'!A:R,9,0)</f>
        <v>#N/A</v>
      </c>
      <c r="J127" s="49" t="e">
        <f>+VLOOKUP(C127,'[10]Part List รวมล่าสุดกว่า'!A:R,10,0)</f>
        <v>#N/A</v>
      </c>
      <c r="K127" s="49" t="e">
        <f>+VLOOKUP(C127,'[10]Part List รวมล่าสุดกว่า'!A:R,11,0)</f>
        <v>#N/A</v>
      </c>
      <c r="L127" s="49" t="e">
        <f>+VLOOKUP(C127,'[10]Part List รวมล่าสุดกว่า'!A:R,12,0)</f>
        <v>#N/A</v>
      </c>
      <c r="M127" s="50" t="e">
        <f>+VLOOKUP(C127,[10]Forecast!F:V,6,0)</f>
        <v>#N/A</v>
      </c>
      <c r="N127" s="50" t="e">
        <f>+VLOOKUP(C127,[10]Forecast!F:V,8,0)</f>
        <v>#N/A</v>
      </c>
      <c r="O127" s="50" t="e">
        <f>+VLOOKUP(C127,[10]Forecast!F:V,10,0)</f>
        <v>#N/A</v>
      </c>
      <c r="P127" s="50" t="e">
        <f>+VLOOKUP(C127,[10]Forecast!F:V,12,0)</f>
        <v>#N/A</v>
      </c>
      <c r="Q127" s="50" t="e">
        <f>+VLOOKUP(C127,[10]Forecast!F:V,14,0)</f>
        <v>#N/A</v>
      </c>
      <c r="R127" s="50" t="e">
        <f>+VLOOKUP(C127,[10]Forecast!F:V,16,0)</f>
        <v>#N/A</v>
      </c>
      <c r="S127" s="51" t="s">
        <v>25</v>
      </c>
      <c r="T127" s="52"/>
    </row>
    <row r="128" spans="1:34" s="53" customFormat="1" ht="21" hidden="1" customHeight="1">
      <c r="A128" s="34"/>
      <c r="B128" s="43">
        <f t="shared" si="1"/>
        <v>118</v>
      </c>
      <c r="C128" s="44"/>
      <c r="D128" s="45" t="e">
        <f>+VLOOKUP(C128,'[10]Part List รวมล่าสุดกว่า'!A:R,3,0)</f>
        <v>#N/A</v>
      </c>
      <c r="E128" s="46" t="s">
        <v>24</v>
      </c>
      <c r="F128" s="45" t="e">
        <f>+VLOOKUP(C128,'[10]Part List รวมล่าสุดกว่า'!A:R,4,0)</f>
        <v>#N/A</v>
      </c>
      <c r="G128" s="46" t="s">
        <v>24</v>
      </c>
      <c r="H128" s="47" t="e">
        <f>+VLOOKUP(C128,'[10]Part List รวมล่าสุดกว่า'!A:R,5,0)</f>
        <v>#N/A</v>
      </c>
      <c r="I128" s="48" t="e">
        <f>+VLOOKUP(C128,'[10]Part List รวมล่าสุดกว่า'!A:R,9,0)</f>
        <v>#N/A</v>
      </c>
      <c r="J128" s="49" t="e">
        <f>+VLOOKUP(C128,'[10]Part List รวมล่าสุดกว่า'!A:R,10,0)</f>
        <v>#N/A</v>
      </c>
      <c r="K128" s="49" t="e">
        <f>+VLOOKUP(C128,'[10]Part List รวมล่าสุดกว่า'!A:R,11,0)</f>
        <v>#N/A</v>
      </c>
      <c r="L128" s="49" t="e">
        <f>+VLOOKUP(C128,'[10]Part List รวมล่าสุดกว่า'!A:R,12,0)</f>
        <v>#N/A</v>
      </c>
      <c r="M128" s="50" t="e">
        <f>+VLOOKUP(C128,[10]Forecast!F:V,6,0)</f>
        <v>#N/A</v>
      </c>
      <c r="N128" s="50" t="e">
        <f>+VLOOKUP(C128,[10]Forecast!F:V,8,0)</f>
        <v>#N/A</v>
      </c>
      <c r="O128" s="50" t="e">
        <f>+VLOOKUP(C128,[10]Forecast!F:V,10,0)</f>
        <v>#N/A</v>
      </c>
      <c r="P128" s="50" t="e">
        <f>+VLOOKUP(C128,[10]Forecast!F:V,12,0)</f>
        <v>#N/A</v>
      </c>
      <c r="Q128" s="50" t="e">
        <f>+VLOOKUP(C128,[10]Forecast!F:V,14,0)</f>
        <v>#N/A</v>
      </c>
      <c r="R128" s="50" t="e">
        <f>+VLOOKUP(C128,[10]Forecast!F:V,16,0)</f>
        <v>#N/A</v>
      </c>
      <c r="S128" s="51" t="s">
        <v>25</v>
      </c>
      <c r="T128" s="52"/>
    </row>
    <row r="129" spans="1:20" s="53" customFormat="1" ht="21" hidden="1" customHeight="1">
      <c r="A129" s="34"/>
      <c r="B129" s="43">
        <f t="shared" si="1"/>
        <v>119</v>
      </c>
      <c r="C129" s="44"/>
      <c r="D129" s="45" t="e">
        <f>+VLOOKUP(C129,'[10]Part List รวมล่าสุดกว่า'!A:R,3,0)</f>
        <v>#N/A</v>
      </c>
      <c r="E129" s="46" t="s">
        <v>24</v>
      </c>
      <c r="F129" s="45" t="e">
        <f>+VLOOKUP(C129,'[10]Part List รวมล่าสุดกว่า'!A:R,4,0)</f>
        <v>#N/A</v>
      </c>
      <c r="G129" s="46" t="s">
        <v>24</v>
      </c>
      <c r="H129" s="47" t="e">
        <f>+VLOOKUP(C129,'[10]Part List รวมล่าสุดกว่า'!A:R,5,0)</f>
        <v>#N/A</v>
      </c>
      <c r="I129" s="48" t="e">
        <f>+VLOOKUP(C129,'[10]Part List รวมล่าสุดกว่า'!A:R,9,0)</f>
        <v>#N/A</v>
      </c>
      <c r="J129" s="49" t="e">
        <f>+VLOOKUP(C129,'[10]Part List รวมล่าสุดกว่า'!A:R,10,0)</f>
        <v>#N/A</v>
      </c>
      <c r="K129" s="49" t="e">
        <f>+VLOOKUP(C129,'[10]Part List รวมล่าสุดกว่า'!A:R,11,0)</f>
        <v>#N/A</v>
      </c>
      <c r="L129" s="49" t="e">
        <f>+VLOOKUP(C129,'[10]Part List รวมล่าสุดกว่า'!A:R,12,0)</f>
        <v>#N/A</v>
      </c>
      <c r="M129" s="50" t="e">
        <f>+VLOOKUP(C129,[10]Forecast!F:V,6,0)</f>
        <v>#N/A</v>
      </c>
      <c r="N129" s="50" t="e">
        <f>+VLOOKUP(C129,[10]Forecast!F:V,8,0)</f>
        <v>#N/A</v>
      </c>
      <c r="O129" s="50" t="e">
        <f>+VLOOKUP(C129,[10]Forecast!F:V,10,0)</f>
        <v>#N/A</v>
      </c>
      <c r="P129" s="50" t="e">
        <f>+VLOOKUP(C129,[10]Forecast!F:V,12,0)</f>
        <v>#N/A</v>
      </c>
      <c r="Q129" s="50" t="e">
        <f>+VLOOKUP(C129,[10]Forecast!F:V,14,0)</f>
        <v>#N/A</v>
      </c>
      <c r="R129" s="50" t="e">
        <f>+VLOOKUP(C129,[10]Forecast!F:V,16,0)</f>
        <v>#N/A</v>
      </c>
      <c r="S129" s="51" t="s">
        <v>25</v>
      </c>
      <c r="T129" s="52"/>
    </row>
    <row r="130" spans="1:20" s="53" customFormat="1" ht="21" hidden="1" customHeight="1">
      <c r="A130" s="34"/>
      <c r="B130" s="43">
        <f t="shared" si="1"/>
        <v>120</v>
      </c>
      <c r="C130" s="44"/>
      <c r="D130" s="45" t="e">
        <f>+VLOOKUP(C130,'[10]Part List รวมล่าสุดกว่า'!A:R,3,0)</f>
        <v>#N/A</v>
      </c>
      <c r="E130" s="46" t="s">
        <v>24</v>
      </c>
      <c r="F130" s="45" t="e">
        <f>+VLOOKUP(C130,'[10]Part List รวมล่าสุดกว่า'!A:R,4,0)</f>
        <v>#N/A</v>
      </c>
      <c r="G130" s="46" t="s">
        <v>24</v>
      </c>
      <c r="H130" s="47" t="e">
        <f>+VLOOKUP(C130,'[10]Part List รวมล่าสุดกว่า'!A:R,5,0)</f>
        <v>#N/A</v>
      </c>
      <c r="I130" s="48" t="e">
        <f>+VLOOKUP(C130,'[10]Part List รวมล่าสุดกว่า'!A:R,9,0)</f>
        <v>#N/A</v>
      </c>
      <c r="J130" s="49" t="e">
        <f>+VLOOKUP(C130,'[10]Part List รวมล่าสุดกว่า'!A:R,10,0)</f>
        <v>#N/A</v>
      </c>
      <c r="K130" s="49" t="e">
        <f>+VLOOKUP(C130,'[10]Part List รวมล่าสุดกว่า'!A:R,11,0)</f>
        <v>#N/A</v>
      </c>
      <c r="L130" s="49" t="e">
        <f>+VLOOKUP(C130,'[10]Part List รวมล่าสุดกว่า'!A:R,12,0)</f>
        <v>#N/A</v>
      </c>
      <c r="M130" s="50" t="e">
        <f>+VLOOKUP(C130,[10]Forecast!F:V,6,0)</f>
        <v>#N/A</v>
      </c>
      <c r="N130" s="50" t="e">
        <f>+VLOOKUP(C130,[10]Forecast!F:V,8,0)</f>
        <v>#N/A</v>
      </c>
      <c r="O130" s="50" t="e">
        <f>+VLOOKUP(C130,[10]Forecast!F:V,10,0)</f>
        <v>#N/A</v>
      </c>
      <c r="P130" s="50" t="e">
        <f>+VLOOKUP(C130,[10]Forecast!F:V,12,0)</f>
        <v>#N/A</v>
      </c>
      <c r="Q130" s="50" t="e">
        <f>+VLOOKUP(C130,[10]Forecast!F:V,14,0)</f>
        <v>#N/A</v>
      </c>
      <c r="R130" s="50" t="e">
        <f>+VLOOKUP(C130,[10]Forecast!F:V,16,0)</f>
        <v>#N/A</v>
      </c>
      <c r="S130" s="51" t="s">
        <v>25</v>
      </c>
      <c r="T130" s="52"/>
    </row>
    <row r="131" spans="1:20" s="53" customFormat="1" ht="21" hidden="1" customHeight="1">
      <c r="A131" s="34"/>
      <c r="B131" s="43">
        <f t="shared" si="1"/>
        <v>121</v>
      </c>
      <c r="C131" s="44"/>
      <c r="D131" s="45" t="e">
        <f>+VLOOKUP(C131,'[10]Part List รวมล่าสุดกว่า'!A:R,3,0)</f>
        <v>#N/A</v>
      </c>
      <c r="E131" s="46" t="s">
        <v>24</v>
      </c>
      <c r="F131" s="45" t="e">
        <f>+VLOOKUP(C131,'[10]Part List รวมล่าสุดกว่า'!A:R,4,0)</f>
        <v>#N/A</v>
      </c>
      <c r="G131" s="46" t="s">
        <v>24</v>
      </c>
      <c r="H131" s="47" t="e">
        <f>+VLOOKUP(C131,'[10]Part List รวมล่าสุดกว่า'!A:R,5,0)</f>
        <v>#N/A</v>
      </c>
      <c r="I131" s="48" t="e">
        <f>+VLOOKUP(C131,'[10]Part List รวมล่าสุดกว่า'!A:R,9,0)</f>
        <v>#N/A</v>
      </c>
      <c r="J131" s="49" t="e">
        <f>+VLOOKUP(C131,'[10]Part List รวมล่าสุดกว่า'!A:R,10,0)</f>
        <v>#N/A</v>
      </c>
      <c r="K131" s="49" t="e">
        <f>+VLOOKUP(C131,'[10]Part List รวมล่าสุดกว่า'!A:R,11,0)</f>
        <v>#N/A</v>
      </c>
      <c r="L131" s="49" t="e">
        <f>+VLOOKUP(C131,'[10]Part List รวมล่าสุดกว่า'!A:R,12,0)</f>
        <v>#N/A</v>
      </c>
      <c r="M131" s="50" t="e">
        <f>+VLOOKUP(C131,[10]Forecast!F:V,6,0)</f>
        <v>#N/A</v>
      </c>
      <c r="N131" s="50" t="e">
        <f>+VLOOKUP(C131,[10]Forecast!F:V,8,0)</f>
        <v>#N/A</v>
      </c>
      <c r="O131" s="50" t="e">
        <f>+VLOOKUP(C131,[10]Forecast!F:V,10,0)</f>
        <v>#N/A</v>
      </c>
      <c r="P131" s="50" t="e">
        <f>+VLOOKUP(C131,[10]Forecast!F:V,12,0)</f>
        <v>#N/A</v>
      </c>
      <c r="Q131" s="50" t="e">
        <f>+VLOOKUP(C131,[10]Forecast!F:V,14,0)</f>
        <v>#N/A</v>
      </c>
      <c r="R131" s="50" t="e">
        <f>+VLOOKUP(C131,[10]Forecast!F:V,16,0)</f>
        <v>#N/A</v>
      </c>
      <c r="S131" s="51" t="s">
        <v>25</v>
      </c>
      <c r="T131" s="52"/>
    </row>
    <row r="132" spans="1:20" s="53" customFormat="1" ht="21" hidden="1" customHeight="1">
      <c r="A132" s="34"/>
      <c r="B132" s="43">
        <f t="shared" si="1"/>
        <v>122</v>
      </c>
      <c r="C132" s="44"/>
      <c r="D132" s="45" t="e">
        <f>+VLOOKUP(C132,'[10]Part List รวมล่าสุดกว่า'!A:R,3,0)</f>
        <v>#N/A</v>
      </c>
      <c r="E132" s="46" t="s">
        <v>24</v>
      </c>
      <c r="F132" s="45" t="e">
        <f>+VLOOKUP(C132,'[10]Part List รวมล่าสุดกว่า'!A:R,4,0)</f>
        <v>#N/A</v>
      </c>
      <c r="G132" s="46" t="s">
        <v>24</v>
      </c>
      <c r="H132" s="47" t="e">
        <f>+VLOOKUP(C132,'[10]Part List รวมล่าสุดกว่า'!A:R,5,0)</f>
        <v>#N/A</v>
      </c>
      <c r="I132" s="48" t="e">
        <f>+VLOOKUP(C132,'[10]Part List รวมล่าสุดกว่า'!A:R,9,0)</f>
        <v>#N/A</v>
      </c>
      <c r="J132" s="49" t="e">
        <f>+VLOOKUP(C132,'[10]Part List รวมล่าสุดกว่า'!A:R,10,0)</f>
        <v>#N/A</v>
      </c>
      <c r="K132" s="49" t="e">
        <f>+VLOOKUP(C132,'[10]Part List รวมล่าสุดกว่า'!A:R,11,0)</f>
        <v>#N/A</v>
      </c>
      <c r="L132" s="49" t="e">
        <f>+VLOOKUP(C132,'[10]Part List รวมล่าสุดกว่า'!A:R,12,0)</f>
        <v>#N/A</v>
      </c>
      <c r="M132" s="50" t="e">
        <f>+VLOOKUP(C132,[10]Forecast!F:V,6,0)</f>
        <v>#N/A</v>
      </c>
      <c r="N132" s="50" t="e">
        <f>+VLOOKUP(C132,[10]Forecast!F:V,8,0)</f>
        <v>#N/A</v>
      </c>
      <c r="O132" s="50" t="e">
        <f>+VLOOKUP(C132,[10]Forecast!F:V,10,0)</f>
        <v>#N/A</v>
      </c>
      <c r="P132" s="50" t="e">
        <f>+VLOOKUP(C132,[10]Forecast!F:V,12,0)</f>
        <v>#N/A</v>
      </c>
      <c r="Q132" s="50" t="e">
        <f>+VLOOKUP(C132,[10]Forecast!F:V,14,0)</f>
        <v>#N/A</v>
      </c>
      <c r="R132" s="50" t="e">
        <f>+VLOOKUP(C132,[10]Forecast!F:V,16,0)</f>
        <v>#N/A</v>
      </c>
      <c r="S132" s="51" t="s">
        <v>25</v>
      </c>
      <c r="T132" s="52"/>
    </row>
    <row r="133" spans="1:20" s="53" customFormat="1" ht="21" hidden="1" customHeight="1">
      <c r="A133" s="34"/>
      <c r="B133" s="43">
        <f t="shared" si="1"/>
        <v>123</v>
      </c>
      <c r="C133" s="44"/>
      <c r="D133" s="45" t="e">
        <f>+VLOOKUP(C133,'[10]Part List รวมล่าสุดกว่า'!A:R,3,0)</f>
        <v>#N/A</v>
      </c>
      <c r="E133" s="46" t="s">
        <v>24</v>
      </c>
      <c r="F133" s="45" t="e">
        <f>+VLOOKUP(C133,'[10]Part List รวมล่าสุดกว่า'!A:R,4,0)</f>
        <v>#N/A</v>
      </c>
      <c r="G133" s="46" t="s">
        <v>24</v>
      </c>
      <c r="H133" s="47" t="e">
        <f>+VLOOKUP(C133,'[10]Part List รวมล่าสุดกว่า'!A:R,5,0)</f>
        <v>#N/A</v>
      </c>
      <c r="I133" s="48" t="e">
        <f>+VLOOKUP(C133,'[10]Part List รวมล่าสุดกว่า'!A:R,9,0)</f>
        <v>#N/A</v>
      </c>
      <c r="J133" s="49" t="e">
        <f>+VLOOKUP(C133,'[10]Part List รวมล่าสุดกว่า'!A:R,10,0)</f>
        <v>#N/A</v>
      </c>
      <c r="K133" s="49" t="e">
        <f>+VLOOKUP(C133,'[10]Part List รวมล่าสุดกว่า'!A:R,11,0)</f>
        <v>#N/A</v>
      </c>
      <c r="L133" s="49" t="e">
        <f>+VLOOKUP(C133,'[10]Part List รวมล่าสุดกว่า'!A:R,12,0)</f>
        <v>#N/A</v>
      </c>
      <c r="M133" s="50" t="e">
        <f>+VLOOKUP(C133,[10]Forecast!F:V,6,0)</f>
        <v>#N/A</v>
      </c>
      <c r="N133" s="50" t="e">
        <f>+VLOOKUP(C133,[10]Forecast!F:V,8,0)</f>
        <v>#N/A</v>
      </c>
      <c r="O133" s="50" t="e">
        <f>+VLOOKUP(C133,[10]Forecast!F:V,10,0)</f>
        <v>#N/A</v>
      </c>
      <c r="P133" s="50" t="e">
        <f>+VLOOKUP(C133,[10]Forecast!F:V,12,0)</f>
        <v>#N/A</v>
      </c>
      <c r="Q133" s="50" t="e">
        <f>+VLOOKUP(C133,[10]Forecast!F:V,14,0)</f>
        <v>#N/A</v>
      </c>
      <c r="R133" s="50" t="e">
        <f>+VLOOKUP(C133,[10]Forecast!F:V,16,0)</f>
        <v>#N/A</v>
      </c>
      <c r="S133" s="51" t="s">
        <v>25</v>
      </c>
      <c r="T133" s="52"/>
    </row>
    <row r="134" spans="1:20" s="53" customFormat="1" ht="21" hidden="1" customHeight="1">
      <c r="A134" s="34"/>
      <c r="B134" s="43">
        <f t="shared" si="1"/>
        <v>124</v>
      </c>
      <c r="C134" s="44"/>
      <c r="D134" s="45" t="e">
        <f>+VLOOKUP(C134,'[10]Part List รวมล่าสุดกว่า'!A:R,3,0)</f>
        <v>#N/A</v>
      </c>
      <c r="E134" s="46" t="s">
        <v>24</v>
      </c>
      <c r="F134" s="45" t="e">
        <f>+VLOOKUP(C134,'[10]Part List รวมล่าสุดกว่า'!A:R,4,0)</f>
        <v>#N/A</v>
      </c>
      <c r="G134" s="46" t="s">
        <v>24</v>
      </c>
      <c r="H134" s="47" t="e">
        <f>+VLOOKUP(C134,'[10]Part List รวมล่าสุดกว่า'!A:R,5,0)</f>
        <v>#N/A</v>
      </c>
      <c r="I134" s="48" t="e">
        <f>+VLOOKUP(C134,'[10]Part List รวมล่าสุดกว่า'!A:R,9,0)</f>
        <v>#N/A</v>
      </c>
      <c r="J134" s="49" t="e">
        <f>+VLOOKUP(C134,'[10]Part List รวมล่าสุดกว่า'!A:R,10,0)</f>
        <v>#N/A</v>
      </c>
      <c r="K134" s="49" t="e">
        <f>+VLOOKUP(C134,'[10]Part List รวมล่าสุดกว่า'!A:R,11,0)</f>
        <v>#N/A</v>
      </c>
      <c r="L134" s="49" t="e">
        <f>+VLOOKUP(C134,'[10]Part List รวมล่าสุดกว่า'!A:R,12,0)</f>
        <v>#N/A</v>
      </c>
      <c r="M134" s="50" t="e">
        <f>+VLOOKUP(C134,[10]Forecast!F:V,6,0)</f>
        <v>#N/A</v>
      </c>
      <c r="N134" s="50" t="e">
        <f>+VLOOKUP(C134,[10]Forecast!F:V,8,0)</f>
        <v>#N/A</v>
      </c>
      <c r="O134" s="50" t="e">
        <f>+VLOOKUP(C134,[10]Forecast!F:V,10,0)</f>
        <v>#N/A</v>
      </c>
      <c r="P134" s="50" t="e">
        <f>+VLOOKUP(C134,[10]Forecast!F:V,12,0)</f>
        <v>#N/A</v>
      </c>
      <c r="Q134" s="50" t="e">
        <f>+VLOOKUP(C134,[10]Forecast!F:V,14,0)</f>
        <v>#N/A</v>
      </c>
      <c r="R134" s="50" t="e">
        <f>+VLOOKUP(C134,[10]Forecast!F:V,16,0)</f>
        <v>#N/A</v>
      </c>
      <c r="S134" s="51" t="s">
        <v>25</v>
      </c>
      <c r="T134" s="52"/>
    </row>
    <row r="135" spans="1:20" s="53" customFormat="1" ht="21" hidden="1" customHeight="1">
      <c r="A135" s="34"/>
      <c r="B135" s="43">
        <f t="shared" si="1"/>
        <v>125</v>
      </c>
      <c r="C135" s="44"/>
      <c r="D135" s="45" t="e">
        <f>+VLOOKUP(C135,'[10]Part List รวมล่าสุดกว่า'!A:R,3,0)</f>
        <v>#N/A</v>
      </c>
      <c r="E135" s="46" t="s">
        <v>24</v>
      </c>
      <c r="F135" s="45" t="e">
        <f>+VLOOKUP(C135,'[10]Part List รวมล่าสุดกว่า'!A:R,4,0)</f>
        <v>#N/A</v>
      </c>
      <c r="G135" s="46" t="s">
        <v>24</v>
      </c>
      <c r="H135" s="47" t="e">
        <f>+VLOOKUP(C135,'[10]Part List รวมล่าสุดกว่า'!A:R,5,0)</f>
        <v>#N/A</v>
      </c>
      <c r="I135" s="48" t="e">
        <f>+VLOOKUP(C135,'[10]Part List รวมล่าสุดกว่า'!A:R,9,0)</f>
        <v>#N/A</v>
      </c>
      <c r="J135" s="49" t="e">
        <f>+VLOOKUP(C135,'[10]Part List รวมล่าสุดกว่า'!A:R,10,0)</f>
        <v>#N/A</v>
      </c>
      <c r="K135" s="49" t="e">
        <f>+VLOOKUP(C135,'[10]Part List รวมล่าสุดกว่า'!A:R,11,0)</f>
        <v>#N/A</v>
      </c>
      <c r="L135" s="49" t="e">
        <f>+VLOOKUP(C135,'[10]Part List รวมล่าสุดกว่า'!A:R,12,0)</f>
        <v>#N/A</v>
      </c>
      <c r="M135" s="50" t="e">
        <f>+VLOOKUP(C135,[10]Forecast!F:V,6,0)</f>
        <v>#N/A</v>
      </c>
      <c r="N135" s="50" t="e">
        <f>+VLOOKUP(C135,[10]Forecast!F:V,8,0)</f>
        <v>#N/A</v>
      </c>
      <c r="O135" s="50" t="e">
        <f>+VLOOKUP(C135,[10]Forecast!F:V,10,0)</f>
        <v>#N/A</v>
      </c>
      <c r="P135" s="50" t="e">
        <f>+VLOOKUP(C135,[10]Forecast!F:V,12,0)</f>
        <v>#N/A</v>
      </c>
      <c r="Q135" s="50" t="e">
        <f>+VLOOKUP(C135,[10]Forecast!F:V,14,0)</f>
        <v>#N/A</v>
      </c>
      <c r="R135" s="50" t="e">
        <f>+VLOOKUP(C135,[10]Forecast!F:V,16,0)</f>
        <v>#N/A</v>
      </c>
      <c r="S135" s="51" t="s">
        <v>25</v>
      </c>
      <c r="T135" s="52"/>
    </row>
    <row r="136" spans="1:20" s="53" customFormat="1" ht="21" hidden="1" customHeight="1">
      <c r="A136" s="34"/>
      <c r="B136" s="43">
        <f t="shared" si="1"/>
        <v>126</v>
      </c>
      <c r="C136" s="44"/>
      <c r="D136" s="45" t="e">
        <f>+VLOOKUP(C136,'[10]Part List รวมล่าสุดกว่า'!A:R,3,0)</f>
        <v>#N/A</v>
      </c>
      <c r="E136" s="46" t="s">
        <v>24</v>
      </c>
      <c r="F136" s="45" t="e">
        <f>+VLOOKUP(C136,'[10]Part List รวมล่าสุดกว่า'!A:R,4,0)</f>
        <v>#N/A</v>
      </c>
      <c r="G136" s="46" t="s">
        <v>24</v>
      </c>
      <c r="H136" s="47" t="e">
        <f>+VLOOKUP(C136,'[10]Part List รวมล่าสุดกว่า'!A:R,5,0)</f>
        <v>#N/A</v>
      </c>
      <c r="I136" s="48" t="e">
        <f>+VLOOKUP(C136,'[10]Part List รวมล่าสุดกว่า'!A:R,9,0)</f>
        <v>#N/A</v>
      </c>
      <c r="J136" s="49" t="e">
        <f>+VLOOKUP(C136,'[10]Part List รวมล่าสุดกว่า'!A:R,10,0)</f>
        <v>#N/A</v>
      </c>
      <c r="K136" s="49" t="e">
        <f>+VLOOKUP(C136,'[10]Part List รวมล่าสุดกว่า'!A:R,11,0)</f>
        <v>#N/A</v>
      </c>
      <c r="L136" s="49" t="e">
        <f>+VLOOKUP(C136,'[10]Part List รวมล่าสุดกว่า'!A:R,12,0)</f>
        <v>#N/A</v>
      </c>
      <c r="M136" s="50" t="e">
        <f>+VLOOKUP(C136,[10]Forecast!F:V,6,0)</f>
        <v>#N/A</v>
      </c>
      <c r="N136" s="50" t="e">
        <f>+VLOOKUP(C136,[10]Forecast!F:V,8,0)</f>
        <v>#N/A</v>
      </c>
      <c r="O136" s="50" t="e">
        <f>+VLOOKUP(C136,[10]Forecast!F:V,10,0)</f>
        <v>#N/A</v>
      </c>
      <c r="P136" s="50" t="e">
        <f>+VLOOKUP(C136,[10]Forecast!F:V,12,0)</f>
        <v>#N/A</v>
      </c>
      <c r="Q136" s="50" t="e">
        <f>+VLOOKUP(C136,[10]Forecast!F:V,14,0)</f>
        <v>#N/A</v>
      </c>
      <c r="R136" s="50" t="e">
        <f>+VLOOKUP(C136,[10]Forecast!F:V,16,0)</f>
        <v>#N/A</v>
      </c>
      <c r="S136" s="51" t="s">
        <v>25</v>
      </c>
      <c r="T136" s="52"/>
    </row>
    <row r="137" spans="1:20" s="53" customFormat="1" ht="21" hidden="1" customHeight="1">
      <c r="A137" s="34"/>
      <c r="B137" s="43">
        <f t="shared" si="1"/>
        <v>127</v>
      </c>
      <c r="C137" s="44"/>
      <c r="D137" s="45" t="e">
        <f>+VLOOKUP(C137,'[10]Part List รวมล่าสุดกว่า'!A:R,3,0)</f>
        <v>#N/A</v>
      </c>
      <c r="E137" s="46" t="s">
        <v>24</v>
      </c>
      <c r="F137" s="45" t="e">
        <f>+VLOOKUP(C137,'[10]Part List รวมล่าสุดกว่า'!A:R,4,0)</f>
        <v>#N/A</v>
      </c>
      <c r="G137" s="46" t="s">
        <v>24</v>
      </c>
      <c r="H137" s="47" t="e">
        <f>+VLOOKUP(C137,'[10]Part List รวมล่าสุดกว่า'!A:R,5,0)</f>
        <v>#N/A</v>
      </c>
      <c r="I137" s="48" t="e">
        <f>+VLOOKUP(C137,'[10]Part List รวมล่าสุดกว่า'!A:R,9,0)</f>
        <v>#N/A</v>
      </c>
      <c r="J137" s="49" t="e">
        <f>+VLOOKUP(C137,'[10]Part List รวมล่าสุดกว่า'!A:R,10,0)</f>
        <v>#N/A</v>
      </c>
      <c r="K137" s="49" t="e">
        <f>+VLOOKUP(C137,'[10]Part List รวมล่าสุดกว่า'!A:R,11,0)</f>
        <v>#N/A</v>
      </c>
      <c r="L137" s="49" t="e">
        <f>+VLOOKUP(C137,'[10]Part List รวมล่าสุดกว่า'!A:R,12,0)</f>
        <v>#N/A</v>
      </c>
      <c r="M137" s="50" t="e">
        <f>+VLOOKUP(C137,[10]Forecast!F:V,6,0)</f>
        <v>#N/A</v>
      </c>
      <c r="N137" s="50" t="e">
        <f>+VLOOKUP(C137,[10]Forecast!F:V,8,0)</f>
        <v>#N/A</v>
      </c>
      <c r="O137" s="50" t="e">
        <f>+VLOOKUP(C137,[10]Forecast!F:V,10,0)</f>
        <v>#N/A</v>
      </c>
      <c r="P137" s="50" t="e">
        <f>+VLOOKUP(C137,[10]Forecast!F:V,12,0)</f>
        <v>#N/A</v>
      </c>
      <c r="Q137" s="50" t="e">
        <f>+VLOOKUP(C137,[10]Forecast!F:V,14,0)</f>
        <v>#N/A</v>
      </c>
      <c r="R137" s="50" t="e">
        <f>+VLOOKUP(C137,[10]Forecast!F:V,16,0)</f>
        <v>#N/A</v>
      </c>
      <c r="S137" s="51" t="s">
        <v>25</v>
      </c>
      <c r="T137" s="52"/>
    </row>
    <row r="138" spans="1:20" s="53" customFormat="1" ht="21" hidden="1" customHeight="1">
      <c r="A138" s="34"/>
      <c r="B138" s="43">
        <f t="shared" si="1"/>
        <v>128</v>
      </c>
      <c r="C138" s="44"/>
      <c r="D138" s="45" t="e">
        <f>+VLOOKUP(C138,'[10]Part List รวมล่าสุดกว่า'!A:R,3,0)</f>
        <v>#N/A</v>
      </c>
      <c r="E138" s="46" t="s">
        <v>24</v>
      </c>
      <c r="F138" s="45" t="e">
        <f>+VLOOKUP(C138,'[10]Part List รวมล่าสุดกว่า'!A:R,4,0)</f>
        <v>#N/A</v>
      </c>
      <c r="G138" s="46" t="s">
        <v>24</v>
      </c>
      <c r="H138" s="47" t="e">
        <f>+VLOOKUP(C138,'[10]Part List รวมล่าสุดกว่า'!A:R,5,0)</f>
        <v>#N/A</v>
      </c>
      <c r="I138" s="48" t="e">
        <f>+VLOOKUP(C138,'[10]Part List รวมล่าสุดกว่า'!A:R,9,0)</f>
        <v>#N/A</v>
      </c>
      <c r="J138" s="49" t="e">
        <f>+VLOOKUP(C138,'[10]Part List รวมล่าสุดกว่า'!A:R,10,0)</f>
        <v>#N/A</v>
      </c>
      <c r="K138" s="49" t="e">
        <f>+VLOOKUP(C138,'[10]Part List รวมล่าสุดกว่า'!A:R,11,0)</f>
        <v>#N/A</v>
      </c>
      <c r="L138" s="49" t="e">
        <f>+VLOOKUP(C138,'[10]Part List รวมล่าสุดกว่า'!A:R,12,0)</f>
        <v>#N/A</v>
      </c>
      <c r="M138" s="50" t="e">
        <f>+VLOOKUP(C138,[10]Forecast!F:V,6,0)</f>
        <v>#N/A</v>
      </c>
      <c r="N138" s="50" t="e">
        <f>+VLOOKUP(C138,[10]Forecast!F:V,8,0)</f>
        <v>#N/A</v>
      </c>
      <c r="O138" s="50" t="e">
        <f>+VLOOKUP(C138,[10]Forecast!F:V,10,0)</f>
        <v>#N/A</v>
      </c>
      <c r="P138" s="50" t="e">
        <f>+VLOOKUP(C138,[10]Forecast!F:V,12,0)</f>
        <v>#N/A</v>
      </c>
      <c r="Q138" s="50" t="e">
        <f>+VLOOKUP(C138,[10]Forecast!F:V,14,0)</f>
        <v>#N/A</v>
      </c>
      <c r="R138" s="50" t="e">
        <f>+VLOOKUP(C138,[10]Forecast!F:V,16,0)</f>
        <v>#N/A</v>
      </c>
      <c r="S138" s="51" t="s">
        <v>25</v>
      </c>
      <c r="T138" s="52"/>
    </row>
    <row r="139" spans="1:20" s="53" customFormat="1" ht="21" hidden="1" customHeight="1">
      <c r="A139" s="34"/>
      <c r="B139" s="43">
        <f t="shared" si="1"/>
        <v>129</v>
      </c>
      <c r="C139" s="44"/>
      <c r="D139" s="45" t="e">
        <f>+VLOOKUP(C139,'[10]Part List รวมล่าสุดกว่า'!A:R,3,0)</f>
        <v>#N/A</v>
      </c>
      <c r="E139" s="46" t="s">
        <v>24</v>
      </c>
      <c r="F139" s="45" t="e">
        <f>+VLOOKUP(C139,'[10]Part List รวมล่าสุดกว่า'!A:R,4,0)</f>
        <v>#N/A</v>
      </c>
      <c r="G139" s="46" t="s">
        <v>24</v>
      </c>
      <c r="H139" s="47" t="e">
        <f>+VLOOKUP(C139,'[10]Part List รวมล่าสุดกว่า'!A:R,5,0)</f>
        <v>#N/A</v>
      </c>
      <c r="I139" s="48" t="e">
        <f>+VLOOKUP(C139,'[10]Part List รวมล่าสุดกว่า'!A:R,9,0)</f>
        <v>#N/A</v>
      </c>
      <c r="J139" s="49" t="e">
        <f>+VLOOKUP(C139,'[10]Part List รวมล่าสุดกว่า'!A:R,10,0)</f>
        <v>#N/A</v>
      </c>
      <c r="K139" s="49" t="e">
        <f>+VLOOKUP(C139,'[10]Part List รวมล่าสุดกว่า'!A:R,11,0)</f>
        <v>#N/A</v>
      </c>
      <c r="L139" s="49" t="e">
        <f>+VLOOKUP(C139,'[10]Part List รวมล่าสุดกว่า'!A:R,12,0)</f>
        <v>#N/A</v>
      </c>
      <c r="M139" s="50" t="e">
        <f>+VLOOKUP(C139,[10]Forecast!F:V,6,0)</f>
        <v>#N/A</v>
      </c>
      <c r="N139" s="50" t="e">
        <f>+VLOOKUP(C139,[10]Forecast!F:V,8,0)</f>
        <v>#N/A</v>
      </c>
      <c r="O139" s="50" t="e">
        <f>+VLOOKUP(C139,[10]Forecast!F:V,10,0)</f>
        <v>#N/A</v>
      </c>
      <c r="P139" s="50" t="e">
        <f>+VLOOKUP(C139,[10]Forecast!F:V,12,0)</f>
        <v>#N/A</v>
      </c>
      <c r="Q139" s="50" t="e">
        <f>+VLOOKUP(C139,[10]Forecast!F:V,14,0)</f>
        <v>#N/A</v>
      </c>
      <c r="R139" s="50" t="e">
        <f>+VLOOKUP(C139,[10]Forecast!F:V,16,0)</f>
        <v>#N/A</v>
      </c>
      <c r="S139" s="51" t="s">
        <v>25</v>
      </c>
      <c r="T139" s="52"/>
    </row>
    <row r="140" spans="1:20" s="53" customFormat="1" ht="21" hidden="1" customHeight="1">
      <c r="A140" s="34"/>
      <c r="B140" s="43">
        <f t="shared" si="1"/>
        <v>130</v>
      </c>
      <c r="C140" s="44"/>
      <c r="D140" s="45" t="e">
        <f>+VLOOKUP(C140,'[10]Part List รวมล่าสุดกว่า'!A:R,3,0)</f>
        <v>#N/A</v>
      </c>
      <c r="E140" s="46" t="s">
        <v>24</v>
      </c>
      <c r="F140" s="45" t="e">
        <f>+VLOOKUP(C140,'[10]Part List รวมล่าสุดกว่า'!A:R,4,0)</f>
        <v>#N/A</v>
      </c>
      <c r="G140" s="46" t="s">
        <v>24</v>
      </c>
      <c r="H140" s="47" t="e">
        <f>+VLOOKUP(C140,'[10]Part List รวมล่าสุดกว่า'!A:R,5,0)</f>
        <v>#N/A</v>
      </c>
      <c r="I140" s="48" t="e">
        <f>+VLOOKUP(C140,'[10]Part List รวมล่าสุดกว่า'!A:R,9,0)</f>
        <v>#N/A</v>
      </c>
      <c r="J140" s="49" t="e">
        <f>+VLOOKUP(C140,'[10]Part List รวมล่าสุดกว่า'!A:R,10,0)</f>
        <v>#N/A</v>
      </c>
      <c r="K140" s="49" t="e">
        <f>+VLOOKUP(C140,'[10]Part List รวมล่าสุดกว่า'!A:R,11,0)</f>
        <v>#N/A</v>
      </c>
      <c r="L140" s="49" t="e">
        <f>+VLOOKUP(C140,'[10]Part List รวมล่าสุดกว่า'!A:R,12,0)</f>
        <v>#N/A</v>
      </c>
      <c r="M140" s="50" t="e">
        <f>+VLOOKUP(C140,[10]Forecast!F:V,6,0)</f>
        <v>#N/A</v>
      </c>
      <c r="N140" s="50" t="e">
        <f>+VLOOKUP(C140,[10]Forecast!F:V,8,0)</f>
        <v>#N/A</v>
      </c>
      <c r="O140" s="50" t="e">
        <f>+VLOOKUP(C140,[10]Forecast!F:V,10,0)</f>
        <v>#N/A</v>
      </c>
      <c r="P140" s="50" t="e">
        <f>+VLOOKUP(C140,[10]Forecast!F:V,12,0)</f>
        <v>#N/A</v>
      </c>
      <c r="Q140" s="50" t="e">
        <f>+VLOOKUP(C140,[10]Forecast!F:V,14,0)</f>
        <v>#N/A</v>
      </c>
      <c r="R140" s="50" t="e">
        <f>+VLOOKUP(C140,[10]Forecast!F:V,16,0)</f>
        <v>#N/A</v>
      </c>
      <c r="S140" s="51" t="s">
        <v>25</v>
      </c>
      <c r="T140" s="52"/>
    </row>
    <row r="141" spans="1:20" s="53" customFormat="1" ht="21" hidden="1" customHeight="1">
      <c r="A141" s="34"/>
      <c r="B141" s="43">
        <f t="shared" ref="B141:B204" si="2">B140+1</f>
        <v>131</v>
      </c>
      <c r="C141" s="44"/>
      <c r="D141" s="45" t="e">
        <f>+VLOOKUP(C141,'[10]Part List รวมล่าสุดกว่า'!A:R,3,0)</f>
        <v>#N/A</v>
      </c>
      <c r="E141" s="46" t="s">
        <v>24</v>
      </c>
      <c r="F141" s="45" t="e">
        <f>+VLOOKUP(C141,'[10]Part List รวมล่าสุดกว่า'!A:R,4,0)</f>
        <v>#N/A</v>
      </c>
      <c r="G141" s="46" t="s">
        <v>24</v>
      </c>
      <c r="H141" s="47" t="e">
        <f>+VLOOKUP(C141,'[10]Part List รวมล่าสุดกว่า'!A:R,5,0)</f>
        <v>#N/A</v>
      </c>
      <c r="I141" s="48" t="e">
        <f>+VLOOKUP(C141,'[10]Part List รวมล่าสุดกว่า'!A:R,9,0)</f>
        <v>#N/A</v>
      </c>
      <c r="J141" s="49" t="e">
        <f>+VLOOKUP(C141,'[10]Part List รวมล่าสุดกว่า'!A:R,10,0)</f>
        <v>#N/A</v>
      </c>
      <c r="K141" s="49" t="e">
        <f>+VLOOKUP(C141,'[10]Part List รวมล่าสุดกว่า'!A:R,11,0)</f>
        <v>#N/A</v>
      </c>
      <c r="L141" s="49" t="e">
        <f>+VLOOKUP(C141,'[10]Part List รวมล่าสุดกว่า'!A:R,12,0)</f>
        <v>#N/A</v>
      </c>
      <c r="M141" s="50" t="e">
        <f>+VLOOKUP(C141,[10]Forecast!F:V,6,0)</f>
        <v>#N/A</v>
      </c>
      <c r="N141" s="50" t="e">
        <f>+VLOOKUP(C141,[10]Forecast!F:V,8,0)</f>
        <v>#N/A</v>
      </c>
      <c r="O141" s="50" t="e">
        <f>+VLOOKUP(C141,[10]Forecast!F:V,10,0)</f>
        <v>#N/A</v>
      </c>
      <c r="P141" s="50" t="e">
        <f>+VLOOKUP(C141,[10]Forecast!F:V,12,0)</f>
        <v>#N/A</v>
      </c>
      <c r="Q141" s="50" t="e">
        <f>+VLOOKUP(C141,[10]Forecast!F:V,14,0)</f>
        <v>#N/A</v>
      </c>
      <c r="R141" s="50" t="e">
        <f>+VLOOKUP(C141,[10]Forecast!F:V,16,0)</f>
        <v>#N/A</v>
      </c>
      <c r="S141" s="51" t="s">
        <v>25</v>
      </c>
      <c r="T141" s="52"/>
    </row>
    <row r="142" spans="1:20" s="53" customFormat="1" ht="21" hidden="1" customHeight="1">
      <c r="A142" s="34"/>
      <c r="B142" s="43">
        <f t="shared" si="2"/>
        <v>132</v>
      </c>
      <c r="C142" s="44"/>
      <c r="D142" s="45" t="e">
        <f>+VLOOKUP(C142,'[10]Part List รวมล่าสุดกว่า'!A:R,3,0)</f>
        <v>#N/A</v>
      </c>
      <c r="E142" s="46" t="s">
        <v>24</v>
      </c>
      <c r="F142" s="45" t="e">
        <f>+VLOOKUP(C142,'[10]Part List รวมล่าสุดกว่า'!A:R,4,0)</f>
        <v>#N/A</v>
      </c>
      <c r="G142" s="46" t="s">
        <v>24</v>
      </c>
      <c r="H142" s="47" t="e">
        <f>+VLOOKUP(C142,'[10]Part List รวมล่าสุดกว่า'!A:R,5,0)</f>
        <v>#N/A</v>
      </c>
      <c r="I142" s="48" t="e">
        <f>+VLOOKUP(C142,'[10]Part List รวมล่าสุดกว่า'!A:R,9,0)</f>
        <v>#N/A</v>
      </c>
      <c r="J142" s="49" t="e">
        <f>+VLOOKUP(C142,'[10]Part List รวมล่าสุดกว่า'!A:R,10,0)</f>
        <v>#N/A</v>
      </c>
      <c r="K142" s="49" t="e">
        <f>+VLOOKUP(C142,'[10]Part List รวมล่าสุดกว่า'!A:R,11,0)</f>
        <v>#N/A</v>
      </c>
      <c r="L142" s="49" t="e">
        <f>+VLOOKUP(C142,'[10]Part List รวมล่าสุดกว่า'!A:R,12,0)</f>
        <v>#N/A</v>
      </c>
      <c r="M142" s="50" t="e">
        <f>+VLOOKUP(C142,[10]Forecast!F:V,6,0)</f>
        <v>#N/A</v>
      </c>
      <c r="N142" s="50" t="e">
        <f>+VLOOKUP(C142,[10]Forecast!F:V,8,0)</f>
        <v>#N/A</v>
      </c>
      <c r="O142" s="50" t="e">
        <f>+VLOOKUP(C142,[10]Forecast!F:V,10,0)</f>
        <v>#N/A</v>
      </c>
      <c r="P142" s="50" t="e">
        <f>+VLOOKUP(C142,[10]Forecast!F:V,12,0)</f>
        <v>#N/A</v>
      </c>
      <c r="Q142" s="50" t="e">
        <f>+VLOOKUP(C142,[10]Forecast!F:V,14,0)</f>
        <v>#N/A</v>
      </c>
      <c r="R142" s="50" t="e">
        <f>+VLOOKUP(C142,[10]Forecast!F:V,16,0)</f>
        <v>#N/A</v>
      </c>
      <c r="S142" s="51" t="s">
        <v>25</v>
      </c>
      <c r="T142" s="52"/>
    </row>
    <row r="143" spans="1:20" s="53" customFormat="1" ht="21" hidden="1" customHeight="1">
      <c r="A143" s="34"/>
      <c r="B143" s="43">
        <f t="shared" si="2"/>
        <v>133</v>
      </c>
      <c r="C143" s="44"/>
      <c r="D143" s="45" t="e">
        <f>+VLOOKUP(C143,'[10]Part List รวมล่าสุดกว่า'!A:R,3,0)</f>
        <v>#N/A</v>
      </c>
      <c r="E143" s="46" t="s">
        <v>24</v>
      </c>
      <c r="F143" s="45" t="e">
        <f>+VLOOKUP(C143,'[10]Part List รวมล่าสุดกว่า'!A:R,4,0)</f>
        <v>#N/A</v>
      </c>
      <c r="G143" s="46" t="s">
        <v>24</v>
      </c>
      <c r="H143" s="47" t="e">
        <f>+VLOOKUP(C143,'[10]Part List รวมล่าสุดกว่า'!A:R,5,0)</f>
        <v>#N/A</v>
      </c>
      <c r="I143" s="48" t="e">
        <f>+VLOOKUP(C143,'[10]Part List รวมล่าสุดกว่า'!A:R,9,0)</f>
        <v>#N/A</v>
      </c>
      <c r="J143" s="49" t="e">
        <f>+VLOOKUP(C143,'[10]Part List รวมล่าสุดกว่า'!A:R,10,0)</f>
        <v>#N/A</v>
      </c>
      <c r="K143" s="49" t="e">
        <f>+VLOOKUP(C143,'[10]Part List รวมล่าสุดกว่า'!A:R,11,0)</f>
        <v>#N/A</v>
      </c>
      <c r="L143" s="49" t="e">
        <f>+VLOOKUP(C143,'[10]Part List รวมล่าสุดกว่า'!A:R,12,0)</f>
        <v>#N/A</v>
      </c>
      <c r="M143" s="50" t="e">
        <f>+VLOOKUP(C143,[10]Forecast!F:V,6,0)</f>
        <v>#N/A</v>
      </c>
      <c r="N143" s="50" t="e">
        <f>+VLOOKUP(C143,[10]Forecast!F:V,8,0)</f>
        <v>#N/A</v>
      </c>
      <c r="O143" s="50" t="e">
        <f>+VLOOKUP(C143,[10]Forecast!F:V,10,0)</f>
        <v>#N/A</v>
      </c>
      <c r="P143" s="50" t="e">
        <f>+VLOOKUP(C143,[10]Forecast!F:V,12,0)</f>
        <v>#N/A</v>
      </c>
      <c r="Q143" s="50" t="e">
        <f>+VLOOKUP(C143,[10]Forecast!F:V,14,0)</f>
        <v>#N/A</v>
      </c>
      <c r="R143" s="50" t="e">
        <f>+VLOOKUP(C143,[10]Forecast!F:V,16,0)</f>
        <v>#N/A</v>
      </c>
      <c r="S143" s="51" t="s">
        <v>25</v>
      </c>
      <c r="T143" s="52"/>
    </row>
    <row r="144" spans="1:20" s="53" customFormat="1" ht="21" hidden="1" customHeight="1">
      <c r="A144" s="34"/>
      <c r="B144" s="43">
        <f t="shared" si="2"/>
        <v>134</v>
      </c>
      <c r="C144" s="44"/>
      <c r="D144" s="45" t="e">
        <f>+VLOOKUP(C144,'[10]Part List รวมล่าสุดกว่า'!A:R,3,0)</f>
        <v>#N/A</v>
      </c>
      <c r="E144" s="46" t="s">
        <v>24</v>
      </c>
      <c r="F144" s="45" t="e">
        <f>+VLOOKUP(C144,'[10]Part List รวมล่าสุดกว่า'!A:R,4,0)</f>
        <v>#N/A</v>
      </c>
      <c r="G144" s="46" t="s">
        <v>24</v>
      </c>
      <c r="H144" s="47" t="e">
        <f>+VLOOKUP(C144,'[10]Part List รวมล่าสุดกว่า'!A:R,5,0)</f>
        <v>#N/A</v>
      </c>
      <c r="I144" s="48" t="e">
        <f>+VLOOKUP(C144,'[10]Part List รวมล่าสุดกว่า'!A:R,9,0)</f>
        <v>#N/A</v>
      </c>
      <c r="J144" s="49" t="e">
        <f>+VLOOKUP(C144,'[10]Part List รวมล่าสุดกว่า'!A:R,10,0)</f>
        <v>#N/A</v>
      </c>
      <c r="K144" s="49" t="e">
        <f>+VLOOKUP(C144,'[10]Part List รวมล่าสุดกว่า'!A:R,11,0)</f>
        <v>#N/A</v>
      </c>
      <c r="L144" s="49" t="e">
        <f>+VLOOKUP(C144,'[10]Part List รวมล่าสุดกว่า'!A:R,12,0)</f>
        <v>#N/A</v>
      </c>
      <c r="M144" s="50" t="e">
        <f>+VLOOKUP(C144,[10]Forecast!F:V,6,0)</f>
        <v>#N/A</v>
      </c>
      <c r="N144" s="50" t="e">
        <f>+VLOOKUP(C144,[10]Forecast!F:V,8,0)</f>
        <v>#N/A</v>
      </c>
      <c r="O144" s="50" t="e">
        <f>+VLOOKUP(C144,[10]Forecast!F:V,10,0)</f>
        <v>#N/A</v>
      </c>
      <c r="P144" s="50" t="e">
        <f>+VLOOKUP(C144,[10]Forecast!F:V,12,0)</f>
        <v>#N/A</v>
      </c>
      <c r="Q144" s="50" t="e">
        <f>+VLOOKUP(C144,[10]Forecast!F:V,14,0)</f>
        <v>#N/A</v>
      </c>
      <c r="R144" s="50" t="e">
        <f>+VLOOKUP(C144,[10]Forecast!F:V,16,0)</f>
        <v>#N/A</v>
      </c>
      <c r="S144" s="51" t="s">
        <v>25</v>
      </c>
      <c r="T144" s="52"/>
    </row>
    <row r="145" spans="1:34" s="53" customFormat="1" ht="21" hidden="1" customHeight="1">
      <c r="A145" s="34"/>
      <c r="B145" s="43">
        <f t="shared" si="2"/>
        <v>135</v>
      </c>
      <c r="C145" s="44"/>
      <c r="D145" s="45" t="e">
        <f>+VLOOKUP(C145,'[10]Part List รวมล่าสุดกว่า'!A:R,3,0)</f>
        <v>#N/A</v>
      </c>
      <c r="E145" s="46" t="s">
        <v>24</v>
      </c>
      <c r="F145" s="45" t="e">
        <f>+VLOOKUP(C145,'[10]Part List รวมล่าสุดกว่า'!A:R,4,0)</f>
        <v>#N/A</v>
      </c>
      <c r="G145" s="46" t="s">
        <v>24</v>
      </c>
      <c r="H145" s="47" t="e">
        <f>+VLOOKUP(C145,'[10]Part List รวมล่าสุดกว่า'!A:R,5,0)</f>
        <v>#N/A</v>
      </c>
      <c r="I145" s="48" t="e">
        <f>+VLOOKUP(C145,'[10]Part List รวมล่าสุดกว่า'!A:R,9,0)</f>
        <v>#N/A</v>
      </c>
      <c r="J145" s="49" t="e">
        <f>+VLOOKUP(C145,'[10]Part List รวมล่าสุดกว่า'!A:R,10,0)</f>
        <v>#N/A</v>
      </c>
      <c r="K145" s="49" t="e">
        <f>+VLOOKUP(C145,'[10]Part List รวมล่าสุดกว่า'!A:R,11,0)</f>
        <v>#N/A</v>
      </c>
      <c r="L145" s="49" t="e">
        <f>+VLOOKUP(C145,'[10]Part List รวมล่าสุดกว่า'!A:R,12,0)</f>
        <v>#N/A</v>
      </c>
      <c r="M145" s="50" t="e">
        <f>+VLOOKUP(C145,[10]Forecast!F:V,6,0)</f>
        <v>#N/A</v>
      </c>
      <c r="N145" s="50" t="e">
        <f>+VLOOKUP(C145,[10]Forecast!F:V,8,0)</f>
        <v>#N/A</v>
      </c>
      <c r="O145" s="50" t="e">
        <f>+VLOOKUP(C145,[10]Forecast!F:V,10,0)</f>
        <v>#N/A</v>
      </c>
      <c r="P145" s="50" t="e">
        <f>+VLOOKUP(C145,[10]Forecast!F:V,12,0)</f>
        <v>#N/A</v>
      </c>
      <c r="Q145" s="50" t="e">
        <f>+VLOOKUP(C145,[10]Forecast!F:V,14,0)</f>
        <v>#N/A</v>
      </c>
      <c r="R145" s="50" t="e">
        <f>+VLOOKUP(C145,[10]Forecast!F:V,16,0)</f>
        <v>#N/A</v>
      </c>
      <c r="S145" s="51" t="s">
        <v>25</v>
      </c>
      <c r="T145" s="52"/>
    </row>
    <row r="146" spans="1:34" s="53" customFormat="1" ht="21" hidden="1" customHeight="1">
      <c r="A146" s="34"/>
      <c r="B146" s="43">
        <f t="shared" si="2"/>
        <v>136</v>
      </c>
      <c r="C146" s="44"/>
      <c r="D146" s="45" t="e">
        <f>+VLOOKUP(C146,'[10]Part List รวมล่าสุดกว่า'!A:R,3,0)</f>
        <v>#N/A</v>
      </c>
      <c r="E146" s="46" t="s">
        <v>24</v>
      </c>
      <c r="F146" s="45" t="e">
        <f>+VLOOKUP(C146,'[10]Part List รวมล่าสุดกว่า'!A:R,4,0)</f>
        <v>#N/A</v>
      </c>
      <c r="G146" s="46" t="s">
        <v>24</v>
      </c>
      <c r="H146" s="47" t="e">
        <f>+VLOOKUP(C146,'[10]Part List รวมล่าสุดกว่า'!A:R,5,0)</f>
        <v>#N/A</v>
      </c>
      <c r="I146" s="48" t="e">
        <f>+VLOOKUP(C146,'[10]Part List รวมล่าสุดกว่า'!A:R,9,0)</f>
        <v>#N/A</v>
      </c>
      <c r="J146" s="49" t="e">
        <f>+VLOOKUP(C146,'[10]Part List รวมล่าสุดกว่า'!A:R,10,0)</f>
        <v>#N/A</v>
      </c>
      <c r="K146" s="49" t="e">
        <f>+VLOOKUP(C146,'[10]Part List รวมล่าสุดกว่า'!A:R,11,0)</f>
        <v>#N/A</v>
      </c>
      <c r="L146" s="49" t="e">
        <f>+VLOOKUP(C146,'[10]Part List รวมล่าสุดกว่า'!A:R,12,0)</f>
        <v>#N/A</v>
      </c>
      <c r="M146" s="50" t="e">
        <f>+VLOOKUP(C146,[10]Forecast!F:V,6,0)</f>
        <v>#N/A</v>
      </c>
      <c r="N146" s="50" t="e">
        <f>+VLOOKUP(C146,[10]Forecast!F:V,8,0)</f>
        <v>#N/A</v>
      </c>
      <c r="O146" s="50" t="e">
        <f>+VLOOKUP(C146,[10]Forecast!F:V,10,0)</f>
        <v>#N/A</v>
      </c>
      <c r="P146" s="50" t="e">
        <f>+VLOOKUP(C146,[10]Forecast!F:V,12,0)</f>
        <v>#N/A</v>
      </c>
      <c r="Q146" s="50" t="e">
        <f>+VLOOKUP(C146,[10]Forecast!F:V,14,0)</f>
        <v>#N/A</v>
      </c>
      <c r="R146" s="50" t="e">
        <f>+VLOOKUP(C146,[10]Forecast!F:V,16,0)</f>
        <v>#N/A</v>
      </c>
      <c r="S146" s="51" t="s">
        <v>25</v>
      </c>
      <c r="T146" s="52"/>
    </row>
    <row r="147" spans="1:34" s="53" customFormat="1" ht="21" hidden="1" customHeight="1">
      <c r="A147" s="34"/>
      <c r="B147" s="43">
        <f t="shared" si="2"/>
        <v>137</v>
      </c>
      <c r="C147" s="44"/>
      <c r="D147" s="45" t="e">
        <f>+VLOOKUP(C147,'[10]Part List รวมล่าสุดกว่า'!A:R,3,0)</f>
        <v>#N/A</v>
      </c>
      <c r="E147" s="46" t="s">
        <v>24</v>
      </c>
      <c r="F147" s="45" t="e">
        <f>+VLOOKUP(C147,'[10]Part List รวมล่าสุดกว่า'!A:R,4,0)</f>
        <v>#N/A</v>
      </c>
      <c r="G147" s="46" t="s">
        <v>24</v>
      </c>
      <c r="H147" s="47" t="e">
        <f>+VLOOKUP(C147,'[10]Part List รวมล่าสุดกว่า'!A:R,5,0)</f>
        <v>#N/A</v>
      </c>
      <c r="I147" s="48" t="e">
        <f>+VLOOKUP(C147,'[10]Part List รวมล่าสุดกว่า'!A:R,9,0)</f>
        <v>#N/A</v>
      </c>
      <c r="J147" s="49" t="e">
        <f>+VLOOKUP(C147,'[10]Part List รวมล่าสุดกว่า'!A:R,10,0)</f>
        <v>#N/A</v>
      </c>
      <c r="K147" s="49" t="e">
        <f>+VLOOKUP(C147,'[10]Part List รวมล่าสุดกว่า'!A:R,11,0)</f>
        <v>#N/A</v>
      </c>
      <c r="L147" s="49" t="e">
        <f>+VLOOKUP(C147,'[10]Part List รวมล่าสุดกว่า'!A:R,12,0)</f>
        <v>#N/A</v>
      </c>
      <c r="M147" s="50" t="e">
        <f>+VLOOKUP(C147,[10]Forecast!F:V,6,0)</f>
        <v>#N/A</v>
      </c>
      <c r="N147" s="50" t="e">
        <f>+VLOOKUP(C147,[10]Forecast!F:V,8,0)</f>
        <v>#N/A</v>
      </c>
      <c r="O147" s="50" t="e">
        <f>+VLOOKUP(C147,[10]Forecast!F:V,10,0)</f>
        <v>#N/A</v>
      </c>
      <c r="P147" s="50" t="e">
        <f>+VLOOKUP(C147,[10]Forecast!F:V,12,0)</f>
        <v>#N/A</v>
      </c>
      <c r="Q147" s="50" t="e">
        <f>+VLOOKUP(C147,[10]Forecast!F:V,14,0)</f>
        <v>#N/A</v>
      </c>
      <c r="R147" s="50" t="e">
        <f>+VLOOKUP(C147,[10]Forecast!F:V,16,0)</f>
        <v>#N/A</v>
      </c>
      <c r="S147" s="51" t="s">
        <v>25</v>
      </c>
      <c r="T147" s="52"/>
    </row>
    <row r="148" spans="1:34" s="53" customFormat="1" ht="21" hidden="1" customHeight="1">
      <c r="A148" s="34"/>
      <c r="B148" s="43">
        <f t="shared" si="2"/>
        <v>138</v>
      </c>
      <c r="C148" s="44"/>
      <c r="D148" s="45" t="e">
        <f>+VLOOKUP(C148,'[10]Part List รวมล่าสุดกว่า'!A:R,3,0)</f>
        <v>#N/A</v>
      </c>
      <c r="E148" s="46" t="s">
        <v>24</v>
      </c>
      <c r="F148" s="45" t="e">
        <f>+VLOOKUP(C148,'[10]Part List รวมล่าสุดกว่า'!A:R,4,0)</f>
        <v>#N/A</v>
      </c>
      <c r="G148" s="46" t="s">
        <v>24</v>
      </c>
      <c r="H148" s="47" t="e">
        <f>+VLOOKUP(C148,'[10]Part List รวมล่าสุดกว่า'!A:R,5,0)</f>
        <v>#N/A</v>
      </c>
      <c r="I148" s="48" t="e">
        <f>+VLOOKUP(C148,'[10]Part List รวมล่าสุดกว่า'!A:R,9,0)</f>
        <v>#N/A</v>
      </c>
      <c r="J148" s="49" t="e">
        <f>+VLOOKUP(C148,'[10]Part List รวมล่าสุดกว่า'!A:R,10,0)</f>
        <v>#N/A</v>
      </c>
      <c r="K148" s="49" t="e">
        <f>+VLOOKUP(C148,'[10]Part List รวมล่าสุดกว่า'!A:R,11,0)</f>
        <v>#N/A</v>
      </c>
      <c r="L148" s="49" t="e">
        <f>+VLOOKUP(C148,'[10]Part List รวมล่าสุดกว่า'!A:R,12,0)</f>
        <v>#N/A</v>
      </c>
      <c r="M148" s="50" t="e">
        <f>+VLOOKUP(C148,[10]Forecast!F:V,6,0)</f>
        <v>#N/A</v>
      </c>
      <c r="N148" s="50" t="e">
        <f>+VLOOKUP(C148,[10]Forecast!F:V,8,0)</f>
        <v>#N/A</v>
      </c>
      <c r="O148" s="50" t="e">
        <f>+VLOOKUP(C148,[10]Forecast!F:V,10,0)</f>
        <v>#N/A</v>
      </c>
      <c r="P148" s="50" t="e">
        <f>+VLOOKUP(C148,[10]Forecast!F:V,12,0)</f>
        <v>#N/A</v>
      </c>
      <c r="Q148" s="50" t="e">
        <f>+VLOOKUP(C148,[10]Forecast!F:V,14,0)</f>
        <v>#N/A</v>
      </c>
      <c r="R148" s="50" t="e">
        <f>+VLOOKUP(C148,[10]Forecast!F:V,16,0)</f>
        <v>#N/A</v>
      </c>
      <c r="S148" s="51" t="s">
        <v>25</v>
      </c>
      <c r="T148" s="52"/>
    </row>
    <row r="149" spans="1:34" s="53" customFormat="1" ht="21" hidden="1" customHeight="1">
      <c r="A149" s="34"/>
      <c r="B149" s="43">
        <f t="shared" si="2"/>
        <v>139</v>
      </c>
      <c r="C149" s="44"/>
      <c r="D149" s="45" t="e">
        <f>+VLOOKUP(C149,'[10]Part List รวมล่าสุดกว่า'!A:R,3,0)</f>
        <v>#N/A</v>
      </c>
      <c r="E149" s="46" t="s">
        <v>24</v>
      </c>
      <c r="F149" s="45" t="e">
        <f>+VLOOKUP(C149,'[10]Part List รวมล่าสุดกว่า'!A:R,4,0)</f>
        <v>#N/A</v>
      </c>
      <c r="G149" s="46" t="s">
        <v>24</v>
      </c>
      <c r="H149" s="47" t="e">
        <f>+VLOOKUP(C149,'[10]Part List รวมล่าสุดกว่า'!A:R,5,0)</f>
        <v>#N/A</v>
      </c>
      <c r="I149" s="48" t="e">
        <f>+VLOOKUP(C149,'[10]Part List รวมล่าสุดกว่า'!A:R,9,0)</f>
        <v>#N/A</v>
      </c>
      <c r="J149" s="49" t="e">
        <f>+VLOOKUP(C149,'[10]Part List รวมล่าสุดกว่า'!A:R,10,0)</f>
        <v>#N/A</v>
      </c>
      <c r="K149" s="49" t="e">
        <f>+VLOOKUP(C149,'[10]Part List รวมล่าสุดกว่า'!A:R,11,0)</f>
        <v>#N/A</v>
      </c>
      <c r="L149" s="49" t="e">
        <f>+VLOOKUP(C149,'[10]Part List รวมล่าสุดกว่า'!A:R,12,0)</f>
        <v>#N/A</v>
      </c>
      <c r="M149" s="50" t="e">
        <f>+VLOOKUP(C149,[10]Forecast!F:V,6,0)</f>
        <v>#N/A</v>
      </c>
      <c r="N149" s="50" t="e">
        <f>+VLOOKUP(C149,[10]Forecast!F:V,8,0)</f>
        <v>#N/A</v>
      </c>
      <c r="O149" s="50" t="e">
        <f>+VLOOKUP(C149,[10]Forecast!F:V,10,0)</f>
        <v>#N/A</v>
      </c>
      <c r="P149" s="50" t="e">
        <f>+VLOOKUP(C149,[10]Forecast!F:V,12,0)</f>
        <v>#N/A</v>
      </c>
      <c r="Q149" s="50" t="e">
        <f>+VLOOKUP(C149,[10]Forecast!F:V,14,0)</f>
        <v>#N/A</v>
      </c>
      <c r="R149" s="50" t="e">
        <f>+VLOOKUP(C149,[10]Forecast!F:V,16,0)</f>
        <v>#N/A</v>
      </c>
      <c r="S149" s="51" t="s">
        <v>25</v>
      </c>
      <c r="T149" s="52"/>
    </row>
    <row r="150" spans="1:34" s="53" customFormat="1" ht="21" hidden="1" customHeight="1">
      <c r="A150" s="34"/>
      <c r="B150" s="43">
        <f t="shared" si="2"/>
        <v>140</v>
      </c>
      <c r="C150" s="44"/>
      <c r="D150" s="45" t="e">
        <f>+VLOOKUP(C150,'[10]Part List รวมล่าสุดกว่า'!A:R,3,0)</f>
        <v>#N/A</v>
      </c>
      <c r="E150" s="46" t="s">
        <v>24</v>
      </c>
      <c r="F150" s="45" t="e">
        <f>+VLOOKUP(C150,'[10]Part List รวมล่าสุดกว่า'!A:R,4,0)</f>
        <v>#N/A</v>
      </c>
      <c r="G150" s="46" t="s">
        <v>24</v>
      </c>
      <c r="H150" s="47" t="e">
        <f>+VLOOKUP(C150,'[10]Part List รวมล่าสุดกว่า'!A:R,5,0)</f>
        <v>#N/A</v>
      </c>
      <c r="I150" s="48" t="e">
        <f>+VLOOKUP(C150,'[10]Part List รวมล่าสุดกว่า'!A:R,9,0)</f>
        <v>#N/A</v>
      </c>
      <c r="J150" s="49" t="e">
        <f>+VLOOKUP(C150,'[10]Part List รวมล่าสุดกว่า'!A:R,10,0)</f>
        <v>#N/A</v>
      </c>
      <c r="K150" s="49" t="e">
        <f>+VLOOKUP(C150,'[10]Part List รวมล่าสุดกว่า'!A:R,11,0)</f>
        <v>#N/A</v>
      </c>
      <c r="L150" s="49" t="e">
        <f>+VLOOKUP(C150,'[10]Part List รวมล่าสุดกว่า'!A:R,12,0)</f>
        <v>#N/A</v>
      </c>
      <c r="M150" s="50" t="e">
        <f>+VLOOKUP(C150,[10]Forecast!F:V,6,0)</f>
        <v>#N/A</v>
      </c>
      <c r="N150" s="50" t="e">
        <f>+VLOOKUP(C150,[10]Forecast!F:V,8,0)</f>
        <v>#N/A</v>
      </c>
      <c r="O150" s="50" t="e">
        <f>+VLOOKUP(C150,[10]Forecast!F:V,10,0)</f>
        <v>#N/A</v>
      </c>
      <c r="P150" s="50" t="e">
        <f>+VLOOKUP(C150,[10]Forecast!F:V,12,0)</f>
        <v>#N/A</v>
      </c>
      <c r="Q150" s="50" t="e">
        <f>+VLOOKUP(C150,[10]Forecast!F:V,14,0)</f>
        <v>#N/A</v>
      </c>
      <c r="R150" s="50" t="e">
        <f>+VLOOKUP(C150,[10]Forecast!F:V,16,0)</f>
        <v>#N/A</v>
      </c>
      <c r="S150" s="51" t="s">
        <v>25</v>
      </c>
      <c r="T150" s="52"/>
    </row>
    <row r="151" spans="1:34" s="53" customFormat="1" ht="21" hidden="1" customHeight="1">
      <c r="A151" s="34"/>
      <c r="B151" s="43">
        <f t="shared" si="2"/>
        <v>141</v>
      </c>
      <c r="C151" s="44"/>
      <c r="D151" s="45" t="e">
        <f>+VLOOKUP(C151,'[10]Part List รวมล่าสุดกว่า'!A:R,3,0)</f>
        <v>#N/A</v>
      </c>
      <c r="E151" s="46" t="s">
        <v>24</v>
      </c>
      <c r="F151" s="45" t="e">
        <f>+VLOOKUP(C151,'[10]Part List รวมล่าสุดกว่า'!A:R,4,0)</f>
        <v>#N/A</v>
      </c>
      <c r="G151" s="46" t="s">
        <v>24</v>
      </c>
      <c r="H151" s="47" t="e">
        <f>+VLOOKUP(C151,'[10]Part List รวมล่าสุดกว่า'!A:R,5,0)</f>
        <v>#N/A</v>
      </c>
      <c r="I151" s="48" t="e">
        <f>+VLOOKUP(C151,'[10]Part List รวมล่าสุดกว่า'!A:R,9,0)</f>
        <v>#N/A</v>
      </c>
      <c r="J151" s="49" t="e">
        <f>+VLOOKUP(C151,'[10]Part List รวมล่าสุดกว่า'!A:R,10,0)</f>
        <v>#N/A</v>
      </c>
      <c r="K151" s="49" t="e">
        <f>+VLOOKUP(C151,'[10]Part List รวมล่าสุดกว่า'!A:R,11,0)</f>
        <v>#N/A</v>
      </c>
      <c r="L151" s="49" t="e">
        <f>+VLOOKUP(C151,'[10]Part List รวมล่าสุดกว่า'!A:R,12,0)</f>
        <v>#N/A</v>
      </c>
      <c r="M151" s="50" t="e">
        <f>+VLOOKUP(C151,[10]Forecast!F:V,6,0)</f>
        <v>#N/A</v>
      </c>
      <c r="N151" s="50" t="e">
        <f>+VLOOKUP(C151,[10]Forecast!F:V,8,0)</f>
        <v>#N/A</v>
      </c>
      <c r="O151" s="50" t="e">
        <f>+VLOOKUP(C151,[10]Forecast!F:V,10,0)</f>
        <v>#N/A</v>
      </c>
      <c r="P151" s="50" t="e">
        <f>+VLOOKUP(C151,[10]Forecast!F:V,12,0)</f>
        <v>#N/A</v>
      </c>
      <c r="Q151" s="50" t="e">
        <f>+VLOOKUP(C151,[10]Forecast!F:V,14,0)</f>
        <v>#N/A</v>
      </c>
      <c r="R151" s="50" t="e">
        <f>+VLOOKUP(C151,[10]Forecast!F:V,16,0)</f>
        <v>#N/A</v>
      </c>
      <c r="S151" s="51" t="s">
        <v>25</v>
      </c>
      <c r="T151" s="52"/>
    </row>
    <row r="152" spans="1:34" s="53" customFormat="1" ht="21" hidden="1" customHeight="1">
      <c r="A152" s="57"/>
      <c r="B152" s="43">
        <f t="shared" si="2"/>
        <v>142</v>
      </c>
      <c r="C152" s="58"/>
      <c r="D152" s="45" t="e">
        <f>+VLOOKUP(C152,'[10]Part List รวมล่าสุดกว่า'!A:R,3,0)</f>
        <v>#N/A</v>
      </c>
      <c r="E152" s="59" t="s">
        <v>24</v>
      </c>
      <c r="F152" s="45" t="e">
        <f>+VLOOKUP(C152,'[10]Part List รวมล่าสุดกว่า'!A:R,4,0)</f>
        <v>#N/A</v>
      </c>
      <c r="G152" s="46" t="s">
        <v>24</v>
      </c>
      <c r="H152" s="47" t="e">
        <f>+VLOOKUP(C152,'[10]Part List รวมล่าสุดกว่า'!A:R,5,0)</f>
        <v>#N/A</v>
      </c>
      <c r="I152" s="48" t="e">
        <f>+VLOOKUP(C152,'[10]Part List รวมล่าสุดกว่า'!A:R,9,0)</f>
        <v>#N/A</v>
      </c>
      <c r="J152" s="49" t="e">
        <f>+VLOOKUP(C152,'[10]Part List รวมล่าสุดกว่า'!A:R,10,0)</f>
        <v>#N/A</v>
      </c>
      <c r="K152" s="49" t="e">
        <f>+VLOOKUP(C152,'[10]Part List รวมล่าสุดกว่า'!A:R,11,0)</f>
        <v>#N/A</v>
      </c>
      <c r="L152" s="49" t="e">
        <f>+VLOOKUP(C152,'[10]Part List รวมล่าสุดกว่า'!A:R,12,0)</f>
        <v>#N/A</v>
      </c>
      <c r="M152" s="50" t="e">
        <f>+VLOOKUP(C152,[10]Forecast!F:V,6,0)</f>
        <v>#N/A</v>
      </c>
      <c r="N152" s="50" t="e">
        <f>+VLOOKUP(C152,[10]Forecast!F:V,8,0)</f>
        <v>#N/A</v>
      </c>
      <c r="O152" s="50" t="e">
        <f>+VLOOKUP(C152,[10]Forecast!F:V,10,0)</f>
        <v>#N/A</v>
      </c>
      <c r="P152" s="50" t="e">
        <f>+VLOOKUP(C152,[10]Forecast!F:V,12,0)</f>
        <v>#N/A</v>
      </c>
      <c r="Q152" s="50" t="e">
        <f>+VLOOKUP(C152,[10]Forecast!F:V,14,0)</f>
        <v>#N/A</v>
      </c>
      <c r="R152" s="50" t="e">
        <f>+VLOOKUP(C152,[10]Forecast!F:V,16,0)</f>
        <v>#N/A</v>
      </c>
      <c r="S152" s="60" t="s">
        <v>73</v>
      </c>
      <c r="T152" s="61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</row>
    <row r="153" spans="1:34" s="53" customFormat="1" ht="21" hidden="1" customHeight="1">
      <c r="A153" s="34"/>
      <c r="B153" s="43">
        <f t="shared" si="2"/>
        <v>143</v>
      </c>
      <c r="C153" s="44"/>
      <c r="D153" s="45" t="e">
        <f>+VLOOKUP(C153,'[10]Part List รวมล่าสุดกว่า'!A:R,3,0)</f>
        <v>#N/A</v>
      </c>
      <c r="E153" s="46" t="s">
        <v>24</v>
      </c>
      <c r="F153" s="45" t="e">
        <f>+VLOOKUP(C153,'[10]Part List รวมล่าสุดกว่า'!A:R,4,0)</f>
        <v>#N/A</v>
      </c>
      <c r="G153" s="46" t="s">
        <v>24</v>
      </c>
      <c r="H153" s="47" t="e">
        <f>+VLOOKUP(C153,'[10]Part List รวมล่าสุดกว่า'!A:R,5,0)</f>
        <v>#N/A</v>
      </c>
      <c r="I153" s="48" t="e">
        <f>+VLOOKUP(C153,'[10]Part List รวมล่าสุดกว่า'!A:R,9,0)</f>
        <v>#N/A</v>
      </c>
      <c r="J153" s="49" t="e">
        <f>+VLOOKUP(C153,'[10]Part List รวมล่าสุดกว่า'!A:R,10,0)</f>
        <v>#N/A</v>
      </c>
      <c r="K153" s="49" t="e">
        <f>+VLOOKUP(C153,'[10]Part List รวมล่าสุดกว่า'!A:R,11,0)</f>
        <v>#N/A</v>
      </c>
      <c r="L153" s="49" t="e">
        <f>+VLOOKUP(C153,'[10]Part List รวมล่าสุดกว่า'!A:R,12,0)</f>
        <v>#N/A</v>
      </c>
      <c r="M153" s="50" t="e">
        <f>+VLOOKUP(C153,[10]Forecast!F:V,6,0)</f>
        <v>#N/A</v>
      </c>
      <c r="N153" s="50" t="e">
        <f>+VLOOKUP(C153,[10]Forecast!F:V,8,0)</f>
        <v>#N/A</v>
      </c>
      <c r="O153" s="50" t="e">
        <f>+VLOOKUP(C153,[10]Forecast!F:V,10,0)</f>
        <v>#N/A</v>
      </c>
      <c r="P153" s="50" t="e">
        <f>+VLOOKUP(C153,[10]Forecast!F:V,12,0)</f>
        <v>#N/A</v>
      </c>
      <c r="Q153" s="50" t="e">
        <f>+VLOOKUP(C153,[10]Forecast!F:V,14,0)</f>
        <v>#N/A</v>
      </c>
      <c r="R153" s="50" t="e">
        <f>+VLOOKUP(C153,[10]Forecast!F:V,16,0)</f>
        <v>#N/A</v>
      </c>
      <c r="S153" s="51" t="s">
        <v>25</v>
      </c>
      <c r="T153" s="52"/>
    </row>
    <row r="154" spans="1:34" s="53" customFormat="1" ht="21" hidden="1" customHeight="1">
      <c r="A154" s="34"/>
      <c r="B154" s="43">
        <f t="shared" si="2"/>
        <v>144</v>
      </c>
      <c r="C154" s="44"/>
      <c r="D154" s="45" t="e">
        <f>+VLOOKUP(C154,'[10]Part List รวมล่าสุดกว่า'!A:R,3,0)</f>
        <v>#N/A</v>
      </c>
      <c r="E154" s="46" t="s">
        <v>24</v>
      </c>
      <c r="F154" s="45" t="e">
        <f>+VLOOKUP(C154,'[10]Part List รวมล่าสุดกว่า'!A:R,4,0)</f>
        <v>#N/A</v>
      </c>
      <c r="G154" s="46" t="s">
        <v>24</v>
      </c>
      <c r="H154" s="47" t="e">
        <f>+VLOOKUP(C154,'[10]Part List รวมล่าสุดกว่า'!A:R,5,0)</f>
        <v>#N/A</v>
      </c>
      <c r="I154" s="48" t="e">
        <f>+VLOOKUP(C154,'[10]Part List รวมล่าสุดกว่า'!A:R,9,0)</f>
        <v>#N/A</v>
      </c>
      <c r="J154" s="49" t="e">
        <f>+VLOOKUP(C154,'[10]Part List รวมล่าสุดกว่า'!A:R,10,0)</f>
        <v>#N/A</v>
      </c>
      <c r="K154" s="49" t="e">
        <f>+VLOOKUP(C154,'[10]Part List รวมล่าสุดกว่า'!A:R,11,0)</f>
        <v>#N/A</v>
      </c>
      <c r="L154" s="49" t="e">
        <f>+VLOOKUP(C154,'[10]Part List รวมล่าสุดกว่า'!A:R,12,0)</f>
        <v>#N/A</v>
      </c>
      <c r="M154" s="50" t="e">
        <f>+VLOOKUP(C154,[10]Forecast!F:V,6,0)</f>
        <v>#N/A</v>
      </c>
      <c r="N154" s="50" t="e">
        <f>+VLOOKUP(C154,[10]Forecast!F:V,8,0)</f>
        <v>#N/A</v>
      </c>
      <c r="O154" s="50" t="e">
        <f>+VLOOKUP(C154,[10]Forecast!F:V,10,0)</f>
        <v>#N/A</v>
      </c>
      <c r="P154" s="50" t="e">
        <f>+VLOOKUP(C154,[10]Forecast!F:V,12,0)</f>
        <v>#N/A</v>
      </c>
      <c r="Q154" s="50" t="e">
        <f>+VLOOKUP(C154,[10]Forecast!F:V,14,0)</f>
        <v>#N/A</v>
      </c>
      <c r="R154" s="50" t="e">
        <f>+VLOOKUP(C154,[10]Forecast!F:V,16,0)</f>
        <v>#N/A</v>
      </c>
      <c r="S154" s="51" t="s">
        <v>25</v>
      </c>
      <c r="T154" s="52"/>
    </row>
    <row r="155" spans="1:34" s="53" customFormat="1" ht="21" hidden="1" customHeight="1">
      <c r="A155" s="34"/>
      <c r="B155" s="43">
        <f t="shared" si="2"/>
        <v>145</v>
      </c>
      <c r="C155" s="44"/>
      <c r="D155" s="45" t="e">
        <f>+VLOOKUP(C155,'[10]Part List รวมล่าสุดกว่า'!A:R,3,0)</f>
        <v>#N/A</v>
      </c>
      <c r="E155" s="46" t="s">
        <v>24</v>
      </c>
      <c r="F155" s="45" t="e">
        <f>+VLOOKUP(C155,'[10]Part List รวมล่าสุดกว่า'!A:R,4,0)</f>
        <v>#N/A</v>
      </c>
      <c r="G155" s="46" t="s">
        <v>24</v>
      </c>
      <c r="H155" s="47" t="e">
        <f>+VLOOKUP(C155,'[10]Part List รวมล่าสุดกว่า'!A:R,5,0)</f>
        <v>#N/A</v>
      </c>
      <c r="I155" s="48" t="e">
        <f>+VLOOKUP(C155,'[10]Part List รวมล่าสุดกว่า'!A:R,9,0)</f>
        <v>#N/A</v>
      </c>
      <c r="J155" s="49" t="e">
        <f>+VLOOKUP(C155,'[10]Part List รวมล่าสุดกว่า'!A:R,10,0)</f>
        <v>#N/A</v>
      </c>
      <c r="K155" s="49" t="e">
        <f>+VLOOKUP(C155,'[10]Part List รวมล่าสุดกว่า'!A:R,11,0)</f>
        <v>#N/A</v>
      </c>
      <c r="L155" s="49" t="e">
        <f>+VLOOKUP(C155,'[10]Part List รวมล่าสุดกว่า'!A:R,12,0)</f>
        <v>#N/A</v>
      </c>
      <c r="M155" s="50" t="e">
        <f>+VLOOKUP(C155,[10]Forecast!F:V,6,0)</f>
        <v>#N/A</v>
      </c>
      <c r="N155" s="50" t="e">
        <f>+VLOOKUP(C155,[10]Forecast!F:V,8,0)</f>
        <v>#N/A</v>
      </c>
      <c r="O155" s="50" t="e">
        <f>+VLOOKUP(C155,[10]Forecast!F:V,10,0)</f>
        <v>#N/A</v>
      </c>
      <c r="P155" s="50" t="e">
        <f>+VLOOKUP(C155,[10]Forecast!F:V,12,0)</f>
        <v>#N/A</v>
      </c>
      <c r="Q155" s="50" t="e">
        <f>+VLOOKUP(C155,[10]Forecast!F:V,14,0)</f>
        <v>#N/A</v>
      </c>
      <c r="R155" s="50" t="e">
        <f>+VLOOKUP(C155,[10]Forecast!F:V,16,0)</f>
        <v>#N/A</v>
      </c>
      <c r="S155" s="51" t="s">
        <v>25</v>
      </c>
      <c r="T155" s="52"/>
    </row>
    <row r="156" spans="1:34" s="53" customFormat="1" ht="21" hidden="1" customHeight="1">
      <c r="A156" s="34"/>
      <c r="B156" s="43">
        <f t="shared" si="2"/>
        <v>146</v>
      </c>
      <c r="C156" s="44"/>
      <c r="D156" s="45" t="e">
        <f>+VLOOKUP(C156,'[10]Part List รวมล่าสุดกว่า'!A:R,3,0)</f>
        <v>#N/A</v>
      </c>
      <c r="E156" s="46" t="s">
        <v>24</v>
      </c>
      <c r="F156" s="45" t="e">
        <f>+VLOOKUP(C156,'[10]Part List รวมล่าสุดกว่า'!A:R,4,0)</f>
        <v>#N/A</v>
      </c>
      <c r="G156" s="46" t="s">
        <v>24</v>
      </c>
      <c r="H156" s="47" t="e">
        <f>+VLOOKUP(C156,'[10]Part List รวมล่าสุดกว่า'!A:R,5,0)</f>
        <v>#N/A</v>
      </c>
      <c r="I156" s="48" t="e">
        <f>+VLOOKUP(C156,'[10]Part List รวมล่าสุดกว่า'!A:R,9,0)</f>
        <v>#N/A</v>
      </c>
      <c r="J156" s="49" t="e">
        <f>+VLOOKUP(C156,'[10]Part List รวมล่าสุดกว่า'!A:R,10,0)</f>
        <v>#N/A</v>
      </c>
      <c r="K156" s="49" t="e">
        <f>+VLOOKUP(C156,'[10]Part List รวมล่าสุดกว่า'!A:R,11,0)</f>
        <v>#N/A</v>
      </c>
      <c r="L156" s="49" t="e">
        <f>+VLOOKUP(C156,'[10]Part List รวมล่าสุดกว่า'!A:R,12,0)</f>
        <v>#N/A</v>
      </c>
      <c r="M156" s="50" t="e">
        <f>+VLOOKUP(C156,[10]Forecast!F:V,6,0)</f>
        <v>#N/A</v>
      </c>
      <c r="N156" s="50" t="e">
        <f>+VLOOKUP(C156,[10]Forecast!F:V,8,0)</f>
        <v>#N/A</v>
      </c>
      <c r="O156" s="50" t="e">
        <f>+VLOOKUP(C156,[10]Forecast!F:V,10,0)</f>
        <v>#N/A</v>
      </c>
      <c r="P156" s="50" t="e">
        <f>+VLOOKUP(C156,[10]Forecast!F:V,12,0)</f>
        <v>#N/A</v>
      </c>
      <c r="Q156" s="50" t="e">
        <f>+VLOOKUP(C156,[10]Forecast!F:V,14,0)</f>
        <v>#N/A</v>
      </c>
      <c r="R156" s="50" t="e">
        <f>+VLOOKUP(C156,[10]Forecast!F:V,16,0)</f>
        <v>#N/A</v>
      </c>
      <c r="S156" s="51" t="s">
        <v>25</v>
      </c>
      <c r="T156" s="52"/>
    </row>
    <row r="157" spans="1:34" s="53" customFormat="1" ht="21" hidden="1" customHeight="1">
      <c r="A157" s="34"/>
      <c r="B157" s="43">
        <f t="shared" si="2"/>
        <v>147</v>
      </c>
      <c r="C157" s="44"/>
      <c r="D157" s="45" t="e">
        <f>+VLOOKUP(C157,'[10]Part List รวมล่าสุดกว่า'!A:R,3,0)</f>
        <v>#N/A</v>
      </c>
      <c r="E157" s="46" t="s">
        <v>24</v>
      </c>
      <c r="F157" s="45" t="e">
        <f>+VLOOKUP(C157,'[10]Part List รวมล่าสุดกว่า'!A:R,4,0)</f>
        <v>#N/A</v>
      </c>
      <c r="G157" s="46" t="s">
        <v>24</v>
      </c>
      <c r="H157" s="47" t="e">
        <f>+VLOOKUP(C157,'[10]Part List รวมล่าสุดกว่า'!A:R,5,0)</f>
        <v>#N/A</v>
      </c>
      <c r="I157" s="48" t="e">
        <f>+VLOOKUP(C157,'[10]Part List รวมล่าสุดกว่า'!A:R,9,0)</f>
        <v>#N/A</v>
      </c>
      <c r="J157" s="49" t="e">
        <f>+VLOOKUP(C157,'[10]Part List รวมล่าสุดกว่า'!A:R,10,0)</f>
        <v>#N/A</v>
      </c>
      <c r="K157" s="49" t="e">
        <f>+VLOOKUP(C157,'[10]Part List รวมล่าสุดกว่า'!A:R,11,0)</f>
        <v>#N/A</v>
      </c>
      <c r="L157" s="49" t="e">
        <f>+VLOOKUP(C157,'[10]Part List รวมล่าสุดกว่า'!A:R,12,0)</f>
        <v>#N/A</v>
      </c>
      <c r="M157" s="50" t="e">
        <f>+VLOOKUP(C157,[10]Forecast!F:V,6,0)</f>
        <v>#N/A</v>
      </c>
      <c r="N157" s="50" t="e">
        <f>+VLOOKUP(C157,[10]Forecast!F:V,8,0)</f>
        <v>#N/A</v>
      </c>
      <c r="O157" s="50" t="e">
        <f>+VLOOKUP(C157,[10]Forecast!F:V,10,0)</f>
        <v>#N/A</v>
      </c>
      <c r="P157" s="50" t="e">
        <f>+VLOOKUP(C157,[10]Forecast!F:V,12,0)</f>
        <v>#N/A</v>
      </c>
      <c r="Q157" s="50" t="e">
        <f>+VLOOKUP(C157,[10]Forecast!F:V,14,0)</f>
        <v>#N/A</v>
      </c>
      <c r="R157" s="50" t="e">
        <f>+VLOOKUP(C157,[10]Forecast!F:V,16,0)</f>
        <v>#N/A</v>
      </c>
      <c r="S157" s="51" t="s">
        <v>25</v>
      </c>
      <c r="T157" s="52"/>
    </row>
    <row r="158" spans="1:34" s="53" customFormat="1" ht="21" hidden="1" customHeight="1">
      <c r="A158" s="34"/>
      <c r="B158" s="43">
        <f t="shared" si="2"/>
        <v>148</v>
      </c>
      <c r="C158" s="44"/>
      <c r="D158" s="45" t="e">
        <f>+VLOOKUP(C158,'[10]Part List รวมล่าสุดกว่า'!A:R,3,0)</f>
        <v>#N/A</v>
      </c>
      <c r="E158" s="46" t="s">
        <v>24</v>
      </c>
      <c r="F158" s="45" t="e">
        <f>+VLOOKUP(C158,'[10]Part List รวมล่าสุดกว่า'!A:R,4,0)</f>
        <v>#N/A</v>
      </c>
      <c r="G158" s="46" t="s">
        <v>24</v>
      </c>
      <c r="H158" s="47" t="e">
        <f>+VLOOKUP(C158,'[10]Part List รวมล่าสุดกว่า'!A:R,5,0)</f>
        <v>#N/A</v>
      </c>
      <c r="I158" s="48" t="e">
        <f>+VLOOKUP(C158,'[10]Part List รวมล่าสุดกว่า'!A:R,9,0)</f>
        <v>#N/A</v>
      </c>
      <c r="J158" s="49" t="e">
        <f>+VLOOKUP(C158,'[10]Part List รวมล่าสุดกว่า'!A:R,10,0)</f>
        <v>#N/A</v>
      </c>
      <c r="K158" s="49" t="e">
        <f>+VLOOKUP(C158,'[10]Part List รวมล่าสุดกว่า'!A:R,11,0)</f>
        <v>#N/A</v>
      </c>
      <c r="L158" s="49" t="e">
        <f>+VLOOKUP(C158,'[10]Part List รวมล่าสุดกว่า'!A:R,12,0)</f>
        <v>#N/A</v>
      </c>
      <c r="M158" s="50" t="e">
        <f>+VLOOKUP(C158,[10]Forecast!F:V,6,0)</f>
        <v>#N/A</v>
      </c>
      <c r="N158" s="50" t="e">
        <f>+VLOOKUP(C158,[10]Forecast!F:V,8,0)</f>
        <v>#N/A</v>
      </c>
      <c r="O158" s="50" t="e">
        <f>+VLOOKUP(C158,[10]Forecast!F:V,10,0)</f>
        <v>#N/A</v>
      </c>
      <c r="P158" s="50" t="e">
        <f>+VLOOKUP(C158,[10]Forecast!F:V,12,0)</f>
        <v>#N/A</v>
      </c>
      <c r="Q158" s="50" t="e">
        <f>+VLOOKUP(C158,[10]Forecast!F:V,14,0)</f>
        <v>#N/A</v>
      </c>
      <c r="R158" s="50" t="e">
        <f>+VLOOKUP(C158,[10]Forecast!F:V,16,0)</f>
        <v>#N/A</v>
      </c>
      <c r="S158" s="51" t="s">
        <v>25</v>
      </c>
      <c r="T158" s="52"/>
    </row>
    <row r="159" spans="1:34" s="53" customFormat="1" ht="21" hidden="1" customHeight="1">
      <c r="A159" s="34"/>
      <c r="B159" s="43">
        <f t="shared" si="2"/>
        <v>149</v>
      </c>
      <c r="C159" s="44"/>
      <c r="D159" s="45" t="e">
        <f>+VLOOKUP(C159,'[10]Part List รวมล่าสุดกว่า'!A:R,3,0)</f>
        <v>#N/A</v>
      </c>
      <c r="E159" s="55" t="s">
        <v>24</v>
      </c>
      <c r="F159" s="45" t="e">
        <f>+VLOOKUP(C159,'[10]Part List รวมล่าสุดกว่า'!A:R,4,0)</f>
        <v>#N/A</v>
      </c>
      <c r="G159" s="46" t="s">
        <v>24</v>
      </c>
      <c r="H159" s="47" t="e">
        <f>+VLOOKUP(C159,'[10]Part List รวมล่าสุดกว่า'!A:R,5,0)</f>
        <v>#N/A</v>
      </c>
      <c r="I159" s="48" t="e">
        <f>+VLOOKUP(C159,'[10]Part List รวมล่าสุดกว่า'!A:R,9,0)</f>
        <v>#N/A</v>
      </c>
      <c r="J159" s="49" t="e">
        <f>+VLOOKUP(C159,'[10]Part List รวมล่าสุดกว่า'!A:R,10,0)</f>
        <v>#N/A</v>
      </c>
      <c r="K159" s="49" t="e">
        <f>+VLOOKUP(C159,'[10]Part List รวมล่าสุดกว่า'!A:R,11,0)</f>
        <v>#N/A</v>
      </c>
      <c r="L159" s="49" t="e">
        <f>+VLOOKUP(C159,'[10]Part List รวมล่าสุดกว่า'!A:R,12,0)</f>
        <v>#N/A</v>
      </c>
      <c r="M159" s="50" t="e">
        <f>+VLOOKUP(C159,[10]Forecast!F:V,6,0)</f>
        <v>#N/A</v>
      </c>
      <c r="N159" s="50" t="e">
        <f>+VLOOKUP(C159,[10]Forecast!F:V,8,0)</f>
        <v>#N/A</v>
      </c>
      <c r="O159" s="50" t="e">
        <f>+VLOOKUP(C159,[10]Forecast!F:V,10,0)</f>
        <v>#N/A</v>
      </c>
      <c r="P159" s="50" t="e">
        <f>+VLOOKUP(C159,[10]Forecast!F:V,12,0)</f>
        <v>#N/A</v>
      </c>
      <c r="Q159" s="50" t="e">
        <f>+VLOOKUP(C159,[10]Forecast!F:V,14,0)</f>
        <v>#N/A</v>
      </c>
      <c r="R159" s="50" t="e">
        <f>+VLOOKUP(C159,[10]Forecast!F:V,16,0)</f>
        <v>#N/A</v>
      </c>
      <c r="S159" s="51" t="s">
        <v>25</v>
      </c>
      <c r="T159" s="52"/>
    </row>
    <row r="160" spans="1:34" s="53" customFormat="1" ht="21" hidden="1" customHeight="1">
      <c r="A160" s="34"/>
      <c r="B160" s="43">
        <f t="shared" si="2"/>
        <v>150</v>
      </c>
      <c r="C160" s="44"/>
      <c r="D160" s="45" t="e">
        <f>+VLOOKUP(C160,'[10]Part List รวมล่าสุดกว่า'!A:R,3,0)</f>
        <v>#N/A</v>
      </c>
      <c r="E160" s="46" t="s">
        <v>24</v>
      </c>
      <c r="F160" s="45" t="e">
        <f>+VLOOKUP(C160,'[10]Part List รวมล่าสุดกว่า'!A:R,4,0)</f>
        <v>#N/A</v>
      </c>
      <c r="G160" s="46" t="s">
        <v>24</v>
      </c>
      <c r="H160" s="47" t="e">
        <f>+VLOOKUP(C160,'[10]Part List รวมล่าสุดกว่า'!A:R,5,0)</f>
        <v>#N/A</v>
      </c>
      <c r="I160" s="48" t="e">
        <f>+VLOOKUP(C160,'[10]Part List รวมล่าสุดกว่า'!A:R,9,0)</f>
        <v>#N/A</v>
      </c>
      <c r="J160" s="49" t="e">
        <f>+VLOOKUP(C160,'[10]Part List รวมล่าสุดกว่า'!A:R,10,0)</f>
        <v>#N/A</v>
      </c>
      <c r="K160" s="49" t="e">
        <f>+VLOOKUP(C160,'[10]Part List รวมล่าสุดกว่า'!A:R,11,0)</f>
        <v>#N/A</v>
      </c>
      <c r="L160" s="49" t="e">
        <f>+VLOOKUP(C160,'[10]Part List รวมล่าสุดกว่า'!A:R,12,0)</f>
        <v>#N/A</v>
      </c>
      <c r="M160" s="50" t="e">
        <f>+VLOOKUP(C160,[10]Forecast!F:V,6,0)</f>
        <v>#N/A</v>
      </c>
      <c r="N160" s="50" t="e">
        <f>+VLOOKUP(C160,[10]Forecast!F:V,8,0)</f>
        <v>#N/A</v>
      </c>
      <c r="O160" s="50" t="e">
        <f>+VLOOKUP(C160,[10]Forecast!F:V,10,0)</f>
        <v>#N/A</v>
      </c>
      <c r="P160" s="50" t="e">
        <f>+VLOOKUP(C160,[10]Forecast!F:V,12,0)</f>
        <v>#N/A</v>
      </c>
      <c r="Q160" s="50" t="e">
        <f>+VLOOKUP(C160,[10]Forecast!F:V,14,0)</f>
        <v>#N/A</v>
      </c>
      <c r="R160" s="50" t="e">
        <f>+VLOOKUP(C160,[10]Forecast!F:V,16,0)</f>
        <v>#N/A</v>
      </c>
      <c r="S160" s="51" t="s">
        <v>25</v>
      </c>
      <c r="T160" s="52"/>
    </row>
    <row r="161" spans="1:20" s="53" customFormat="1" ht="21" hidden="1" customHeight="1">
      <c r="A161" s="34"/>
      <c r="B161" s="43">
        <f t="shared" si="2"/>
        <v>151</v>
      </c>
      <c r="C161" s="44"/>
      <c r="D161" s="45" t="e">
        <f>+VLOOKUP(C161,'[10]Part List รวมล่าสุดกว่า'!A:R,3,0)</f>
        <v>#N/A</v>
      </c>
      <c r="E161" s="46" t="s">
        <v>24</v>
      </c>
      <c r="F161" s="45" t="e">
        <f>+VLOOKUP(C161,'[10]Part List รวมล่าสุดกว่า'!A:R,4,0)</f>
        <v>#N/A</v>
      </c>
      <c r="G161" s="46" t="s">
        <v>24</v>
      </c>
      <c r="H161" s="47" t="e">
        <f>+VLOOKUP(C161,'[10]Part List รวมล่าสุดกว่า'!A:R,5,0)</f>
        <v>#N/A</v>
      </c>
      <c r="I161" s="48" t="e">
        <f>+VLOOKUP(C161,'[10]Part List รวมล่าสุดกว่า'!A:R,9,0)</f>
        <v>#N/A</v>
      </c>
      <c r="J161" s="49" t="e">
        <f>+VLOOKUP(C161,'[10]Part List รวมล่าสุดกว่า'!A:R,10,0)</f>
        <v>#N/A</v>
      </c>
      <c r="K161" s="49" t="e">
        <f>+VLOOKUP(C161,'[10]Part List รวมล่าสุดกว่า'!A:R,11,0)</f>
        <v>#N/A</v>
      </c>
      <c r="L161" s="49" t="e">
        <f>+VLOOKUP(C161,'[10]Part List รวมล่าสุดกว่า'!A:R,12,0)</f>
        <v>#N/A</v>
      </c>
      <c r="M161" s="50" t="e">
        <f>+VLOOKUP(C161,[10]Forecast!F:V,6,0)</f>
        <v>#N/A</v>
      </c>
      <c r="N161" s="50" t="e">
        <f>+VLOOKUP(C161,[10]Forecast!F:V,8,0)</f>
        <v>#N/A</v>
      </c>
      <c r="O161" s="50" t="e">
        <f>+VLOOKUP(C161,[10]Forecast!F:V,10,0)</f>
        <v>#N/A</v>
      </c>
      <c r="P161" s="50" t="e">
        <f>+VLOOKUP(C161,[10]Forecast!F:V,12,0)</f>
        <v>#N/A</v>
      </c>
      <c r="Q161" s="50" t="e">
        <f>+VLOOKUP(C161,[10]Forecast!F:V,14,0)</f>
        <v>#N/A</v>
      </c>
      <c r="R161" s="50" t="e">
        <f>+VLOOKUP(C161,[10]Forecast!F:V,16,0)</f>
        <v>#N/A</v>
      </c>
      <c r="S161" s="51" t="s">
        <v>25</v>
      </c>
      <c r="T161" s="52"/>
    </row>
    <row r="162" spans="1:20" s="53" customFormat="1" ht="21" hidden="1" customHeight="1">
      <c r="A162" s="34"/>
      <c r="B162" s="43">
        <f t="shared" si="2"/>
        <v>152</v>
      </c>
      <c r="C162" s="44"/>
      <c r="D162" s="45" t="e">
        <f>+VLOOKUP(C162,'[10]Part List รวมล่าสุดกว่า'!A:R,3,0)</f>
        <v>#N/A</v>
      </c>
      <c r="E162" s="46" t="s">
        <v>24</v>
      </c>
      <c r="F162" s="45" t="e">
        <f>+VLOOKUP(C162,'[10]Part List รวมล่าสุดกว่า'!A:R,4,0)</f>
        <v>#N/A</v>
      </c>
      <c r="G162" s="46" t="s">
        <v>24</v>
      </c>
      <c r="H162" s="47" t="e">
        <f>+VLOOKUP(C162,'[10]Part List รวมล่าสุดกว่า'!A:R,5,0)</f>
        <v>#N/A</v>
      </c>
      <c r="I162" s="48" t="e">
        <f>+VLOOKUP(C162,'[10]Part List รวมล่าสุดกว่า'!A:R,9,0)</f>
        <v>#N/A</v>
      </c>
      <c r="J162" s="49" t="e">
        <f>+VLOOKUP(C162,'[10]Part List รวมล่าสุดกว่า'!A:R,10,0)</f>
        <v>#N/A</v>
      </c>
      <c r="K162" s="49" t="e">
        <f>+VLOOKUP(C162,'[10]Part List รวมล่าสุดกว่า'!A:R,11,0)</f>
        <v>#N/A</v>
      </c>
      <c r="L162" s="49" t="e">
        <f>+VLOOKUP(C162,'[10]Part List รวมล่าสุดกว่า'!A:R,12,0)</f>
        <v>#N/A</v>
      </c>
      <c r="M162" s="50" t="e">
        <f>+VLOOKUP(C162,[10]Forecast!F:V,6,0)</f>
        <v>#N/A</v>
      </c>
      <c r="N162" s="50" t="e">
        <f>+VLOOKUP(C162,[10]Forecast!F:V,8,0)</f>
        <v>#N/A</v>
      </c>
      <c r="O162" s="50" t="e">
        <f>+VLOOKUP(C162,[10]Forecast!F:V,10,0)</f>
        <v>#N/A</v>
      </c>
      <c r="P162" s="50" t="e">
        <f>+VLOOKUP(C162,[10]Forecast!F:V,12,0)</f>
        <v>#N/A</v>
      </c>
      <c r="Q162" s="50" t="e">
        <f>+VLOOKUP(C162,[10]Forecast!F:V,14,0)</f>
        <v>#N/A</v>
      </c>
      <c r="R162" s="50" t="e">
        <f>+VLOOKUP(C162,[10]Forecast!F:V,16,0)</f>
        <v>#N/A</v>
      </c>
      <c r="S162" s="51" t="s">
        <v>25</v>
      </c>
      <c r="T162" s="52"/>
    </row>
    <row r="163" spans="1:20" s="53" customFormat="1" ht="21" hidden="1" customHeight="1">
      <c r="A163" s="34"/>
      <c r="B163" s="43">
        <f t="shared" si="2"/>
        <v>153</v>
      </c>
      <c r="C163" s="44"/>
      <c r="D163" s="45" t="e">
        <f>+VLOOKUP(C163,'[10]Part List รวมล่าสุดกว่า'!A:R,3,0)</f>
        <v>#N/A</v>
      </c>
      <c r="E163" s="46" t="s">
        <v>24</v>
      </c>
      <c r="F163" s="45" t="e">
        <f>+VLOOKUP(C163,'[10]Part List รวมล่าสุดกว่า'!A:R,4,0)</f>
        <v>#N/A</v>
      </c>
      <c r="G163" s="46" t="s">
        <v>24</v>
      </c>
      <c r="H163" s="47" t="e">
        <f>+VLOOKUP(C163,'[10]Part List รวมล่าสุดกว่า'!A:R,5,0)</f>
        <v>#N/A</v>
      </c>
      <c r="I163" s="48" t="e">
        <f>+VLOOKUP(C163,'[10]Part List รวมล่าสุดกว่า'!A:R,9,0)</f>
        <v>#N/A</v>
      </c>
      <c r="J163" s="49" t="e">
        <f>+VLOOKUP(C163,'[10]Part List รวมล่าสุดกว่า'!A:R,10,0)</f>
        <v>#N/A</v>
      </c>
      <c r="K163" s="49" t="e">
        <f>+VLOOKUP(C163,'[10]Part List รวมล่าสุดกว่า'!A:R,11,0)</f>
        <v>#N/A</v>
      </c>
      <c r="L163" s="49" t="e">
        <f>+VLOOKUP(C163,'[10]Part List รวมล่าสุดกว่า'!A:R,12,0)</f>
        <v>#N/A</v>
      </c>
      <c r="M163" s="50" t="e">
        <f>+VLOOKUP(C163,[10]Forecast!F:V,6,0)</f>
        <v>#N/A</v>
      </c>
      <c r="N163" s="50" t="e">
        <f>+VLOOKUP(C163,[10]Forecast!F:V,8,0)</f>
        <v>#N/A</v>
      </c>
      <c r="O163" s="50" t="e">
        <f>+VLOOKUP(C163,[10]Forecast!F:V,10,0)</f>
        <v>#N/A</v>
      </c>
      <c r="P163" s="50" t="e">
        <f>+VLOOKUP(C163,[10]Forecast!F:V,12,0)</f>
        <v>#N/A</v>
      </c>
      <c r="Q163" s="50" t="e">
        <f>+VLOOKUP(C163,[10]Forecast!F:V,14,0)</f>
        <v>#N/A</v>
      </c>
      <c r="R163" s="50" t="e">
        <f>+VLOOKUP(C163,[10]Forecast!F:V,16,0)</f>
        <v>#N/A</v>
      </c>
      <c r="S163" s="51" t="s">
        <v>25</v>
      </c>
      <c r="T163" s="52"/>
    </row>
    <row r="164" spans="1:20" s="53" customFormat="1" ht="21" hidden="1" customHeight="1">
      <c r="A164" s="34"/>
      <c r="B164" s="43">
        <f t="shared" si="2"/>
        <v>154</v>
      </c>
      <c r="C164" s="44"/>
      <c r="D164" s="45" t="e">
        <f>+VLOOKUP(C164,'[10]Part List รวมล่าสุดกว่า'!A:R,3,0)</f>
        <v>#N/A</v>
      </c>
      <c r="E164" s="46" t="s">
        <v>24</v>
      </c>
      <c r="F164" s="45" t="e">
        <f>+VLOOKUP(C164,'[10]Part List รวมล่าสุดกว่า'!A:R,4,0)</f>
        <v>#N/A</v>
      </c>
      <c r="G164" s="46" t="s">
        <v>24</v>
      </c>
      <c r="H164" s="47" t="e">
        <f>+VLOOKUP(C164,'[10]Part List รวมล่าสุดกว่า'!A:R,5,0)</f>
        <v>#N/A</v>
      </c>
      <c r="I164" s="48" t="e">
        <f>+VLOOKUP(C164,'[10]Part List รวมล่าสุดกว่า'!A:R,9,0)</f>
        <v>#N/A</v>
      </c>
      <c r="J164" s="49" t="e">
        <f>+VLOOKUP(C164,'[10]Part List รวมล่าสุดกว่า'!A:R,10,0)</f>
        <v>#N/A</v>
      </c>
      <c r="K164" s="49" t="e">
        <f>+VLOOKUP(C164,'[10]Part List รวมล่าสุดกว่า'!A:R,11,0)</f>
        <v>#N/A</v>
      </c>
      <c r="L164" s="49" t="e">
        <f>+VLOOKUP(C164,'[10]Part List รวมล่าสุดกว่า'!A:R,12,0)</f>
        <v>#N/A</v>
      </c>
      <c r="M164" s="50" t="e">
        <f>+VLOOKUP(C164,[10]Forecast!F:V,6,0)</f>
        <v>#N/A</v>
      </c>
      <c r="N164" s="50" t="e">
        <f>+VLOOKUP(C164,[10]Forecast!F:V,8,0)</f>
        <v>#N/A</v>
      </c>
      <c r="O164" s="50" t="e">
        <f>+VLOOKUP(C164,[10]Forecast!F:V,10,0)</f>
        <v>#N/A</v>
      </c>
      <c r="P164" s="50" t="e">
        <f>+VLOOKUP(C164,[10]Forecast!F:V,12,0)</f>
        <v>#N/A</v>
      </c>
      <c r="Q164" s="50" t="e">
        <f>+VLOOKUP(C164,[10]Forecast!F:V,14,0)</f>
        <v>#N/A</v>
      </c>
      <c r="R164" s="50" t="e">
        <f>+VLOOKUP(C164,[10]Forecast!F:V,16,0)</f>
        <v>#N/A</v>
      </c>
      <c r="S164" s="51" t="s">
        <v>25</v>
      </c>
      <c r="T164" s="52"/>
    </row>
    <row r="165" spans="1:20" s="53" customFormat="1" ht="21" hidden="1" customHeight="1">
      <c r="A165" s="34"/>
      <c r="B165" s="43">
        <f t="shared" si="2"/>
        <v>155</v>
      </c>
      <c r="C165" s="44"/>
      <c r="D165" s="45" t="e">
        <f>+VLOOKUP(C165,'[10]Part List รวมล่าสุดกว่า'!A:R,3,0)</f>
        <v>#N/A</v>
      </c>
      <c r="E165" s="46" t="s">
        <v>24</v>
      </c>
      <c r="F165" s="45" t="e">
        <f>+VLOOKUP(C165,'[10]Part List รวมล่าสุดกว่า'!A:R,4,0)</f>
        <v>#N/A</v>
      </c>
      <c r="G165" s="46" t="s">
        <v>24</v>
      </c>
      <c r="H165" s="47" t="e">
        <f>+VLOOKUP(C165,'[10]Part List รวมล่าสุดกว่า'!A:R,5,0)</f>
        <v>#N/A</v>
      </c>
      <c r="I165" s="48" t="e">
        <f>+VLOOKUP(C165,'[10]Part List รวมล่าสุดกว่า'!A:R,9,0)</f>
        <v>#N/A</v>
      </c>
      <c r="J165" s="49" t="e">
        <f>+VLOOKUP(C165,'[10]Part List รวมล่าสุดกว่า'!A:R,10,0)</f>
        <v>#N/A</v>
      </c>
      <c r="K165" s="49" t="e">
        <f>+VLOOKUP(C165,'[10]Part List รวมล่าสุดกว่า'!A:R,11,0)</f>
        <v>#N/A</v>
      </c>
      <c r="L165" s="49" t="e">
        <f>+VLOOKUP(C165,'[10]Part List รวมล่าสุดกว่า'!A:R,12,0)</f>
        <v>#N/A</v>
      </c>
      <c r="M165" s="50" t="e">
        <f>+VLOOKUP(C165,[10]Forecast!F:V,6,0)</f>
        <v>#N/A</v>
      </c>
      <c r="N165" s="50" t="e">
        <f>+VLOOKUP(C165,[10]Forecast!F:V,8,0)</f>
        <v>#N/A</v>
      </c>
      <c r="O165" s="50" t="e">
        <f>+VLOOKUP(C165,[10]Forecast!F:V,10,0)</f>
        <v>#N/A</v>
      </c>
      <c r="P165" s="50" t="e">
        <f>+VLOOKUP(C165,[10]Forecast!F:V,12,0)</f>
        <v>#N/A</v>
      </c>
      <c r="Q165" s="50" t="e">
        <f>+VLOOKUP(C165,[10]Forecast!F:V,14,0)</f>
        <v>#N/A</v>
      </c>
      <c r="R165" s="50" t="e">
        <f>+VLOOKUP(C165,[10]Forecast!F:V,16,0)</f>
        <v>#N/A</v>
      </c>
      <c r="S165" s="51" t="s">
        <v>25</v>
      </c>
      <c r="T165" s="52"/>
    </row>
    <row r="166" spans="1:20" s="53" customFormat="1" ht="21" hidden="1" customHeight="1">
      <c r="A166" s="34"/>
      <c r="B166" s="43">
        <f t="shared" si="2"/>
        <v>156</v>
      </c>
      <c r="C166" s="44"/>
      <c r="D166" s="45" t="e">
        <f>+VLOOKUP(C166,'[10]Part List รวมล่าสุดกว่า'!A:R,3,0)</f>
        <v>#N/A</v>
      </c>
      <c r="E166" s="46" t="s">
        <v>24</v>
      </c>
      <c r="F166" s="45" t="e">
        <f>+VLOOKUP(C166,'[10]Part List รวมล่าสุดกว่า'!A:R,4,0)</f>
        <v>#N/A</v>
      </c>
      <c r="G166" s="46" t="s">
        <v>24</v>
      </c>
      <c r="H166" s="47" t="e">
        <f>+VLOOKUP(C166,'[10]Part List รวมล่าสุดกว่า'!A:R,5,0)</f>
        <v>#N/A</v>
      </c>
      <c r="I166" s="48" t="e">
        <f>+VLOOKUP(C166,'[10]Part List รวมล่าสุดกว่า'!A:R,9,0)</f>
        <v>#N/A</v>
      </c>
      <c r="J166" s="49" t="e">
        <f>+VLOOKUP(C166,'[10]Part List รวมล่าสุดกว่า'!A:R,10,0)</f>
        <v>#N/A</v>
      </c>
      <c r="K166" s="49" t="e">
        <f>+VLOOKUP(C166,'[10]Part List รวมล่าสุดกว่า'!A:R,11,0)</f>
        <v>#N/A</v>
      </c>
      <c r="L166" s="49" t="e">
        <f>+VLOOKUP(C166,'[10]Part List รวมล่าสุดกว่า'!A:R,12,0)</f>
        <v>#N/A</v>
      </c>
      <c r="M166" s="50" t="e">
        <f>+VLOOKUP(C166,[10]Forecast!F:V,6,0)</f>
        <v>#N/A</v>
      </c>
      <c r="N166" s="50" t="e">
        <f>+VLOOKUP(C166,[10]Forecast!F:V,8,0)</f>
        <v>#N/A</v>
      </c>
      <c r="O166" s="50" t="e">
        <f>+VLOOKUP(C166,[10]Forecast!F:V,10,0)</f>
        <v>#N/A</v>
      </c>
      <c r="P166" s="50" t="e">
        <f>+VLOOKUP(C166,[10]Forecast!F:V,12,0)</f>
        <v>#N/A</v>
      </c>
      <c r="Q166" s="50" t="e">
        <f>+VLOOKUP(C166,[10]Forecast!F:V,14,0)</f>
        <v>#N/A</v>
      </c>
      <c r="R166" s="50" t="e">
        <f>+VLOOKUP(C166,[10]Forecast!F:V,16,0)</f>
        <v>#N/A</v>
      </c>
      <c r="S166" s="51" t="s">
        <v>25</v>
      </c>
      <c r="T166" s="52"/>
    </row>
    <row r="167" spans="1:20" s="53" customFormat="1" ht="21" hidden="1" customHeight="1">
      <c r="A167" s="34"/>
      <c r="B167" s="43">
        <f t="shared" si="2"/>
        <v>157</v>
      </c>
      <c r="C167" s="62"/>
      <c r="D167" s="45" t="e">
        <f>+VLOOKUP(C167,'[10]Part List รวมล่าสุดกว่า'!A:R,3,0)</f>
        <v>#N/A</v>
      </c>
      <c r="E167" s="46" t="s">
        <v>24</v>
      </c>
      <c r="F167" s="45" t="e">
        <f>+VLOOKUP(C167,'[10]Part List รวมล่าสุดกว่า'!A:R,4,0)</f>
        <v>#N/A</v>
      </c>
      <c r="G167" s="46" t="s">
        <v>24</v>
      </c>
      <c r="H167" s="47" t="e">
        <f>+VLOOKUP(C167,'[10]Part List รวมล่าสุดกว่า'!A:R,5,0)</f>
        <v>#N/A</v>
      </c>
      <c r="I167" s="48" t="e">
        <f>+VLOOKUP(C167,'[10]Part List รวมล่าสุดกว่า'!A:R,9,0)</f>
        <v>#N/A</v>
      </c>
      <c r="J167" s="49" t="e">
        <f>+VLOOKUP(C167,'[10]Part List รวมล่าสุดกว่า'!A:R,10,0)</f>
        <v>#N/A</v>
      </c>
      <c r="K167" s="49" t="e">
        <f>+VLOOKUP(C167,'[10]Part List รวมล่าสุดกว่า'!A:R,11,0)</f>
        <v>#N/A</v>
      </c>
      <c r="L167" s="49" t="e">
        <f>+VLOOKUP(C167,'[10]Part List รวมล่าสุดกว่า'!A:R,12,0)</f>
        <v>#N/A</v>
      </c>
      <c r="M167" s="50" t="e">
        <f>+VLOOKUP(C167,[10]Forecast!F:V,6,0)</f>
        <v>#N/A</v>
      </c>
      <c r="N167" s="50" t="e">
        <f>+VLOOKUP(C167,[10]Forecast!F:V,8,0)</f>
        <v>#N/A</v>
      </c>
      <c r="O167" s="50" t="e">
        <f>+VLOOKUP(C167,[10]Forecast!F:V,10,0)</f>
        <v>#N/A</v>
      </c>
      <c r="P167" s="50" t="e">
        <f>+VLOOKUP(C167,[10]Forecast!F:V,12,0)</f>
        <v>#N/A</v>
      </c>
      <c r="Q167" s="50" t="e">
        <f>+VLOOKUP(C167,[10]Forecast!F:V,14,0)</f>
        <v>#N/A</v>
      </c>
      <c r="R167" s="50" t="e">
        <f>+VLOOKUP(C167,[10]Forecast!F:V,16,0)</f>
        <v>#N/A</v>
      </c>
      <c r="S167" s="51" t="s">
        <v>25</v>
      </c>
      <c r="T167" s="52"/>
    </row>
    <row r="168" spans="1:20" s="53" customFormat="1" ht="21" hidden="1" customHeight="1">
      <c r="A168" s="34"/>
      <c r="B168" s="43">
        <f>B167+1</f>
        <v>158</v>
      </c>
      <c r="C168" s="44"/>
      <c r="D168" s="45" t="e">
        <f>+VLOOKUP(C168,'[10]Part List รวมล่าสุดกว่า'!A:R,3,0)</f>
        <v>#N/A</v>
      </c>
      <c r="E168" s="46" t="s">
        <v>24</v>
      </c>
      <c r="F168" s="45" t="e">
        <f>+VLOOKUP(C168,'[10]Part List รวมล่าสุดกว่า'!A:R,4,0)</f>
        <v>#N/A</v>
      </c>
      <c r="G168" s="46" t="s">
        <v>24</v>
      </c>
      <c r="H168" s="47" t="e">
        <f>+VLOOKUP(C168,'[10]Part List รวมล่าสุดกว่า'!A:R,5,0)</f>
        <v>#N/A</v>
      </c>
      <c r="I168" s="48" t="e">
        <f>+VLOOKUP(C168,'[10]Part List รวมล่าสุดกว่า'!A:R,9,0)</f>
        <v>#N/A</v>
      </c>
      <c r="J168" s="49" t="e">
        <f>+VLOOKUP(C168,'[10]Part List รวมล่าสุดกว่า'!A:R,10,0)</f>
        <v>#N/A</v>
      </c>
      <c r="K168" s="49" t="e">
        <f>+VLOOKUP(C168,'[10]Part List รวมล่าสุดกว่า'!A:R,11,0)</f>
        <v>#N/A</v>
      </c>
      <c r="L168" s="49" t="e">
        <f>+VLOOKUP(C168,'[10]Part List รวมล่าสุดกว่า'!A:R,12,0)</f>
        <v>#N/A</v>
      </c>
      <c r="M168" s="50" t="e">
        <f>+VLOOKUP(C168,[10]Forecast!F:V,6,0)</f>
        <v>#N/A</v>
      </c>
      <c r="N168" s="50" t="e">
        <f>+VLOOKUP(C168,[10]Forecast!F:V,8,0)</f>
        <v>#N/A</v>
      </c>
      <c r="O168" s="50" t="e">
        <f>+VLOOKUP(C168,[10]Forecast!F:V,10,0)</f>
        <v>#N/A</v>
      </c>
      <c r="P168" s="50" t="e">
        <f>+VLOOKUP(C168,[10]Forecast!F:V,12,0)</f>
        <v>#N/A</v>
      </c>
      <c r="Q168" s="50" t="e">
        <f>+VLOOKUP(C168,[10]Forecast!F:V,14,0)</f>
        <v>#N/A</v>
      </c>
      <c r="R168" s="50" t="e">
        <f>+VLOOKUP(C168,[10]Forecast!F:V,16,0)</f>
        <v>#N/A</v>
      </c>
      <c r="S168" s="51" t="s">
        <v>25</v>
      </c>
      <c r="T168" s="52"/>
    </row>
    <row r="169" spans="1:20" s="53" customFormat="1" ht="21" hidden="1" customHeight="1">
      <c r="A169" s="34"/>
      <c r="B169" s="43">
        <f t="shared" si="2"/>
        <v>159</v>
      </c>
      <c r="C169" s="44"/>
      <c r="D169" s="45" t="e">
        <f>+VLOOKUP(C169,'[10]Part List รวมล่าสุดกว่า'!A:R,3,0)</f>
        <v>#N/A</v>
      </c>
      <c r="E169" s="46" t="s">
        <v>24</v>
      </c>
      <c r="F169" s="45" t="e">
        <f>+VLOOKUP(C169,'[10]Part List รวมล่าสุดกว่า'!A:R,4,0)</f>
        <v>#N/A</v>
      </c>
      <c r="G169" s="46" t="s">
        <v>24</v>
      </c>
      <c r="H169" s="47" t="e">
        <f>+VLOOKUP(C169,'[10]Part List รวมล่าสุดกว่า'!A:R,5,0)</f>
        <v>#N/A</v>
      </c>
      <c r="I169" s="48" t="e">
        <f>+VLOOKUP(C169,'[10]Part List รวมล่าสุดกว่า'!A:R,9,0)</f>
        <v>#N/A</v>
      </c>
      <c r="J169" s="49" t="e">
        <f>+VLOOKUP(C169,'[10]Part List รวมล่าสุดกว่า'!A:R,10,0)</f>
        <v>#N/A</v>
      </c>
      <c r="K169" s="49" t="e">
        <f>+VLOOKUP(C169,'[10]Part List รวมล่าสุดกว่า'!A:R,11,0)</f>
        <v>#N/A</v>
      </c>
      <c r="L169" s="49" t="e">
        <f>+VLOOKUP(C169,'[10]Part List รวมล่าสุดกว่า'!A:R,12,0)</f>
        <v>#N/A</v>
      </c>
      <c r="M169" s="50" t="e">
        <f>+VLOOKUP(C169,[10]Forecast!F:V,6,0)</f>
        <v>#N/A</v>
      </c>
      <c r="N169" s="50" t="e">
        <f>+VLOOKUP(C169,[10]Forecast!F:V,8,0)</f>
        <v>#N/A</v>
      </c>
      <c r="O169" s="50" t="e">
        <f>+VLOOKUP(C169,[10]Forecast!F:V,10,0)</f>
        <v>#N/A</v>
      </c>
      <c r="P169" s="50" t="e">
        <f>+VLOOKUP(C169,[10]Forecast!F:V,12,0)</f>
        <v>#N/A</v>
      </c>
      <c r="Q169" s="50" t="e">
        <f>+VLOOKUP(C169,[10]Forecast!F:V,14,0)</f>
        <v>#N/A</v>
      </c>
      <c r="R169" s="50" t="e">
        <f>+VLOOKUP(C169,[10]Forecast!F:V,16,0)</f>
        <v>#N/A</v>
      </c>
      <c r="S169" s="51" t="s">
        <v>25</v>
      </c>
      <c r="T169" s="52"/>
    </row>
    <row r="170" spans="1:20" s="53" customFormat="1" ht="21" hidden="1" customHeight="1">
      <c r="A170" s="34"/>
      <c r="B170" s="43">
        <f>B169+1</f>
        <v>160</v>
      </c>
      <c r="C170" s="44"/>
      <c r="D170" s="45" t="e">
        <f>+VLOOKUP(C170,'[10]Part List รวมล่าสุดกว่า'!A:R,3,0)</f>
        <v>#N/A</v>
      </c>
      <c r="E170" s="46" t="s">
        <v>24</v>
      </c>
      <c r="F170" s="45" t="e">
        <f>+VLOOKUP(C170,'[10]Part List รวมล่าสุดกว่า'!A:R,4,0)</f>
        <v>#N/A</v>
      </c>
      <c r="G170" s="46" t="s">
        <v>24</v>
      </c>
      <c r="H170" s="47" t="e">
        <f>+VLOOKUP(C170,'[10]Part List รวมล่าสุดกว่า'!A:R,5,0)</f>
        <v>#N/A</v>
      </c>
      <c r="I170" s="48" t="e">
        <f>+VLOOKUP(C170,'[10]Part List รวมล่าสุดกว่า'!A:R,9,0)</f>
        <v>#N/A</v>
      </c>
      <c r="J170" s="49" t="e">
        <f>+VLOOKUP(C170,'[10]Part List รวมล่าสุดกว่า'!A:R,10,0)</f>
        <v>#N/A</v>
      </c>
      <c r="K170" s="49" t="e">
        <f>+VLOOKUP(C170,'[10]Part List รวมล่าสุดกว่า'!A:R,11,0)</f>
        <v>#N/A</v>
      </c>
      <c r="L170" s="49" t="e">
        <f>+VLOOKUP(C170,'[10]Part List รวมล่าสุดกว่า'!A:R,12,0)</f>
        <v>#N/A</v>
      </c>
      <c r="M170" s="50" t="e">
        <f>+VLOOKUP(C170,[10]Forecast!F:V,6,0)</f>
        <v>#N/A</v>
      </c>
      <c r="N170" s="50" t="e">
        <f>+VLOOKUP(C170,[10]Forecast!F:V,8,0)</f>
        <v>#N/A</v>
      </c>
      <c r="O170" s="50" t="e">
        <f>+VLOOKUP(C170,[10]Forecast!F:V,10,0)</f>
        <v>#N/A</v>
      </c>
      <c r="P170" s="50" t="e">
        <f>+VLOOKUP(C170,[10]Forecast!F:V,12,0)</f>
        <v>#N/A</v>
      </c>
      <c r="Q170" s="50" t="e">
        <f>+VLOOKUP(C170,[10]Forecast!F:V,14,0)</f>
        <v>#N/A</v>
      </c>
      <c r="R170" s="50" t="e">
        <f>+VLOOKUP(C170,[10]Forecast!F:V,16,0)</f>
        <v>#N/A</v>
      </c>
      <c r="S170" s="51" t="s">
        <v>25</v>
      </c>
      <c r="T170" s="52"/>
    </row>
    <row r="171" spans="1:20" s="53" customFormat="1" ht="21" hidden="1" customHeight="1">
      <c r="A171" s="34"/>
      <c r="B171" s="43">
        <f t="shared" si="2"/>
        <v>161</v>
      </c>
      <c r="C171" s="44"/>
      <c r="D171" s="45" t="e">
        <f>+VLOOKUP(C171,'[10]Part List รวมล่าสุดกว่า'!A:R,3,0)</f>
        <v>#N/A</v>
      </c>
      <c r="E171" s="46" t="s">
        <v>24</v>
      </c>
      <c r="F171" s="45" t="e">
        <f>+VLOOKUP(C171,'[10]Part List รวมล่าสุดกว่า'!A:R,4,0)</f>
        <v>#N/A</v>
      </c>
      <c r="G171" s="46" t="s">
        <v>24</v>
      </c>
      <c r="H171" s="47" t="e">
        <f>+VLOOKUP(C171,'[10]Part List รวมล่าสุดกว่า'!A:R,5,0)</f>
        <v>#N/A</v>
      </c>
      <c r="I171" s="48" t="e">
        <f>+VLOOKUP(C171,'[10]Part List รวมล่าสุดกว่า'!A:R,9,0)</f>
        <v>#N/A</v>
      </c>
      <c r="J171" s="49" t="e">
        <f>+VLOOKUP(C171,'[10]Part List รวมล่าสุดกว่า'!A:R,10,0)</f>
        <v>#N/A</v>
      </c>
      <c r="K171" s="49" t="e">
        <f>+VLOOKUP(C171,'[10]Part List รวมล่าสุดกว่า'!A:R,11,0)</f>
        <v>#N/A</v>
      </c>
      <c r="L171" s="49" t="e">
        <f>+VLOOKUP(C171,'[10]Part List รวมล่าสุดกว่า'!A:R,12,0)</f>
        <v>#N/A</v>
      </c>
      <c r="M171" s="50" t="e">
        <f>+VLOOKUP(C171,[10]Forecast!F:V,6,0)</f>
        <v>#N/A</v>
      </c>
      <c r="N171" s="50" t="e">
        <f>+VLOOKUP(C171,[10]Forecast!F:V,8,0)</f>
        <v>#N/A</v>
      </c>
      <c r="O171" s="50" t="e">
        <f>+VLOOKUP(C171,[10]Forecast!F:V,10,0)</f>
        <v>#N/A</v>
      </c>
      <c r="P171" s="50" t="e">
        <f>+VLOOKUP(C171,[10]Forecast!F:V,12,0)</f>
        <v>#N/A</v>
      </c>
      <c r="Q171" s="50" t="e">
        <f>+VLOOKUP(C171,[10]Forecast!F:V,14,0)</f>
        <v>#N/A</v>
      </c>
      <c r="R171" s="50" t="e">
        <f>+VLOOKUP(C171,[10]Forecast!F:V,16,0)</f>
        <v>#N/A</v>
      </c>
      <c r="S171" s="51" t="s">
        <v>25</v>
      </c>
      <c r="T171" s="52"/>
    </row>
    <row r="172" spans="1:20" s="53" customFormat="1" ht="21" hidden="1" customHeight="1">
      <c r="A172" s="34"/>
      <c r="B172" s="43">
        <f>B169+1</f>
        <v>160</v>
      </c>
      <c r="C172" s="44"/>
      <c r="D172" s="45" t="e">
        <f>+VLOOKUP(C172,'[10]Part List รวมล่าสุดกว่า'!A:R,3,0)</f>
        <v>#N/A</v>
      </c>
      <c r="E172" s="46" t="s">
        <v>24</v>
      </c>
      <c r="F172" s="45" t="e">
        <f>+VLOOKUP(C172,'[10]Part List รวมล่าสุดกว่า'!A:R,4,0)</f>
        <v>#N/A</v>
      </c>
      <c r="G172" s="46" t="s">
        <v>24</v>
      </c>
      <c r="H172" s="47" t="e">
        <f>+VLOOKUP(C172,'[10]Part List รวมล่าสุดกว่า'!A:R,5,0)</f>
        <v>#N/A</v>
      </c>
      <c r="I172" s="48" t="e">
        <f>+VLOOKUP(C172,'[10]Part List รวมล่าสุดกว่า'!A:R,9,0)</f>
        <v>#N/A</v>
      </c>
      <c r="J172" s="49" t="e">
        <f>+VLOOKUP(C172,'[10]Part List รวมล่าสุดกว่า'!A:R,10,0)</f>
        <v>#N/A</v>
      </c>
      <c r="K172" s="49" t="e">
        <f>+VLOOKUP(C172,'[10]Part List รวมล่าสุดกว่า'!A:R,11,0)</f>
        <v>#N/A</v>
      </c>
      <c r="L172" s="49" t="e">
        <f>+VLOOKUP(C172,'[10]Part List รวมล่าสุดกว่า'!A:R,12,0)</f>
        <v>#N/A</v>
      </c>
      <c r="M172" s="50" t="e">
        <f>+VLOOKUP(C172,[10]Forecast!F:V,6,0)</f>
        <v>#N/A</v>
      </c>
      <c r="N172" s="50" t="e">
        <f>+VLOOKUP(C172,[10]Forecast!F:V,8,0)</f>
        <v>#N/A</v>
      </c>
      <c r="O172" s="50" t="e">
        <f>+VLOOKUP(C172,[10]Forecast!F:V,10,0)</f>
        <v>#N/A</v>
      </c>
      <c r="P172" s="50" t="e">
        <f>+VLOOKUP(C172,[10]Forecast!F:V,12,0)</f>
        <v>#N/A</v>
      </c>
      <c r="Q172" s="50" t="e">
        <f>+VLOOKUP(C172,[10]Forecast!F:V,14,0)</f>
        <v>#N/A</v>
      </c>
      <c r="R172" s="50" t="e">
        <f>+VLOOKUP(C172,[10]Forecast!F:V,16,0)</f>
        <v>#N/A</v>
      </c>
      <c r="S172" s="51" t="s">
        <v>25</v>
      </c>
      <c r="T172" s="52"/>
    </row>
    <row r="173" spans="1:20" s="53" customFormat="1" ht="21" hidden="1" customHeight="1">
      <c r="A173" s="34"/>
      <c r="B173" s="43">
        <f t="shared" si="2"/>
        <v>161</v>
      </c>
      <c r="C173" s="44"/>
      <c r="D173" s="45" t="e">
        <f>+VLOOKUP(C173,'[10]Part List รวมล่าสุดกว่า'!A:R,3,0)</f>
        <v>#N/A</v>
      </c>
      <c r="E173" s="46" t="s">
        <v>24</v>
      </c>
      <c r="F173" s="45" t="e">
        <f>+VLOOKUP(C173,'[10]Part List รวมล่าสุดกว่า'!A:R,4,0)</f>
        <v>#N/A</v>
      </c>
      <c r="G173" s="46" t="s">
        <v>24</v>
      </c>
      <c r="H173" s="47" t="e">
        <f>+VLOOKUP(C173,'[10]Part List รวมล่าสุดกว่า'!A:R,5,0)</f>
        <v>#N/A</v>
      </c>
      <c r="I173" s="48" t="e">
        <f>+VLOOKUP(C173,'[10]Part List รวมล่าสุดกว่า'!A:R,9,0)</f>
        <v>#N/A</v>
      </c>
      <c r="J173" s="49" t="e">
        <f>+VLOOKUP(C173,'[10]Part List รวมล่าสุดกว่า'!A:R,10,0)</f>
        <v>#N/A</v>
      </c>
      <c r="K173" s="49" t="e">
        <f>+VLOOKUP(C173,'[10]Part List รวมล่าสุดกว่า'!A:R,11,0)</f>
        <v>#N/A</v>
      </c>
      <c r="L173" s="49" t="e">
        <f>+VLOOKUP(C173,'[10]Part List รวมล่าสุดกว่า'!A:R,12,0)</f>
        <v>#N/A</v>
      </c>
      <c r="M173" s="50" t="e">
        <f>+VLOOKUP(C173,[10]Forecast!F:V,6,0)</f>
        <v>#N/A</v>
      </c>
      <c r="N173" s="50" t="e">
        <f>+VLOOKUP(C173,[10]Forecast!F:V,8,0)</f>
        <v>#N/A</v>
      </c>
      <c r="O173" s="50" t="e">
        <f>+VLOOKUP(C173,[10]Forecast!F:V,10,0)</f>
        <v>#N/A</v>
      </c>
      <c r="P173" s="50" t="e">
        <f>+VLOOKUP(C173,[10]Forecast!F:V,12,0)</f>
        <v>#N/A</v>
      </c>
      <c r="Q173" s="50" t="e">
        <f>+VLOOKUP(C173,[10]Forecast!F:V,14,0)</f>
        <v>#N/A</v>
      </c>
      <c r="R173" s="50" t="e">
        <f>+VLOOKUP(C173,[10]Forecast!F:V,16,0)</f>
        <v>#N/A</v>
      </c>
      <c r="S173" s="51" t="s">
        <v>25</v>
      </c>
      <c r="T173" s="52"/>
    </row>
    <row r="174" spans="1:20" s="53" customFormat="1" ht="21" hidden="1" customHeight="1">
      <c r="A174" s="34"/>
      <c r="B174" s="43">
        <f t="shared" si="2"/>
        <v>162</v>
      </c>
      <c r="C174" s="44"/>
      <c r="D174" s="45" t="e">
        <f>+VLOOKUP(C174,'[10]Part List รวมล่าสุดกว่า'!A:R,3,0)</f>
        <v>#N/A</v>
      </c>
      <c r="E174" s="46" t="s">
        <v>24</v>
      </c>
      <c r="F174" s="45" t="e">
        <f>+VLOOKUP(C174,'[10]Part List รวมล่าสุดกว่า'!A:R,4,0)</f>
        <v>#N/A</v>
      </c>
      <c r="G174" s="46" t="s">
        <v>24</v>
      </c>
      <c r="H174" s="47" t="e">
        <f>+VLOOKUP(C174,'[10]Part List รวมล่าสุดกว่า'!A:R,5,0)</f>
        <v>#N/A</v>
      </c>
      <c r="I174" s="48" t="e">
        <f>+VLOOKUP(C174,'[10]Part List รวมล่าสุดกว่า'!A:R,9,0)</f>
        <v>#N/A</v>
      </c>
      <c r="J174" s="49" t="e">
        <f>+VLOOKUP(C174,'[10]Part List รวมล่าสุดกว่า'!A:R,10,0)</f>
        <v>#N/A</v>
      </c>
      <c r="K174" s="49" t="e">
        <f>+VLOOKUP(C174,'[10]Part List รวมล่าสุดกว่า'!A:R,11,0)</f>
        <v>#N/A</v>
      </c>
      <c r="L174" s="49" t="e">
        <f>+VLOOKUP(C174,'[10]Part List รวมล่าสุดกว่า'!A:R,12,0)</f>
        <v>#N/A</v>
      </c>
      <c r="M174" s="50" t="e">
        <f>+VLOOKUP(C174,[10]Forecast!F:V,6,0)</f>
        <v>#N/A</v>
      </c>
      <c r="N174" s="50" t="e">
        <f>+VLOOKUP(C174,[10]Forecast!F:V,8,0)</f>
        <v>#N/A</v>
      </c>
      <c r="O174" s="50" t="e">
        <f>+VLOOKUP(C174,[10]Forecast!F:V,10,0)</f>
        <v>#N/A</v>
      </c>
      <c r="P174" s="50" t="e">
        <f>+VLOOKUP(C174,[10]Forecast!F:V,12,0)</f>
        <v>#N/A</v>
      </c>
      <c r="Q174" s="50" t="e">
        <f>+VLOOKUP(C174,[10]Forecast!F:V,14,0)</f>
        <v>#N/A</v>
      </c>
      <c r="R174" s="50" t="e">
        <f>+VLOOKUP(C174,[10]Forecast!F:V,16,0)</f>
        <v>#N/A</v>
      </c>
      <c r="S174" s="51" t="s">
        <v>25</v>
      </c>
      <c r="T174" s="52"/>
    </row>
    <row r="175" spans="1:20" s="53" customFormat="1" ht="21" hidden="1" customHeight="1">
      <c r="A175" s="34"/>
      <c r="B175" s="43">
        <f t="shared" si="2"/>
        <v>163</v>
      </c>
      <c r="C175" s="44"/>
      <c r="D175" s="45" t="e">
        <f>+VLOOKUP(C175,'[10]Part List รวมล่าสุดกว่า'!A:R,3,0)</f>
        <v>#N/A</v>
      </c>
      <c r="E175" s="46" t="s">
        <v>24</v>
      </c>
      <c r="F175" s="45" t="e">
        <f>+VLOOKUP(C175,'[10]Part List รวมล่าสุดกว่า'!A:R,4,0)</f>
        <v>#N/A</v>
      </c>
      <c r="G175" s="46" t="s">
        <v>24</v>
      </c>
      <c r="H175" s="47" t="e">
        <f>+VLOOKUP(C175,'[10]Part List รวมล่าสุดกว่า'!A:R,5,0)</f>
        <v>#N/A</v>
      </c>
      <c r="I175" s="48" t="e">
        <f>+VLOOKUP(C175,'[10]Part List รวมล่าสุดกว่า'!A:R,9,0)</f>
        <v>#N/A</v>
      </c>
      <c r="J175" s="49" t="e">
        <f>+VLOOKUP(C175,'[10]Part List รวมล่าสุดกว่า'!A:R,10,0)</f>
        <v>#N/A</v>
      </c>
      <c r="K175" s="49" t="e">
        <f>+VLOOKUP(C175,'[10]Part List รวมล่าสุดกว่า'!A:R,11,0)</f>
        <v>#N/A</v>
      </c>
      <c r="L175" s="49" t="e">
        <f>+VLOOKUP(C175,'[10]Part List รวมล่าสุดกว่า'!A:R,12,0)</f>
        <v>#N/A</v>
      </c>
      <c r="M175" s="50" t="e">
        <f>+VLOOKUP(C175,[10]Forecast!F:V,6,0)</f>
        <v>#N/A</v>
      </c>
      <c r="N175" s="50" t="e">
        <f>+VLOOKUP(C175,[10]Forecast!F:V,8,0)</f>
        <v>#N/A</v>
      </c>
      <c r="O175" s="50" t="e">
        <f>+VLOOKUP(C175,[10]Forecast!F:V,10,0)</f>
        <v>#N/A</v>
      </c>
      <c r="P175" s="50" t="e">
        <f>+VLOOKUP(C175,[10]Forecast!F:V,12,0)</f>
        <v>#N/A</v>
      </c>
      <c r="Q175" s="50" t="e">
        <f>+VLOOKUP(C175,[10]Forecast!F:V,14,0)</f>
        <v>#N/A</v>
      </c>
      <c r="R175" s="50" t="e">
        <f>+VLOOKUP(C175,[10]Forecast!F:V,16,0)</f>
        <v>#N/A</v>
      </c>
      <c r="S175" s="51" t="s">
        <v>25</v>
      </c>
      <c r="T175" s="52"/>
    </row>
    <row r="176" spans="1:20" s="53" customFormat="1" ht="21" hidden="1" customHeight="1">
      <c r="A176" s="34"/>
      <c r="B176" s="43">
        <f t="shared" si="2"/>
        <v>164</v>
      </c>
      <c r="C176" s="44"/>
      <c r="D176" s="45" t="e">
        <f>+VLOOKUP(C176,'[10]Part List รวมล่าสุดกว่า'!A:R,3,0)</f>
        <v>#N/A</v>
      </c>
      <c r="E176" s="46" t="s">
        <v>24</v>
      </c>
      <c r="F176" s="45" t="e">
        <f>+VLOOKUP(C176,'[10]Part List รวมล่าสุดกว่า'!A:R,4,0)</f>
        <v>#N/A</v>
      </c>
      <c r="G176" s="46" t="s">
        <v>24</v>
      </c>
      <c r="H176" s="47" t="e">
        <f>+VLOOKUP(C176,'[10]Part List รวมล่าสุดกว่า'!A:R,5,0)</f>
        <v>#N/A</v>
      </c>
      <c r="I176" s="48" t="e">
        <f>+VLOOKUP(C176,'[10]Part List รวมล่าสุดกว่า'!A:R,9,0)</f>
        <v>#N/A</v>
      </c>
      <c r="J176" s="49" t="e">
        <f>+VLOOKUP(C176,'[10]Part List รวมล่าสุดกว่า'!A:R,10,0)</f>
        <v>#N/A</v>
      </c>
      <c r="K176" s="49" t="e">
        <f>+VLOOKUP(C176,'[10]Part List รวมล่าสุดกว่า'!A:R,11,0)</f>
        <v>#N/A</v>
      </c>
      <c r="L176" s="49" t="e">
        <f>+VLOOKUP(C176,'[10]Part List รวมล่าสุดกว่า'!A:R,12,0)</f>
        <v>#N/A</v>
      </c>
      <c r="M176" s="50" t="e">
        <f>+VLOOKUP(C176,[10]Forecast!F:V,6,0)</f>
        <v>#N/A</v>
      </c>
      <c r="N176" s="50" t="e">
        <f>+VLOOKUP(C176,[10]Forecast!F:V,8,0)</f>
        <v>#N/A</v>
      </c>
      <c r="O176" s="50" t="e">
        <f>+VLOOKUP(C176,[10]Forecast!F:V,10,0)</f>
        <v>#N/A</v>
      </c>
      <c r="P176" s="50" t="e">
        <f>+VLOOKUP(C176,[10]Forecast!F:V,12,0)</f>
        <v>#N/A</v>
      </c>
      <c r="Q176" s="50" t="e">
        <f>+VLOOKUP(C176,[10]Forecast!F:V,14,0)</f>
        <v>#N/A</v>
      </c>
      <c r="R176" s="50" t="e">
        <f>+VLOOKUP(C176,[10]Forecast!F:V,16,0)</f>
        <v>#N/A</v>
      </c>
      <c r="S176" s="51" t="s">
        <v>25</v>
      </c>
      <c r="T176" s="52"/>
    </row>
    <row r="177" spans="1:34" s="53" customFormat="1" ht="21" hidden="1" customHeight="1">
      <c r="A177" s="34"/>
      <c r="B177" s="43">
        <f t="shared" si="2"/>
        <v>165</v>
      </c>
      <c r="C177" s="44"/>
      <c r="D177" s="45" t="e">
        <f>+VLOOKUP(C177,'[10]Part List รวมล่าสุดกว่า'!A:R,3,0)</f>
        <v>#N/A</v>
      </c>
      <c r="E177" s="46" t="s">
        <v>24</v>
      </c>
      <c r="F177" s="45" t="e">
        <f>+VLOOKUP(C177,'[10]Part List รวมล่าสุดกว่า'!A:R,4,0)</f>
        <v>#N/A</v>
      </c>
      <c r="G177" s="46" t="s">
        <v>24</v>
      </c>
      <c r="H177" s="47" t="e">
        <f>+VLOOKUP(C177,'[10]Part List รวมล่าสุดกว่า'!A:R,5,0)</f>
        <v>#N/A</v>
      </c>
      <c r="I177" s="48" t="e">
        <f>+VLOOKUP(C177,'[10]Part List รวมล่าสุดกว่า'!A:R,9,0)</f>
        <v>#N/A</v>
      </c>
      <c r="J177" s="49" t="e">
        <f>+VLOOKUP(C177,'[10]Part List รวมล่าสุดกว่า'!A:R,10,0)</f>
        <v>#N/A</v>
      </c>
      <c r="K177" s="49" t="e">
        <f>+VLOOKUP(C177,'[10]Part List รวมล่าสุดกว่า'!A:R,11,0)</f>
        <v>#N/A</v>
      </c>
      <c r="L177" s="49" t="e">
        <f>+VLOOKUP(C177,'[10]Part List รวมล่าสุดกว่า'!A:R,12,0)</f>
        <v>#N/A</v>
      </c>
      <c r="M177" s="50" t="e">
        <f>+VLOOKUP(C177,[10]Forecast!F:V,6,0)</f>
        <v>#N/A</v>
      </c>
      <c r="N177" s="50" t="e">
        <f>+VLOOKUP(C177,[10]Forecast!F:V,8,0)</f>
        <v>#N/A</v>
      </c>
      <c r="O177" s="50" t="e">
        <f>+VLOOKUP(C177,[10]Forecast!F:V,10,0)</f>
        <v>#N/A</v>
      </c>
      <c r="P177" s="50" t="e">
        <f>+VLOOKUP(C177,[10]Forecast!F:V,12,0)</f>
        <v>#N/A</v>
      </c>
      <c r="Q177" s="50" t="e">
        <f>+VLOOKUP(C177,[10]Forecast!F:V,14,0)</f>
        <v>#N/A</v>
      </c>
      <c r="R177" s="50" t="e">
        <f>+VLOOKUP(C177,[10]Forecast!F:V,16,0)</f>
        <v>#N/A</v>
      </c>
      <c r="S177" s="51" t="s">
        <v>25</v>
      </c>
      <c r="T177" s="52"/>
    </row>
    <row r="178" spans="1:34" s="53" customFormat="1" ht="21" hidden="1" customHeight="1">
      <c r="A178" s="34"/>
      <c r="B178" s="43">
        <f t="shared" si="2"/>
        <v>166</v>
      </c>
      <c r="C178" s="44"/>
      <c r="D178" s="45" t="e">
        <f>+VLOOKUP(C178,'[10]Part List รวมล่าสุดกว่า'!A:R,3,0)</f>
        <v>#N/A</v>
      </c>
      <c r="E178" s="46" t="s">
        <v>24</v>
      </c>
      <c r="F178" s="45" t="e">
        <f>+VLOOKUP(C178,'[10]Part List รวมล่าสุดกว่า'!A:R,4,0)</f>
        <v>#N/A</v>
      </c>
      <c r="G178" s="46" t="s">
        <v>24</v>
      </c>
      <c r="H178" s="47" t="e">
        <f>+VLOOKUP(C178,'[10]Part List รวมล่าสุดกว่า'!A:R,5,0)</f>
        <v>#N/A</v>
      </c>
      <c r="I178" s="48" t="e">
        <f>+VLOOKUP(C178,'[10]Part List รวมล่าสุดกว่า'!A:R,9,0)</f>
        <v>#N/A</v>
      </c>
      <c r="J178" s="49" t="e">
        <f>+VLOOKUP(C178,'[10]Part List รวมล่าสุดกว่า'!A:R,10,0)</f>
        <v>#N/A</v>
      </c>
      <c r="K178" s="49" t="e">
        <f>+VLOOKUP(C178,'[10]Part List รวมล่าสุดกว่า'!A:R,11,0)</f>
        <v>#N/A</v>
      </c>
      <c r="L178" s="49" t="e">
        <f>+VLOOKUP(C178,'[10]Part List รวมล่าสุดกว่า'!A:R,12,0)</f>
        <v>#N/A</v>
      </c>
      <c r="M178" s="50" t="e">
        <f>+VLOOKUP(C178,[10]Forecast!F:V,6,0)</f>
        <v>#N/A</v>
      </c>
      <c r="N178" s="50" t="e">
        <f>+VLOOKUP(C178,[10]Forecast!F:V,8,0)</f>
        <v>#N/A</v>
      </c>
      <c r="O178" s="50" t="e">
        <f>+VLOOKUP(C178,[10]Forecast!F:V,10,0)</f>
        <v>#N/A</v>
      </c>
      <c r="P178" s="50" t="e">
        <f>+VLOOKUP(C178,[10]Forecast!F:V,12,0)</f>
        <v>#N/A</v>
      </c>
      <c r="Q178" s="50" t="e">
        <f>+VLOOKUP(C178,[10]Forecast!F:V,14,0)</f>
        <v>#N/A</v>
      </c>
      <c r="R178" s="50" t="e">
        <f>+VLOOKUP(C178,[10]Forecast!F:V,16,0)</f>
        <v>#N/A</v>
      </c>
      <c r="S178" s="51" t="s">
        <v>25</v>
      </c>
      <c r="T178" s="52"/>
    </row>
    <row r="179" spans="1:34" s="53" customFormat="1" ht="21" hidden="1" customHeight="1">
      <c r="A179" s="34"/>
      <c r="B179" s="43">
        <f t="shared" si="2"/>
        <v>167</v>
      </c>
      <c r="C179" s="44"/>
      <c r="D179" s="45" t="e">
        <f>+VLOOKUP(C179,'[10]Part List รวมล่าสุดกว่า'!A:R,3,0)</f>
        <v>#N/A</v>
      </c>
      <c r="E179" s="46" t="s">
        <v>24</v>
      </c>
      <c r="F179" s="45" t="e">
        <f>+VLOOKUP(C179,'[10]Part List รวมล่าสุดกว่า'!A:R,4,0)</f>
        <v>#N/A</v>
      </c>
      <c r="G179" s="46" t="s">
        <v>24</v>
      </c>
      <c r="H179" s="47" t="e">
        <f>+VLOOKUP(C179,'[10]Part List รวมล่าสุดกว่า'!A:R,5,0)</f>
        <v>#N/A</v>
      </c>
      <c r="I179" s="48" t="e">
        <f>+VLOOKUP(C179,'[10]Part List รวมล่าสุดกว่า'!A:R,9,0)</f>
        <v>#N/A</v>
      </c>
      <c r="J179" s="49" t="e">
        <f>+VLOOKUP(C179,'[10]Part List รวมล่าสุดกว่า'!A:R,10,0)</f>
        <v>#N/A</v>
      </c>
      <c r="K179" s="49" t="e">
        <f>+VLOOKUP(C179,'[10]Part List รวมล่าสุดกว่า'!A:R,11,0)</f>
        <v>#N/A</v>
      </c>
      <c r="L179" s="49" t="e">
        <f>+VLOOKUP(C179,'[10]Part List รวมล่าสุดกว่า'!A:R,12,0)</f>
        <v>#N/A</v>
      </c>
      <c r="M179" s="50" t="e">
        <f>+VLOOKUP(C179,[10]Forecast!F:V,6,0)</f>
        <v>#N/A</v>
      </c>
      <c r="N179" s="50" t="e">
        <f>+VLOOKUP(C179,[10]Forecast!F:V,8,0)</f>
        <v>#N/A</v>
      </c>
      <c r="O179" s="50" t="e">
        <f>+VLOOKUP(C179,[10]Forecast!F:V,10,0)</f>
        <v>#N/A</v>
      </c>
      <c r="P179" s="50" t="e">
        <f>+VLOOKUP(C179,[10]Forecast!F:V,12,0)</f>
        <v>#N/A</v>
      </c>
      <c r="Q179" s="50" t="e">
        <f>+VLOOKUP(C179,[10]Forecast!F:V,14,0)</f>
        <v>#N/A</v>
      </c>
      <c r="R179" s="50" t="e">
        <f>+VLOOKUP(C179,[10]Forecast!F:V,16,0)</f>
        <v>#N/A</v>
      </c>
      <c r="S179" s="51" t="s">
        <v>25</v>
      </c>
      <c r="T179" s="52"/>
    </row>
    <row r="180" spans="1:34" s="53" customFormat="1" ht="21" hidden="1" customHeight="1">
      <c r="A180" s="34"/>
      <c r="B180" s="43">
        <f t="shared" si="2"/>
        <v>168</v>
      </c>
      <c r="C180" s="44"/>
      <c r="D180" s="45" t="e">
        <f>+VLOOKUP(C180,'[10]Part List รวมล่าสุดกว่า'!A:R,3,0)</f>
        <v>#N/A</v>
      </c>
      <c r="E180" s="46" t="s">
        <v>24</v>
      </c>
      <c r="F180" s="45" t="e">
        <f>+VLOOKUP(C180,'[10]Part List รวมล่าสุดกว่า'!A:R,4,0)</f>
        <v>#N/A</v>
      </c>
      <c r="G180" s="46" t="s">
        <v>24</v>
      </c>
      <c r="H180" s="47" t="e">
        <f>+VLOOKUP(C180,'[10]Part List รวมล่าสุดกว่า'!A:R,5,0)</f>
        <v>#N/A</v>
      </c>
      <c r="I180" s="48" t="e">
        <f>+VLOOKUP(C180,'[10]Part List รวมล่าสุดกว่า'!A:R,9,0)</f>
        <v>#N/A</v>
      </c>
      <c r="J180" s="49" t="e">
        <f>+VLOOKUP(C180,'[10]Part List รวมล่าสุดกว่า'!A:R,10,0)</f>
        <v>#N/A</v>
      </c>
      <c r="K180" s="49" t="e">
        <f>+VLOOKUP(C180,'[10]Part List รวมล่าสุดกว่า'!A:R,11,0)</f>
        <v>#N/A</v>
      </c>
      <c r="L180" s="49" t="e">
        <f>+VLOOKUP(C180,'[10]Part List รวมล่าสุดกว่า'!A:R,12,0)</f>
        <v>#N/A</v>
      </c>
      <c r="M180" s="50" t="e">
        <f>+VLOOKUP(C180,[10]Forecast!F:V,6,0)</f>
        <v>#N/A</v>
      </c>
      <c r="N180" s="50" t="e">
        <f>+VLOOKUP(C180,[10]Forecast!F:V,8,0)</f>
        <v>#N/A</v>
      </c>
      <c r="O180" s="50" t="e">
        <f>+VLOOKUP(C180,[10]Forecast!F:V,10,0)</f>
        <v>#N/A</v>
      </c>
      <c r="P180" s="50" t="e">
        <f>+VLOOKUP(C180,[10]Forecast!F:V,12,0)</f>
        <v>#N/A</v>
      </c>
      <c r="Q180" s="50" t="e">
        <f>+VLOOKUP(C180,[10]Forecast!F:V,14,0)</f>
        <v>#N/A</v>
      </c>
      <c r="R180" s="50" t="e">
        <f>+VLOOKUP(C180,[10]Forecast!F:V,16,0)</f>
        <v>#N/A</v>
      </c>
      <c r="S180" s="51" t="s">
        <v>25</v>
      </c>
      <c r="T180" s="52"/>
    </row>
    <row r="181" spans="1:34" s="53" customFormat="1" ht="21" hidden="1" customHeight="1">
      <c r="A181" s="34"/>
      <c r="B181" s="43">
        <f t="shared" si="2"/>
        <v>169</v>
      </c>
      <c r="C181" s="44"/>
      <c r="D181" s="45" t="e">
        <f>+VLOOKUP(C181,'[10]Part List รวมล่าสุดกว่า'!A:R,3,0)</f>
        <v>#N/A</v>
      </c>
      <c r="E181" s="46" t="s">
        <v>24</v>
      </c>
      <c r="F181" s="45" t="e">
        <f>+VLOOKUP(C181,'[10]Part List รวมล่าสุดกว่า'!A:R,4,0)</f>
        <v>#N/A</v>
      </c>
      <c r="G181" s="46" t="s">
        <v>24</v>
      </c>
      <c r="H181" s="47" t="e">
        <f>+VLOOKUP(C181,'[10]Part List รวมล่าสุดกว่า'!A:R,5,0)</f>
        <v>#N/A</v>
      </c>
      <c r="I181" s="48" t="e">
        <f>+VLOOKUP(C181,'[10]Part List รวมล่าสุดกว่า'!A:R,9,0)</f>
        <v>#N/A</v>
      </c>
      <c r="J181" s="49" t="e">
        <f>+VLOOKUP(C181,'[10]Part List รวมล่าสุดกว่า'!A:R,10,0)</f>
        <v>#N/A</v>
      </c>
      <c r="K181" s="49" t="e">
        <f>+VLOOKUP(C181,'[10]Part List รวมล่าสุดกว่า'!A:R,11,0)</f>
        <v>#N/A</v>
      </c>
      <c r="L181" s="49" t="e">
        <f>+VLOOKUP(C181,'[10]Part List รวมล่าสุดกว่า'!A:R,12,0)</f>
        <v>#N/A</v>
      </c>
      <c r="M181" s="50" t="e">
        <f>+VLOOKUP(C181,[10]Forecast!F:V,6,0)</f>
        <v>#N/A</v>
      </c>
      <c r="N181" s="50" t="e">
        <f>+VLOOKUP(C181,[10]Forecast!F:V,8,0)</f>
        <v>#N/A</v>
      </c>
      <c r="O181" s="50" t="e">
        <f>+VLOOKUP(C181,[10]Forecast!F:V,10,0)</f>
        <v>#N/A</v>
      </c>
      <c r="P181" s="50" t="e">
        <f>+VLOOKUP(C181,[10]Forecast!F:V,12,0)</f>
        <v>#N/A</v>
      </c>
      <c r="Q181" s="50" t="e">
        <f>+VLOOKUP(C181,[10]Forecast!F:V,14,0)</f>
        <v>#N/A</v>
      </c>
      <c r="R181" s="50" t="e">
        <f>+VLOOKUP(C181,[10]Forecast!F:V,16,0)</f>
        <v>#N/A</v>
      </c>
      <c r="S181" s="51" t="s">
        <v>25</v>
      </c>
      <c r="T181" s="52"/>
    </row>
    <row r="182" spans="1:34" s="53" customFormat="1" ht="21" hidden="1" customHeight="1">
      <c r="A182" s="34"/>
      <c r="B182" s="43">
        <f t="shared" si="2"/>
        <v>170</v>
      </c>
      <c r="C182" s="44"/>
      <c r="D182" s="45" t="e">
        <f>+VLOOKUP(C182,'[10]Part List รวมล่าสุดกว่า'!A:R,3,0)</f>
        <v>#N/A</v>
      </c>
      <c r="E182" s="46" t="s">
        <v>24</v>
      </c>
      <c r="F182" s="45" t="e">
        <f>+VLOOKUP(C182,'[10]Part List รวมล่าสุดกว่า'!A:R,4,0)</f>
        <v>#N/A</v>
      </c>
      <c r="G182" s="46" t="s">
        <v>24</v>
      </c>
      <c r="H182" s="47" t="e">
        <f>+VLOOKUP(C182,'[10]Part List รวมล่าสุดกว่า'!A:R,5,0)</f>
        <v>#N/A</v>
      </c>
      <c r="I182" s="48" t="e">
        <f>+VLOOKUP(C182,'[10]Part List รวมล่าสุดกว่า'!A:R,9,0)</f>
        <v>#N/A</v>
      </c>
      <c r="J182" s="49" t="e">
        <f>+VLOOKUP(C182,'[10]Part List รวมล่าสุดกว่า'!A:R,10,0)</f>
        <v>#N/A</v>
      </c>
      <c r="K182" s="49" t="e">
        <f>+VLOOKUP(C182,'[10]Part List รวมล่าสุดกว่า'!A:R,11,0)</f>
        <v>#N/A</v>
      </c>
      <c r="L182" s="49" t="e">
        <f>+VLOOKUP(C182,'[10]Part List รวมล่าสุดกว่า'!A:R,12,0)</f>
        <v>#N/A</v>
      </c>
      <c r="M182" s="50" t="e">
        <f>+VLOOKUP(C182,[10]Forecast!F:V,6,0)</f>
        <v>#N/A</v>
      </c>
      <c r="N182" s="50" t="e">
        <f>+VLOOKUP(C182,[10]Forecast!F:V,8,0)</f>
        <v>#N/A</v>
      </c>
      <c r="O182" s="50" t="e">
        <f>+VLOOKUP(C182,[10]Forecast!F:V,10,0)</f>
        <v>#N/A</v>
      </c>
      <c r="P182" s="50" t="e">
        <f>+VLOOKUP(C182,[10]Forecast!F:V,12,0)</f>
        <v>#N/A</v>
      </c>
      <c r="Q182" s="50" t="e">
        <f>+VLOOKUP(C182,[10]Forecast!F:V,14,0)</f>
        <v>#N/A</v>
      </c>
      <c r="R182" s="50" t="e">
        <f>+VLOOKUP(C182,[10]Forecast!F:V,16,0)</f>
        <v>#N/A</v>
      </c>
      <c r="S182" s="51" t="s">
        <v>25</v>
      </c>
      <c r="T182" s="52"/>
    </row>
    <row r="183" spans="1:34" s="53" customFormat="1" ht="21" hidden="1" customHeight="1">
      <c r="A183" s="34"/>
      <c r="B183" s="43">
        <f t="shared" si="2"/>
        <v>171</v>
      </c>
      <c r="C183" s="44"/>
      <c r="D183" s="45" t="e">
        <f>+VLOOKUP(C183,'[10]Part List รวมล่าสุดกว่า'!A:R,3,0)</f>
        <v>#N/A</v>
      </c>
      <c r="E183" s="46" t="s">
        <v>24</v>
      </c>
      <c r="F183" s="45" t="e">
        <f>+VLOOKUP(C183,'[10]Part List รวมล่าสุดกว่า'!A:R,4,0)</f>
        <v>#N/A</v>
      </c>
      <c r="G183" s="46" t="s">
        <v>24</v>
      </c>
      <c r="H183" s="47" t="e">
        <f>+VLOOKUP(C183,'[10]Part List รวมล่าสุดกว่า'!A:R,5,0)</f>
        <v>#N/A</v>
      </c>
      <c r="I183" s="48" t="e">
        <f>+VLOOKUP(C183,'[10]Part List รวมล่าสุดกว่า'!A:R,9,0)</f>
        <v>#N/A</v>
      </c>
      <c r="J183" s="49" t="e">
        <f>+VLOOKUP(C183,'[10]Part List รวมล่าสุดกว่า'!A:R,10,0)</f>
        <v>#N/A</v>
      </c>
      <c r="K183" s="49" t="e">
        <f>+VLOOKUP(C183,'[10]Part List รวมล่าสุดกว่า'!A:R,11,0)</f>
        <v>#N/A</v>
      </c>
      <c r="L183" s="49" t="e">
        <f>+VLOOKUP(C183,'[10]Part List รวมล่าสุดกว่า'!A:R,12,0)</f>
        <v>#N/A</v>
      </c>
      <c r="M183" s="50" t="e">
        <f>+VLOOKUP(C183,[10]Forecast!F:V,6,0)</f>
        <v>#N/A</v>
      </c>
      <c r="N183" s="50" t="e">
        <f>+VLOOKUP(C183,[10]Forecast!F:V,8,0)</f>
        <v>#N/A</v>
      </c>
      <c r="O183" s="50" t="e">
        <f>+VLOOKUP(C183,[10]Forecast!F:V,10,0)</f>
        <v>#N/A</v>
      </c>
      <c r="P183" s="50" t="e">
        <f>+VLOOKUP(C183,[10]Forecast!F:V,12,0)</f>
        <v>#N/A</v>
      </c>
      <c r="Q183" s="50" t="e">
        <f>+VLOOKUP(C183,[10]Forecast!F:V,14,0)</f>
        <v>#N/A</v>
      </c>
      <c r="R183" s="50" t="e">
        <f>+VLOOKUP(C183,[10]Forecast!F:V,16,0)</f>
        <v>#N/A</v>
      </c>
      <c r="S183" s="51" t="s">
        <v>25</v>
      </c>
      <c r="T183" s="52"/>
    </row>
    <row r="184" spans="1:34" s="53" customFormat="1" ht="21" hidden="1" customHeight="1">
      <c r="A184" s="34"/>
      <c r="B184" s="43">
        <f t="shared" si="2"/>
        <v>172</v>
      </c>
      <c r="C184" s="44"/>
      <c r="D184" s="45" t="e">
        <f>+VLOOKUP(C184,'[10]Part List รวมล่าสุดกว่า'!A:R,3,0)</f>
        <v>#N/A</v>
      </c>
      <c r="E184" s="46" t="s">
        <v>24</v>
      </c>
      <c r="F184" s="45" t="e">
        <f>+VLOOKUP(C184,'[10]Part List รวมล่าสุดกว่า'!A:R,4,0)</f>
        <v>#N/A</v>
      </c>
      <c r="G184" s="46" t="s">
        <v>24</v>
      </c>
      <c r="H184" s="47" t="e">
        <f>+VLOOKUP(C184,'[10]Part List รวมล่าสุดกว่า'!A:R,5,0)</f>
        <v>#N/A</v>
      </c>
      <c r="I184" s="48" t="e">
        <f>+VLOOKUP(C184,'[10]Part List รวมล่าสุดกว่า'!A:R,9,0)</f>
        <v>#N/A</v>
      </c>
      <c r="J184" s="49" t="e">
        <f>+VLOOKUP(C184,'[10]Part List รวมล่าสุดกว่า'!A:R,10,0)</f>
        <v>#N/A</v>
      </c>
      <c r="K184" s="49" t="e">
        <f>+VLOOKUP(C184,'[10]Part List รวมล่าสุดกว่า'!A:R,11,0)</f>
        <v>#N/A</v>
      </c>
      <c r="L184" s="49" t="e">
        <f>+VLOOKUP(C184,'[10]Part List รวมล่าสุดกว่า'!A:R,12,0)</f>
        <v>#N/A</v>
      </c>
      <c r="M184" s="50" t="e">
        <f>+VLOOKUP(C184,[10]Forecast!F:V,6,0)</f>
        <v>#N/A</v>
      </c>
      <c r="N184" s="50" t="e">
        <f>+VLOOKUP(C184,[10]Forecast!F:V,8,0)</f>
        <v>#N/A</v>
      </c>
      <c r="O184" s="50" t="e">
        <f>+VLOOKUP(C184,[10]Forecast!F:V,10,0)</f>
        <v>#N/A</v>
      </c>
      <c r="P184" s="50" t="e">
        <f>+VLOOKUP(C184,[10]Forecast!F:V,12,0)</f>
        <v>#N/A</v>
      </c>
      <c r="Q184" s="50" t="e">
        <f>+VLOOKUP(C184,[10]Forecast!F:V,14,0)</f>
        <v>#N/A</v>
      </c>
      <c r="R184" s="50" t="e">
        <f>+VLOOKUP(C184,[10]Forecast!F:V,16,0)</f>
        <v>#N/A</v>
      </c>
      <c r="S184" s="51" t="s">
        <v>25</v>
      </c>
      <c r="T184" s="52"/>
    </row>
    <row r="185" spans="1:34" s="53" customFormat="1" ht="21" hidden="1" customHeight="1">
      <c r="A185" s="34"/>
      <c r="B185" s="43">
        <f t="shared" si="2"/>
        <v>173</v>
      </c>
      <c r="C185" s="44"/>
      <c r="D185" s="45" t="e">
        <f>+VLOOKUP(C185,'[10]Part List รวมล่าสุดกว่า'!A:R,3,0)</f>
        <v>#N/A</v>
      </c>
      <c r="E185" s="46" t="s">
        <v>24</v>
      </c>
      <c r="F185" s="45" t="e">
        <f>+VLOOKUP(C185,'[10]Part List รวมล่าสุดกว่า'!A:R,4,0)</f>
        <v>#N/A</v>
      </c>
      <c r="G185" s="46" t="s">
        <v>24</v>
      </c>
      <c r="H185" s="47" t="e">
        <f>+VLOOKUP(C185,'[10]Part List รวมล่าสุดกว่า'!A:R,5,0)</f>
        <v>#N/A</v>
      </c>
      <c r="I185" s="48" t="e">
        <f>+VLOOKUP(C185,'[10]Part List รวมล่าสุดกว่า'!A:R,9,0)</f>
        <v>#N/A</v>
      </c>
      <c r="J185" s="49" t="e">
        <f>+VLOOKUP(C185,'[10]Part List รวมล่าสุดกว่า'!A:R,10,0)</f>
        <v>#N/A</v>
      </c>
      <c r="K185" s="49" t="e">
        <f>+VLOOKUP(C185,'[10]Part List รวมล่าสุดกว่า'!A:R,11,0)</f>
        <v>#N/A</v>
      </c>
      <c r="L185" s="49" t="e">
        <f>+VLOOKUP(C185,'[10]Part List รวมล่าสุดกว่า'!A:R,12,0)</f>
        <v>#N/A</v>
      </c>
      <c r="M185" s="50" t="e">
        <f>+VLOOKUP(C185,[10]Forecast!F:V,6,0)</f>
        <v>#N/A</v>
      </c>
      <c r="N185" s="50" t="e">
        <f>+VLOOKUP(C185,[10]Forecast!F:V,8,0)</f>
        <v>#N/A</v>
      </c>
      <c r="O185" s="50" t="e">
        <f>+VLOOKUP(C185,[10]Forecast!F:V,10,0)</f>
        <v>#N/A</v>
      </c>
      <c r="P185" s="50" t="e">
        <f>+VLOOKUP(C185,[10]Forecast!F:V,12,0)</f>
        <v>#N/A</v>
      </c>
      <c r="Q185" s="50" t="e">
        <f>+VLOOKUP(C185,[10]Forecast!F:V,14,0)</f>
        <v>#N/A</v>
      </c>
      <c r="R185" s="50" t="e">
        <f>+VLOOKUP(C185,[10]Forecast!F:V,16,0)</f>
        <v>#N/A</v>
      </c>
      <c r="S185" s="51" t="s">
        <v>25</v>
      </c>
      <c r="T185" s="52"/>
    </row>
    <row r="186" spans="1:34" s="53" customFormat="1" ht="21" hidden="1" customHeight="1">
      <c r="A186" s="34"/>
      <c r="B186" s="43">
        <f t="shared" si="2"/>
        <v>174</v>
      </c>
      <c r="C186" s="44"/>
      <c r="D186" s="45" t="e">
        <f>+VLOOKUP(C186,'[10]Part List รวมล่าสุดกว่า'!A:R,3,0)</f>
        <v>#N/A</v>
      </c>
      <c r="E186" s="46" t="s">
        <v>24</v>
      </c>
      <c r="F186" s="45" t="e">
        <f>+VLOOKUP(C186,'[10]Part List รวมล่าสุดกว่า'!A:R,4,0)</f>
        <v>#N/A</v>
      </c>
      <c r="G186" s="46" t="s">
        <v>24</v>
      </c>
      <c r="H186" s="47" t="e">
        <f>+VLOOKUP(C186,'[10]Part List รวมล่าสุดกว่า'!A:R,5,0)</f>
        <v>#N/A</v>
      </c>
      <c r="I186" s="48" t="e">
        <f>+VLOOKUP(C186,'[10]Part List รวมล่าสุดกว่า'!A:R,9,0)</f>
        <v>#N/A</v>
      </c>
      <c r="J186" s="49" t="e">
        <f>+VLOOKUP(C186,'[10]Part List รวมล่าสุดกว่า'!A:R,10,0)</f>
        <v>#N/A</v>
      </c>
      <c r="K186" s="49" t="e">
        <f>+VLOOKUP(C186,'[10]Part List รวมล่าสุดกว่า'!A:R,11,0)</f>
        <v>#N/A</v>
      </c>
      <c r="L186" s="49" t="e">
        <f>+VLOOKUP(C186,'[10]Part List รวมล่าสุดกว่า'!A:R,12,0)</f>
        <v>#N/A</v>
      </c>
      <c r="M186" s="50" t="e">
        <f>+VLOOKUP(C186,[10]Forecast!F:V,6,0)</f>
        <v>#N/A</v>
      </c>
      <c r="N186" s="50" t="e">
        <f>+VLOOKUP(C186,[10]Forecast!F:V,8,0)</f>
        <v>#N/A</v>
      </c>
      <c r="O186" s="50" t="e">
        <f>+VLOOKUP(C186,[10]Forecast!F:V,10,0)</f>
        <v>#N/A</v>
      </c>
      <c r="P186" s="50" t="e">
        <f>+VLOOKUP(C186,[10]Forecast!F:V,12,0)</f>
        <v>#N/A</v>
      </c>
      <c r="Q186" s="50" t="e">
        <f>+VLOOKUP(C186,[10]Forecast!F:V,14,0)</f>
        <v>#N/A</v>
      </c>
      <c r="R186" s="50" t="e">
        <f>+VLOOKUP(C186,[10]Forecast!F:V,16,0)</f>
        <v>#N/A</v>
      </c>
      <c r="S186" s="51" t="s">
        <v>25</v>
      </c>
      <c r="T186" s="52"/>
    </row>
    <row r="187" spans="1:34" s="53" customFormat="1" ht="21" hidden="1" customHeight="1">
      <c r="A187" s="57"/>
      <c r="B187" s="43">
        <f t="shared" si="2"/>
        <v>175</v>
      </c>
      <c r="C187" s="58"/>
      <c r="D187" s="45" t="e">
        <f>+VLOOKUP(C187,'[10]Part List รวมล่าสุดกว่า'!A:R,3,0)</f>
        <v>#N/A</v>
      </c>
      <c r="E187" s="63" t="s">
        <v>24</v>
      </c>
      <c r="F187" s="45" t="e">
        <f>+VLOOKUP(C187,'[10]Part List รวมล่าสุดกว่า'!A:R,4,0)</f>
        <v>#N/A</v>
      </c>
      <c r="G187" s="46" t="s">
        <v>24</v>
      </c>
      <c r="H187" s="47" t="e">
        <f>+VLOOKUP(C187,'[10]Part List รวมล่าสุดกว่า'!A:R,5,0)</f>
        <v>#N/A</v>
      </c>
      <c r="I187" s="48" t="e">
        <f>+VLOOKUP(C187,'[10]Part List รวมล่าสุดกว่า'!A:R,9,0)</f>
        <v>#N/A</v>
      </c>
      <c r="J187" s="49" t="e">
        <f>+VLOOKUP(C187,'[10]Part List รวมล่าสุดกว่า'!A:R,10,0)</f>
        <v>#N/A</v>
      </c>
      <c r="K187" s="49" t="e">
        <f>+VLOOKUP(C187,'[10]Part List รวมล่าสุดกว่า'!A:R,11,0)</f>
        <v>#N/A</v>
      </c>
      <c r="L187" s="49" t="e">
        <f>+VLOOKUP(C187,'[10]Part List รวมล่าสุดกว่า'!A:R,12,0)</f>
        <v>#N/A</v>
      </c>
      <c r="M187" s="50" t="e">
        <f>+VLOOKUP(C187,[10]Forecast!F:V,6,0)</f>
        <v>#N/A</v>
      </c>
      <c r="N187" s="50" t="e">
        <f>+VLOOKUP(C187,[10]Forecast!F:V,8,0)</f>
        <v>#N/A</v>
      </c>
      <c r="O187" s="50" t="e">
        <f>+VLOOKUP(C187,[10]Forecast!F:V,10,0)</f>
        <v>#N/A</v>
      </c>
      <c r="P187" s="50" t="e">
        <f>+VLOOKUP(C187,[10]Forecast!F:V,12,0)</f>
        <v>#N/A</v>
      </c>
      <c r="Q187" s="50" t="e">
        <f>+VLOOKUP(C187,[10]Forecast!F:V,14,0)</f>
        <v>#N/A</v>
      </c>
      <c r="R187" s="50" t="e">
        <f>+VLOOKUP(C187,[10]Forecast!F:V,16,0)</f>
        <v>#N/A</v>
      </c>
      <c r="S187" s="60" t="s">
        <v>25</v>
      </c>
      <c r="T187" s="61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</row>
    <row r="188" spans="1:34" s="53" customFormat="1" ht="21" hidden="1" customHeight="1">
      <c r="A188" s="34"/>
      <c r="B188" s="43">
        <f t="shared" si="2"/>
        <v>176</v>
      </c>
      <c r="C188" s="44"/>
      <c r="D188" s="45" t="e">
        <f>+VLOOKUP(C188,'[10]Part List รวมล่าสุดกว่า'!A:R,3,0)</f>
        <v>#N/A</v>
      </c>
      <c r="E188" s="46" t="s">
        <v>24</v>
      </c>
      <c r="F188" s="45" t="e">
        <f>+VLOOKUP(C188,'[10]Part List รวมล่าสุดกว่า'!A:R,4,0)</f>
        <v>#N/A</v>
      </c>
      <c r="G188" s="46" t="s">
        <v>24</v>
      </c>
      <c r="H188" s="47" t="e">
        <f>+VLOOKUP(C188,'[10]Part List รวมล่าสุดกว่า'!A:R,5,0)</f>
        <v>#N/A</v>
      </c>
      <c r="I188" s="48" t="e">
        <f>+VLOOKUP(C188,'[10]Part List รวมล่าสุดกว่า'!A:R,9,0)</f>
        <v>#N/A</v>
      </c>
      <c r="J188" s="49" t="e">
        <f>+VLOOKUP(C188,'[10]Part List รวมล่าสุดกว่า'!A:R,10,0)</f>
        <v>#N/A</v>
      </c>
      <c r="K188" s="49" t="e">
        <f>+VLOOKUP(C188,'[10]Part List รวมล่าสุดกว่า'!A:R,11,0)</f>
        <v>#N/A</v>
      </c>
      <c r="L188" s="49" t="e">
        <f>+VLOOKUP(C188,'[10]Part List รวมล่าสุดกว่า'!A:R,12,0)</f>
        <v>#N/A</v>
      </c>
      <c r="M188" s="50" t="e">
        <f>+VLOOKUP(C188,[10]Forecast!F:V,6,0)</f>
        <v>#N/A</v>
      </c>
      <c r="N188" s="50" t="e">
        <f>+VLOOKUP(C188,[10]Forecast!F:V,8,0)</f>
        <v>#N/A</v>
      </c>
      <c r="O188" s="50" t="e">
        <f>+VLOOKUP(C188,[10]Forecast!F:V,10,0)</f>
        <v>#N/A</v>
      </c>
      <c r="P188" s="50" t="e">
        <f>+VLOOKUP(C188,[10]Forecast!F:V,12,0)</f>
        <v>#N/A</v>
      </c>
      <c r="Q188" s="50" t="e">
        <f>+VLOOKUP(C188,[10]Forecast!F:V,14,0)</f>
        <v>#N/A</v>
      </c>
      <c r="R188" s="50" t="e">
        <f>+VLOOKUP(C188,[10]Forecast!F:V,16,0)</f>
        <v>#N/A</v>
      </c>
      <c r="S188" s="51" t="s">
        <v>25</v>
      </c>
      <c r="T188" s="52"/>
    </row>
    <row r="189" spans="1:34" s="53" customFormat="1" ht="21" hidden="1" customHeight="1">
      <c r="A189" s="34"/>
      <c r="B189" s="43">
        <f t="shared" si="2"/>
        <v>177</v>
      </c>
      <c r="C189" s="44"/>
      <c r="D189" s="45" t="e">
        <f>+VLOOKUP(C189,'[10]Part List รวมล่าสุดกว่า'!A:R,3,0)</f>
        <v>#N/A</v>
      </c>
      <c r="E189" s="46" t="s">
        <v>24</v>
      </c>
      <c r="F189" s="45" t="e">
        <f>+VLOOKUP(C189,'[10]Part List รวมล่าสุดกว่า'!A:R,4,0)</f>
        <v>#N/A</v>
      </c>
      <c r="G189" s="46" t="s">
        <v>24</v>
      </c>
      <c r="H189" s="47" t="e">
        <f>+VLOOKUP(C189,'[10]Part List รวมล่าสุดกว่า'!A:R,5,0)</f>
        <v>#N/A</v>
      </c>
      <c r="I189" s="48" t="e">
        <f>+VLOOKUP(C189,'[10]Part List รวมล่าสุดกว่า'!A:R,9,0)</f>
        <v>#N/A</v>
      </c>
      <c r="J189" s="49" t="e">
        <f>+VLOOKUP(C189,'[10]Part List รวมล่าสุดกว่า'!A:R,10,0)</f>
        <v>#N/A</v>
      </c>
      <c r="K189" s="49" t="e">
        <f>+VLOOKUP(C189,'[10]Part List รวมล่าสุดกว่า'!A:R,11,0)</f>
        <v>#N/A</v>
      </c>
      <c r="L189" s="49" t="e">
        <f>+VLOOKUP(C189,'[10]Part List รวมล่าสุดกว่า'!A:R,12,0)</f>
        <v>#N/A</v>
      </c>
      <c r="M189" s="50" t="e">
        <f>+VLOOKUP(C189,[10]Forecast!F:V,6,0)</f>
        <v>#N/A</v>
      </c>
      <c r="N189" s="50" t="e">
        <f>+VLOOKUP(C189,[10]Forecast!F:V,8,0)</f>
        <v>#N/A</v>
      </c>
      <c r="O189" s="50" t="e">
        <f>+VLOOKUP(C189,[10]Forecast!F:V,10,0)</f>
        <v>#N/A</v>
      </c>
      <c r="P189" s="50" t="e">
        <f>+VLOOKUP(C189,[10]Forecast!F:V,12,0)</f>
        <v>#N/A</v>
      </c>
      <c r="Q189" s="50" t="e">
        <f>+VLOOKUP(C189,[10]Forecast!F:V,14,0)</f>
        <v>#N/A</v>
      </c>
      <c r="R189" s="50" t="e">
        <f>+VLOOKUP(C189,[10]Forecast!F:V,16,0)</f>
        <v>#N/A</v>
      </c>
      <c r="S189" s="51" t="s">
        <v>25</v>
      </c>
      <c r="T189" s="52"/>
    </row>
    <row r="190" spans="1:34" s="53" customFormat="1" ht="21" hidden="1" customHeight="1">
      <c r="A190" s="34"/>
      <c r="B190" s="43">
        <f t="shared" si="2"/>
        <v>178</v>
      </c>
      <c r="C190" s="44"/>
      <c r="D190" s="45" t="e">
        <f>+VLOOKUP(C190,'[10]Part List รวมล่าสุดกว่า'!A:R,3,0)</f>
        <v>#N/A</v>
      </c>
      <c r="E190" s="46" t="s">
        <v>24</v>
      </c>
      <c r="F190" s="45" t="e">
        <f>+VLOOKUP(C190,'[10]Part List รวมล่าสุดกว่า'!A:R,4,0)</f>
        <v>#N/A</v>
      </c>
      <c r="G190" s="46" t="s">
        <v>24</v>
      </c>
      <c r="H190" s="47" t="e">
        <f>+VLOOKUP(C190,'[10]Part List รวมล่าสุดกว่า'!A:R,5,0)</f>
        <v>#N/A</v>
      </c>
      <c r="I190" s="48" t="e">
        <f>+VLOOKUP(C190,'[10]Part List รวมล่าสุดกว่า'!A:R,9,0)</f>
        <v>#N/A</v>
      </c>
      <c r="J190" s="49" t="e">
        <f>+VLOOKUP(C190,'[10]Part List รวมล่าสุดกว่า'!A:R,10,0)</f>
        <v>#N/A</v>
      </c>
      <c r="K190" s="49" t="e">
        <f>+VLOOKUP(C190,'[10]Part List รวมล่าสุดกว่า'!A:R,11,0)</f>
        <v>#N/A</v>
      </c>
      <c r="L190" s="49" t="e">
        <f>+VLOOKUP(C190,'[10]Part List รวมล่าสุดกว่า'!A:R,12,0)</f>
        <v>#N/A</v>
      </c>
      <c r="M190" s="50" t="e">
        <f>+VLOOKUP(C190,[10]Forecast!F:V,6,0)</f>
        <v>#N/A</v>
      </c>
      <c r="N190" s="50" t="e">
        <f>+VLOOKUP(C190,[10]Forecast!F:V,8,0)</f>
        <v>#N/A</v>
      </c>
      <c r="O190" s="50" t="e">
        <f>+VLOOKUP(C190,[10]Forecast!F:V,10,0)</f>
        <v>#N/A</v>
      </c>
      <c r="P190" s="50" t="e">
        <f>+VLOOKUP(C190,[10]Forecast!F:V,12,0)</f>
        <v>#N/A</v>
      </c>
      <c r="Q190" s="50" t="e">
        <f>+VLOOKUP(C190,[10]Forecast!F:V,14,0)</f>
        <v>#N/A</v>
      </c>
      <c r="R190" s="50" t="e">
        <f>+VLOOKUP(C190,[10]Forecast!F:V,16,0)</f>
        <v>#N/A</v>
      </c>
      <c r="S190" s="51" t="s">
        <v>25</v>
      </c>
      <c r="T190" s="52"/>
    </row>
    <row r="191" spans="1:34" s="53" customFormat="1" ht="21" hidden="1" customHeight="1">
      <c r="A191" s="34"/>
      <c r="B191" s="43">
        <f t="shared" si="2"/>
        <v>179</v>
      </c>
      <c r="C191" s="44"/>
      <c r="D191" s="45" t="e">
        <f>+VLOOKUP(C191,'[10]Part List รวมล่าสุดกว่า'!A:R,3,0)</f>
        <v>#N/A</v>
      </c>
      <c r="E191" s="46" t="s">
        <v>24</v>
      </c>
      <c r="F191" s="45" t="e">
        <f>+VLOOKUP(C191,'[10]Part List รวมล่าสุดกว่า'!A:R,4,0)</f>
        <v>#N/A</v>
      </c>
      <c r="G191" s="46" t="s">
        <v>24</v>
      </c>
      <c r="H191" s="47" t="e">
        <f>+VLOOKUP(C191,'[10]Part List รวมล่าสุดกว่า'!A:R,5,0)</f>
        <v>#N/A</v>
      </c>
      <c r="I191" s="48" t="e">
        <f>+VLOOKUP(C191,'[10]Part List รวมล่าสุดกว่า'!A:R,9,0)</f>
        <v>#N/A</v>
      </c>
      <c r="J191" s="49" t="e">
        <f>+VLOOKUP(C191,'[10]Part List รวมล่าสุดกว่า'!A:R,10,0)</f>
        <v>#N/A</v>
      </c>
      <c r="K191" s="49" t="e">
        <f>+VLOOKUP(C191,'[10]Part List รวมล่าสุดกว่า'!A:R,11,0)</f>
        <v>#N/A</v>
      </c>
      <c r="L191" s="49" t="e">
        <f>+VLOOKUP(C191,'[10]Part List รวมล่าสุดกว่า'!A:R,12,0)</f>
        <v>#N/A</v>
      </c>
      <c r="M191" s="50" t="e">
        <f>+VLOOKUP(C191,[10]Forecast!F:V,6,0)</f>
        <v>#N/A</v>
      </c>
      <c r="N191" s="50" t="e">
        <f>+VLOOKUP(C191,[10]Forecast!F:V,8,0)</f>
        <v>#N/A</v>
      </c>
      <c r="O191" s="50" t="e">
        <f>+VLOOKUP(C191,[10]Forecast!F:V,10,0)</f>
        <v>#N/A</v>
      </c>
      <c r="P191" s="50" t="e">
        <f>+VLOOKUP(C191,[10]Forecast!F:V,12,0)</f>
        <v>#N/A</v>
      </c>
      <c r="Q191" s="50" t="e">
        <f>+VLOOKUP(C191,[10]Forecast!F:V,14,0)</f>
        <v>#N/A</v>
      </c>
      <c r="R191" s="50" t="e">
        <f>+VLOOKUP(C191,[10]Forecast!F:V,16,0)</f>
        <v>#N/A</v>
      </c>
      <c r="S191" s="51" t="s">
        <v>25</v>
      </c>
      <c r="T191" s="52"/>
    </row>
    <row r="192" spans="1:34" s="53" customFormat="1" ht="21" hidden="1" customHeight="1">
      <c r="A192" s="34"/>
      <c r="B192" s="43">
        <f t="shared" si="2"/>
        <v>180</v>
      </c>
      <c r="C192" s="44"/>
      <c r="D192" s="45" t="e">
        <f>+VLOOKUP(C192,'[10]Part List รวมล่าสุดกว่า'!A:R,3,0)</f>
        <v>#N/A</v>
      </c>
      <c r="E192" s="46" t="s">
        <v>24</v>
      </c>
      <c r="F192" s="45" t="e">
        <f>+VLOOKUP(C192,'[10]Part List รวมล่าสุดกว่า'!A:R,4,0)</f>
        <v>#N/A</v>
      </c>
      <c r="G192" s="46" t="s">
        <v>24</v>
      </c>
      <c r="H192" s="47" t="e">
        <f>+VLOOKUP(C192,'[10]Part List รวมล่าสุดกว่า'!A:R,5,0)</f>
        <v>#N/A</v>
      </c>
      <c r="I192" s="48" t="e">
        <f>+VLOOKUP(C192,'[10]Part List รวมล่าสุดกว่า'!A:R,9,0)</f>
        <v>#N/A</v>
      </c>
      <c r="J192" s="49" t="e">
        <f>+VLOOKUP(C192,'[10]Part List รวมล่าสุดกว่า'!A:R,10,0)</f>
        <v>#N/A</v>
      </c>
      <c r="K192" s="49" t="e">
        <f>+VLOOKUP(C192,'[10]Part List รวมล่าสุดกว่า'!A:R,11,0)</f>
        <v>#N/A</v>
      </c>
      <c r="L192" s="49" t="e">
        <f>+VLOOKUP(C192,'[10]Part List รวมล่าสุดกว่า'!A:R,12,0)</f>
        <v>#N/A</v>
      </c>
      <c r="M192" s="50" t="e">
        <f>+VLOOKUP(C192,[10]Forecast!F:V,6,0)</f>
        <v>#N/A</v>
      </c>
      <c r="N192" s="50" t="e">
        <f>+VLOOKUP(C192,[10]Forecast!F:V,8,0)</f>
        <v>#N/A</v>
      </c>
      <c r="O192" s="50" t="e">
        <f>+VLOOKUP(C192,[10]Forecast!F:V,10,0)</f>
        <v>#N/A</v>
      </c>
      <c r="P192" s="50" t="e">
        <f>+VLOOKUP(C192,[10]Forecast!F:V,12,0)</f>
        <v>#N/A</v>
      </c>
      <c r="Q192" s="50" t="e">
        <f>+VLOOKUP(C192,[10]Forecast!F:V,14,0)</f>
        <v>#N/A</v>
      </c>
      <c r="R192" s="50" t="e">
        <f>+VLOOKUP(C192,[10]Forecast!F:V,16,0)</f>
        <v>#N/A</v>
      </c>
      <c r="S192" s="51" t="s">
        <v>25</v>
      </c>
      <c r="T192" s="52"/>
    </row>
    <row r="193" spans="1:20" s="53" customFormat="1" ht="21" hidden="1" customHeight="1">
      <c r="A193" s="34"/>
      <c r="B193" s="43">
        <f t="shared" si="2"/>
        <v>181</v>
      </c>
      <c r="C193" s="44"/>
      <c r="D193" s="45" t="e">
        <f>+VLOOKUP(C193,'[10]Part List รวมล่าสุดกว่า'!A:R,3,0)</f>
        <v>#N/A</v>
      </c>
      <c r="E193" s="46" t="s">
        <v>24</v>
      </c>
      <c r="F193" s="45" t="e">
        <f>+VLOOKUP(C193,'[10]Part List รวมล่าสุดกว่า'!A:R,4,0)</f>
        <v>#N/A</v>
      </c>
      <c r="G193" s="46" t="s">
        <v>24</v>
      </c>
      <c r="H193" s="47" t="e">
        <f>+VLOOKUP(C193,'[10]Part List รวมล่าสุดกว่า'!A:R,5,0)</f>
        <v>#N/A</v>
      </c>
      <c r="I193" s="48" t="e">
        <f>+VLOOKUP(C193,'[10]Part List รวมล่าสุดกว่า'!A:R,9,0)</f>
        <v>#N/A</v>
      </c>
      <c r="J193" s="49" t="e">
        <f>+VLOOKUP(C193,'[10]Part List รวมล่าสุดกว่า'!A:R,10,0)</f>
        <v>#N/A</v>
      </c>
      <c r="K193" s="49" t="e">
        <f>+VLOOKUP(C193,'[10]Part List รวมล่าสุดกว่า'!A:R,11,0)</f>
        <v>#N/A</v>
      </c>
      <c r="L193" s="49" t="e">
        <f>+VLOOKUP(C193,'[10]Part List รวมล่าสุดกว่า'!A:R,12,0)</f>
        <v>#N/A</v>
      </c>
      <c r="M193" s="50" t="e">
        <f>+VLOOKUP(C193,[10]Forecast!F:V,6,0)</f>
        <v>#N/A</v>
      </c>
      <c r="N193" s="50" t="e">
        <f>+VLOOKUP(C193,[10]Forecast!F:V,8,0)</f>
        <v>#N/A</v>
      </c>
      <c r="O193" s="50" t="e">
        <f>+VLOOKUP(C193,[10]Forecast!F:V,10,0)</f>
        <v>#N/A</v>
      </c>
      <c r="P193" s="50" t="e">
        <f>+VLOOKUP(C193,[10]Forecast!F:V,12,0)</f>
        <v>#N/A</v>
      </c>
      <c r="Q193" s="50" t="e">
        <f>+VLOOKUP(C193,[10]Forecast!F:V,14,0)</f>
        <v>#N/A</v>
      </c>
      <c r="R193" s="50" t="e">
        <f>+VLOOKUP(C193,[10]Forecast!F:V,16,0)</f>
        <v>#N/A</v>
      </c>
      <c r="S193" s="51" t="s">
        <v>25</v>
      </c>
      <c r="T193" s="52"/>
    </row>
    <row r="194" spans="1:20" s="53" customFormat="1" ht="21" hidden="1" customHeight="1">
      <c r="A194" s="34"/>
      <c r="B194" s="43">
        <f t="shared" si="2"/>
        <v>182</v>
      </c>
      <c r="C194" s="44"/>
      <c r="D194" s="45" t="e">
        <f>+VLOOKUP(C194,'[10]Part List รวมล่าสุดกว่า'!A:R,3,0)</f>
        <v>#N/A</v>
      </c>
      <c r="E194" s="46" t="s">
        <v>24</v>
      </c>
      <c r="F194" s="45" t="e">
        <f>+VLOOKUP(C194,'[10]Part List รวมล่าสุดกว่า'!A:R,4,0)</f>
        <v>#N/A</v>
      </c>
      <c r="G194" s="46" t="s">
        <v>24</v>
      </c>
      <c r="H194" s="47" t="e">
        <f>+VLOOKUP(C194,'[10]Part List รวมล่าสุดกว่า'!A:R,5,0)</f>
        <v>#N/A</v>
      </c>
      <c r="I194" s="48" t="e">
        <f>+VLOOKUP(C194,'[10]Part List รวมล่าสุดกว่า'!A:R,9,0)</f>
        <v>#N/A</v>
      </c>
      <c r="J194" s="49" t="e">
        <f>+VLOOKUP(C194,'[10]Part List รวมล่าสุดกว่า'!A:R,10,0)</f>
        <v>#N/A</v>
      </c>
      <c r="K194" s="49" t="e">
        <f>+VLOOKUP(C194,'[10]Part List รวมล่าสุดกว่า'!A:R,11,0)</f>
        <v>#N/A</v>
      </c>
      <c r="L194" s="49" t="e">
        <f>+VLOOKUP(C194,'[10]Part List รวมล่าสุดกว่า'!A:R,12,0)</f>
        <v>#N/A</v>
      </c>
      <c r="M194" s="50" t="e">
        <f>+VLOOKUP(C194,[10]Forecast!F:V,6,0)</f>
        <v>#N/A</v>
      </c>
      <c r="N194" s="50" t="e">
        <f>+VLOOKUP(C194,[10]Forecast!F:V,8,0)</f>
        <v>#N/A</v>
      </c>
      <c r="O194" s="50" t="e">
        <f>+VLOOKUP(C194,[10]Forecast!F:V,10,0)</f>
        <v>#N/A</v>
      </c>
      <c r="P194" s="50" t="e">
        <f>+VLOOKUP(C194,[10]Forecast!F:V,12,0)</f>
        <v>#N/A</v>
      </c>
      <c r="Q194" s="50" t="e">
        <f>+VLOOKUP(C194,[10]Forecast!F:V,14,0)</f>
        <v>#N/A</v>
      </c>
      <c r="R194" s="50" t="e">
        <f>+VLOOKUP(C194,[10]Forecast!F:V,16,0)</f>
        <v>#N/A</v>
      </c>
      <c r="S194" s="51" t="s">
        <v>25</v>
      </c>
      <c r="T194" s="52"/>
    </row>
    <row r="195" spans="1:20" s="53" customFormat="1" ht="21" hidden="1" customHeight="1">
      <c r="A195" s="34"/>
      <c r="B195" s="43">
        <f t="shared" si="2"/>
        <v>183</v>
      </c>
      <c r="C195" s="44"/>
      <c r="D195" s="45" t="e">
        <f>+VLOOKUP(C195,'[10]Part List รวมล่าสุดกว่า'!A:R,3,0)</f>
        <v>#N/A</v>
      </c>
      <c r="E195" s="46" t="s">
        <v>24</v>
      </c>
      <c r="F195" s="45" t="e">
        <f>+VLOOKUP(C195,'[10]Part List รวมล่าสุดกว่า'!A:R,4,0)</f>
        <v>#N/A</v>
      </c>
      <c r="G195" s="46" t="s">
        <v>24</v>
      </c>
      <c r="H195" s="47" t="e">
        <f>+VLOOKUP(C195,'[10]Part List รวมล่าสุดกว่า'!A:R,5,0)</f>
        <v>#N/A</v>
      </c>
      <c r="I195" s="48" t="e">
        <f>+VLOOKUP(C195,'[10]Part List รวมล่าสุดกว่า'!A:R,9,0)</f>
        <v>#N/A</v>
      </c>
      <c r="J195" s="49" t="e">
        <f>+VLOOKUP(C195,'[10]Part List รวมล่าสุดกว่า'!A:R,10,0)</f>
        <v>#N/A</v>
      </c>
      <c r="K195" s="49" t="e">
        <f>+VLOOKUP(C195,'[10]Part List รวมล่าสุดกว่า'!A:R,11,0)</f>
        <v>#N/A</v>
      </c>
      <c r="L195" s="49" t="e">
        <f>+VLOOKUP(C195,'[10]Part List รวมล่าสุดกว่า'!A:R,12,0)</f>
        <v>#N/A</v>
      </c>
      <c r="M195" s="50" t="e">
        <f>+VLOOKUP(C195,[10]Forecast!F:V,6,0)</f>
        <v>#N/A</v>
      </c>
      <c r="N195" s="50" t="e">
        <f>+VLOOKUP(C195,[10]Forecast!F:V,8,0)</f>
        <v>#N/A</v>
      </c>
      <c r="O195" s="50" t="e">
        <f>+VLOOKUP(C195,[10]Forecast!F:V,10,0)</f>
        <v>#N/A</v>
      </c>
      <c r="P195" s="50" t="e">
        <f>+VLOOKUP(C195,[10]Forecast!F:V,12,0)</f>
        <v>#N/A</v>
      </c>
      <c r="Q195" s="50" t="e">
        <f>+VLOOKUP(C195,[10]Forecast!F:V,14,0)</f>
        <v>#N/A</v>
      </c>
      <c r="R195" s="50" t="e">
        <f>+VLOOKUP(C195,[10]Forecast!F:V,16,0)</f>
        <v>#N/A</v>
      </c>
      <c r="S195" s="51" t="s">
        <v>25</v>
      </c>
      <c r="T195" s="52"/>
    </row>
    <row r="196" spans="1:20" s="53" customFormat="1" ht="21" hidden="1" customHeight="1">
      <c r="A196" s="34"/>
      <c r="B196" s="43">
        <f t="shared" si="2"/>
        <v>184</v>
      </c>
      <c r="C196" s="44"/>
      <c r="D196" s="45" t="e">
        <f>+VLOOKUP(C196,'[10]Part List รวมล่าสุดกว่า'!A:R,3,0)</f>
        <v>#N/A</v>
      </c>
      <c r="E196" s="46" t="s">
        <v>24</v>
      </c>
      <c r="F196" s="45" t="e">
        <f>+VLOOKUP(C196,'[10]Part List รวมล่าสุดกว่า'!A:R,4,0)</f>
        <v>#N/A</v>
      </c>
      <c r="G196" s="46" t="s">
        <v>24</v>
      </c>
      <c r="H196" s="47" t="e">
        <f>+VLOOKUP(C196,'[10]Part List รวมล่าสุดกว่า'!A:R,5,0)</f>
        <v>#N/A</v>
      </c>
      <c r="I196" s="48" t="e">
        <f>+VLOOKUP(C196,'[10]Part List รวมล่าสุดกว่า'!A:R,9,0)</f>
        <v>#N/A</v>
      </c>
      <c r="J196" s="49" t="e">
        <f>+VLOOKUP(C196,'[10]Part List รวมล่าสุดกว่า'!A:R,10,0)</f>
        <v>#N/A</v>
      </c>
      <c r="K196" s="49" t="e">
        <f>+VLOOKUP(C196,'[10]Part List รวมล่าสุดกว่า'!A:R,11,0)</f>
        <v>#N/A</v>
      </c>
      <c r="L196" s="49" t="e">
        <f>+VLOOKUP(C196,'[10]Part List รวมล่าสุดกว่า'!A:R,12,0)</f>
        <v>#N/A</v>
      </c>
      <c r="M196" s="50" t="e">
        <f>+VLOOKUP(C196,[10]Forecast!F:V,6,0)</f>
        <v>#N/A</v>
      </c>
      <c r="N196" s="50" t="e">
        <f>+VLOOKUP(C196,[10]Forecast!F:V,8,0)</f>
        <v>#N/A</v>
      </c>
      <c r="O196" s="50" t="e">
        <f>+VLOOKUP(C196,[10]Forecast!F:V,10,0)</f>
        <v>#N/A</v>
      </c>
      <c r="P196" s="50" t="e">
        <f>+VLOOKUP(C196,[10]Forecast!F:V,12,0)</f>
        <v>#N/A</v>
      </c>
      <c r="Q196" s="50" t="e">
        <f>+VLOOKUP(C196,[10]Forecast!F:V,14,0)</f>
        <v>#N/A</v>
      </c>
      <c r="R196" s="50" t="e">
        <f>+VLOOKUP(C196,[10]Forecast!F:V,16,0)</f>
        <v>#N/A</v>
      </c>
      <c r="S196" s="51" t="s">
        <v>25</v>
      </c>
      <c r="T196" s="52"/>
    </row>
    <row r="197" spans="1:20" s="53" customFormat="1" ht="21" hidden="1" customHeight="1">
      <c r="A197" s="34"/>
      <c r="B197" s="43">
        <f t="shared" si="2"/>
        <v>185</v>
      </c>
      <c r="C197" s="44"/>
      <c r="D197" s="45" t="e">
        <f>+VLOOKUP(C197,'[10]Part List รวมล่าสุดกว่า'!A:R,3,0)</f>
        <v>#N/A</v>
      </c>
      <c r="E197" s="46" t="s">
        <v>24</v>
      </c>
      <c r="F197" s="45" t="e">
        <f>+VLOOKUP(C197,'[10]Part List รวมล่าสุดกว่า'!A:R,4,0)</f>
        <v>#N/A</v>
      </c>
      <c r="G197" s="46" t="s">
        <v>24</v>
      </c>
      <c r="H197" s="47" t="e">
        <f>+VLOOKUP(C197,'[10]Part List รวมล่าสุดกว่า'!A:R,5,0)</f>
        <v>#N/A</v>
      </c>
      <c r="I197" s="48" t="e">
        <f>+VLOOKUP(C197,'[10]Part List รวมล่าสุดกว่า'!A:R,9,0)</f>
        <v>#N/A</v>
      </c>
      <c r="J197" s="49" t="e">
        <f>+VLOOKUP(C197,'[10]Part List รวมล่าสุดกว่า'!A:R,10,0)</f>
        <v>#N/A</v>
      </c>
      <c r="K197" s="49" t="e">
        <f>+VLOOKUP(C197,'[10]Part List รวมล่าสุดกว่า'!A:R,11,0)</f>
        <v>#N/A</v>
      </c>
      <c r="L197" s="49" t="e">
        <f>+VLOOKUP(C197,'[10]Part List รวมล่าสุดกว่า'!A:R,12,0)</f>
        <v>#N/A</v>
      </c>
      <c r="M197" s="50" t="e">
        <f>+VLOOKUP(C197,[10]Forecast!F:V,6,0)</f>
        <v>#N/A</v>
      </c>
      <c r="N197" s="50" t="e">
        <f>+VLOOKUP(C197,[10]Forecast!F:V,8,0)</f>
        <v>#N/A</v>
      </c>
      <c r="O197" s="50" t="e">
        <f>+VLOOKUP(C197,[10]Forecast!F:V,10,0)</f>
        <v>#N/A</v>
      </c>
      <c r="P197" s="50" t="e">
        <f>+VLOOKUP(C197,[10]Forecast!F:V,12,0)</f>
        <v>#N/A</v>
      </c>
      <c r="Q197" s="50" t="e">
        <f>+VLOOKUP(C197,[10]Forecast!F:V,14,0)</f>
        <v>#N/A</v>
      </c>
      <c r="R197" s="50" t="e">
        <f>+VLOOKUP(C197,[10]Forecast!F:V,16,0)</f>
        <v>#N/A</v>
      </c>
      <c r="S197" s="51" t="s">
        <v>25</v>
      </c>
      <c r="T197" s="52"/>
    </row>
    <row r="198" spans="1:20" s="53" customFormat="1" ht="21" hidden="1" customHeight="1">
      <c r="A198" s="34"/>
      <c r="B198" s="43">
        <f t="shared" si="2"/>
        <v>186</v>
      </c>
      <c r="C198" s="44"/>
      <c r="D198" s="45" t="e">
        <f>+VLOOKUP(C198,'[10]Part List รวมล่าสุดกว่า'!A:R,3,0)</f>
        <v>#N/A</v>
      </c>
      <c r="E198" s="46" t="s">
        <v>24</v>
      </c>
      <c r="F198" s="45" t="e">
        <f>+VLOOKUP(C198,'[10]Part List รวมล่าสุดกว่า'!A:R,4,0)</f>
        <v>#N/A</v>
      </c>
      <c r="G198" s="46" t="s">
        <v>24</v>
      </c>
      <c r="H198" s="47" t="e">
        <f>+VLOOKUP(C198,'[10]Part List รวมล่าสุดกว่า'!A:R,5,0)</f>
        <v>#N/A</v>
      </c>
      <c r="I198" s="48" t="e">
        <f>+VLOOKUP(C198,'[10]Part List รวมล่าสุดกว่า'!A:R,9,0)</f>
        <v>#N/A</v>
      </c>
      <c r="J198" s="49" t="e">
        <f>+VLOOKUP(C198,'[10]Part List รวมล่าสุดกว่า'!A:R,10,0)</f>
        <v>#N/A</v>
      </c>
      <c r="K198" s="49" t="e">
        <f>+VLOOKUP(C198,'[10]Part List รวมล่าสุดกว่า'!A:R,11,0)</f>
        <v>#N/A</v>
      </c>
      <c r="L198" s="49" t="e">
        <f>+VLOOKUP(C198,'[10]Part List รวมล่าสุดกว่า'!A:R,12,0)</f>
        <v>#N/A</v>
      </c>
      <c r="M198" s="50" t="e">
        <f>+VLOOKUP(C198,[10]Forecast!F:V,6,0)</f>
        <v>#N/A</v>
      </c>
      <c r="N198" s="50" t="e">
        <f>+VLOOKUP(C198,[10]Forecast!F:V,8,0)</f>
        <v>#N/A</v>
      </c>
      <c r="O198" s="50" t="e">
        <f>+VLOOKUP(C198,[10]Forecast!F:V,10,0)</f>
        <v>#N/A</v>
      </c>
      <c r="P198" s="50" t="e">
        <f>+VLOOKUP(C198,[10]Forecast!F:V,12,0)</f>
        <v>#N/A</v>
      </c>
      <c r="Q198" s="50" t="e">
        <f>+VLOOKUP(C198,[10]Forecast!F:V,14,0)</f>
        <v>#N/A</v>
      </c>
      <c r="R198" s="50" t="e">
        <f>+VLOOKUP(C198,[10]Forecast!F:V,16,0)</f>
        <v>#N/A</v>
      </c>
      <c r="S198" s="51" t="s">
        <v>25</v>
      </c>
      <c r="T198" s="52"/>
    </row>
    <row r="199" spans="1:20" s="53" customFormat="1" ht="21" hidden="1" customHeight="1">
      <c r="A199" s="34"/>
      <c r="B199" s="43">
        <f t="shared" si="2"/>
        <v>187</v>
      </c>
      <c r="C199" s="44"/>
      <c r="D199" s="45" t="e">
        <f>+VLOOKUP(C199,'[10]Part List รวมล่าสุดกว่า'!A:R,3,0)</f>
        <v>#N/A</v>
      </c>
      <c r="E199" s="46" t="s">
        <v>24</v>
      </c>
      <c r="F199" s="45" t="e">
        <f>+VLOOKUP(C199,'[10]Part List รวมล่าสุดกว่า'!A:R,4,0)</f>
        <v>#N/A</v>
      </c>
      <c r="G199" s="46" t="s">
        <v>24</v>
      </c>
      <c r="H199" s="47" t="e">
        <f>+VLOOKUP(C199,'[10]Part List รวมล่าสุดกว่า'!A:R,5,0)</f>
        <v>#N/A</v>
      </c>
      <c r="I199" s="48" t="e">
        <f>+VLOOKUP(C199,'[10]Part List รวมล่าสุดกว่า'!A:R,9,0)</f>
        <v>#N/A</v>
      </c>
      <c r="J199" s="49" t="e">
        <f>+VLOOKUP(C199,'[10]Part List รวมล่าสุดกว่า'!A:R,10,0)</f>
        <v>#N/A</v>
      </c>
      <c r="K199" s="49" t="e">
        <f>+VLOOKUP(C199,'[10]Part List รวมล่าสุดกว่า'!A:R,11,0)</f>
        <v>#N/A</v>
      </c>
      <c r="L199" s="49" t="e">
        <f>+VLOOKUP(C199,'[10]Part List รวมล่าสุดกว่า'!A:R,12,0)</f>
        <v>#N/A</v>
      </c>
      <c r="M199" s="50" t="e">
        <f>+VLOOKUP(C199,[10]Forecast!F:V,6,0)</f>
        <v>#N/A</v>
      </c>
      <c r="N199" s="50" t="e">
        <f>+VLOOKUP(C199,[10]Forecast!F:V,8,0)</f>
        <v>#N/A</v>
      </c>
      <c r="O199" s="50" t="e">
        <f>+VLOOKUP(C199,[10]Forecast!F:V,10,0)</f>
        <v>#N/A</v>
      </c>
      <c r="P199" s="50" t="e">
        <f>+VLOOKUP(C199,[10]Forecast!F:V,12,0)</f>
        <v>#N/A</v>
      </c>
      <c r="Q199" s="50" t="e">
        <f>+VLOOKUP(C199,[10]Forecast!F:V,14,0)</f>
        <v>#N/A</v>
      </c>
      <c r="R199" s="50" t="e">
        <f>+VLOOKUP(C199,[10]Forecast!F:V,16,0)</f>
        <v>#N/A</v>
      </c>
      <c r="S199" s="51" t="s">
        <v>25</v>
      </c>
      <c r="T199" s="52"/>
    </row>
    <row r="200" spans="1:20" s="53" customFormat="1" ht="21" hidden="1" customHeight="1">
      <c r="A200" s="34"/>
      <c r="B200" s="43">
        <f t="shared" si="2"/>
        <v>188</v>
      </c>
      <c r="C200" s="44"/>
      <c r="D200" s="45" t="e">
        <f>+VLOOKUP(C200,'[10]Part List รวมล่าสุดกว่า'!A:R,3,0)</f>
        <v>#N/A</v>
      </c>
      <c r="E200" s="46" t="s">
        <v>24</v>
      </c>
      <c r="F200" s="45" t="e">
        <f>+VLOOKUP(C200,'[10]Part List รวมล่าสุดกว่า'!A:R,4,0)</f>
        <v>#N/A</v>
      </c>
      <c r="G200" s="46" t="s">
        <v>24</v>
      </c>
      <c r="H200" s="47" t="e">
        <f>+VLOOKUP(C200,'[10]Part List รวมล่าสุดกว่า'!A:R,5,0)</f>
        <v>#N/A</v>
      </c>
      <c r="I200" s="48" t="e">
        <f>+VLOOKUP(C200,'[10]Part List รวมล่าสุดกว่า'!A:R,9,0)</f>
        <v>#N/A</v>
      </c>
      <c r="J200" s="49" t="e">
        <f>+VLOOKUP(C200,'[10]Part List รวมล่าสุดกว่า'!A:R,10,0)</f>
        <v>#N/A</v>
      </c>
      <c r="K200" s="49" t="e">
        <f>+VLOOKUP(C200,'[10]Part List รวมล่าสุดกว่า'!A:R,11,0)</f>
        <v>#N/A</v>
      </c>
      <c r="L200" s="49" t="e">
        <f>+VLOOKUP(C200,'[10]Part List รวมล่าสุดกว่า'!A:R,12,0)</f>
        <v>#N/A</v>
      </c>
      <c r="M200" s="50" t="e">
        <f>+VLOOKUP(C200,[10]Forecast!F:V,6,0)</f>
        <v>#N/A</v>
      </c>
      <c r="N200" s="50" t="e">
        <f>+VLOOKUP(C200,[10]Forecast!F:V,8,0)</f>
        <v>#N/A</v>
      </c>
      <c r="O200" s="50" t="e">
        <f>+VLOOKUP(C200,[10]Forecast!F:V,10,0)</f>
        <v>#N/A</v>
      </c>
      <c r="P200" s="50" t="e">
        <f>+VLOOKUP(C200,[10]Forecast!F:V,12,0)</f>
        <v>#N/A</v>
      </c>
      <c r="Q200" s="50" t="e">
        <f>+VLOOKUP(C200,[10]Forecast!F:V,14,0)</f>
        <v>#N/A</v>
      </c>
      <c r="R200" s="50" t="e">
        <f>+VLOOKUP(C200,[10]Forecast!F:V,16,0)</f>
        <v>#N/A</v>
      </c>
      <c r="S200" s="51" t="s">
        <v>25</v>
      </c>
      <c r="T200" s="52"/>
    </row>
    <row r="201" spans="1:20" s="53" customFormat="1" ht="21" hidden="1" customHeight="1">
      <c r="A201" s="34"/>
      <c r="B201" s="43">
        <f t="shared" si="2"/>
        <v>189</v>
      </c>
      <c r="C201" s="44"/>
      <c r="D201" s="45" t="e">
        <f>+VLOOKUP(C201,'[10]Part List รวมล่าสุดกว่า'!A:R,3,0)</f>
        <v>#N/A</v>
      </c>
      <c r="E201" s="46" t="s">
        <v>24</v>
      </c>
      <c r="F201" s="45" t="e">
        <f>+VLOOKUP(C201,'[10]Part List รวมล่าสุดกว่า'!A:R,4,0)</f>
        <v>#N/A</v>
      </c>
      <c r="G201" s="46" t="s">
        <v>24</v>
      </c>
      <c r="H201" s="47" t="e">
        <f>+VLOOKUP(C201,'[10]Part List รวมล่าสุดกว่า'!A:R,5,0)</f>
        <v>#N/A</v>
      </c>
      <c r="I201" s="48" t="e">
        <f>+VLOOKUP(C201,'[10]Part List รวมล่าสุดกว่า'!A:R,9,0)</f>
        <v>#N/A</v>
      </c>
      <c r="J201" s="49" t="e">
        <f>+VLOOKUP(C201,'[10]Part List รวมล่าสุดกว่า'!A:R,10,0)</f>
        <v>#N/A</v>
      </c>
      <c r="K201" s="49" t="e">
        <f>+VLOOKUP(C201,'[10]Part List รวมล่าสุดกว่า'!A:R,11,0)</f>
        <v>#N/A</v>
      </c>
      <c r="L201" s="49" t="e">
        <f>+VLOOKUP(C201,'[10]Part List รวมล่าสุดกว่า'!A:R,12,0)</f>
        <v>#N/A</v>
      </c>
      <c r="M201" s="50" t="e">
        <f>+VLOOKUP(C201,[10]Forecast!F:V,6,0)</f>
        <v>#N/A</v>
      </c>
      <c r="N201" s="50" t="e">
        <f>+VLOOKUP(C201,[10]Forecast!F:V,8,0)</f>
        <v>#N/A</v>
      </c>
      <c r="O201" s="50" t="e">
        <f>+VLOOKUP(C201,[10]Forecast!F:V,10,0)</f>
        <v>#N/A</v>
      </c>
      <c r="P201" s="50" t="e">
        <f>+VLOOKUP(C201,[10]Forecast!F:V,12,0)</f>
        <v>#N/A</v>
      </c>
      <c r="Q201" s="50" t="e">
        <f>+VLOOKUP(C201,[10]Forecast!F:V,14,0)</f>
        <v>#N/A</v>
      </c>
      <c r="R201" s="50" t="e">
        <f>+VLOOKUP(C201,[10]Forecast!F:V,16,0)</f>
        <v>#N/A</v>
      </c>
      <c r="S201" s="51" t="s">
        <v>25</v>
      </c>
      <c r="T201" s="52"/>
    </row>
    <row r="202" spans="1:20" s="53" customFormat="1" ht="21" hidden="1" customHeight="1">
      <c r="A202" s="34"/>
      <c r="B202" s="43">
        <f t="shared" si="2"/>
        <v>190</v>
      </c>
      <c r="C202" s="44"/>
      <c r="D202" s="45" t="e">
        <f>+VLOOKUP(C202,'[10]Part List รวมล่าสุดกว่า'!A:R,3,0)</f>
        <v>#N/A</v>
      </c>
      <c r="E202" s="46" t="s">
        <v>24</v>
      </c>
      <c r="F202" s="45" t="e">
        <f>+VLOOKUP(C202,'[10]Part List รวมล่าสุดกว่า'!A:R,4,0)</f>
        <v>#N/A</v>
      </c>
      <c r="G202" s="46" t="s">
        <v>24</v>
      </c>
      <c r="H202" s="47" t="e">
        <f>+VLOOKUP(C202,'[10]Part List รวมล่าสุดกว่า'!A:R,5,0)</f>
        <v>#N/A</v>
      </c>
      <c r="I202" s="48" t="e">
        <f>+VLOOKUP(C202,'[10]Part List รวมล่าสุดกว่า'!A:R,9,0)</f>
        <v>#N/A</v>
      </c>
      <c r="J202" s="49" t="e">
        <f>+VLOOKUP(C202,'[10]Part List รวมล่าสุดกว่า'!A:R,10,0)</f>
        <v>#N/A</v>
      </c>
      <c r="K202" s="49" t="e">
        <f>+VLOOKUP(C202,'[10]Part List รวมล่าสุดกว่า'!A:R,11,0)</f>
        <v>#N/A</v>
      </c>
      <c r="L202" s="49" t="e">
        <f>+VLOOKUP(C202,'[10]Part List รวมล่าสุดกว่า'!A:R,12,0)</f>
        <v>#N/A</v>
      </c>
      <c r="M202" s="50" t="e">
        <f>+VLOOKUP(C202,[10]Forecast!F:V,6,0)</f>
        <v>#N/A</v>
      </c>
      <c r="N202" s="50" t="e">
        <f>+VLOOKUP(C202,[10]Forecast!F:V,8,0)</f>
        <v>#N/A</v>
      </c>
      <c r="O202" s="50" t="e">
        <f>+VLOOKUP(C202,[10]Forecast!F:V,10,0)</f>
        <v>#N/A</v>
      </c>
      <c r="P202" s="50" t="e">
        <f>+VLOOKUP(C202,[10]Forecast!F:V,12,0)</f>
        <v>#N/A</v>
      </c>
      <c r="Q202" s="50" t="e">
        <f>+VLOOKUP(C202,[10]Forecast!F:V,14,0)</f>
        <v>#N/A</v>
      </c>
      <c r="R202" s="50" t="e">
        <f>+VLOOKUP(C202,[10]Forecast!F:V,16,0)</f>
        <v>#N/A</v>
      </c>
      <c r="S202" s="51" t="s">
        <v>25</v>
      </c>
      <c r="T202" s="52"/>
    </row>
    <row r="203" spans="1:20" s="53" customFormat="1" ht="21" hidden="1" customHeight="1">
      <c r="A203" s="34"/>
      <c r="B203" s="43">
        <f t="shared" si="2"/>
        <v>191</v>
      </c>
      <c r="C203" s="44"/>
      <c r="D203" s="45" t="e">
        <f>+VLOOKUP(C203,'[10]Part List รวมล่าสุดกว่า'!A:R,3,0)</f>
        <v>#N/A</v>
      </c>
      <c r="E203" s="46" t="s">
        <v>24</v>
      </c>
      <c r="F203" s="45" t="e">
        <f>+VLOOKUP(C203,'[10]Part List รวมล่าสุดกว่า'!A:R,4,0)</f>
        <v>#N/A</v>
      </c>
      <c r="G203" s="46" t="s">
        <v>24</v>
      </c>
      <c r="H203" s="47" t="e">
        <f>+VLOOKUP(C203,'[10]Part List รวมล่าสุดกว่า'!A:R,5,0)</f>
        <v>#N/A</v>
      </c>
      <c r="I203" s="48" t="e">
        <f>+VLOOKUP(C203,'[10]Part List รวมล่าสุดกว่า'!A:R,9,0)</f>
        <v>#N/A</v>
      </c>
      <c r="J203" s="49" t="e">
        <f>+VLOOKUP(C203,'[10]Part List รวมล่าสุดกว่า'!A:R,10,0)</f>
        <v>#N/A</v>
      </c>
      <c r="K203" s="49" t="e">
        <f>+VLOOKUP(C203,'[10]Part List รวมล่าสุดกว่า'!A:R,11,0)</f>
        <v>#N/A</v>
      </c>
      <c r="L203" s="49" t="e">
        <f>+VLOOKUP(C203,'[10]Part List รวมล่าสุดกว่า'!A:R,12,0)</f>
        <v>#N/A</v>
      </c>
      <c r="M203" s="50" t="e">
        <f>+VLOOKUP(C203,[10]Forecast!F:V,6,0)</f>
        <v>#N/A</v>
      </c>
      <c r="N203" s="50" t="e">
        <f>+VLOOKUP(C203,[10]Forecast!F:V,8,0)</f>
        <v>#N/A</v>
      </c>
      <c r="O203" s="50" t="e">
        <f>+VLOOKUP(C203,[10]Forecast!F:V,10,0)</f>
        <v>#N/A</v>
      </c>
      <c r="P203" s="50" t="e">
        <f>+VLOOKUP(C203,[10]Forecast!F:V,12,0)</f>
        <v>#N/A</v>
      </c>
      <c r="Q203" s="50" t="e">
        <f>+VLOOKUP(C203,[10]Forecast!F:V,14,0)</f>
        <v>#N/A</v>
      </c>
      <c r="R203" s="50" t="e">
        <f>+VLOOKUP(C203,[10]Forecast!F:V,16,0)</f>
        <v>#N/A</v>
      </c>
      <c r="S203" s="51" t="s">
        <v>25</v>
      </c>
      <c r="T203" s="52"/>
    </row>
    <row r="204" spans="1:20" s="53" customFormat="1" ht="21" hidden="1" customHeight="1">
      <c r="A204" s="34"/>
      <c r="B204" s="43">
        <f t="shared" si="2"/>
        <v>192</v>
      </c>
      <c r="C204" s="44"/>
      <c r="D204" s="45" t="e">
        <f>+VLOOKUP(C204,'[10]Part List รวมล่าสุดกว่า'!A:R,3,0)</f>
        <v>#N/A</v>
      </c>
      <c r="E204" s="46" t="s">
        <v>24</v>
      </c>
      <c r="F204" s="45" t="e">
        <f>+VLOOKUP(C204,'[10]Part List รวมล่าสุดกว่า'!A:R,4,0)</f>
        <v>#N/A</v>
      </c>
      <c r="G204" s="46" t="s">
        <v>24</v>
      </c>
      <c r="H204" s="47" t="e">
        <f>+VLOOKUP(C204,'[10]Part List รวมล่าสุดกว่า'!A:R,5,0)</f>
        <v>#N/A</v>
      </c>
      <c r="I204" s="48" t="e">
        <f>+VLOOKUP(C204,'[10]Part List รวมล่าสุดกว่า'!A:R,9,0)</f>
        <v>#N/A</v>
      </c>
      <c r="J204" s="49" t="e">
        <f>+VLOOKUP(C204,'[10]Part List รวมล่าสุดกว่า'!A:R,10,0)</f>
        <v>#N/A</v>
      </c>
      <c r="K204" s="49" t="e">
        <f>+VLOOKUP(C204,'[10]Part List รวมล่าสุดกว่า'!A:R,11,0)</f>
        <v>#N/A</v>
      </c>
      <c r="L204" s="49" t="e">
        <f>+VLOOKUP(C204,'[10]Part List รวมล่าสุดกว่า'!A:R,12,0)</f>
        <v>#N/A</v>
      </c>
      <c r="M204" s="50" t="e">
        <f>+VLOOKUP(C204,[10]Forecast!F:V,6,0)</f>
        <v>#N/A</v>
      </c>
      <c r="N204" s="50" t="e">
        <f>+VLOOKUP(C204,[10]Forecast!F:V,8,0)</f>
        <v>#N/A</v>
      </c>
      <c r="O204" s="50" t="e">
        <f>+VLOOKUP(C204,[10]Forecast!F:V,10,0)</f>
        <v>#N/A</v>
      </c>
      <c r="P204" s="50" t="e">
        <f>+VLOOKUP(C204,[10]Forecast!F:V,12,0)</f>
        <v>#N/A</v>
      </c>
      <c r="Q204" s="50" t="e">
        <f>+VLOOKUP(C204,[10]Forecast!F:V,14,0)</f>
        <v>#N/A</v>
      </c>
      <c r="R204" s="50" t="e">
        <f>+VLOOKUP(C204,[10]Forecast!F:V,16,0)</f>
        <v>#N/A</v>
      </c>
      <c r="S204" s="51" t="s">
        <v>25</v>
      </c>
      <c r="T204" s="52"/>
    </row>
    <row r="205" spans="1:20" s="53" customFormat="1" ht="21" hidden="1" customHeight="1">
      <c r="A205" s="34"/>
      <c r="B205" s="43">
        <f t="shared" ref="B205:B242" si="3">B204+1</f>
        <v>193</v>
      </c>
      <c r="C205" s="44"/>
      <c r="D205" s="45" t="e">
        <f>+VLOOKUP(C205,'[10]Part List รวมล่าสุดกว่า'!A:R,3,0)</f>
        <v>#N/A</v>
      </c>
      <c r="E205" s="46" t="s">
        <v>24</v>
      </c>
      <c r="F205" s="45" t="e">
        <f>+VLOOKUP(C205,'[10]Part List รวมล่าสุดกว่า'!A:R,4,0)</f>
        <v>#N/A</v>
      </c>
      <c r="G205" s="46" t="s">
        <v>24</v>
      </c>
      <c r="H205" s="47" t="e">
        <f>+VLOOKUP(C205,'[10]Part List รวมล่าสุดกว่า'!A:R,5,0)</f>
        <v>#N/A</v>
      </c>
      <c r="I205" s="48" t="e">
        <f>+VLOOKUP(C205,'[10]Part List รวมล่าสุดกว่า'!A:R,9,0)</f>
        <v>#N/A</v>
      </c>
      <c r="J205" s="49" t="e">
        <f>+VLOOKUP(C205,'[10]Part List รวมล่าสุดกว่า'!A:R,10,0)</f>
        <v>#N/A</v>
      </c>
      <c r="K205" s="49" t="e">
        <f>+VLOOKUP(C205,'[10]Part List รวมล่าสุดกว่า'!A:R,11,0)</f>
        <v>#N/A</v>
      </c>
      <c r="L205" s="49" t="e">
        <f>+VLOOKUP(C205,'[10]Part List รวมล่าสุดกว่า'!A:R,12,0)</f>
        <v>#N/A</v>
      </c>
      <c r="M205" s="50" t="e">
        <f>+VLOOKUP(C205,[10]Forecast!F:V,6,0)</f>
        <v>#N/A</v>
      </c>
      <c r="N205" s="50" t="e">
        <f>+VLOOKUP(C205,[10]Forecast!F:V,8,0)</f>
        <v>#N/A</v>
      </c>
      <c r="O205" s="50" t="e">
        <f>+VLOOKUP(C205,[10]Forecast!F:V,10,0)</f>
        <v>#N/A</v>
      </c>
      <c r="P205" s="50" t="e">
        <f>+VLOOKUP(C205,[10]Forecast!F:V,12,0)</f>
        <v>#N/A</v>
      </c>
      <c r="Q205" s="50" t="e">
        <f>+VLOOKUP(C205,[10]Forecast!F:V,14,0)</f>
        <v>#N/A</v>
      </c>
      <c r="R205" s="50" t="e">
        <f>+VLOOKUP(C205,[10]Forecast!F:V,16,0)</f>
        <v>#N/A</v>
      </c>
      <c r="S205" s="51" t="s">
        <v>25</v>
      </c>
      <c r="T205" s="52"/>
    </row>
    <row r="206" spans="1:20" s="53" customFormat="1" ht="21" hidden="1" customHeight="1">
      <c r="A206" s="34"/>
      <c r="B206" s="43">
        <f t="shared" si="3"/>
        <v>194</v>
      </c>
      <c r="C206" s="44"/>
      <c r="D206" s="45" t="e">
        <f>+VLOOKUP(C206,'[10]Part List รวมล่าสุดกว่า'!A:R,3,0)</f>
        <v>#N/A</v>
      </c>
      <c r="E206" s="46" t="s">
        <v>24</v>
      </c>
      <c r="F206" s="45" t="e">
        <f>+VLOOKUP(C206,'[10]Part List รวมล่าสุดกว่า'!A:R,4,0)</f>
        <v>#N/A</v>
      </c>
      <c r="G206" s="46" t="s">
        <v>24</v>
      </c>
      <c r="H206" s="47" t="e">
        <f>+VLOOKUP(C206,'[10]Part List รวมล่าสุดกว่า'!A:R,5,0)</f>
        <v>#N/A</v>
      </c>
      <c r="I206" s="48" t="e">
        <f>+VLOOKUP(C206,'[10]Part List รวมล่าสุดกว่า'!A:R,9,0)</f>
        <v>#N/A</v>
      </c>
      <c r="J206" s="49" t="e">
        <f>+VLOOKUP(C206,'[10]Part List รวมล่าสุดกว่า'!A:R,10,0)</f>
        <v>#N/A</v>
      </c>
      <c r="K206" s="49" t="e">
        <f>+VLOOKUP(C206,'[10]Part List รวมล่าสุดกว่า'!A:R,11,0)</f>
        <v>#N/A</v>
      </c>
      <c r="L206" s="49" t="e">
        <f>+VLOOKUP(C206,'[10]Part List รวมล่าสุดกว่า'!A:R,12,0)</f>
        <v>#N/A</v>
      </c>
      <c r="M206" s="50" t="e">
        <f>+VLOOKUP(C206,[10]Forecast!F:V,6,0)</f>
        <v>#N/A</v>
      </c>
      <c r="N206" s="50" t="e">
        <f>+VLOOKUP(C206,[10]Forecast!F:V,8,0)</f>
        <v>#N/A</v>
      </c>
      <c r="O206" s="50" t="e">
        <f>+VLOOKUP(C206,[10]Forecast!F:V,10,0)</f>
        <v>#N/A</v>
      </c>
      <c r="P206" s="50" t="e">
        <f>+VLOOKUP(C206,[10]Forecast!F:V,12,0)</f>
        <v>#N/A</v>
      </c>
      <c r="Q206" s="50" t="e">
        <f>+VLOOKUP(C206,[10]Forecast!F:V,14,0)</f>
        <v>#N/A</v>
      </c>
      <c r="R206" s="50" t="e">
        <f>+VLOOKUP(C206,[10]Forecast!F:V,16,0)</f>
        <v>#N/A</v>
      </c>
      <c r="S206" s="51" t="s">
        <v>25</v>
      </c>
      <c r="T206" s="52"/>
    </row>
    <row r="207" spans="1:20" s="53" customFormat="1" ht="21" hidden="1" customHeight="1">
      <c r="A207" s="34"/>
      <c r="B207" s="43">
        <f t="shared" si="3"/>
        <v>195</v>
      </c>
      <c r="C207" s="44"/>
      <c r="D207" s="45" t="e">
        <f>+VLOOKUP(C207,'[10]Part List รวมล่าสุดกว่า'!A:R,3,0)</f>
        <v>#N/A</v>
      </c>
      <c r="E207" s="46" t="s">
        <v>24</v>
      </c>
      <c r="F207" s="45" t="e">
        <f>+VLOOKUP(C207,'[10]Part List รวมล่าสุดกว่า'!A:R,4,0)</f>
        <v>#N/A</v>
      </c>
      <c r="G207" s="46" t="s">
        <v>24</v>
      </c>
      <c r="H207" s="47" t="e">
        <f>+VLOOKUP(C207,'[10]Part List รวมล่าสุดกว่า'!A:R,5,0)</f>
        <v>#N/A</v>
      </c>
      <c r="I207" s="48" t="e">
        <f>+VLOOKUP(C207,'[10]Part List รวมล่าสุดกว่า'!A:R,9,0)</f>
        <v>#N/A</v>
      </c>
      <c r="J207" s="49" t="e">
        <f>+VLOOKUP(C207,'[10]Part List รวมล่าสุดกว่า'!A:R,10,0)</f>
        <v>#N/A</v>
      </c>
      <c r="K207" s="49" t="e">
        <f>+VLOOKUP(C207,'[10]Part List รวมล่าสุดกว่า'!A:R,11,0)</f>
        <v>#N/A</v>
      </c>
      <c r="L207" s="49" t="e">
        <f>+VLOOKUP(C207,'[10]Part List รวมล่าสุดกว่า'!A:R,12,0)</f>
        <v>#N/A</v>
      </c>
      <c r="M207" s="50" t="e">
        <f>+VLOOKUP(C207,[10]Forecast!F:V,6,0)</f>
        <v>#N/A</v>
      </c>
      <c r="N207" s="50" t="e">
        <f>+VLOOKUP(C207,[10]Forecast!F:V,8,0)</f>
        <v>#N/A</v>
      </c>
      <c r="O207" s="50" t="e">
        <f>+VLOOKUP(C207,[10]Forecast!F:V,10,0)</f>
        <v>#N/A</v>
      </c>
      <c r="P207" s="50" t="e">
        <f>+VLOOKUP(C207,[10]Forecast!F:V,12,0)</f>
        <v>#N/A</v>
      </c>
      <c r="Q207" s="50" t="e">
        <f>+VLOOKUP(C207,[10]Forecast!F:V,14,0)</f>
        <v>#N/A</v>
      </c>
      <c r="R207" s="50" t="e">
        <f>+VLOOKUP(C207,[10]Forecast!F:V,16,0)</f>
        <v>#N/A</v>
      </c>
      <c r="S207" s="51" t="s">
        <v>25</v>
      </c>
      <c r="T207" s="52"/>
    </row>
    <row r="208" spans="1:20" s="53" customFormat="1" ht="21" hidden="1" customHeight="1">
      <c r="A208" s="34"/>
      <c r="B208" s="43">
        <f t="shared" si="3"/>
        <v>196</v>
      </c>
      <c r="C208" s="44"/>
      <c r="D208" s="45" t="e">
        <f>+VLOOKUP(C208,'[10]Part List รวมล่าสุดกว่า'!A:R,3,0)</f>
        <v>#N/A</v>
      </c>
      <c r="E208" s="46" t="s">
        <v>24</v>
      </c>
      <c r="F208" s="45" t="e">
        <f>+VLOOKUP(C208,'[10]Part List รวมล่าสุดกว่า'!A:R,4,0)</f>
        <v>#N/A</v>
      </c>
      <c r="G208" s="46" t="s">
        <v>24</v>
      </c>
      <c r="H208" s="47" t="e">
        <f>+VLOOKUP(C208,'[10]Part List รวมล่าสุดกว่า'!A:R,5,0)</f>
        <v>#N/A</v>
      </c>
      <c r="I208" s="48" t="e">
        <f>+VLOOKUP(C208,'[10]Part List รวมล่าสุดกว่า'!A:R,9,0)</f>
        <v>#N/A</v>
      </c>
      <c r="J208" s="49" t="e">
        <f>+VLOOKUP(C208,'[10]Part List รวมล่าสุดกว่า'!A:R,10,0)</f>
        <v>#N/A</v>
      </c>
      <c r="K208" s="49" t="e">
        <f>+VLOOKUP(C208,'[10]Part List รวมล่าสุดกว่า'!A:R,11,0)</f>
        <v>#N/A</v>
      </c>
      <c r="L208" s="49" t="e">
        <f>+VLOOKUP(C208,'[10]Part List รวมล่าสุดกว่า'!A:R,12,0)</f>
        <v>#N/A</v>
      </c>
      <c r="M208" s="50" t="e">
        <f>+VLOOKUP(C208,[10]Forecast!F:V,6,0)</f>
        <v>#N/A</v>
      </c>
      <c r="N208" s="50" t="e">
        <f>+VLOOKUP(C208,[10]Forecast!F:V,8,0)</f>
        <v>#N/A</v>
      </c>
      <c r="O208" s="50" t="e">
        <f>+VLOOKUP(C208,[10]Forecast!F:V,10,0)</f>
        <v>#N/A</v>
      </c>
      <c r="P208" s="50" t="e">
        <f>+VLOOKUP(C208,[10]Forecast!F:V,12,0)</f>
        <v>#N/A</v>
      </c>
      <c r="Q208" s="50" t="e">
        <f>+VLOOKUP(C208,[10]Forecast!F:V,14,0)</f>
        <v>#N/A</v>
      </c>
      <c r="R208" s="50" t="e">
        <f>+VLOOKUP(C208,[10]Forecast!F:V,16,0)</f>
        <v>#N/A</v>
      </c>
      <c r="S208" s="51" t="s">
        <v>25</v>
      </c>
      <c r="T208" s="52"/>
    </row>
    <row r="209" spans="1:20" s="53" customFormat="1" ht="21" hidden="1" customHeight="1">
      <c r="A209" s="34"/>
      <c r="B209" s="43">
        <f t="shared" si="3"/>
        <v>197</v>
      </c>
      <c r="C209" s="44"/>
      <c r="D209" s="45" t="e">
        <f>+VLOOKUP(C209,'[10]Part List รวมล่าสุดกว่า'!A:R,3,0)</f>
        <v>#N/A</v>
      </c>
      <c r="E209" s="46" t="s">
        <v>24</v>
      </c>
      <c r="F209" s="45" t="e">
        <f>+VLOOKUP(C209,'[10]Part List รวมล่าสุดกว่า'!A:R,4,0)</f>
        <v>#N/A</v>
      </c>
      <c r="G209" s="46" t="s">
        <v>24</v>
      </c>
      <c r="H209" s="47" t="e">
        <f>+VLOOKUP(C209,'[10]Part List รวมล่าสุดกว่า'!A:R,5,0)</f>
        <v>#N/A</v>
      </c>
      <c r="I209" s="48" t="e">
        <f>+VLOOKUP(C209,'[10]Part List รวมล่าสุดกว่า'!A:R,9,0)</f>
        <v>#N/A</v>
      </c>
      <c r="J209" s="49" t="e">
        <f>+VLOOKUP(C209,'[10]Part List รวมล่าสุดกว่า'!A:R,10,0)</f>
        <v>#N/A</v>
      </c>
      <c r="K209" s="49" t="e">
        <f>+VLOOKUP(C209,'[10]Part List รวมล่าสุดกว่า'!A:R,11,0)</f>
        <v>#N/A</v>
      </c>
      <c r="L209" s="49" t="e">
        <f>+VLOOKUP(C209,'[10]Part List รวมล่าสุดกว่า'!A:R,12,0)</f>
        <v>#N/A</v>
      </c>
      <c r="M209" s="50" t="e">
        <f>+VLOOKUP(C209,[10]Forecast!F:V,6,0)</f>
        <v>#N/A</v>
      </c>
      <c r="N209" s="50" t="e">
        <f>+VLOOKUP(C209,[10]Forecast!F:V,8,0)</f>
        <v>#N/A</v>
      </c>
      <c r="O209" s="50" t="e">
        <f>+VLOOKUP(C209,[10]Forecast!F:V,10,0)</f>
        <v>#N/A</v>
      </c>
      <c r="P209" s="50" t="e">
        <f>+VLOOKUP(C209,[10]Forecast!F:V,12,0)</f>
        <v>#N/A</v>
      </c>
      <c r="Q209" s="50" t="e">
        <f>+VLOOKUP(C209,[10]Forecast!F:V,14,0)</f>
        <v>#N/A</v>
      </c>
      <c r="R209" s="50" t="e">
        <f>+VLOOKUP(C209,[10]Forecast!F:V,16,0)</f>
        <v>#N/A</v>
      </c>
      <c r="S209" s="51" t="s">
        <v>25</v>
      </c>
      <c r="T209" s="52"/>
    </row>
    <row r="210" spans="1:20" s="53" customFormat="1" ht="21" hidden="1" customHeight="1">
      <c r="A210" s="34"/>
      <c r="B210" s="43">
        <f t="shared" si="3"/>
        <v>198</v>
      </c>
      <c r="C210" s="44"/>
      <c r="D210" s="45" t="e">
        <f>+VLOOKUP(C210,'[10]Part List รวมล่าสุดกว่า'!A:R,3,0)</f>
        <v>#N/A</v>
      </c>
      <c r="E210" s="46" t="s">
        <v>24</v>
      </c>
      <c r="F210" s="45" t="e">
        <f>+VLOOKUP(C210,'[10]Part List รวมล่าสุดกว่า'!A:R,4,0)</f>
        <v>#N/A</v>
      </c>
      <c r="G210" s="46" t="s">
        <v>24</v>
      </c>
      <c r="H210" s="47" t="e">
        <f>+VLOOKUP(C210,'[10]Part List รวมล่าสุดกว่า'!A:R,5,0)</f>
        <v>#N/A</v>
      </c>
      <c r="I210" s="48" t="e">
        <f>+VLOOKUP(C210,'[10]Part List รวมล่าสุดกว่า'!A:R,9,0)</f>
        <v>#N/A</v>
      </c>
      <c r="J210" s="49" t="e">
        <f>+VLOOKUP(C210,'[10]Part List รวมล่าสุดกว่า'!A:R,10,0)</f>
        <v>#N/A</v>
      </c>
      <c r="K210" s="49" t="e">
        <f>+VLOOKUP(C210,'[10]Part List รวมล่าสุดกว่า'!A:R,11,0)</f>
        <v>#N/A</v>
      </c>
      <c r="L210" s="49" t="e">
        <f>+VLOOKUP(C210,'[10]Part List รวมล่าสุดกว่า'!A:R,12,0)</f>
        <v>#N/A</v>
      </c>
      <c r="M210" s="50" t="e">
        <f>+VLOOKUP(C210,[10]Forecast!F:V,6,0)</f>
        <v>#N/A</v>
      </c>
      <c r="N210" s="50" t="e">
        <f>+VLOOKUP(C210,[10]Forecast!F:V,8,0)</f>
        <v>#N/A</v>
      </c>
      <c r="O210" s="50" t="e">
        <f>+VLOOKUP(C210,[10]Forecast!F:V,10,0)</f>
        <v>#N/A</v>
      </c>
      <c r="P210" s="50" t="e">
        <f>+VLOOKUP(C210,[10]Forecast!F:V,12,0)</f>
        <v>#N/A</v>
      </c>
      <c r="Q210" s="50" t="e">
        <f>+VLOOKUP(C210,[10]Forecast!F:V,14,0)</f>
        <v>#N/A</v>
      </c>
      <c r="R210" s="50" t="e">
        <f>+VLOOKUP(C210,[10]Forecast!F:V,16,0)</f>
        <v>#N/A</v>
      </c>
      <c r="S210" s="51" t="s">
        <v>25</v>
      </c>
      <c r="T210" s="52"/>
    </row>
    <row r="211" spans="1:20" s="53" customFormat="1" ht="21" hidden="1" customHeight="1">
      <c r="A211" s="34"/>
      <c r="B211" s="43">
        <f t="shared" si="3"/>
        <v>199</v>
      </c>
      <c r="C211" s="44"/>
      <c r="D211" s="45" t="e">
        <f>+VLOOKUP(C211,'[10]Part List รวมล่าสุดกว่า'!A:R,3,0)</f>
        <v>#N/A</v>
      </c>
      <c r="E211" s="46" t="s">
        <v>24</v>
      </c>
      <c r="F211" s="45" t="e">
        <f>+VLOOKUP(C211,'[10]Part List รวมล่าสุดกว่า'!A:R,4,0)</f>
        <v>#N/A</v>
      </c>
      <c r="G211" s="46" t="s">
        <v>24</v>
      </c>
      <c r="H211" s="47" t="e">
        <f>+VLOOKUP(C211,'[10]Part List รวมล่าสุดกว่า'!A:R,5,0)</f>
        <v>#N/A</v>
      </c>
      <c r="I211" s="48" t="e">
        <f>+VLOOKUP(C211,'[10]Part List รวมล่าสุดกว่า'!A:R,9,0)</f>
        <v>#N/A</v>
      </c>
      <c r="J211" s="49" t="e">
        <f>+VLOOKUP(C211,'[10]Part List รวมล่าสุดกว่า'!A:R,10,0)</f>
        <v>#N/A</v>
      </c>
      <c r="K211" s="49" t="e">
        <f>+VLOOKUP(C211,'[10]Part List รวมล่าสุดกว่า'!A:R,11,0)</f>
        <v>#N/A</v>
      </c>
      <c r="L211" s="49" t="e">
        <f>+VLOOKUP(C211,'[10]Part List รวมล่าสุดกว่า'!A:R,12,0)</f>
        <v>#N/A</v>
      </c>
      <c r="M211" s="50" t="e">
        <f>+VLOOKUP(C211,[10]Forecast!F:V,6,0)</f>
        <v>#N/A</v>
      </c>
      <c r="N211" s="50" t="e">
        <f>+VLOOKUP(C211,[10]Forecast!F:V,8,0)</f>
        <v>#N/A</v>
      </c>
      <c r="O211" s="50" t="e">
        <f>+VLOOKUP(C211,[10]Forecast!F:V,10,0)</f>
        <v>#N/A</v>
      </c>
      <c r="P211" s="50" t="e">
        <f>+VLOOKUP(C211,[10]Forecast!F:V,12,0)</f>
        <v>#N/A</v>
      </c>
      <c r="Q211" s="50" t="e">
        <f>+VLOOKUP(C211,[10]Forecast!F:V,14,0)</f>
        <v>#N/A</v>
      </c>
      <c r="R211" s="50" t="e">
        <f>+VLOOKUP(C211,[10]Forecast!F:V,16,0)</f>
        <v>#N/A</v>
      </c>
      <c r="S211" s="51" t="s">
        <v>25</v>
      </c>
      <c r="T211" s="52"/>
    </row>
    <row r="212" spans="1:20" s="53" customFormat="1" ht="21" hidden="1" customHeight="1">
      <c r="A212" s="34"/>
      <c r="B212" s="43">
        <f t="shared" si="3"/>
        <v>200</v>
      </c>
      <c r="C212" s="44"/>
      <c r="D212" s="45" t="e">
        <f>+VLOOKUP(C212,'[10]Part List รวมล่าสุดกว่า'!A:R,3,0)</f>
        <v>#N/A</v>
      </c>
      <c r="E212" s="46" t="s">
        <v>24</v>
      </c>
      <c r="F212" s="45" t="e">
        <f>+VLOOKUP(C212,'[10]Part List รวมล่าสุดกว่า'!A:R,4,0)</f>
        <v>#N/A</v>
      </c>
      <c r="G212" s="46" t="s">
        <v>24</v>
      </c>
      <c r="H212" s="47" t="e">
        <f>+VLOOKUP(C212,'[10]Part List รวมล่าสุดกว่า'!A:R,5,0)</f>
        <v>#N/A</v>
      </c>
      <c r="I212" s="48" t="e">
        <f>+VLOOKUP(C212,'[10]Part List รวมล่าสุดกว่า'!A:R,9,0)</f>
        <v>#N/A</v>
      </c>
      <c r="J212" s="49" t="e">
        <f>+VLOOKUP(C212,'[10]Part List รวมล่าสุดกว่า'!A:R,10,0)</f>
        <v>#N/A</v>
      </c>
      <c r="K212" s="49" t="e">
        <f>+VLOOKUP(C212,'[10]Part List รวมล่าสุดกว่า'!A:R,11,0)</f>
        <v>#N/A</v>
      </c>
      <c r="L212" s="49" t="e">
        <f>+VLOOKUP(C212,'[10]Part List รวมล่าสุดกว่า'!A:R,12,0)</f>
        <v>#N/A</v>
      </c>
      <c r="M212" s="50" t="e">
        <f>+VLOOKUP(C212,[10]Forecast!F:V,6,0)</f>
        <v>#N/A</v>
      </c>
      <c r="N212" s="50" t="e">
        <f>+VLOOKUP(C212,[10]Forecast!F:V,8,0)</f>
        <v>#N/A</v>
      </c>
      <c r="O212" s="50" t="e">
        <f>+VLOOKUP(C212,[10]Forecast!F:V,10,0)</f>
        <v>#N/A</v>
      </c>
      <c r="P212" s="50" t="e">
        <f>+VLOOKUP(C212,[10]Forecast!F:V,12,0)</f>
        <v>#N/A</v>
      </c>
      <c r="Q212" s="50" t="e">
        <f>+VLOOKUP(C212,[10]Forecast!F:V,14,0)</f>
        <v>#N/A</v>
      </c>
      <c r="R212" s="50" t="e">
        <f>+VLOOKUP(C212,[10]Forecast!F:V,16,0)</f>
        <v>#N/A</v>
      </c>
      <c r="S212" s="51" t="s">
        <v>25</v>
      </c>
      <c r="T212" s="52"/>
    </row>
    <row r="213" spans="1:20" s="53" customFormat="1" ht="21" hidden="1" customHeight="1">
      <c r="A213" s="34"/>
      <c r="B213" s="43">
        <f t="shared" si="3"/>
        <v>201</v>
      </c>
      <c r="C213" s="44"/>
      <c r="D213" s="45" t="e">
        <f>+VLOOKUP(C213,'[10]Part List รวมล่าสุดกว่า'!A:R,3,0)</f>
        <v>#N/A</v>
      </c>
      <c r="E213" s="46" t="s">
        <v>24</v>
      </c>
      <c r="F213" s="45" t="e">
        <f>+VLOOKUP(C213,'[10]Part List รวมล่าสุดกว่า'!A:R,4,0)</f>
        <v>#N/A</v>
      </c>
      <c r="G213" s="46" t="s">
        <v>24</v>
      </c>
      <c r="H213" s="47" t="e">
        <f>+VLOOKUP(C213,'[10]Part List รวมล่าสุดกว่า'!A:R,5,0)</f>
        <v>#N/A</v>
      </c>
      <c r="I213" s="48" t="e">
        <f>+VLOOKUP(C213,'[10]Part List รวมล่าสุดกว่า'!A:R,9,0)</f>
        <v>#N/A</v>
      </c>
      <c r="J213" s="49" t="e">
        <f>+VLOOKUP(C213,'[10]Part List รวมล่าสุดกว่า'!A:R,10,0)</f>
        <v>#N/A</v>
      </c>
      <c r="K213" s="49" t="e">
        <f>+VLOOKUP(C213,'[10]Part List รวมล่าสุดกว่า'!A:R,11,0)</f>
        <v>#N/A</v>
      </c>
      <c r="L213" s="49" t="e">
        <f>+VLOOKUP(C213,'[10]Part List รวมล่าสุดกว่า'!A:R,12,0)</f>
        <v>#N/A</v>
      </c>
      <c r="M213" s="50" t="e">
        <f>+VLOOKUP(C213,[10]Forecast!F:V,6,0)</f>
        <v>#N/A</v>
      </c>
      <c r="N213" s="50" t="e">
        <f>+VLOOKUP(C213,[10]Forecast!F:V,8,0)</f>
        <v>#N/A</v>
      </c>
      <c r="O213" s="50" t="e">
        <f>+VLOOKUP(C213,[10]Forecast!F:V,10,0)</f>
        <v>#N/A</v>
      </c>
      <c r="P213" s="50" t="e">
        <f>+VLOOKUP(C213,[10]Forecast!F:V,12,0)</f>
        <v>#N/A</v>
      </c>
      <c r="Q213" s="50" t="e">
        <f>+VLOOKUP(C213,[10]Forecast!F:V,14,0)</f>
        <v>#N/A</v>
      </c>
      <c r="R213" s="50" t="e">
        <f>+VLOOKUP(C213,[10]Forecast!F:V,16,0)</f>
        <v>#N/A</v>
      </c>
      <c r="S213" s="51" t="s">
        <v>25</v>
      </c>
      <c r="T213" s="52"/>
    </row>
    <row r="214" spans="1:20" s="53" customFormat="1" ht="21" hidden="1" customHeight="1">
      <c r="A214" s="34"/>
      <c r="B214" s="43">
        <f t="shared" si="3"/>
        <v>202</v>
      </c>
      <c r="C214" s="44"/>
      <c r="D214" s="45" t="e">
        <f>+VLOOKUP(C214,'[10]Part List รวมล่าสุดกว่า'!A:R,3,0)</f>
        <v>#N/A</v>
      </c>
      <c r="E214" s="46" t="s">
        <v>24</v>
      </c>
      <c r="F214" s="45" t="e">
        <f>+VLOOKUP(C214,'[10]Part List รวมล่าสุดกว่า'!A:R,4,0)</f>
        <v>#N/A</v>
      </c>
      <c r="G214" s="46" t="s">
        <v>24</v>
      </c>
      <c r="H214" s="47" t="e">
        <f>+VLOOKUP(C214,'[10]Part List รวมล่าสุดกว่า'!A:R,5,0)</f>
        <v>#N/A</v>
      </c>
      <c r="I214" s="48" t="e">
        <f>+VLOOKUP(C214,'[10]Part List รวมล่าสุดกว่า'!A:R,9,0)</f>
        <v>#N/A</v>
      </c>
      <c r="J214" s="49" t="e">
        <f>+VLOOKUP(C214,'[10]Part List รวมล่าสุดกว่า'!A:R,10,0)</f>
        <v>#N/A</v>
      </c>
      <c r="K214" s="49" t="e">
        <f>+VLOOKUP(C214,'[10]Part List รวมล่าสุดกว่า'!A:R,11,0)</f>
        <v>#N/A</v>
      </c>
      <c r="L214" s="49" t="e">
        <f>+VLOOKUP(C214,'[10]Part List รวมล่าสุดกว่า'!A:R,12,0)</f>
        <v>#N/A</v>
      </c>
      <c r="M214" s="50" t="e">
        <f>+VLOOKUP(C214,[10]Forecast!F:V,6,0)</f>
        <v>#N/A</v>
      </c>
      <c r="N214" s="50" t="e">
        <f>+VLOOKUP(C214,[10]Forecast!F:V,8,0)</f>
        <v>#N/A</v>
      </c>
      <c r="O214" s="50" t="e">
        <f>+VLOOKUP(C214,[10]Forecast!F:V,10,0)</f>
        <v>#N/A</v>
      </c>
      <c r="P214" s="50" t="e">
        <f>+VLOOKUP(C214,[10]Forecast!F:V,12,0)</f>
        <v>#N/A</v>
      </c>
      <c r="Q214" s="50" t="e">
        <f>+VLOOKUP(C214,[10]Forecast!F:V,14,0)</f>
        <v>#N/A</v>
      </c>
      <c r="R214" s="50" t="e">
        <f>+VLOOKUP(C214,[10]Forecast!F:V,16,0)</f>
        <v>#N/A</v>
      </c>
      <c r="S214" s="51" t="s">
        <v>25</v>
      </c>
      <c r="T214" s="52"/>
    </row>
    <row r="215" spans="1:20" s="53" customFormat="1" ht="21" hidden="1" customHeight="1">
      <c r="A215" s="34"/>
      <c r="B215" s="43">
        <f t="shared" si="3"/>
        <v>203</v>
      </c>
      <c r="C215" s="44"/>
      <c r="D215" s="45" t="e">
        <f>+VLOOKUP(C215,'[10]Part List รวมล่าสุดกว่า'!A:R,3,0)</f>
        <v>#N/A</v>
      </c>
      <c r="E215" s="46" t="s">
        <v>24</v>
      </c>
      <c r="F215" s="45" t="e">
        <f>+VLOOKUP(C215,'[10]Part List รวมล่าสุดกว่า'!A:R,4,0)</f>
        <v>#N/A</v>
      </c>
      <c r="G215" s="46" t="s">
        <v>24</v>
      </c>
      <c r="H215" s="47" t="e">
        <f>+VLOOKUP(C215,'[10]Part List รวมล่าสุดกว่า'!A:R,5,0)</f>
        <v>#N/A</v>
      </c>
      <c r="I215" s="48" t="e">
        <f>+VLOOKUP(C215,'[10]Part List รวมล่าสุดกว่า'!A:R,9,0)</f>
        <v>#N/A</v>
      </c>
      <c r="J215" s="49" t="e">
        <f>+VLOOKUP(C215,'[10]Part List รวมล่าสุดกว่า'!A:R,10,0)</f>
        <v>#N/A</v>
      </c>
      <c r="K215" s="49" t="e">
        <f>+VLOOKUP(C215,'[10]Part List รวมล่าสุดกว่า'!A:R,11,0)</f>
        <v>#N/A</v>
      </c>
      <c r="L215" s="49" t="e">
        <f>+VLOOKUP(C215,'[10]Part List รวมล่าสุดกว่า'!A:R,12,0)</f>
        <v>#N/A</v>
      </c>
      <c r="M215" s="50" t="e">
        <f>+VLOOKUP(C215,[10]Forecast!F:V,6,0)</f>
        <v>#N/A</v>
      </c>
      <c r="N215" s="50" t="e">
        <f>+VLOOKUP(C215,[10]Forecast!F:V,8,0)</f>
        <v>#N/A</v>
      </c>
      <c r="O215" s="50" t="e">
        <f>+VLOOKUP(C215,[10]Forecast!F:V,10,0)</f>
        <v>#N/A</v>
      </c>
      <c r="P215" s="50" t="e">
        <f>+VLOOKUP(C215,[10]Forecast!F:V,12,0)</f>
        <v>#N/A</v>
      </c>
      <c r="Q215" s="50" t="e">
        <f>+VLOOKUP(C215,[10]Forecast!F:V,14,0)</f>
        <v>#N/A</v>
      </c>
      <c r="R215" s="50" t="e">
        <f>+VLOOKUP(C215,[10]Forecast!F:V,16,0)</f>
        <v>#N/A</v>
      </c>
      <c r="S215" s="51" t="s">
        <v>25</v>
      </c>
      <c r="T215" s="52"/>
    </row>
    <row r="216" spans="1:20" s="53" customFormat="1" ht="21" hidden="1" customHeight="1">
      <c r="A216" s="34"/>
      <c r="B216" s="43">
        <f t="shared" si="3"/>
        <v>204</v>
      </c>
      <c r="C216" s="44"/>
      <c r="D216" s="45" t="e">
        <f>+VLOOKUP(C216,'[10]Part List รวมล่าสุดกว่า'!A:R,3,0)</f>
        <v>#N/A</v>
      </c>
      <c r="E216" s="46" t="s">
        <v>24</v>
      </c>
      <c r="F216" s="45" t="e">
        <f>+VLOOKUP(C216,'[10]Part List รวมล่าสุดกว่า'!A:R,4,0)</f>
        <v>#N/A</v>
      </c>
      <c r="G216" s="46" t="s">
        <v>24</v>
      </c>
      <c r="H216" s="47" t="e">
        <f>+VLOOKUP(C216,'[10]Part List รวมล่าสุดกว่า'!A:R,5,0)</f>
        <v>#N/A</v>
      </c>
      <c r="I216" s="48" t="e">
        <f>+VLOOKUP(C216,'[10]Part List รวมล่าสุดกว่า'!A:R,9,0)</f>
        <v>#N/A</v>
      </c>
      <c r="J216" s="49" t="e">
        <f>+VLOOKUP(C216,'[10]Part List รวมล่าสุดกว่า'!A:R,10,0)</f>
        <v>#N/A</v>
      </c>
      <c r="K216" s="49" t="e">
        <f>+VLOOKUP(C216,'[10]Part List รวมล่าสุดกว่า'!A:R,11,0)</f>
        <v>#N/A</v>
      </c>
      <c r="L216" s="49" t="e">
        <f>+VLOOKUP(C216,'[10]Part List รวมล่าสุดกว่า'!A:R,12,0)</f>
        <v>#N/A</v>
      </c>
      <c r="M216" s="50" t="e">
        <f>+VLOOKUP(C216,[10]Forecast!F:V,6,0)</f>
        <v>#N/A</v>
      </c>
      <c r="N216" s="50" t="e">
        <f>+VLOOKUP(C216,[10]Forecast!F:V,8,0)</f>
        <v>#N/A</v>
      </c>
      <c r="O216" s="50" t="e">
        <f>+VLOOKUP(C216,[10]Forecast!F:V,10,0)</f>
        <v>#N/A</v>
      </c>
      <c r="P216" s="50" t="e">
        <f>+VLOOKUP(C216,[10]Forecast!F:V,12,0)</f>
        <v>#N/A</v>
      </c>
      <c r="Q216" s="50" t="e">
        <f>+VLOOKUP(C216,[10]Forecast!F:V,14,0)</f>
        <v>#N/A</v>
      </c>
      <c r="R216" s="50" t="e">
        <f>+VLOOKUP(C216,[10]Forecast!F:V,16,0)</f>
        <v>#N/A</v>
      </c>
      <c r="S216" s="51" t="s">
        <v>25</v>
      </c>
      <c r="T216" s="52"/>
    </row>
    <row r="217" spans="1:20" s="53" customFormat="1" ht="21" hidden="1" customHeight="1">
      <c r="A217" s="34"/>
      <c r="B217" s="43">
        <f t="shared" si="3"/>
        <v>205</v>
      </c>
      <c r="C217" s="44"/>
      <c r="D217" s="45" t="e">
        <f>+VLOOKUP(C217,'[10]Part List รวมล่าสุดกว่า'!A:R,3,0)</f>
        <v>#N/A</v>
      </c>
      <c r="E217" s="46" t="s">
        <v>24</v>
      </c>
      <c r="F217" s="45" t="e">
        <f>+VLOOKUP(C217,'[10]Part List รวมล่าสุดกว่า'!A:R,4,0)</f>
        <v>#N/A</v>
      </c>
      <c r="G217" s="46" t="s">
        <v>24</v>
      </c>
      <c r="H217" s="47" t="e">
        <f>+VLOOKUP(C217,'[10]Part List รวมล่าสุดกว่า'!A:R,5,0)</f>
        <v>#N/A</v>
      </c>
      <c r="I217" s="48" t="e">
        <f>+VLOOKUP(C217,'[10]Part List รวมล่าสุดกว่า'!A:R,9,0)</f>
        <v>#N/A</v>
      </c>
      <c r="J217" s="49" t="e">
        <f>+VLOOKUP(C217,'[10]Part List รวมล่าสุดกว่า'!A:R,10,0)</f>
        <v>#N/A</v>
      </c>
      <c r="K217" s="49" t="e">
        <f>+VLOOKUP(C217,'[10]Part List รวมล่าสุดกว่า'!A:R,11,0)</f>
        <v>#N/A</v>
      </c>
      <c r="L217" s="49" t="e">
        <f>+VLOOKUP(C217,'[10]Part List รวมล่าสุดกว่า'!A:R,12,0)</f>
        <v>#N/A</v>
      </c>
      <c r="M217" s="50" t="e">
        <f>+VLOOKUP(C217,[10]Forecast!F:V,6,0)</f>
        <v>#N/A</v>
      </c>
      <c r="N217" s="50" t="e">
        <f>+VLOOKUP(C217,[10]Forecast!F:V,8,0)</f>
        <v>#N/A</v>
      </c>
      <c r="O217" s="50" t="e">
        <f>+VLOOKUP(C217,[10]Forecast!F:V,10,0)</f>
        <v>#N/A</v>
      </c>
      <c r="P217" s="50" t="e">
        <f>+VLOOKUP(C217,[10]Forecast!F:V,12,0)</f>
        <v>#N/A</v>
      </c>
      <c r="Q217" s="50" t="e">
        <f>+VLOOKUP(C217,[10]Forecast!F:V,14,0)</f>
        <v>#N/A</v>
      </c>
      <c r="R217" s="50" t="e">
        <f>+VLOOKUP(C217,[10]Forecast!F:V,16,0)</f>
        <v>#N/A</v>
      </c>
      <c r="S217" s="51" t="s">
        <v>25</v>
      </c>
      <c r="T217" s="52"/>
    </row>
    <row r="218" spans="1:20" s="53" customFormat="1" ht="21" hidden="1" customHeight="1">
      <c r="A218" s="34"/>
      <c r="B218" s="43">
        <f t="shared" si="3"/>
        <v>206</v>
      </c>
      <c r="C218" s="44"/>
      <c r="D218" s="45" t="e">
        <f>+VLOOKUP(C218,'[10]Part List รวมล่าสุดกว่า'!A:R,3,0)</f>
        <v>#N/A</v>
      </c>
      <c r="E218" s="46" t="s">
        <v>24</v>
      </c>
      <c r="F218" s="45" t="e">
        <f>+VLOOKUP(C218,'[10]Part List รวมล่าสุดกว่า'!A:R,4,0)</f>
        <v>#N/A</v>
      </c>
      <c r="G218" s="46" t="s">
        <v>24</v>
      </c>
      <c r="H218" s="47" t="e">
        <f>+VLOOKUP(C218,'[10]Part List รวมล่าสุดกว่า'!A:R,5,0)</f>
        <v>#N/A</v>
      </c>
      <c r="I218" s="48" t="e">
        <f>+VLOOKUP(C218,'[10]Part List รวมล่าสุดกว่า'!A:R,9,0)</f>
        <v>#N/A</v>
      </c>
      <c r="J218" s="49" t="e">
        <f>+VLOOKUP(C218,'[10]Part List รวมล่าสุดกว่า'!A:R,10,0)</f>
        <v>#N/A</v>
      </c>
      <c r="K218" s="49" t="e">
        <f>+VLOOKUP(C218,'[10]Part List รวมล่าสุดกว่า'!A:R,11,0)</f>
        <v>#N/A</v>
      </c>
      <c r="L218" s="49" t="e">
        <f>+VLOOKUP(C218,'[10]Part List รวมล่าสุดกว่า'!A:R,12,0)</f>
        <v>#N/A</v>
      </c>
      <c r="M218" s="50" t="e">
        <f>+VLOOKUP(C218,[10]Forecast!F:V,6,0)</f>
        <v>#N/A</v>
      </c>
      <c r="N218" s="50" t="e">
        <f>+VLOOKUP(C218,[10]Forecast!F:V,8,0)</f>
        <v>#N/A</v>
      </c>
      <c r="O218" s="50" t="e">
        <f>+VLOOKUP(C218,[10]Forecast!F:V,10,0)</f>
        <v>#N/A</v>
      </c>
      <c r="P218" s="50" t="e">
        <f>+VLOOKUP(C218,[10]Forecast!F:V,12,0)</f>
        <v>#N/A</v>
      </c>
      <c r="Q218" s="50" t="e">
        <f>+VLOOKUP(C218,[10]Forecast!F:V,14,0)</f>
        <v>#N/A</v>
      </c>
      <c r="R218" s="50" t="e">
        <f>+VLOOKUP(C218,[10]Forecast!F:V,16,0)</f>
        <v>#N/A</v>
      </c>
      <c r="S218" s="51" t="s">
        <v>25</v>
      </c>
      <c r="T218" s="52"/>
    </row>
    <row r="219" spans="1:20" s="53" customFormat="1" ht="21" hidden="1" customHeight="1">
      <c r="A219" s="34"/>
      <c r="B219" s="43">
        <f t="shared" si="3"/>
        <v>207</v>
      </c>
      <c r="C219" s="44"/>
      <c r="D219" s="45" t="e">
        <f>+VLOOKUP(C219,'[10]Part List รวมล่าสุดกว่า'!A:R,3,0)</f>
        <v>#N/A</v>
      </c>
      <c r="E219" s="46" t="s">
        <v>24</v>
      </c>
      <c r="F219" s="45" t="e">
        <f>+VLOOKUP(C219,'[10]Part List รวมล่าสุดกว่า'!A:R,4,0)</f>
        <v>#N/A</v>
      </c>
      <c r="G219" s="46" t="s">
        <v>24</v>
      </c>
      <c r="H219" s="47" t="e">
        <f>+VLOOKUP(C219,'[10]Part List รวมล่าสุดกว่า'!A:R,5,0)</f>
        <v>#N/A</v>
      </c>
      <c r="I219" s="48" t="e">
        <f>+VLOOKUP(C219,'[10]Part List รวมล่าสุดกว่า'!A:R,9,0)</f>
        <v>#N/A</v>
      </c>
      <c r="J219" s="49" t="e">
        <f>+VLOOKUP(C219,'[10]Part List รวมล่าสุดกว่า'!A:R,10,0)</f>
        <v>#N/A</v>
      </c>
      <c r="K219" s="49" t="e">
        <f>+VLOOKUP(C219,'[10]Part List รวมล่าสุดกว่า'!A:R,11,0)</f>
        <v>#N/A</v>
      </c>
      <c r="L219" s="49" t="e">
        <f>+VLOOKUP(C219,'[10]Part List รวมล่าสุดกว่า'!A:R,12,0)</f>
        <v>#N/A</v>
      </c>
      <c r="M219" s="50" t="e">
        <f>+VLOOKUP(C219,[10]Forecast!F:V,6,0)</f>
        <v>#N/A</v>
      </c>
      <c r="N219" s="50" t="e">
        <f>+VLOOKUP(C219,[10]Forecast!F:V,8,0)</f>
        <v>#N/A</v>
      </c>
      <c r="O219" s="50" t="e">
        <f>+VLOOKUP(C219,[10]Forecast!F:V,10,0)</f>
        <v>#N/A</v>
      </c>
      <c r="P219" s="50" t="e">
        <f>+VLOOKUP(C219,[10]Forecast!F:V,12,0)</f>
        <v>#N/A</v>
      </c>
      <c r="Q219" s="50" t="e">
        <f>+VLOOKUP(C219,[10]Forecast!F:V,14,0)</f>
        <v>#N/A</v>
      </c>
      <c r="R219" s="50" t="e">
        <f>+VLOOKUP(C219,[10]Forecast!F:V,16,0)</f>
        <v>#N/A</v>
      </c>
      <c r="S219" s="51" t="s">
        <v>25</v>
      </c>
      <c r="T219" s="52"/>
    </row>
    <row r="220" spans="1:20" s="53" customFormat="1" ht="21" hidden="1" customHeight="1">
      <c r="A220" s="34"/>
      <c r="B220" s="43">
        <f t="shared" si="3"/>
        <v>208</v>
      </c>
      <c r="C220" s="44"/>
      <c r="D220" s="45" t="e">
        <f>+VLOOKUP(C220,'[10]Part List รวมล่าสุดกว่า'!A:R,3,0)</f>
        <v>#N/A</v>
      </c>
      <c r="E220" s="46" t="s">
        <v>24</v>
      </c>
      <c r="F220" s="45" t="e">
        <f>+VLOOKUP(C220,'[10]Part List รวมล่าสุดกว่า'!A:R,4,0)</f>
        <v>#N/A</v>
      </c>
      <c r="G220" s="46" t="s">
        <v>24</v>
      </c>
      <c r="H220" s="47" t="e">
        <f>+VLOOKUP(C220,'[10]Part List รวมล่าสุดกว่า'!A:R,5,0)</f>
        <v>#N/A</v>
      </c>
      <c r="I220" s="48" t="e">
        <f>+VLOOKUP(C220,'[10]Part List รวมล่าสุดกว่า'!A:R,9,0)</f>
        <v>#N/A</v>
      </c>
      <c r="J220" s="49" t="e">
        <f>+VLOOKUP(C220,'[10]Part List รวมล่าสุดกว่า'!A:R,10,0)</f>
        <v>#N/A</v>
      </c>
      <c r="K220" s="49" t="e">
        <f>+VLOOKUP(C220,'[10]Part List รวมล่าสุดกว่า'!A:R,11,0)</f>
        <v>#N/A</v>
      </c>
      <c r="L220" s="49" t="e">
        <f>+VLOOKUP(C220,'[10]Part List รวมล่าสุดกว่า'!A:R,12,0)</f>
        <v>#N/A</v>
      </c>
      <c r="M220" s="50" t="e">
        <f>+VLOOKUP(C220,[10]Forecast!F:V,6,0)</f>
        <v>#N/A</v>
      </c>
      <c r="N220" s="50" t="e">
        <f>+VLOOKUP(C220,[10]Forecast!F:V,8,0)</f>
        <v>#N/A</v>
      </c>
      <c r="O220" s="50" t="e">
        <f>+VLOOKUP(C220,[10]Forecast!F:V,10,0)</f>
        <v>#N/A</v>
      </c>
      <c r="P220" s="50" t="e">
        <f>+VLOOKUP(C220,[10]Forecast!F:V,12,0)</f>
        <v>#N/A</v>
      </c>
      <c r="Q220" s="50" t="e">
        <f>+VLOOKUP(C220,[10]Forecast!F:V,14,0)</f>
        <v>#N/A</v>
      </c>
      <c r="R220" s="50" t="e">
        <f>+VLOOKUP(C220,[10]Forecast!F:V,16,0)</f>
        <v>#N/A</v>
      </c>
      <c r="S220" s="51" t="s">
        <v>25</v>
      </c>
      <c r="T220" s="52"/>
    </row>
    <row r="221" spans="1:20" s="53" customFormat="1" ht="21" hidden="1" customHeight="1">
      <c r="A221" s="34"/>
      <c r="B221" s="43">
        <f t="shared" si="3"/>
        <v>209</v>
      </c>
      <c r="C221" s="44"/>
      <c r="D221" s="45" t="e">
        <f>+VLOOKUP(C221,'[10]Part List รวมล่าสุดกว่า'!A:R,3,0)</f>
        <v>#N/A</v>
      </c>
      <c r="E221" s="46" t="s">
        <v>24</v>
      </c>
      <c r="F221" s="45" t="e">
        <f>+VLOOKUP(C221,'[10]Part List รวมล่าสุดกว่า'!A:R,4,0)</f>
        <v>#N/A</v>
      </c>
      <c r="G221" s="46" t="s">
        <v>24</v>
      </c>
      <c r="H221" s="47" t="e">
        <f>+VLOOKUP(C221,'[10]Part List รวมล่าสุดกว่า'!A:R,5,0)</f>
        <v>#N/A</v>
      </c>
      <c r="I221" s="48" t="e">
        <f>+VLOOKUP(C221,'[10]Part List รวมล่าสุดกว่า'!A:R,9,0)</f>
        <v>#N/A</v>
      </c>
      <c r="J221" s="49" t="e">
        <f>+VLOOKUP(C221,'[10]Part List รวมล่าสุดกว่า'!A:R,10,0)</f>
        <v>#N/A</v>
      </c>
      <c r="K221" s="49" t="e">
        <f>+VLOOKUP(C221,'[10]Part List รวมล่าสุดกว่า'!A:R,11,0)</f>
        <v>#N/A</v>
      </c>
      <c r="L221" s="49" t="e">
        <f>+VLOOKUP(C221,'[10]Part List รวมล่าสุดกว่า'!A:R,12,0)</f>
        <v>#N/A</v>
      </c>
      <c r="M221" s="50" t="e">
        <f>+VLOOKUP(C221,[10]Forecast!F:V,6,0)</f>
        <v>#N/A</v>
      </c>
      <c r="N221" s="50" t="e">
        <f>+VLOOKUP(C221,[10]Forecast!F:V,8,0)</f>
        <v>#N/A</v>
      </c>
      <c r="O221" s="50" t="e">
        <f>+VLOOKUP(C221,[10]Forecast!F:V,10,0)</f>
        <v>#N/A</v>
      </c>
      <c r="P221" s="50" t="e">
        <f>+VLOOKUP(C221,[10]Forecast!F:V,12,0)</f>
        <v>#N/A</v>
      </c>
      <c r="Q221" s="50" t="e">
        <f>+VLOOKUP(C221,[10]Forecast!F:V,14,0)</f>
        <v>#N/A</v>
      </c>
      <c r="R221" s="50" t="e">
        <f>+VLOOKUP(C221,[10]Forecast!F:V,16,0)</f>
        <v>#N/A</v>
      </c>
      <c r="S221" s="51" t="s">
        <v>25</v>
      </c>
      <c r="T221" s="52"/>
    </row>
    <row r="222" spans="1:20" s="53" customFormat="1" ht="21" hidden="1" customHeight="1">
      <c r="A222" s="34"/>
      <c r="B222" s="43">
        <f t="shared" si="3"/>
        <v>210</v>
      </c>
      <c r="C222" s="44"/>
      <c r="D222" s="45" t="e">
        <f>+VLOOKUP(C222,'[10]Part List รวมล่าสุดกว่า'!A:R,3,0)</f>
        <v>#N/A</v>
      </c>
      <c r="E222" s="46" t="s">
        <v>24</v>
      </c>
      <c r="F222" s="45" t="e">
        <f>+VLOOKUP(C222,'[10]Part List รวมล่าสุดกว่า'!A:R,4,0)</f>
        <v>#N/A</v>
      </c>
      <c r="G222" s="46" t="s">
        <v>24</v>
      </c>
      <c r="H222" s="47" t="e">
        <f>+VLOOKUP(C222,'[10]Part List รวมล่าสุดกว่า'!A:R,5,0)</f>
        <v>#N/A</v>
      </c>
      <c r="I222" s="48" t="e">
        <f>+VLOOKUP(C222,'[10]Part List รวมล่าสุดกว่า'!A:R,9,0)</f>
        <v>#N/A</v>
      </c>
      <c r="J222" s="49" t="e">
        <f>+VLOOKUP(C222,'[10]Part List รวมล่าสุดกว่า'!A:R,10,0)</f>
        <v>#N/A</v>
      </c>
      <c r="K222" s="49" t="e">
        <f>+VLOOKUP(C222,'[10]Part List รวมล่าสุดกว่า'!A:R,11,0)</f>
        <v>#N/A</v>
      </c>
      <c r="L222" s="49" t="e">
        <f>+VLOOKUP(C222,'[10]Part List รวมล่าสุดกว่า'!A:R,12,0)</f>
        <v>#N/A</v>
      </c>
      <c r="M222" s="50" t="e">
        <f>+VLOOKUP(C222,[10]Forecast!F:V,6,0)</f>
        <v>#N/A</v>
      </c>
      <c r="N222" s="50" t="e">
        <f>+VLOOKUP(C222,[10]Forecast!F:V,8,0)</f>
        <v>#N/A</v>
      </c>
      <c r="O222" s="50" t="e">
        <f>+VLOOKUP(C222,[10]Forecast!F:V,10,0)</f>
        <v>#N/A</v>
      </c>
      <c r="P222" s="50" t="e">
        <f>+VLOOKUP(C222,[10]Forecast!F:V,12,0)</f>
        <v>#N/A</v>
      </c>
      <c r="Q222" s="50" t="e">
        <f>+VLOOKUP(C222,[10]Forecast!F:V,14,0)</f>
        <v>#N/A</v>
      </c>
      <c r="R222" s="50" t="e">
        <f>+VLOOKUP(C222,[10]Forecast!F:V,16,0)</f>
        <v>#N/A</v>
      </c>
      <c r="S222" s="51" t="s">
        <v>25</v>
      </c>
      <c r="T222" s="52"/>
    </row>
    <row r="223" spans="1:20" s="53" customFormat="1" ht="21" hidden="1" customHeight="1">
      <c r="A223" s="34"/>
      <c r="B223" s="43">
        <f t="shared" si="3"/>
        <v>211</v>
      </c>
      <c r="C223" s="44"/>
      <c r="D223" s="45" t="e">
        <f>+VLOOKUP(C223,'[10]Part List รวมล่าสุดกว่า'!A:R,3,0)</f>
        <v>#N/A</v>
      </c>
      <c r="E223" s="46" t="s">
        <v>24</v>
      </c>
      <c r="F223" s="45" t="e">
        <f>+VLOOKUP(C223,'[10]Part List รวมล่าสุดกว่า'!A:R,4,0)</f>
        <v>#N/A</v>
      </c>
      <c r="G223" s="46" t="s">
        <v>24</v>
      </c>
      <c r="H223" s="47" t="e">
        <f>+VLOOKUP(C223,'[10]Part List รวมล่าสุดกว่า'!A:R,5,0)</f>
        <v>#N/A</v>
      </c>
      <c r="I223" s="48" t="e">
        <f>+VLOOKUP(C223,'[10]Part List รวมล่าสุดกว่า'!A:R,9,0)</f>
        <v>#N/A</v>
      </c>
      <c r="J223" s="49" t="e">
        <f>+VLOOKUP(C223,'[10]Part List รวมล่าสุดกว่า'!A:R,10,0)</f>
        <v>#N/A</v>
      </c>
      <c r="K223" s="49" t="e">
        <f>+VLOOKUP(C223,'[10]Part List รวมล่าสุดกว่า'!A:R,11,0)</f>
        <v>#N/A</v>
      </c>
      <c r="L223" s="49" t="e">
        <f>+VLOOKUP(C223,'[10]Part List รวมล่าสุดกว่า'!A:R,12,0)</f>
        <v>#N/A</v>
      </c>
      <c r="M223" s="50" t="e">
        <f>+VLOOKUP(C223,[10]Forecast!F:V,6,0)</f>
        <v>#N/A</v>
      </c>
      <c r="N223" s="50" t="e">
        <f>+VLOOKUP(C223,[10]Forecast!F:V,8,0)</f>
        <v>#N/A</v>
      </c>
      <c r="O223" s="50" t="e">
        <f>+VLOOKUP(C223,[10]Forecast!F:V,10,0)</f>
        <v>#N/A</v>
      </c>
      <c r="P223" s="50" t="e">
        <f>+VLOOKUP(C223,[10]Forecast!F:V,12,0)</f>
        <v>#N/A</v>
      </c>
      <c r="Q223" s="50" t="e">
        <f>+VLOOKUP(C223,[10]Forecast!F:V,14,0)</f>
        <v>#N/A</v>
      </c>
      <c r="R223" s="50" t="e">
        <f>+VLOOKUP(C223,[10]Forecast!F:V,16,0)</f>
        <v>#N/A</v>
      </c>
      <c r="S223" s="51" t="s">
        <v>25</v>
      </c>
      <c r="T223" s="52"/>
    </row>
    <row r="224" spans="1:20" s="53" customFormat="1" ht="21" hidden="1" customHeight="1">
      <c r="A224" s="34"/>
      <c r="B224" s="43">
        <f t="shared" si="3"/>
        <v>212</v>
      </c>
      <c r="C224" s="44"/>
      <c r="D224" s="45" t="e">
        <f>+VLOOKUP(C224,'[10]Part List รวมล่าสุดกว่า'!A:R,3,0)</f>
        <v>#N/A</v>
      </c>
      <c r="E224" s="46" t="s">
        <v>24</v>
      </c>
      <c r="F224" s="45" t="e">
        <f>+VLOOKUP(C224,'[10]Part List รวมล่าสุดกว่า'!A:R,4,0)</f>
        <v>#N/A</v>
      </c>
      <c r="G224" s="46" t="s">
        <v>24</v>
      </c>
      <c r="H224" s="47" t="e">
        <f>+VLOOKUP(C224,'[10]Part List รวมล่าสุดกว่า'!A:R,5,0)</f>
        <v>#N/A</v>
      </c>
      <c r="I224" s="48" t="e">
        <f>+VLOOKUP(C224,'[10]Part List รวมล่าสุดกว่า'!A:R,9,0)</f>
        <v>#N/A</v>
      </c>
      <c r="J224" s="49" t="e">
        <f>+VLOOKUP(C224,'[10]Part List รวมล่าสุดกว่า'!A:R,10,0)</f>
        <v>#N/A</v>
      </c>
      <c r="K224" s="49" t="e">
        <f>+VLOOKUP(C224,'[10]Part List รวมล่าสุดกว่า'!A:R,11,0)</f>
        <v>#N/A</v>
      </c>
      <c r="L224" s="49" t="e">
        <f>+VLOOKUP(C224,'[10]Part List รวมล่าสุดกว่า'!A:R,12,0)</f>
        <v>#N/A</v>
      </c>
      <c r="M224" s="50" t="e">
        <f>+VLOOKUP(C224,[10]Forecast!F:V,6,0)</f>
        <v>#N/A</v>
      </c>
      <c r="N224" s="50" t="e">
        <f>+VLOOKUP(C224,[10]Forecast!F:V,8,0)</f>
        <v>#N/A</v>
      </c>
      <c r="O224" s="50" t="e">
        <f>+VLOOKUP(C224,[10]Forecast!F:V,10,0)</f>
        <v>#N/A</v>
      </c>
      <c r="P224" s="50" t="e">
        <f>+VLOOKUP(C224,[10]Forecast!F:V,12,0)</f>
        <v>#N/A</v>
      </c>
      <c r="Q224" s="50" t="e">
        <f>+VLOOKUP(C224,[10]Forecast!F:V,14,0)</f>
        <v>#N/A</v>
      </c>
      <c r="R224" s="50" t="e">
        <f>+VLOOKUP(C224,[10]Forecast!F:V,16,0)</f>
        <v>#N/A</v>
      </c>
      <c r="S224" s="51" t="s">
        <v>25</v>
      </c>
      <c r="T224" s="52"/>
    </row>
    <row r="225" spans="1:20" s="53" customFormat="1" ht="21" hidden="1" customHeight="1">
      <c r="A225" s="34"/>
      <c r="B225" s="43">
        <f t="shared" si="3"/>
        <v>213</v>
      </c>
      <c r="C225" s="44"/>
      <c r="D225" s="45" t="e">
        <f>+VLOOKUP(C225,'[10]Part List รวมล่าสุดกว่า'!A:R,3,0)</f>
        <v>#N/A</v>
      </c>
      <c r="E225" s="46" t="s">
        <v>24</v>
      </c>
      <c r="F225" s="45" t="e">
        <f>+VLOOKUP(C225,'[10]Part List รวมล่าสุดกว่า'!A:R,4,0)</f>
        <v>#N/A</v>
      </c>
      <c r="G225" s="46" t="s">
        <v>24</v>
      </c>
      <c r="H225" s="47" t="e">
        <f>+VLOOKUP(C225,'[10]Part List รวมล่าสุดกว่า'!A:R,5,0)</f>
        <v>#N/A</v>
      </c>
      <c r="I225" s="48" t="e">
        <f>+VLOOKUP(C225,'[10]Part List รวมล่าสุดกว่า'!A:R,9,0)</f>
        <v>#N/A</v>
      </c>
      <c r="J225" s="49" t="e">
        <f>+VLOOKUP(C225,'[10]Part List รวมล่าสุดกว่า'!A:R,10,0)</f>
        <v>#N/A</v>
      </c>
      <c r="K225" s="49" t="e">
        <f>+VLOOKUP(C225,'[10]Part List รวมล่าสุดกว่า'!A:R,11,0)</f>
        <v>#N/A</v>
      </c>
      <c r="L225" s="49" t="e">
        <f>+VLOOKUP(C225,'[10]Part List รวมล่าสุดกว่า'!A:R,12,0)</f>
        <v>#N/A</v>
      </c>
      <c r="M225" s="50" t="e">
        <f>+VLOOKUP(C225,[10]Forecast!F:V,6,0)</f>
        <v>#N/A</v>
      </c>
      <c r="N225" s="50" t="e">
        <f>+VLOOKUP(C225,[10]Forecast!F:V,8,0)</f>
        <v>#N/A</v>
      </c>
      <c r="O225" s="50" t="e">
        <f>+VLOOKUP(C225,[10]Forecast!F:V,10,0)</f>
        <v>#N/A</v>
      </c>
      <c r="P225" s="50" t="e">
        <f>+VLOOKUP(C225,[10]Forecast!F:V,12,0)</f>
        <v>#N/A</v>
      </c>
      <c r="Q225" s="50" t="e">
        <f>+VLOOKUP(C225,[10]Forecast!F:V,14,0)</f>
        <v>#N/A</v>
      </c>
      <c r="R225" s="50" t="e">
        <f>+VLOOKUP(C225,[10]Forecast!F:V,16,0)</f>
        <v>#N/A</v>
      </c>
      <c r="S225" s="51" t="s">
        <v>25</v>
      </c>
      <c r="T225" s="52"/>
    </row>
    <row r="226" spans="1:20" s="53" customFormat="1" ht="21" hidden="1" customHeight="1">
      <c r="A226" s="34"/>
      <c r="B226" s="43">
        <f t="shared" si="3"/>
        <v>214</v>
      </c>
      <c r="C226" s="44"/>
      <c r="D226" s="45" t="e">
        <f>+VLOOKUP(C226,'[10]Part List รวมล่าสุดกว่า'!A:R,3,0)</f>
        <v>#N/A</v>
      </c>
      <c r="E226" s="46" t="s">
        <v>24</v>
      </c>
      <c r="F226" s="45" t="e">
        <f>+VLOOKUP(C226,'[10]Part List รวมล่าสุดกว่า'!A:R,4,0)</f>
        <v>#N/A</v>
      </c>
      <c r="G226" s="46" t="s">
        <v>24</v>
      </c>
      <c r="H226" s="47" t="e">
        <f>+VLOOKUP(C226,'[10]Part List รวมล่าสุดกว่า'!A:R,5,0)</f>
        <v>#N/A</v>
      </c>
      <c r="I226" s="48" t="e">
        <f>+VLOOKUP(C226,'[10]Part List รวมล่าสุดกว่า'!A:R,9,0)</f>
        <v>#N/A</v>
      </c>
      <c r="J226" s="49" t="e">
        <f>+VLOOKUP(C226,'[10]Part List รวมล่าสุดกว่า'!A:R,10,0)</f>
        <v>#N/A</v>
      </c>
      <c r="K226" s="49" t="e">
        <f>+VLOOKUP(C226,'[10]Part List รวมล่าสุดกว่า'!A:R,11,0)</f>
        <v>#N/A</v>
      </c>
      <c r="L226" s="49" t="e">
        <f>+VLOOKUP(C226,'[10]Part List รวมล่าสุดกว่า'!A:R,12,0)</f>
        <v>#N/A</v>
      </c>
      <c r="M226" s="50" t="e">
        <f>+VLOOKUP(C226,[10]Forecast!F:V,6,0)</f>
        <v>#N/A</v>
      </c>
      <c r="N226" s="50" t="e">
        <f>+VLOOKUP(C226,[10]Forecast!F:V,8,0)</f>
        <v>#N/A</v>
      </c>
      <c r="O226" s="50" t="e">
        <f>+VLOOKUP(C226,[10]Forecast!F:V,10,0)</f>
        <v>#N/A</v>
      </c>
      <c r="P226" s="50" t="e">
        <f>+VLOOKUP(C226,[10]Forecast!F:V,12,0)</f>
        <v>#N/A</v>
      </c>
      <c r="Q226" s="50" t="e">
        <f>+VLOOKUP(C226,[10]Forecast!F:V,14,0)</f>
        <v>#N/A</v>
      </c>
      <c r="R226" s="50" t="e">
        <f>+VLOOKUP(C226,[10]Forecast!F:V,16,0)</f>
        <v>#N/A</v>
      </c>
      <c r="S226" s="51" t="s">
        <v>25</v>
      </c>
      <c r="T226" s="52"/>
    </row>
    <row r="227" spans="1:20" s="53" customFormat="1" ht="21" hidden="1" customHeight="1">
      <c r="A227" s="34"/>
      <c r="B227" s="43">
        <f t="shared" si="3"/>
        <v>215</v>
      </c>
      <c r="C227" s="44"/>
      <c r="D227" s="45" t="e">
        <f>+VLOOKUP(C227,'[10]Part List รวมล่าสุดกว่า'!A:R,3,0)</f>
        <v>#N/A</v>
      </c>
      <c r="E227" s="46" t="s">
        <v>24</v>
      </c>
      <c r="F227" s="45" t="e">
        <f>+VLOOKUP(C227,'[10]Part List รวมล่าสุดกว่า'!A:R,4,0)</f>
        <v>#N/A</v>
      </c>
      <c r="G227" s="46" t="s">
        <v>24</v>
      </c>
      <c r="H227" s="47" t="e">
        <f>+VLOOKUP(C227,'[10]Part List รวมล่าสุดกว่า'!A:R,5,0)</f>
        <v>#N/A</v>
      </c>
      <c r="I227" s="48" t="e">
        <f>+VLOOKUP(C227,'[10]Part List รวมล่าสุดกว่า'!A:R,9,0)</f>
        <v>#N/A</v>
      </c>
      <c r="J227" s="49" t="e">
        <f>+VLOOKUP(C227,'[10]Part List รวมล่าสุดกว่า'!A:R,10,0)</f>
        <v>#N/A</v>
      </c>
      <c r="K227" s="49" t="e">
        <f>+VLOOKUP(C227,'[10]Part List รวมล่าสุดกว่า'!A:R,11,0)</f>
        <v>#N/A</v>
      </c>
      <c r="L227" s="49" t="e">
        <f>+VLOOKUP(C227,'[10]Part List รวมล่าสุดกว่า'!A:R,12,0)</f>
        <v>#N/A</v>
      </c>
      <c r="M227" s="50" t="e">
        <f>+VLOOKUP(C227,[10]Forecast!F:V,6,0)</f>
        <v>#N/A</v>
      </c>
      <c r="N227" s="50" t="e">
        <f>+VLOOKUP(C227,[10]Forecast!F:V,8,0)</f>
        <v>#N/A</v>
      </c>
      <c r="O227" s="50" t="e">
        <f>+VLOOKUP(C227,[10]Forecast!F:V,10,0)</f>
        <v>#N/A</v>
      </c>
      <c r="P227" s="50" t="e">
        <f>+VLOOKUP(C227,[10]Forecast!F:V,12,0)</f>
        <v>#N/A</v>
      </c>
      <c r="Q227" s="50" t="e">
        <f>+VLOOKUP(C227,[10]Forecast!F:V,14,0)</f>
        <v>#N/A</v>
      </c>
      <c r="R227" s="50" t="e">
        <f>+VLOOKUP(C227,[10]Forecast!F:V,16,0)</f>
        <v>#N/A</v>
      </c>
      <c r="S227" s="51" t="s">
        <v>25</v>
      </c>
      <c r="T227" s="52"/>
    </row>
    <row r="228" spans="1:20" s="53" customFormat="1" ht="21" hidden="1" customHeight="1">
      <c r="A228" s="34"/>
      <c r="B228" s="43">
        <f t="shared" si="3"/>
        <v>216</v>
      </c>
      <c r="C228" s="44"/>
      <c r="D228" s="45" t="e">
        <f>+VLOOKUP(C228,'[10]Part List รวมล่าสุดกว่า'!A:R,3,0)</f>
        <v>#N/A</v>
      </c>
      <c r="E228" s="46" t="s">
        <v>24</v>
      </c>
      <c r="F228" s="45" t="e">
        <f>+VLOOKUP(C228,'[10]Part List รวมล่าสุดกว่า'!A:R,4,0)</f>
        <v>#N/A</v>
      </c>
      <c r="G228" s="46" t="s">
        <v>24</v>
      </c>
      <c r="H228" s="47" t="e">
        <f>+VLOOKUP(C228,'[10]Part List รวมล่าสุดกว่า'!A:R,5,0)</f>
        <v>#N/A</v>
      </c>
      <c r="I228" s="48" t="e">
        <f>+VLOOKUP(C228,'[10]Part List รวมล่าสุดกว่า'!A:R,9,0)</f>
        <v>#N/A</v>
      </c>
      <c r="J228" s="49" t="e">
        <f>+VLOOKUP(C228,'[10]Part List รวมล่าสุดกว่า'!A:R,10,0)</f>
        <v>#N/A</v>
      </c>
      <c r="K228" s="49" t="e">
        <f>+VLOOKUP(C228,'[10]Part List รวมล่าสุดกว่า'!A:R,11,0)</f>
        <v>#N/A</v>
      </c>
      <c r="L228" s="49" t="e">
        <f>+VLOOKUP(C228,'[10]Part List รวมล่าสุดกว่า'!A:R,12,0)</f>
        <v>#N/A</v>
      </c>
      <c r="M228" s="50" t="e">
        <f>+VLOOKUP(C228,[10]Forecast!F:V,6,0)</f>
        <v>#N/A</v>
      </c>
      <c r="N228" s="50" t="e">
        <f>+VLOOKUP(C228,[10]Forecast!F:V,8,0)</f>
        <v>#N/A</v>
      </c>
      <c r="O228" s="50" t="e">
        <f>+VLOOKUP(C228,[10]Forecast!F:V,10,0)</f>
        <v>#N/A</v>
      </c>
      <c r="P228" s="50" t="e">
        <f>+VLOOKUP(C228,[10]Forecast!F:V,12,0)</f>
        <v>#N/A</v>
      </c>
      <c r="Q228" s="50" t="e">
        <f>+VLOOKUP(C228,[10]Forecast!F:V,14,0)</f>
        <v>#N/A</v>
      </c>
      <c r="R228" s="50" t="e">
        <f>+VLOOKUP(C228,[10]Forecast!F:V,16,0)</f>
        <v>#N/A</v>
      </c>
      <c r="S228" s="51" t="s">
        <v>25</v>
      </c>
      <c r="T228" s="52"/>
    </row>
    <row r="229" spans="1:20" s="53" customFormat="1" ht="21" hidden="1" customHeight="1">
      <c r="A229" s="34"/>
      <c r="B229" s="43">
        <f t="shared" si="3"/>
        <v>217</v>
      </c>
      <c r="C229" s="44"/>
      <c r="D229" s="45" t="e">
        <f>+VLOOKUP(C229,'[10]Part List รวมล่าสุดกว่า'!A:R,3,0)</f>
        <v>#N/A</v>
      </c>
      <c r="E229" s="46" t="s">
        <v>24</v>
      </c>
      <c r="F229" s="45" t="e">
        <f>+VLOOKUP(C229,'[10]Part List รวมล่าสุดกว่า'!A:R,4,0)</f>
        <v>#N/A</v>
      </c>
      <c r="G229" s="46" t="s">
        <v>24</v>
      </c>
      <c r="H229" s="47" t="e">
        <f>+VLOOKUP(C229,'[10]Part List รวมล่าสุดกว่า'!A:R,5,0)</f>
        <v>#N/A</v>
      </c>
      <c r="I229" s="48" t="e">
        <f>+VLOOKUP(C229,'[10]Part List รวมล่าสุดกว่า'!A:R,9,0)</f>
        <v>#N/A</v>
      </c>
      <c r="J229" s="49" t="e">
        <f>+VLOOKUP(C229,'[10]Part List รวมล่าสุดกว่า'!A:R,10,0)</f>
        <v>#N/A</v>
      </c>
      <c r="K229" s="49" t="e">
        <f>+VLOOKUP(C229,'[10]Part List รวมล่าสุดกว่า'!A:R,11,0)</f>
        <v>#N/A</v>
      </c>
      <c r="L229" s="49" t="e">
        <f>+VLOOKUP(C229,'[10]Part List รวมล่าสุดกว่า'!A:R,12,0)</f>
        <v>#N/A</v>
      </c>
      <c r="M229" s="50" t="e">
        <f>+VLOOKUP(C229,[10]Forecast!F:V,6,0)</f>
        <v>#N/A</v>
      </c>
      <c r="N229" s="50" t="e">
        <f>+VLOOKUP(C229,[10]Forecast!F:V,8,0)</f>
        <v>#N/A</v>
      </c>
      <c r="O229" s="50" t="e">
        <f>+VLOOKUP(C229,[10]Forecast!F:V,10,0)</f>
        <v>#N/A</v>
      </c>
      <c r="P229" s="50" t="e">
        <f>+VLOOKUP(C229,[10]Forecast!F:V,12,0)</f>
        <v>#N/A</v>
      </c>
      <c r="Q229" s="50" t="e">
        <f>+VLOOKUP(C229,[10]Forecast!F:V,14,0)</f>
        <v>#N/A</v>
      </c>
      <c r="R229" s="50" t="e">
        <f>+VLOOKUP(C229,[10]Forecast!F:V,16,0)</f>
        <v>#N/A</v>
      </c>
      <c r="S229" s="51" t="s">
        <v>25</v>
      </c>
      <c r="T229" s="52"/>
    </row>
    <row r="230" spans="1:20" s="53" customFormat="1" ht="21" hidden="1" customHeight="1">
      <c r="A230" s="34"/>
      <c r="B230" s="43">
        <f t="shared" si="3"/>
        <v>218</v>
      </c>
      <c r="C230" s="44"/>
      <c r="D230" s="45" t="e">
        <f>+VLOOKUP(C230,'[10]Part List รวมล่าสุดกว่า'!A:R,3,0)</f>
        <v>#N/A</v>
      </c>
      <c r="E230" s="46" t="s">
        <v>24</v>
      </c>
      <c r="F230" s="45" t="e">
        <f>+VLOOKUP(C230,'[10]Part List รวมล่าสุดกว่า'!A:R,4,0)</f>
        <v>#N/A</v>
      </c>
      <c r="G230" s="46" t="s">
        <v>24</v>
      </c>
      <c r="H230" s="47" t="e">
        <f>+VLOOKUP(C230,'[10]Part List รวมล่าสุดกว่า'!A:R,5,0)</f>
        <v>#N/A</v>
      </c>
      <c r="I230" s="48" t="e">
        <f>+VLOOKUP(C230,'[10]Part List รวมล่าสุดกว่า'!A:R,9,0)</f>
        <v>#N/A</v>
      </c>
      <c r="J230" s="49" t="e">
        <f>+VLOOKUP(C230,'[10]Part List รวมล่าสุดกว่า'!A:R,10,0)</f>
        <v>#N/A</v>
      </c>
      <c r="K230" s="49" t="e">
        <f>+VLOOKUP(C230,'[10]Part List รวมล่าสุดกว่า'!A:R,11,0)</f>
        <v>#N/A</v>
      </c>
      <c r="L230" s="49" t="e">
        <f>+VLOOKUP(C230,'[10]Part List รวมล่าสุดกว่า'!A:R,12,0)</f>
        <v>#N/A</v>
      </c>
      <c r="M230" s="50" t="e">
        <f>+VLOOKUP(C230,[10]Forecast!F:V,6,0)</f>
        <v>#N/A</v>
      </c>
      <c r="N230" s="50" t="e">
        <f>+VLOOKUP(C230,[10]Forecast!F:V,8,0)</f>
        <v>#N/A</v>
      </c>
      <c r="O230" s="50" t="e">
        <f>+VLOOKUP(C230,[10]Forecast!F:V,10,0)</f>
        <v>#N/A</v>
      </c>
      <c r="P230" s="50" t="e">
        <f>+VLOOKUP(C230,[10]Forecast!F:V,12,0)</f>
        <v>#N/A</v>
      </c>
      <c r="Q230" s="50" t="e">
        <f>+VLOOKUP(C230,[10]Forecast!F:V,14,0)</f>
        <v>#N/A</v>
      </c>
      <c r="R230" s="50" t="e">
        <f>+VLOOKUP(C230,[10]Forecast!F:V,16,0)</f>
        <v>#N/A</v>
      </c>
      <c r="S230" s="51" t="s">
        <v>25</v>
      </c>
      <c r="T230" s="52"/>
    </row>
    <row r="231" spans="1:20" s="53" customFormat="1" ht="21" hidden="1" customHeight="1">
      <c r="A231" s="34"/>
      <c r="B231" s="43">
        <f t="shared" si="3"/>
        <v>219</v>
      </c>
      <c r="C231" s="44"/>
      <c r="D231" s="45" t="e">
        <f>+VLOOKUP(C231,'[10]Part List รวมล่าสุดกว่า'!A:R,3,0)</f>
        <v>#N/A</v>
      </c>
      <c r="E231" s="46" t="s">
        <v>24</v>
      </c>
      <c r="F231" s="45" t="e">
        <f>+VLOOKUP(C231,'[10]Part List รวมล่าสุดกว่า'!A:R,4,0)</f>
        <v>#N/A</v>
      </c>
      <c r="G231" s="46" t="s">
        <v>24</v>
      </c>
      <c r="H231" s="47" t="e">
        <f>+VLOOKUP(C231,'[10]Part List รวมล่าสุดกว่า'!A:R,5,0)</f>
        <v>#N/A</v>
      </c>
      <c r="I231" s="48" t="e">
        <f>+VLOOKUP(C231,'[10]Part List รวมล่าสุดกว่า'!A:R,9,0)</f>
        <v>#N/A</v>
      </c>
      <c r="J231" s="49" t="e">
        <f>+VLOOKUP(C231,'[10]Part List รวมล่าสุดกว่า'!A:R,10,0)</f>
        <v>#N/A</v>
      </c>
      <c r="K231" s="49" t="e">
        <f>+VLOOKUP(C231,'[10]Part List รวมล่าสุดกว่า'!A:R,11,0)</f>
        <v>#N/A</v>
      </c>
      <c r="L231" s="49" t="e">
        <f>+VLOOKUP(C231,'[10]Part List รวมล่าสุดกว่า'!A:R,12,0)</f>
        <v>#N/A</v>
      </c>
      <c r="M231" s="50" t="e">
        <f>+VLOOKUP(C231,[10]Forecast!F:V,6,0)</f>
        <v>#N/A</v>
      </c>
      <c r="N231" s="50" t="e">
        <f>+VLOOKUP(C231,[10]Forecast!F:V,8,0)</f>
        <v>#N/A</v>
      </c>
      <c r="O231" s="50" t="e">
        <f>+VLOOKUP(C231,[10]Forecast!F:V,10,0)</f>
        <v>#N/A</v>
      </c>
      <c r="P231" s="50" t="e">
        <f>+VLOOKUP(C231,[10]Forecast!F:V,12,0)</f>
        <v>#N/A</v>
      </c>
      <c r="Q231" s="50" t="e">
        <f>+VLOOKUP(C231,[10]Forecast!F:V,14,0)</f>
        <v>#N/A</v>
      </c>
      <c r="R231" s="50" t="e">
        <f>+VLOOKUP(C231,[10]Forecast!F:V,16,0)</f>
        <v>#N/A</v>
      </c>
      <c r="S231" s="51" t="s">
        <v>25</v>
      </c>
      <c r="T231" s="52"/>
    </row>
    <row r="232" spans="1:20" s="53" customFormat="1" ht="21" hidden="1" customHeight="1">
      <c r="A232" s="34"/>
      <c r="B232" s="43">
        <f t="shared" si="3"/>
        <v>220</v>
      </c>
      <c r="C232" s="44"/>
      <c r="D232" s="45" t="e">
        <f>+VLOOKUP(C232,'[10]Part List รวมล่าสุดกว่า'!A:R,3,0)</f>
        <v>#N/A</v>
      </c>
      <c r="E232" s="46" t="s">
        <v>24</v>
      </c>
      <c r="F232" s="45" t="e">
        <f>+VLOOKUP(C232,'[10]Part List รวมล่าสุดกว่า'!A:R,4,0)</f>
        <v>#N/A</v>
      </c>
      <c r="G232" s="46" t="s">
        <v>24</v>
      </c>
      <c r="H232" s="47" t="e">
        <f>+VLOOKUP(C232,'[10]Part List รวมล่าสุดกว่า'!A:R,5,0)</f>
        <v>#N/A</v>
      </c>
      <c r="I232" s="48" t="e">
        <f>+VLOOKUP(C232,'[10]Part List รวมล่าสุดกว่า'!A:R,9,0)</f>
        <v>#N/A</v>
      </c>
      <c r="J232" s="49" t="e">
        <f>+VLOOKUP(C232,'[10]Part List รวมล่าสุดกว่า'!A:R,10,0)</f>
        <v>#N/A</v>
      </c>
      <c r="K232" s="49" t="e">
        <f>+VLOOKUP(C232,'[10]Part List รวมล่าสุดกว่า'!A:R,11,0)</f>
        <v>#N/A</v>
      </c>
      <c r="L232" s="49" t="e">
        <f>+VLOOKUP(C232,'[10]Part List รวมล่าสุดกว่า'!A:R,12,0)</f>
        <v>#N/A</v>
      </c>
      <c r="M232" s="50" t="e">
        <f>+VLOOKUP(C232,[10]Forecast!F:V,6,0)</f>
        <v>#N/A</v>
      </c>
      <c r="N232" s="50" t="e">
        <f>+VLOOKUP(C232,[10]Forecast!F:V,8,0)</f>
        <v>#N/A</v>
      </c>
      <c r="O232" s="50" t="e">
        <f>+VLOOKUP(C232,[10]Forecast!F:V,10,0)</f>
        <v>#N/A</v>
      </c>
      <c r="P232" s="50" t="e">
        <f>+VLOOKUP(C232,[10]Forecast!F:V,12,0)</f>
        <v>#N/A</v>
      </c>
      <c r="Q232" s="50" t="e">
        <f>+VLOOKUP(C232,[10]Forecast!F:V,14,0)</f>
        <v>#N/A</v>
      </c>
      <c r="R232" s="50" t="e">
        <f>+VLOOKUP(C232,[10]Forecast!F:V,16,0)</f>
        <v>#N/A</v>
      </c>
      <c r="S232" s="51" t="s">
        <v>25</v>
      </c>
      <c r="T232" s="52"/>
    </row>
    <row r="233" spans="1:20" s="53" customFormat="1" ht="21" hidden="1" customHeight="1">
      <c r="A233" s="34"/>
      <c r="B233" s="43">
        <f t="shared" si="3"/>
        <v>221</v>
      </c>
      <c r="C233" s="44"/>
      <c r="D233" s="45" t="e">
        <f>+VLOOKUP(C233,'[10]Part List รวมล่าสุดกว่า'!A:R,3,0)</f>
        <v>#N/A</v>
      </c>
      <c r="E233" s="46" t="s">
        <v>24</v>
      </c>
      <c r="F233" s="45" t="e">
        <f>+VLOOKUP(C233,'[10]Part List รวมล่าสุดกว่า'!A:R,4,0)</f>
        <v>#N/A</v>
      </c>
      <c r="G233" s="46" t="s">
        <v>24</v>
      </c>
      <c r="H233" s="47" t="e">
        <f>+VLOOKUP(C233,'[10]Part List รวมล่าสุดกว่า'!A:R,5,0)</f>
        <v>#N/A</v>
      </c>
      <c r="I233" s="48" t="e">
        <f>+VLOOKUP(C233,'[10]Part List รวมล่าสุดกว่า'!A:R,9,0)</f>
        <v>#N/A</v>
      </c>
      <c r="J233" s="49" t="e">
        <f>+VLOOKUP(C233,'[10]Part List รวมล่าสุดกว่า'!A:R,10,0)</f>
        <v>#N/A</v>
      </c>
      <c r="K233" s="49" t="e">
        <f>+VLOOKUP(C233,'[10]Part List รวมล่าสุดกว่า'!A:R,11,0)</f>
        <v>#N/A</v>
      </c>
      <c r="L233" s="49" t="e">
        <f>+VLOOKUP(C233,'[10]Part List รวมล่าสุดกว่า'!A:R,12,0)</f>
        <v>#N/A</v>
      </c>
      <c r="M233" s="50" t="e">
        <f>+VLOOKUP(C233,[10]Forecast!F:V,6,0)</f>
        <v>#N/A</v>
      </c>
      <c r="N233" s="50" t="e">
        <f>+VLOOKUP(C233,[10]Forecast!F:V,8,0)</f>
        <v>#N/A</v>
      </c>
      <c r="O233" s="50" t="e">
        <f>+VLOOKUP(C233,[10]Forecast!F:V,10,0)</f>
        <v>#N/A</v>
      </c>
      <c r="P233" s="50" t="e">
        <f>+VLOOKUP(C233,[10]Forecast!F:V,12,0)</f>
        <v>#N/A</v>
      </c>
      <c r="Q233" s="50" t="e">
        <f>+VLOOKUP(C233,[10]Forecast!F:V,14,0)</f>
        <v>#N/A</v>
      </c>
      <c r="R233" s="50" t="e">
        <f>+VLOOKUP(C233,[10]Forecast!F:V,16,0)</f>
        <v>#N/A</v>
      </c>
      <c r="S233" s="51" t="s">
        <v>25</v>
      </c>
      <c r="T233" s="52"/>
    </row>
    <row r="234" spans="1:20" s="53" customFormat="1" ht="21" hidden="1" customHeight="1">
      <c r="A234" s="34"/>
      <c r="B234" s="43">
        <f t="shared" si="3"/>
        <v>222</v>
      </c>
      <c r="C234" s="44"/>
      <c r="D234" s="45" t="e">
        <f>+VLOOKUP(C234,'[10]Part List รวมล่าสุดกว่า'!A:R,3,0)</f>
        <v>#N/A</v>
      </c>
      <c r="E234" s="46" t="s">
        <v>24</v>
      </c>
      <c r="F234" s="45" t="e">
        <f>+VLOOKUP(C234,'[10]Part List รวมล่าสุดกว่า'!A:R,4,0)</f>
        <v>#N/A</v>
      </c>
      <c r="G234" s="46" t="s">
        <v>24</v>
      </c>
      <c r="H234" s="47" t="e">
        <f>+VLOOKUP(C234,'[10]Part List รวมล่าสุดกว่า'!A:R,5,0)</f>
        <v>#N/A</v>
      </c>
      <c r="I234" s="48" t="e">
        <f>+VLOOKUP(C234,'[10]Part List รวมล่าสุดกว่า'!A:R,9,0)</f>
        <v>#N/A</v>
      </c>
      <c r="J234" s="49" t="e">
        <f>+VLOOKUP(C234,'[10]Part List รวมล่าสุดกว่า'!A:R,10,0)</f>
        <v>#N/A</v>
      </c>
      <c r="K234" s="49" t="e">
        <f>+VLOOKUP(C234,'[10]Part List รวมล่าสุดกว่า'!A:R,11,0)</f>
        <v>#N/A</v>
      </c>
      <c r="L234" s="49" t="e">
        <f>+VLOOKUP(C234,'[10]Part List รวมล่าสุดกว่า'!A:R,12,0)</f>
        <v>#N/A</v>
      </c>
      <c r="M234" s="50" t="e">
        <f>+VLOOKUP(C234,[10]Forecast!F:V,6,0)</f>
        <v>#N/A</v>
      </c>
      <c r="N234" s="50" t="e">
        <f>+VLOOKUP(C234,[10]Forecast!F:V,8,0)</f>
        <v>#N/A</v>
      </c>
      <c r="O234" s="50" t="e">
        <f>+VLOOKUP(C234,[10]Forecast!F:V,10,0)</f>
        <v>#N/A</v>
      </c>
      <c r="P234" s="50" t="e">
        <f>+VLOOKUP(C234,[10]Forecast!F:V,12,0)</f>
        <v>#N/A</v>
      </c>
      <c r="Q234" s="50" t="e">
        <f>+VLOOKUP(C234,[10]Forecast!F:V,14,0)</f>
        <v>#N/A</v>
      </c>
      <c r="R234" s="50" t="e">
        <f>+VLOOKUP(C234,[10]Forecast!F:V,16,0)</f>
        <v>#N/A</v>
      </c>
      <c r="S234" s="51" t="s">
        <v>25</v>
      </c>
      <c r="T234" s="52"/>
    </row>
    <row r="235" spans="1:20" s="53" customFormat="1" ht="21" hidden="1" customHeight="1">
      <c r="A235" s="34"/>
      <c r="B235" s="43">
        <f t="shared" si="3"/>
        <v>223</v>
      </c>
      <c r="C235" s="44"/>
      <c r="D235" s="45" t="e">
        <f>+VLOOKUP(C235,'[10]Part List รวมล่าสุดกว่า'!A:R,3,0)</f>
        <v>#N/A</v>
      </c>
      <c r="E235" s="46" t="s">
        <v>24</v>
      </c>
      <c r="F235" s="45" t="e">
        <f>+VLOOKUP(C235,'[10]Part List รวมล่าสุดกว่า'!A:R,4,0)</f>
        <v>#N/A</v>
      </c>
      <c r="G235" s="46" t="s">
        <v>24</v>
      </c>
      <c r="H235" s="47" t="e">
        <f>+VLOOKUP(C235,'[10]Part List รวมล่าสุดกว่า'!A:R,5,0)</f>
        <v>#N/A</v>
      </c>
      <c r="I235" s="48" t="e">
        <f>+VLOOKUP(C235,'[10]Part List รวมล่าสุดกว่า'!A:R,9,0)</f>
        <v>#N/A</v>
      </c>
      <c r="J235" s="49" t="e">
        <f>+VLOOKUP(C235,'[10]Part List รวมล่าสุดกว่า'!A:R,10,0)</f>
        <v>#N/A</v>
      </c>
      <c r="K235" s="49" t="e">
        <f>+VLOOKUP(C235,'[10]Part List รวมล่าสุดกว่า'!A:R,11,0)</f>
        <v>#N/A</v>
      </c>
      <c r="L235" s="49" t="e">
        <f>+VLOOKUP(C235,'[10]Part List รวมล่าสุดกว่า'!A:R,12,0)</f>
        <v>#N/A</v>
      </c>
      <c r="M235" s="50" t="e">
        <f>+VLOOKUP(C235,[10]Forecast!F:V,6,0)</f>
        <v>#N/A</v>
      </c>
      <c r="N235" s="50" t="e">
        <f>+VLOOKUP(C235,[10]Forecast!F:V,8,0)</f>
        <v>#N/A</v>
      </c>
      <c r="O235" s="50" t="e">
        <f>+VLOOKUP(C235,[10]Forecast!F:V,10,0)</f>
        <v>#N/A</v>
      </c>
      <c r="P235" s="50" t="e">
        <f>+VLOOKUP(C235,[10]Forecast!F:V,12,0)</f>
        <v>#N/A</v>
      </c>
      <c r="Q235" s="50" t="e">
        <f>+VLOOKUP(C235,[10]Forecast!F:V,14,0)</f>
        <v>#N/A</v>
      </c>
      <c r="R235" s="50" t="e">
        <f>+VLOOKUP(C235,[10]Forecast!F:V,16,0)</f>
        <v>#N/A</v>
      </c>
      <c r="S235" s="51" t="s">
        <v>25</v>
      </c>
      <c r="T235" s="52"/>
    </row>
    <row r="236" spans="1:20" s="53" customFormat="1" ht="21" hidden="1" customHeight="1">
      <c r="A236" s="34"/>
      <c r="B236" s="43">
        <f t="shared" si="3"/>
        <v>224</v>
      </c>
      <c r="C236" s="44"/>
      <c r="D236" s="45" t="e">
        <f>+VLOOKUP(C236,'[10]Part List รวมล่าสุดกว่า'!A:R,3,0)</f>
        <v>#N/A</v>
      </c>
      <c r="E236" s="46" t="s">
        <v>24</v>
      </c>
      <c r="F236" s="45" t="e">
        <f>+VLOOKUP(C236,'[10]Part List รวมล่าสุดกว่า'!A:R,4,0)</f>
        <v>#N/A</v>
      </c>
      <c r="G236" s="46" t="s">
        <v>24</v>
      </c>
      <c r="H236" s="47" t="e">
        <f>+VLOOKUP(C236,'[10]Part List รวมล่าสุดกว่า'!A:R,5,0)</f>
        <v>#N/A</v>
      </c>
      <c r="I236" s="48" t="e">
        <f>+VLOOKUP(C236,'[10]Part List รวมล่าสุดกว่า'!A:R,9,0)</f>
        <v>#N/A</v>
      </c>
      <c r="J236" s="49" t="e">
        <f>+VLOOKUP(C236,'[10]Part List รวมล่าสุดกว่า'!A:R,10,0)</f>
        <v>#N/A</v>
      </c>
      <c r="K236" s="49" t="e">
        <f>+VLOOKUP(C236,'[10]Part List รวมล่าสุดกว่า'!A:R,11,0)</f>
        <v>#N/A</v>
      </c>
      <c r="L236" s="49" t="e">
        <f>+VLOOKUP(C236,'[10]Part List รวมล่าสุดกว่า'!A:R,12,0)</f>
        <v>#N/A</v>
      </c>
      <c r="M236" s="50" t="e">
        <f>+VLOOKUP(C236,[10]Forecast!F:V,6,0)</f>
        <v>#N/A</v>
      </c>
      <c r="N236" s="50" t="e">
        <f>+VLOOKUP(C236,[10]Forecast!F:V,8,0)</f>
        <v>#N/A</v>
      </c>
      <c r="O236" s="50" t="e">
        <f>+VLOOKUP(C236,[10]Forecast!F:V,10,0)</f>
        <v>#N/A</v>
      </c>
      <c r="P236" s="50" t="e">
        <f>+VLOOKUP(C236,[10]Forecast!F:V,12,0)</f>
        <v>#N/A</v>
      </c>
      <c r="Q236" s="50" t="e">
        <f>+VLOOKUP(C236,[10]Forecast!F:V,14,0)</f>
        <v>#N/A</v>
      </c>
      <c r="R236" s="50" t="e">
        <f>+VLOOKUP(C236,[10]Forecast!F:V,16,0)</f>
        <v>#N/A</v>
      </c>
      <c r="S236" s="51" t="s">
        <v>25</v>
      </c>
      <c r="T236" s="52"/>
    </row>
    <row r="237" spans="1:20" s="53" customFormat="1" ht="21" hidden="1" customHeight="1">
      <c r="A237" s="34"/>
      <c r="B237" s="43">
        <f t="shared" si="3"/>
        <v>225</v>
      </c>
      <c r="C237" s="44"/>
      <c r="D237" s="45" t="e">
        <f>+VLOOKUP(C237,'[10]Part List รวมล่าสุดกว่า'!A:R,3,0)</f>
        <v>#N/A</v>
      </c>
      <c r="E237" s="46" t="s">
        <v>24</v>
      </c>
      <c r="F237" s="45" t="e">
        <f>+VLOOKUP(C237,'[10]Part List รวมล่าสุดกว่า'!A:R,4,0)</f>
        <v>#N/A</v>
      </c>
      <c r="G237" s="46" t="s">
        <v>24</v>
      </c>
      <c r="H237" s="47" t="e">
        <f>+VLOOKUP(C237,'[10]Part List รวมล่าสุดกว่า'!A:R,5,0)</f>
        <v>#N/A</v>
      </c>
      <c r="I237" s="48" t="e">
        <f>+VLOOKUP(C237,'[10]Part List รวมล่าสุดกว่า'!A:R,9,0)</f>
        <v>#N/A</v>
      </c>
      <c r="J237" s="49" t="e">
        <f>+VLOOKUP(C237,'[10]Part List รวมล่าสุดกว่า'!A:R,10,0)</f>
        <v>#N/A</v>
      </c>
      <c r="K237" s="49" t="e">
        <f>+VLOOKUP(C237,'[10]Part List รวมล่าสุดกว่า'!A:R,11,0)</f>
        <v>#N/A</v>
      </c>
      <c r="L237" s="49" t="e">
        <f>+VLOOKUP(C237,'[10]Part List รวมล่าสุดกว่า'!A:R,12,0)</f>
        <v>#N/A</v>
      </c>
      <c r="M237" s="50" t="e">
        <f>+VLOOKUP(C237,[10]Forecast!F:V,6,0)</f>
        <v>#N/A</v>
      </c>
      <c r="N237" s="50" t="e">
        <f>+VLOOKUP(C237,[10]Forecast!F:V,8,0)</f>
        <v>#N/A</v>
      </c>
      <c r="O237" s="50" t="e">
        <f>+VLOOKUP(C237,[10]Forecast!F:V,10,0)</f>
        <v>#N/A</v>
      </c>
      <c r="P237" s="50" t="e">
        <f>+VLOOKUP(C237,[10]Forecast!F:V,12,0)</f>
        <v>#N/A</v>
      </c>
      <c r="Q237" s="50" t="e">
        <f>+VLOOKUP(C237,[10]Forecast!F:V,14,0)</f>
        <v>#N/A</v>
      </c>
      <c r="R237" s="50" t="e">
        <f>+VLOOKUP(C237,[10]Forecast!F:V,16,0)</f>
        <v>#N/A</v>
      </c>
      <c r="S237" s="51" t="s">
        <v>25</v>
      </c>
      <c r="T237" s="52"/>
    </row>
    <row r="238" spans="1:20" s="53" customFormat="1" ht="21" hidden="1" customHeight="1">
      <c r="A238" s="34"/>
      <c r="B238" s="43">
        <f t="shared" si="3"/>
        <v>226</v>
      </c>
      <c r="C238" s="44"/>
      <c r="D238" s="45" t="e">
        <f>+VLOOKUP(C238,'[10]Part List รวมล่าสุดกว่า'!A:R,3,0)</f>
        <v>#N/A</v>
      </c>
      <c r="E238" s="46" t="s">
        <v>24</v>
      </c>
      <c r="F238" s="45" t="e">
        <f>+VLOOKUP(C238,'[10]Part List รวมล่าสุดกว่า'!A:R,4,0)</f>
        <v>#N/A</v>
      </c>
      <c r="G238" s="46" t="s">
        <v>24</v>
      </c>
      <c r="H238" s="47" t="e">
        <f>+VLOOKUP(C238,'[10]Part List รวมล่าสุดกว่า'!A:R,5,0)</f>
        <v>#N/A</v>
      </c>
      <c r="I238" s="48" t="e">
        <f>+VLOOKUP(C238,'[10]Part List รวมล่าสุดกว่า'!A:R,9,0)</f>
        <v>#N/A</v>
      </c>
      <c r="J238" s="49" t="e">
        <f>+VLOOKUP(C238,'[10]Part List รวมล่าสุดกว่า'!A:R,10,0)</f>
        <v>#N/A</v>
      </c>
      <c r="K238" s="49" t="e">
        <f>+VLOOKUP(C238,'[10]Part List รวมล่าสุดกว่า'!A:R,11,0)</f>
        <v>#N/A</v>
      </c>
      <c r="L238" s="49" t="e">
        <f>+VLOOKUP(C238,'[10]Part List รวมล่าสุดกว่า'!A:R,12,0)</f>
        <v>#N/A</v>
      </c>
      <c r="M238" s="50" t="e">
        <f>+VLOOKUP(C238,[10]Forecast!F:V,6,0)</f>
        <v>#N/A</v>
      </c>
      <c r="N238" s="50" t="e">
        <f>+VLOOKUP(C238,[10]Forecast!F:V,8,0)</f>
        <v>#N/A</v>
      </c>
      <c r="O238" s="50" t="e">
        <f>+VLOOKUP(C238,[10]Forecast!F:V,10,0)</f>
        <v>#N/A</v>
      </c>
      <c r="P238" s="50" t="e">
        <f>+VLOOKUP(C238,[10]Forecast!F:V,12,0)</f>
        <v>#N/A</v>
      </c>
      <c r="Q238" s="50" t="e">
        <f>+VLOOKUP(C238,[10]Forecast!F:V,14,0)</f>
        <v>#N/A</v>
      </c>
      <c r="R238" s="50" t="e">
        <f>+VLOOKUP(C238,[10]Forecast!F:V,16,0)</f>
        <v>#N/A</v>
      </c>
      <c r="S238" s="51" t="s">
        <v>25</v>
      </c>
      <c r="T238" s="52"/>
    </row>
    <row r="239" spans="1:20" s="53" customFormat="1" ht="21" hidden="1" customHeight="1">
      <c r="A239" s="34"/>
      <c r="B239" s="43">
        <f t="shared" si="3"/>
        <v>227</v>
      </c>
      <c r="C239" s="44"/>
      <c r="D239" s="45" t="e">
        <f>+VLOOKUP(C239,'[10]Part List รวมล่าสุดกว่า'!A:R,3,0)</f>
        <v>#N/A</v>
      </c>
      <c r="E239" s="46" t="s">
        <v>24</v>
      </c>
      <c r="F239" s="45" t="e">
        <f>+VLOOKUP(C239,'[10]Part List รวมล่าสุดกว่า'!A:R,4,0)</f>
        <v>#N/A</v>
      </c>
      <c r="G239" s="46" t="s">
        <v>24</v>
      </c>
      <c r="H239" s="47" t="e">
        <f>+VLOOKUP(C239,'[10]Part List รวมล่าสุดกว่า'!A:R,5,0)</f>
        <v>#N/A</v>
      </c>
      <c r="I239" s="48" t="e">
        <f>+VLOOKUP(C239,'[10]Part List รวมล่าสุดกว่า'!A:R,9,0)</f>
        <v>#N/A</v>
      </c>
      <c r="J239" s="49" t="e">
        <f>+VLOOKUP(C239,'[10]Part List รวมล่าสุดกว่า'!A:R,10,0)</f>
        <v>#N/A</v>
      </c>
      <c r="K239" s="49" t="e">
        <f>+VLOOKUP(C239,'[10]Part List รวมล่าสุดกว่า'!A:R,11,0)</f>
        <v>#N/A</v>
      </c>
      <c r="L239" s="49" t="e">
        <f>+VLOOKUP(C239,'[10]Part List รวมล่าสุดกว่า'!A:R,12,0)</f>
        <v>#N/A</v>
      </c>
      <c r="M239" s="50" t="e">
        <f>+VLOOKUP(C239,[10]Forecast!F:V,6,0)</f>
        <v>#N/A</v>
      </c>
      <c r="N239" s="50" t="e">
        <f>+VLOOKUP(C239,[10]Forecast!F:V,8,0)</f>
        <v>#N/A</v>
      </c>
      <c r="O239" s="50" t="e">
        <f>+VLOOKUP(C239,[10]Forecast!F:V,10,0)</f>
        <v>#N/A</v>
      </c>
      <c r="P239" s="50" t="e">
        <f>+VLOOKUP(C239,[10]Forecast!F:V,12,0)</f>
        <v>#N/A</v>
      </c>
      <c r="Q239" s="50" t="e">
        <f>+VLOOKUP(C239,[10]Forecast!F:V,14,0)</f>
        <v>#N/A</v>
      </c>
      <c r="R239" s="50" t="e">
        <f>+VLOOKUP(C239,[10]Forecast!F:V,16,0)</f>
        <v>#N/A</v>
      </c>
      <c r="S239" s="51" t="s">
        <v>25</v>
      </c>
      <c r="T239" s="52"/>
    </row>
    <row r="240" spans="1:20" s="53" customFormat="1" ht="21" hidden="1" customHeight="1">
      <c r="A240" s="34"/>
      <c r="B240" s="43">
        <f t="shared" si="3"/>
        <v>228</v>
      </c>
      <c r="C240" s="44"/>
      <c r="D240" s="45" t="e">
        <f>+VLOOKUP(C240,'[10]Part List รวมล่าสุดกว่า'!A:R,3,0)</f>
        <v>#N/A</v>
      </c>
      <c r="E240" s="46" t="s">
        <v>24</v>
      </c>
      <c r="F240" s="45" t="e">
        <f>+VLOOKUP(C240,'[10]Part List รวมล่าสุดกว่า'!A:R,4,0)</f>
        <v>#N/A</v>
      </c>
      <c r="G240" s="46" t="s">
        <v>24</v>
      </c>
      <c r="H240" s="47" t="e">
        <f>+VLOOKUP(C240,'[10]Part List รวมล่าสุดกว่า'!A:R,5,0)</f>
        <v>#N/A</v>
      </c>
      <c r="I240" s="48" t="e">
        <f>+VLOOKUP(C240,'[10]Part List รวมล่าสุดกว่า'!A:R,9,0)</f>
        <v>#N/A</v>
      </c>
      <c r="J240" s="49" t="e">
        <f>+VLOOKUP(C240,'[10]Part List รวมล่าสุดกว่า'!A:R,10,0)</f>
        <v>#N/A</v>
      </c>
      <c r="K240" s="49" t="e">
        <f>+VLOOKUP(C240,'[10]Part List รวมล่าสุดกว่า'!A:R,11,0)</f>
        <v>#N/A</v>
      </c>
      <c r="L240" s="49" t="e">
        <f>+VLOOKUP(C240,'[10]Part List รวมล่าสุดกว่า'!A:R,12,0)</f>
        <v>#N/A</v>
      </c>
      <c r="M240" s="50" t="e">
        <f>+VLOOKUP(C240,[10]Forecast!F:V,6,0)</f>
        <v>#N/A</v>
      </c>
      <c r="N240" s="50" t="e">
        <f>+VLOOKUP(C240,[10]Forecast!F:V,8,0)</f>
        <v>#N/A</v>
      </c>
      <c r="O240" s="50" t="e">
        <f>+VLOOKUP(C240,[10]Forecast!F:V,10,0)</f>
        <v>#N/A</v>
      </c>
      <c r="P240" s="50" t="e">
        <f>+VLOOKUP(C240,[10]Forecast!F:V,12,0)</f>
        <v>#N/A</v>
      </c>
      <c r="Q240" s="50" t="e">
        <f>+VLOOKUP(C240,[10]Forecast!F:V,14,0)</f>
        <v>#N/A</v>
      </c>
      <c r="R240" s="50" t="e">
        <f>+VLOOKUP(C240,[10]Forecast!F:V,16,0)</f>
        <v>#N/A</v>
      </c>
      <c r="S240" s="51" t="s">
        <v>25</v>
      </c>
      <c r="T240" s="52"/>
    </row>
    <row r="241" spans="1:20" s="53" customFormat="1" ht="21" hidden="1" customHeight="1">
      <c r="A241" s="34"/>
      <c r="B241" s="43">
        <f t="shared" si="3"/>
        <v>229</v>
      </c>
      <c r="C241" s="44"/>
      <c r="D241" s="45" t="e">
        <f>+VLOOKUP(C241,'[10]Part List รวมล่าสุดกว่า'!A:R,3,0)</f>
        <v>#N/A</v>
      </c>
      <c r="E241" s="46" t="s">
        <v>24</v>
      </c>
      <c r="F241" s="45" t="e">
        <f>+VLOOKUP(C241,'[10]Part List รวมล่าสุดกว่า'!A:R,4,0)</f>
        <v>#N/A</v>
      </c>
      <c r="G241" s="46" t="s">
        <v>24</v>
      </c>
      <c r="H241" s="47" t="e">
        <f>+VLOOKUP(C241,'[10]Part List รวมล่าสุดกว่า'!A:R,5,0)</f>
        <v>#N/A</v>
      </c>
      <c r="I241" s="48" t="e">
        <f>+VLOOKUP(C241,'[10]Part List รวมล่าสุดกว่า'!A:R,9,0)</f>
        <v>#N/A</v>
      </c>
      <c r="J241" s="49" t="e">
        <f>+VLOOKUP(C241,'[10]Part List รวมล่าสุดกว่า'!A:R,10,0)</f>
        <v>#N/A</v>
      </c>
      <c r="K241" s="49" t="e">
        <f>+VLOOKUP(C241,'[10]Part List รวมล่าสุดกว่า'!A:R,11,0)</f>
        <v>#N/A</v>
      </c>
      <c r="L241" s="49" t="e">
        <f>+VLOOKUP(C241,'[10]Part List รวมล่าสุดกว่า'!A:R,12,0)</f>
        <v>#N/A</v>
      </c>
      <c r="M241" s="50" t="e">
        <f>+VLOOKUP(C241,[10]Forecast!F:V,6,0)</f>
        <v>#N/A</v>
      </c>
      <c r="N241" s="50" t="e">
        <f>+VLOOKUP(C241,[10]Forecast!F:V,8,0)</f>
        <v>#N/A</v>
      </c>
      <c r="O241" s="50" t="e">
        <f>+VLOOKUP(C241,[10]Forecast!F:V,10,0)</f>
        <v>#N/A</v>
      </c>
      <c r="P241" s="50" t="e">
        <f>+VLOOKUP(C241,[10]Forecast!F:V,12,0)</f>
        <v>#N/A</v>
      </c>
      <c r="Q241" s="50" t="e">
        <f>+VLOOKUP(C241,[10]Forecast!F:V,14,0)</f>
        <v>#N/A</v>
      </c>
      <c r="R241" s="50" t="e">
        <f>+VLOOKUP(C241,[10]Forecast!F:V,16,0)</f>
        <v>#N/A</v>
      </c>
      <c r="S241" s="51" t="s">
        <v>25</v>
      </c>
      <c r="T241" s="52"/>
    </row>
    <row r="242" spans="1:20" s="53" customFormat="1" ht="21" hidden="1" customHeight="1">
      <c r="A242" s="34"/>
      <c r="B242" s="43">
        <f t="shared" si="3"/>
        <v>230</v>
      </c>
      <c r="C242" s="44"/>
      <c r="D242" s="45" t="e">
        <f>+VLOOKUP(C242,'[10]Part List รวมล่าสุดกว่า'!A:R,3,0)</f>
        <v>#N/A</v>
      </c>
      <c r="E242" s="46" t="s">
        <v>24</v>
      </c>
      <c r="F242" s="45" t="e">
        <f>+VLOOKUP(C242,'[10]Part List รวมล่าสุดกว่า'!A:R,4,0)</f>
        <v>#N/A</v>
      </c>
      <c r="G242" s="46" t="s">
        <v>24</v>
      </c>
      <c r="H242" s="47" t="e">
        <f>+VLOOKUP(C242,'[10]Part List รวมล่าสุดกว่า'!A:R,5,0)</f>
        <v>#N/A</v>
      </c>
      <c r="I242" s="48" t="e">
        <f>+VLOOKUP(C242,'[10]Part List รวมล่าสุดกว่า'!A:R,9,0)</f>
        <v>#N/A</v>
      </c>
      <c r="J242" s="49" t="e">
        <f>+VLOOKUP(C242,'[10]Part List รวมล่าสุดกว่า'!A:R,10,0)</f>
        <v>#N/A</v>
      </c>
      <c r="K242" s="49" t="e">
        <f>+VLOOKUP(C242,'[10]Part List รวมล่าสุดกว่า'!A:R,11,0)</f>
        <v>#N/A</v>
      </c>
      <c r="L242" s="49" t="e">
        <f>+VLOOKUP(C242,'[10]Part List รวมล่าสุดกว่า'!A:R,12,0)</f>
        <v>#N/A</v>
      </c>
      <c r="M242" s="50" t="e">
        <f>+VLOOKUP(C242,[10]Forecast!F:V,6,0)</f>
        <v>#N/A</v>
      </c>
      <c r="N242" s="50" t="e">
        <f>+VLOOKUP(C242,[10]Forecast!F:V,8,0)</f>
        <v>#N/A</v>
      </c>
      <c r="O242" s="50" t="e">
        <f>+VLOOKUP(C242,[10]Forecast!F:V,10,0)</f>
        <v>#N/A</v>
      </c>
      <c r="P242" s="50" t="e">
        <f>+VLOOKUP(C242,[10]Forecast!F:V,12,0)</f>
        <v>#N/A</v>
      </c>
      <c r="Q242" s="50" t="e">
        <f>+VLOOKUP(C242,[10]Forecast!F:V,14,0)</f>
        <v>#N/A</v>
      </c>
      <c r="R242" s="50" t="e">
        <f>+VLOOKUP(C242,[10]Forecast!F:V,16,0)</f>
        <v>#N/A</v>
      </c>
      <c r="S242" s="51" t="s">
        <v>25</v>
      </c>
      <c r="T242" s="52"/>
    </row>
    <row r="243" spans="1:20" s="53" customFormat="1" ht="21" hidden="1" customHeight="1">
      <c r="A243" s="34"/>
      <c r="B243" s="43">
        <v>231</v>
      </c>
      <c r="C243" s="44"/>
      <c r="D243" s="45" t="e">
        <f>+VLOOKUP(C243,'[10]Part List รวมล่าสุดกว่า'!A:R,3,0)</f>
        <v>#N/A</v>
      </c>
      <c r="E243" s="46" t="s">
        <v>24</v>
      </c>
      <c r="F243" s="45" t="e">
        <f>+VLOOKUP(C243,'[10]Part List รวมล่าสุดกว่า'!A:R,4,0)</f>
        <v>#N/A</v>
      </c>
      <c r="G243" s="46" t="s">
        <v>24</v>
      </c>
      <c r="H243" s="47" t="e">
        <f>+VLOOKUP(C243,'[10]Part List รวมล่าสุดกว่า'!A:R,5,0)</f>
        <v>#N/A</v>
      </c>
      <c r="I243" s="48" t="e">
        <f>+VLOOKUP(C243,'[10]Part List รวมล่าสุดกว่า'!A:R,9,0)</f>
        <v>#N/A</v>
      </c>
      <c r="J243" s="49" t="e">
        <f>+VLOOKUP(C243,'[10]Part List รวมล่าสุดกว่า'!A:R,10,0)</f>
        <v>#N/A</v>
      </c>
      <c r="K243" s="49" t="e">
        <f>+VLOOKUP(C243,'[10]Part List รวมล่าสุดกว่า'!A:R,11,0)</f>
        <v>#N/A</v>
      </c>
      <c r="L243" s="49" t="e">
        <f>+VLOOKUP(C243,'[10]Part List รวมล่าสุดกว่า'!A:R,12,0)</f>
        <v>#N/A</v>
      </c>
      <c r="M243" s="50" t="e">
        <f>+VLOOKUP(C243,[10]Forecast!F:V,6,0)</f>
        <v>#N/A</v>
      </c>
      <c r="N243" s="50" t="e">
        <f>+VLOOKUP(C243,[10]Forecast!F:V,8,0)</f>
        <v>#N/A</v>
      </c>
      <c r="O243" s="50" t="e">
        <f>+VLOOKUP(C243,[10]Forecast!F:V,10,0)</f>
        <v>#N/A</v>
      </c>
      <c r="P243" s="50" t="e">
        <f>+VLOOKUP(C243,[10]Forecast!F:V,12,0)</f>
        <v>#N/A</v>
      </c>
      <c r="Q243" s="50" t="e">
        <f>+VLOOKUP(C243,[10]Forecast!F:V,14,0)</f>
        <v>#N/A</v>
      </c>
      <c r="R243" s="50" t="e">
        <f>+VLOOKUP(C243,[10]Forecast!F:V,16,0)</f>
        <v>#N/A</v>
      </c>
      <c r="S243" s="51" t="s">
        <v>25</v>
      </c>
      <c r="T243" s="52"/>
    </row>
    <row r="244" spans="1:20" s="53" customFormat="1" ht="21" hidden="1" customHeight="1">
      <c r="A244" s="34"/>
      <c r="B244" s="43">
        <v>232</v>
      </c>
      <c r="C244" s="44"/>
      <c r="D244" s="45" t="e">
        <f>+VLOOKUP(C244,'[10]Part List รวมล่าสุดกว่า'!A:R,3,0)</f>
        <v>#N/A</v>
      </c>
      <c r="E244" s="46" t="s">
        <v>24</v>
      </c>
      <c r="F244" s="45" t="e">
        <f>+VLOOKUP(C244,'[10]Part List รวมล่าสุดกว่า'!A:R,4,0)</f>
        <v>#N/A</v>
      </c>
      <c r="G244" s="46" t="s">
        <v>24</v>
      </c>
      <c r="H244" s="47" t="e">
        <f>+VLOOKUP(C244,'[10]Part List รวมล่าสุดกว่า'!A:R,5,0)</f>
        <v>#N/A</v>
      </c>
      <c r="I244" s="48" t="e">
        <f>+VLOOKUP(C244,'[10]Part List รวมล่าสุดกว่า'!A:R,9,0)</f>
        <v>#N/A</v>
      </c>
      <c r="J244" s="49" t="e">
        <f>+VLOOKUP(C244,'[10]Part List รวมล่าสุดกว่า'!A:R,10,0)</f>
        <v>#N/A</v>
      </c>
      <c r="K244" s="49" t="e">
        <f>+VLOOKUP(C244,'[10]Part List รวมล่าสุดกว่า'!A:R,11,0)</f>
        <v>#N/A</v>
      </c>
      <c r="L244" s="49" t="e">
        <f>+VLOOKUP(C244,'[10]Part List รวมล่าสุดกว่า'!A:R,12,0)</f>
        <v>#N/A</v>
      </c>
      <c r="M244" s="50" t="e">
        <f>+VLOOKUP(C244,[10]Forecast!F:V,6,0)</f>
        <v>#N/A</v>
      </c>
      <c r="N244" s="50" t="e">
        <f>+VLOOKUP(C244,[10]Forecast!F:V,8,0)</f>
        <v>#N/A</v>
      </c>
      <c r="O244" s="50" t="e">
        <f>+VLOOKUP(C244,[10]Forecast!F:V,10,0)</f>
        <v>#N/A</v>
      </c>
      <c r="P244" s="50" t="e">
        <f>+VLOOKUP(C244,[10]Forecast!F:V,12,0)</f>
        <v>#N/A</v>
      </c>
      <c r="Q244" s="50" t="e">
        <f>+VLOOKUP(C244,[10]Forecast!F:V,14,0)</f>
        <v>#N/A</v>
      </c>
      <c r="R244" s="50" t="e">
        <f>+VLOOKUP(C244,[10]Forecast!F:V,16,0)</f>
        <v>#N/A</v>
      </c>
      <c r="S244" s="51" t="s">
        <v>25</v>
      </c>
      <c r="T244" s="52"/>
    </row>
    <row r="245" spans="1:20" s="53" customFormat="1" ht="21" hidden="1" customHeight="1">
      <c r="A245" s="34"/>
      <c r="B245" s="43">
        <v>233</v>
      </c>
      <c r="C245" s="44"/>
      <c r="D245" s="45" t="e">
        <f>+VLOOKUP(C245,'[10]Part List รวมล่าสุดกว่า'!A:R,3,0)</f>
        <v>#N/A</v>
      </c>
      <c r="E245" s="46" t="s">
        <v>24</v>
      </c>
      <c r="F245" s="45" t="e">
        <f>+VLOOKUP(C245,'[10]Part List รวมล่าสุดกว่า'!A:R,4,0)</f>
        <v>#N/A</v>
      </c>
      <c r="G245" s="46" t="s">
        <v>24</v>
      </c>
      <c r="H245" s="47" t="e">
        <f>+VLOOKUP(C245,'[10]Part List รวมล่าสุดกว่า'!A:R,5,0)</f>
        <v>#N/A</v>
      </c>
      <c r="I245" s="48" t="e">
        <f>+VLOOKUP(C245,'[10]Part List รวมล่าสุดกว่า'!A:R,9,0)</f>
        <v>#N/A</v>
      </c>
      <c r="J245" s="49" t="e">
        <f>+VLOOKUP(C245,'[10]Part List รวมล่าสุดกว่า'!A:R,10,0)</f>
        <v>#N/A</v>
      </c>
      <c r="K245" s="49" t="e">
        <f>+VLOOKUP(C245,'[10]Part List รวมล่าสุดกว่า'!A:R,11,0)</f>
        <v>#N/A</v>
      </c>
      <c r="L245" s="49" t="e">
        <f>+VLOOKUP(C245,'[10]Part List รวมล่าสุดกว่า'!A:R,12,0)</f>
        <v>#N/A</v>
      </c>
      <c r="M245" s="50" t="e">
        <f>+VLOOKUP(C245,[10]Forecast!F:V,6,0)</f>
        <v>#N/A</v>
      </c>
      <c r="N245" s="50" t="e">
        <f>+VLOOKUP(C245,[10]Forecast!F:V,8,0)</f>
        <v>#N/A</v>
      </c>
      <c r="O245" s="50" t="e">
        <f>+VLOOKUP(C245,[10]Forecast!F:V,10,0)</f>
        <v>#N/A</v>
      </c>
      <c r="P245" s="50" t="e">
        <f>+VLOOKUP(C245,[10]Forecast!F:V,12,0)</f>
        <v>#N/A</v>
      </c>
      <c r="Q245" s="50" t="e">
        <f>+VLOOKUP(C245,[10]Forecast!F:V,14,0)</f>
        <v>#N/A</v>
      </c>
      <c r="R245" s="50" t="e">
        <f>+VLOOKUP(C245,[10]Forecast!F:V,16,0)</f>
        <v>#N/A</v>
      </c>
      <c r="S245" s="51" t="s">
        <v>25</v>
      </c>
      <c r="T245" s="52"/>
    </row>
    <row r="246" spans="1:20" s="53" customFormat="1" ht="21" customHeight="1">
      <c r="A246" s="64"/>
      <c r="B246" s="51"/>
      <c r="C246" s="65"/>
      <c r="D246" s="66"/>
      <c r="E246" s="46"/>
      <c r="F246" s="67"/>
      <c r="G246" s="46"/>
      <c r="H246" s="47"/>
      <c r="I246" s="68"/>
      <c r="J246" s="69"/>
      <c r="K246" s="51"/>
      <c r="L246" s="51"/>
      <c r="M246" s="51"/>
      <c r="N246" s="51"/>
      <c r="O246" s="51"/>
      <c r="P246" s="51"/>
      <c r="Q246" s="51"/>
      <c r="R246" s="51"/>
      <c r="S246" s="51"/>
      <c r="T246" s="52"/>
    </row>
    <row r="247" spans="1:20" s="53" customFormat="1">
      <c r="E247" s="70"/>
      <c r="F247" s="71"/>
      <c r="G247" s="70"/>
      <c r="H247" s="70"/>
    </row>
    <row r="248" spans="1:20" s="53" customFormat="1" ht="33.75" customHeight="1">
      <c r="C248" s="72" t="s">
        <v>74</v>
      </c>
      <c r="E248" s="70"/>
      <c r="F248" s="71"/>
      <c r="G248" s="70"/>
      <c r="H248" s="70"/>
    </row>
    <row r="249" spans="1:20" s="53" customFormat="1">
      <c r="E249" s="70"/>
      <c r="F249" s="71"/>
      <c r="G249" s="70"/>
      <c r="H249" s="70"/>
    </row>
  </sheetData>
  <mergeCells count="3">
    <mergeCell ref="N1:P1"/>
    <mergeCell ref="M8:R8"/>
    <mergeCell ref="D10:H10"/>
  </mergeCells>
  <conditionalFormatting sqref="C12:C16">
    <cfRule type="cellIs" priority="1" stopIfTrue="1" operator="between">
      <formula>40000000</formula>
      <formula>49999999</formula>
    </cfRule>
    <cfRule type="cellIs" priority="2" operator="between">
      <formula>20000000</formula>
      <formula>29999999</formula>
    </cfRule>
  </conditionalFormatting>
  <pageMargins left="0" right="0" top="0.39370078740157483" bottom="0.19685039370078741" header="0.31496062992125984" footer="0.19685039370078741"/>
  <pageSetup paperSize="9"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PTT</vt:lpstr>
      <vt:lpstr>PTT!Print_Titles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pc0725</dc:creator>
  <cp:lastModifiedBy>pttsale</cp:lastModifiedBy>
  <dcterms:created xsi:type="dcterms:W3CDTF">2026-06-02T07:35:28Z</dcterms:created>
  <dcterms:modified xsi:type="dcterms:W3CDTF">2026-06-19T03:07:01Z</dcterms:modified>
</cp:coreProperties>
</file>